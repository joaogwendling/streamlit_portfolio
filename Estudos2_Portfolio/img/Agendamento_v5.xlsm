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ee1e191671a89e82/LIVRO ONLINE/"/>
    </mc:Choice>
  </mc:AlternateContent>
  <xr:revisionPtr revIDLastSave="26077" documentId="13_ncr:1_{12B65665-87B3-4C83-9922-AB96E8F561A3}" xr6:coauthVersionLast="47" xr6:coauthVersionMax="47" xr10:uidLastSave="{48B80A57-A8F0-4F99-8B86-FC19D06DE347}"/>
  <bookViews>
    <workbookView xWindow="18096" yWindow="0" windowWidth="12528" windowHeight="16680" firstSheet="1" activeTab="1" xr2:uid="{00000000-000D-0000-FFFF-FFFF00000000}"/>
  </bookViews>
  <sheets>
    <sheet name="geral" sheetId="1" state="hidden" r:id="rId1"/>
    <sheet name="Planilha1" sheetId="2" r:id="rId2"/>
    <sheet name="Fixo" sheetId="5" r:id="rId3"/>
    <sheet name="Férias" sheetId="10" r:id="rId4"/>
    <sheet name="IgnorarFixo" sheetId="7" r:id="rId5"/>
    <sheet name="Equipe" sheetId="3" r:id="rId6"/>
    <sheet name="Opções" sheetId="4" state="hidden" r:id="rId7"/>
    <sheet name="tudo" sheetId="8" state="hidden" r:id="rId8"/>
    <sheet name="Visualização" sheetId="9" r:id="rId9"/>
    <sheet name="CalendarioBase" sheetId="12" state="hidden" r:id="rId10"/>
    <sheet name="ferias_folgas" sheetId="14" state="hidden" r:id="rId11"/>
    <sheet name="Calendario" sheetId="13" r:id="rId12"/>
  </sheets>
  <definedNames>
    <definedName name="_xlnm._FilterDatabase" localSheetId="2" hidden="1">Fixo!$A$1:$I$38</definedName>
    <definedName name="_xlnm._FilterDatabase" localSheetId="0" hidden="1">geral!$A$1:$F$3213</definedName>
    <definedName name="DadosExternos_1" localSheetId="10" hidden="1">ferias_folgas!$A$1:$C$1163</definedName>
    <definedName name="DadosExternos_1" localSheetId="7" hidden="1">tudo!$A$1:$M$8454</definedName>
    <definedName name="visualizacao_calend">Calendario!$B$1:$O$37</definedName>
    <definedName name="visualizacao_livro">Visualização!$A$1:$Q$78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4" l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E374" i="14"/>
  <c r="E375" i="14"/>
  <c r="E376" i="14"/>
  <c r="E377" i="14"/>
  <c r="E378" i="14"/>
  <c r="E379" i="14"/>
  <c r="E380" i="14"/>
  <c r="E381" i="14"/>
  <c r="E382" i="14"/>
  <c r="E383" i="14"/>
  <c r="E384" i="14"/>
  <c r="E385" i="14"/>
  <c r="E386" i="14"/>
  <c r="E387" i="14"/>
  <c r="E388" i="14"/>
  <c r="E389" i="14"/>
  <c r="E390" i="14"/>
  <c r="E391" i="14"/>
  <c r="E392" i="14"/>
  <c r="E393" i="14"/>
  <c r="E394" i="14"/>
  <c r="E395" i="14"/>
  <c r="E396" i="14"/>
  <c r="E397" i="14"/>
  <c r="E398" i="14"/>
  <c r="E399" i="14"/>
  <c r="E400" i="14"/>
  <c r="E401" i="14"/>
  <c r="E402" i="14"/>
  <c r="E403" i="14"/>
  <c r="E404" i="14"/>
  <c r="E405" i="14"/>
  <c r="E406" i="14"/>
  <c r="E407" i="14"/>
  <c r="E408" i="14"/>
  <c r="E409" i="14"/>
  <c r="E410" i="14"/>
  <c r="E411" i="14"/>
  <c r="E412" i="14"/>
  <c r="E413" i="14"/>
  <c r="E414" i="14"/>
  <c r="E415" i="14"/>
  <c r="E416" i="14"/>
  <c r="E417" i="14"/>
  <c r="E418" i="14"/>
  <c r="E419" i="14"/>
  <c r="E420" i="14"/>
  <c r="E421" i="14"/>
  <c r="E422" i="14"/>
  <c r="E423" i="14"/>
  <c r="E424" i="14"/>
  <c r="E425" i="14"/>
  <c r="E426" i="14"/>
  <c r="E427" i="14"/>
  <c r="E428" i="14"/>
  <c r="E429" i="14"/>
  <c r="E430" i="14"/>
  <c r="E431" i="14"/>
  <c r="E432" i="14"/>
  <c r="E433" i="14"/>
  <c r="E434" i="14"/>
  <c r="E435" i="14"/>
  <c r="E436" i="14"/>
  <c r="E437" i="14"/>
  <c r="E438" i="14"/>
  <c r="E439" i="14"/>
  <c r="E440" i="14"/>
  <c r="E441" i="14"/>
  <c r="E442" i="14"/>
  <c r="E443" i="14"/>
  <c r="E444" i="14"/>
  <c r="E445" i="14"/>
  <c r="E446" i="14"/>
  <c r="E447" i="14"/>
  <c r="E448" i="14"/>
  <c r="E449" i="14"/>
  <c r="E450" i="14"/>
  <c r="E451" i="14"/>
  <c r="E452" i="14"/>
  <c r="E453" i="14"/>
  <c r="E454" i="14"/>
  <c r="E455" i="14"/>
  <c r="E456" i="14"/>
  <c r="E457" i="14"/>
  <c r="E458" i="14"/>
  <c r="E459" i="14"/>
  <c r="E460" i="14"/>
  <c r="E461" i="14"/>
  <c r="E462" i="14"/>
  <c r="E463" i="14"/>
  <c r="E464" i="14"/>
  <c r="E465" i="14"/>
  <c r="E466" i="14"/>
  <c r="E467" i="14"/>
  <c r="E468" i="14"/>
  <c r="E469" i="14"/>
  <c r="E470" i="14"/>
  <c r="E471" i="14"/>
  <c r="E472" i="14"/>
  <c r="E473" i="14"/>
  <c r="E474" i="14"/>
  <c r="E475" i="14"/>
  <c r="E476" i="14"/>
  <c r="E477" i="14"/>
  <c r="E478" i="14"/>
  <c r="E479" i="14"/>
  <c r="E480" i="14"/>
  <c r="E481" i="14"/>
  <c r="E482" i="14"/>
  <c r="E483" i="14"/>
  <c r="E484" i="14"/>
  <c r="E485" i="14"/>
  <c r="E486" i="14"/>
  <c r="E487" i="14"/>
  <c r="E488" i="14"/>
  <c r="E489" i="14"/>
  <c r="E490" i="14"/>
  <c r="E491" i="14"/>
  <c r="E492" i="14"/>
  <c r="E493" i="14"/>
  <c r="E494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E511" i="14"/>
  <c r="E512" i="14"/>
  <c r="E513" i="14"/>
  <c r="E514" i="14"/>
  <c r="E515" i="14"/>
  <c r="E516" i="14"/>
  <c r="E517" i="14"/>
  <c r="E518" i="14"/>
  <c r="E519" i="14"/>
  <c r="E520" i="14"/>
  <c r="E521" i="14"/>
  <c r="E522" i="14"/>
  <c r="E523" i="14"/>
  <c r="E524" i="14"/>
  <c r="E525" i="14"/>
  <c r="E526" i="14"/>
  <c r="E527" i="14"/>
  <c r="E528" i="14"/>
  <c r="E529" i="14"/>
  <c r="E530" i="14"/>
  <c r="E531" i="14"/>
  <c r="E532" i="14"/>
  <c r="E533" i="14"/>
  <c r="E534" i="14"/>
  <c r="E535" i="14"/>
  <c r="E536" i="14"/>
  <c r="E537" i="14"/>
  <c r="E538" i="14"/>
  <c r="E539" i="14"/>
  <c r="E540" i="14"/>
  <c r="E541" i="14"/>
  <c r="E542" i="14"/>
  <c r="E543" i="14"/>
  <c r="E544" i="14"/>
  <c r="E545" i="14"/>
  <c r="E546" i="14"/>
  <c r="E547" i="14"/>
  <c r="E548" i="14"/>
  <c r="E549" i="14"/>
  <c r="E550" i="14"/>
  <c r="E551" i="14"/>
  <c r="E552" i="14"/>
  <c r="E553" i="14"/>
  <c r="E554" i="14"/>
  <c r="E555" i="14"/>
  <c r="E556" i="14"/>
  <c r="E557" i="14"/>
  <c r="E558" i="14"/>
  <c r="E559" i="14"/>
  <c r="E560" i="14"/>
  <c r="E561" i="14"/>
  <c r="E562" i="14"/>
  <c r="E563" i="14"/>
  <c r="E564" i="14"/>
  <c r="E565" i="14"/>
  <c r="E566" i="14"/>
  <c r="E567" i="14"/>
  <c r="E568" i="14"/>
  <c r="E569" i="14"/>
  <c r="E570" i="14"/>
  <c r="E571" i="14"/>
  <c r="E572" i="14"/>
  <c r="E573" i="14"/>
  <c r="E574" i="14"/>
  <c r="E575" i="14"/>
  <c r="E576" i="14"/>
  <c r="E577" i="14"/>
  <c r="E578" i="14"/>
  <c r="E579" i="14"/>
  <c r="E580" i="14"/>
  <c r="E581" i="14"/>
  <c r="E582" i="14"/>
  <c r="E583" i="14"/>
  <c r="E584" i="14"/>
  <c r="E585" i="14"/>
  <c r="E586" i="14"/>
  <c r="E587" i="14"/>
  <c r="E588" i="14"/>
  <c r="E589" i="14"/>
  <c r="E590" i="14"/>
  <c r="E591" i="14"/>
  <c r="E592" i="14"/>
  <c r="E593" i="14"/>
  <c r="E594" i="14"/>
  <c r="E595" i="14"/>
  <c r="E596" i="14"/>
  <c r="E597" i="14"/>
  <c r="E598" i="14"/>
  <c r="E599" i="14"/>
  <c r="E600" i="14"/>
  <c r="E601" i="14"/>
  <c r="E602" i="14"/>
  <c r="E603" i="14"/>
  <c r="E604" i="14"/>
  <c r="E605" i="14"/>
  <c r="E606" i="14"/>
  <c r="E607" i="14"/>
  <c r="E608" i="14"/>
  <c r="E609" i="14"/>
  <c r="E610" i="14"/>
  <c r="E611" i="14"/>
  <c r="E612" i="14"/>
  <c r="E613" i="14"/>
  <c r="E614" i="14"/>
  <c r="E615" i="14"/>
  <c r="E616" i="14"/>
  <c r="E617" i="14"/>
  <c r="E618" i="14"/>
  <c r="E619" i="14"/>
  <c r="E620" i="14"/>
  <c r="E621" i="14"/>
  <c r="E622" i="14"/>
  <c r="E623" i="14"/>
  <c r="E624" i="14"/>
  <c r="E625" i="14"/>
  <c r="E626" i="14"/>
  <c r="E627" i="14"/>
  <c r="E628" i="14"/>
  <c r="E629" i="14"/>
  <c r="E630" i="14"/>
  <c r="E631" i="14"/>
  <c r="E632" i="14"/>
  <c r="E633" i="14"/>
  <c r="E634" i="14"/>
  <c r="E635" i="14"/>
  <c r="E636" i="14"/>
  <c r="E637" i="14"/>
  <c r="E638" i="14"/>
  <c r="E639" i="14"/>
  <c r="E640" i="14"/>
  <c r="E641" i="14"/>
  <c r="E642" i="14"/>
  <c r="E643" i="14"/>
  <c r="E644" i="14"/>
  <c r="E645" i="14"/>
  <c r="E646" i="14"/>
  <c r="E647" i="14"/>
  <c r="E648" i="14"/>
  <c r="E649" i="14"/>
  <c r="E650" i="14"/>
  <c r="E651" i="14"/>
  <c r="E652" i="14"/>
  <c r="E653" i="14"/>
  <c r="E654" i="14"/>
  <c r="E655" i="14"/>
  <c r="E656" i="14"/>
  <c r="E657" i="14"/>
  <c r="E658" i="14"/>
  <c r="E659" i="14"/>
  <c r="E660" i="14"/>
  <c r="E661" i="14"/>
  <c r="E662" i="14"/>
  <c r="E663" i="14"/>
  <c r="E664" i="14"/>
  <c r="E665" i="14"/>
  <c r="E666" i="14"/>
  <c r="E667" i="14"/>
  <c r="E668" i="14"/>
  <c r="E669" i="14"/>
  <c r="E670" i="14"/>
  <c r="E671" i="14"/>
  <c r="E672" i="14"/>
  <c r="E673" i="14"/>
  <c r="E674" i="14"/>
  <c r="E675" i="14"/>
  <c r="E676" i="14"/>
  <c r="E677" i="14"/>
  <c r="E678" i="14"/>
  <c r="E679" i="14"/>
  <c r="E680" i="14"/>
  <c r="E681" i="14"/>
  <c r="E682" i="14"/>
  <c r="E683" i="14"/>
  <c r="E684" i="14"/>
  <c r="E685" i="14"/>
  <c r="E686" i="14"/>
  <c r="E687" i="14"/>
  <c r="E688" i="14"/>
  <c r="E689" i="14"/>
  <c r="E690" i="14"/>
  <c r="E691" i="14"/>
  <c r="E692" i="14"/>
  <c r="E693" i="14"/>
  <c r="E694" i="14"/>
  <c r="E695" i="14"/>
  <c r="E696" i="14"/>
  <c r="E697" i="14"/>
  <c r="E698" i="14"/>
  <c r="E699" i="14"/>
  <c r="E700" i="14"/>
  <c r="E701" i="14"/>
  <c r="E702" i="14"/>
  <c r="E703" i="14"/>
  <c r="E704" i="14"/>
  <c r="E705" i="14"/>
  <c r="E706" i="14"/>
  <c r="E707" i="14"/>
  <c r="E708" i="14"/>
  <c r="E709" i="14"/>
  <c r="E710" i="14"/>
  <c r="E711" i="14"/>
  <c r="E712" i="14"/>
  <c r="E713" i="14"/>
  <c r="E714" i="14"/>
  <c r="E715" i="14"/>
  <c r="E716" i="14"/>
  <c r="E717" i="14"/>
  <c r="E718" i="14"/>
  <c r="E719" i="14"/>
  <c r="E720" i="14"/>
  <c r="E721" i="14"/>
  <c r="E722" i="14"/>
  <c r="E723" i="14"/>
  <c r="E724" i="14"/>
  <c r="E725" i="14"/>
  <c r="E726" i="14"/>
  <c r="E727" i="14"/>
  <c r="E728" i="14"/>
  <c r="E729" i="14"/>
  <c r="E730" i="14"/>
  <c r="E731" i="14"/>
  <c r="E732" i="14"/>
  <c r="E733" i="14"/>
  <c r="E734" i="14"/>
  <c r="E735" i="14"/>
  <c r="E736" i="14"/>
  <c r="E737" i="14"/>
  <c r="E738" i="14"/>
  <c r="E739" i="14"/>
  <c r="E740" i="14"/>
  <c r="E741" i="14"/>
  <c r="E742" i="14"/>
  <c r="E743" i="14"/>
  <c r="E744" i="14"/>
  <c r="E745" i="14"/>
  <c r="E746" i="14"/>
  <c r="E747" i="14"/>
  <c r="E748" i="14"/>
  <c r="E749" i="14"/>
  <c r="E750" i="14"/>
  <c r="E751" i="14"/>
  <c r="E752" i="14"/>
  <c r="E753" i="14"/>
  <c r="E754" i="14"/>
  <c r="E755" i="14"/>
  <c r="E756" i="14"/>
  <c r="E757" i="14"/>
  <c r="E758" i="14"/>
  <c r="E759" i="14"/>
  <c r="E760" i="14"/>
  <c r="E761" i="14"/>
  <c r="E762" i="14"/>
  <c r="E763" i="14"/>
  <c r="E764" i="14"/>
  <c r="E765" i="14"/>
  <c r="E766" i="14"/>
  <c r="E767" i="14"/>
  <c r="E768" i="14"/>
  <c r="E769" i="14"/>
  <c r="E770" i="14"/>
  <c r="E771" i="14"/>
  <c r="E772" i="14"/>
  <c r="E773" i="14"/>
  <c r="E774" i="14"/>
  <c r="E775" i="14"/>
  <c r="E776" i="14"/>
  <c r="E777" i="14"/>
  <c r="E778" i="14"/>
  <c r="E779" i="14"/>
  <c r="E780" i="14"/>
  <c r="E781" i="14"/>
  <c r="E782" i="14"/>
  <c r="E783" i="14"/>
  <c r="E784" i="14"/>
  <c r="E785" i="14"/>
  <c r="E786" i="14"/>
  <c r="E787" i="14"/>
  <c r="E788" i="14"/>
  <c r="E789" i="14"/>
  <c r="E790" i="14"/>
  <c r="E791" i="14"/>
  <c r="E792" i="14"/>
  <c r="E793" i="14"/>
  <c r="E794" i="14"/>
  <c r="E795" i="14"/>
  <c r="E796" i="14"/>
  <c r="E797" i="14"/>
  <c r="E798" i="14"/>
  <c r="E799" i="14"/>
  <c r="E800" i="14"/>
  <c r="E801" i="14"/>
  <c r="E802" i="14"/>
  <c r="E803" i="14"/>
  <c r="E804" i="14"/>
  <c r="E805" i="14"/>
  <c r="E806" i="14"/>
  <c r="E807" i="14"/>
  <c r="E808" i="14"/>
  <c r="E809" i="14"/>
  <c r="E810" i="14"/>
  <c r="E811" i="14"/>
  <c r="E812" i="14"/>
  <c r="E813" i="14"/>
  <c r="E814" i="14"/>
  <c r="E815" i="14"/>
  <c r="E816" i="14"/>
  <c r="E817" i="14"/>
  <c r="E818" i="14"/>
  <c r="E819" i="14"/>
  <c r="E820" i="14"/>
  <c r="E821" i="14"/>
  <c r="E822" i="14"/>
  <c r="E823" i="14"/>
  <c r="E824" i="14"/>
  <c r="E825" i="14"/>
  <c r="E826" i="14"/>
  <c r="E827" i="14"/>
  <c r="E828" i="14"/>
  <c r="E829" i="14"/>
  <c r="E830" i="14"/>
  <c r="E831" i="14"/>
  <c r="E832" i="14"/>
  <c r="E833" i="14"/>
  <c r="E834" i="14"/>
  <c r="E835" i="14"/>
  <c r="E836" i="14"/>
  <c r="E837" i="14"/>
  <c r="E838" i="14"/>
  <c r="E839" i="14"/>
  <c r="E840" i="14"/>
  <c r="E841" i="14"/>
  <c r="E842" i="14"/>
  <c r="E843" i="14"/>
  <c r="E844" i="14"/>
  <c r="E845" i="14"/>
  <c r="E846" i="14"/>
  <c r="E847" i="14"/>
  <c r="E848" i="14"/>
  <c r="E849" i="14"/>
  <c r="E850" i="14"/>
  <c r="E851" i="14"/>
  <c r="E852" i="14"/>
  <c r="E853" i="14"/>
  <c r="E854" i="14"/>
  <c r="E855" i="14"/>
  <c r="E856" i="14"/>
  <c r="E857" i="14"/>
  <c r="E858" i="14"/>
  <c r="E859" i="14"/>
  <c r="E860" i="14"/>
  <c r="E861" i="14"/>
  <c r="E862" i="14"/>
  <c r="E863" i="14"/>
  <c r="E864" i="14"/>
  <c r="E865" i="14"/>
  <c r="E866" i="14"/>
  <c r="E867" i="14"/>
  <c r="E868" i="14"/>
  <c r="E869" i="14"/>
  <c r="E870" i="14"/>
  <c r="E871" i="14"/>
  <c r="E872" i="14"/>
  <c r="E873" i="14"/>
  <c r="E874" i="14"/>
  <c r="E875" i="14"/>
  <c r="E876" i="14"/>
  <c r="E877" i="14"/>
  <c r="E878" i="14"/>
  <c r="E879" i="14"/>
  <c r="E880" i="14"/>
  <c r="E881" i="14"/>
  <c r="E882" i="14"/>
  <c r="E883" i="14"/>
  <c r="E884" i="14"/>
  <c r="E885" i="14"/>
  <c r="E886" i="14"/>
  <c r="E887" i="14"/>
  <c r="E888" i="14"/>
  <c r="E889" i="14"/>
  <c r="E890" i="14"/>
  <c r="E891" i="14"/>
  <c r="E892" i="14"/>
  <c r="E893" i="14"/>
  <c r="E894" i="14"/>
  <c r="E895" i="14"/>
  <c r="E896" i="14"/>
  <c r="E897" i="14"/>
  <c r="E898" i="14"/>
  <c r="E899" i="14"/>
  <c r="E900" i="14"/>
  <c r="E901" i="14"/>
  <c r="E902" i="14"/>
  <c r="E903" i="14"/>
  <c r="E904" i="14"/>
  <c r="E905" i="14"/>
  <c r="E906" i="14"/>
  <c r="E907" i="14"/>
  <c r="E908" i="14"/>
  <c r="E909" i="14"/>
  <c r="E910" i="14"/>
  <c r="E911" i="14"/>
  <c r="E912" i="14"/>
  <c r="E913" i="14"/>
  <c r="E914" i="14"/>
  <c r="E915" i="14"/>
  <c r="E916" i="14"/>
  <c r="E917" i="14"/>
  <c r="E918" i="14"/>
  <c r="E919" i="14"/>
  <c r="E920" i="14"/>
  <c r="E921" i="14"/>
  <c r="E922" i="14"/>
  <c r="E923" i="14"/>
  <c r="E924" i="14"/>
  <c r="E925" i="14"/>
  <c r="E926" i="14"/>
  <c r="E927" i="14"/>
  <c r="E928" i="14"/>
  <c r="E929" i="14"/>
  <c r="E930" i="14"/>
  <c r="E931" i="14"/>
  <c r="E932" i="14"/>
  <c r="E933" i="14"/>
  <c r="E934" i="14"/>
  <c r="E935" i="14"/>
  <c r="E936" i="14"/>
  <c r="E937" i="14"/>
  <c r="E938" i="14"/>
  <c r="E939" i="14"/>
  <c r="E940" i="14"/>
  <c r="E941" i="14"/>
  <c r="E942" i="14"/>
  <c r="E943" i="14"/>
  <c r="E944" i="14"/>
  <c r="E945" i="14"/>
  <c r="E946" i="14"/>
  <c r="E947" i="14"/>
  <c r="E948" i="14"/>
  <c r="E949" i="14"/>
  <c r="E950" i="14"/>
  <c r="E951" i="14"/>
  <c r="E952" i="14"/>
  <c r="E953" i="14"/>
  <c r="E954" i="14"/>
  <c r="E955" i="14"/>
  <c r="E956" i="14"/>
  <c r="E957" i="14"/>
  <c r="E958" i="14"/>
  <c r="E959" i="14"/>
  <c r="E960" i="14"/>
  <c r="E961" i="14"/>
  <c r="E962" i="14"/>
  <c r="E963" i="14"/>
  <c r="E964" i="14"/>
  <c r="E965" i="14"/>
  <c r="E966" i="14"/>
  <c r="E967" i="14"/>
  <c r="E968" i="14"/>
  <c r="E969" i="14"/>
  <c r="E970" i="14"/>
  <c r="E971" i="14"/>
  <c r="E972" i="14"/>
  <c r="E973" i="14"/>
  <c r="E974" i="14"/>
  <c r="E975" i="14"/>
  <c r="E976" i="14"/>
  <c r="E977" i="14"/>
  <c r="E978" i="14"/>
  <c r="E979" i="14"/>
  <c r="E980" i="14"/>
  <c r="E981" i="14"/>
  <c r="E982" i="14"/>
  <c r="E983" i="14"/>
  <c r="E984" i="14"/>
  <c r="E985" i="14"/>
  <c r="E986" i="14"/>
  <c r="E987" i="14"/>
  <c r="E988" i="14"/>
  <c r="E989" i="14"/>
  <c r="E990" i="14"/>
  <c r="E991" i="14"/>
  <c r="E992" i="14"/>
  <c r="E993" i="14"/>
  <c r="E994" i="14"/>
  <c r="E995" i="14"/>
  <c r="E996" i="14"/>
  <c r="E997" i="14"/>
  <c r="E998" i="14"/>
  <c r="E999" i="14"/>
  <c r="E1000" i="14"/>
  <c r="E1001" i="14"/>
  <c r="E1002" i="14"/>
  <c r="E1003" i="14"/>
  <c r="E1004" i="14"/>
  <c r="E1005" i="14"/>
  <c r="E1006" i="14"/>
  <c r="E1007" i="14"/>
  <c r="E1008" i="14"/>
  <c r="E1009" i="14"/>
  <c r="E1010" i="14"/>
  <c r="E1011" i="14"/>
  <c r="E1012" i="14"/>
  <c r="E1013" i="14"/>
  <c r="E1014" i="14"/>
  <c r="E1015" i="14"/>
  <c r="E1016" i="14"/>
  <c r="E1017" i="14"/>
  <c r="E1018" i="14"/>
  <c r="E1019" i="14"/>
  <c r="E1020" i="14"/>
  <c r="E1021" i="14"/>
  <c r="E1022" i="14"/>
  <c r="E1023" i="14"/>
  <c r="E1024" i="14"/>
  <c r="E1025" i="14"/>
  <c r="E1026" i="14"/>
  <c r="E1027" i="14"/>
  <c r="E1028" i="14"/>
  <c r="E1029" i="14"/>
  <c r="E1030" i="14"/>
  <c r="E1031" i="14"/>
  <c r="E1032" i="14"/>
  <c r="E1033" i="14"/>
  <c r="E1034" i="14"/>
  <c r="E1035" i="14"/>
  <c r="E1036" i="14"/>
  <c r="E1037" i="14"/>
  <c r="E1038" i="14"/>
  <c r="E1039" i="14"/>
  <c r="E1040" i="14"/>
  <c r="E1041" i="14"/>
  <c r="E1042" i="14"/>
  <c r="E1043" i="14"/>
  <c r="E1044" i="14"/>
  <c r="E1045" i="14"/>
  <c r="E1046" i="14"/>
  <c r="E1047" i="14"/>
  <c r="E1048" i="14"/>
  <c r="E1049" i="14"/>
  <c r="E1050" i="14"/>
  <c r="E1051" i="14"/>
  <c r="E1052" i="14"/>
  <c r="E1053" i="14"/>
  <c r="E1054" i="14"/>
  <c r="E1055" i="14"/>
  <c r="E1056" i="14"/>
  <c r="E1057" i="14"/>
  <c r="E1058" i="14"/>
  <c r="E1059" i="14"/>
  <c r="E1060" i="14"/>
  <c r="E1061" i="14"/>
  <c r="E1062" i="14"/>
  <c r="E1063" i="14"/>
  <c r="E1064" i="14"/>
  <c r="E1065" i="14"/>
  <c r="E1066" i="14"/>
  <c r="E1067" i="14"/>
  <c r="E1068" i="14"/>
  <c r="E1069" i="14"/>
  <c r="E1070" i="14"/>
  <c r="E1071" i="14"/>
  <c r="E1072" i="14"/>
  <c r="E1073" i="14"/>
  <c r="E1074" i="14"/>
  <c r="E1075" i="14"/>
  <c r="E1076" i="14"/>
  <c r="E1077" i="14"/>
  <c r="E1078" i="14"/>
  <c r="E1079" i="14"/>
  <c r="E1080" i="14"/>
  <c r="E1081" i="14"/>
  <c r="E1082" i="14"/>
  <c r="E1083" i="14"/>
  <c r="E1084" i="14"/>
  <c r="E1085" i="14"/>
  <c r="E1086" i="14"/>
  <c r="E1087" i="14"/>
  <c r="E1088" i="14"/>
  <c r="E1089" i="14"/>
  <c r="E1090" i="14"/>
  <c r="E1091" i="14"/>
  <c r="E1092" i="14"/>
  <c r="E1093" i="14"/>
  <c r="E1094" i="14"/>
  <c r="E1095" i="14"/>
  <c r="E1096" i="14"/>
  <c r="E1097" i="14"/>
  <c r="E1098" i="14"/>
  <c r="E1099" i="14"/>
  <c r="E1100" i="14"/>
  <c r="E1101" i="14"/>
  <c r="E1102" i="14"/>
  <c r="E1103" i="14"/>
  <c r="E1104" i="14"/>
  <c r="E1105" i="14"/>
  <c r="E1106" i="14"/>
  <c r="E1107" i="14"/>
  <c r="E1108" i="14"/>
  <c r="E1109" i="14"/>
  <c r="E1110" i="14"/>
  <c r="E1111" i="14"/>
  <c r="E1112" i="14"/>
  <c r="E1113" i="14"/>
  <c r="E1114" i="14"/>
  <c r="E1115" i="14"/>
  <c r="E1116" i="14"/>
  <c r="E1117" i="14"/>
  <c r="E1118" i="14"/>
  <c r="E1119" i="14"/>
  <c r="E1120" i="14"/>
  <c r="E1121" i="14"/>
  <c r="E1122" i="14"/>
  <c r="E1123" i="14"/>
  <c r="E1124" i="14"/>
  <c r="E1125" i="14"/>
  <c r="E1126" i="14"/>
  <c r="E1127" i="14"/>
  <c r="E1128" i="14"/>
  <c r="E1129" i="14"/>
  <c r="E1130" i="14"/>
  <c r="E1131" i="14"/>
  <c r="E1132" i="14"/>
  <c r="E1133" i="14"/>
  <c r="E1134" i="14"/>
  <c r="E1135" i="14"/>
  <c r="E1136" i="14"/>
  <c r="E1137" i="14"/>
  <c r="E1138" i="14"/>
  <c r="E1139" i="14"/>
  <c r="E1140" i="14"/>
  <c r="E1141" i="14"/>
  <c r="E1142" i="14"/>
  <c r="E1143" i="14"/>
  <c r="E1144" i="14"/>
  <c r="E1145" i="14"/>
  <c r="E1146" i="14"/>
  <c r="E1147" i="14"/>
  <c r="E1148" i="14"/>
  <c r="E1149" i="14"/>
  <c r="E1150" i="14"/>
  <c r="E1151" i="14"/>
  <c r="E1152" i="14"/>
  <c r="E1153" i="14"/>
  <c r="E1154" i="14"/>
  <c r="E1155" i="14"/>
  <c r="E1156" i="14"/>
  <c r="E1157" i="14"/>
  <c r="E1158" i="14"/>
  <c r="E1159" i="14"/>
  <c r="E1160" i="14"/>
  <c r="E1161" i="14"/>
  <c r="E1162" i="14"/>
  <c r="E1163" i="14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2" i="14"/>
  <c r="F773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6" i="14"/>
  <c r="F797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0" i="14"/>
  <c r="F821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4" i="14"/>
  <c r="F845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68" i="14"/>
  <c r="F869" i="14"/>
  <c r="F870" i="14"/>
  <c r="F871" i="14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2" i="14"/>
  <c r="F893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6" i="14"/>
  <c r="F917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0" i="14"/>
  <c r="F941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4" i="14"/>
  <c r="F965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88" i="14"/>
  <c r="F989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2" i="14"/>
  <c r="F1013" i="14"/>
  <c r="F1014" i="14"/>
  <c r="F1015" i="14"/>
  <c r="F1016" i="14"/>
  <c r="F1017" i="14"/>
  <c r="F1018" i="14"/>
  <c r="F1019" i="14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6" i="14"/>
  <c r="F1037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0" i="14"/>
  <c r="F1061" i="14"/>
  <c r="F1062" i="14"/>
  <c r="F1063" i="14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4" i="14"/>
  <c r="F1085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08" i="14"/>
  <c r="F1109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2" i="14"/>
  <c r="F1133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6" i="14"/>
  <c r="F1157" i="14"/>
  <c r="F1158" i="14"/>
  <c r="F1159" i="14"/>
  <c r="F1160" i="14"/>
  <c r="F1161" i="14"/>
  <c r="F1162" i="14"/>
  <c r="F1163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N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N501" i="8"/>
  <c r="N502" i="8"/>
  <c r="N503" i="8"/>
  <c r="N504" i="8"/>
  <c r="N505" i="8"/>
  <c r="N506" i="8"/>
  <c r="N507" i="8"/>
  <c r="N508" i="8"/>
  <c r="N509" i="8"/>
  <c r="N510" i="8"/>
  <c r="N511" i="8"/>
  <c r="N512" i="8"/>
  <c r="N513" i="8"/>
  <c r="N514" i="8"/>
  <c r="N515" i="8"/>
  <c r="N516" i="8"/>
  <c r="N517" i="8"/>
  <c r="N518" i="8"/>
  <c r="N519" i="8"/>
  <c r="N520" i="8"/>
  <c r="N521" i="8"/>
  <c r="N522" i="8"/>
  <c r="N523" i="8"/>
  <c r="N524" i="8"/>
  <c r="N525" i="8"/>
  <c r="N526" i="8"/>
  <c r="N527" i="8"/>
  <c r="N528" i="8"/>
  <c r="N529" i="8"/>
  <c r="N530" i="8"/>
  <c r="N531" i="8"/>
  <c r="N532" i="8"/>
  <c r="N533" i="8"/>
  <c r="N534" i="8"/>
  <c r="N535" i="8"/>
  <c r="N536" i="8"/>
  <c r="N537" i="8"/>
  <c r="N538" i="8"/>
  <c r="N539" i="8"/>
  <c r="N540" i="8"/>
  <c r="N541" i="8"/>
  <c r="N542" i="8"/>
  <c r="N543" i="8"/>
  <c r="N544" i="8"/>
  <c r="N545" i="8"/>
  <c r="N546" i="8"/>
  <c r="N547" i="8"/>
  <c r="N548" i="8"/>
  <c r="N549" i="8"/>
  <c r="N550" i="8"/>
  <c r="N551" i="8"/>
  <c r="N552" i="8"/>
  <c r="N553" i="8"/>
  <c r="N554" i="8"/>
  <c r="N555" i="8"/>
  <c r="N556" i="8"/>
  <c r="N557" i="8"/>
  <c r="N558" i="8"/>
  <c r="N559" i="8"/>
  <c r="N560" i="8"/>
  <c r="N561" i="8"/>
  <c r="N562" i="8"/>
  <c r="N563" i="8"/>
  <c r="N564" i="8"/>
  <c r="N565" i="8"/>
  <c r="N566" i="8"/>
  <c r="N567" i="8"/>
  <c r="N568" i="8"/>
  <c r="N569" i="8"/>
  <c r="N570" i="8"/>
  <c r="N571" i="8"/>
  <c r="N572" i="8"/>
  <c r="N573" i="8"/>
  <c r="N574" i="8"/>
  <c r="N575" i="8"/>
  <c r="N576" i="8"/>
  <c r="N577" i="8"/>
  <c r="N578" i="8"/>
  <c r="N579" i="8"/>
  <c r="N580" i="8"/>
  <c r="N581" i="8"/>
  <c r="N582" i="8"/>
  <c r="N583" i="8"/>
  <c r="N584" i="8"/>
  <c r="N585" i="8"/>
  <c r="N586" i="8"/>
  <c r="N587" i="8"/>
  <c r="N588" i="8"/>
  <c r="N589" i="8"/>
  <c r="N590" i="8"/>
  <c r="N591" i="8"/>
  <c r="N592" i="8"/>
  <c r="N593" i="8"/>
  <c r="N594" i="8"/>
  <c r="N595" i="8"/>
  <c r="N596" i="8"/>
  <c r="N597" i="8"/>
  <c r="N598" i="8"/>
  <c r="N599" i="8"/>
  <c r="N600" i="8"/>
  <c r="N601" i="8"/>
  <c r="N602" i="8"/>
  <c r="N603" i="8"/>
  <c r="N604" i="8"/>
  <c r="N605" i="8"/>
  <c r="N606" i="8"/>
  <c r="N607" i="8"/>
  <c r="N608" i="8"/>
  <c r="N609" i="8"/>
  <c r="N610" i="8"/>
  <c r="N611" i="8"/>
  <c r="N612" i="8"/>
  <c r="N613" i="8"/>
  <c r="N614" i="8"/>
  <c r="N615" i="8"/>
  <c r="N616" i="8"/>
  <c r="N617" i="8"/>
  <c r="N618" i="8"/>
  <c r="N619" i="8"/>
  <c r="N620" i="8"/>
  <c r="N621" i="8"/>
  <c r="N622" i="8"/>
  <c r="N623" i="8"/>
  <c r="N624" i="8"/>
  <c r="N625" i="8"/>
  <c r="N626" i="8"/>
  <c r="N627" i="8"/>
  <c r="N628" i="8"/>
  <c r="N629" i="8"/>
  <c r="N630" i="8"/>
  <c r="N631" i="8"/>
  <c r="N632" i="8"/>
  <c r="N633" i="8"/>
  <c r="N634" i="8"/>
  <c r="N635" i="8"/>
  <c r="N636" i="8"/>
  <c r="N637" i="8"/>
  <c r="N638" i="8"/>
  <c r="N639" i="8"/>
  <c r="N640" i="8"/>
  <c r="N641" i="8"/>
  <c r="N642" i="8"/>
  <c r="N643" i="8"/>
  <c r="N644" i="8"/>
  <c r="N645" i="8"/>
  <c r="N646" i="8"/>
  <c r="N647" i="8"/>
  <c r="N648" i="8"/>
  <c r="N649" i="8"/>
  <c r="N650" i="8"/>
  <c r="N651" i="8"/>
  <c r="N652" i="8"/>
  <c r="N653" i="8"/>
  <c r="N654" i="8"/>
  <c r="N655" i="8"/>
  <c r="N656" i="8"/>
  <c r="N657" i="8"/>
  <c r="N658" i="8"/>
  <c r="N659" i="8"/>
  <c r="N660" i="8"/>
  <c r="N661" i="8"/>
  <c r="N662" i="8"/>
  <c r="N663" i="8"/>
  <c r="N664" i="8"/>
  <c r="N665" i="8"/>
  <c r="N666" i="8"/>
  <c r="N667" i="8"/>
  <c r="N668" i="8"/>
  <c r="N669" i="8"/>
  <c r="N670" i="8"/>
  <c r="N671" i="8"/>
  <c r="N672" i="8"/>
  <c r="N673" i="8"/>
  <c r="N674" i="8"/>
  <c r="N675" i="8"/>
  <c r="N676" i="8"/>
  <c r="N677" i="8"/>
  <c r="N678" i="8"/>
  <c r="N679" i="8"/>
  <c r="N680" i="8"/>
  <c r="N681" i="8"/>
  <c r="N682" i="8"/>
  <c r="N683" i="8"/>
  <c r="N684" i="8"/>
  <c r="N685" i="8"/>
  <c r="N686" i="8"/>
  <c r="N687" i="8"/>
  <c r="N688" i="8"/>
  <c r="N689" i="8"/>
  <c r="N690" i="8"/>
  <c r="N691" i="8"/>
  <c r="N692" i="8"/>
  <c r="N693" i="8"/>
  <c r="N694" i="8"/>
  <c r="N695" i="8"/>
  <c r="N696" i="8"/>
  <c r="N697" i="8"/>
  <c r="N698" i="8"/>
  <c r="N699" i="8"/>
  <c r="N700" i="8"/>
  <c r="N701" i="8"/>
  <c r="N702" i="8"/>
  <c r="N703" i="8"/>
  <c r="N704" i="8"/>
  <c r="N705" i="8"/>
  <c r="N706" i="8"/>
  <c r="N707" i="8"/>
  <c r="N708" i="8"/>
  <c r="N709" i="8"/>
  <c r="N710" i="8"/>
  <c r="N711" i="8"/>
  <c r="N712" i="8"/>
  <c r="N713" i="8"/>
  <c r="N714" i="8"/>
  <c r="N715" i="8"/>
  <c r="N716" i="8"/>
  <c r="N717" i="8"/>
  <c r="N718" i="8"/>
  <c r="N719" i="8"/>
  <c r="N720" i="8"/>
  <c r="N721" i="8"/>
  <c r="N722" i="8"/>
  <c r="N723" i="8"/>
  <c r="N724" i="8"/>
  <c r="N725" i="8"/>
  <c r="N726" i="8"/>
  <c r="N727" i="8"/>
  <c r="N728" i="8"/>
  <c r="N729" i="8"/>
  <c r="N730" i="8"/>
  <c r="N731" i="8"/>
  <c r="N732" i="8"/>
  <c r="N733" i="8"/>
  <c r="N734" i="8"/>
  <c r="N735" i="8"/>
  <c r="N736" i="8"/>
  <c r="N737" i="8"/>
  <c r="N738" i="8"/>
  <c r="N739" i="8"/>
  <c r="N740" i="8"/>
  <c r="N741" i="8"/>
  <c r="N742" i="8"/>
  <c r="N743" i="8"/>
  <c r="N744" i="8"/>
  <c r="N745" i="8"/>
  <c r="N746" i="8"/>
  <c r="N747" i="8"/>
  <c r="N748" i="8"/>
  <c r="N749" i="8"/>
  <c r="N750" i="8"/>
  <c r="N751" i="8"/>
  <c r="N752" i="8"/>
  <c r="N753" i="8"/>
  <c r="N754" i="8"/>
  <c r="N755" i="8"/>
  <c r="N756" i="8"/>
  <c r="N757" i="8"/>
  <c r="N758" i="8"/>
  <c r="N759" i="8"/>
  <c r="N760" i="8"/>
  <c r="N761" i="8"/>
  <c r="N762" i="8"/>
  <c r="N763" i="8"/>
  <c r="N764" i="8"/>
  <c r="N765" i="8"/>
  <c r="N766" i="8"/>
  <c r="N767" i="8"/>
  <c r="N768" i="8"/>
  <c r="N769" i="8"/>
  <c r="N770" i="8"/>
  <c r="N771" i="8"/>
  <c r="N772" i="8"/>
  <c r="N773" i="8"/>
  <c r="N774" i="8"/>
  <c r="N775" i="8"/>
  <c r="N776" i="8"/>
  <c r="N777" i="8"/>
  <c r="N778" i="8"/>
  <c r="N779" i="8"/>
  <c r="N780" i="8"/>
  <c r="N781" i="8"/>
  <c r="N782" i="8"/>
  <c r="N783" i="8"/>
  <c r="N784" i="8"/>
  <c r="N785" i="8"/>
  <c r="N786" i="8"/>
  <c r="N787" i="8"/>
  <c r="N788" i="8"/>
  <c r="N789" i="8"/>
  <c r="N790" i="8"/>
  <c r="N791" i="8"/>
  <c r="N792" i="8"/>
  <c r="N793" i="8"/>
  <c r="N794" i="8"/>
  <c r="N795" i="8"/>
  <c r="N796" i="8"/>
  <c r="N797" i="8"/>
  <c r="N798" i="8"/>
  <c r="N799" i="8"/>
  <c r="N800" i="8"/>
  <c r="N801" i="8"/>
  <c r="N802" i="8"/>
  <c r="N803" i="8"/>
  <c r="N804" i="8"/>
  <c r="N805" i="8"/>
  <c r="N806" i="8"/>
  <c r="N807" i="8"/>
  <c r="N808" i="8"/>
  <c r="N809" i="8"/>
  <c r="N810" i="8"/>
  <c r="N811" i="8"/>
  <c r="N812" i="8"/>
  <c r="N813" i="8"/>
  <c r="N814" i="8"/>
  <c r="N815" i="8"/>
  <c r="N816" i="8"/>
  <c r="N817" i="8"/>
  <c r="N818" i="8"/>
  <c r="N819" i="8"/>
  <c r="N820" i="8"/>
  <c r="N821" i="8"/>
  <c r="N822" i="8"/>
  <c r="N823" i="8"/>
  <c r="N824" i="8"/>
  <c r="N825" i="8"/>
  <c r="N826" i="8"/>
  <c r="N827" i="8"/>
  <c r="N828" i="8"/>
  <c r="N829" i="8"/>
  <c r="N830" i="8"/>
  <c r="N831" i="8"/>
  <c r="N832" i="8"/>
  <c r="N833" i="8"/>
  <c r="N834" i="8"/>
  <c r="N835" i="8"/>
  <c r="N836" i="8"/>
  <c r="N837" i="8"/>
  <c r="N838" i="8"/>
  <c r="N839" i="8"/>
  <c r="N840" i="8"/>
  <c r="N841" i="8"/>
  <c r="N842" i="8"/>
  <c r="N843" i="8"/>
  <c r="N844" i="8"/>
  <c r="N845" i="8"/>
  <c r="N846" i="8"/>
  <c r="N847" i="8"/>
  <c r="N848" i="8"/>
  <c r="N849" i="8"/>
  <c r="N850" i="8"/>
  <c r="N851" i="8"/>
  <c r="N852" i="8"/>
  <c r="N853" i="8"/>
  <c r="N854" i="8"/>
  <c r="N855" i="8"/>
  <c r="N856" i="8"/>
  <c r="N857" i="8"/>
  <c r="N858" i="8"/>
  <c r="N859" i="8"/>
  <c r="N860" i="8"/>
  <c r="N861" i="8"/>
  <c r="N862" i="8"/>
  <c r="N863" i="8"/>
  <c r="N864" i="8"/>
  <c r="N865" i="8"/>
  <c r="N866" i="8"/>
  <c r="N867" i="8"/>
  <c r="N868" i="8"/>
  <c r="N869" i="8"/>
  <c r="N870" i="8"/>
  <c r="N871" i="8"/>
  <c r="N872" i="8"/>
  <c r="N873" i="8"/>
  <c r="N874" i="8"/>
  <c r="N875" i="8"/>
  <c r="N876" i="8"/>
  <c r="N877" i="8"/>
  <c r="N878" i="8"/>
  <c r="N879" i="8"/>
  <c r="N880" i="8"/>
  <c r="N881" i="8"/>
  <c r="N882" i="8"/>
  <c r="N883" i="8"/>
  <c r="N884" i="8"/>
  <c r="N885" i="8"/>
  <c r="N886" i="8"/>
  <c r="N887" i="8"/>
  <c r="N888" i="8"/>
  <c r="N889" i="8"/>
  <c r="N890" i="8"/>
  <c r="N891" i="8"/>
  <c r="N892" i="8"/>
  <c r="N893" i="8"/>
  <c r="N894" i="8"/>
  <c r="N895" i="8"/>
  <c r="N896" i="8"/>
  <c r="N897" i="8"/>
  <c r="N898" i="8"/>
  <c r="N899" i="8"/>
  <c r="N900" i="8"/>
  <c r="N901" i="8"/>
  <c r="N902" i="8"/>
  <c r="N903" i="8"/>
  <c r="N904" i="8"/>
  <c r="N905" i="8"/>
  <c r="N906" i="8"/>
  <c r="N907" i="8"/>
  <c r="N908" i="8"/>
  <c r="N909" i="8"/>
  <c r="N910" i="8"/>
  <c r="N911" i="8"/>
  <c r="N912" i="8"/>
  <c r="N913" i="8"/>
  <c r="N914" i="8"/>
  <c r="N915" i="8"/>
  <c r="N916" i="8"/>
  <c r="N917" i="8"/>
  <c r="N918" i="8"/>
  <c r="N919" i="8"/>
  <c r="N920" i="8"/>
  <c r="N921" i="8"/>
  <c r="N922" i="8"/>
  <c r="N923" i="8"/>
  <c r="N924" i="8"/>
  <c r="N925" i="8"/>
  <c r="N926" i="8"/>
  <c r="N927" i="8"/>
  <c r="N928" i="8"/>
  <c r="N929" i="8"/>
  <c r="N930" i="8"/>
  <c r="N931" i="8"/>
  <c r="N932" i="8"/>
  <c r="N933" i="8"/>
  <c r="N934" i="8"/>
  <c r="N935" i="8"/>
  <c r="N936" i="8"/>
  <c r="N937" i="8"/>
  <c r="N938" i="8"/>
  <c r="N939" i="8"/>
  <c r="N940" i="8"/>
  <c r="N941" i="8"/>
  <c r="N942" i="8"/>
  <c r="N943" i="8"/>
  <c r="N944" i="8"/>
  <c r="N945" i="8"/>
  <c r="N946" i="8"/>
  <c r="N947" i="8"/>
  <c r="N948" i="8"/>
  <c r="N949" i="8"/>
  <c r="N950" i="8"/>
  <c r="N951" i="8"/>
  <c r="N952" i="8"/>
  <c r="N953" i="8"/>
  <c r="N954" i="8"/>
  <c r="N955" i="8"/>
  <c r="N956" i="8"/>
  <c r="N957" i="8"/>
  <c r="N958" i="8"/>
  <c r="N959" i="8"/>
  <c r="N960" i="8"/>
  <c r="N961" i="8"/>
  <c r="N962" i="8"/>
  <c r="N963" i="8"/>
  <c r="N964" i="8"/>
  <c r="N965" i="8"/>
  <c r="N966" i="8"/>
  <c r="N967" i="8"/>
  <c r="N968" i="8"/>
  <c r="N969" i="8"/>
  <c r="N970" i="8"/>
  <c r="N971" i="8"/>
  <c r="N972" i="8"/>
  <c r="N973" i="8"/>
  <c r="N974" i="8"/>
  <c r="N975" i="8"/>
  <c r="N976" i="8"/>
  <c r="N977" i="8"/>
  <c r="N978" i="8"/>
  <c r="N979" i="8"/>
  <c r="N980" i="8"/>
  <c r="N981" i="8"/>
  <c r="N982" i="8"/>
  <c r="N983" i="8"/>
  <c r="N984" i="8"/>
  <c r="N985" i="8"/>
  <c r="N986" i="8"/>
  <c r="N987" i="8"/>
  <c r="N988" i="8"/>
  <c r="N989" i="8"/>
  <c r="N990" i="8"/>
  <c r="N991" i="8"/>
  <c r="N992" i="8"/>
  <c r="N993" i="8"/>
  <c r="N994" i="8"/>
  <c r="N995" i="8"/>
  <c r="N996" i="8"/>
  <c r="N997" i="8"/>
  <c r="N998" i="8"/>
  <c r="N999" i="8"/>
  <c r="N1000" i="8"/>
  <c r="N1001" i="8"/>
  <c r="N1002" i="8"/>
  <c r="N1003" i="8"/>
  <c r="N1004" i="8"/>
  <c r="N1005" i="8"/>
  <c r="N1006" i="8"/>
  <c r="N1007" i="8"/>
  <c r="N1008" i="8"/>
  <c r="N1009" i="8"/>
  <c r="N1010" i="8"/>
  <c r="N1011" i="8"/>
  <c r="N1012" i="8"/>
  <c r="N1013" i="8"/>
  <c r="N1014" i="8"/>
  <c r="N1015" i="8"/>
  <c r="N1016" i="8"/>
  <c r="N1017" i="8"/>
  <c r="N1018" i="8"/>
  <c r="N1019" i="8"/>
  <c r="N1020" i="8"/>
  <c r="N1021" i="8"/>
  <c r="N1022" i="8"/>
  <c r="N1023" i="8"/>
  <c r="N1024" i="8"/>
  <c r="N1025" i="8"/>
  <c r="N1026" i="8"/>
  <c r="N1027" i="8"/>
  <c r="N1028" i="8"/>
  <c r="N1029" i="8"/>
  <c r="N1030" i="8"/>
  <c r="N1031" i="8"/>
  <c r="N1032" i="8"/>
  <c r="N1033" i="8"/>
  <c r="N1034" i="8"/>
  <c r="N1035" i="8"/>
  <c r="N1036" i="8"/>
  <c r="N1037" i="8"/>
  <c r="N1038" i="8"/>
  <c r="N1039" i="8"/>
  <c r="N1040" i="8"/>
  <c r="N1041" i="8"/>
  <c r="N1042" i="8"/>
  <c r="N1043" i="8"/>
  <c r="N1044" i="8"/>
  <c r="N1045" i="8"/>
  <c r="N1046" i="8"/>
  <c r="N1047" i="8"/>
  <c r="N1048" i="8"/>
  <c r="N1049" i="8"/>
  <c r="N1050" i="8"/>
  <c r="N1051" i="8"/>
  <c r="N1052" i="8"/>
  <c r="N1053" i="8"/>
  <c r="N1054" i="8"/>
  <c r="N1055" i="8"/>
  <c r="N1056" i="8"/>
  <c r="N1057" i="8"/>
  <c r="N1058" i="8"/>
  <c r="N1059" i="8"/>
  <c r="N1060" i="8"/>
  <c r="N1061" i="8"/>
  <c r="N1062" i="8"/>
  <c r="N1063" i="8"/>
  <c r="N1064" i="8"/>
  <c r="N1065" i="8"/>
  <c r="N1066" i="8"/>
  <c r="N1067" i="8"/>
  <c r="N1068" i="8"/>
  <c r="N1069" i="8"/>
  <c r="N1070" i="8"/>
  <c r="N1071" i="8"/>
  <c r="N1072" i="8"/>
  <c r="N1073" i="8"/>
  <c r="N1074" i="8"/>
  <c r="N1075" i="8"/>
  <c r="N1076" i="8"/>
  <c r="N1077" i="8"/>
  <c r="N1078" i="8"/>
  <c r="N1079" i="8"/>
  <c r="N1080" i="8"/>
  <c r="N1081" i="8"/>
  <c r="N1082" i="8"/>
  <c r="N1083" i="8"/>
  <c r="N1084" i="8"/>
  <c r="N1085" i="8"/>
  <c r="N1086" i="8"/>
  <c r="N1087" i="8"/>
  <c r="N1088" i="8"/>
  <c r="N1089" i="8"/>
  <c r="N1090" i="8"/>
  <c r="N1091" i="8"/>
  <c r="N1092" i="8"/>
  <c r="N1093" i="8"/>
  <c r="N1094" i="8"/>
  <c r="N1095" i="8"/>
  <c r="N1096" i="8"/>
  <c r="N1097" i="8"/>
  <c r="N1098" i="8"/>
  <c r="N1099" i="8"/>
  <c r="N1100" i="8"/>
  <c r="N1101" i="8"/>
  <c r="N1102" i="8"/>
  <c r="N1103" i="8"/>
  <c r="N1104" i="8"/>
  <c r="N1105" i="8"/>
  <c r="N1106" i="8"/>
  <c r="N1107" i="8"/>
  <c r="N1108" i="8"/>
  <c r="N1109" i="8"/>
  <c r="N1110" i="8"/>
  <c r="N1111" i="8"/>
  <c r="N1112" i="8"/>
  <c r="N1113" i="8"/>
  <c r="N1114" i="8"/>
  <c r="N1115" i="8"/>
  <c r="N1116" i="8"/>
  <c r="N1117" i="8"/>
  <c r="N1118" i="8"/>
  <c r="N1119" i="8"/>
  <c r="N1120" i="8"/>
  <c r="N1121" i="8"/>
  <c r="N1122" i="8"/>
  <c r="N1123" i="8"/>
  <c r="N1124" i="8"/>
  <c r="N1125" i="8"/>
  <c r="N1126" i="8"/>
  <c r="N1127" i="8"/>
  <c r="N1128" i="8"/>
  <c r="N1129" i="8"/>
  <c r="N1130" i="8"/>
  <c r="N1131" i="8"/>
  <c r="N1132" i="8"/>
  <c r="N1133" i="8"/>
  <c r="N1134" i="8"/>
  <c r="N1135" i="8"/>
  <c r="N1136" i="8"/>
  <c r="N1137" i="8"/>
  <c r="N1138" i="8"/>
  <c r="N1139" i="8"/>
  <c r="N1140" i="8"/>
  <c r="N1141" i="8"/>
  <c r="N1142" i="8"/>
  <c r="N1143" i="8"/>
  <c r="N1144" i="8"/>
  <c r="N1145" i="8"/>
  <c r="N1146" i="8"/>
  <c r="N1147" i="8"/>
  <c r="N1148" i="8"/>
  <c r="N1149" i="8"/>
  <c r="N1150" i="8"/>
  <c r="N1151" i="8"/>
  <c r="N1152" i="8"/>
  <c r="N1153" i="8"/>
  <c r="N1154" i="8"/>
  <c r="N1155" i="8"/>
  <c r="N1156" i="8"/>
  <c r="N1157" i="8"/>
  <c r="N1158" i="8"/>
  <c r="N1159" i="8"/>
  <c r="N1160" i="8"/>
  <c r="N1161" i="8"/>
  <c r="N1162" i="8"/>
  <c r="N1163" i="8"/>
  <c r="N1164" i="8"/>
  <c r="N1165" i="8"/>
  <c r="N1166" i="8"/>
  <c r="N1167" i="8"/>
  <c r="N1168" i="8"/>
  <c r="N1169" i="8"/>
  <c r="N1170" i="8"/>
  <c r="N1171" i="8"/>
  <c r="N1172" i="8"/>
  <c r="N1173" i="8"/>
  <c r="N1174" i="8"/>
  <c r="N1175" i="8"/>
  <c r="N1176" i="8"/>
  <c r="N1177" i="8"/>
  <c r="N1178" i="8"/>
  <c r="N1179" i="8"/>
  <c r="N1180" i="8"/>
  <c r="N1181" i="8"/>
  <c r="N1182" i="8"/>
  <c r="N1183" i="8"/>
  <c r="N1184" i="8"/>
  <c r="N1185" i="8"/>
  <c r="N1186" i="8"/>
  <c r="N1187" i="8"/>
  <c r="N1188" i="8"/>
  <c r="N1189" i="8"/>
  <c r="N1190" i="8"/>
  <c r="N1191" i="8"/>
  <c r="N1192" i="8"/>
  <c r="N1193" i="8"/>
  <c r="N1194" i="8"/>
  <c r="N1195" i="8"/>
  <c r="N1196" i="8"/>
  <c r="N1197" i="8"/>
  <c r="N1198" i="8"/>
  <c r="N1199" i="8"/>
  <c r="N1200" i="8"/>
  <c r="N1201" i="8"/>
  <c r="N1202" i="8"/>
  <c r="N1203" i="8"/>
  <c r="N1204" i="8"/>
  <c r="N1205" i="8"/>
  <c r="N1206" i="8"/>
  <c r="N1207" i="8"/>
  <c r="N1208" i="8"/>
  <c r="N1209" i="8"/>
  <c r="N1210" i="8"/>
  <c r="N1211" i="8"/>
  <c r="N1212" i="8"/>
  <c r="N1213" i="8"/>
  <c r="N1214" i="8"/>
  <c r="N1215" i="8"/>
  <c r="N1216" i="8"/>
  <c r="N1217" i="8"/>
  <c r="N1218" i="8"/>
  <c r="N1219" i="8"/>
  <c r="N1220" i="8"/>
  <c r="N1221" i="8"/>
  <c r="N1222" i="8"/>
  <c r="N1223" i="8"/>
  <c r="N1224" i="8"/>
  <c r="N1225" i="8"/>
  <c r="N1226" i="8"/>
  <c r="N1227" i="8"/>
  <c r="N1228" i="8"/>
  <c r="N1229" i="8"/>
  <c r="N1230" i="8"/>
  <c r="N1231" i="8"/>
  <c r="N1232" i="8"/>
  <c r="N1233" i="8"/>
  <c r="N1234" i="8"/>
  <c r="N1235" i="8"/>
  <c r="N1236" i="8"/>
  <c r="N1237" i="8"/>
  <c r="N1238" i="8"/>
  <c r="N1239" i="8"/>
  <c r="N1240" i="8"/>
  <c r="N1241" i="8"/>
  <c r="N1242" i="8"/>
  <c r="N1243" i="8"/>
  <c r="N1244" i="8"/>
  <c r="N1245" i="8"/>
  <c r="N1246" i="8"/>
  <c r="N1247" i="8"/>
  <c r="N1248" i="8"/>
  <c r="N1249" i="8"/>
  <c r="N1250" i="8"/>
  <c r="N1251" i="8"/>
  <c r="N1252" i="8"/>
  <c r="N1253" i="8"/>
  <c r="N1254" i="8"/>
  <c r="N1255" i="8"/>
  <c r="N1256" i="8"/>
  <c r="N1257" i="8"/>
  <c r="N1258" i="8"/>
  <c r="N1259" i="8"/>
  <c r="N1260" i="8"/>
  <c r="N1261" i="8"/>
  <c r="N1262" i="8"/>
  <c r="N1263" i="8"/>
  <c r="N1264" i="8"/>
  <c r="N1265" i="8"/>
  <c r="N1266" i="8"/>
  <c r="N1267" i="8"/>
  <c r="N1268" i="8"/>
  <c r="N1269" i="8"/>
  <c r="N1270" i="8"/>
  <c r="N1271" i="8"/>
  <c r="N1272" i="8"/>
  <c r="N1273" i="8"/>
  <c r="N1274" i="8"/>
  <c r="N1275" i="8"/>
  <c r="N1276" i="8"/>
  <c r="N1277" i="8"/>
  <c r="N1278" i="8"/>
  <c r="N1279" i="8"/>
  <c r="N1280" i="8"/>
  <c r="N1281" i="8"/>
  <c r="N1282" i="8"/>
  <c r="N1283" i="8"/>
  <c r="N1284" i="8"/>
  <c r="N1285" i="8"/>
  <c r="N1286" i="8"/>
  <c r="N1287" i="8"/>
  <c r="N1288" i="8"/>
  <c r="N1289" i="8"/>
  <c r="N1290" i="8"/>
  <c r="N1291" i="8"/>
  <c r="N1292" i="8"/>
  <c r="N1293" i="8"/>
  <c r="N1294" i="8"/>
  <c r="N1295" i="8"/>
  <c r="N1296" i="8"/>
  <c r="N1297" i="8"/>
  <c r="N1298" i="8"/>
  <c r="N1299" i="8"/>
  <c r="N1300" i="8"/>
  <c r="N1301" i="8"/>
  <c r="N1302" i="8"/>
  <c r="N1303" i="8"/>
  <c r="N1304" i="8"/>
  <c r="N1305" i="8"/>
  <c r="N1306" i="8"/>
  <c r="N1307" i="8"/>
  <c r="N1308" i="8"/>
  <c r="N1309" i="8"/>
  <c r="N1310" i="8"/>
  <c r="N1311" i="8"/>
  <c r="N1312" i="8"/>
  <c r="N1313" i="8"/>
  <c r="N1314" i="8"/>
  <c r="N1315" i="8"/>
  <c r="N1316" i="8"/>
  <c r="N1317" i="8"/>
  <c r="N1318" i="8"/>
  <c r="N1319" i="8"/>
  <c r="N1320" i="8"/>
  <c r="N1321" i="8"/>
  <c r="N1322" i="8"/>
  <c r="N1323" i="8"/>
  <c r="N1324" i="8"/>
  <c r="N1325" i="8"/>
  <c r="N1326" i="8"/>
  <c r="N1327" i="8"/>
  <c r="N1328" i="8"/>
  <c r="N1329" i="8"/>
  <c r="N1330" i="8"/>
  <c r="N1331" i="8"/>
  <c r="N1332" i="8"/>
  <c r="N1333" i="8"/>
  <c r="N1334" i="8"/>
  <c r="N1335" i="8"/>
  <c r="N1336" i="8"/>
  <c r="N1337" i="8"/>
  <c r="N1338" i="8"/>
  <c r="N1339" i="8"/>
  <c r="N1340" i="8"/>
  <c r="N1341" i="8"/>
  <c r="N1342" i="8"/>
  <c r="N1343" i="8"/>
  <c r="N1344" i="8"/>
  <c r="N1345" i="8"/>
  <c r="N1346" i="8"/>
  <c r="N1347" i="8"/>
  <c r="N1348" i="8"/>
  <c r="N1349" i="8"/>
  <c r="N1350" i="8"/>
  <c r="N1351" i="8"/>
  <c r="N1352" i="8"/>
  <c r="N1353" i="8"/>
  <c r="N1354" i="8"/>
  <c r="N1355" i="8"/>
  <c r="N1356" i="8"/>
  <c r="N1357" i="8"/>
  <c r="N1358" i="8"/>
  <c r="N1359" i="8"/>
  <c r="N1360" i="8"/>
  <c r="N1361" i="8"/>
  <c r="N1362" i="8"/>
  <c r="N1363" i="8"/>
  <c r="N1364" i="8"/>
  <c r="N1365" i="8"/>
  <c r="N1366" i="8"/>
  <c r="N1367" i="8"/>
  <c r="N1368" i="8"/>
  <c r="N1369" i="8"/>
  <c r="N1370" i="8"/>
  <c r="N1371" i="8"/>
  <c r="N1372" i="8"/>
  <c r="N1373" i="8"/>
  <c r="N1374" i="8"/>
  <c r="N1375" i="8"/>
  <c r="N1376" i="8"/>
  <c r="N1377" i="8"/>
  <c r="N1378" i="8"/>
  <c r="N1379" i="8"/>
  <c r="N1380" i="8"/>
  <c r="N1381" i="8"/>
  <c r="N1382" i="8"/>
  <c r="N1383" i="8"/>
  <c r="N1384" i="8"/>
  <c r="N1385" i="8"/>
  <c r="N1386" i="8"/>
  <c r="N1387" i="8"/>
  <c r="N1388" i="8"/>
  <c r="N1389" i="8"/>
  <c r="N1390" i="8"/>
  <c r="N1391" i="8"/>
  <c r="N1392" i="8"/>
  <c r="N1393" i="8"/>
  <c r="N1394" i="8"/>
  <c r="N1395" i="8"/>
  <c r="N1396" i="8"/>
  <c r="N1397" i="8"/>
  <c r="N1398" i="8"/>
  <c r="N1399" i="8"/>
  <c r="N1400" i="8"/>
  <c r="N1401" i="8"/>
  <c r="N1402" i="8"/>
  <c r="N1403" i="8"/>
  <c r="N1404" i="8"/>
  <c r="N1405" i="8"/>
  <c r="N1406" i="8"/>
  <c r="N1407" i="8"/>
  <c r="N1408" i="8"/>
  <c r="N1409" i="8"/>
  <c r="N1410" i="8"/>
  <c r="N1411" i="8"/>
  <c r="N1412" i="8"/>
  <c r="N1413" i="8"/>
  <c r="N1414" i="8"/>
  <c r="N1415" i="8"/>
  <c r="N1416" i="8"/>
  <c r="N1417" i="8"/>
  <c r="N1418" i="8"/>
  <c r="N1419" i="8"/>
  <c r="N1420" i="8"/>
  <c r="N1421" i="8"/>
  <c r="N1422" i="8"/>
  <c r="N1423" i="8"/>
  <c r="N1424" i="8"/>
  <c r="N1425" i="8"/>
  <c r="N1426" i="8"/>
  <c r="N1427" i="8"/>
  <c r="N1428" i="8"/>
  <c r="N1429" i="8"/>
  <c r="N1430" i="8"/>
  <c r="N1431" i="8"/>
  <c r="N1432" i="8"/>
  <c r="N1433" i="8"/>
  <c r="N1434" i="8"/>
  <c r="N1435" i="8"/>
  <c r="N1436" i="8"/>
  <c r="N1437" i="8"/>
  <c r="N1438" i="8"/>
  <c r="N1439" i="8"/>
  <c r="N1440" i="8"/>
  <c r="N1441" i="8"/>
  <c r="N1442" i="8"/>
  <c r="N1443" i="8"/>
  <c r="N1444" i="8"/>
  <c r="N1445" i="8"/>
  <c r="N1446" i="8"/>
  <c r="N1447" i="8"/>
  <c r="N1448" i="8"/>
  <c r="N1449" i="8"/>
  <c r="N1450" i="8"/>
  <c r="N1451" i="8"/>
  <c r="N1452" i="8"/>
  <c r="N1453" i="8"/>
  <c r="N1454" i="8"/>
  <c r="N1455" i="8"/>
  <c r="N1456" i="8"/>
  <c r="N1457" i="8"/>
  <c r="N1458" i="8"/>
  <c r="N1459" i="8"/>
  <c r="N1460" i="8"/>
  <c r="N1461" i="8"/>
  <c r="N1462" i="8"/>
  <c r="N1463" i="8"/>
  <c r="N1464" i="8"/>
  <c r="N1465" i="8"/>
  <c r="N1466" i="8"/>
  <c r="N1467" i="8"/>
  <c r="N1468" i="8"/>
  <c r="N1469" i="8"/>
  <c r="N1470" i="8"/>
  <c r="N1471" i="8"/>
  <c r="N1472" i="8"/>
  <c r="N1473" i="8"/>
  <c r="N1474" i="8"/>
  <c r="N1475" i="8"/>
  <c r="N1476" i="8"/>
  <c r="N1477" i="8"/>
  <c r="N1478" i="8"/>
  <c r="N1479" i="8"/>
  <c r="N1480" i="8"/>
  <c r="N1481" i="8"/>
  <c r="N1482" i="8"/>
  <c r="N1483" i="8"/>
  <c r="N1484" i="8"/>
  <c r="N1485" i="8"/>
  <c r="N1486" i="8"/>
  <c r="N1487" i="8"/>
  <c r="N1488" i="8"/>
  <c r="N1489" i="8"/>
  <c r="N1490" i="8"/>
  <c r="N1491" i="8"/>
  <c r="N1492" i="8"/>
  <c r="N1493" i="8"/>
  <c r="N1494" i="8"/>
  <c r="N1495" i="8"/>
  <c r="N1496" i="8"/>
  <c r="N1497" i="8"/>
  <c r="N1498" i="8"/>
  <c r="N1499" i="8"/>
  <c r="N1500" i="8"/>
  <c r="N1501" i="8"/>
  <c r="N1502" i="8"/>
  <c r="N1503" i="8"/>
  <c r="N1504" i="8"/>
  <c r="N1505" i="8"/>
  <c r="N1506" i="8"/>
  <c r="N1507" i="8"/>
  <c r="N1508" i="8"/>
  <c r="N1509" i="8"/>
  <c r="N1510" i="8"/>
  <c r="N1511" i="8"/>
  <c r="N1512" i="8"/>
  <c r="N1513" i="8"/>
  <c r="N1514" i="8"/>
  <c r="N1515" i="8"/>
  <c r="N1516" i="8"/>
  <c r="N1517" i="8"/>
  <c r="N1518" i="8"/>
  <c r="N1519" i="8"/>
  <c r="N1520" i="8"/>
  <c r="N1521" i="8"/>
  <c r="N1522" i="8"/>
  <c r="N1523" i="8"/>
  <c r="N1524" i="8"/>
  <c r="N1525" i="8"/>
  <c r="N1526" i="8"/>
  <c r="N1527" i="8"/>
  <c r="N1528" i="8"/>
  <c r="N1529" i="8"/>
  <c r="N1530" i="8"/>
  <c r="N1531" i="8"/>
  <c r="N1532" i="8"/>
  <c r="N1533" i="8"/>
  <c r="N1534" i="8"/>
  <c r="N1535" i="8"/>
  <c r="N1536" i="8"/>
  <c r="N1537" i="8"/>
  <c r="N1538" i="8"/>
  <c r="N1539" i="8"/>
  <c r="N1540" i="8"/>
  <c r="N1541" i="8"/>
  <c r="N1542" i="8"/>
  <c r="N1543" i="8"/>
  <c r="N1544" i="8"/>
  <c r="N1545" i="8"/>
  <c r="N1546" i="8"/>
  <c r="N1547" i="8"/>
  <c r="N1548" i="8"/>
  <c r="N1549" i="8"/>
  <c r="N1550" i="8"/>
  <c r="N1551" i="8"/>
  <c r="N1552" i="8"/>
  <c r="N1553" i="8"/>
  <c r="N1554" i="8"/>
  <c r="N1555" i="8"/>
  <c r="N1556" i="8"/>
  <c r="N1557" i="8"/>
  <c r="N1558" i="8"/>
  <c r="N1559" i="8"/>
  <c r="N1560" i="8"/>
  <c r="N1561" i="8"/>
  <c r="N1562" i="8"/>
  <c r="N1563" i="8"/>
  <c r="N1564" i="8"/>
  <c r="N1565" i="8"/>
  <c r="N1566" i="8"/>
  <c r="N1567" i="8"/>
  <c r="N1568" i="8"/>
  <c r="N1569" i="8"/>
  <c r="N1570" i="8"/>
  <c r="N1571" i="8"/>
  <c r="N1572" i="8"/>
  <c r="N1573" i="8"/>
  <c r="N1574" i="8"/>
  <c r="N1575" i="8"/>
  <c r="N1576" i="8"/>
  <c r="N1577" i="8"/>
  <c r="N1578" i="8"/>
  <c r="N1579" i="8"/>
  <c r="N1580" i="8"/>
  <c r="N1581" i="8"/>
  <c r="N1582" i="8"/>
  <c r="N1583" i="8"/>
  <c r="N1584" i="8"/>
  <c r="N1585" i="8"/>
  <c r="N1586" i="8"/>
  <c r="N1587" i="8"/>
  <c r="N1588" i="8"/>
  <c r="N1589" i="8"/>
  <c r="N1590" i="8"/>
  <c r="N1591" i="8"/>
  <c r="N1592" i="8"/>
  <c r="N1593" i="8"/>
  <c r="N1594" i="8"/>
  <c r="N1595" i="8"/>
  <c r="N1596" i="8"/>
  <c r="N1597" i="8"/>
  <c r="N1598" i="8"/>
  <c r="N1599" i="8"/>
  <c r="N1600" i="8"/>
  <c r="N1601" i="8"/>
  <c r="N1602" i="8"/>
  <c r="N1603" i="8"/>
  <c r="N1604" i="8"/>
  <c r="N1605" i="8"/>
  <c r="N1606" i="8"/>
  <c r="N1607" i="8"/>
  <c r="N1608" i="8"/>
  <c r="N1609" i="8"/>
  <c r="N1610" i="8"/>
  <c r="N1611" i="8"/>
  <c r="N1612" i="8"/>
  <c r="N1613" i="8"/>
  <c r="N1614" i="8"/>
  <c r="N1615" i="8"/>
  <c r="N1616" i="8"/>
  <c r="N1617" i="8"/>
  <c r="N1618" i="8"/>
  <c r="N1619" i="8"/>
  <c r="N1620" i="8"/>
  <c r="N1621" i="8"/>
  <c r="N1622" i="8"/>
  <c r="N1623" i="8"/>
  <c r="N1624" i="8"/>
  <c r="N1625" i="8"/>
  <c r="N1626" i="8"/>
  <c r="N1627" i="8"/>
  <c r="N1628" i="8"/>
  <c r="N1629" i="8"/>
  <c r="N1630" i="8"/>
  <c r="N1631" i="8"/>
  <c r="N1632" i="8"/>
  <c r="N1633" i="8"/>
  <c r="N1634" i="8"/>
  <c r="N1635" i="8"/>
  <c r="N1636" i="8"/>
  <c r="N1637" i="8"/>
  <c r="N1638" i="8"/>
  <c r="N1639" i="8"/>
  <c r="N1640" i="8"/>
  <c r="N1641" i="8"/>
  <c r="N1642" i="8"/>
  <c r="N1643" i="8"/>
  <c r="N1644" i="8"/>
  <c r="N1645" i="8"/>
  <c r="N1646" i="8"/>
  <c r="N1647" i="8"/>
  <c r="N1648" i="8"/>
  <c r="N1649" i="8"/>
  <c r="N1650" i="8"/>
  <c r="N1651" i="8"/>
  <c r="N1652" i="8"/>
  <c r="N1653" i="8"/>
  <c r="N1654" i="8"/>
  <c r="N1655" i="8"/>
  <c r="N1656" i="8"/>
  <c r="N1657" i="8"/>
  <c r="N1658" i="8"/>
  <c r="N1659" i="8"/>
  <c r="N1660" i="8"/>
  <c r="N1661" i="8"/>
  <c r="N1662" i="8"/>
  <c r="N1663" i="8"/>
  <c r="N1664" i="8"/>
  <c r="N1665" i="8"/>
  <c r="N1666" i="8"/>
  <c r="N1667" i="8"/>
  <c r="N1668" i="8"/>
  <c r="N1669" i="8"/>
  <c r="N1670" i="8"/>
  <c r="N1671" i="8"/>
  <c r="N1672" i="8"/>
  <c r="N1673" i="8"/>
  <c r="N1674" i="8"/>
  <c r="N1675" i="8"/>
  <c r="N1676" i="8"/>
  <c r="N1677" i="8"/>
  <c r="N1678" i="8"/>
  <c r="N1679" i="8"/>
  <c r="N1680" i="8"/>
  <c r="N1681" i="8"/>
  <c r="N1682" i="8"/>
  <c r="N1683" i="8"/>
  <c r="N1684" i="8"/>
  <c r="N1685" i="8"/>
  <c r="N1686" i="8"/>
  <c r="N1687" i="8"/>
  <c r="N1688" i="8"/>
  <c r="N1689" i="8"/>
  <c r="N1690" i="8"/>
  <c r="N1691" i="8"/>
  <c r="N1692" i="8"/>
  <c r="N1693" i="8"/>
  <c r="N1694" i="8"/>
  <c r="N1695" i="8"/>
  <c r="N1696" i="8"/>
  <c r="N1697" i="8"/>
  <c r="N1698" i="8"/>
  <c r="N1699" i="8"/>
  <c r="N1700" i="8"/>
  <c r="N1701" i="8"/>
  <c r="N1702" i="8"/>
  <c r="N1703" i="8"/>
  <c r="N1704" i="8"/>
  <c r="N1705" i="8"/>
  <c r="N1706" i="8"/>
  <c r="N1707" i="8"/>
  <c r="N1708" i="8"/>
  <c r="N1709" i="8"/>
  <c r="N1710" i="8"/>
  <c r="N1711" i="8"/>
  <c r="N1712" i="8"/>
  <c r="N1713" i="8"/>
  <c r="N1714" i="8"/>
  <c r="N1715" i="8"/>
  <c r="N1716" i="8"/>
  <c r="N1717" i="8"/>
  <c r="N1718" i="8"/>
  <c r="N1719" i="8"/>
  <c r="N1720" i="8"/>
  <c r="N1721" i="8"/>
  <c r="N1722" i="8"/>
  <c r="N1723" i="8"/>
  <c r="N1724" i="8"/>
  <c r="N1725" i="8"/>
  <c r="N1726" i="8"/>
  <c r="N1727" i="8"/>
  <c r="N1728" i="8"/>
  <c r="N1729" i="8"/>
  <c r="N1730" i="8"/>
  <c r="N1731" i="8"/>
  <c r="N1732" i="8"/>
  <c r="N1733" i="8"/>
  <c r="N1734" i="8"/>
  <c r="N1735" i="8"/>
  <c r="N1736" i="8"/>
  <c r="N1737" i="8"/>
  <c r="N1738" i="8"/>
  <c r="N1739" i="8"/>
  <c r="N1740" i="8"/>
  <c r="N1741" i="8"/>
  <c r="N1742" i="8"/>
  <c r="N1743" i="8"/>
  <c r="N1744" i="8"/>
  <c r="N1745" i="8"/>
  <c r="N1746" i="8"/>
  <c r="N1747" i="8"/>
  <c r="N1748" i="8"/>
  <c r="N1749" i="8"/>
  <c r="N1750" i="8"/>
  <c r="N1751" i="8"/>
  <c r="N1752" i="8"/>
  <c r="N1753" i="8"/>
  <c r="N1754" i="8"/>
  <c r="N1755" i="8"/>
  <c r="N1756" i="8"/>
  <c r="N1757" i="8"/>
  <c r="N1758" i="8"/>
  <c r="N1759" i="8"/>
  <c r="N1760" i="8"/>
  <c r="N1761" i="8"/>
  <c r="N1762" i="8"/>
  <c r="N1763" i="8"/>
  <c r="N1764" i="8"/>
  <c r="N1765" i="8"/>
  <c r="N1766" i="8"/>
  <c r="N1767" i="8"/>
  <c r="N1768" i="8"/>
  <c r="N1769" i="8"/>
  <c r="N1770" i="8"/>
  <c r="N1771" i="8"/>
  <c r="N1772" i="8"/>
  <c r="N1773" i="8"/>
  <c r="N1774" i="8"/>
  <c r="N1775" i="8"/>
  <c r="N1776" i="8"/>
  <c r="N1777" i="8"/>
  <c r="N1778" i="8"/>
  <c r="N1779" i="8"/>
  <c r="N1780" i="8"/>
  <c r="N1781" i="8"/>
  <c r="N1782" i="8"/>
  <c r="N1783" i="8"/>
  <c r="N1784" i="8"/>
  <c r="N1785" i="8"/>
  <c r="N1786" i="8"/>
  <c r="N1787" i="8"/>
  <c r="N1788" i="8"/>
  <c r="N1789" i="8"/>
  <c r="N1790" i="8"/>
  <c r="N1791" i="8"/>
  <c r="N1792" i="8"/>
  <c r="N1793" i="8"/>
  <c r="N1794" i="8"/>
  <c r="N1795" i="8"/>
  <c r="N1796" i="8"/>
  <c r="N1797" i="8"/>
  <c r="N1798" i="8"/>
  <c r="N1799" i="8"/>
  <c r="N1800" i="8"/>
  <c r="N1801" i="8"/>
  <c r="N1802" i="8"/>
  <c r="N1803" i="8"/>
  <c r="N1804" i="8"/>
  <c r="N1805" i="8"/>
  <c r="N1806" i="8"/>
  <c r="N1807" i="8"/>
  <c r="N1808" i="8"/>
  <c r="N1809" i="8"/>
  <c r="N1810" i="8"/>
  <c r="N1811" i="8"/>
  <c r="N1812" i="8"/>
  <c r="N1813" i="8"/>
  <c r="N1814" i="8"/>
  <c r="N1815" i="8"/>
  <c r="N1816" i="8"/>
  <c r="N1817" i="8"/>
  <c r="N1818" i="8"/>
  <c r="N1819" i="8"/>
  <c r="N1820" i="8"/>
  <c r="N1821" i="8"/>
  <c r="N1822" i="8"/>
  <c r="N1823" i="8"/>
  <c r="N1824" i="8"/>
  <c r="N1825" i="8"/>
  <c r="N1826" i="8"/>
  <c r="N1827" i="8"/>
  <c r="N1828" i="8"/>
  <c r="N1829" i="8"/>
  <c r="N1830" i="8"/>
  <c r="N1831" i="8"/>
  <c r="N1832" i="8"/>
  <c r="N1833" i="8"/>
  <c r="N1834" i="8"/>
  <c r="N1835" i="8"/>
  <c r="N1836" i="8"/>
  <c r="N1837" i="8"/>
  <c r="N1838" i="8"/>
  <c r="N1839" i="8"/>
  <c r="N1840" i="8"/>
  <c r="N1841" i="8"/>
  <c r="N1842" i="8"/>
  <c r="N1843" i="8"/>
  <c r="N1844" i="8"/>
  <c r="N1845" i="8"/>
  <c r="N1846" i="8"/>
  <c r="N1847" i="8"/>
  <c r="N1848" i="8"/>
  <c r="N1849" i="8"/>
  <c r="N1850" i="8"/>
  <c r="N1851" i="8"/>
  <c r="N1852" i="8"/>
  <c r="N1853" i="8"/>
  <c r="N1854" i="8"/>
  <c r="N1855" i="8"/>
  <c r="N1856" i="8"/>
  <c r="N1857" i="8"/>
  <c r="N1858" i="8"/>
  <c r="N1859" i="8"/>
  <c r="N1860" i="8"/>
  <c r="N1861" i="8"/>
  <c r="N1862" i="8"/>
  <c r="N1863" i="8"/>
  <c r="N1864" i="8"/>
  <c r="N1865" i="8"/>
  <c r="N1866" i="8"/>
  <c r="N1867" i="8"/>
  <c r="N1868" i="8"/>
  <c r="N1869" i="8"/>
  <c r="N1870" i="8"/>
  <c r="N1871" i="8"/>
  <c r="N1872" i="8"/>
  <c r="N1873" i="8"/>
  <c r="N1874" i="8"/>
  <c r="N1875" i="8"/>
  <c r="N1876" i="8"/>
  <c r="N1877" i="8"/>
  <c r="N1878" i="8"/>
  <c r="N1879" i="8"/>
  <c r="N1880" i="8"/>
  <c r="N1881" i="8"/>
  <c r="N1882" i="8"/>
  <c r="N1883" i="8"/>
  <c r="N1884" i="8"/>
  <c r="N1885" i="8"/>
  <c r="N1886" i="8"/>
  <c r="N1887" i="8"/>
  <c r="N1888" i="8"/>
  <c r="N1889" i="8"/>
  <c r="N1890" i="8"/>
  <c r="N1891" i="8"/>
  <c r="N1892" i="8"/>
  <c r="N1893" i="8"/>
  <c r="N1894" i="8"/>
  <c r="N1895" i="8"/>
  <c r="N1896" i="8"/>
  <c r="N1897" i="8"/>
  <c r="N1898" i="8"/>
  <c r="N1899" i="8"/>
  <c r="N1900" i="8"/>
  <c r="N1901" i="8"/>
  <c r="N1902" i="8"/>
  <c r="N1903" i="8"/>
  <c r="N1904" i="8"/>
  <c r="N1905" i="8"/>
  <c r="N1906" i="8"/>
  <c r="N1907" i="8"/>
  <c r="N1908" i="8"/>
  <c r="N1909" i="8"/>
  <c r="N1910" i="8"/>
  <c r="N1911" i="8"/>
  <c r="N1912" i="8"/>
  <c r="N1913" i="8"/>
  <c r="N1914" i="8"/>
  <c r="N1915" i="8"/>
  <c r="N1916" i="8"/>
  <c r="N1917" i="8"/>
  <c r="N1918" i="8"/>
  <c r="N1919" i="8"/>
  <c r="N1920" i="8"/>
  <c r="N1921" i="8"/>
  <c r="N1922" i="8"/>
  <c r="N1923" i="8"/>
  <c r="N1924" i="8"/>
  <c r="N1925" i="8"/>
  <c r="N1926" i="8"/>
  <c r="N1927" i="8"/>
  <c r="N1928" i="8"/>
  <c r="N1929" i="8"/>
  <c r="N1930" i="8"/>
  <c r="N1931" i="8"/>
  <c r="N1932" i="8"/>
  <c r="N1933" i="8"/>
  <c r="N1934" i="8"/>
  <c r="N1935" i="8"/>
  <c r="N1936" i="8"/>
  <c r="N1937" i="8"/>
  <c r="N1938" i="8"/>
  <c r="N1939" i="8"/>
  <c r="N1940" i="8"/>
  <c r="N1941" i="8"/>
  <c r="N1942" i="8"/>
  <c r="N1943" i="8"/>
  <c r="N1944" i="8"/>
  <c r="N1945" i="8"/>
  <c r="N1946" i="8"/>
  <c r="N1947" i="8"/>
  <c r="N1948" i="8"/>
  <c r="N1949" i="8"/>
  <c r="N1950" i="8"/>
  <c r="N1951" i="8"/>
  <c r="N1952" i="8"/>
  <c r="N1953" i="8"/>
  <c r="N1954" i="8"/>
  <c r="N1955" i="8"/>
  <c r="N1956" i="8"/>
  <c r="N1957" i="8"/>
  <c r="N1958" i="8"/>
  <c r="N1959" i="8"/>
  <c r="N1960" i="8"/>
  <c r="N1961" i="8"/>
  <c r="N1962" i="8"/>
  <c r="N1963" i="8"/>
  <c r="N1964" i="8"/>
  <c r="N1965" i="8"/>
  <c r="N1966" i="8"/>
  <c r="N1967" i="8"/>
  <c r="N1968" i="8"/>
  <c r="N1969" i="8"/>
  <c r="N1970" i="8"/>
  <c r="N1971" i="8"/>
  <c r="N1972" i="8"/>
  <c r="N1973" i="8"/>
  <c r="N1974" i="8"/>
  <c r="N1975" i="8"/>
  <c r="N1976" i="8"/>
  <c r="N1977" i="8"/>
  <c r="N1978" i="8"/>
  <c r="N1979" i="8"/>
  <c r="N1980" i="8"/>
  <c r="N1981" i="8"/>
  <c r="N1982" i="8"/>
  <c r="N1983" i="8"/>
  <c r="N1984" i="8"/>
  <c r="N1985" i="8"/>
  <c r="N1986" i="8"/>
  <c r="N1987" i="8"/>
  <c r="N1988" i="8"/>
  <c r="N1989" i="8"/>
  <c r="N1990" i="8"/>
  <c r="N1991" i="8"/>
  <c r="N1992" i="8"/>
  <c r="N1993" i="8"/>
  <c r="N1994" i="8"/>
  <c r="N1995" i="8"/>
  <c r="N1996" i="8"/>
  <c r="N1997" i="8"/>
  <c r="N1998" i="8"/>
  <c r="N1999" i="8"/>
  <c r="N2000" i="8"/>
  <c r="N2001" i="8"/>
  <c r="N2002" i="8"/>
  <c r="N2003" i="8"/>
  <c r="N2004" i="8"/>
  <c r="N2005" i="8"/>
  <c r="N2006" i="8"/>
  <c r="N2007" i="8"/>
  <c r="N2008" i="8"/>
  <c r="N2009" i="8"/>
  <c r="N2010" i="8"/>
  <c r="N2011" i="8"/>
  <c r="N2012" i="8"/>
  <c r="N2013" i="8"/>
  <c r="N2014" i="8"/>
  <c r="N2015" i="8"/>
  <c r="N2016" i="8"/>
  <c r="N2017" i="8"/>
  <c r="N2018" i="8"/>
  <c r="N2019" i="8"/>
  <c r="N2020" i="8"/>
  <c r="N2021" i="8"/>
  <c r="N2022" i="8"/>
  <c r="N2023" i="8"/>
  <c r="N2024" i="8"/>
  <c r="N2025" i="8"/>
  <c r="N2026" i="8"/>
  <c r="N2027" i="8"/>
  <c r="N2028" i="8"/>
  <c r="N2029" i="8"/>
  <c r="N2030" i="8"/>
  <c r="N2031" i="8"/>
  <c r="N2032" i="8"/>
  <c r="N2033" i="8"/>
  <c r="N2034" i="8"/>
  <c r="N2035" i="8"/>
  <c r="N2036" i="8"/>
  <c r="N2037" i="8"/>
  <c r="N2038" i="8"/>
  <c r="N2039" i="8"/>
  <c r="N2040" i="8"/>
  <c r="N2041" i="8"/>
  <c r="N2042" i="8"/>
  <c r="N2043" i="8"/>
  <c r="N2044" i="8"/>
  <c r="N2045" i="8"/>
  <c r="N2046" i="8"/>
  <c r="N2047" i="8"/>
  <c r="N2048" i="8"/>
  <c r="N2049" i="8"/>
  <c r="N2050" i="8"/>
  <c r="N2051" i="8"/>
  <c r="N2052" i="8"/>
  <c r="N2053" i="8"/>
  <c r="N2054" i="8"/>
  <c r="N2055" i="8"/>
  <c r="N2056" i="8"/>
  <c r="N2057" i="8"/>
  <c r="N2058" i="8"/>
  <c r="N2059" i="8"/>
  <c r="N2060" i="8"/>
  <c r="N2061" i="8"/>
  <c r="N2062" i="8"/>
  <c r="N2063" i="8"/>
  <c r="N2064" i="8"/>
  <c r="N2065" i="8"/>
  <c r="N2066" i="8"/>
  <c r="N2067" i="8"/>
  <c r="N2068" i="8"/>
  <c r="N2069" i="8"/>
  <c r="N2070" i="8"/>
  <c r="N2071" i="8"/>
  <c r="N2072" i="8"/>
  <c r="N2073" i="8"/>
  <c r="N2074" i="8"/>
  <c r="N2075" i="8"/>
  <c r="N2076" i="8"/>
  <c r="N2077" i="8"/>
  <c r="N2078" i="8"/>
  <c r="N2079" i="8"/>
  <c r="N2080" i="8"/>
  <c r="N2081" i="8"/>
  <c r="N2082" i="8"/>
  <c r="N2083" i="8"/>
  <c r="N2084" i="8"/>
  <c r="N2085" i="8"/>
  <c r="N2086" i="8"/>
  <c r="N2087" i="8"/>
  <c r="N2088" i="8"/>
  <c r="N2089" i="8"/>
  <c r="N2090" i="8"/>
  <c r="N2091" i="8"/>
  <c r="N2092" i="8"/>
  <c r="N2093" i="8"/>
  <c r="N2094" i="8"/>
  <c r="N2095" i="8"/>
  <c r="N2096" i="8"/>
  <c r="N2097" i="8"/>
  <c r="N2098" i="8"/>
  <c r="N2099" i="8"/>
  <c r="N2100" i="8"/>
  <c r="N2101" i="8"/>
  <c r="N2102" i="8"/>
  <c r="N2103" i="8"/>
  <c r="N2104" i="8"/>
  <c r="N2105" i="8"/>
  <c r="N2106" i="8"/>
  <c r="N2107" i="8"/>
  <c r="N2108" i="8"/>
  <c r="N2109" i="8"/>
  <c r="N2110" i="8"/>
  <c r="N2111" i="8"/>
  <c r="N2112" i="8"/>
  <c r="N2113" i="8"/>
  <c r="N2114" i="8"/>
  <c r="N2115" i="8"/>
  <c r="N2116" i="8"/>
  <c r="N2117" i="8"/>
  <c r="N2118" i="8"/>
  <c r="N2119" i="8"/>
  <c r="N2120" i="8"/>
  <c r="N2121" i="8"/>
  <c r="N2122" i="8"/>
  <c r="N2123" i="8"/>
  <c r="N2124" i="8"/>
  <c r="N2125" i="8"/>
  <c r="N2126" i="8"/>
  <c r="N2127" i="8"/>
  <c r="N2128" i="8"/>
  <c r="N2129" i="8"/>
  <c r="N2130" i="8"/>
  <c r="N2131" i="8"/>
  <c r="N2132" i="8"/>
  <c r="N2133" i="8"/>
  <c r="N2134" i="8"/>
  <c r="N2135" i="8"/>
  <c r="N2136" i="8"/>
  <c r="N2137" i="8"/>
  <c r="N2138" i="8"/>
  <c r="N2139" i="8"/>
  <c r="N2140" i="8"/>
  <c r="N2141" i="8"/>
  <c r="N2142" i="8"/>
  <c r="N2143" i="8"/>
  <c r="N2144" i="8"/>
  <c r="N2145" i="8"/>
  <c r="N2146" i="8"/>
  <c r="N2147" i="8"/>
  <c r="N2148" i="8"/>
  <c r="N2149" i="8"/>
  <c r="N2150" i="8"/>
  <c r="N2151" i="8"/>
  <c r="N2152" i="8"/>
  <c r="N2153" i="8"/>
  <c r="N2154" i="8"/>
  <c r="N2155" i="8"/>
  <c r="N2156" i="8"/>
  <c r="N2157" i="8"/>
  <c r="N2158" i="8"/>
  <c r="N2159" i="8"/>
  <c r="N2160" i="8"/>
  <c r="N2161" i="8"/>
  <c r="N2162" i="8"/>
  <c r="N2163" i="8"/>
  <c r="N2164" i="8"/>
  <c r="N2165" i="8"/>
  <c r="N2166" i="8"/>
  <c r="N2167" i="8"/>
  <c r="N2168" i="8"/>
  <c r="N2169" i="8"/>
  <c r="N2170" i="8"/>
  <c r="N2171" i="8"/>
  <c r="N2172" i="8"/>
  <c r="N2173" i="8"/>
  <c r="N2174" i="8"/>
  <c r="N2175" i="8"/>
  <c r="N2176" i="8"/>
  <c r="N2177" i="8"/>
  <c r="N2178" i="8"/>
  <c r="N2179" i="8"/>
  <c r="N2180" i="8"/>
  <c r="N2181" i="8"/>
  <c r="N2182" i="8"/>
  <c r="N2183" i="8"/>
  <c r="N2184" i="8"/>
  <c r="N2185" i="8"/>
  <c r="N2186" i="8"/>
  <c r="N2187" i="8"/>
  <c r="N2188" i="8"/>
  <c r="N2189" i="8"/>
  <c r="N2190" i="8"/>
  <c r="N2191" i="8"/>
  <c r="N2192" i="8"/>
  <c r="N2193" i="8"/>
  <c r="N2194" i="8"/>
  <c r="N2195" i="8"/>
  <c r="N2196" i="8"/>
  <c r="N2197" i="8"/>
  <c r="N2198" i="8"/>
  <c r="N2199" i="8"/>
  <c r="N2200" i="8"/>
  <c r="N2201" i="8"/>
  <c r="N2202" i="8"/>
  <c r="N2203" i="8"/>
  <c r="N2204" i="8"/>
  <c r="N2205" i="8"/>
  <c r="N2206" i="8"/>
  <c r="N2207" i="8"/>
  <c r="N2208" i="8"/>
  <c r="N2209" i="8"/>
  <c r="N2210" i="8"/>
  <c r="N2211" i="8"/>
  <c r="N2212" i="8"/>
  <c r="N2213" i="8"/>
  <c r="N2214" i="8"/>
  <c r="N2215" i="8"/>
  <c r="N2216" i="8"/>
  <c r="N2217" i="8"/>
  <c r="N2218" i="8"/>
  <c r="N2219" i="8"/>
  <c r="N2220" i="8"/>
  <c r="N2221" i="8"/>
  <c r="N2222" i="8"/>
  <c r="N2223" i="8"/>
  <c r="N2224" i="8"/>
  <c r="N2225" i="8"/>
  <c r="N2226" i="8"/>
  <c r="N2227" i="8"/>
  <c r="N2228" i="8"/>
  <c r="N2229" i="8"/>
  <c r="N2230" i="8"/>
  <c r="N2231" i="8"/>
  <c r="N2232" i="8"/>
  <c r="N2233" i="8"/>
  <c r="N2234" i="8"/>
  <c r="N2235" i="8"/>
  <c r="N2236" i="8"/>
  <c r="N2237" i="8"/>
  <c r="N2238" i="8"/>
  <c r="N2239" i="8"/>
  <c r="N2240" i="8"/>
  <c r="N2241" i="8"/>
  <c r="N2242" i="8"/>
  <c r="N2243" i="8"/>
  <c r="N2244" i="8"/>
  <c r="N2245" i="8"/>
  <c r="N2246" i="8"/>
  <c r="N2247" i="8"/>
  <c r="N2248" i="8"/>
  <c r="N2249" i="8"/>
  <c r="N2250" i="8"/>
  <c r="N2251" i="8"/>
  <c r="N2252" i="8"/>
  <c r="N2253" i="8"/>
  <c r="N2254" i="8"/>
  <c r="N2255" i="8"/>
  <c r="N2256" i="8"/>
  <c r="N2257" i="8"/>
  <c r="N2258" i="8"/>
  <c r="N2259" i="8"/>
  <c r="N2260" i="8"/>
  <c r="N2261" i="8"/>
  <c r="N2262" i="8"/>
  <c r="N2263" i="8"/>
  <c r="N2264" i="8"/>
  <c r="N2265" i="8"/>
  <c r="N2266" i="8"/>
  <c r="N2267" i="8"/>
  <c r="N2268" i="8"/>
  <c r="N2269" i="8"/>
  <c r="N2270" i="8"/>
  <c r="N2271" i="8"/>
  <c r="N2272" i="8"/>
  <c r="N2273" i="8"/>
  <c r="N2274" i="8"/>
  <c r="N2275" i="8"/>
  <c r="N2276" i="8"/>
  <c r="N2277" i="8"/>
  <c r="N2278" i="8"/>
  <c r="N2279" i="8"/>
  <c r="N2280" i="8"/>
  <c r="N2281" i="8"/>
  <c r="N2282" i="8"/>
  <c r="N2283" i="8"/>
  <c r="N2284" i="8"/>
  <c r="N2285" i="8"/>
  <c r="N2286" i="8"/>
  <c r="N2287" i="8"/>
  <c r="N2288" i="8"/>
  <c r="N2289" i="8"/>
  <c r="N2290" i="8"/>
  <c r="N2291" i="8"/>
  <c r="N2292" i="8"/>
  <c r="N2293" i="8"/>
  <c r="N2294" i="8"/>
  <c r="N2295" i="8"/>
  <c r="N2296" i="8"/>
  <c r="N2297" i="8"/>
  <c r="N2298" i="8"/>
  <c r="N2299" i="8"/>
  <c r="N2300" i="8"/>
  <c r="N2301" i="8"/>
  <c r="N2302" i="8"/>
  <c r="N2303" i="8"/>
  <c r="N2304" i="8"/>
  <c r="N2305" i="8"/>
  <c r="N2306" i="8"/>
  <c r="N2307" i="8"/>
  <c r="N2308" i="8"/>
  <c r="N2309" i="8"/>
  <c r="N2310" i="8"/>
  <c r="N2311" i="8"/>
  <c r="N2312" i="8"/>
  <c r="N2313" i="8"/>
  <c r="N2314" i="8"/>
  <c r="N2315" i="8"/>
  <c r="N2316" i="8"/>
  <c r="N2317" i="8"/>
  <c r="N2318" i="8"/>
  <c r="N2319" i="8"/>
  <c r="N2320" i="8"/>
  <c r="N2321" i="8"/>
  <c r="N2322" i="8"/>
  <c r="N2323" i="8"/>
  <c r="N2324" i="8"/>
  <c r="N2325" i="8"/>
  <c r="N2326" i="8"/>
  <c r="N2327" i="8"/>
  <c r="N2328" i="8"/>
  <c r="N2329" i="8"/>
  <c r="N2330" i="8"/>
  <c r="N2331" i="8"/>
  <c r="N2332" i="8"/>
  <c r="N2333" i="8"/>
  <c r="N2334" i="8"/>
  <c r="N2335" i="8"/>
  <c r="N2336" i="8"/>
  <c r="N2337" i="8"/>
  <c r="N2338" i="8"/>
  <c r="N2339" i="8"/>
  <c r="N2340" i="8"/>
  <c r="N2341" i="8"/>
  <c r="N2342" i="8"/>
  <c r="N2343" i="8"/>
  <c r="N2344" i="8"/>
  <c r="N2345" i="8"/>
  <c r="N2346" i="8"/>
  <c r="N2347" i="8"/>
  <c r="N2348" i="8"/>
  <c r="N2349" i="8"/>
  <c r="N2350" i="8"/>
  <c r="N2351" i="8"/>
  <c r="N2352" i="8"/>
  <c r="N2353" i="8"/>
  <c r="N2354" i="8"/>
  <c r="N2355" i="8"/>
  <c r="N2356" i="8"/>
  <c r="N2357" i="8"/>
  <c r="N2358" i="8"/>
  <c r="N2359" i="8"/>
  <c r="N2360" i="8"/>
  <c r="N2361" i="8"/>
  <c r="N2362" i="8"/>
  <c r="N2363" i="8"/>
  <c r="N2364" i="8"/>
  <c r="N2365" i="8"/>
  <c r="N2366" i="8"/>
  <c r="N2367" i="8"/>
  <c r="N2368" i="8"/>
  <c r="N2369" i="8"/>
  <c r="N2370" i="8"/>
  <c r="N2371" i="8"/>
  <c r="N2372" i="8"/>
  <c r="N2373" i="8"/>
  <c r="N2374" i="8"/>
  <c r="N2375" i="8"/>
  <c r="N2376" i="8"/>
  <c r="N2377" i="8"/>
  <c r="N2378" i="8"/>
  <c r="N2379" i="8"/>
  <c r="N2380" i="8"/>
  <c r="N2381" i="8"/>
  <c r="N2382" i="8"/>
  <c r="N2383" i="8"/>
  <c r="N2384" i="8"/>
  <c r="N2385" i="8"/>
  <c r="N2386" i="8"/>
  <c r="N2387" i="8"/>
  <c r="N2388" i="8"/>
  <c r="N2389" i="8"/>
  <c r="N2390" i="8"/>
  <c r="N2391" i="8"/>
  <c r="N2392" i="8"/>
  <c r="N2393" i="8"/>
  <c r="N2394" i="8"/>
  <c r="N2395" i="8"/>
  <c r="N2396" i="8"/>
  <c r="N2397" i="8"/>
  <c r="N2398" i="8"/>
  <c r="N2399" i="8"/>
  <c r="N2400" i="8"/>
  <c r="N2401" i="8"/>
  <c r="N2402" i="8"/>
  <c r="N2403" i="8"/>
  <c r="N2404" i="8"/>
  <c r="N2405" i="8"/>
  <c r="N2406" i="8"/>
  <c r="N2407" i="8"/>
  <c r="N2408" i="8"/>
  <c r="N2409" i="8"/>
  <c r="N2410" i="8"/>
  <c r="N2411" i="8"/>
  <c r="N2412" i="8"/>
  <c r="N2413" i="8"/>
  <c r="N2414" i="8"/>
  <c r="N2415" i="8"/>
  <c r="N2416" i="8"/>
  <c r="N2417" i="8"/>
  <c r="N2418" i="8"/>
  <c r="N2419" i="8"/>
  <c r="N2420" i="8"/>
  <c r="N2421" i="8"/>
  <c r="N2422" i="8"/>
  <c r="N2423" i="8"/>
  <c r="N2424" i="8"/>
  <c r="N2425" i="8"/>
  <c r="N2426" i="8"/>
  <c r="N2427" i="8"/>
  <c r="N2428" i="8"/>
  <c r="N2429" i="8"/>
  <c r="N2430" i="8"/>
  <c r="N2431" i="8"/>
  <c r="N2432" i="8"/>
  <c r="N2433" i="8"/>
  <c r="N2434" i="8"/>
  <c r="N2435" i="8"/>
  <c r="N2436" i="8"/>
  <c r="N2437" i="8"/>
  <c r="N2438" i="8"/>
  <c r="N2439" i="8"/>
  <c r="N2440" i="8"/>
  <c r="N2441" i="8"/>
  <c r="N2442" i="8"/>
  <c r="N2443" i="8"/>
  <c r="N2444" i="8"/>
  <c r="N2445" i="8"/>
  <c r="N2446" i="8"/>
  <c r="N2447" i="8"/>
  <c r="N2448" i="8"/>
  <c r="N2449" i="8"/>
  <c r="N2450" i="8"/>
  <c r="N2451" i="8"/>
  <c r="N2452" i="8"/>
  <c r="N2453" i="8"/>
  <c r="N2454" i="8"/>
  <c r="N2455" i="8"/>
  <c r="N2456" i="8"/>
  <c r="N2457" i="8"/>
  <c r="N2458" i="8"/>
  <c r="N2459" i="8"/>
  <c r="N2460" i="8"/>
  <c r="N2461" i="8"/>
  <c r="N2462" i="8"/>
  <c r="N2463" i="8"/>
  <c r="N2464" i="8"/>
  <c r="N2465" i="8"/>
  <c r="N2466" i="8"/>
  <c r="N2467" i="8"/>
  <c r="N2468" i="8"/>
  <c r="N2469" i="8"/>
  <c r="N2470" i="8"/>
  <c r="N2471" i="8"/>
  <c r="N2472" i="8"/>
  <c r="N2473" i="8"/>
  <c r="N2474" i="8"/>
  <c r="N2475" i="8"/>
  <c r="N2476" i="8"/>
  <c r="N2477" i="8"/>
  <c r="N2478" i="8"/>
  <c r="N2479" i="8"/>
  <c r="N2480" i="8"/>
  <c r="N2481" i="8"/>
  <c r="N2482" i="8"/>
  <c r="N2483" i="8"/>
  <c r="N2484" i="8"/>
  <c r="N2485" i="8"/>
  <c r="N2486" i="8"/>
  <c r="N2487" i="8"/>
  <c r="N2488" i="8"/>
  <c r="N2489" i="8"/>
  <c r="N2490" i="8"/>
  <c r="N2491" i="8"/>
  <c r="N2492" i="8"/>
  <c r="N2493" i="8"/>
  <c r="N2494" i="8"/>
  <c r="N2495" i="8"/>
  <c r="N2496" i="8"/>
  <c r="N2497" i="8"/>
  <c r="N2498" i="8"/>
  <c r="N2499" i="8"/>
  <c r="N2500" i="8"/>
  <c r="N2501" i="8"/>
  <c r="N2502" i="8"/>
  <c r="N2503" i="8"/>
  <c r="N2504" i="8"/>
  <c r="N2505" i="8"/>
  <c r="N2506" i="8"/>
  <c r="N2507" i="8"/>
  <c r="N2508" i="8"/>
  <c r="N2509" i="8"/>
  <c r="N2510" i="8"/>
  <c r="N2511" i="8"/>
  <c r="N2512" i="8"/>
  <c r="N2513" i="8"/>
  <c r="N2514" i="8"/>
  <c r="N2515" i="8"/>
  <c r="N2516" i="8"/>
  <c r="N2517" i="8"/>
  <c r="N2518" i="8"/>
  <c r="N2519" i="8"/>
  <c r="N2520" i="8"/>
  <c r="N2521" i="8"/>
  <c r="N2522" i="8"/>
  <c r="N2523" i="8"/>
  <c r="N2524" i="8"/>
  <c r="N2525" i="8"/>
  <c r="N2526" i="8"/>
  <c r="N2527" i="8"/>
  <c r="N2528" i="8"/>
  <c r="N2529" i="8"/>
  <c r="N2530" i="8"/>
  <c r="N2531" i="8"/>
  <c r="N2532" i="8"/>
  <c r="N2533" i="8"/>
  <c r="N2534" i="8"/>
  <c r="N2535" i="8"/>
  <c r="N2536" i="8"/>
  <c r="N2537" i="8"/>
  <c r="N2538" i="8"/>
  <c r="N2539" i="8"/>
  <c r="N2540" i="8"/>
  <c r="N2541" i="8"/>
  <c r="N2542" i="8"/>
  <c r="N2543" i="8"/>
  <c r="N2544" i="8"/>
  <c r="N2545" i="8"/>
  <c r="N2546" i="8"/>
  <c r="N2547" i="8"/>
  <c r="N2548" i="8"/>
  <c r="N2549" i="8"/>
  <c r="N2550" i="8"/>
  <c r="N2551" i="8"/>
  <c r="N2552" i="8"/>
  <c r="N2553" i="8"/>
  <c r="N2554" i="8"/>
  <c r="N2555" i="8"/>
  <c r="N2556" i="8"/>
  <c r="N2557" i="8"/>
  <c r="N2558" i="8"/>
  <c r="N2559" i="8"/>
  <c r="N2560" i="8"/>
  <c r="N2561" i="8"/>
  <c r="N2562" i="8"/>
  <c r="N2563" i="8"/>
  <c r="N2564" i="8"/>
  <c r="N2565" i="8"/>
  <c r="N2566" i="8"/>
  <c r="N2567" i="8"/>
  <c r="N2568" i="8"/>
  <c r="N2569" i="8"/>
  <c r="N2570" i="8"/>
  <c r="N2571" i="8"/>
  <c r="N2572" i="8"/>
  <c r="N2573" i="8"/>
  <c r="N2574" i="8"/>
  <c r="N2575" i="8"/>
  <c r="N2576" i="8"/>
  <c r="N2577" i="8"/>
  <c r="N2578" i="8"/>
  <c r="N2579" i="8"/>
  <c r="N2580" i="8"/>
  <c r="N2581" i="8"/>
  <c r="N2582" i="8"/>
  <c r="N2583" i="8"/>
  <c r="N2584" i="8"/>
  <c r="N2585" i="8"/>
  <c r="N2586" i="8"/>
  <c r="N2587" i="8"/>
  <c r="N2588" i="8"/>
  <c r="N2589" i="8"/>
  <c r="N2590" i="8"/>
  <c r="N2591" i="8"/>
  <c r="N2592" i="8"/>
  <c r="N2593" i="8"/>
  <c r="N2594" i="8"/>
  <c r="N2595" i="8"/>
  <c r="N2596" i="8"/>
  <c r="N2597" i="8"/>
  <c r="N2598" i="8"/>
  <c r="N2599" i="8"/>
  <c r="N2600" i="8"/>
  <c r="N2601" i="8"/>
  <c r="N2602" i="8"/>
  <c r="N2603" i="8"/>
  <c r="N2604" i="8"/>
  <c r="N2605" i="8"/>
  <c r="N2606" i="8"/>
  <c r="N2607" i="8"/>
  <c r="N2608" i="8"/>
  <c r="N2609" i="8"/>
  <c r="N2610" i="8"/>
  <c r="N2611" i="8"/>
  <c r="N2612" i="8"/>
  <c r="N2613" i="8"/>
  <c r="N2614" i="8"/>
  <c r="N2615" i="8"/>
  <c r="N2616" i="8"/>
  <c r="N2617" i="8"/>
  <c r="N2618" i="8"/>
  <c r="N2619" i="8"/>
  <c r="N2620" i="8"/>
  <c r="N2621" i="8"/>
  <c r="N2622" i="8"/>
  <c r="N2623" i="8"/>
  <c r="N2624" i="8"/>
  <c r="N2625" i="8"/>
  <c r="N2626" i="8"/>
  <c r="N2627" i="8"/>
  <c r="N2628" i="8"/>
  <c r="N2629" i="8"/>
  <c r="N2630" i="8"/>
  <c r="N2631" i="8"/>
  <c r="N2632" i="8"/>
  <c r="N2633" i="8"/>
  <c r="N2634" i="8"/>
  <c r="N2635" i="8"/>
  <c r="N2636" i="8"/>
  <c r="N2637" i="8"/>
  <c r="N2638" i="8"/>
  <c r="N2639" i="8"/>
  <c r="N2640" i="8"/>
  <c r="N2641" i="8"/>
  <c r="N2642" i="8"/>
  <c r="N2643" i="8"/>
  <c r="N2644" i="8"/>
  <c r="N2645" i="8"/>
  <c r="N2646" i="8"/>
  <c r="N2647" i="8"/>
  <c r="N2648" i="8"/>
  <c r="N2649" i="8"/>
  <c r="N2650" i="8"/>
  <c r="N2651" i="8"/>
  <c r="N2652" i="8"/>
  <c r="N2653" i="8"/>
  <c r="N2654" i="8"/>
  <c r="N2655" i="8"/>
  <c r="N2656" i="8"/>
  <c r="N2657" i="8"/>
  <c r="N2658" i="8"/>
  <c r="N2659" i="8"/>
  <c r="N2660" i="8"/>
  <c r="N2661" i="8"/>
  <c r="N2662" i="8"/>
  <c r="N2663" i="8"/>
  <c r="N2664" i="8"/>
  <c r="N2665" i="8"/>
  <c r="N2666" i="8"/>
  <c r="N2667" i="8"/>
  <c r="N2668" i="8"/>
  <c r="N2669" i="8"/>
  <c r="N2670" i="8"/>
  <c r="N2671" i="8"/>
  <c r="N2672" i="8"/>
  <c r="N2673" i="8"/>
  <c r="N2674" i="8"/>
  <c r="N2675" i="8"/>
  <c r="N2676" i="8"/>
  <c r="N2677" i="8"/>
  <c r="N2678" i="8"/>
  <c r="N2679" i="8"/>
  <c r="N2680" i="8"/>
  <c r="N2681" i="8"/>
  <c r="N2682" i="8"/>
  <c r="N2683" i="8"/>
  <c r="N2684" i="8"/>
  <c r="N2685" i="8"/>
  <c r="N2686" i="8"/>
  <c r="N2687" i="8"/>
  <c r="N2688" i="8"/>
  <c r="N2689" i="8"/>
  <c r="N2690" i="8"/>
  <c r="N2691" i="8"/>
  <c r="N2692" i="8"/>
  <c r="N2693" i="8"/>
  <c r="N2694" i="8"/>
  <c r="N2695" i="8"/>
  <c r="N2696" i="8"/>
  <c r="N2697" i="8"/>
  <c r="N2698" i="8"/>
  <c r="N2699" i="8"/>
  <c r="N2700" i="8"/>
  <c r="N2701" i="8"/>
  <c r="N2702" i="8"/>
  <c r="N2703" i="8"/>
  <c r="N2704" i="8"/>
  <c r="N2705" i="8"/>
  <c r="N2706" i="8"/>
  <c r="N2707" i="8"/>
  <c r="N2708" i="8"/>
  <c r="N2709" i="8"/>
  <c r="N2710" i="8"/>
  <c r="N2711" i="8"/>
  <c r="N2712" i="8"/>
  <c r="N2713" i="8"/>
  <c r="N2714" i="8"/>
  <c r="N2715" i="8"/>
  <c r="N2716" i="8"/>
  <c r="N2717" i="8"/>
  <c r="N2718" i="8"/>
  <c r="N2719" i="8"/>
  <c r="N2720" i="8"/>
  <c r="N2721" i="8"/>
  <c r="N2722" i="8"/>
  <c r="N2723" i="8"/>
  <c r="N2724" i="8"/>
  <c r="N2725" i="8"/>
  <c r="N2726" i="8"/>
  <c r="N2727" i="8"/>
  <c r="N2728" i="8"/>
  <c r="N2729" i="8"/>
  <c r="N2730" i="8"/>
  <c r="N2731" i="8"/>
  <c r="N2732" i="8"/>
  <c r="N2733" i="8"/>
  <c r="N2734" i="8"/>
  <c r="N2735" i="8"/>
  <c r="N2736" i="8"/>
  <c r="N2737" i="8"/>
  <c r="N2738" i="8"/>
  <c r="N2739" i="8"/>
  <c r="N2740" i="8"/>
  <c r="N2741" i="8"/>
  <c r="N2742" i="8"/>
  <c r="N2743" i="8"/>
  <c r="N2744" i="8"/>
  <c r="N2745" i="8"/>
  <c r="N2746" i="8"/>
  <c r="N2747" i="8"/>
  <c r="N2748" i="8"/>
  <c r="N2749" i="8"/>
  <c r="N2750" i="8"/>
  <c r="N2751" i="8"/>
  <c r="N2752" i="8"/>
  <c r="N2753" i="8"/>
  <c r="N2754" i="8"/>
  <c r="N2755" i="8"/>
  <c r="N2756" i="8"/>
  <c r="N2757" i="8"/>
  <c r="N2758" i="8"/>
  <c r="N2759" i="8"/>
  <c r="N2760" i="8"/>
  <c r="N2761" i="8"/>
  <c r="N2762" i="8"/>
  <c r="N2763" i="8"/>
  <c r="N2764" i="8"/>
  <c r="N2765" i="8"/>
  <c r="N2766" i="8"/>
  <c r="N2767" i="8"/>
  <c r="N2768" i="8"/>
  <c r="N2769" i="8"/>
  <c r="N2770" i="8"/>
  <c r="N2771" i="8"/>
  <c r="N2772" i="8"/>
  <c r="N2773" i="8"/>
  <c r="N2774" i="8"/>
  <c r="N2775" i="8"/>
  <c r="N2776" i="8"/>
  <c r="N2777" i="8"/>
  <c r="N2778" i="8"/>
  <c r="N2779" i="8"/>
  <c r="N2780" i="8"/>
  <c r="N2781" i="8"/>
  <c r="N2782" i="8"/>
  <c r="N2783" i="8"/>
  <c r="N2784" i="8"/>
  <c r="N2785" i="8"/>
  <c r="N2786" i="8"/>
  <c r="N2787" i="8"/>
  <c r="N2788" i="8"/>
  <c r="N2789" i="8"/>
  <c r="N2790" i="8"/>
  <c r="N2791" i="8"/>
  <c r="N2792" i="8"/>
  <c r="N2793" i="8"/>
  <c r="N2794" i="8"/>
  <c r="N2795" i="8"/>
  <c r="N2796" i="8"/>
  <c r="N2797" i="8"/>
  <c r="N2798" i="8"/>
  <c r="N2799" i="8"/>
  <c r="N2800" i="8"/>
  <c r="N2801" i="8"/>
  <c r="N2802" i="8"/>
  <c r="N2803" i="8"/>
  <c r="N2804" i="8"/>
  <c r="N2805" i="8"/>
  <c r="N2806" i="8"/>
  <c r="N2807" i="8"/>
  <c r="N2808" i="8"/>
  <c r="N2809" i="8"/>
  <c r="N2810" i="8"/>
  <c r="N2811" i="8"/>
  <c r="N2812" i="8"/>
  <c r="N2813" i="8"/>
  <c r="N2814" i="8"/>
  <c r="N2815" i="8"/>
  <c r="N2816" i="8"/>
  <c r="N2817" i="8"/>
  <c r="N2818" i="8"/>
  <c r="N2819" i="8"/>
  <c r="N2820" i="8"/>
  <c r="N2821" i="8"/>
  <c r="N2822" i="8"/>
  <c r="N2823" i="8"/>
  <c r="N2824" i="8"/>
  <c r="N2825" i="8"/>
  <c r="N2826" i="8"/>
  <c r="N2827" i="8"/>
  <c r="N2828" i="8"/>
  <c r="N2829" i="8"/>
  <c r="N2830" i="8"/>
  <c r="N2831" i="8"/>
  <c r="N2832" i="8"/>
  <c r="N2833" i="8"/>
  <c r="N2834" i="8"/>
  <c r="N2835" i="8"/>
  <c r="N2836" i="8"/>
  <c r="N2837" i="8"/>
  <c r="N2838" i="8"/>
  <c r="N2839" i="8"/>
  <c r="N2840" i="8"/>
  <c r="N2841" i="8"/>
  <c r="N2842" i="8"/>
  <c r="N2843" i="8"/>
  <c r="N2844" i="8"/>
  <c r="N2845" i="8"/>
  <c r="N2846" i="8"/>
  <c r="N2847" i="8"/>
  <c r="N2848" i="8"/>
  <c r="N2849" i="8"/>
  <c r="N2850" i="8"/>
  <c r="N2851" i="8"/>
  <c r="N2852" i="8"/>
  <c r="N2853" i="8"/>
  <c r="N2854" i="8"/>
  <c r="N2855" i="8"/>
  <c r="N2856" i="8"/>
  <c r="N2857" i="8"/>
  <c r="N2858" i="8"/>
  <c r="N2859" i="8"/>
  <c r="N2860" i="8"/>
  <c r="N2861" i="8"/>
  <c r="N2862" i="8"/>
  <c r="N2863" i="8"/>
  <c r="N2864" i="8"/>
  <c r="N2865" i="8"/>
  <c r="N2866" i="8"/>
  <c r="N2867" i="8"/>
  <c r="N2868" i="8"/>
  <c r="N2869" i="8"/>
  <c r="N2870" i="8"/>
  <c r="N2871" i="8"/>
  <c r="N2872" i="8"/>
  <c r="N2873" i="8"/>
  <c r="N2874" i="8"/>
  <c r="N2875" i="8"/>
  <c r="N2876" i="8"/>
  <c r="N2877" i="8"/>
  <c r="N2878" i="8"/>
  <c r="N2879" i="8"/>
  <c r="N2880" i="8"/>
  <c r="N2881" i="8"/>
  <c r="N2882" i="8"/>
  <c r="N2883" i="8"/>
  <c r="N2884" i="8"/>
  <c r="N2885" i="8"/>
  <c r="N2886" i="8"/>
  <c r="N2887" i="8"/>
  <c r="N2888" i="8"/>
  <c r="N2889" i="8"/>
  <c r="N2890" i="8"/>
  <c r="N2891" i="8"/>
  <c r="N2892" i="8"/>
  <c r="N2893" i="8"/>
  <c r="N2894" i="8"/>
  <c r="N2895" i="8"/>
  <c r="N2896" i="8"/>
  <c r="N2897" i="8"/>
  <c r="N2898" i="8"/>
  <c r="N2899" i="8"/>
  <c r="N2900" i="8"/>
  <c r="N2901" i="8"/>
  <c r="N2902" i="8"/>
  <c r="N2903" i="8"/>
  <c r="N2904" i="8"/>
  <c r="N2905" i="8"/>
  <c r="N2906" i="8"/>
  <c r="N2907" i="8"/>
  <c r="N2908" i="8"/>
  <c r="N2909" i="8"/>
  <c r="N2910" i="8"/>
  <c r="N2911" i="8"/>
  <c r="N2912" i="8"/>
  <c r="N2913" i="8"/>
  <c r="N2914" i="8"/>
  <c r="N2915" i="8"/>
  <c r="N2916" i="8"/>
  <c r="N2917" i="8"/>
  <c r="N2918" i="8"/>
  <c r="N2919" i="8"/>
  <c r="N2920" i="8"/>
  <c r="N2921" i="8"/>
  <c r="N2922" i="8"/>
  <c r="N2923" i="8"/>
  <c r="N2924" i="8"/>
  <c r="N2925" i="8"/>
  <c r="N2926" i="8"/>
  <c r="N2927" i="8"/>
  <c r="N2928" i="8"/>
  <c r="N2929" i="8"/>
  <c r="N2930" i="8"/>
  <c r="N2931" i="8"/>
  <c r="N2932" i="8"/>
  <c r="N2933" i="8"/>
  <c r="N2934" i="8"/>
  <c r="N2935" i="8"/>
  <c r="N2936" i="8"/>
  <c r="N2937" i="8"/>
  <c r="N2938" i="8"/>
  <c r="N2939" i="8"/>
  <c r="N2940" i="8"/>
  <c r="N2941" i="8"/>
  <c r="N2942" i="8"/>
  <c r="N2943" i="8"/>
  <c r="N2944" i="8"/>
  <c r="N2945" i="8"/>
  <c r="N2946" i="8"/>
  <c r="N2947" i="8"/>
  <c r="N2948" i="8"/>
  <c r="N2949" i="8"/>
  <c r="N2950" i="8"/>
  <c r="N2951" i="8"/>
  <c r="N2952" i="8"/>
  <c r="N2953" i="8"/>
  <c r="N2954" i="8"/>
  <c r="N2955" i="8"/>
  <c r="N2956" i="8"/>
  <c r="N2957" i="8"/>
  <c r="N2958" i="8"/>
  <c r="N2959" i="8"/>
  <c r="N2960" i="8"/>
  <c r="N2961" i="8"/>
  <c r="N2962" i="8"/>
  <c r="N2963" i="8"/>
  <c r="N2964" i="8"/>
  <c r="N2965" i="8"/>
  <c r="N2966" i="8"/>
  <c r="N2967" i="8"/>
  <c r="N2968" i="8"/>
  <c r="N2969" i="8"/>
  <c r="N2970" i="8"/>
  <c r="N2971" i="8"/>
  <c r="N2972" i="8"/>
  <c r="N2973" i="8"/>
  <c r="N2974" i="8"/>
  <c r="N2975" i="8"/>
  <c r="N2976" i="8"/>
  <c r="N2977" i="8"/>
  <c r="N2978" i="8"/>
  <c r="N2979" i="8"/>
  <c r="N2980" i="8"/>
  <c r="N2981" i="8"/>
  <c r="N2982" i="8"/>
  <c r="N2983" i="8"/>
  <c r="N2984" i="8"/>
  <c r="N2985" i="8"/>
  <c r="N2986" i="8"/>
  <c r="N2987" i="8"/>
  <c r="N2988" i="8"/>
  <c r="N2989" i="8"/>
  <c r="N2990" i="8"/>
  <c r="N2991" i="8"/>
  <c r="N2992" i="8"/>
  <c r="N2993" i="8"/>
  <c r="N2994" i="8"/>
  <c r="N2995" i="8"/>
  <c r="N2996" i="8"/>
  <c r="N2997" i="8"/>
  <c r="N2998" i="8"/>
  <c r="N2999" i="8"/>
  <c r="N3000" i="8"/>
  <c r="N3001" i="8"/>
  <c r="N3002" i="8"/>
  <c r="N3003" i="8"/>
  <c r="N3004" i="8"/>
  <c r="N3005" i="8"/>
  <c r="N3006" i="8"/>
  <c r="N3007" i="8"/>
  <c r="N3008" i="8"/>
  <c r="N3009" i="8"/>
  <c r="N3010" i="8"/>
  <c r="N3011" i="8"/>
  <c r="N3012" i="8"/>
  <c r="N3013" i="8"/>
  <c r="N3014" i="8"/>
  <c r="N3015" i="8"/>
  <c r="N3016" i="8"/>
  <c r="N3017" i="8"/>
  <c r="N3018" i="8"/>
  <c r="N3019" i="8"/>
  <c r="N3020" i="8"/>
  <c r="N3021" i="8"/>
  <c r="N3022" i="8"/>
  <c r="N3023" i="8"/>
  <c r="N3024" i="8"/>
  <c r="N3025" i="8"/>
  <c r="N3026" i="8"/>
  <c r="N3027" i="8"/>
  <c r="N3028" i="8"/>
  <c r="N3029" i="8"/>
  <c r="N3030" i="8"/>
  <c r="N3031" i="8"/>
  <c r="N3032" i="8"/>
  <c r="N3033" i="8"/>
  <c r="N3034" i="8"/>
  <c r="N3035" i="8"/>
  <c r="N3036" i="8"/>
  <c r="N3037" i="8"/>
  <c r="N3038" i="8"/>
  <c r="N3039" i="8"/>
  <c r="N3040" i="8"/>
  <c r="N3041" i="8"/>
  <c r="N3042" i="8"/>
  <c r="N3043" i="8"/>
  <c r="N3044" i="8"/>
  <c r="N3045" i="8"/>
  <c r="N3046" i="8"/>
  <c r="N3047" i="8"/>
  <c r="N3048" i="8"/>
  <c r="N3049" i="8"/>
  <c r="N3050" i="8"/>
  <c r="N3051" i="8"/>
  <c r="N3052" i="8"/>
  <c r="N3053" i="8"/>
  <c r="N3054" i="8"/>
  <c r="N3055" i="8"/>
  <c r="N3056" i="8"/>
  <c r="N3057" i="8"/>
  <c r="N3058" i="8"/>
  <c r="N3059" i="8"/>
  <c r="N3060" i="8"/>
  <c r="N3061" i="8"/>
  <c r="N3062" i="8"/>
  <c r="N3063" i="8"/>
  <c r="N3064" i="8"/>
  <c r="N3065" i="8"/>
  <c r="N3066" i="8"/>
  <c r="N3067" i="8"/>
  <c r="N3068" i="8"/>
  <c r="N3069" i="8"/>
  <c r="N3070" i="8"/>
  <c r="N3071" i="8"/>
  <c r="N3072" i="8"/>
  <c r="N3073" i="8"/>
  <c r="N3074" i="8"/>
  <c r="N3075" i="8"/>
  <c r="N3076" i="8"/>
  <c r="N3077" i="8"/>
  <c r="N3078" i="8"/>
  <c r="N3079" i="8"/>
  <c r="N3080" i="8"/>
  <c r="N3081" i="8"/>
  <c r="N3082" i="8"/>
  <c r="N3083" i="8"/>
  <c r="N3084" i="8"/>
  <c r="N3085" i="8"/>
  <c r="N3086" i="8"/>
  <c r="N3087" i="8"/>
  <c r="N3088" i="8"/>
  <c r="N3089" i="8"/>
  <c r="N3090" i="8"/>
  <c r="N3091" i="8"/>
  <c r="N3092" i="8"/>
  <c r="N3093" i="8"/>
  <c r="N3094" i="8"/>
  <c r="N3095" i="8"/>
  <c r="N3096" i="8"/>
  <c r="N3097" i="8"/>
  <c r="N3098" i="8"/>
  <c r="N3099" i="8"/>
  <c r="N3100" i="8"/>
  <c r="N3101" i="8"/>
  <c r="N3102" i="8"/>
  <c r="N3103" i="8"/>
  <c r="N3104" i="8"/>
  <c r="N3105" i="8"/>
  <c r="N3106" i="8"/>
  <c r="N3107" i="8"/>
  <c r="N3108" i="8"/>
  <c r="N3109" i="8"/>
  <c r="N3110" i="8"/>
  <c r="N3111" i="8"/>
  <c r="N3112" i="8"/>
  <c r="N3113" i="8"/>
  <c r="N3114" i="8"/>
  <c r="N3115" i="8"/>
  <c r="N3116" i="8"/>
  <c r="N3117" i="8"/>
  <c r="N3118" i="8"/>
  <c r="N3119" i="8"/>
  <c r="N3120" i="8"/>
  <c r="N3121" i="8"/>
  <c r="N3122" i="8"/>
  <c r="N3123" i="8"/>
  <c r="N3124" i="8"/>
  <c r="N3125" i="8"/>
  <c r="N3126" i="8"/>
  <c r="N3127" i="8"/>
  <c r="N3128" i="8"/>
  <c r="N3129" i="8"/>
  <c r="N3130" i="8"/>
  <c r="N3131" i="8"/>
  <c r="N3132" i="8"/>
  <c r="N3133" i="8"/>
  <c r="N3134" i="8"/>
  <c r="N3135" i="8"/>
  <c r="N3136" i="8"/>
  <c r="N3137" i="8"/>
  <c r="N3138" i="8"/>
  <c r="N3139" i="8"/>
  <c r="N3140" i="8"/>
  <c r="N3141" i="8"/>
  <c r="N3142" i="8"/>
  <c r="N3143" i="8"/>
  <c r="N3144" i="8"/>
  <c r="N3145" i="8"/>
  <c r="N3146" i="8"/>
  <c r="N3147" i="8"/>
  <c r="N3148" i="8"/>
  <c r="N3149" i="8"/>
  <c r="N3150" i="8"/>
  <c r="N3151" i="8"/>
  <c r="N3152" i="8"/>
  <c r="N3153" i="8"/>
  <c r="N3154" i="8"/>
  <c r="N3155" i="8"/>
  <c r="N3156" i="8"/>
  <c r="N3157" i="8"/>
  <c r="N3158" i="8"/>
  <c r="N3159" i="8"/>
  <c r="N3160" i="8"/>
  <c r="N3161" i="8"/>
  <c r="N3162" i="8"/>
  <c r="N3163" i="8"/>
  <c r="N3164" i="8"/>
  <c r="N3165" i="8"/>
  <c r="N3166" i="8"/>
  <c r="N3167" i="8"/>
  <c r="N3168" i="8"/>
  <c r="N3169" i="8"/>
  <c r="N3170" i="8"/>
  <c r="N3171" i="8"/>
  <c r="N3172" i="8"/>
  <c r="N3173" i="8"/>
  <c r="N3174" i="8"/>
  <c r="N3175" i="8"/>
  <c r="N3176" i="8"/>
  <c r="N3177" i="8"/>
  <c r="N3178" i="8"/>
  <c r="N3179" i="8"/>
  <c r="N3180" i="8"/>
  <c r="N3181" i="8"/>
  <c r="N3182" i="8"/>
  <c r="N3183" i="8"/>
  <c r="N3184" i="8"/>
  <c r="N3185" i="8"/>
  <c r="N3186" i="8"/>
  <c r="N3187" i="8"/>
  <c r="N3188" i="8"/>
  <c r="N3189" i="8"/>
  <c r="N3190" i="8"/>
  <c r="N3191" i="8"/>
  <c r="N3192" i="8"/>
  <c r="N3193" i="8"/>
  <c r="N3194" i="8"/>
  <c r="N3195" i="8"/>
  <c r="N3196" i="8"/>
  <c r="N3197" i="8"/>
  <c r="N3198" i="8"/>
  <c r="N3199" i="8"/>
  <c r="N3200" i="8"/>
  <c r="N3201" i="8"/>
  <c r="N3202" i="8"/>
  <c r="N3203" i="8"/>
  <c r="N3204" i="8"/>
  <c r="N3205" i="8"/>
  <c r="N3206" i="8"/>
  <c r="N3207" i="8"/>
  <c r="N3208" i="8"/>
  <c r="N3209" i="8"/>
  <c r="N3210" i="8"/>
  <c r="N3211" i="8"/>
  <c r="N3212" i="8"/>
  <c r="N3213" i="8"/>
  <c r="N3214" i="8"/>
  <c r="N3215" i="8"/>
  <c r="N3216" i="8"/>
  <c r="N3217" i="8"/>
  <c r="N3218" i="8"/>
  <c r="N3219" i="8"/>
  <c r="N3220" i="8"/>
  <c r="N3221" i="8"/>
  <c r="N3222" i="8"/>
  <c r="N3223" i="8"/>
  <c r="N3224" i="8"/>
  <c r="N3225" i="8"/>
  <c r="N3226" i="8"/>
  <c r="N3227" i="8"/>
  <c r="N3228" i="8"/>
  <c r="N3229" i="8"/>
  <c r="N3230" i="8"/>
  <c r="N3231" i="8"/>
  <c r="N3232" i="8"/>
  <c r="N3233" i="8"/>
  <c r="N3234" i="8"/>
  <c r="N3235" i="8"/>
  <c r="N3236" i="8"/>
  <c r="N3237" i="8"/>
  <c r="N3238" i="8"/>
  <c r="N3239" i="8"/>
  <c r="N3240" i="8"/>
  <c r="N3241" i="8"/>
  <c r="N3242" i="8"/>
  <c r="N3243" i="8"/>
  <c r="N3244" i="8"/>
  <c r="N3245" i="8"/>
  <c r="N3246" i="8"/>
  <c r="N3247" i="8"/>
  <c r="N3248" i="8"/>
  <c r="N3249" i="8"/>
  <c r="N3250" i="8"/>
  <c r="N3251" i="8"/>
  <c r="N3252" i="8"/>
  <c r="N3253" i="8"/>
  <c r="N3254" i="8"/>
  <c r="N3255" i="8"/>
  <c r="N3256" i="8"/>
  <c r="N3257" i="8"/>
  <c r="N3258" i="8"/>
  <c r="N3259" i="8"/>
  <c r="N3260" i="8"/>
  <c r="N3261" i="8"/>
  <c r="N3262" i="8"/>
  <c r="N3263" i="8"/>
  <c r="N3264" i="8"/>
  <c r="N3265" i="8"/>
  <c r="N3266" i="8"/>
  <c r="N3267" i="8"/>
  <c r="N3268" i="8"/>
  <c r="N3269" i="8"/>
  <c r="N3270" i="8"/>
  <c r="N3271" i="8"/>
  <c r="N3272" i="8"/>
  <c r="N3273" i="8"/>
  <c r="N3274" i="8"/>
  <c r="N3275" i="8"/>
  <c r="N3276" i="8"/>
  <c r="N3277" i="8"/>
  <c r="N3278" i="8"/>
  <c r="N3279" i="8"/>
  <c r="N3280" i="8"/>
  <c r="N3281" i="8"/>
  <c r="N3282" i="8"/>
  <c r="N3283" i="8"/>
  <c r="N3284" i="8"/>
  <c r="N3285" i="8"/>
  <c r="N3286" i="8"/>
  <c r="N3287" i="8"/>
  <c r="N3288" i="8"/>
  <c r="N3289" i="8"/>
  <c r="N3290" i="8"/>
  <c r="N3291" i="8"/>
  <c r="N3292" i="8"/>
  <c r="N3293" i="8"/>
  <c r="N3294" i="8"/>
  <c r="N3295" i="8"/>
  <c r="N3296" i="8"/>
  <c r="N3297" i="8"/>
  <c r="N3298" i="8"/>
  <c r="N3299" i="8"/>
  <c r="N3300" i="8"/>
  <c r="N3301" i="8"/>
  <c r="N3302" i="8"/>
  <c r="N3303" i="8"/>
  <c r="N3304" i="8"/>
  <c r="N3305" i="8"/>
  <c r="N3306" i="8"/>
  <c r="N3307" i="8"/>
  <c r="N3308" i="8"/>
  <c r="N3309" i="8"/>
  <c r="N3310" i="8"/>
  <c r="N3311" i="8"/>
  <c r="N3312" i="8"/>
  <c r="N3313" i="8"/>
  <c r="N3314" i="8"/>
  <c r="N3315" i="8"/>
  <c r="N3316" i="8"/>
  <c r="N3317" i="8"/>
  <c r="N3318" i="8"/>
  <c r="N3319" i="8"/>
  <c r="N3320" i="8"/>
  <c r="N3321" i="8"/>
  <c r="N3322" i="8"/>
  <c r="N3323" i="8"/>
  <c r="N3324" i="8"/>
  <c r="N3325" i="8"/>
  <c r="N3326" i="8"/>
  <c r="N3327" i="8"/>
  <c r="N3328" i="8"/>
  <c r="N3329" i="8"/>
  <c r="N3330" i="8"/>
  <c r="N3331" i="8"/>
  <c r="N3332" i="8"/>
  <c r="N3333" i="8"/>
  <c r="N3334" i="8"/>
  <c r="N3335" i="8"/>
  <c r="N3336" i="8"/>
  <c r="N3337" i="8"/>
  <c r="N3338" i="8"/>
  <c r="N3339" i="8"/>
  <c r="N3340" i="8"/>
  <c r="N3341" i="8"/>
  <c r="N3342" i="8"/>
  <c r="N3343" i="8"/>
  <c r="N3344" i="8"/>
  <c r="N3345" i="8"/>
  <c r="N3346" i="8"/>
  <c r="N3347" i="8"/>
  <c r="N3348" i="8"/>
  <c r="N3349" i="8"/>
  <c r="N3350" i="8"/>
  <c r="N3351" i="8"/>
  <c r="N3352" i="8"/>
  <c r="N3353" i="8"/>
  <c r="N3354" i="8"/>
  <c r="N3355" i="8"/>
  <c r="N3356" i="8"/>
  <c r="N3357" i="8"/>
  <c r="N3358" i="8"/>
  <c r="N3359" i="8"/>
  <c r="N3360" i="8"/>
  <c r="N3361" i="8"/>
  <c r="N3362" i="8"/>
  <c r="N3363" i="8"/>
  <c r="N3364" i="8"/>
  <c r="N3365" i="8"/>
  <c r="N3366" i="8"/>
  <c r="N3367" i="8"/>
  <c r="N3368" i="8"/>
  <c r="N3369" i="8"/>
  <c r="N3370" i="8"/>
  <c r="N3371" i="8"/>
  <c r="N3372" i="8"/>
  <c r="N3373" i="8"/>
  <c r="N3374" i="8"/>
  <c r="N3375" i="8"/>
  <c r="N3376" i="8"/>
  <c r="N3377" i="8"/>
  <c r="N3378" i="8"/>
  <c r="N3379" i="8"/>
  <c r="N3380" i="8"/>
  <c r="N3381" i="8"/>
  <c r="N3382" i="8"/>
  <c r="N3383" i="8"/>
  <c r="N3384" i="8"/>
  <c r="N3385" i="8"/>
  <c r="N3386" i="8"/>
  <c r="N3387" i="8"/>
  <c r="N3388" i="8"/>
  <c r="N3389" i="8"/>
  <c r="N3390" i="8"/>
  <c r="N3391" i="8"/>
  <c r="N3392" i="8"/>
  <c r="N3393" i="8"/>
  <c r="N3394" i="8"/>
  <c r="N3395" i="8"/>
  <c r="N3396" i="8"/>
  <c r="N3397" i="8"/>
  <c r="N3398" i="8"/>
  <c r="N3399" i="8"/>
  <c r="N3400" i="8"/>
  <c r="N3401" i="8"/>
  <c r="N3402" i="8"/>
  <c r="N3403" i="8"/>
  <c r="N3404" i="8"/>
  <c r="N3405" i="8"/>
  <c r="N3406" i="8"/>
  <c r="N3407" i="8"/>
  <c r="N3408" i="8"/>
  <c r="N3409" i="8"/>
  <c r="N3410" i="8"/>
  <c r="N3411" i="8"/>
  <c r="N3412" i="8"/>
  <c r="N3413" i="8"/>
  <c r="N3414" i="8"/>
  <c r="N3415" i="8"/>
  <c r="N3416" i="8"/>
  <c r="N3417" i="8"/>
  <c r="N3418" i="8"/>
  <c r="N3419" i="8"/>
  <c r="N3420" i="8"/>
  <c r="N3421" i="8"/>
  <c r="N3422" i="8"/>
  <c r="N3423" i="8"/>
  <c r="N3424" i="8"/>
  <c r="N3425" i="8"/>
  <c r="N3426" i="8"/>
  <c r="N3427" i="8"/>
  <c r="N3428" i="8"/>
  <c r="N3429" i="8"/>
  <c r="N3430" i="8"/>
  <c r="N3431" i="8"/>
  <c r="N3432" i="8"/>
  <c r="N3433" i="8"/>
  <c r="N3434" i="8"/>
  <c r="N3435" i="8"/>
  <c r="N3436" i="8"/>
  <c r="N3437" i="8"/>
  <c r="N3438" i="8"/>
  <c r="N3439" i="8"/>
  <c r="N3440" i="8"/>
  <c r="N3441" i="8"/>
  <c r="N3442" i="8"/>
  <c r="N3443" i="8"/>
  <c r="N3444" i="8"/>
  <c r="N3445" i="8"/>
  <c r="N3446" i="8"/>
  <c r="N3447" i="8"/>
  <c r="N3448" i="8"/>
  <c r="N3449" i="8"/>
  <c r="N3450" i="8"/>
  <c r="N3451" i="8"/>
  <c r="N3452" i="8"/>
  <c r="N3453" i="8"/>
  <c r="N3454" i="8"/>
  <c r="N3455" i="8"/>
  <c r="N3456" i="8"/>
  <c r="N3457" i="8"/>
  <c r="N3458" i="8"/>
  <c r="N3459" i="8"/>
  <c r="N3460" i="8"/>
  <c r="N3461" i="8"/>
  <c r="N3462" i="8"/>
  <c r="N3463" i="8"/>
  <c r="N3464" i="8"/>
  <c r="N3465" i="8"/>
  <c r="N3466" i="8"/>
  <c r="N3467" i="8"/>
  <c r="N3468" i="8"/>
  <c r="N3469" i="8"/>
  <c r="N3470" i="8"/>
  <c r="N3471" i="8"/>
  <c r="N3472" i="8"/>
  <c r="N3473" i="8"/>
  <c r="N3474" i="8"/>
  <c r="N3475" i="8"/>
  <c r="N3476" i="8"/>
  <c r="N3477" i="8"/>
  <c r="N3478" i="8"/>
  <c r="N3479" i="8"/>
  <c r="N3480" i="8"/>
  <c r="N3481" i="8"/>
  <c r="N3482" i="8"/>
  <c r="N3483" i="8"/>
  <c r="N3484" i="8"/>
  <c r="N3485" i="8"/>
  <c r="N3486" i="8"/>
  <c r="N3487" i="8"/>
  <c r="N3488" i="8"/>
  <c r="N3489" i="8"/>
  <c r="N3490" i="8"/>
  <c r="N3491" i="8"/>
  <c r="N3492" i="8"/>
  <c r="N3493" i="8"/>
  <c r="N3494" i="8"/>
  <c r="N3495" i="8"/>
  <c r="N3496" i="8"/>
  <c r="N3497" i="8"/>
  <c r="N3498" i="8"/>
  <c r="N3499" i="8"/>
  <c r="N3500" i="8"/>
  <c r="N3501" i="8"/>
  <c r="N3502" i="8"/>
  <c r="N3503" i="8"/>
  <c r="N3504" i="8"/>
  <c r="N3505" i="8"/>
  <c r="N3506" i="8"/>
  <c r="N3507" i="8"/>
  <c r="N3508" i="8"/>
  <c r="N3509" i="8"/>
  <c r="N3510" i="8"/>
  <c r="N3511" i="8"/>
  <c r="N3512" i="8"/>
  <c r="N3513" i="8"/>
  <c r="N3514" i="8"/>
  <c r="N3515" i="8"/>
  <c r="N3516" i="8"/>
  <c r="N3517" i="8"/>
  <c r="N3518" i="8"/>
  <c r="N3519" i="8"/>
  <c r="N3520" i="8"/>
  <c r="N3521" i="8"/>
  <c r="N3522" i="8"/>
  <c r="N3523" i="8"/>
  <c r="N3524" i="8"/>
  <c r="N3525" i="8"/>
  <c r="N3526" i="8"/>
  <c r="N3527" i="8"/>
  <c r="N3528" i="8"/>
  <c r="N3529" i="8"/>
  <c r="N3530" i="8"/>
  <c r="N3531" i="8"/>
  <c r="N3532" i="8"/>
  <c r="N3533" i="8"/>
  <c r="N3534" i="8"/>
  <c r="N3535" i="8"/>
  <c r="N3536" i="8"/>
  <c r="N3537" i="8"/>
  <c r="N3538" i="8"/>
  <c r="N3539" i="8"/>
  <c r="N3540" i="8"/>
  <c r="N3541" i="8"/>
  <c r="N3542" i="8"/>
  <c r="N3543" i="8"/>
  <c r="N3544" i="8"/>
  <c r="N3545" i="8"/>
  <c r="N3546" i="8"/>
  <c r="N3547" i="8"/>
  <c r="N3548" i="8"/>
  <c r="N3549" i="8"/>
  <c r="N3550" i="8"/>
  <c r="N3551" i="8"/>
  <c r="N3552" i="8"/>
  <c r="N3553" i="8"/>
  <c r="N3554" i="8"/>
  <c r="N3555" i="8"/>
  <c r="N3556" i="8"/>
  <c r="N3557" i="8"/>
  <c r="N3558" i="8"/>
  <c r="N3559" i="8"/>
  <c r="N3560" i="8"/>
  <c r="N3561" i="8"/>
  <c r="N3562" i="8"/>
  <c r="N3563" i="8"/>
  <c r="N3564" i="8"/>
  <c r="N3565" i="8"/>
  <c r="N3566" i="8"/>
  <c r="N3567" i="8"/>
  <c r="N3568" i="8"/>
  <c r="N3569" i="8"/>
  <c r="N3570" i="8"/>
  <c r="N3571" i="8"/>
  <c r="N3572" i="8"/>
  <c r="N3573" i="8"/>
  <c r="N3574" i="8"/>
  <c r="N3575" i="8"/>
  <c r="N3576" i="8"/>
  <c r="N3577" i="8"/>
  <c r="N3578" i="8"/>
  <c r="N3579" i="8"/>
  <c r="N3580" i="8"/>
  <c r="N3581" i="8"/>
  <c r="N3582" i="8"/>
  <c r="N3583" i="8"/>
  <c r="N3584" i="8"/>
  <c r="N3585" i="8"/>
  <c r="N3586" i="8"/>
  <c r="N3587" i="8"/>
  <c r="N3588" i="8"/>
  <c r="N3589" i="8"/>
  <c r="N3590" i="8"/>
  <c r="N3591" i="8"/>
  <c r="N3592" i="8"/>
  <c r="N3593" i="8"/>
  <c r="N3594" i="8"/>
  <c r="N3595" i="8"/>
  <c r="N3596" i="8"/>
  <c r="N3597" i="8"/>
  <c r="N3598" i="8"/>
  <c r="N3599" i="8"/>
  <c r="N3600" i="8"/>
  <c r="N3601" i="8"/>
  <c r="N3602" i="8"/>
  <c r="N3603" i="8"/>
  <c r="N3604" i="8"/>
  <c r="N3605" i="8"/>
  <c r="N3606" i="8"/>
  <c r="N3607" i="8"/>
  <c r="N3608" i="8"/>
  <c r="N3609" i="8"/>
  <c r="N3610" i="8"/>
  <c r="N3611" i="8"/>
  <c r="N3612" i="8"/>
  <c r="N3613" i="8"/>
  <c r="N3614" i="8"/>
  <c r="N3615" i="8"/>
  <c r="N3616" i="8"/>
  <c r="N3617" i="8"/>
  <c r="N3618" i="8"/>
  <c r="N3619" i="8"/>
  <c r="N3620" i="8"/>
  <c r="N3621" i="8"/>
  <c r="N3622" i="8"/>
  <c r="N3623" i="8"/>
  <c r="N3624" i="8"/>
  <c r="N3625" i="8"/>
  <c r="N3626" i="8"/>
  <c r="N3627" i="8"/>
  <c r="N3628" i="8"/>
  <c r="N3629" i="8"/>
  <c r="N3630" i="8"/>
  <c r="N3631" i="8"/>
  <c r="N3632" i="8"/>
  <c r="N3633" i="8"/>
  <c r="N3634" i="8"/>
  <c r="N3635" i="8"/>
  <c r="N3636" i="8"/>
  <c r="N3637" i="8"/>
  <c r="N3638" i="8"/>
  <c r="N3639" i="8"/>
  <c r="N3640" i="8"/>
  <c r="N3641" i="8"/>
  <c r="N3642" i="8"/>
  <c r="N3643" i="8"/>
  <c r="N3644" i="8"/>
  <c r="N3645" i="8"/>
  <c r="N3646" i="8"/>
  <c r="N3647" i="8"/>
  <c r="N3648" i="8"/>
  <c r="N3649" i="8"/>
  <c r="N3650" i="8"/>
  <c r="N3651" i="8"/>
  <c r="N3652" i="8"/>
  <c r="N3653" i="8"/>
  <c r="N3654" i="8"/>
  <c r="N3655" i="8"/>
  <c r="N3656" i="8"/>
  <c r="N3657" i="8"/>
  <c r="N3658" i="8"/>
  <c r="N3659" i="8"/>
  <c r="N3660" i="8"/>
  <c r="N3661" i="8"/>
  <c r="N3662" i="8"/>
  <c r="N3663" i="8"/>
  <c r="N3664" i="8"/>
  <c r="N3665" i="8"/>
  <c r="N3666" i="8"/>
  <c r="N3667" i="8"/>
  <c r="N3668" i="8"/>
  <c r="N3669" i="8"/>
  <c r="N3670" i="8"/>
  <c r="N3671" i="8"/>
  <c r="N3672" i="8"/>
  <c r="N3673" i="8"/>
  <c r="N3674" i="8"/>
  <c r="N3675" i="8"/>
  <c r="N3676" i="8"/>
  <c r="N3677" i="8"/>
  <c r="N3678" i="8"/>
  <c r="N3679" i="8"/>
  <c r="N3680" i="8"/>
  <c r="N3681" i="8"/>
  <c r="N3682" i="8"/>
  <c r="N3683" i="8"/>
  <c r="N3684" i="8"/>
  <c r="N3685" i="8"/>
  <c r="N3686" i="8"/>
  <c r="N3687" i="8"/>
  <c r="N3688" i="8"/>
  <c r="N3689" i="8"/>
  <c r="N3690" i="8"/>
  <c r="N3691" i="8"/>
  <c r="N3692" i="8"/>
  <c r="N3693" i="8"/>
  <c r="N3694" i="8"/>
  <c r="N3695" i="8"/>
  <c r="N3696" i="8"/>
  <c r="N3697" i="8"/>
  <c r="N3698" i="8"/>
  <c r="N3699" i="8"/>
  <c r="N3700" i="8"/>
  <c r="N3701" i="8"/>
  <c r="N3702" i="8"/>
  <c r="N3703" i="8"/>
  <c r="N3704" i="8"/>
  <c r="N3705" i="8"/>
  <c r="N3706" i="8"/>
  <c r="N3707" i="8"/>
  <c r="N3708" i="8"/>
  <c r="N3709" i="8"/>
  <c r="N3710" i="8"/>
  <c r="N3711" i="8"/>
  <c r="N3712" i="8"/>
  <c r="N3713" i="8"/>
  <c r="N3714" i="8"/>
  <c r="N3715" i="8"/>
  <c r="N3716" i="8"/>
  <c r="N3717" i="8"/>
  <c r="N3718" i="8"/>
  <c r="N3719" i="8"/>
  <c r="N3720" i="8"/>
  <c r="N3721" i="8"/>
  <c r="N3722" i="8"/>
  <c r="N3723" i="8"/>
  <c r="N3724" i="8"/>
  <c r="N3725" i="8"/>
  <c r="N3726" i="8"/>
  <c r="N3727" i="8"/>
  <c r="N3728" i="8"/>
  <c r="N3729" i="8"/>
  <c r="N3730" i="8"/>
  <c r="N3731" i="8"/>
  <c r="N3732" i="8"/>
  <c r="N3733" i="8"/>
  <c r="N3734" i="8"/>
  <c r="N3735" i="8"/>
  <c r="N3736" i="8"/>
  <c r="N3737" i="8"/>
  <c r="N3738" i="8"/>
  <c r="N3739" i="8"/>
  <c r="N3740" i="8"/>
  <c r="N3741" i="8"/>
  <c r="N3742" i="8"/>
  <c r="N3743" i="8"/>
  <c r="N3744" i="8"/>
  <c r="N3745" i="8"/>
  <c r="N3746" i="8"/>
  <c r="N3747" i="8"/>
  <c r="N3748" i="8"/>
  <c r="N3749" i="8"/>
  <c r="N3750" i="8"/>
  <c r="N3751" i="8"/>
  <c r="N3752" i="8"/>
  <c r="N3753" i="8"/>
  <c r="N3754" i="8"/>
  <c r="N3755" i="8"/>
  <c r="N3756" i="8"/>
  <c r="N3757" i="8"/>
  <c r="N3758" i="8"/>
  <c r="N3759" i="8"/>
  <c r="N3760" i="8"/>
  <c r="N3761" i="8"/>
  <c r="N3762" i="8"/>
  <c r="N3763" i="8"/>
  <c r="N3764" i="8"/>
  <c r="N3765" i="8"/>
  <c r="N3766" i="8"/>
  <c r="N3767" i="8"/>
  <c r="N3768" i="8"/>
  <c r="N3769" i="8"/>
  <c r="N3770" i="8"/>
  <c r="N3771" i="8"/>
  <c r="N3772" i="8"/>
  <c r="N3773" i="8"/>
  <c r="N3774" i="8"/>
  <c r="N3775" i="8"/>
  <c r="N3776" i="8"/>
  <c r="N3777" i="8"/>
  <c r="N3778" i="8"/>
  <c r="N3779" i="8"/>
  <c r="N3780" i="8"/>
  <c r="N3781" i="8"/>
  <c r="N3782" i="8"/>
  <c r="N3783" i="8"/>
  <c r="N3784" i="8"/>
  <c r="N3785" i="8"/>
  <c r="N3786" i="8"/>
  <c r="N3787" i="8"/>
  <c r="N3788" i="8"/>
  <c r="N3789" i="8"/>
  <c r="N3790" i="8"/>
  <c r="N3791" i="8"/>
  <c r="N3792" i="8"/>
  <c r="N3793" i="8"/>
  <c r="N3794" i="8"/>
  <c r="N3795" i="8"/>
  <c r="N3796" i="8"/>
  <c r="N3797" i="8"/>
  <c r="N3798" i="8"/>
  <c r="N3799" i="8"/>
  <c r="N3800" i="8"/>
  <c r="N3801" i="8"/>
  <c r="N3802" i="8"/>
  <c r="N3803" i="8"/>
  <c r="N3804" i="8"/>
  <c r="N3805" i="8"/>
  <c r="N3806" i="8"/>
  <c r="N3807" i="8"/>
  <c r="N3808" i="8"/>
  <c r="N3809" i="8"/>
  <c r="N3810" i="8"/>
  <c r="N3811" i="8"/>
  <c r="N3812" i="8"/>
  <c r="N3813" i="8"/>
  <c r="N3814" i="8"/>
  <c r="N3815" i="8"/>
  <c r="N3816" i="8"/>
  <c r="N3817" i="8"/>
  <c r="N3818" i="8"/>
  <c r="N3819" i="8"/>
  <c r="N3820" i="8"/>
  <c r="N3821" i="8"/>
  <c r="N3822" i="8"/>
  <c r="N3823" i="8"/>
  <c r="N3824" i="8"/>
  <c r="N3825" i="8"/>
  <c r="N3826" i="8"/>
  <c r="N3827" i="8"/>
  <c r="N3828" i="8"/>
  <c r="N3829" i="8"/>
  <c r="N3830" i="8"/>
  <c r="N3831" i="8"/>
  <c r="N3832" i="8"/>
  <c r="N3833" i="8"/>
  <c r="N3834" i="8"/>
  <c r="N3835" i="8"/>
  <c r="N3836" i="8"/>
  <c r="N3837" i="8"/>
  <c r="N3838" i="8"/>
  <c r="N3839" i="8"/>
  <c r="N3840" i="8"/>
  <c r="N3841" i="8"/>
  <c r="N3842" i="8"/>
  <c r="N3843" i="8"/>
  <c r="N3844" i="8"/>
  <c r="N3845" i="8"/>
  <c r="N3846" i="8"/>
  <c r="N3847" i="8"/>
  <c r="N3848" i="8"/>
  <c r="N3849" i="8"/>
  <c r="N3850" i="8"/>
  <c r="N3851" i="8"/>
  <c r="N3852" i="8"/>
  <c r="N3853" i="8"/>
  <c r="N3854" i="8"/>
  <c r="N3855" i="8"/>
  <c r="N3856" i="8"/>
  <c r="N3857" i="8"/>
  <c r="N3858" i="8"/>
  <c r="N3859" i="8"/>
  <c r="N3860" i="8"/>
  <c r="N3861" i="8"/>
  <c r="N3862" i="8"/>
  <c r="N3863" i="8"/>
  <c r="N3864" i="8"/>
  <c r="N3865" i="8"/>
  <c r="N3866" i="8"/>
  <c r="N3867" i="8"/>
  <c r="N3868" i="8"/>
  <c r="N3869" i="8"/>
  <c r="N3870" i="8"/>
  <c r="N3871" i="8"/>
  <c r="N3872" i="8"/>
  <c r="N3873" i="8"/>
  <c r="N3874" i="8"/>
  <c r="N3875" i="8"/>
  <c r="N3876" i="8"/>
  <c r="N3877" i="8"/>
  <c r="N3878" i="8"/>
  <c r="N3879" i="8"/>
  <c r="N3880" i="8"/>
  <c r="N3881" i="8"/>
  <c r="N3882" i="8"/>
  <c r="N3883" i="8"/>
  <c r="N3884" i="8"/>
  <c r="N3885" i="8"/>
  <c r="N3886" i="8"/>
  <c r="N3887" i="8"/>
  <c r="N3888" i="8"/>
  <c r="N3889" i="8"/>
  <c r="N3890" i="8"/>
  <c r="N3891" i="8"/>
  <c r="N3892" i="8"/>
  <c r="N3893" i="8"/>
  <c r="N3894" i="8"/>
  <c r="N3895" i="8"/>
  <c r="N3896" i="8"/>
  <c r="N3897" i="8"/>
  <c r="N3898" i="8"/>
  <c r="N3899" i="8"/>
  <c r="N3900" i="8"/>
  <c r="N3901" i="8"/>
  <c r="N3902" i="8"/>
  <c r="N3903" i="8"/>
  <c r="N3904" i="8"/>
  <c r="N3905" i="8"/>
  <c r="N3906" i="8"/>
  <c r="N3907" i="8"/>
  <c r="N3908" i="8"/>
  <c r="N3909" i="8"/>
  <c r="N3910" i="8"/>
  <c r="N3911" i="8"/>
  <c r="N3912" i="8"/>
  <c r="N3913" i="8"/>
  <c r="N3914" i="8"/>
  <c r="N3915" i="8"/>
  <c r="N3916" i="8"/>
  <c r="N3917" i="8"/>
  <c r="N3918" i="8"/>
  <c r="N3919" i="8"/>
  <c r="N3920" i="8"/>
  <c r="N3921" i="8"/>
  <c r="N3922" i="8"/>
  <c r="N3923" i="8"/>
  <c r="N3924" i="8"/>
  <c r="N3925" i="8"/>
  <c r="N3926" i="8"/>
  <c r="N3927" i="8"/>
  <c r="N3928" i="8"/>
  <c r="N3929" i="8"/>
  <c r="N3930" i="8"/>
  <c r="N3931" i="8"/>
  <c r="N3932" i="8"/>
  <c r="N3933" i="8"/>
  <c r="N3934" i="8"/>
  <c r="N3935" i="8"/>
  <c r="N3936" i="8"/>
  <c r="N3937" i="8"/>
  <c r="N3938" i="8"/>
  <c r="N3939" i="8"/>
  <c r="N3940" i="8"/>
  <c r="N3941" i="8"/>
  <c r="N3942" i="8"/>
  <c r="N3943" i="8"/>
  <c r="N3944" i="8"/>
  <c r="N3945" i="8"/>
  <c r="N3946" i="8"/>
  <c r="N3947" i="8"/>
  <c r="N3948" i="8"/>
  <c r="N3949" i="8"/>
  <c r="N3950" i="8"/>
  <c r="N3951" i="8"/>
  <c r="N3952" i="8"/>
  <c r="N3953" i="8"/>
  <c r="N3954" i="8"/>
  <c r="N3955" i="8"/>
  <c r="N3956" i="8"/>
  <c r="N3957" i="8"/>
  <c r="N3958" i="8"/>
  <c r="N3959" i="8"/>
  <c r="N3960" i="8"/>
  <c r="N3961" i="8"/>
  <c r="N3962" i="8"/>
  <c r="N3963" i="8"/>
  <c r="N3964" i="8"/>
  <c r="N3965" i="8"/>
  <c r="N3966" i="8"/>
  <c r="N3967" i="8"/>
  <c r="N3968" i="8"/>
  <c r="N3969" i="8"/>
  <c r="N3970" i="8"/>
  <c r="N3971" i="8"/>
  <c r="N3972" i="8"/>
  <c r="N3973" i="8"/>
  <c r="N3974" i="8"/>
  <c r="N3975" i="8"/>
  <c r="N3976" i="8"/>
  <c r="N3977" i="8"/>
  <c r="N3978" i="8"/>
  <c r="N3979" i="8"/>
  <c r="N3980" i="8"/>
  <c r="N3981" i="8"/>
  <c r="N3982" i="8"/>
  <c r="N3983" i="8"/>
  <c r="N3984" i="8"/>
  <c r="N3985" i="8"/>
  <c r="N3986" i="8"/>
  <c r="N3987" i="8"/>
  <c r="N3988" i="8"/>
  <c r="N3989" i="8"/>
  <c r="N3990" i="8"/>
  <c r="N3991" i="8"/>
  <c r="N3992" i="8"/>
  <c r="N3993" i="8"/>
  <c r="N3994" i="8"/>
  <c r="N3995" i="8"/>
  <c r="N3996" i="8"/>
  <c r="N3997" i="8"/>
  <c r="N3998" i="8"/>
  <c r="N3999" i="8"/>
  <c r="N4000" i="8"/>
  <c r="N4001" i="8"/>
  <c r="N4002" i="8"/>
  <c r="N4003" i="8"/>
  <c r="N4004" i="8"/>
  <c r="N4005" i="8"/>
  <c r="N4006" i="8"/>
  <c r="N4007" i="8"/>
  <c r="N4008" i="8"/>
  <c r="N4009" i="8"/>
  <c r="N4010" i="8"/>
  <c r="N4011" i="8"/>
  <c r="N4012" i="8"/>
  <c r="N4013" i="8"/>
  <c r="N4014" i="8"/>
  <c r="N4015" i="8"/>
  <c r="N4016" i="8"/>
  <c r="N4017" i="8"/>
  <c r="N4018" i="8"/>
  <c r="N4019" i="8"/>
  <c r="N4020" i="8"/>
  <c r="N4021" i="8"/>
  <c r="N4022" i="8"/>
  <c r="N4023" i="8"/>
  <c r="N4024" i="8"/>
  <c r="N4025" i="8"/>
  <c r="N4026" i="8"/>
  <c r="N4027" i="8"/>
  <c r="N4028" i="8"/>
  <c r="N4029" i="8"/>
  <c r="N4030" i="8"/>
  <c r="N4031" i="8"/>
  <c r="N4032" i="8"/>
  <c r="N4033" i="8"/>
  <c r="N4034" i="8"/>
  <c r="N4035" i="8"/>
  <c r="N4036" i="8"/>
  <c r="N4037" i="8"/>
  <c r="N4038" i="8"/>
  <c r="N4039" i="8"/>
  <c r="N4040" i="8"/>
  <c r="N4041" i="8"/>
  <c r="N4042" i="8"/>
  <c r="N4043" i="8"/>
  <c r="N4044" i="8"/>
  <c r="N4045" i="8"/>
  <c r="N4046" i="8"/>
  <c r="N4047" i="8"/>
  <c r="N4048" i="8"/>
  <c r="N4049" i="8"/>
  <c r="N4050" i="8"/>
  <c r="N4051" i="8"/>
  <c r="N4052" i="8"/>
  <c r="N4053" i="8"/>
  <c r="N4054" i="8"/>
  <c r="N4055" i="8"/>
  <c r="N4056" i="8"/>
  <c r="N4057" i="8"/>
  <c r="N4058" i="8"/>
  <c r="N4059" i="8"/>
  <c r="N4060" i="8"/>
  <c r="N4061" i="8"/>
  <c r="N4062" i="8"/>
  <c r="N4063" i="8"/>
  <c r="N4064" i="8"/>
  <c r="N4065" i="8"/>
  <c r="N4066" i="8"/>
  <c r="N4067" i="8"/>
  <c r="N4068" i="8"/>
  <c r="N4069" i="8"/>
  <c r="N4070" i="8"/>
  <c r="N4071" i="8"/>
  <c r="N4072" i="8"/>
  <c r="N4073" i="8"/>
  <c r="N4074" i="8"/>
  <c r="N4075" i="8"/>
  <c r="N4076" i="8"/>
  <c r="N4077" i="8"/>
  <c r="N4078" i="8"/>
  <c r="N4079" i="8"/>
  <c r="N4080" i="8"/>
  <c r="N4081" i="8"/>
  <c r="N4082" i="8"/>
  <c r="N4083" i="8"/>
  <c r="N4084" i="8"/>
  <c r="N4085" i="8"/>
  <c r="N4086" i="8"/>
  <c r="N4087" i="8"/>
  <c r="N4088" i="8"/>
  <c r="N4089" i="8"/>
  <c r="N4090" i="8"/>
  <c r="N4091" i="8"/>
  <c r="N4092" i="8"/>
  <c r="N4093" i="8"/>
  <c r="N4094" i="8"/>
  <c r="N4095" i="8"/>
  <c r="N4096" i="8"/>
  <c r="N4097" i="8"/>
  <c r="N4098" i="8"/>
  <c r="N4099" i="8"/>
  <c r="N4100" i="8"/>
  <c r="N4101" i="8"/>
  <c r="N4102" i="8"/>
  <c r="N4103" i="8"/>
  <c r="N4104" i="8"/>
  <c r="N4105" i="8"/>
  <c r="N4106" i="8"/>
  <c r="N4107" i="8"/>
  <c r="N4108" i="8"/>
  <c r="N4109" i="8"/>
  <c r="N4110" i="8"/>
  <c r="N4111" i="8"/>
  <c r="N4112" i="8"/>
  <c r="N4113" i="8"/>
  <c r="N4114" i="8"/>
  <c r="N4115" i="8"/>
  <c r="N4116" i="8"/>
  <c r="N4117" i="8"/>
  <c r="N4118" i="8"/>
  <c r="N4119" i="8"/>
  <c r="N4120" i="8"/>
  <c r="N4121" i="8"/>
  <c r="N4122" i="8"/>
  <c r="N4123" i="8"/>
  <c r="N4124" i="8"/>
  <c r="N4125" i="8"/>
  <c r="N4126" i="8"/>
  <c r="N4127" i="8"/>
  <c r="N4128" i="8"/>
  <c r="N4129" i="8"/>
  <c r="N4130" i="8"/>
  <c r="N4131" i="8"/>
  <c r="N4132" i="8"/>
  <c r="N4133" i="8"/>
  <c r="N4134" i="8"/>
  <c r="N4135" i="8"/>
  <c r="N4136" i="8"/>
  <c r="N4137" i="8"/>
  <c r="N4138" i="8"/>
  <c r="N4139" i="8"/>
  <c r="N4140" i="8"/>
  <c r="N4141" i="8"/>
  <c r="N4142" i="8"/>
  <c r="N4143" i="8"/>
  <c r="N4144" i="8"/>
  <c r="N4145" i="8"/>
  <c r="N4146" i="8"/>
  <c r="N4147" i="8"/>
  <c r="N4148" i="8"/>
  <c r="N4149" i="8"/>
  <c r="N4150" i="8"/>
  <c r="N4151" i="8"/>
  <c r="N4152" i="8"/>
  <c r="N4153" i="8"/>
  <c r="N4154" i="8"/>
  <c r="N4155" i="8"/>
  <c r="N4156" i="8"/>
  <c r="N4157" i="8"/>
  <c r="N4158" i="8"/>
  <c r="N4159" i="8"/>
  <c r="N4160" i="8"/>
  <c r="N4161" i="8"/>
  <c r="N4162" i="8"/>
  <c r="N4163" i="8"/>
  <c r="N4164" i="8"/>
  <c r="N4165" i="8"/>
  <c r="N4166" i="8"/>
  <c r="N4167" i="8"/>
  <c r="N4168" i="8"/>
  <c r="N4169" i="8"/>
  <c r="N4170" i="8"/>
  <c r="N4171" i="8"/>
  <c r="N4172" i="8"/>
  <c r="N4173" i="8"/>
  <c r="N4174" i="8"/>
  <c r="N4175" i="8"/>
  <c r="N4176" i="8"/>
  <c r="N4177" i="8"/>
  <c r="N4178" i="8"/>
  <c r="N4179" i="8"/>
  <c r="N4180" i="8"/>
  <c r="N4181" i="8"/>
  <c r="N4182" i="8"/>
  <c r="N4183" i="8"/>
  <c r="N4184" i="8"/>
  <c r="N4185" i="8"/>
  <c r="N4186" i="8"/>
  <c r="N4187" i="8"/>
  <c r="N4188" i="8"/>
  <c r="N4189" i="8"/>
  <c r="N4190" i="8"/>
  <c r="N4191" i="8"/>
  <c r="N4192" i="8"/>
  <c r="N4193" i="8"/>
  <c r="N4194" i="8"/>
  <c r="N4195" i="8"/>
  <c r="N4196" i="8"/>
  <c r="N4197" i="8"/>
  <c r="N4198" i="8"/>
  <c r="N4199" i="8"/>
  <c r="N4200" i="8"/>
  <c r="N4201" i="8"/>
  <c r="N4202" i="8"/>
  <c r="N4203" i="8"/>
  <c r="N4204" i="8"/>
  <c r="N4205" i="8"/>
  <c r="N4206" i="8"/>
  <c r="N4207" i="8"/>
  <c r="N4208" i="8"/>
  <c r="N4209" i="8"/>
  <c r="N4210" i="8"/>
  <c r="N4211" i="8"/>
  <c r="N4212" i="8"/>
  <c r="N4213" i="8"/>
  <c r="N4214" i="8"/>
  <c r="N4215" i="8"/>
  <c r="N4216" i="8"/>
  <c r="N4217" i="8"/>
  <c r="N4218" i="8"/>
  <c r="N4219" i="8"/>
  <c r="N4220" i="8"/>
  <c r="N4221" i="8"/>
  <c r="N4222" i="8"/>
  <c r="N4223" i="8"/>
  <c r="N4224" i="8"/>
  <c r="N4225" i="8"/>
  <c r="N4226" i="8"/>
  <c r="N4227" i="8"/>
  <c r="N4228" i="8"/>
  <c r="N4229" i="8"/>
  <c r="N4230" i="8"/>
  <c r="N4231" i="8"/>
  <c r="N4232" i="8"/>
  <c r="N4233" i="8"/>
  <c r="N4234" i="8"/>
  <c r="N4235" i="8"/>
  <c r="N4236" i="8"/>
  <c r="N4237" i="8"/>
  <c r="N4238" i="8"/>
  <c r="N4239" i="8"/>
  <c r="N4240" i="8"/>
  <c r="N4241" i="8"/>
  <c r="N4242" i="8"/>
  <c r="N4243" i="8"/>
  <c r="N4244" i="8"/>
  <c r="N4245" i="8"/>
  <c r="N4246" i="8"/>
  <c r="N4247" i="8"/>
  <c r="N4248" i="8"/>
  <c r="N4249" i="8"/>
  <c r="N4250" i="8"/>
  <c r="N4251" i="8"/>
  <c r="N4252" i="8"/>
  <c r="N4253" i="8"/>
  <c r="N4254" i="8"/>
  <c r="N4255" i="8"/>
  <c r="N4256" i="8"/>
  <c r="N4257" i="8"/>
  <c r="N4258" i="8"/>
  <c r="N4259" i="8"/>
  <c r="N4260" i="8"/>
  <c r="N4261" i="8"/>
  <c r="N4262" i="8"/>
  <c r="N4263" i="8"/>
  <c r="N4264" i="8"/>
  <c r="N4265" i="8"/>
  <c r="N4266" i="8"/>
  <c r="N4267" i="8"/>
  <c r="N4268" i="8"/>
  <c r="N4269" i="8"/>
  <c r="N4270" i="8"/>
  <c r="N4271" i="8"/>
  <c r="N4272" i="8"/>
  <c r="N4273" i="8"/>
  <c r="N4274" i="8"/>
  <c r="N4275" i="8"/>
  <c r="N4276" i="8"/>
  <c r="N4277" i="8"/>
  <c r="N4278" i="8"/>
  <c r="N4279" i="8"/>
  <c r="N4280" i="8"/>
  <c r="N4281" i="8"/>
  <c r="N4282" i="8"/>
  <c r="N4283" i="8"/>
  <c r="N4284" i="8"/>
  <c r="N4285" i="8"/>
  <c r="N4286" i="8"/>
  <c r="N4287" i="8"/>
  <c r="N4288" i="8"/>
  <c r="N4289" i="8"/>
  <c r="N4290" i="8"/>
  <c r="N4291" i="8"/>
  <c r="N4292" i="8"/>
  <c r="N4293" i="8"/>
  <c r="N4294" i="8"/>
  <c r="N4295" i="8"/>
  <c r="N4296" i="8"/>
  <c r="N4297" i="8"/>
  <c r="N4298" i="8"/>
  <c r="N4299" i="8"/>
  <c r="N4300" i="8"/>
  <c r="N4301" i="8"/>
  <c r="N4302" i="8"/>
  <c r="N4303" i="8"/>
  <c r="N4304" i="8"/>
  <c r="N4305" i="8"/>
  <c r="N4306" i="8"/>
  <c r="N4307" i="8"/>
  <c r="N4308" i="8"/>
  <c r="N4309" i="8"/>
  <c r="N4310" i="8"/>
  <c r="N4311" i="8"/>
  <c r="N4312" i="8"/>
  <c r="N4313" i="8"/>
  <c r="N4314" i="8"/>
  <c r="N4315" i="8"/>
  <c r="N4316" i="8"/>
  <c r="N4317" i="8"/>
  <c r="N4318" i="8"/>
  <c r="N4319" i="8"/>
  <c r="N4320" i="8"/>
  <c r="N4321" i="8"/>
  <c r="N4322" i="8"/>
  <c r="N4323" i="8"/>
  <c r="N4324" i="8"/>
  <c r="N4325" i="8"/>
  <c r="N4326" i="8"/>
  <c r="N4327" i="8"/>
  <c r="N4328" i="8"/>
  <c r="N4329" i="8"/>
  <c r="N4330" i="8"/>
  <c r="N4331" i="8"/>
  <c r="N4332" i="8"/>
  <c r="N4333" i="8"/>
  <c r="N4334" i="8"/>
  <c r="N4335" i="8"/>
  <c r="N4336" i="8"/>
  <c r="N4337" i="8"/>
  <c r="N4338" i="8"/>
  <c r="N4339" i="8"/>
  <c r="N4340" i="8"/>
  <c r="N4341" i="8"/>
  <c r="N4342" i="8"/>
  <c r="N4343" i="8"/>
  <c r="N4344" i="8"/>
  <c r="N4345" i="8"/>
  <c r="N4346" i="8"/>
  <c r="N4347" i="8"/>
  <c r="N4348" i="8"/>
  <c r="N4349" i="8"/>
  <c r="N4350" i="8"/>
  <c r="N4351" i="8"/>
  <c r="N4352" i="8"/>
  <c r="N4353" i="8"/>
  <c r="N4354" i="8"/>
  <c r="N4355" i="8"/>
  <c r="N4356" i="8"/>
  <c r="N4357" i="8"/>
  <c r="N4358" i="8"/>
  <c r="N4359" i="8"/>
  <c r="N4360" i="8"/>
  <c r="N4361" i="8"/>
  <c r="N4362" i="8"/>
  <c r="N4363" i="8"/>
  <c r="N4364" i="8"/>
  <c r="N4365" i="8"/>
  <c r="N4366" i="8"/>
  <c r="N4367" i="8"/>
  <c r="N4368" i="8"/>
  <c r="N4369" i="8"/>
  <c r="N4370" i="8"/>
  <c r="N4371" i="8"/>
  <c r="N4372" i="8"/>
  <c r="N4373" i="8"/>
  <c r="N4374" i="8"/>
  <c r="N4375" i="8"/>
  <c r="N4376" i="8"/>
  <c r="N4377" i="8"/>
  <c r="N4378" i="8"/>
  <c r="N4379" i="8"/>
  <c r="N4380" i="8"/>
  <c r="N4381" i="8"/>
  <c r="N4382" i="8"/>
  <c r="N4383" i="8"/>
  <c r="N4384" i="8"/>
  <c r="N4385" i="8"/>
  <c r="N4386" i="8"/>
  <c r="N4387" i="8"/>
  <c r="N4388" i="8"/>
  <c r="N4389" i="8"/>
  <c r="N4390" i="8"/>
  <c r="N4391" i="8"/>
  <c r="N4392" i="8"/>
  <c r="N4393" i="8"/>
  <c r="N4394" i="8"/>
  <c r="N4395" i="8"/>
  <c r="N4396" i="8"/>
  <c r="N4397" i="8"/>
  <c r="N4398" i="8"/>
  <c r="N4399" i="8"/>
  <c r="N4400" i="8"/>
  <c r="N4401" i="8"/>
  <c r="N4402" i="8"/>
  <c r="N4403" i="8"/>
  <c r="N4404" i="8"/>
  <c r="N4405" i="8"/>
  <c r="N4406" i="8"/>
  <c r="N4407" i="8"/>
  <c r="N4408" i="8"/>
  <c r="N4409" i="8"/>
  <c r="N4410" i="8"/>
  <c r="N4411" i="8"/>
  <c r="N4412" i="8"/>
  <c r="N4413" i="8"/>
  <c r="N4414" i="8"/>
  <c r="N4415" i="8"/>
  <c r="N4416" i="8"/>
  <c r="N4417" i="8"/>
  <c r="N4418" i="8"/>
  <c r="N4419" i="8"/>
  <c r="N4420" i="8"/>
  <c r="N4421" i="8"/>
  <c r="N4422" i="8"/>
  <c r="N4423" i="8"/>
  <c r="N4424" i="8"/>
  <c r="N4425" i="8"/>
  <c r="N4426" i="8"/>
  <c r="N4427" i="8"/>
  <c r="N4428" i="8"/>
  <c r="N4429" i="8"/>
  <c r="N4430" i="8"/>
  <c r="N4431" i="8"/>
  <c r="N4432" i="8"/>
  <c r="N4433" i="8"/>
  <c r="N4434" i="8"/>
  <c r="N4435" i="8"/>
  <c r="N4436" i="8"/>
  <c r="N4437" i="8"/>
  <c r="N4438" i="8"/>
  <c r="N4439" i="8"/>
  <c r="N4440" i="8"/>
  <c r="N4441" i="8"/>
  <c r="N4442" i="8"/>
  <c r="N4443" i="8"/>
  <c r="N4444" i="8"/>
  <c r="N4445" i="8"/>
  <c r="N4446" i="8"/>
  <c r="N4447" i="8"/>
  <c r="N4448" i="8"/>
  <c r="N4449" i="8"/>
  <c r="N4450" i="8"/>
  <c r="N4451" i="8"/>
  <c r="N4452" i="8"/>
  <c r="N4453" i="8"/>
  <c r="N4454" i="8"/>
  <c r="N4455" i="8"/>
  <c r="N4456" i="8"/>
  <c r="N4457" i="8"/>
  <c r="N4458" i="8"/>
  <c r="N4459" i="8"/>
  <c r="N4460" i="8"/>
  <c r="N4461" i="8"/>
  <c r="N4462" i="8"/>
  <c r="N4463" i="8"/>
  <c r="N4464" i="8"/>
  <c r="N4465" i="8"/>
  <c r="N4466" i="8"/>
  <c r="N4467" i="8"/>
  <c r="N4468" i="8"/>
  <c r="N4469" i="8"/>
  <c r="N4470" i="8"/>
  <c r="N4471" i="8"/>
  <c r="N4472" i="8"/>
  <c r="N4473" i="8"/>
  <c r="N4474" i="8"/>
  <c r="N4475" i="8"/>
  <c r="N4476" i="8"/>
  <c r="N4477" i="8"/>
  <c r="N4478" i="8"/>
  <c r="N4479" i="8"/>
  <c r="N4480" i="8"/>
  <c r="N4481" i="8"/>
  <c r="N4482" i="8"/>
  <c r="N4483" i="8"/>
  <c r="N4484" i="8"/>
  <c r="N4485" i="8"/>
  <c r="N4486" i="8"/>
  <c r="N4487" i="8"/>
  <c r="N4488" i="8"/>
  <c r="N4489" i="8"/>
  <c r="N4490" i="8"/>
  <c r="N4491" i="8"/>
  <c r="N4492" i="8"/>
  <c r="N4493" i="8"/>
  <c r="N4494" i="8"/>
  <c r="N4495" i="8"/>
  <c r="N4496" i="8"/>
  <c r="N4497" i="8"/>
  <c r="N4498" i="8"/>
  <c r="N4499" i="8"/>
  <c r="N4500" i="8"/>
  <c r="N4501" i="8"/>
  <c r="N4502" i="8"/>
  <c r="N4503" i="8"/>
  <c r="N4504" i="8"/>
  <c r="N4505" i="8"/>
  <c r="N4506" i="8"/>
  <c r="N4507" i="8"/>
  <c r="N4508" i="8"/>
  <c r="N4509" i="8"/>
  <c r="N4510" i="8"/>
  <c r="N4511" i="8"/>
  <c r="N4512" i="8"/>
  <c r="N4513" i="8"/>
  <c r="N4514" i="8"/>
  <c r="N4515" i="8"/>
  <c r="N4516" i="8"/>
  <c r="N4517" i="8"/>
  <c r="N4518" i="8"/>
  <c r="N4519" i="8"/>
  <c r="N4520" i="8"/>
  <c r="N4521" i="8"/>
  <c r="N4522" i="8"/>
  <c r="N4523" i="8"/>
  <c r="N4524" i="8"/>
  <c r="N4525" i="8"/>
  <c r="N4526" i="8"/>
  <c r="N4527" i="8"/>
  <c r="N4528" i="8"/>
  <c r="N4529" i="8"/>
  <c r="N4530" i="8"/>
  <c r="N4531" i="8"/>
  <c r="N4532" i="8"/>
  <c r="N4533" i="8"/>
  <c r="N4534" i="8"/>
  <c r="N4535" i="8"/>
  <c r="N4536" i="8"/>
  <c r="N4537" i="8"/>
  <c r="N4538" i="8"/>
  <c r="N4539" i="8"/>
  <c r="N4540" i="8"/>
  <c r="N4541" i="8"/>
  <c r="N4542" i="8"/>
  <c r="N4543" i="8"/>
  <c r="N4544" i="8"/>
  <c r="N4545" i="8"/>
  <c r="N4546" i="8"/>
  <c r="N4547" i="8"/>
  <c r="N4548" i="8"/>
  <c r="N4549" i="8"/>
  <c r="N4550" i="8"/>
  <c r="N4551" i="8"/>
  <c r="N4552" i="8"/>
  <c r="N4553" i="8"/>
  <c r="N4554" i="8"/>
  <c r="N4555" i="8"/>
  <c r="N4556" i="8"/>
  <c r="N4557" i="8"/>
  <c r="N4558" i="8"/>
  <c r="N4559" i="8"/>
  <c r="N4560" i="8"/>
  <c r="N4561" i="8"/>
  <c r="N4562" i="8"/>
  <c r="N4563" i="8"/>
  <c r="N4564" i="8"/>
  <c r="N4565" i="8"/>
  <c r="N4566" i="8"/>
  <c r="N4567" i="8"/>
  <c r="N4568" i="8"/>
  <c r="N4569" i="8"/>
  <c r="N4570" i="8"/>
  <c r="N4571" i="8"/>
  <c r="N4572" i="8"/>
  <c r="N4573" i="8"/>
  <c r="N4574" i="8"/>
  <c r="N4575" i="8"/>
  <c r="N4576" i="8"/>
  <c r="N4577" i="8"/>
  <c r="N4578" i="8"/>
  <c r="N4579" i="8"/>
  <c r="N4580" i="8"/>
  <c r="N4581" i="8"/>
  <c r="N4582" i="8"/>
  <c r="N4583" i="8"/>
  <c r="N4584" i="8"/>
  <c r="N4585" i="8"/>
  <c r="N4586" i="8"/>
  <c r="N4587" i="8"/>
  <c r="N4588" i="8"/>
  <c r="N4589" i="8"/>
  <c r="N4590" i="8"/>
  <c r="N4591" i="8"/>
  <c r="N4592" i="8"/>
  <c r="N4593" i="8"/>
  <c r="N4594" i="8"/>
  <c r="N4595" i="8"/>
  <c r="N4596" i="8"/>
  <c r="N4597" i="8"/>
  <c r="N4598" i="8"/>
  <c r="N4599" i="8"/>
  <c r="N4600" i="8"/>
  <c r="N4601" i="8"/>
  <c r="N4602" i="8"/>
  <c r="N4603" i="8"/>
  <c r="N4604" i="8"/>
  <c r="N4605" i="8"/>
  <c r="N4606" i="8"/>
  <c r="N4607" i="8"/>
  <c r="N4608" i="8"/>
  <c r="N4609" i="8"/>
  <c r="N4610" i="8"/>
  <c r="N4611" i="8"/>
  <c r="N4612" i="8"/>
  <c r="N4613" i="8"/>
  <c r="N4614" i="8"/>
  <c r="N4615" i="8"/>
  <c r="N4616" i="8"/>
  <c r="N4617" i="8"/>
  <c r="N4618" i="8"/>
  <c r="N4619" i="8"/>
  <c r="N4620" i="8"/>
  <c r="N4621" i="8"/>
  <c r="N4622" i="8"/>
  <c r="N4623" i="8"/>
  <c r="N4624" i="8"/>
  <c r="N4625" i="8"/>
  <c r="N4626" i="8"/>
  <c r="N4627" i="8"/>
  <c r="N4628" i="8"/>
  <c r="N4629" i="8"/>
  <c r="N4630" i="8"/>
  <c r="N4631" i="8"/>
  <c r="N4632" i="8"/>
  <c r="N4633" i="8"/>
  <c r="N4634" i="8"/>
  <c r="N4635" i="8"/>
  <c r="N4636" i="8"/>
  <c r="N4637" i="8"/>
  <c r="N4638" i="8"/>
  <c r="N4639" i="8"/>
  <c r="N4640" i="8"/>
  <c r="N4641" i="8"/>
  <c r="N4642" i="8"/>
  <c r="N4643" i="8"/>
  <c r="N4644" i="8"/>
  <c r="N4645" i="8"/>
  <c r="N4646" i="8"/>
  <c r="N4647" i="8"/>
  <c r="N4648" i="8"/>
  <c r="N4649" i="8"/>
  <c r="N4650" i="8"/>
  <c r="N4651" i="8"/>
  <c r="N4652" i="8"/>
  <c r="N4653" i="8"/>
  <c r="N4654" i="8"/>
  <c r="N4655" i="8"/>
  <c r="N4656" i="8"/>
  <c r="N4657" i="8"/>
  <c r="N4658" i="8"/>
  <c r="N4659" i="8"/>
  <c r="N4660" i="8"/>
  <c r="N4661" i="8"/>
  <c r="N4662" i="8"/>
  <c r="N4663" i="8"/>
  <c r="N4664" i="8"/>
  <c r="N4665" i="8"/>
  <c r="N4666" i="8"/>
  <c r="N4667" i="8"/>
  <c r="N4668" i="8"/>
  <c r="N4669" i="8"/>
  <c r="N4670" i="8"/>
  <c r="N4671" i="8"/>
  <c r="N4672" i="8"/>
  <c r="N4673" i="8"/>
  <c r="N4674" i="8"/>
  <c r="N4675" i="8"/>
  <c r="N4676" i="8"/>
  <c r="N4677" i="8"/>
  <c r="N4678" i="8"/>
  <c r="N4679" i="8"/>
  <c r="N4680" i="8"/>
  <c r="N4681" i="8"/>
  <c r="N4682" i="8"/>
  <c r="N4683" i="8"/>
  <c r="N4684" i="8"/>
  <c r="N4685" i="8"/>
  <c r="N4686" i="8"/>
  <c r="N4687" i="8"/>
  <c r="N4688" i="8"/>
  <c r="N4689" i="8"/>
  <c r="N4690" i="8"/>
  <c r="N4691" i="8"/>
  <c r="N4692" i="8"/>
  <c r="N4693" i="8"/>
  <c r="N4694" i="8"/>
  <c r="N4695" i="8"/>
  <c r="N4696" i="8"/>
  <c r="N4697" i="8"/>
  <c r="N4698" i="8"/>
  <c r="N4699" i="8"/>
  <c r="N4700" i="8"/>
  <c r="N4701" i="8"/>
  <c r="N4702" i="8"/>
  <c r="N4703" i="8"/>
  <c r="N4704" i="8"/>
  <c r="N4705" i="8"/>
  <c r="N4706" i="8"/>
  <c r="N4707" i="8"/>
  <c r="N4708" i="8"/>
  <c r="N4709" i="8"/>
  <c r="N4710" i="8"/>
  <c r="N4711" i="8"/>
  <c r="N4712" i="8"/>
  <c r="N4713" i="8"/>
  <c r="N4714" i="8"/>
  <c r="N4715" i="8"/>
  <c r="N4716" i="8"/>
  <c r="N4717" i="8"/>
  <c r="N4718" i="8"/>
  <c r="N4719" i="8"/>
  <c r="N4720" i="8"/>
  <c r="N4721" i="8"/>
  <c r="N4722" i="8"/>
  <c r="N4723" i="8"/>
  <c r="N4724" i="8"/>
  <c r="N4725" i="8"/>
  <c r="N4726" i="8"/>
  <c r="N4727" i="8"/>
  <c r="N4728" i="8"/>
  <c r="N4729" i="8"/>
  <c r="N4730" i="8"/>
  <c r="N4731" i="8"/>
  <c r="N4732" i="8"/>
  <c r="N4733" i="8"/>
  <c r="N4734" i="8"/>
  <c r="N4735" i="8"/>
  <c r="N4736" i="8"/>
  <c r="N4737" i="8"/>
  <c r="N4738" i="8"/>
  <c r="N4739" i="8"/>
  <c r="N4740" i="8"/>
  <c r="N4741" i="8"/>
  <c r="N4742" i="8"/>
  <c r="N4743" i="8"/>
  <c r="N4744" i="8"/>
  <c r="N4745" i="8"/>
  <c r="N4746" i="8"/>
  <c r="N4747" i="8"/>
  <c r="N4748" i="8"/>
  <c r="N4749" i="8"/>
  <c r="N4750" i="8"/>
  <c r="N4751" i="8"/>
  <c r="N4752" i="8"/>
  <c r="N4753" i="8"/>
  <c r="N4754" i="8"/>
  <c r="N4755" i="8"/>
  <c r="N4756" i="8"/>
  <c r="N4757" i="8"/>
  <c r="N4758" i="8"/>
  <c r="N4759" i="8"/>
  <c r="N4760" i="8"/>
  <c r="N4761" i="8"/>
  <c r="N4762" i="8"/>
  <c r="N4763" i="8"/>
  <c r="N4764" i="8"/>
  <c r="N4765" i="8"/>
  <c r="N4766" i="8"/>
  <c r="N4767" i="8"/>
  <c r="N4768" i="8"/>
  <c r="N4769" i="8"/>
  <c r="N4770" i="8"/>
  <c r="N4771" i="8"/>
  <c r="N4772" i="8"/>
  <c r="N4773" i="8"/>
  <c r="N4774" i="8"/>
  <c r="N4775" i="8"/>
  <c r="N4776" i="8"/>
  <c r="N4777" i="8"/>
  <c r="N4778" i="8"/>
  <c r="N4779" i="8"/>
  <c r="N4780" i="8"/>
  <c r="N4781" i="8"/>
  <c r="N4782" i="8"/>
  <c r="N4783" i="8"/>
  <c r="N4784" i="8"/>
  <c r="N4785" i="8"/>
  <c r="N4786" i="8"/>
  <c r="N4787" i="8"/>
  <c r="N4788" i="8"/>
  <c r="N4789" i="8"/>
  <c r="N4790" i="8"/>
  <c r="N4791" i="8"/>
  <c r="N4792" i="8"/>
  <c r="N4793" i="8"/>
  <c r="N4794" i="8"/>
  <c r="N4795" i="8"/>
  <c r="N4796" i="8"/>
  <c r="N4797" i="8"/>
  <c r="N4798" i="8"/>
  <c r="N4799" i="8"/>
  <c r="N4800" i="8"/>
  <c r="N4801" i="8"/>
  <c r="N4802" i="8"/>
  <c r="N4803" i="8"/>
  <c r="N4804" i="8"/>
  <c r="N4805" i="8"/>
  <c r="N4806" i="8"/>
  <c r="N4807" i="8"/>
  <c r="N4808" i="8"/>
  <c r="N4809" i="8"/>
  <c r="N4810" i="8"/>
  <c r="N4811" i="8"/>
  <c r="N4812" i="8"/>
  <c r="N4813" i="8"/>
  <c r="N4814" i="8"/>
  <c r="N4815" i="8"/>
  <c r="N4816" i="8"/>
  <c r="N4817" i="8"/>
  <c r="N4818" i="8"/>
  <c r="N4819" i="8"/>
  <c r="N4820" i="8"/>
  <c r="N4821" i="8"/>
  <c r="N4822" i="8"/>
  <c r="N4823" i="8"/>
  <c r="N4824" i="8"/>
  <c r="N4825" i="8"/>
  <c r="N4826" i="8"/>
  <c r="N4827" i="8"/>
  <c r="N4828" i="8"/>
  <c r="N4829" i="8"/>
  <c r="N4830" i="8"/>
  <c r="N4831" i="8"/>
  <c r="N4832" i="8"/>
  <c r="N4833" i="8"/>
  <c r="N4834" i="8"/>
  <c r="N4835" i="8"/>
  <c r="N4836" i="8"/>
  <c r="N4837" i="8"/>
  <c r="N4838" i="8"/>
  <c r="N4839" i="8"/>
  <c r="N4840" i="8"/>
  <c r="N4841" i="8"/>
  <c r="N4842" i="8"/>
  <c r="N4843" i="8"/>
  <c r="N4844" i="8"/>
  <c r="N4845" i="8"/>
  <c r="N4846" i="8"/>
  <c r="N4847" i="8"/>
  <c r="N4848" i="8"/>
  <c r="N4849" i="8"/>
  <c r="N4850" i="8"/>
  <c r="N4851" i="8"/>
  <c r="N4852" i="8"/>
  <c r="N4853" i="8"/>
  <c r="N4854" i="8"/>
  <c r="N4855" i="8"/>
  <c r="N4856" i="8"/>
  <c r="N4857" i="8"/>
  <c r="N4858" i="8"/>
  <c r="N4859" i="8"/>
  <c r="N4860" i="8"/>
  <c r="N4861" i="8"/>
  <c r="N4862" i="8"/>
  <c r="N4863" i="8"/>
  <c r="N4864" i="8"/>
  <c r="N4865" i="8"/>
  <c r="N4866" i="8"/>
  <c r="N4867" i="8"/>
  <c r="N4868" i="8"/>
  <c r="N4869" i="8"/>
  <c r="N4870" i="8"/>
  <c r="N4871" i="8"/>
  <c r="N4872" i="8"/>
  <c r="N4873" i="8"/>
  <c r="N4874" i="8"/>
  <c r="N4875" i="8"/>
  <c r="N4876" i="8"/>
  <c r="N4877" i="8"/>
  <c r="N4878" i="8"/>
  <c r="N4879" i="8"/>
  <c r="N4880" i="8"/>
  <c r="N4881" i="8"/>
  <c r="N4882" i="8"/>
  <c r="N4883" i="8"/>
  <c r="N4884" i="8"/>
  <c r="N4885" i="8"/>
  <c r="N4886" i="8"/>
  <c r="N4887" i="8"/>
  <c r="N4888" i="8"/>
  <c r="N4889" i="8"/>
  <c r="N4890" i="8"/>
  <c r="N4891" i="8"/>
  <c r="N4892" i="8"/>
  <c r="N4893" i="8"/>
  <c r="N4894" i="8"/>
  <c r="N4895" i="8"/>
  <c r="N4896" i="8"/>
  <c r="N4897" i="8"/>
  <c r="N4898" i="8"/>
  <c r="N4899" i="8"/>
  <c r="N4900" i="8"/>
  <c r="N4901" i="8"/>
  <c r="N4902" i="8"/>
  <c r="N4903" i="8"/>
  <c r="N4904" i="8"/>
  <c r="N4905" i="8"/>
  <c r="N4906" i="8"/>
  <c r="N4907" i="8"/>
  <c r="N4908" i="8"/>
  <c r="N4909" i="8"/>
  <c r="N4910" i="8"/>
  <c r="N4911" i="8"/>
  <c r="N4912" i="8"/>
  <c r="N4913" i="8"/>
  <c r="N4914" i="8"/>
  <c r="N4915" i="8"/>
  <c r="N4916" i="8"/>
  <c r="N4917" i="8"/>
  <c r="N4918" i="8"/>
  <c r="N4919" i="8"/>
  <c r="N4920" i="8"/>
  <c r="N4921" i="8"/>
  <c r="N4922" i="8"/>
  <c r="N4923" i="8"/>
  <c r="N4924" i="8"/>
  <c r="N4925" i="8"/>
  <c r="N4926" i="8"/>
  <c r="N4927" i="8"/>
  <c r="N4928" i="8"/>
  <c r="N4929" i="8"/>
  <c r="N4930" i="8"/>
  <c r="N4931" i="8"/>
  <c r="N4932" i="8"/>
  <c r="N4933" i="8"/>
  <c r="N4934" i="8"/>
  <c r="N4935" i="8"/>
  <c r="N4936" i="8"/>
  <c r="N4937" i="8"/>
  <c r="N4938" i="8"/>
  <c r="N4939" i="8"/>
  <c r="N4940" i="8"/>
  <c r="N4941" i="8"/>
  <c r="N4942" i="8"/>
  <c r="N4943" i="8"/>
  <c r="N4944" i="8"/>
  <c r="N4945" i="8"/>
  <c r="N4946" i="8"/>
  <c r="N4947" i="8"/>
  <c r="N4948" i="8"/>
  <c r="N4949" i="8"/>
  <c r="N4950" i="8"/>
  <c r="N4951" i="8"/>
  <c r="N4952" i="8"/>
  <c r="N4953" i="8"/>
  <c r="N4954" i="8"/>
  <c r="N4955" i="8"/>
  <c r="N4956" i="8"/>
  <c r="N4957" i="8"/>
  <c r="N4958" i="8"/>
  <c r="N4959" i="8"/>
  <c r="N4960" i="8"/>
  <c r="N4961" i="8"/>
  <c r="N4962" i="8"/>
  <c r="N4963" i="8"/>
  <c r="N4964" i="8"/>
  <c r="N4965" i="8"/>
  <c r="N4966" i="8"/>
  <c r="N4967" i="8"/>
  <c r="N4968" i="8"/>
  <c r="N4969" i="8"/>
  <c r="N4970" i="8"/>
  <c r="N4971" i="8"/>
  <c r="N4972" i="8"/>
  <c r="N4973" i="8"/>
  <c r="N4974" i="8"/>
  <c r="N4975" i="8"/>
  <c r="N4976" i="8"/>
  <c r="N4977" i="8"/>
  <c r="N4978" i="8"/>
  <c r="N4979" i="8"/>
  <c r="N4980" i="8"/>
  <c r="N4981" i="8"/>
  <c r="N4982" i="8"/>
  <c r="N4983" i="8"/>
  <c r="N4984" i="8"/>
  <c r="N4985" i="8"/>
  <c r="N4986" i="8"/>
  <c r="N4987" i="8"/>
  <c r="N4988" i="8"/>
  <c r="N4989" i="8"/>
  <c r="N4990" i="8"/>
  <c r="N4991" i="8"/>
  <c r="N4992" i="8"/>
  <c r="N4993" i="8"/>
  <c r="N4994" i="8"/>
  <c r="N4995" i="8"/>
  <c r="N4996" i="8"/>
  <c r="N4997" i="8"/>
  <c r="N4998" i="8"/>
  <c r="N4999" i="8"/>
  <c r="N5000" i="8"/>
  <c r="N5001" i="8"/>
  <c r="N5002" i="8"/>
  <c r="N5003" i="8"/>
  <c r="N5004" i="8"/>
  <c r="N5005" i="8"/>
  <c r="N5006" i="8"/>
  <c r="N5007" i="8"/>
  <c r="N5008" i="8"/>
  <c r="N5009" i="8"/>
  <c r="N5010" i="8"/>
  <c r="N5011" i="8"/>
  <c r="N5012" i="8"/>
  <c r="N5013" i="8"/>
  <c r="N5014" i="8"/>
  <c r="N5015" i="8"/>
  <c r="N5016" i="8"/>
  <c r="N5017" i="8"/>
  <c r="N5018" i="8"/>
  <c r="N5019" i="8"/>
  <c r="N5020" i="8"/>
  <c r="N5021" i="8"/>
  <c r="N5022" i="8"/>
  <c r="N5023" i="8"/>
  <c r="N5024" i="8"/>
  <c r="N5025" i="8"/>
  <c r="N5026" i="8"/>
  <c r="N5027" i="8"/>
  <c r="N5028" i="8"/>
  <c r="N5029" i="8"/>
  <c r="N5030" i="8"/>
  <c r="N5031" i="8"/>
  <c r="N5032" i="8"/>
  <c r="N5033" i="8"/>
  <c r="N5034" i="8"/>
  <c r="N5035" i="8"/>
  <c r="N5036" i="8"/>
  <c r="N5037" i="8"/>
  <c r="N5038" i="8"/>
  <c r="N5039" i="8"/>
  <c r="N5040" i="8"/>
  <c r="N5041" i="8"/>
  <c r="N5042" i="8"/>
  <c r="N5043" i="8"/>
  <c r="N5044" i="8"/>
  <c r="N5045" i="8"/>
  <c r="N5046" i="8"/>
  <c r="N5047" i="8"/>
  <c r="N5048" i="8"/>
  <c r="N5049" i="8"/>
  <c r="N5050" i="8"/>
  <c r="N5051" i="8"/>
  <c r="N5052" i="8"/>
  <c r="N5053" i="8"/>
  <c r="N5054" i="8"/>
  <c r="N5055" i="8"/>
  <c r="N5056" i="8"/>
  <c r="N5057" i="8"/>
  <c r="N5058" i="8"/>
  <c r="N5059" i="8"/>
  <c r="N5060" i="8"/>
  <c r="N5061" i="8"/>
  <c r="N5062" i="8"/>
  <c r="N5063" i="8"/>
  <c r="N5064" i="8"/>
  <c r="N5065" i="8"/>
  <c r="N5066" i="8"/>
  <c r="N5067" i="8"/>
  <c r="N5068" i="8"/>
  <c r="N5069" i="8"/>
  <c r="N5070" i="8"/>
  <c r="N5071" i="8"/>
  <c r="N5072" i="8"/>
  <c r="N5073" i="8"/>
  <c r="N5074" i="8"/>
  <c r="N5075" i="8"/>
  <c r="N5076" i="8"/>
  <c r="N5077" i="8"/>
  <c r="N5078" i="8"/>
  <c r="N5079" i="8"/>
  <c r="N5080" i="8"/>
  <c r="N5081" i="8"/>
  <c r="N5082" i="8"/>
  <c r="N5083" i="8"/>
  <c r="N5084" i="8"/>
  <c r="N5085" i="8"/>
  <c r="N5086" i="8"/>
  <c r="N5087" i="8"/>
  <c r="N5088" i="8"/>
  <c r="N5089" i="8"/>
  <c r="N5090" i="8"/>
  <c r="N5091" i="8"/>
  <c r="N5092" i="8"/>
  <c r="N5093" i="8"/>
  <c r="N5094" i="8"/>
  <c r="N5095" i="8"/>
  <c r="N5096" i="8"/>
  <c r="N5097" i="8"/>
  <c r="N5098" i="8"/>
  <c r="N5099" i="8"/>
  <c r="N5100" i="8"/>
  <c r="N5101" i="8"/>
  <c r="N5102" i="8"/>
  <c r="N5103" i="8"/>
  <c r="N5104" i="8"/>
  <c r="N5105" i="8"/>
  <c r="N5106" i="8"/>
  <c r="N5107" i="8"/>
  <c r="N5108" i="8"/>
  <c r="N5109" i="8"/>
  <c r="N5110" i="8"/>
  <c r="N5111" i="8"/>
  <c r="N5112" i="8"/>
  <c r="N5113" i="8"/>
  <c r="N5114" i="8"/>
  <c r="N5115" i="8"/>
  <c r="N5116" i="8"/>
  <c r="N5117" i="8"/>
  <c r="N5118" i="8"/>
  <c r="N5119" i="8"/>
  <c r="N5120" i="8"/>
  <c r="N5121" i="8"/>
  <c r="N5122" i="8"/>
  <c r="N5123" i="8"/>
  <c r="N5124" i="8"/>
  <c r="N5125" i="8"/>
  <c r="N5126" i="8"/>
  <c r="N5127" i="8"/>
  <c r="N5128" i="8"/>
  <c r="N5129" i="8"/>
  <c r="N5130" i="8"/>
  <c r="N5131" i="8"/>
  <c r="N5132" i="8"/>
  <c r="N5133" i="8"/>
  <c r="N5134" i="8"/>
  <c r="N5135" i="8"/>
  <c r="N5136" i="8"/>
  <c r="N5137" i="8"/>
  <c r="N5138" i="8"/>
  <c r="N5139" i="8"/>
  <c r="N5140" i="8"/>
  <c r="N5141" i="8"/>
  <c r="N5142" i="8"/>
  <c r="N5143" i="8"/>
  <c r="N5144" i="8"/>
  <c r="N5145" i="8"/>
  <c r="N5146" i="8"/>
  <c r="N5147" i="8"/>
  <c r="N5148" i="8"/>
  <c r="N5149" i="8"/>
  <c r="N5150" i="8"/>
  <c r="N5151" i="8"/>
  <c r="N5152" i="8"/>
  <c r="N5153" i="8"/>
  <c r="N5154" i="8"/>
  <c r="N5155" i="8"/>
  <c r="N5156" i="8"/>
  <c r="N5157" i="8"/>
  <c r="N5158" i="8"/>
  <c r="N5159" i="8"/>
  <c r="N5160" i="8"/>
  <c r="N5161" i="8"/>
  <c r="N5162" i="8"/>
  <c r="N5163" i="8"/>
  <c r="N5164" i="8"/>
  <c r="N5165" i="8"/>
  <c r="N5166" i="8"/>
  <c r="N5167" i="8"/>
  <c r="N5168" i="8"/>
  <c r="N5169" i="8"/>
  <c r="N5170" i="8"/>
  <c r="N5171" i="8"/>
  <c r="N5172" i="8"/>
  <c r="N5173" i="8"/>
  <c r="N5174" i="8"/>
  <c r="N5175" i="8"/>
  <c r="N5176" i="8"/>
  <c r="N5177" i="8"/>
  <c r="N5178" i="8"/>
  <c r="N5179" i="8"/>
  <c r="N5180" i="8"/>
  <c r="N5181" i="8"/>
  <c r="N5182" i="8"/>
  <c r="N5183" i="8"/>
  <c r="N5184" i="8"/>
  <c r="N5185" i="8"/>
  <c r="N5186" i="8"/>
  <c r="N5187" i="8"/>
  <c r="N5188" i="8"/>
  <c r="N5189" i="8"/>
  <c r="N5190" i="8"/>
  <c r="N5191" i="8"/>
  <c r="N5192" i="8"/>
  <c r="N5193" i="8"/>
  <c r="N5194" i="8"/>
  <c r="N5195" i="8"/>
  <c r="N5196" i="8"/>
  <c r="N5197" i="8"/>
  <c r="N5198" i="8"/>
  <c r="N5199" i="8"/>
  <c r="N5200" i="8"/>
  <c r="N5201" i="8"/>
  <c r="N5202" i="8"/>
  <c r="N5203" i="8"/>
  <c r="N5204" i="8"/>
  <c r="N5205" i="8"/>
  <c r="N5206" i="8"/>
  <c r="N5207" i="8"/>
  <c r="N5208" i="8"/>
  <c r="N5209" i="8"/>
  <c r="N5210" i="8"/>
  <c r="N5211" i="8"/>
  <c r="N5212" i="8"/>
  <c r="N5213" i="8"/>
  <c r="N5214" i="8"/>
  <c r="N5215" i="8"/>
  <c r="N5216" i="8"/>
  <c r="N5217" i="8"/>
  <c r="N5218" i="8"/>
  <c r="N5219" i="8"/>
  <c r="N5220" i="8"/>
  <c r="N5221" i="8"/>
  <c r="N5222" i="8"/>
  <c r="N5223" i="8"/>
  <c r="N5224" i="8"/>
  <c r="N5225" i="8"/>
  <c r="N5226" i="8"/>
  <c r="N5227" i="8"/>
  <c r="N5228" i="8"/>
  <c r="N5229" i="8"/>
  <c r="N5230" i="8"/>
  <c r="N5231" i="8"/>
  <c r="N5232" i="8"/>
  <c r="N5233" i="8"/>
  <c r="N5234" i="8"/>
  <c r="N5235" i="8"/>
  <c r="N5236" i="8"/>
  <c r="N5237" i="8"/>
  <c r="N5238" i="8"/>
  <c r="N5239" i="8"/>
  <c r="N5240" i="8"/>
  <c r="N5241" i="8"/>
  <c r="N5242" i="8"/>
  <c r="N5243" i="8"/>
  <c r="N5244" i="8"/>
  <c r="N5245" i="8"/>
  <c r="N5246" i="8"/>
  <c r="N5247" i="8"/>
  <c r="N5248" i="8"/>
  <c r="N5249" i="8"/>
  <c r="N5250" i="8"/>
  <c r="N5251" i="8"/>
  <c r="N5252" i="8"/>
  <c r="N5253" i="8"/>
  <c r="N5254" i="8"/>
  <c r="N5255" i="8"/>
  <c r="N5256" i="8"/>
  <c r="N5257" i="8"/>
  <c r="N5258" i="8"/>
  <c r="N5259" i="8"/>
  <c r="N5260" i="8"/>
  <c r="N5261" i="8"/>
  <c r="N5262" i="8"/>
  <c r="N5263" i="8"/>
  <c r="N5264" i="8"/>
  <c r="N5265" i="8"/>
  <c r="N5266" i="8"/>
  <c r="N5267" i="8"/>
  <c r="N5268" i="8"/>
  <c r="N5269" i="8"/>
  <c r="N5270" i="8"/>
  <c r="N5271" i="8"/>
  <c r="N5272" i="8"/>
  <c r="N5273" i="8"/>
  <c r="N5274" i="8"/>
  <c r="N5275" i="8"/>
  <c r="N5276" i="8"/>
  <c r="N5277" i="8"/>
  <c r="N5278" i="8"/>
  <c r="N5279" i="8"/>
  <c r="N5280" i="8"/>
  <c r="N5281" i="8"/>
  <c r="N5282" i="8"/>
  <c r="N5283" i="8"/>
  <c r="N5284" i="8"/>
  <c r="N5285" i="8"/>
  <c r="N5286" i="8"/>
  <c r="N5287" i="8"/>
  <c r="N5288" i="8"/>
  <c r="N5289" i="8"/>
  <c r="N5290" i="8"/>
  <c r="N5291" i="8"/>
  <c r="N5292" i="8"/>
  <c r="N5293" i="8"/>
  <c r="N5294" i="8"/>
  <c r="N5295" i="8"/>
  <c r="N5296" i="8"/>
  <c r="N5297" i="8"/>
  <c r="N5298" i="8"/>
  <c r="N5299" i="8"/>
  <c r="N5300" i="8"/>
  <c r="N5301" i="8"/>
  <c r="N5302" i="8"/>
  <c r="N5303" i="8"/>
  <c r="N5304" i="8"/>
  <c r="N5305" i="8"/>
  <c r="N5306" i="8"/>
  <c r="N5307" i="8"/>
  <c r="N5308" i="8"/>
  <c r="N5309" i="8"/>
  <c r="N5310" i="8"/>
  <c r="N5311" i="8"/>
  <c r="N5312" i="8"/>
  <c r="N5313" i="8"/>
  <c r="N5314" i="8"/>
  <c r="N5315" i="8"/>
  <c r="N5316" i="8"/>
  <c r="N5317" i="8"/>
  <c r="N5318" i="8"/>
  <c r="N5319" i="8"/>
  <c r="N5320" i="8"/>
  <c r="N5321" i="8"/>
  <c r="N5322" i="8"/>
  <c r="N5323" i="8"/>
  <c r="N5324" i="8"/>
  <c r="N5325" i="8"/>
  <c r="N5326" i="8"/>
  <c r="N5327" i="8"/>
  <c r="N5328" i="8"/>
  <c r="N5329" i="8"/>
  <c r="N5330" i="8"/>
  <c r="N5331" i="8"/>
  <c r="N5332" i="8"/>
  <c r="N5333" i="8"/>
  <c r="N5334" i="8"/>
  <c r="N5335" i="8"/>
  <c r="N5336" i="8"/>
  <c r="N5337" i="8"/>
  <c r="N5338" i="8"/>
  <c r="N5339" i="8"/>
  <c r="N5340" i="8"/>
  <c r="N5341" i="8"/>
  <c r="N5342" i="8"/>
  <c r="N5343" i="8"/>
  <c r="N5344" i="8"/>
  <c r="N5345" i="8"/>
  <c r="N5346" i="8"/>
  <c r="N5347" i="8"/>
  <c r="N5348" i="8"/>
  <c r="N5349" i="8"/>
  <c r="N5350" i="8"/>
  <c r="N5351" i="8"/>
  <c r="N5352" i="8"/>
  <c r="N5353" i="8"/>
  <c r="N5354" i="8"/>
  <c r="N5355" i="8"/>
  <c r="N5356" i="8"/>
  <c r="N5357" i="8"/>
  <c r="N5358" i="8"/>
  <c r="N5359" i="8"/>
  <c r="N5360" i="8"/>
  <c r="N5361" i="8"/>
  <c r="N5362" i="8"/>
  <c r="N5363" i="8"/>
  <c r="N5364" i="8"/>
  <c r="N5365" i="8"/>
  <c r="N5366" i="8"/>
  <c r="N5367" i="8"/>
  <c r="N5368" i="8"/>
  <c r="N5369" i="8"/>
  <c r="N5370" i="8"/>
  <c r="N5371" i="8"/>
  <c r="N5372" i="8"/>
  <c r="N5373" i="8"/>
  <c r="N5374" i="8"/>
  <c r="N5375" i="8"/>
  <c r="N5376" i="8"/>
  <c r="N5377" i="8"/>
  <c r="N5378" i="8"/>
  <c r="N5379" i="8"/>
  <c r="N5380" i="8"/>
  <c r="N5381" i="8"/>
  <c r="N5382" i="8"/>
  <c r="N5383" i="8"/>
  <c r="N5384" i="8"/>
  <c r="N5385" i="8"/>
  <c r="N5386" i="8"/>
  <c r="N5387" i="8"/>
  <c r="N5388" i="8"/>
  <c r="N5389" i="8"/>
  <c r="N5390" i="8"/>
  <c r="N5391" i="8"/>
  <c r="N5392" i="8"/>
  <c r="N5393" i="8"/>
  <c r="N5394" i="8"/>
  <c r="N5395" i="8"/>
  <c r="N5396" i="8"/>
  <c r="N5397" i="8"/>
  <c r="N5398" i="8"/>
  <c r="N5399" i="8"/>
  <c r="N5400" i="8"/>
  <c r="N5401" i="8"/>
  <c r="N5402" i="8"/>
  <c r="N5403" i="8"/>
  <c r="N5404" i="8"/>
  <c r="N5405" i="8"/>
  <c r="N5406" i="8"/>
  <c r="N5407" i="8"/>
  <c r="N5408" i="8"/>
  <c r="N5409" i="8"/>
  <c r="N5410" i="8"/>
  <c r="N5411" i="8"/>
  <c r="N5412" i="8"/>
  <c r="N5413" i="8"/>
  <c r="N5414" i="8"/>
  <c r="N5415" i="8"/>
  <c r="N5416" i="8"/>
  <c r="N5417" i="8"/>
  <c r="N5418" i="8"/>
  <c r="N5419" i="8"/>
  <c r="N5420" i="8"/>
  <c r="N5421" i="8"/>
  <c r="N5422" i="8"/>
  <c r="N5423" i="8"/>
  <c r="N5424" i="8"/>
  <c r="N5425" i="8"/>
  <c r="N5426" i="8"/>
  <c r="N5427" i="8"/>
  <c r="N5428" i="8"/>
  <c r="N5429" i="8"/>
  <c r="N5430" i="8"/>
  <c r="N5431" i="8"/>
  <c r="N5432" i="8"/>
  <c r="N5433" i="8"/>
  <c r="N5434" i="8"/>
  <c r="N5435" i="8"/>
  <c r="N5436" i="8"/>
  <c r="N5437" i="8"/>
  <c r="N5438" i="8"/>
  <c r="N5439" i="8"/>
  <c r="N5440" i="8"/>
  <c r="N5441" i="8"/>
  <c r="N5442" i="8"/>
  <c r="N5443" i="8"/>
  <c r="N5444" i="8"/>
  <c r="N5445" i="8"/>
  <c r="N5446" i="8"/>
  <c r="N5447" i="8"/>
  <c r="N5448" i="8"/>
  <c r="N5449" i="8"/>
  <c r="N5450" i="8"/>
  <c r="N5451" i="8"/>
  <c r="N5452" i="8"/>
  <c r="N5453" i="8"/>
  <c r="N5454" i="8"/>
  <c r="N5455" i="8"/>
  <c r="N5456" i="8"/>
  <c r="N5457" i="8"/>
  <c r="N5458" i="8"/>
  <c r="N5459" i="8"/>
  <c r="N5460" i="8"/>
  <c r="N5461" i="8"/>
  <c r="N5462" i="8"/>
  <c r="N5463" i="8"/>
  <c r="N5464" i="8"/>
  <c r="N5465" i="8"/>
  <c r="N5466" i="8"/>
  <c r="N5467" i="8"/>
  <c r="N5468" i="8"/>
  <c r="N5469" i="8"/>
  <c r="N5470" i="8"/>
  <c r="N5471" i="8"/>
  <c r="N5472" i="8"/>
  <c r="N5473" i="8"/>
  <c r="N5474" i="8"/>
  <c r="N5475" i="8"/>
  <c r="N5476" i="8"/>
  <c r="N5477" i="8"/>
  <c r="N5478" i="8"/>
  <c r="N5479" i="8"/>
  <c r="N5480" i="8"/>
  <c r="N5481" i="8"/>
  <c r="N5482" i="8"/>
  <c r="N5483" i="8"/>
  <c r="N5484" i="8"/>
  <c r="N5485" i="8"/>
  <c r="N5486" i="8"/>
  <c r="N5487" i="8"/>
  <c r="N5488" i="8"/>
  <c r="N5489" i="8"/>
  <c r="N5490" i="8"/>
  <c r="N5491" i="8"/>
  <c r="N5492" i="8"/>
  <c r="N5493" i="8"/>
  <c r="N5494" i="8"/>
  <c r="N5495" i="8"/>
  <c r="N5496" i="8"/>
  <c r="N5497" i="8"/>
  <c r="N5498" i="8"/>
  <c r="N5499" i="8"/>
  <c r="N5500" i="8"/>
  <c r="N5501" i="8"/>
  <c r="N5502" i="8"/>
  <c r="N5503" i="8"/>
  <c r="N5504" i="8"/>
  <c r="N5505" i="8"/>
  <c r="N5506" i="8"/>
  <c r="N5507" i="8"/>
  <c r="N5508" i="8"/>
  <c r="N5509" i="8"/>
  <c r="N5510" i="8"/>
  <c r="N5511" i="8"/>
  <c r="N5512" i="8"/>
  <c r="N5513" i="8"/>
  <c r="N5514" i="8"/>
  <c r="N5515" i="8"/>
  <c r="N5516" i="8"/>
  <c r="N5517" i="8"/>
  <c r="N5518" i="8"/>
  <c r="N5519" i="8"/>
  <c r="N5520" i="8"/>
  <c r="N5521" i="8"/>
  <c r="N5522" i="8"/>
  <c r="N5523" i="8"/>
  <c r="N5524" i="8"/>
  <c r="N5525" i="8"/>
  <c r="N5526" i="8"/>
  <c r="N5527" i="8"/>
  <c r="N5528" i="8"/>
  <c r="N5529" i="8"/>
  <c r="N5530" i="8"/>
  <c r="N5531" i="8"/>
  <c r="N5532" i="8"/>
  <c r="N5533" i="8"/>
  <c r="N5534" i="8"/>
  <c r="N5535" i="8"/>
  <c r="N5536" i="8"/>
  <c r="N5537" i="8"/>
  <c r="N5538" i="8"/>
  <c r="N5539" i="8"/>
  <c r="N5540" i="8"/>
  <c r="N5541" i="8"/>
  <c r="N5542" i="8"/>
  <c r="N5543" i="8"/>
  <c r="N5544" i="8"/>
  <c r="N5545" i="8"/>
  <c r="N5546" i="8"/>
  <c r="N5547" i="8"/>
  <c r="N5548" i="8"/>
  <c r="N5549" i="8"/>
  <c r="N5550" i="8"/>
  <c r="N5551" i="8"/>
  <c r="N5552" i="8"/>
  <c r="N5553" i="8"/>
  <c r="N5554" i="8"/>
  <c r="N5555" i="8"/>
  <c r="N5556" i="8"/>
  <c r="N5557" i="8"/>
  <c r="N5558" i="8"/>
  <c r="N5559" i="8"/>
  <c r="N5560" i="8"/>
  <c r="N5561" i="8"/>
  <c r="N5562" i="8"/>
  <c r="N5563" i="8"/>
  <c r="N5564" i="8"/>
  <c r="N5565" i="8"/>
  <c r="N5566" i="8"/>
  <c r="N5567" i="8"/>
  <c r="N5568" i="8"/>
  <c r="N5569" i="8"/>
  <c r="N5570" i="8"/>
  <c r="N5571" i="8"/>
  <c r="N5572" i="8"/>
  <c r="N5573" i="8"/>
  <c r="N5574" i="8"/>
  <c r="N5575" i="8"/>
  <c r="N5576" i="8"/>
  <c r="N5577" i="8"/>
  <c r="N5578" i="8"/>
  <c r="N5579" i="8"/>
  <c r="N5580" i="8"/>
  <c r="N5581" i="8"/>
  <c r="N5582" i="8"/>
  <c r="N5583" i="8"/>
  <c r="N5584" i="8"/>
  <c r="N5585" i="8"/>
  <c r="N5586" i="8"/>
  <c r="N5587" i="8"/>
  <c r="N5588" i="8"/>
  <c r="N5589" i="8"/>
  <c r="N5590" i="8"/>
  <c r="N5591" i="8"/>
  <c r="N5592" i="8"/>
  <c r="N5593" i="8"/>
  <c r="N5594" i="8"/>
  <c r="N5595" i="8"/>
  <c r="N5596" i="8"/>
  <c r="N5597" i="8"/>
  <c r="N5598" i="8"/>
  <c r="N5599" i="8"/>
  <c r="N5600" i="8"/>
  <c r="N5601" i="8"/>
  <c r="N5602" i="8"/>
  <c r="N5603" i="8"/>
  <c r="N5604" i="8"/>
  <c r="N5605" i="8"/>
  <c r="N5606" i="8"/>
  <c r="N5607" i="8"/>
  <c r="N5608" i="8"/>
  <c r="N5609" i="8"/>
  <c r="N5610" i="8"/>
  <c r="N5611" i="8"/>
  <c r="N5612" i="8"/>
  <c r="N5613" i="8"/>
  <c r="N5614" i="8"/>
  <c r="N5615" i="8"/>
  <c r="N5616" i="8"/>
  <c r="N5617" i="8"/>
  <c r="N5618" i="8"/>
  <c r="N5619" i="8"/>
  <c r="N5620" i="8"/>
  <c r="N5621" i="8"/>
  <c r="N5622" i="8"/>
  <c r="N5623" i="8"/>
  <c r="N5624" i="8"/>
  <c r="N5625" i="8"/>
  <c r="N5626" i="8"/>
  <c r="N5627" i="8"/>
  <c r="N5628" i="8"/>
  <c r="N5629" i="8"/>
  <c r="N5630" i="8"/>
  <c r="N5631" i="8"/>
  <c r="N5632" i="8"/>
  <c r="N5633" i="8"/>
  <c r="N5634" i="8"/>
  <c r="N5635" i="8"/>
  <c r="N5636" i="8"/>
  <c r="N5637" i="8"/>
  <c r="N5638" i="8"/>
  <c r="N5639" i="8"/>
  <c r="N5640" i="8"/>
  <c r="N5641" i="8"/>
  <c r="N5642" i="8"/>
  <c r="N5643" i="8"/>
  <c r="N5644" i="8"/>
  <c r="N5645" i="8"/>
  <c r="N5646" i="8"/>
  <c r="N5647" i="8"/>
  <c r="N5648" i="8"/>
  <c r="N5649" i="8"/>
  <c r="N5650" i="8"/>
  <c r="N5651" i="8"/>
  <c r="N5652" i="8"/>
  <c r="N5653" i="8"/>
  <c r="N5654" i="8"/>
  <c r="N5655" i="8"/>
  <c r="N5656" i="8"/>
  <c r="N5657" i="8"/>
  <c r="N5658" i="8"/>
  <c r="N5659" i="8"/>
  <c r="N5660" i="8"/>
  <c r="N5661" i="8"/>
  <c r="N5662" i="8"/>
  <c r="N5663" i="8"/>
  <c r="N5664" i="8"/>
  <c r="N5665" i="8"/>
  <c r="N5666" i="8"/>
  <c r="N5667" i="8"/>
  <c r="N5668" i="8"/>
  <c r="N5669" i="8"/>
  <c r="N5670" i="8"/>
  <c r="N5671" i="8"/>
  <c r="N5672" i="8"/>
  <c r="N5673" i="8"/>
  <c r="N5674" i="8"/>
  <c r="N5675" i="8"/>
  <c r="N5676" i="8"/>
  <c r="N5677" i="8"/>
  <c r="N5678" i="8"/>
  <c r="N5679" i="8"/>
  <c r="N5680" i="8"/>
  <c r="N5681" i="8"/>
  <c r="N5682" i="8"/>
  <c r="N5683" i="8"/>
  <c r="N5684" i="8"/>
  <c r="N5685" i="8"/>
  <c r="N5686" i="8"/>
  <c r="N5687" i="8"/>
  <c r="N5688" i="8"/>
  <c r="N5689" i="8"/>
  <c r="N5690" i="8"/>
  <c r="N5691" i="8"/>
  <c r="N5692" i="8"/>
  <c r="N5693" i="8"/>
  <c r="N5694" i="8"/>
  <c r="N5695" i="8"/>
  <c r="N5696" i="8"/>
  <c r="N5697" i="8"/>
  <c r="N5698" i="8"/>
  <c r="N5699" i="8"/>
  <c r="N5700" i="8"/>
  <c r="N5701" i="8"/>
  <c r="N5702" i="8"/>
  <c r="N5703" i="8"/>
  <c r="N5704" i="8"/>
  <c r="N5705" i="8"/>
  <c r="N5706" i="8"/>
  <c r="N5707" i="8"/>
  <c r="N5708" i="8"/>
  <c r="N5709" i="8"/>
  <c r="N5710" i="8"/>
  <c r="N5711" i="8"/>
  <c r="N5712" i="8"/>
  <c r="N5713" i="8"/>
  <c r="N5714" i="8"/>
  <c r="N5715" i="8"/>
  <c r="N5716" i="8"/>
  <c r="N5717" i="8"/>
  <c r="N5718" i="8"/>
  <c r="N5719" i="8"/>
  <c r="N5720" i="8"/>
  <c r="N5721" i="8"/>
  <c r="N5722" i="8"/>
  <c r="N5723" i="8"/>
  <c r="N5724" i="8"/>
  <c r="N5725" i="8"/>
  <c r="N5726" i="8"/>
  <c r="N5727" i="8"/>
  <c r="N5728" i="8"/>
  <c r="N5729" i="8"/>
  <c r="N5730" i="8"/>
  <c r="N5731" i="8"/>
  <c r="N5732" i="8"/>
  <c r="N5733" i="8"/>
  <c r="N5734" i="8"/>
  <c r="N5735" i="8"/>
  <c r="N5736" i="8"/>
  <c r="N5737" i="8"/>
  <c r="N5738" i="8"/>
  <c r="N5739" i="8"/>
  <c r="N5740" i="8"/>
  <c r="N5741" i="8"/>
  <c r="N5742" i="8"/>
  <c r="N5743" i="8"/>
  <c r="N5744" i="8"/>
  <c r="N5745" i="8"/>
  <c r="N5746" i="8"/>
  <c r="N5747" i="8"/>
  <c r="N5748" i="8"/>
  <c r="N5749" i="8"/>
  <c r="N5750" i="8"/>
  <c r="N5751" i="8"/>
  <c r="N5752" i="8"/>
  <c r="N5753" i="8"/>
  <c r="N5754" i="8"/>
  <c r="N5755" i="8"/>
  <c r="N5756" i="8"/>
  <c r="N5757" i="8"/>
  <c r="N5758" i="8"/>
  <c r="N5759" i="8"/>
  <c r="N5760" i="8"/>
  <c r="N5761" i="8"/>
  <c r="N5762" i="8"/>
  <c r="N5763" i="8"/>
  <c r="N5764" i="8"/>
  <c r="N5765" i="8"/>
  <c r="N5766" i="8"/>
  <c r="N5767" i="8"/>
  <c r="N5768" i="8"/>
  <c r="N5769" i="8"/>
  <c r="N5770" i="8"/>
  <c r="N5771" i="8"/>
  <c r="N5772" i="8"/>
  <c r="N5773" i="8"/>
  <c r="N5774" i="8"/>
  <c r="N5775" i="8"/>
  <c r="N5776" i="8"/>
  <c r="N5777" i="8"/>
  <c r="N5778" i="8"/>
  <c r="N5779" i="8"/>
  <c r="N5780" i="8"/>
  <c r="N5781" i="8"/>
  <c r="N5782" i="8"/>
  <c r="N5783" i="8"/>
  <c r="N5784" i="8"/>
  <c r="N5785" i="8"/>
  <c r="N5786" i="8"/>
  <c r="N5787" i="8"/>
  <c r="N5788" i="8"/>
  <c r="N5789" i="8"/>
  <c r="N5790" i="8"/>
  <c r="N5791" i="8"/>
  <c r="N5792" i="8"/>
  <c r="N5793" i="8"/>
  <c r="N5794" i="8"/>
  <c r="N5795" i="8"/>
  <c r="N5796" i="8"/>
  <c r="N5797" i="8"/>
  <c r="N5798" i="8"/>
  <c r="N5799" i="8"/>
  <c r="N5800" i="8"/>
  <c r="N5801" i="8"/>
  <c r="N5802" i="8"/>
  <c r="N5803" i="8"/>
  <c r="N5804" i="8"/>
  <c r="N5805" i="8"/>
  <c r="N5806" i="8"/>
  <c r="N5807" i="8"/>
  <c r="N5808" i="8"/>
  <c r="N5809" i="8"/>
  <c r="N5810" i="8"/>
  <c r="N5811" i="8"/>
  <c r="N5812" i="8"/>
  <c r="N5813" i="8"/>
  <c r="N5814" i="8"/>
  <c r="N5815" i="8"/>
  <c r="N5816" i="8"/>
  <c r="N5817" i="8"/>
  <c r="N5818" i="8"/>
  <c r="N5819" i="8"/>
  <c r="N5820" i="8"/>
  <c r="N5821" i="8"/>
  <c r="N5822" i="8"/>
  <c r="N5823" i="8"/>
  <c r="N5824" i="8"/>
  <c r="N5825" i="8"/>
  <c r="N5826" i="8"/>
  <c r="N5827" i="8"/>
  <c r="N5828" i="8"/>
  <c r="N5829" i="8"/>
  <c r="N5830" i="8"/>
  <c r="N5831" i="8"/>
  <c r="N5832" i="8"/>
  <c r="N5833" i="8"/>
  <c r="N5834" i="8"/>
  <c r="N5835" i="8"/>
  <c r="N5836" i="8"/>
  <c r="N5837" i="8"/>
  <c r="N5838" i="8"/>
  <c r="N5839" i="8"/>
  <c r="N5840" i="8"/>
  <c r="N5841" i="8"/>
  <c r="N5842" i="8"/>
  <c r="N5843" i="8"/>
  <c r="N5844" i="8"/>
  <c r="N5845" i="8"/>
  <c r="N5846" i="8"/>
  <c r="N5847" i="8"/>
  <c r="N5848" i="8"/>
  <c r="N5849" i="8"/>
  <c r="N5850" i="8"/>
  <c r="N5851" i="8"/>
  <c r="N5852" i="8"/>
  <c r="N5853" i="8"/>
  <c r="N5854" i="8"/>
  <c r="N5855" i="8"/>
  <c r="N5856" i="8"/>
  <c r="N5857" i="8"/>
  <c r="N5858" i="8"/>
  <c r="N5859" i="8"/>
  <c r="N5860" i="8"/>
  <c r="N5861" i="8"/>
  <c r="N5862" i="8"/>
  <c r="N5863" i="8"/>
  <c r="N5864" i="8"/>
  <c r="N5865" i="8"/>
  <c r="N5866" i="8"/>
  <c r="N5867" i="8"/>
  <c r="N5868" i="8"/>
  <c r="N5869" i="8"/>
  <c r="N5870" i="8"/>
  <c r="N5871" i="8"/>
  <c r="N5872" i="8"/>
  <c r="N5873" i="8"/>
  <c r="N5874" i="8"/>
  <c r="N5875" i="8"/>
  <c r="N5876" i="8"/>
  <c r="N5877" i="8"/>
  <c r="N5878" i="8"/>
  <c r="N5879" i="8"/>
  <c r="N5880" i="8"/>
  <c r="N5881" i="8"/>
  <c r="N5882" i="8"/>
  <c r="N5883" i="8"/>
  <c r="N5884" i="8"/>
  <c r="N5885" i="8"/>
  <c r="N5886" i="8"/>
  <c r="N5887" i="8"/>
  <c r="N5888" i="8"/>
  <c r="N5889" i="8"/>
  <c r="N5890" i="8"/>
  <c r="N5891" i="8"/>
  <c r="N5892" i="8"/>
  <c r="N5893" i="8"/>
  <c r="N5894" i="8"/>
  <c r="N5895" i="8"/>
  <c r="N5896" i="8"/>
  <c r="N5897" i="8"/>
  <c r="N5898" i="8"/>
  <c r="N5899" i="8"/>
  <c r="N5900" i="8"/>
  <c r="N5901" i="8"/>
  <c r="N5902" i="8"/>
  <c r="N5903" i="8"/>
  <c r="N5904" i="8"/>
  <c r="N5905" i="8"/>
  <c r="N5906" i="8"/>
  <c r="N5907" i="8"/>
  <c r="N5908" i="8"/>
  <c r="N5909" i="8"/>
  <c r="N5910" i="8"/>
  <c r="N5911" i="8"/>
  <c r="N5912" i="8"/>
  <c r="N5913" i="8"/>
  <c r="N5914" i="8"/>
  <c r="N5915" i="8"/>
  <c r="N5916" i="8"/>
  <c r="N5917" i="8"/>
  <c r="N5918" i="8"/>
  <c r="N5919" i="8"/>
  <c r="N5920" i="8"/>
  <c r="N5921" i="8"/>
  <c r="N5922" i="8"/>
  <c r="N5923" i="8"/>
  <c r="N5924" i="8"/>
  <c r="N5925" i="8"/>
  <c r="N5926" i="8"/>
  <c r="N5927" i="8"/>
  <c r="N5928" i="8"/>
  <c r="N5929" i="8"/>
  <c r="N5930" i="8"/>
  <c r="N5931" i="8"/>
  <c r="N5932" i="8"/>
  <c r="N5933" i="8"/>
  <c r="N5934" i="8"/>
  <c r="N5935" i="8"/>
  <c r="N5936" i="8"/>
  <c r="N5937" i="8"/>
  <c r="N5938" i="8"/>
  <c r="N5939" i="8"/>
  <c r="N5940" i="8"/>
  <c r="N5941" i="8"/>
  <c r="N5942" i="8"/>
  <c r="N5943" i="8"/>
  <c r="N5944" i="8"/>
  <c r="N5945" i="8"/>
  <c r="N5946" i="8"/>
  <c r="N5947" i="8"/>
  <c r="N5948" i="8"/>
  <c r="N5949" i="8"/>
  <c r="N5950" i="8"/>
  <c r="N5951" i="8"/>
  <c r="N5952" i="8"/>
  <c r="N5953" i="8"/>
  <c r="N5954" i="8"/>
  <c r="N5955" i="8"/>
  <c r="N5956" i="8"/>
  <c r="N5957" i="8"/>
  <c r="N5958" i="8"/>
  <c r="N5959" i="8"/>
  <c r="N5960" i="8"/>
  <c r="N5961" i="8"/>
  <c r="N5962" i="8"/>
  <c r="N5963" i="8"/>
  <c r="N5964" i="8"/>
  <c r="N5965" i="8"/>
  <c r="N5966" i="8"/>
  <c r="N5967" i="8"/>
  <c r="N5968" i="8"/>
  <c r="N5969" i="8"/>
  <c r="N5970" i="8"/>
  <c r="N5971" i="8"/>
  <c r="N5972" i="8"/>
  <c r="N5973" i="8"/>
  <c r="N5974" i="8"/>
  <c r="N5975" i="8"/>
  <c r="N5976" i="8"/>
  <c r="N5977" i="8"/>
  <c r="N5978" i="8"/>
  <c r="N5979" i="8"/>
  <c r="N5980" i="8"/>
  <c r="N5981" i="8"/>
  <c r="N5982" i="8"/>
  <c r="N5983" i="8"/>
  <c r="N5984" i="8"/>
  <c r="N5985" i="8"/>
  <c r="N5986" i="8"/>
  <c r="N5987" i="8"/>
  <c r="N5988" i="8"/>
  <c r="N5989" i="8"/>
  <c r="N5990" i="8"/>
  <c r="N5991" i="8"/>
  <c r="N5992" i="8"/>
  <c r="N5993" i="8"/>
  <c r="N5994" i="8"/>
  <c r="N5995" i="8"/>
  <c r="N5996" i="8"/>
  <c r="N5997" i="8"/>
  <c r="N5998" i="8"/>
  <c r="N5999" i="8"/>
  <c r="N6000" i="8"/>
  <c r="N6001" i="8"/>
  <c r="N6002" i="8"/>
  <c r="N6003" i="8"/>
  <c r="N6004" i="8"/>
  <c r="N6005" i="8"/>
  <c r="N6006" i="8"/>
  <c r="N6007" i="8"/>
  <c r="N6008" i="8"/>
  <c r="N6009" i="8"/>
  <c r="N6010" i="8"/>
  <c r="N6011" i="8"/>
  <c r="N6012" i="8"/>
  <c r="N6013" i="8"/>
  <c r="N6014" i="8"/>
  <c r="N6015" i="8"/>
  <c r="N6016" i="8"/>
  <c r="N6017" i="8"/>
  <c r="N6018" i="8"/>
  <c r="N6019" i="8"/>
  <c r="N6020" i="8"/>
  <c r="N6021" i="8"/>
  <c r="N6022" i="8"/>
  <c r="N6023" i="8"/>
  <c r="N6024" i="8"/>
  <c r="N6025" i="8"/>
  <c r="N6026" i="8"/>
  <c r="N6027" i="8"/>
  <c r="N6028" i="8"/>
  <c r="N6029" i="8"/>
  <c r="N6030" i="8"/>
  <c r="N6031" i="8"/>
  <c r="N6032" i="8"/>
  <c r="N6033" i="8"/>
  <c r="N6034" i="8"/>
  <c r="N6035" i="8"/>
  <c r="N6036" i="8"/>
  <c r="N6037" i="8"/>
  <c r="N6038" i="8"/>
  <c r="N6039" i="8"/>
  <c r="N6040" i="8"/>
  <c r="N6041" i="8"/>
  <c r="N6042" i="8"/>
  <c r="N6043" i="8"/>
  <c r="N6044" i="8"/>
  <c r="N6045" i="8"/>
  <c r="N6046" i="8"/>
  <c r="N6047" i="8"/>
  <c r="N6048" i="8"/>
  <c r="N6049" i="8"/>
  <c r="N6050" i="8"/>
  <c r="N6051" i="8"/>
  <c r="N6052" i="8"/>
  <c r="N6053" i="8"/>
  <c r="N6054" i="8"/>
  <c r="N6055" i="8"/>
  <c r="N6056" i="8"/>
  <c r="N6057" i="8"/>
  <c r="N6058" i="8"/>
  <c r="N6059" i="8"/>
  <c r="N6060" i="8"/>
  <c r="N6061" i="8"/>
  <c r="N6062" i="8"/>
  <c r="N6063" i="8"/>
  <c r="N6064" i="8"/>
  <c r="N6065" i="8"/>
  <c r="N6066" i="8"/>
  <c r="N6067" i="8"/>
  <c r="N6068" i="8"/>
  <c r="N6069" i="8"/>
  <c r="N6070" i="8"/>
  <c r="N6071" i="8"/>
  <c r="N6072" i="8"/>
  <c r="N6073" i="8"/>
  <c r="N6074" i="8"/>
  <c r="N6075" i="8"/>
  <c r="N6076" i="8"/>
  <c r="N6077" i="8"/>
  <c r="N6078" i="8"/>
  <c r="N6079" i="8"/>
  <c r="N6080" i="8"/>
  <c r="N6081" i="8"/>
  <c r="N6082" i="8"/>
  <c r="N6083" i="8"/>
  <c r="N6084" i="8"/>
  <c r="N6085" i="8"/>
  <c r="N6086" i="8"/>
  <c r="N6087" i="8"/>
  <c r="N6088" i="8"/>
  <c r="N6089" i="8"/>
  <c r="N6090" i="8"/>
  <c r="N6091" i="8"/>
  <c r="N6092" i="8"/>
  <c r="N6093" i="8"/>
  <c r="N6094" i="8"/>
  <c r="N6095" i="8"/>
  <c r="N6096" i="8"/>
  <c r="N6097" i="8"/>
  <c r="N6098" i="8"/>
  <c r="N6099" i="8"/>
  <c r="N6100" i="8"/>
  <c r="N6101" i="8"/>
  <c r="N6102" i="8"/>
  <c r="N6103" i="8"/>
  <c r="N6104" i="8"/>
  <c r="N6105" i="8"/>
  <c r="N6106" i="8"/>
  <c r="N6107" i="8"/>
  <c r="N6108" i="8"/>
  <c r="N6109" i="8"/>
  <c r="N6110" i="8"/>
  <c r="N6111" i="8"/>
  <c r="N6112" i="8"/>
  <c r="N6113" i="8"/>
  <c r="N6114" i="8"/>
  <c r="N6115" i="8"/>
  <c r="N6116" i="8"/>
  <c r="N6117" i="8"/>
  <c r="N6118" i="8"/>
  <c r="N6119" i="8"/>
  <c r="N6120" i="8"/>
  <c r="N6121" i="8"/>
  <c r="N6122" i="8"/>
  <c r="N6123" i="8"/>
  <c r="N6124" i="8"/>
  <c r="N6125" i="8"/>
  <c r="N6126" i="8"/>
  <c r="N6127" i="8"/>
  <c r="N6128" i="8"/>
  <c r="N6129" i="8"/>
  <c r="N6130" i="8"/>
  <c r="N6131" i="8"/>
  <c r="N6132" i="8"/>
  <c r="N6133" i="8"/>
  <c r="N6134" i="8"/>
  <c r="N6135" i="8"/>
  <c r="N6136" i="8"/>
  <c r="N6137" i="8"/>
  <c r="N6138" i="8"/>
  <c r="N6139" i="8"/>
  <c r="N6140" i="8"/>
  <c r="N6141" i="8"/>
  <c r="N6142" i="8"/>
  <c r="N6143" i="8"/>
  <c r="N6144" i="8"/>
  <c r="N6145" i="8"/>
  <c r="N6146" i="8"/>
  <c r="N6147" i="8"/>
  <c r="N6148" i="8"/>
  <c r="N6149" i="8"/>
  <c r="N6150" i="8"/>
  <c r="N6151" i="8"/>
  <c r="N6152" i="8"/>
  <c r="N6153" i="8"/>
  <c r="N6154" i="8"/>
  <c r="N6155" i="8"/>
  <c r="N6156" i="8"/>
  <c r="N6157" i="8"/>
  <c r="N6158" i="8"/>
  <c r="N6159" i="8"/>
  <c r="N6160" i="8"/>
  <c r="N6161" i="8"/>
  <c r="N6162" i="8"/>
  <c r="N6163" i="8"/>
  <c r="N6164" i="8"/>
  <c r="N6165" i="8"/>
  <c r="N6166" i="8"/>
  <c r="N6167" i="8"/>
  <c r="N6168" i="8"/>
  <c r="N6169" i="8"/>
  <c r="N6170" i="8"/>
  <c r="N6171" i="8"/>
  <c r="N6172" i="8"/>
  <c r="N6173" i="8"/>
  <c r="N6174" i="8"/>
  <c r="N6175" i="8"/>
  <c r="N6176" i="8"/>
  <c r="N6177" i="8"/>
  <c r="N6178" i="8"/>
  <c r="N6179" i="8"/>
  <c r="N6180" i="8"/>
  <c r="N6181" i="8"/>
  <c r="N6182" i="8"/>
  <c r="N6183" i="8"/>
  <c r="N6184" i="8"/>
  <c r="N6185" i="8"/>
  <c r="N6186" i="8"/>
  <c r="N6187" i="8"/>
  <c r="N6188" i="8"/>
  <c r="N6189" i="8"/>
  <c r="N6190" i="8"/>
  <c r="N6191" i="8"/>
  <c r="N6192" i="8"/>
  <c r="N6193" i="8"/>
  <c r="N6194" i="8"/>
  <c r="N6195" i="8"/>
  <c r="N6196" i="8"/>
  <c r="N6197" i="8"/>
  <c r="N6198" i="8"/>
  <c r="N6199" i="8"/>
  <c r="N6200" i="8"/>
  <c r="N6201" i="8"/>
  <c r="N6202" i="8"/>
  <c r="N6203" i="8"/>
  <c r="N6204" i="8"/>
  <c r="N6205" i="8"/>
  <c r="N6206" i="8"/>
  <c r="N6207" i="8"/>
  <c r="N6208" i="8"/>
  <c r="N6209" i="8"/>
  <c r="N6210" i="8"/>
  <c r="N6211" i="8"/>
  <c r="N6212" i="8"/>
  <c r="N6213" i="8"/>
  <c r="N6214" i="8"/>
  <c r="N6215" i="8"/>
  <c r="N6216" i="8"/>
  <c r="N6217" i="8"/>
  <c r="N6218" i="8"/>
  <c r="N6219" i="8"/>
  <c r="N6220" i="8"/>
  <c r="N6221" i="8"/>
  <c r="N6222" i="8"/>
  <c r="N6223" i="8"/>
  <c r="N6224" i="8"/>
  <c r="N6225" i="8"/>
  <c r="N6226" i="8"/>
  <c r="N6227" i="8"/>
  <c r="N6228" i="8"/>
  <c r="N6229" i="8"/>
  <c r="N6230" i="8"/>
  <c r="N6231" i="8"/>
  <c r="N6232" i="8"/>
  <c r="N6233" i="8"/>
  <c r="N6234" i="8"/>
  <c r="N6235" i="8"/>
  <c r="N6236" i="8"/>
  <c r="N6237" i="8"/>
  <c r="N6238" i="8"/>
  <c r="N6239" i="8"/>
  <c r="N6240" i="8"/>
  <c r="N6241" i="8"/>
  <c r="N6242" i="8"/>
  <c r="N6243" i="8"/>
  <c r="N6244" i="8"/>
  <c r="N6245" i="8"/>
  <c r="N6246" i="8"/>
  <c r="N6247" i="8"/>
  <c r="N6248" i="8"/>
  <c r="N6249" i="8"/>
  <c r="N6250" i="8"/>
  <c r="N6251" i="8"/>
  <c r="N6252" i="8"/>
  <c r="N6253" i="8"/>
  <c r="N6254" i="8"/>
  <c r="N6255" i="8"/>
  <c r="N6256" i="8"/>
  <c r="N6257" i="8"/>
  <c r="N6258" i="8"/>
  <c r="N6259" i="8"/>
  <c r="N6260" i="8"/>
  <c r="N6261" i="8"/>
  <c r="N6262" i="8"/>
  <c r="N6263" i="8"/>
  <c r="N6264" i="8"/>
  <c r="N6265" i="8"/>
  <c r="N6266" i="8"/>
  <c r="N6267" i="8"/>
  <c r="N6268" i="8"/>
  <c r="N6269" i="8"/>
  <c r="N6270" i="8"/>
  <c r="N6271" i="8"/>
  <c r="N6272" i="8"/>
  <c r="N6273" i="8"/>
  <c r="N6274" i="8"/>
  <c r="N6275" i="8"/>
  <c r="N6276" i="8"/>
  <c r="N6277" i="8"/>
  <c r="N6278" i="8"/>
  <c r="N6279" i="8"/>
  <c r="N6280" i="8"/>
  <c r="N6281" i="8"/>
  <c r="N6282" i="8"/>
  <c r="N6283" i="8"/>
  <c r="N6284" i="8"/>
  <c r="N6285" i="8"/>
  <c r="N6286" i="8"/>
  <c r="N6287" i="8"/>
  <c r="N6288" i="8"/>
  <c r="N6289" i="8"/>
  <c r="N6290" i="8"/>
  <c r="N6291" i="8"/>
  <c r="N6292" i="8"/>
  <c r="N6293" i="8"/>
  <c r="N6294" i="8"/>
  <c r="N6295" i="8"/>
  <c r="N6296" i="8"/>
  <c r="N6297" i="8"/>
  <c r="N6298" i="8"/>
  <c r="N6299" i="8"/>
  <c r="N6300" i="8"/>
  <c r="N6301" i="8"/>
  <c r="N6302" i="8"/>
  <c r="N6303" i="8"/>
  <c r="N6304" i="8"/>
  <c r="N6305" i="8"/>
  <c r="N6306" i="8"/>
  <c r="N6307" i="8"/>
  <c r="N6308" i="8"/>
  <c r="N6309" i="8"/>
  <c r="N6310" i="8"/>
  <c r="N6311" i="8"/>
  <c r="N6312" i="8"/>
  <c r="N6313" i="8"/>
  <c r="N6314" i="8"/>
  <c r="N6315" i="8"/>
  <c r="N6316" i="8"/>
  <c r="N6317" i="8"/>
  <c r="N6318" i="8"/>
  <c r="N6319" i="8"/>
  <c r="N6320" i="8"/>
  <c r="N6321" i="8"/>
  <c r="N6322" i="8"/>
  <c r="N6323" i="8"/>
  <c r="N6324" i="8"/>
  <c r="N6325" i="8"/>
  <c r="N6326" i="8"/>
  <c r="N6327" i="8"/>
  <c r="N6328" i="8"/>
  <c r="N6329" i="8"/>
  <c r="N6330" i="8"/>
  <c r="N6331" i="8"/>
  <c r="N6332" i="8"/>
  <c r="N6333" i="8"/>
  <c r="N6334" i="8"/>
  <c r="N6335" i="8"/>
  <c r="N6336" i="8"/>
  <c r="N6337" i="8"/>
  <c r="N6338" i="8"/>
  <c r="N6339" i="8"/>
  <c r="N6340" i="8"/>
  <c r="N6341" i="8"/>
  <c r="N6342" i="8"/>
  <c r="N6343" i="8"/>
  <c r="N6344" i="8"/>
  <c r="N6345" i="8"/>
  <c r="N6346" i="8"/>
  <c r="N6347" i="8"/>
  <c r="N6348" i="8"/>
  <c r="N6349" i="8"/>
  <c r="N6350" i="8"/>
  <c r="N6351" i="8"/>
  <c r="N6352" i="8"/>
  <c r="N6353" i="8"/>
  <c r="N6354" i="8"/>
  <c r="N6355" i="8"/>
  <c r="N6356" i="8"/>
  <c r="N6357" i="8"/>
  <c r="N6358" i="8"/>
  <c r="N6359" i="8"/>
  <c r="N6360" i="8"/>
  <c r="N6361" i="8"/>
  <c r="N6362" i="8"/>
  <c r="N6363" i="8"/>
  <c r="N6364" i="8"/>
  <c r="N6365" i="8"/>
  <c r="N6366" i="8"/>
  <c r="N6367" i="8"/>
  <c r="N6368" i="8"/>
  <c r="N6369" i="8"/>
  <c r="N6370" i="8"/>
  <c r="N6371" i="8"/>
  <c r="N6372" i="8"/>
  <c r="N6373" i="8"/>
  <c r="N6374" i="8"/>
  <c r="N6375" i="8"/>
  <c r="N6376" i="8"/>
  <c r="N6377" i="8"/>
  <c r="N6378" i="8"/>
  <c r="N6379" i="8"/>
  <c r="N6380" i="8"/>
  <c r="N6381" i="8"/>
  <c r="N6382" i="8"/>
  <c r="N6383" i="8"/>
  <c r="N6384" i="8"/>
  <c r="N6385" i="8"/>
  <c r="N6386" i="8"/>
  <c r="N6387" i="8"/>
  <c r="N6388" i="8"/>
  <c r="N6389" i="8"/>
  <c r="N6390" i="8"/>
  <c r="N6391" i="8"/>
  <c r="N6392" i="8"/>
  <c r="N6393" i="8"/>
  <c r="N6394" i="8"/>
  <c r="N6395" i="8"/>
  <c r="N6396" i="8"/>
  <c r="N6397" i="8"/>
  <c r="N6398" i="8"/>
  <c r="N6399" i="8"/>
  <c r="N6400" i="8"/>
  <c r="N6401" i="8"/>
  <c r="N6402" i="8"/>
  <c r="N6403" i="8"/>
  <c r="N6404" i="8"/>
  <c r="N6405" i="8"/>
  <c r="N6406" i="8"/>
  <c r="N6407" i="8"/>
  <c r="N6408" i="8"/>
  <c r="N6409" i="8"/>
  <c r="N6410" i="8"/>
  <c r="N6411" i="8"/>
  <c r="N6412" i="8"/>
  <c r="N6413" i="8"/>
  <c r="N6414" i="8"/>
  <c r="N6415" i="8"/>
  <c r="N6416" i="8"/>
  <c r="N6417" i="8"/>
  <c r="N6418" i="8"/>
  <c r="N6419" i="8"/>
  <c r="N6420" i="8"/>
  <c r="N6421" i="8"/>
  <c r="N6422" i="8"/>
  <c r="N6423" i="8"/>
  <c r="N6424" i="8"/>
  <c r="N6425" i="8"/>
  <c r="N6426" i="8"/>
  <c r="N6427" i="8"/>
  <c r="N6428" i="8"/>
  <c r="N6429" i="8"/>
  <c r="N6430" i="8"/>
  <c r="N6431" i="8"/>
  <c r="N6432" i="8"/>
  <c r="N6433" i="8"/>
  <c r="N6434" i="8"/>
  <c r="N6435" i="8"/>
  <c r="N6436" i="8"/>
  <c r="N6437" i="8"/>
  <c r="N6438" i="8"/>
  <c r="N6439" i="8"/>
  <c r="N6440" i="8"/>
  <c r="N6441" i="8"/>
  <c r="N6442" i="8"/>
  <c r="N6443" i="8"/>
  <c r="N6444" i="8"/>
  <c r="N6445" i="8"/>
  <c r="N6446" i="8"/>
  <c r="N6447" i="8"/>
  <c r="N6448" i="8"/>
  <c r="N6449" i="8"/>
  <c r="N6450" i="8"/>
  <c r="N6451" i="8"/>
  <c r="N6452" i="8"/>
  <c r="N6453" i="8"/>
  <c r="N6454" i="8"/>
  <c r="N6455" i="8"/>
  <c r="N6456" i="8"/>
  <c r="N6457" i="8"/>
  <c r="N6458" i="8"/>
  <c r="N6459" i="8"/>
  <c r="N6460" i="8"/>
  <c r="N6461" i="8"/>
  <c r="N6462" i="8"/>
  <c r="N6463" i="8"/>
  <c r="N6464" i="8"/>
  <c r="N6465" i="8"/>
  <c r="N6466" i="8"/>
  <c r="N6467" i="8"/>
  <c r="N6468" i="8"/>
  <c r="N6469" i="8"/>
  <c r="N6470" i="8"/>
  <c r="N6471" i="8"/>
  <c r="N6472" i="8"/>
  <c r="N6473" i="8"/>
  <c r="N6474" i="8"/>
  <c r="N6475" i="8"/>
  <c r="N6476" i="8"/>
  <c r="N6477" i="8"/>
  <c r="N6478" i="8"/>
  <c r="N6479" i="8"/>
  <c r="N6480" i="8"/>
  <c r="N6481" i="8"/>
  <c r="N6482" i="8"/>
  <c r="N6483" i="8"/>
  <c r="N6484" i="8"/>
  <c r="N6485" i="8"/>
  <c r="N6486" i="8"/>
  <c r="N6487" i="8"/>
  <c r="N6488" i="8"/>
  <c r="N6489" i="8"/>
  <c r="N6490" i="8"/>
  <c r="N6491" i="8"/>
  <c r="N6492" i="8"/>
  <c r="N6493" i="8"/>
  <c r="N6494" i="8"/>
  <c r="N6495" i="8"/>
  <c r="N6496" i="8"/>
  <c r="N6497" i="8"/>
  <c r="N6498" i="8"/>
  <c r="N6499" i="8"/>
  <c r="N6500" i="8"/>
  <c r="N6501" i="8"/>
  <c r="N6502" i="8"/>
  <c r="N6503" i="8"/>
  <c r="N6504" i="8"/>
  <c r="N6505" i="8"/>
  <c r="N6506" i="8"/>
  <c r="N6507" i="8"/>
  <c r="N6508" i="8"/>
  <c r="N6509" i="8"/>
  <c r="N6510" i="8"/>
  <c r="N6511" i="8"/>
  <c r="N6512" i="8"/>
  <c r="N6513" i="8"/>
  <c r="N6514" i="8"/>
  <c r="N6515" i="8"/>
  <c r="N6516" i="8"/>
  <c r="N6517" i="8"/>
  <c r="N6518" i="8"/>
  <c r="N6519" i="8"/>
  <c r="N6520" i="8"/>
  <c r="N6521" i="8"/>
  <c r="N6522" i="8"/>
  <c r="N6523" i="8"/>
  <c r="N6524" i="8"/>
  <c r="N6525" i="8"/>
  <c r="N6526" i="8"/>
  <c r="N6527" i="8"/>
  <c r="N6528" i="8"/>
  <c r="N6529" i="8"/>
  <c r="N6530" i="8"/>
  <c r="N6531" i="8"/>
  <c r="N6532" i="8"/>
  <c r="N6533" i="8"/>
  <c r="N6534" i="8"/>
  <c r="N6535" i="8"/>
  <c r="N6536" i="8"/>
  <c r="N6537" i="8"/>
  <c r="N6538" i="8"/>
  <c r="N6539" i="8"/>
  <c r="N6540" i="8"/>
  <c r="N6541" i="8"/>
  <c r="N6542" i="8"/>
  <c r="N6543" i="8"/>
  <c r="N6544" i="8"/>
  <c r="N6545" i="8"/>
  <c r="N6546" i="8"/>
  <c r="N6547" i="8"/>
  <c r="N6548" i="8"/>
  <c r="N6549" i="8"/>
  <c r="N6550" i="8"/>
  <c r="N6551" i="8"/>
  <c r="N6552" i="8"/>
  <c r="N6553" i="8"/>
  <c r="N6554" i="8"/>
  <c r="N6555" i="8"/>
  <c r="N6556" i="8"/>
  <c r="N6557" i="8"/>
  <c r="N6558" i="8"/>
  <c r="N6559" i="8"/>
  <c r="N6560" i="8"/>
  <c r="N6561" i="8"/>
  <c r="N6562" i="8"/>
  <c r="N6563" i="8"/>
  <c r="N6564" i="8"/>
  <c r="N6565" i="8"/>
  <c r="N6566" i="8"/>
  <c r="N6567" i="8"/>
  <c r="N6568" i="8"/>
  <c r="N6569" i="8"/>
  <c r="N6570" i="8"/>
  <c r="N6571" i="8"/>
  <c r="N6572" i="8"/>
  <c r="N6573" i="8"/>
  <c r="N6574" i="8"/>
  <c r="N6575" i="8"/>
  <c r="N6576" i="8"/>
  <c r="N6577" i="8"/>
  <c r="N6578" i="8"/>
  <c r="N6579" i="8"/>
  <c r="N6580" i="8"/>
  <c r="N6581" i="8"/>
  <c r="N6582" i="8"/>
  <c r="N6583" i="8"/>
  <c r="N6584" i="8"/>
  <c r="N6585" i="8"/>
  <c r="N6586" i="8"/>
  <c r="N6587" i="8"/>
  <c r="N6588" i="8"/>
  <c r="N6589" i="8"/>
  <c r="N6590" i="8"/>
  <c r="N6591" i="8"/>
  <c r="N6592" i="8"/>
  <c r="N6593" i="8"/>
  <c r="N6594" i="8"/>
  <c r="N6595" i="8"/>
  <c r="N6596" i="8"/>
  <c r="N6597" i="8"/>
  <c r="N6598" i="8"/>
  <c r="N6599" i="8"/>
  <c r="N6600" i="8"/>
  <c r="N6601" i="8"/>
  <c r="N6602" i="8"/>
  <c r="N6603" i="8"/>
  <c r="N6604" i="8"/>
  <c r="N6605" i="8"/>
  <c r="N6606" i="8"/>
  <c r="N6607" i="8"/>
  <c r="N6608" i="8"/>
  <c r="N6609" i="8"/>
  <c r="N6610" i="8"/>
  <c r="N6611" i="8"/>
  <c r="N6612" i="8"/>
  <c r="N6613" i="8"/>
  <c r="N6614" i="8"/>
  <c r="N6615" i="8"/>
  <c r="N6616" i="8"/>
  <c r="N6617" i="8"/>
  <c r="N6618" i="8"/>
  <c r="N6619" i="8"/>
  <c r="N6620" i="8"/>
  <c r="N6621" i="8"/>
  <c r="N6622" i="8"/>
  <c r="N6623" i="8"/>
  <c r="N6624" i="8"/>
  <c r="N6625" i="8"/>
  <c r="N6626" i="8"/>
  <c r="N6627" i="8"/>
  <c r="N6628" i="8"/>
  <c r="N6629" i="8"/>
  <c r="N6630" i="8"/>
  <c r="N6631" i="8"/>
  <c r="N6632" i="8"/>
  <c r="N6633" i="8"/>
  <c r="N6634" i="8"/>
  <c r="N6635" i="8"/>
  <c r="N6636" i="8"/>
  <c r="N6637" i="8"/>
  <c r="N6638" i="8"/>
  <c r="N6639" i="8"/>
  <c r="N6640" i="8"/>
  <c r="N6641" i="8"/>
  <c r="N6642" i="8"/>
  <c r="N6643" i="8"/>
  <c r="N6644" i="8"/>
  <c r="N6645" i="8"/>
  <c r="N6646" i="8"/>
  <c r="N6647" i="8"/>
  <c r="N6648" i="8"/>
  <c r="N6649" i="8"/>
  <c r="N6650" i="8"/>
  <c r="N6651" i="8"/>
  <c r="N6652" i="8"/>
  <c r="N6653" i="8"/>
  <c r="N6654" i="8"/>
  <c r="N6655" i="8"/>
  <c r="N6656" i="8"/>
  <c r="N6657" i="8"/>
  <c r="N6658" i="8"/>
  <c r="N6659" i="8"/>
  <c r="N6660" i="8"/>
  <c r="N6661" i="8"/>
  <c r="N6662" i="8"/>
  <c r="N6663" i="8"/>
  <c r="N6664" i="8"/>
  <c r="N6665" i="8"/>
  <c r="N6666" i="8"/>
  <c r="N6667" i="8"/>
  <c r="N6668" i="8"/>
  <c r="N6669" i="8"/>
  <c r="N6670" i="8"/>
  <c r="N6671" i="8"/>
  <c r="N6672" i="8"/>
  <c r="N6673" i="8"/>
  <c r="N6674" i="8"/>
  <c r="N6675" i="8"/>
  <c r="N6676" i="8"/>
  <c r="N6677" i="8"/>
  <c r="N6678" i="8"/>
  <c r="N6679" i="8"/>
  <c r="N6680" i="8"/>
  <c r="N6681" i="8"/>
  <c r="N6682" i="8"/>
  <c r="N6683" i="8"/>
  <c r="N6684" i="8"/>
  <c r="N6685" i="8"/>
  <c r="N6686" i="8"/>
  <c r="N6687" i="8"/>
  <c r="N6688" i="8"/>
  <c r="N6689" i="8"/>
  <c r="N6690" i="8"/>
  <c r="N6691" i="8"/>
  <c r="N6692" i="8"/>
  <c r="N6693" i="8"/>
  <c r="N6694" i="8"/>
  <c r="N6695" i="8"/>
  <c r="N6696" i="8"/>
  <c r="N6697" i="8"/>
  <c r="N6698" i="8"/>
  <c r="N6699" i="8"/>
  <c r="N6700" i="8"/>
  <c r="N6701" i="8"/>
  <c r="N6702" i="8"/>
  <c r="N6703" i="8"/>
  <c r="N6704" i="8"/>
  <c r="N6705" i="8"/>
  <c r="N6706" i="8"/>
  <c r="N6707" i="8"/>
  <c r="N6708" i="8"/>
  <c r="N6709" i="8"/>
  <c r="N6710" i="8"/>
  <c r="N6711" i="8"/>
  <c r="N6712" i="8"/>
  <c r="N6713" i="8"/>
  <c r="N6714" i="8"/>
  <c r="N6715" i="8"/>
  <c r="N6716" i="8"/>
  <c r="N6717" i="8"/>
  <c r="N6718" i="8"/>
  <c r="N6719" i="8"/>
  <c r="N6720" i="8"/>
  <c r="N6721" i="8"/>
  <c r="N6722" i="8"/>
  <c r="N6723" i="8"/>
  <c r="N6724" i="8"/>
  <c r="N6725" i="8"/>
  <c r="N6726" i="8"/>
  <c r="N6727" i="8"/>
  <c r="N6728" i="8"/>
  <c r="N6729" i="8"/>
  <c r="N6730" i="8"/>
  <c r="N6731" i="8"/>
  <c r="N6732" i="8"/>
  <c r="N6733" i="8"/>
  <c r="N6734" i="8"/>
  <c r="N6735" i="8"/>
  <c r="N6736" i="8"/>
  <c r="N6737" i="8"/>
  <c r="N6738" i="8"/>
  <c r="N6739" i="8"/>
  <c r="N6740" i="8"/>
  <c r="N6741" i="8"/>
  <c r="N6742" i="8"/>
  <c r="N6743" i="8"/>
  <c r="N6744" i="8"/>
  <c r="N6745" i="8"/>
  <c r="N6746" i="8"/>
  <c r="N6747" i="8"/>
  <c r="N6748" i="8"/>
  <c r="N6749" i="8"/>
  <c r="N6750" i="8"/>
  <c r="N6751" i="8"/>
  <c r="N6752" i="8"/>
  <c r="N6753" i="8"/>
  <c r="N6754" i="8"/>
  <c r="N6755" i="8"/>
  <c r="N6756" i="8"/>
  <c r="N6757" i="8"/>
  <c r="N6758" i="8"/>
  <c r="N6759" i="8"/>
  <c r="N6760" i="8"/>
  <c r="N6761" i="8"/>
  <c r="N6762" i="8"/>
  <c r="N6763" i="8"/>
  <c r="N6764" i="8"/>
  <c r="N6765" i="8"/>
  <c r="N6766" i="8"/>
  <c r="N6767" i="8"/>
  <c r="N6768" i="8"/>
  <c r="N6769" i="8"/>
  <c r="N6770" i="8"/>
  <c r="N6771" i="8"/>
  <c r="N6772" i="8"/>
  <c r="N6773" i="8"/>
  <c r="N6774" i="8"/>
  <c r="N6775" i="8"/>
  <c r="N6776" i="8"/>
  <c r="N6777" i="8"/>
  <c r="N6778" i="8"/>
  <c r="N6779" i="8"/>
  <c r="N6780" i="8"/>
  <c r="N6781" i="8"/>
  <c r="N6782" i="8"/>
  <c r="N6783" i="8"/>
  <c r="N6784" i="8"/>
  <c r="N6785" i="8"/>
  <c r="N6786" i="8"/>
  <c r="N6787" i="8"/>
  <c r="N6788" i="8"/>
  <c r="N6789" i="8"/>
  <c r="N6790" i="8"/>
  <c r="N6791" i="8"/>
  <c r="N6792" i="8"/>
  <c r="N6793" i="8"/>
  <c r="N6794" i="8"/>
  <c r="N6795" i="8"/>
  <c r="N6796" i="8"/>
  <c r="N6797" i="8"/>
  <c r="N6798" i="8"/>
  <c r="N6799" i="8"/>
  <c r="N6800" i="8"/>
  <c r="N6801" i="8"/>
  <c r="N6802" i="8"/>
  <c r="N6803" i="8"/>
  <c r="N6804" i="8"/>
  <c r="N6805" i="8"/>
  <c r="N6806" i="8"/>
  <c r="N6807" i="8"/>
  <c r="N6808" i="8"/>
  <c r="N6809" i="8"/>
  <c r="N6810" i="8"/>
  <c r="N6811" i="8"/>
  <c r="N6812" i="8"/>
  <c r="N6813" i="8"/>
  <c r="N6814" i="8"/>
  <c r="N6815" i="8"/>
  <c r="N6816" i="8"/>
  <c r="N6817" i="8"/>
  <c r="N6818" i="8"/>
  <c r="N6819" i="8"/>
  <c r="N6820" i="8"/>
  <c r="N6821" i="8"/>
  <c r="N6822" i="8"/>
  <c r="N6823" i="8"/>
  <c r="N6824" i="8"/>
  <c r="N6825" i="8"/>
  <c r="N6826" i="8"/>
  <c r="N6827" i="8"/>
  <c r="N6828" i="8"/>
  <c r="N6829" i="8"/>
  <c r="N6830" i="8"/>
  <c r="N6831" i="8"/>
  <c r="N6832" i="8"/>
  <c r="N6833" i="8"/>
  <c r="N6834" i="8"/>
  <c r="N6835" i="8"/>
  <c r="N6836" i="8"/>
  <c r="N6837" i="8"/>
  <c r="N6838" i="8"/>
  <c r="N6839" i="8"/>
  <c r="N6840" i="8"/>
  <c r="N6841" i="8"/>
  <c r="N6842" i="8"/>
  <c r="N6843" i="8"/>
  <c r="N6844" i="8"/>
  <c r="N6845" i="8"/>
  <c r="N6846" i="8"/>
  <c r="N6847" i="8"/>
  <c r="N6848" i="8"/>
  <c r="N6849" i="8"/>
  <c r="N6850" i="8"/>
  <c r="N6851" i="8"/>
  <c r="N6852" i="8"/>
  <c r="N6853" i="8"/>
  <c r="N6854" i="8"/>
  <c r="N6855" i="8"/>
  <c r="N6856" i="8"/>
  <c r="N6857" i="8"/>
  <c r="N6858" i="8"/>
  <c r="N6859" i="8"/>
  <c r="N6860" i="8"/>
  <c r="N6861" i="8"/>
  <c r="N6862" i="8"/>
  <c r="N6863" i="8"/>
  <c r="N6864" i="8"/>
  <c r="N6865" i="8"/>
  <c r="N6866" i="8"/>
  <c r="N6867" i="8"/>
  <c r="N6868" i="8"/>
  <c r="N6869" i="8"/>
  <c r="N6870" i="8"/>
  <c r="N6871" i="8"/>
  <c r="N6872" i="8"/>
  <c r="N6873" i="8"/>
  <c r="N6874" i="8"/>
  <c r="N6875" i="8"/>
  <c r="N6876" i="8"/>
  <c r="N6877" i="8"/>
  <c r="N6878" i="8"/>
  <c r="N6879" i="8"/>
  <c r="N6880" i="8"/>
  <c r="N6881" i="8"/>
  <c r="N6882" i="8"/>
  <c r="N6883" i="8"/>
  <c r="N6884" i="8"/>
  <c r="N6885" i="8"/>
  <c r="N6886" i="8"/>
  <c r="N6887" i="8"/>
  <c r="N6888" i="8"/>
  <c r="N6889" i="8"/>
  <c r="N6890" i="8"/>
  <c r="N6891" i="8"/>
  <c r="N6892" i="8"/>
  <c r="N6893" i="8"/>
  <c r="N6894" i="8"/>
  <c r="N6895" i="8"/>
  <c r="N6896" i="8"/>
  <c r="N6897" i="8"/>
  <c r="N6898" i="8"/>
  <c r="N6899" i="8"/>
  <c r="N6900" i="8"/>
  <c r="N6901" i="8"/>
  <c r="N6902" i="8"/>
  <c r="N6903" i="8"/>
  <c r="N6904" i="8"/>
  <c r="N6905" i="8"/>
  <c r="N6906" i="8"/>
  <c r="N6907" i="8"/>
  <c r="N6908" i="8"/>
  <c r="N6909" i="8"/>
  <c r="N6910" i="8"/>
  <c r="N6911" i="8"/>
  <c r="N6912" i="8"/>
  <c r="N6913" i="8"/>
  <c r="N6914" i="8"/>
  <c r="N6915" i="8"/>
  <c r="N6916" i="8"/>
  <c r="N6917" i="8"/>
  <c r="N6918" i="8"/>
  <c r="N6919" i="8"/>
  <c r="N6920" i="8"/>
  <c r="N6921" i="8"/>
  <c r="N6922" i="8"/>
  <c r="N6923" i="8"/>
  <c r="N6924" i="8"/>
  <c r="N6925" i="8"/>
  <c r="N6926" i="8"/>
  <c r="N6927" i="8"/>
  <c r="N6928" i="8"/>
  <c r="N6929" i="8"/>
  <c r="N6930" i="8"/>
  <c r="N6931" i="8"/>
  <c r="N6932" i="8"/>
  <c r="N6933" i="8"/>
  <c r="N6934" i="8"/>
  <c r="N6935" i="8"/>
  <c r="N6936" i="8"/>
  <c r="N6937" i="8"/>
  <c r="N6938" i="8"/>
  <c r="N6939" i="8"/>
  <c r="N6940" i="8"/>
  <c r="N6941" i="8"/>
  <c r="N6942" i="8"/>
  <c r="N6943" i="8"/>
  <c r="N6944" i="8"/>
  <c r="N6945" i="8"/>
  <c r="N6946" i="8"/>
  <c r="N6947" i="8"/>
  <c r="N6948" i="8"/>
  <c r="N6949" i="8"/>
  <c r="N6950" i="8"/>
  <c r="N6951" i="8"/>
  <c r="N6952" i="8"/>
  <c r="N6953" i="8"/>
  <c r="N6954" i="8"/>
  <c r="N6955" i="8"/>
  <c r="N6956" i="8"/>
  <c r="N6957" i="8"/>
  <c r="N6958" i="8"/>
  <c r="N6959" i="8"/>
  <c r="N6960" i="8"/>
  <c r="N6961" i="8"/>
  <c r="N6962" i="8"/>
  <c r="N6963" i="8"/>
  <c r="N6964" i="8"/>
  <c r="N6965" i="8"/>
  <c r="N6966" i="8"/>
  <c r="N6967" i="8"/>
  <c r="N6968" i="8"/>
  <c r="N6969" i="8"/>
  <c r="N6970" i="8"/>
  <c r="N6971" i="8"/>
  <c r="N6972" i="8"/>
  <c r="N6973" i="8"/>
  <c r="N6974" i="8"/>
  <c r="N6975" i="8"/>
  <c r="N6976" i="8"/>
  <c r="N6977" i="8"/>
  <c r="N6978" i="8"/>
  <c r="N6979" i="8"/>
  <c r="N6980" i="8"/>
  <c r="N6981" i="8"/>
  <c r="N6982" i="8"/>
  <c r="N6983" i="8"/>
  <c r="N6984" i="8"/>
  <c r="N6985" i="8"/>
  <c r="N6986" i="8"/>
  <c r="N6987" i="8"/>
  <c r="N6988" i="8"/>
  <c r="N6989" i="8"/>
  <c r="N6990" i="8"/>
  <c r="N6991" i="8"/>
  <c r="N6992" i="8"/>
  <c r="N6993" i="8"/>
  <c r="N6994" i="8"/>
  <c r="N6995" i="8"/>
  <c r="N6996" i="8"/>
  <c r="N6997" i="8"/>
  <c r="N6998" i="8"/>
  <c r="N6999" i="8"/>
  <c r="N7000" i="8"/>
  <c r="N7001" i="8"/>
  <c r="N7002" i="8"/>
  <c r="N7003" i="8"/>
  <c r="N7004" i="8"/>
  <c r="N7005" i="8"/>
  <c r="N7006" i="8"/>
  <c r="N7007" i="8"/>
  <c r="N7008" i="8"/>
  <c r="N7009" i="8"/>
  <c r="N7010" i="8"/>
  <c r="N7011" i="8"/>
  <c r="N7012" i="8"/>
  <c r="N7013" i="8"/>
  <c r="N7014" i="8"/>
  <c r="N7015" i="8"/>
  <c r="N7016" i="8"/>
  <c r="N7017" i="8"/>
  <c r="N7018" i="8"/>
  <c r="N7019" i="8"/>
  <c r="N7020" i="8"/>
  <c r="N7021" i="8"/>
  <c r="N7022" i="8"/>
  <c r="N7023" i="8"/>
  <c r="N7024" i="8"/>
  <c r="N7025" i="8"/>
  <c r="N7026" i="8"/>
  <c r="N7027" i="8"/>
  <c r="N7028" i="8"/>
  <c r="N7029" i="8"/>
  <c r="N7030" i="8"/>
  <c r="N7031" i="8"/>
  <c r="N7032" i="8"/>
  <c r="N7033" i="8"/>
  <c r="N7034" i="8"/>
  <c r="N7035" i="8"/>
  <c r="N7036" i="8"/>
  <c r="N7037" i="8"/>
  <c r="N7038" i="8"/>
  <c r="N7039" i="8"/>
  <c r="N7040" i="8"/>
  <c r="N7041" i="8"/>
  <c r="N7042" i="8"/>
  <c r="N7043" i="8"/>
  <c r="N7044" i="8"/>
  <c r="N7045" i="8"/>
  <c r="N7046" i="8"/>
  <c r="N7047" i="8"/>
  <c r="N7048" i="8"/>
  <c r="N7049" i="8"/>
  <c r="N7050" i="8"/>
  <c r="N7051" i="8"/>
  <c r="N7052" i="8"/>
  <c r="N7053" i="8"/>
  <c r="N7054" i="8"/>
  <c r="N7055" i="8"/>
  <c r="N7056" i="8"/>
  <c r="N7057" i="8"/>
  <c r="N7058" i="8"/>
  <c r="N7059" i="8"/>
  <c r="N7060" i="8"/>
  <c r="N7061" i="8"/>
  <c r="N7062" i="8"/>
  <c r="N7063" i="8"/>
  <c r="N7064" i="8"/>
  <c r="N7065" i="8"/>
  <c r="N7066" i="8"/>
  <c r="N7067" i="8"/>
  <c r="N7068" i="8"/>
  <c r="N7069" i="8"/>
  <c r="N7070" i="8"/>
  <c r="N7071" i="8"/>
  <c r="N7072" i="8"/>
  <c r="N7073" i="8"/>
  <c r="N7074" i="8"/>
  <c r="N7075" i="8"/>
  <c r="N7076" i="8"/>
  <c r="N7077" i="8"/>
  <c r="N7078" i="8"/>
  <c r="N7079" i="8"/>
  <c r="N7080" i="8"/>
  <c r="N7081" i="8"/>
  <c r="N7082" i="8"/>
  <c r="N7083" i="8"/>
  <c r="N7084" i="8"/>
  <c r="N7085" i="8"/>
  <c r="N7086" i="8"/>
  <c r="N7087" i="8"/>
  <c r="N7088" i="8"/>
  <c r="N7089" i="8"/>
  <c r="N7090" i="8"/>
  <c r="N7091" i="8"/>
  <c r="N7092" i="8"/>
  <c r="N7093" i="8"/>
  <c r="N7094" i="8"/>
  <c r="N7095" i="8"/>
  <c r="N7096" i="8"/>
  <c r="N7097" i="8"/>
  <c r="N7098" i="8"/>
  <c r="N7099" i="8"/>
  <c r="N7100" i="8"/>
  <c r="N7101" i="8"/>
  <c r="N7102" i="8"/>
  <c r="N7103" i="8"/>
  <c r="N7104" i="8"/>
  <c r="N7105" i="8"/>
  <c r="N7106" i="8"/>
  <c r="N7107" i="8"/>
  <c r="N7108" i="8"/>
  <c r="N7109" i="8"/>
  <c r="N7110" i="8"/>
  <c r="N7111" i="8"/>
  <c r="N7112" i="8"/>
  <c r="N7113" i="8"/>
  <c r="N7114" i="8"/>
  <c r="N7115" i="8"/>
  <c r="N7116" i="8"/>
  <c r="N7117" i="8"/>
  <c r="N7118" i="8"/>
  <c r="N7119" i="8"/>
  <c r="N7120" i="8"/>
  <c r="N7121" i="8"/>
  <c r="N7122" i="8"/>
  <c r="N7123" i="8"/>
  <c r="N7124" i="8"/>
  <c r="N7125" i="8"/>
  <c r="N7126" i="8"/>
  <c r="N7127" i="8"/>
  <c r="N7128" i="8"/>
  <c r="N7129" i="8"/>
  <c r="N7130" i="8"/>
  <c r="N7131" i="8"/>
  <c r="N7132" i="8"/>
  <c r="N7133" i="8"/>
  <c r="N7134" i="8"/>
  <c r="N7135" i="8"/>
  <c r="N7136" i="8"/>
  <c r="N7137" i="8"/>
  <c r="N7138" i="8"/>
  <c r="N7139" i="8"/>
  <c r="N7140" i="8"/>
  <c r="N7141" i="8"/>
  <c r="N7142" i="8"/>
  <c r="N7143" i="8"/>
  <c r="N7144" i="8"/>
  <c r="N7145" i="8"/>
  <c r="N7146" i="8"/>
  <c r="N7147" i="8"/>
  <c r="N7148" i="8"/>
  <c r="N7149" i="8"/>
  <c r="N7150" i="8"/>
  <c r="N7151" i="8"/>
  <c r="N7152" i="8"/>
  <c r="N7153" i="8"/>
  <c r="N7154" i="8"/>
  <c r="N7155" i="8"/>
  <c r="N7156" i="8"/>
  <c r="N7157" i="8"/>
  <c r="N7158" i="8"/>
  <c r="N7159" i="8"/>
  <c r="N7160" i="8"/>
  <c r="N7161" i="8"/>
  <c r="N7162" i="8"/>
  <c r="N7163" i="8"/>
  <c r="N7164" i="8"/>
  <c r="N7165" i="8"/>
  <c r="N7166" i="8"/>
  <c r="N7167" i="8"/>
  <c r="N7168" i="8"/>
  <c r="N7169" i="8"/>
  <c r="N7170" i="8"/>
  <c r="N7171" i="8"/>
  <c r="N7172" i="8"/>
  <c r="N7173" i="8"/>
  <c r="N7174" i="8"/>
  <c r="N7175" i="8"/>
  <c r="N7176" i="8"/>
  <c r="N7177" i="8"/>
  <c r="N7178" i="8"/>
  <c r="N7179" i="8"/>
  <c r="N7180" i="8"/>
  <c r="N7181" i="8"/>
  <c r="N7182" i="8"/>
  <c r="N7183" i="8"/>
  <c r="N7184" i="8"/>
  <c r="N7185" i="8"/>
  <c r="N7186" i="8"/>
  <c r="N7187" i="8"/>
  <c r="N7188" i="8"/>
  <c r="N7189" i="8"/>
  <c r="N7190" i="8"/>
  <c r="N7191" i="8"/>
  <c r="N7192" i="8"/>
  <c r="N7193" i="8"/>
  <c r="N7194" i="8"/>
  <c r="N7195" i="8"/>
  <c r="N7196" i="8"/>
  <c r="N7197" i="8"/>
  <c r="N7198" i="8"/>
  <c r="N7199" i="8"/>
  <c r="N7200" i="8"/>
  <c r="N7201" i="8"/>
  <c r="N7202" i="8"/>
  <c r="N7203" i="8"/>
  <c r="N7204" i="8"/>
  <c r="N7205" i="8"/>
  <c r="N7206" i="8"/>
  <c r="N7207" i="8"/>
  <c r="N7208" i="8"/>
  <c r="N7209" i="8"/>
  <c r="N7210" i="8"/>
  <c r="N7211" i="8"/>
  <c r="N7212" i="8"/>
  <c r="N7213" i="8"/>
  <c r="N7214" i="8"/>
  <c r="N7215" i="8"/>
  <c r="N7216" i="8"/>
  <c r="N7217" i="8"/>
  <c r="N7218" i="8"/>
  <c r="N7219" i="8"/>
  <c r="N7220" i="8"/>
  <c r="N7221" i="8"/>
  <c r="N7222" i="8"/>
  <c r="N7223" i="8"/>
  <c r="N7224" i="8"/>
  <c r="N7225" i="8"/>
  <c r="N7226" i="8"/>
  <c r="N7227" i="8"/>
  <c r="N7228" i="8"/>
  <c r="N7229" i="8"/>
  <c r="N7230" i="8"/>
  <c r="N7231" i="8"/>
  <c r="N7232" i="8"/>
  <c r="N7233" i="8"/>
  <c r="N7234" i="8"/>
  <c r="N7235" i="8"/>
  <c r="N7236" i="8"/>
  <c r="N7237" i="8"/>
  <c r="N7238" i="8"/>
  <c r="N7239" i="8"/>
  <c r="N7240" i="8"/>
  <c r="N7241" i="8"/>
  <c r="N7242" i="8"/>
  <c r="N7243" i="8"/>
  <c r="N7244" i="8"/>
  <c r="N7245" i="8"/>
  <c r="N7246" i="8"/>
  <c r="N7247" i="8"/>
  <c r="N7248" i="8"/>
  <c r="N7249" i="8"/>
  <c r="N7250" i="8"/>
  <c r="N7251" i="8"/>
  <c r="N7252" i="8"/>
  <c r="N7253" i="8"/>
  <c r="N7254" i="8"/>
  <c r="N7255" i="8"/>
  <c r="N7256" i="8"/>
  <c r="N7257" i="8"/>
  <c r="N7258" i="8"/>
  <c r="N7259" i="8"/>
  <c r="N7260" i="8"/>
  <c r="N7261" i="8"/>
  <c r="N7262" i="8"/>
  <c r="N7263" i="8"/>
  <c r="N7264" i="8"/>
  <c r="N7265" i="8"/>
  <c r="N7266" i="8"/>
  <c r="N7267" i="8"/>
  <c r="N7268" i="8"/>
  <c r="N7269" i="8"/>
  <c r="N7270" i="8"/>
  <c r="N7271" i="8"/>
  <c r="N7272" i="8"/>
  <c r="N7273" i="8"/>
  <c r="N7274" i="8"/>
  <c r="N7275" i="8"/>
  <c r="N7276" i="8"/>
  <c r="N7277" i="8"/>
  <c r="N7278" i="8"/>
  <c r="N7279" i="8"/>
  <c r="N7280" i="8"/>
  <c r="N7281" i="8"/>
  <c r="N7282" i="8"/>
  <c r="N7283" i="8"/>
  <c r="N7284" i="8"/>
  <c r="N7285" i="8"/>
  <c r="N7286" i="8"/>
  <c r="N7287" i="8"/>
  <c r="N7288" i="8"/>
  <c r="N7289" i="8"/>
  <c r="N7290" i="8"/>
  <c r="N7291" i="8"/>
  <c r="N7292" i="8"/>
  <c r="N7293" i="8"/>
  <c r="N7294" i="8"/>
  <c r="N7295" i="8"/>
  <c r="N7296" i="8"/>
  <c r="N7297" i="8"/>
  <c r="N7298" i="8"/>
  <c r="N7299" i="8"/>
  <c r="N7300" i="8"/>
  <c r="N7301" i="8"/>
  <c r="N7302" i="8"/>
  <c r="N7303" i="8"/>
  <c r="N7304" i="8"/>
  <c r="N7305" i="8"/>
  <c r="N7306" i="8"/>
  <c r="N7307" i="8"/>
  <c r="N7308" i="8"/>
  <c r="N7309" i="8"/>
  <c r="N7310" i="8"/>
  <c r="N7311" i="8"/>
  <c r="N7312" i="8"/>
  <c r="N7313" i="8"/>
  <c r="N7314" i="8"/>
  <c r="N7315" i="8"/>
  <c r="N7316" i="8"/>
  <c r="N7317" i="8"/>
  <c r="N7318" i="8"/>
  <c r="N7319" i="8"/>
  <c r="N7320" i="8"/>
  <c r="N7321" i="8"/>
  <c r="N7322" i="8"/>
  <c r="N7323" i="8"/>
  <c r="N7324" i="8"/>
  <c r="N7325" i="8"/>
  <c r="N7326" i="8"/>
  <c r="N7327" i="8"/>
  <c r="N7328" i="8"/>
  <c r="N7329" i="8"/>
  <c r="N7330" i="8"/>
  <c r="N7331" i="8"/>
  <c r="N7332" i="8"/>
  <c r="N7333" i="8"/>
  <c r="N7334" i="8"/>
  <c r="N7335" i="8"/>
  <c r="N7336" i="8"/>
  <c r="N7337" i="8"/>
  <c r="N7338" i="8"/>
  <c r="N7339" i="8"/>
  <c r="N7340" i="8"/>
  <c r="N7341" i="8"/>
  <c r="N7342" i="8"/>
  <c r="N7343" i="8"/>
  <c r="N7344" i="8"/>
  <c r="N7345" i="8"/>
  <c r="N7346" i="8"/>
  <c r="N7347" i="8"/>
  <c r="N7348" i="8"/>
  <c r="N7349" i="8"/>
  <c r="N7350" i="8"/>
  <c r="N7351" i="8"/>
  <c r="N7352" i="8"/>
  <c r="N7353" i="8"/>
  <c r="N7354" i="8"/>
  <c r="N7355" i="8"/>
  <c r="N7356" i="8"/>
  <c r="N7357" i="8"/>
  <c r="N7358" i="8"/>
  <c r="N7359" i="8"/>
  <c r="N7360" i="8"/>
  <c r="N7361" i="8"/>
  <c r="N7362" i="8"/>
  <c r="N7363" i="8"/>
  <c r="N7364" i="8"/>
  <c r="N7365" i="8"/>
  <c r="N7366" i="8"/>
  <c r="N7367" i="8"/>
  <c r="N7368" i="8"/>
  <c r="N7369" i="8"/>
  <c r="N7370" i="8"/>
  <c r="N7371" i="8"/>
  <c r="N7372" i="8"/>
  <c r="N7373" i="8"/>
  <c r="N7374" i="8"/>
  <c r="N7375" i="8"/>
  <c r="N7376" i="8"/>
  <c r="N7377" i="8"/>
  <c r="N7378" i="8"/>
  <c r="N7379" i="8"/>
  <c r="N7380" i="8"/>
  <c r="N7381" i="8"/>
  <c r="N7382" i="8"/>
  <c r="N7383" i="8"/>
  <c r="N7384" i="8"/>
  <c r="N7385" i="8"/>
  <c r="N7386" i="8"/>
  <c r="N7387" i="8"/>
  <c r="N7388" i="8"/>
  <c r="N7389" i="8"/>
  <c r="N7390" i="8"/>
  <c r="N7391" i="8"/>
  <c r="N7392" i="8"/>
  <c r="N7393" i="8"/>
  <c r="N7394" i="8"/>
  <c r="N7395" i="8"/>
  <c r="N7396" i="8"/>
  <c r="N7397" i="8"/>
  <c r="N7398" i="8"/>
  <c r="N7399" i="8"/>
  <c r="N7400" i="8"/>
  <c r="N7401" i="8"/>
  <c r="N7402" i="8"/>
  <c r="N7403" i="8"/>
  <c r="N7404" i="8"/>
  <c r="N7405" i="8"/>
  <c r="N7406" i="8"/>
  <c r="N7407" i="8"/>
  <c r="N7408" i="8"/>
  <c r="N7409" i="8"/>
  <c r="N7410" i="8"/>
  <c r="N7411" i="8"/>
  <c r="N7412" i="8"/>
  <c r="N7413" i="8"/>
  <c r="N7414" i="8"/>
  <c r="N7415" i="8"/>
  <c r="N7416" i="8"/>
  <c r="N7417" i="8"/>
  <c r="N7418" i="8"/>
  <c r="N7419" i="8"/>
  <c r="N7420" i="8"/>
  <c r="N7421" i="8"/>
  <c r="N7422" i="8"/>
  <c r="N7423" i="8"/>
  <c r="N7424" i="8"/>
  <c r="N7425" i="8"/>
  <c r="N7426" i="8"/>
  <c r="N7427" i="8"/>
  <c r="N7428" i="8"/>
  <c r="N7429" i="8"/>
  <c r="N7430" i="8"/>
  <c r="N7431" i="8"/>
  <c r="N7432" i="8"/>
  <c r="N7433" i="8"/>
  <c r="N7434" i="8"/>
  <c r="N7435" i="8"/>
  <c r="N7436" i="8"/>
  <c r="N7437" i="8"/>
  <c r="N7438" i="8"/>
  <c r="N7439" i="8"/>
  <c r="N7440" i="8"/>
  <c r="N7441" i="8"/>
  <c r="N7442" i="8"/>
  <c r="N7443" i="8"/>
  <c r="N7444" i="8"/>
  <c r="N7445" i="8"/>
  <c r="N7446" i="8"/>
  <c r="N7447" i="8"/>
  <c r="N7448" i="8"/>
  <c r="N7449" i="8"/>
  <c r="N7450" i="8"/>
  <c r="N7451" i="8"/>
  <c r="N7452" i="8"/>
  <c r="N7453" i="8"/>
  <c r="N7454" i="8"/>
  <c r="N7455" i="8"/>
  <c r="N7456" i="8"/>
  <c r="N7457" i="8"/>
  <c r="N7458" i="8"/>
  <c r="N7459" i="8"/>
  <c r="N7460" i="8"/>
  <c r="N7461" i="8"/>
  <c r="N7462" i="8"/>
  <c r="N7463" i="8"/>
  <c r="N7464" i="8"/>
  <c r="N7465" i="8"/>
  <c r="N7466" i="8"/>
  <c r="N7467" i="8"/>
  <c r="N7468" i="8"/>
  <c r="N7469" i="8"/>
  <c r="N7470" i="8"/>
  <c r="N7471" i="8"/>
  <c r="N7472" i="8"/>
  <c r="N7473" i="8"/>
  <c r="N7474" i="8"/>
  <c r="N7475" i="8"/>
  <c r="N7476" i="8"/>
  <c r="N7477" i="8"/>
  <c r="N7478" i="8"/>
  <c r="N7479" i="8"/>
  <c r="N7480" i="8"/>
  <c r="N7481" i="8"/>
  <c r="N7482" i="8"/>
  <c r="N7483" i="8"/>
  <c r="N7484" i="8"/>
  <c r="N7485" i="8"/>
  <c r="N7486" i="8"/>
  <c r="N7487" i="8"/>
  <c r="N7488" i="8"/>
  <c r="N7489" i="8"/>
  <c r="N7490" i="8"/>
  <c r="N7491" i="8"/>
  <c r="N7492" i="8"/>
  <c r="N7493" i="8"/>
  <c r="N7494" i="8"/>
  <c r="N7495" i="8"/>
  <c r="N7496" i="8"/>
  <c r="N7497" i="8"/>
  <c r="N7498" i="8"/>
  <c r="N7499" i="8"/>
  <c r="N7500" i="8"/>
  <c r="N7501" i="8"/>
  <c r="N7502" i="8"/>
  <c r="N7503" i="8"/>
  <c r="N7504" i="8"/>
  <c r="N7505" i="8"/>
  <c r="N7506" i="8"/>
  <c r="N7507" i="8"/>
  <c r="N7508" i="8"/>
  <c r="N7509" i="8"/>
  <c r="N7510" i="8"/>
  <c r="N7511" i="8"/>
  <c r="N7512" i="8"/>
  <c r="N7513" i="8"/>
  <c r="N7514" i="8"/>
  <c r="N7515" i="8"/>
  <c r="N7516" i="8"/>
  <c r="N7517" i="8"/>
  <c r="N7518" i="8"/>
  <c r="N7519" i="8"/>
  <c r="N7520" i="8"/>
  <c r="N7521" i="8"/>
  <c r="N7522" i="8"/>
  <c r="N7523" i="8"/>
  <c r="N7524" i="8"/>
  <c r="N7525" i="8"/>
  <c r="N7526" i="8"/>
  <c r="N7527" i="8"/>
  <c r="N7528" i="8"/>
  <c r="N7529" i="8"/>
  <c r="N7530" i="8"/>
  <c r="N7531" i="8"/>
  <c r="N7532" i="8"/>
  <c r="N7533" i="8"/>
  <c r="N7534" i="8"/>
  <c r="N7535" i="8"/>
  <c r="N7536" i="8"/>
  <c r="N7537" i="8"/>
  <c r="N7538" i="8"/>
  <c r="N7539" i="8"/>
  <c r="N7540" i="8"/>
  <c r="N7541" i="8"/>
  <c r="N7542" i="8"/>
  <c r="N7543" i="8"/>
  <c r="N7544" i="8"/>
  <c r="N7545" i="8"/>
  <c r="N7546" i="8"/>
  <c r="N7547" i="8"/>
  <c r="N7548" i="8"/>
  <c r="N7549" i="8"/>
  <c r="N7550" i="8"/>
  <c r="N7551" i="8"/>
  <c r="N7552" i="8"/>
  <c r="N7553" i="8"/>
  <c r="N7554" i="8"/>
  <c r="N7555" i="8"/>
  <c r="N7556" i="8"/>
  <c r="N7557" i="8"/>
  <c r="N7558" i="8"/>
  <c r="N7559" i="8"/>
  <c r="N7560" i="8"/>
  <c r="N7561" i="8"/>
  <c r="N7562" i="8"/>
  <c r="N7563" i="8"/>
  <c r="N7564" i="8"/>
  <c r="N7565" i="8"/>
  <c r="N7566" i="8"/>
  <c r="N7567" i="8"/>
  <c r="N7568" i="8"/>
  <c r="N7569" i="8"/>
  <c r="N7570" i="8"/>
  <c r="N7571" i="8"/>
  <c r="N7572" i="8"/>
  <c r="N7573" i="8"/>
  <c r="N7574" i="8"/>
  <c r="N7575" i="8"/>
  <c r="N7576" i="8"/>
  <c r="N7577" i="8"/>
  <c r="N7578" i="8"/>
  <c r="N7579" i="8"/>
  <c r="N7580" i="8"/>
  <c r="N7581" i="8"/>
  <c r="N7582" i="8"/>
  <c r="N7583" i="8"/>
  <c r="N7584" i="8"/>
  <c r="N7585" i="8"/>
  <c r="N7586" i="8"/>
  <c r="N7587" i="8"/>
  <c r="N7588" i="8"/>
  <c r="N7589" i="8"/>
  <c r="N7590" i="8"/>
  <c r="N7591" i="8"/>
  <c r="N7592" i="8"/>
  <c r="N7593" i="8"/>
  <c r="N7594" i="8"/>
  <c r="N7595" i="8"/>
  <c r="N7596" i="8"/>
  <c r="N7597" i="8"/>
  <c r="N7598" i="8"/>
  <c r="N7599" i="8"/>
  <c r="N7600" i="8"/>
  <c r="N7601" i="8"/>
  <c r="N7602" i="8"/>
  <c r="N7603" i="8"/>
  <c r="N7604" i="8"/>
  <c r="N7605" i="8"/>
  <c r="N7606" i="8"/>
  <c r="N7607" i="8"/>
  <c r="N7608" i="8"/>
  <c r="N7609" i="8"/>
  <c r="N7610" i="8"/>
  <c r="N7611" i="8"/>
  <c r="N7612" i="8"/>
  <c r="N7613" i="8"/>
  <c r="N7614" i="8"/>
  <c r="N7615" i="8"/>
  <c r="N7616" i="8"/>
  <c r="N7617" i="8"/>
  <c r="N7618" i="8"/>
  <c r="N7619" i="8"/>
  <c r="N7620" i="8"/>
  <c r="N7621" i="8"/>
  <c r="N7622" i="8"/>
  <c r="N7623" i="8"/>
  <c r="N7624" i="8"/>
  <c r="N7625" i="8"/>
  <c r="N7626" i="8"/>
  <c r="N7627" i="8"/>
  <c r="N7628" i="8"/>
  <c r="N7629" i="8"/>
  <c r="N7630" i="8"/>
  <c r="N7631" i="8"/>
  <c r="N7632" i="8"/>
  <c r="N7633" i="8"/>
  <c r="N7634" i="8"/>
  <c r="N7635" i="8"/>
  <c r="N7636" i="8"/>
  <c r="N7637" i="8"/>
  <c r="N7638" i="8"/>
  <c r="N7639" i="8"/>
  <c r="N7640" i="8"/>
  <c r="N7641" i="8"/>
  <c r="N7642" i="8"/>
  <c r="N7643" i="8"/>
  <c r="N7644" i="8"/>
  <c r="N7645" i="8"/>
  <c r="N7646" i="8"/>
  <c r="N7647" i="8"/>
  <c r="N7648" i="8"/>
  <c r="N7649" i="8"/>
  <c r="N7650" i="8"/>
  <c r="N7651" i="8"/>
  <c r="N7652" i="8"/>
  <c r="N7653" i="8"/>
  <c r="N7654" i="8"/>
  <c r="N7655" i="8"/>
  <c r="N7656" i="8"/>
  <c r="N7657" i="8"/>
  <c r="N7658" i="8"/>
  <c r="N7659" i="8"/>
  <c r="N7660" i="8"/>
  <c r="N7661" i="8"/>
  <c r="N7662" i="8"/>
  <c r="N7663" i="8"/>
  <c r="N7664" i="8"/>
  <c r="N7665" i="8"/>
  <c r="N7666" i="8"/>
  <c r="N7667" i="8"/>
  <c r="N7668" i="8"/>
  <c r="N7669" i="8"/>
  <c r="N7670" i="8"/>
  <c r="N7671" i="8"/>
  <c r="N7672" i="8"/>
  <c r="N7673" i="8"/>
  <c r="N7674" i="8"/>
  <c r="N7675" i="8"/>
  <c r="N7676" i="8"/>
  <c r="N7677" i="8"/>
  <c r="N7678" i="8"/>
  <c r="N7679" i="8"/>
  <c r="N7680" i="8"/>
  <c r="N7681" i="8"/>
  <c r="N7682" i="8"/>
  <c r="N7683" i="8"/>
  <c r="N7684" i="8"/>
  <c r="N7685" i="8"/>
  <c r="N7686" i="8"/>
  <c r="N7687" i="8"/>
  <c r="N7688" i="8"/>
  <c r="N7689" i="8"/>
  <c r="N7690" i="8"/>
  <c r="N7691" i="8"/>
  <c r="N7692" i="8"/>
  <c r="N7693" i="8"/>
  <c r="N7694" i="8"/>
  <c r="N7695" i="8"/>
  <c r="N7696" i="8"/>
  <c r="N7697" i="8"/>
  <c r="N7698" i="8"/>
  <c r="N7699" i="8"/>
  <c r="N7700" i="8"/>
  <c r="N7701" i="8"/>
  <c r="N7702" i="8"/>
  <c r="N7703" i="8"/>
  <c r="N7704" i="8"/>
  <c r="N7705" i="8"/>
  <c r="N7706" i="8"/>
  <c r="N7707" i="8"/>
  <c r="N7708" i="8"/>
  <c r="N7709" i="8"/>
  <c r="N7710" i="8"/>
  <c r="N7711" i="8"/>
  <c r="N7712" i="8"/>
  <c r="N7713" i="8"/>
  <c r="N7714" i="8"/>
  <c r="N7715" i="8"/>
  <c r="N7716" i="8"/>
  <c r="N7717" i="8"/>
  <c r="N7718" i="8"/>
  <c r="N7719" i="8"/>
  <c r="N7720" i="8"/>
  <c r="N7721" i="8"/>
  <c r="N7722" i="8"/>
  <c r="N7723" i="8"/>
  <c r="N7724" i="8"/>
  <c r="N7725" i="8"/>
  <c r="N7726" i="8"/>
  <c r="N7727" i="8"/>
  <c r="N7728" i="8"/>
  <c r="N7729" i="8"/>
  <c r="N7730" i="8"/>
  <c r="N7731" i="8"/>
  <c r="N7732" i="8"/>
  <c r="N7733" i="8"/>
  <c r="N7734" i="8"/>
  <c r="N7735" i="8"/>
  <c r="N7736" i="8"/>
  <c r="N7737" i="8"/>
  <c r="N7738" i="8"/>
  <c r="N7739" i="8"/>
  <c r="N7740" i="8"/>
  <c r="N7741" i="8"/>
  <c r="N7742" i="8"/>
  <c r="N7743" i="8"/>
  <c r="N7744" i="8"/>
  <c r="N7745" i="8"/>
  <c r="N7746" i="8"/>
  <c r="N7747" i="8"/>
  <c r="N7748" i="8"/>
  <c r="N7749" i="8"/>
  <c r="N7750" i="8"/>
  <c r="N7751" i="8"/>
  <c r="N7752" i="8"/>
  <c r="N7753" i="8"/>
  <c r="N7754" i="8"/>
  <c r="N7755" i="8"/>
  <c r="N7756" i="8"/>
  <c r="N7757" i="8"/>
  <c r="N7758" i="8"/>
  <c r="N7759" i="8"/>
  <c r="N7760" i="8"/>
  <c r="N7761" i="8"/>
  <c r="N7762" i="8"/>
  <c r="N7763" i="8"/>
  <c r="N7764" i="8"/>
  <c r="N7765" i="8"/>
  <c r="N7766" i="8"/>
  <c r="N7767" i="8"/>
  <c r="N7768" i="8"/>
  <c r="N7769" i="8"/>
  <c r="N7770" i="8"/>
  <c r="N7771" i="8"/>
  <c r="N7772" i="8"/>
  <c r="N7773" i="8"/>
  <c r="N7774" i="8"/>
  <c r="N7775" i="8"/>
  <c r="N7776" i="8"/>
  <c r="N7777" i="8"/>
  <c r="N7778" i="8"/>
  <c r="N7779" i="8"/>
  <c r="N7780" i="8"/>
  <c r="N7781" i="8"/>
  <c r="N7782" i="8"/>
  <c r="N7783" i="8"/>
  <c r="N7784" i="8"/>
  <c r="N7785" i="8"/>
  <c r="N7786" i="8"/>
  <c r="N7787" i="8"/>
  <c r="N7788" i="8"/>
  <c r="N7789" i="8"/>
  <c r="N7790" i="8"/>
  <c r="N7791" i="8"/>
  <c r="N7792" i="8"/>
  <c r="N7793" i="8"/>
  <c r="N7794" i="8"/>
  <c r="N7795" i="8"/>
  <c r="N7796" i="8"/>
  <c r="N7797" i="8"/>
  <c r="N7798" i="8"/>
  <c r="N7799" i="8"/>
  <c r="N7800" i="8"/>
  <c r="N7801" i="8"/>
  <c r="N7802" i="8"/>
  <c r="N7803" i="8"/>
  <c r="N7804" i="8"/>
  <c r="N7805" i="8"/>
  <c r="N7806" i="8"/>
  <c r="N7807" i="8"/>
  <c r="N7808" i="8"/>
  <c r="N7809" i="8"/>
  <c r="N7810" i="8"/>
  <c r="N7811" i="8"/>
  <c r="N7812" i="8"/>
  <c r="N7813" i="8"/>
  <c r="N7814" i="8"/>
  <c r="N7815" i="8"/>
  <c r="N7816" i="8"/>
  <c r="N7817" i="8"/>
  <c r="N7818" i="8"/>
  <c r="N7819" i="8"/>
  <c r="N7820" i="8"/>
  <c r="N7821" i="8"/>
  <c r="N7822" i="8"/>
  <c r="N7823" i="8"/>
  <c r="N7824" i="8"/>
  <c r="N7825" i="8"/>
  <c r="N7826" i="8"/>
  <c r="N7827" i="8"/>
  <c r="N7828" i="8"/>
  <c r="N7829" i="8"/>
  <c r="N7830" i="8"/>
  <c r="N7831" i="8"/>
  <c r="N7832" i="8"/>
  <c r="N7833" i="8"/>
  <c r="N7834" i="8"/>
  <c r="N7835" i="8"/>
  <c r="N7836" i="8"/>
  <c r="N7837" i="8"/>
  <c r="N7838" i="8"/>
  <c r="N7839" i="8"/>
  <c r="N7840" i="8"/>
  <c r="N7841" i="8"/>
  <c r="N7842" i="8"/>
  <c r="N7843" i="8"/>
  <c r="N7844" i="8"/>
  <c r="N7845" i="8"/>
  <c r="N7846" i="8"/>
  <c r="N7847" i="8"/>
  <c r="N7848" i="8"/>
  <c r="N7849" i="8"/>
  <c r="N7850" i="8"/>
  <c r="N7851" i="8"/>
  <c r="N7852" i="8"/>
  <c r="N7853" i="8"/>
  <c r="N7854" i="8"/>
  <c r="N7855" i="8"/>
  <c r="N7856" i="8"/>
  <c r="N7857" i="8"/>
  <c r="N7858" i="8"/>
  <c r="N7859" i="8"/>
  <c r="N7860" i="8"/>
  <c r="N7861" i="8"/>
  <c r="N7862" i="8"/>
  <c r="N7863" i="8"/>
  <c r="N7864" i="8"/>
  <c r="N7865" i="8"/>
  <c r="N7866" i="8"/>
  <c r="N7867" i="8"/>
  <c r="N7868" i="8"/>
  <c r="N7869" i="8"/>
  <c r="N7870" i="8"/>
  <c r="N7871" i="8"/>
  <c r="N7872" i="8"/>
  <c r="N7873" i="8"/>
  <c r="N7874" i="8"/>
  <c r="N7875" i="8"/>
  <c r="N7876" i="8"/>
  <c r="N7877" i="8"/>
  <c r="N7878" i="8"/>
  <c r="N7879" i="8"/>
  <c r="N7880" i="8"/>
  <c r="N7881" i="8"/>
  <c r="N7882" i="8"/>
  <c r="N7883" i="8"/>
  <c r="N7884" i="8"/>
  <c r="N7885" i="8"/>
  <c r="N7886" i="8"/>
  <c r="N7887" i="8"/>
  <c r="N7888" i="8"/>
  <c r="N7889" i="8"/>
  <c r="N7890" i="8"/>
  <c r="N7891" i="8"/>
  <c r="N7892" i="8"/>
  <c r="N7893" i="8"/>
  <c r="N7894" i="8"/>
  <c r="N7895" i="8"/>
  <c r="N7896" i="8"/>
  <c r="N7897" i="8"/>
  <c r="N7898" i="8"/>
  <c r="N7899" i="8"/>
  <c r="N7900" i="8"/>
  <c r="N7901" i="8"/>
  <c r="N7902" i="8"/>
  <c r="N7903" i="8"/>
  <c r="N7904" i="8"/>
  <c r="N7905" i="8"/>
  <c r="N7906" i="8"/>
  <c r="N7907" i="8"/>
  <c r="N7908" i="8"/>
  <c r="N7909" i="8"/>
  <c r="N7910" i="8"/>
  <c r="N7911" i="8"/>
  <c r="N7912" i="8"/>
  <c r="N7913" i="8"/>
  <c r="N7914" i="8"/>
  <c r="N7915" i="8"/>
  <c r="N7916" i="8"/>
  <c r="N7917" i="8"/>
  <c r="N7918" i="8"/>
  <c r="N7919" i="8"/>
  <c r="N7920" i="8"/>
  <c r="N7921" i="8"/>
  <c r="N7922" i="8"/>
  <c r="N7923" i="8"/>
  <c r="N7924" i="8"/>
  <c r="N7925" i="8"/>
  <c r="N7926" i="8"/>
  <c r="N7927" i="8"/>
  <c r="N7928" i="8"/>
  <c r="N7929" i="8"/>
  <c r="N7930" i="8"/>
  <c r="N7931" i="8"/>
  <c r="N7932" i="8"/>
  <c r="N7933" i="8"/>
  <c r="N7934" i="8"/>
  <c r="N7935" i="8"/>
  <c r="N7936" i="8"/>
  <c r="N7937" i="8"/>
  <c r="N7938" i="8"/>
  <c r="N7939" i="8"/>
  <c r="N7940" i="8"/>
  <c r="N7941" i="8"/>
  <c r="N7942" i="8"/>
  <c r="N7943" i="8"/>
  <c r="N7944" i="8"/>
  <c r="N7945" i="8"/>
  <c r="N7946" i="8"/>
  <c r="N7947" i="8"/>
  <c r="N7948" i="8"/>
  <c r="N7949" i="8"/>
  <c r="N7950" i="8"/>
  <c r="N7951" i="8"/>
  <c r="N7952" i="8"/>
  <c r="N7953" i="8"/>
  <c r="N7954" i="8"/>
  <c r="N7955" i="8"/>
  <c r="N7956" i="8"/>
  <c r="N7957" i="8"/>
  <c r="N7958" i="8"/>
  <c r="N7959" i="8"/>
  <c r="N7960" i="8"/>
  <c r="N7961" i="8"/>
  <c r="N7962" i="8"/>
  <c r="N7963" i="8"/>
  <c r="N7964" i="8"/>
  <c r="N7965" i="8"/>
  <c r="N7966" i="8"/>
  <c r="N7967" i="8"/>
  <c r="N7968" i="8"/>
  <c r="N7969" i="8"/>
  <c r="N7970" i="8"/>
  <c r="N7971" i="8"/>
  <c r="N7972" i="8"/>
  <c r="N7973" i="8"/>
  <c r="N7974" i="8"/>
  <c r="N7975" i="8"/>
  <c r="N7976" i="8"/>
  <c r="N7977" i="8"/>
  <c r="N7978" i="8"/>
  <c r="N7979" i="8"/>
  <c r="N7980" i="8"/>
  <c r="N7981" i="8"/>
  <c r="N7982" i="8"/>
  <c r="N7983" i="8"/>
  <c r="N7984" i="8"/>
  <c r="N7985" i="8"/>
  <c r="N7986" i="8"/>
  <c r="N7987" i="8"/>
  <c r="N7988" i="8"/>
  <c r="N7989" i="8"/>
  <c r="N7990" i="8"/>
  <c r="N7991" i="8"/>
  <c r="N7992" i="8"/>
  <c r="N7993" i="8"/>
  <c r="N7994" i="8"/>
  <c r="N7995" i="8"/>
  <c r="N7996" i="8"/>
  <c r="N7997" i="8"/>
  <c r="N7998" i="8"/>
  <c r="N7999" i="8"/>
  <c r="N8000" i="8"/>
  <c r="N8001" i="8"/>
  <c r="N8002" i="8"/>
  <c r="N8003" i="8"/>
  <c r="N8004" i="8"/>
  <c r="N8005" i="8"/>
  <c r="N8006" i="8"/>
  <c r="N8007" i="8"/>
  <c r="N8008" i="8"/>
  <c r="N8009" i="8"/>
  <c r="N8010" i="8"/>
  <c r="N8011" i="8"/>
  <c r="N8012" i="8"/>
  <c r="N8013" i="8"/>
  <c r="N8014" i="8"/>
  <c r="N8015" i="8"/>
  <c r="N8016" i="8"/>
  <c r="N8017" i="8"/>
  <c r="N8018" i="8"/>
  <c r="N8019" i="8"/>
  <c r="N8020" i="8"/>
  <c r="N8021" i="8"/>
  <c r="N8022" i="8"/>
  <c r="N8023" i="8"/>
  <c r="N8024" i="8"/>
  <c r="N8025" i="8"/>
  <c r="N8026" i="8"/>
  <c r="N8027" i="8"/>
  <c r="N8028" i="8"/>
  <c r="N8029" i="8"/>
  <c r="N8030" i="8"/>
  <c r="N8031" i="8"/>
  <c r="N8032" i="8"/>
  <c r="N8033" i="8"/>
  <c r="N8034" i="8"/>
  <c r="N8035" i="8"/>
  <c r="N8036" i="8"/>
  <c r="N8037" i="8"/>
  <c r="N8038" i="8"/>
  <c r="N8039" i="8"/>
  <c r="N8040" i="8"/>
  <c r="N8041" i="8"/>
  <c r="N8042" i="8"/>
  <c r="N8043" i="8"/>
  <c r="N8044" i="8"/>
  <c r="N8045" i="8"/>
  <c r="N8046" i="8"/>
  <c r="N8047" i="8"/>
  <c r="N8048" i="8"/>
  <c r="N8049" i="8"/>
  <c r="N8050" i="8"/>
  <c r="N8051" i="8"/>
  <c r="N8052" i="8"/>
  <c r="N8053" i="8"/>
  <c r="N8054" i="8"/>
  <c r="N8055" i="8"/>
  <c r="N8056" i="8"/>
  <c r="N8057" i="8"/>
  <c r="N8058" i="8"/>
  <c r="N8059" i="8"/>
  <c r="N8060" i="8"/>
  <c r="N8061" i="8"/>
  <c r="N8062" i="8"/>
  <c r="N8063" i="8"/>
  <c r="N8064" i="8"/>
  <c r="N8065" i="8"/>
  <c r="N8066" i="8"/>
  <c r="N8067" i="8"/>
  <c r="N8068" i="8"/>
  <c r="N8069" i="8"/>
  <c r="N8070" i="8"/>
  <c r="N8071" i="8"/>
  <c r="N8072" i="8"/>
  <c r="N8073" i="8"/>
  <c r="N8074" i="8"/>
  <c r="N8075" i="8"/>
  <c r="N8076" i="8"/>
  <c r="N8077" i="8"/>
  <c r="N8078" i="8"/>
  <c r="N8079" i="8"/>
  <c r="N8080" i="8"/>
  <c r="N8081" i="8"/>
  <c r="N8082" i="8"/>
  <c r="N8083" i="8"/>
  <c r="N8084" i="8"/>
  <c r="N8085" i="8"/>
  <c r="N8086" i="8"/>
  <c r="N8087" i="8"/>
  <c r="N8088" i="8"/>
  <c r="N8089" i="8"/>
  <c r="N8090" i="8"/>
  <c r="N8091" i="8"/>
  <c r="N8092" i="8"/>
  <c r="N8093" i="8"/>
  <c r="N8094" i="8"/>
  <c r="N8095" i="8"/>
  <c r="N8096" i="8"/>
  <c r="N8097" i="8"/>
  <c r="N8098" i="8"/>
  <c r="N8099" i="8"/>
  <c r="N8100" i="8"/>
  <c r="N8101" i="8"/>
  <c r="N8102" i="8"/>
  <c r="N8103" i="8"/>
  <c r="N8104" i="8"/>
  <c r="N8105" i="8"/>
  <c r="N8106" i="8"/>
  <c r="N8107" i="8"/>
  <c r="N8108" i="8"/>
  <c r="N8109" i="8"/>
  <c r="N8110" i="8"/>
  <c r="N8111" i="8"/>
  <c r="N8112" i="8"/>
  <c r="N8113" i="8"/>
  <c r="N8114" i="8"/>
  <c r="N8115" i="8"/>
  <c r="N8116" i="8"/>
  <c r="N8117" i="8"/>
  <c r="N8118" i="8"/>
  <c r="N8119" i="8"/>
  <c r="N8120" i="8"/>
  <c r="N8121" i="8"/>
  <c r="N8122" i="8"/>
  <c r="N8123" i="8"/>
  <c r="N8124" i="8"/>
  <c r="N8125" i="8"/>
  <c r="N8126" i="8"/>
  <c r="N8127" i="8"/>
  <c r="N8128" i="8"/>
  <c r="N8129" i="8"/>
  <c r="N8130" i="8"/>
  <c r="N8131" i="8"/>
  <c r="N8132" i="8"/>
  <c r="N8133" i="8"/>
  <c r="N8134" i="8"/>
  <c r="N8135" i="8"/>
  <c r="N8136" i="8"/>
  <c r="N8137" i="8"/>
  <c r="N8138" i="8"/>
  <c r="N8139" i="8"/>
  <c r="N8140" i="8"/>
  <c r="N8141" i="8"/>
  <c r="N8142" i="8"/>
  <c r="N8143" i="8"/>
  <c r="N8144" i="8"/>
  <c r="N8145" i="8"/>
  <c r="N8146" i="8"/>
  <c r="N8147" i="8"/>
  <c r="N8148" i="8"/>
  <c r="N8149" i="8"/>
  <c r="N8150" i="8"/>
  <c r="N8151" i="8"/>
  <c r="N8152" i="8"/>
  <c r="N8153" i="8"/>
  <c r="N8154" i="8"/>
  <c r="N8155" i="8"/>
  <c r="N8156" i="8"/>
  <c r="N8157" i="8"/>
  <c r="N8158" i="8"/>
  <c r="N8159" i="8"/>
  <c r="N8160" i="8"/>
  <c r="N8161" i="8"/>
  <c r="N8162" i="8"/>
  <c r="N8163" i="8"/>
  <c r="N8164" i="8"/>
  <c r="N8165" i="8"/>
  <c r="N8166" i="8"/>
  <c r="N8167" i="8"/>
  <c r="N8168" i="8"/>
  <c r="N8169" i="8"/>
  <c r="N8170" i="8"/>
  <c r="N8171" i="8"/>
  <c r="N8172" i="8"/>
  <c r="N8173" i="8"/>
  <c r="N8174" i="8"/>
  <c r="N8175" i="8"/>
  <c r="N8176" i="8"/>
  <c r="N8177" i="8"/>
  <c r="N8178" i="8"/>
  <c r="N8179" i="8"/>
  <c r="N8180" i="8"/>
  <c r="N8181" i="8"/>
  <c r="N8182" i="8"/>
  <c r="N8183" i="8"/>
  <c r="N8184" i="8"/>
  <c r="N8185" i="8"/>
  <c r="N8186" i="8"/>
  <c r="N8187" i="8"/>
  <c r="N8188" i="8"/>
  <c r="N8189" i="8"/>
  <c r="N8190" i="8"/>
  <c r="N8191" i="8"/>
  <c r="N8192" i="8"/>
  <c r="N8193" i="8"/>
  <c r="N8194" i="8"/>
  <c r="N8195" i="8"/>
  <c r="N8196" i="8"/>
  <c r="N8197" i="8"/>
  <c r="N8198" i="8"/>
  <c r="N8199" i="8"/>
  <c r="N8200" i="8"/>
  <c r="N8201" i="8"/>
  <c r="N8202" i="8"/>
  <c r="N8203" i="8"/>
  <c r="N8204" i="8"/>
  <c r="N8205" i="8"/>
  <c r="N8206" i="8"/>
  <c r="N8207" i="8"/>
  <c r="N8208" i="8"/>
  <c r="N8209" i="8"/>
  <c r="N8210" i="8"/>
  <c r="N8211" i="8"/>
  <c r="N8212" i="8"/>
  <c r="N8213" i="8"/>
  <c r="N8214" i="8"/>
  <c r="N8215" i="8"/>
  <c r="N8216" i="8"/>
  <c r="N8217" i="8"/>
  <c r="N8218" i="8"/>
  <c r="N8219" i="8"/>
  <c r="N8220" i="8"/>
  <c r="N8221" i="8"/>
  <c r="N8222" i="8"/>
  <c r="N8223" i="8"/>
  <c r="N8224" i="8"/>
  <c r="N8225" i="8"/>
  <c r="N8226" i="8"/>
  <c r="N8227" i="8"/>
  <c r="N8228" i="8"/>
  <c r="N8229" i="8"/>
  <c r="N8230" i="8"/>
  <c r="N8231" i="8"/>
  <c r="N8232" i="8"/>
  <c r="N8233" i="8"/>
  <c r="N8234" i="8"/>
  <c r="N8235" i="8"/>
  <c r="N8236" i="8"/>
  <c r="N8237" i="8"/>
  <c r="N8238" i="8"/>
  <c r="N8239" i="8"/>
  <c r="N8240" i="8"/>
  <c r="N8241" i="8"/>
  <c r="N8242" i="8"/>
  <c r="N8243" i="8"/>
  <c r="N8244" i="8"/>
  <c r="N8245" i="8"/>
  <c r="N8246" i="8"/>
  <c r="N8247" i="8"/>
  <c r="N8248" i="8"/>
  <c r="N8249" i="8"/>
  <c r="N8250" i="8"/>
  <c r="N8251" i="8"/>
  <c r="N8252" i="8"/>
  <c r="N8253" i="8"/>
  <c r="N8254" i="8"/>
  <c r="N8255" i="8"/>
  <c r="N8256" i="8"/>
  <c r="N8257" i="8"/>
  <c r="N8258" i="8"/>
  <c r="N8259" i="8"/>
  <c r="N8260" i="8"/>
  <c r="N8261" i="8"/>
  <c r="N8262" i="8"/>
  <c r="N8263" i="8"/>
  <c r="N8264" i="8"/>
  <c r="N8265" i="8"/>
  <c r="N8266" i="8"/>
  <c r="N8267" i="8"/>
  <c r="N8268" i="8"/>
  <c r="N8269" i="8"/>
  <c r="N8270" i="8"/>
  <c r="N8271" i="8"/>
  <c r="N8272" i="8"/>
  <c r="N8273" i="8"/>
  <c r="N8274" i="8"/>
  <c r="N8275" i="8"/>
  <c r="N8276" i="8"/>
  <c r="N8277" i="8"/>
  <c r="N8278" i="8"/>
  <c r="N8279" i="8"/>
  <c r="N8280" i="8"/>
  <c r="N8281" i="8"/>
  <c r="N8282" i="8"/>
  <c r="N8283" i="8"/>
  <c r="N8284" i="8"/>
  <c r="N8285" i="8"/>
  <c r="N8286" i="8"/>
  <c r="N8287" i="8"/>
  <c r="N8288" i="8"/>
  <c r="N8289" i="8"/>
  <c r="N8290" i="8"/>
  <c r="N8291" i="8"/>
  <c r="N8292" i="8"/>
  <c r="N8293" i="8"/>
  <c r="N8294" i="8"/>
  <c r="N8295" i="8"/>
  <c r="N8296" i="8"/>
  <c r="N8297" i="8"/>
  <c r="N8298" i="8"/>
  <c r="N8299" i="8"/>
  <c r="N8300" i="8"/>
  <c r="N8301" i="8"/>
  <c r="N8302" i="8"/>
  <c r="N8303" i="8"/>
  <c r="N8304" i="8"/>
  <c r="N8305" i="8"/>
  <c r="N8306" i="8"/>
  <c r="N8307" i="8"/>
  <c r="N8308" i="8"/>
  <c r="N8309" i="8"/>
  <c r="N8310" i="8"/>
  <c r="N8311" i="8"/>
  <c r="N8312" i="8"/>
  <c r="N8313" i="8"/>
  <c r="N8314" i="8"/>
  <c r="N8315" i="8"/>
  <c r="N8316" i="8"/>
  <c r="N8317" i="8"/>
  <c r="N8318" i="8"/>
  <c r="N8319" i="8"/>
  <c r="N8320" i="8"/>
  <c r="N8321" i="8"/>
  <c r="N8322" i="8"/>
  <c r="N8323" i="8"/>
  <c r="N8324" i="8"/>
  <c r="N8325" i="8"/>
  <c r="N8326" i="8"/>
  <c r="N8327" i="8"/>
  <c r="N8328" i="8"/>
  <c r="N8329" i="8"/>
  <c r="N8330" i="8"/>
  <c r="N8331" i="8"/>
  <c r="N8332" i="8"/>
  <c r="N8333" i="8"/>
  <c r="N8334" i="8"/>
  <c r="N8335" i="8"/>
  <c r="N8336" i="8"/>
  <c r="N8337" i="8"/>
  <c r="N8338" i="8"/>
  <c r="N8339" i="8"/>
  <c r="N8340" i="8"/>
  <c r="N8341" i="8"/>
  <c r="N8342" i="8"/>
  <c r="N8343" i="8"/>
  <c r="N8344" i="8"/>
  <c r="N8345" i="8"/>
  <c r="N8346" i="8"/>
  <c r="N8347" i="8"/>
  <c r="N8348" i="8"/>
  <c r="N8349" i="8"/>
  <c r="N8350" i="8"/>
  <c r="N8351" i="8"/>
  <c r="N8352" i="8"/>
  <c r="N8353" i="8"/>
  <c r="N8354" i="8"/>
  <c r="N8355" i="8"/>
  <c r="N8356" i="8"/>
  <c r="N8357" i="8"/>
  <c r="N8358" i="8"/>
  <c r="N8359" i="8"/>
  <c r="N8360" i="8"/>
  <c r="N8361" i="8"/>
  <c r="N8362" i="8"/>
  <c r="N8363" i="8"/>
  <c r="N8364" i="8"/>
  <c r="N8365" i="8"/>
  <c r="N8366" i="8"/>
  <c r="N8367" i="8"/>
  <c r="N8368" i="8"/>
  <c r="N8369" i="8"/>
  <c r="N8370" i="8"/>
  <c r="N8371" i="8"/>
  <c r="N8372" i="8"/>
  <c r="N8373" i="8"/>
  <c r="N8374" i="8"/>
  <c r="N8375" i="8"/>
  <c r="N8376" i="8"/>
  <c r="N8377" i="8"/>
  <c r="N8378" i="8"/>
  <c r="N8379" i="8"/>
  <c r="N8380" i="8"/>
  <c r="N8381" i="8"/>
  <c r="N8382" i="8"/>
  <c r="N8383" i="8"/>
  <c r="N8384" i="8"/>
  <c r="N8385" i="8"/>
  <c r="N8386" i="8"/>
  <c r="N8387" i="8"/>
  <c r="N8388" i="8"/>
  <c r="N8389" i="8"/>
  <c r="N8390" i="8"/>
  <c r="N8391" i="8"/>
  <c r="N8392" i="8"/>
  <c r="N8393" i="8"/>
  <c r="N8394" i="8"/>
  <c r="N8395" i="8"/>
  <c r="N8396" i="8"/>
  <c r="N8397" i="8"/>
  <c r="N8398" i="8"/>
  <c r="N8399" i="8"/>
  <c r="N8400" i="8"/>
  <c r="N8401" i="8"/>
  <c r="N8402" i="8"/>
  <c r="N8403" i="8"/>
  <c r="N8404" i="8"/>
  <c r="N8405" i="8"/>
  <c r="N8406" i="8"/>
  <c r="N8407" i="8"/>
  <c r="N8408" i="8"/>
  <c r="N8409" i="8"/>
  <c r="N8410" i="8"/>
  <c r="N8411" i="8"/>
  <c r="N8412" i="8"/>
  <c r="N8413" i="8"/>
  <c r="N8414" i="8"/>
  <c r="N8415" i="8"/>
  <c r="N8416" i="8"/>
  <c r="N8417" i="8"/>
  <c r="N8418" i="8"/>
  <c r="N8419" i="8"/>
  <c r="N8420" i="8"/>
  <c r="N8421" i="8"/>
  <c r="N8422" i="8"/>
  <c r="N8423" i="8"/>
  <c r="N8424" i="8"/>
  <c r="N8425" i="8"/>
  <c r="N8426" i="8"/>
  <c r="N8427" i="8"/>
  <c r="N8428" i="8"/>
  <c r="N8429" i="8"/>
  <c r="N8430" i="8"/>
  <c r="N8431" i="8"/>
  <c r="N8432" i="8"/>
  <c r="N8433" i="8"/>
  <c r="N8434" i="8"/>
  <c r="N8435" i="8"/>
  <c r="N8436" i="8"/>
  <c r="N8437" i="8"/>
  <c r="N8438" i="8"/>
  <c r="N8439" i="8"/>
  <c r="N8440" i="8"/>
  <c r="N8441" i="8"/>
  <c r="N8442" i="8"/>
  <c r="N8443" i="8"/>
  <c r="N8444" i="8"/>
  <c r="N8445" i="8"/>
  <c r="N8446" i="8"/>
  <c r="N8447" i="8"/>
  <c r="N8448" i="8"/>
  <c r="N8449" i="8"/>
  <c r="N8450" i="8"/>
  <c r="N8451" i="8"/>
  <c r="N8452" i="8"/>
  <c r="N8453" i="8"/>
  <c r="N8454" i="8"/>
  <c r="A200" i="10"/>
  <c r="A199" i="10"/>
  <c r="A198" i="10"/>
  <c r="A197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40" i="10"/>
  <c r="A139" i="10"/>
  <c r="A138" i="10"/>
  <c r="A137" i="10"/>
  <c r="A136" i="10"/>
  <c r="A135" i="10"/>
  <c r="A134" i="10"/>
  <c r="A133" i="10"/>
  <c r="A130" i="10"/>
  <c r="A179" i="10"/>
  <c r="A178" i="10"/>
  <c r="A176" i="10"/>
  <c r="A177" i="10"/>
  <c r="A175" i="10"/>
  <c r="A174" i="10"/>
  <c r="A173" i="10"/>
  <c r="A172" i="10"/>
  <c r="A155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4" i="10"/>
  <c r="A153" i="10"/>
  <c r="A152" i="10"/>
  <c r="A151" i="10"/>
  <c r="A150" i="10"/>
  <c r="A38" i="5"/>
  <c r="A149" i="10"/>
  <c r="A148" i="10"/>
  <c r="A147" i="10"/>
  <c r="A36" i="5"/>
  <c r="A37" i="5"/>
  <c r="A146" i="10"/>
  <c r="A145" i="10"/>
  <c r="A144" i="10"/>
  <c r="A143" i="10"/>
  <c r="A142" i="10"/>
  <c r="A141" i="10"/>
  <c r="A2" i="10" l="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P8" i="2"/>
  <c r="Q8" i="2"/>
  <c r="R8" i="2"/>
  <c r="S8" i="2"/>
  <c r="P9" i="2"/>
  <c r="Q9" i="2"/>
  <c r="R9" i="2"/>
  <c r="S9" i="2"/>
  <c r="P10" i="2"/>
  <c r="Q10" i="2"/>
  <c r="R10" i="2"/>
  <c r="S10" i="2"/>
  <c r="P11" i="2"/>
  <c r="Q11" i="2"/>
  <c r="R11" i="2"/>
  <c r="S11" i="2"/>
  <c r="P12" i="2"/>
  <c r="Q12" i="2"/>
  <c r="R12" i="2"/>
  <c r="S12" i="2"/>
  <c r="P13" i="2"/>
  <c r="Q13" i="2"/>
  <c r="R13" i="2"/>
  <c r="S13" i="2"/>
  <c r="P14" i="2"/>
  <c r="Q14" i="2"/>
  <c r="R14" i="2"/>
  <c r="S14" i="2"/>
  <c r="P15" i="2"/>
  <c r="Q15" i="2"/>
  <c r="R15" i="2"/>
  <c r="S15" i="2"/>
  <c r="P16" i="2"/>
  <c r="Q16" i="2"/>
  <c r="R16" i="2"/>
  <c r="S16" i="2"/>
  <c r="P17" i="2"/>
  <c r="Q17" i="2"/>
  <c r="R17" i="2"/>
  <c r="S17" i="2"/>
  <c r="P18" i="2"/>
  <c r="Q18" i="2"/>
  <c r="R18" i="2"/>
  <c r="S18" i="2"/>
  <c r="P22" i="2"/>
  <c r="Q22" i="2"/>
  <c r="R22" i="2"/>
  <c r="S22" i="2"/>
  <c r="P23" i="2"/>
  <c r="Q23" i="2"/>
  <c r="R23" i="2"/>
  <c r="S23" i="2"/>
  <c r="P24" i="2"/>
  <c r="Q24" i="2"/>
  <c r="R24" i="2"/>
  <c r="S24" i="2"/>
  <c r="P33" i="2"/>
  <c r="Q33" i="2"/>
  <c r="R33" i="2"/>
  <c r="S33" i="2"/>
  <c r="P34" i="2"/>
  <c r="Q34" i="2"/>
  <c r="R34" i="2"/>
  <c r="S34" i="2"/>
  <c r="P35" i="2"/>
  <c r="Q35" i="2"/>
  <c r="R35" i="2"/>
  <c r="S35" i="2"/>
  <c r="P36" i="2"/>
  <c r="Q36" i="2"/>
  <c r="R36" i="2"/>
  <c r="S36" i="2"/>
  <c r="P37" i="2"/>
  <c r="Q37" i="2"/>
  <c r="R37" i="2"/>
  <c r="S37" i="2"/>
  <c r="P38" i="2"/>
  <c r="Q38" i="2"/>
  <c r="R38" i="2"/>
  <c r="S38" i="2"/>
  <c r="P39" i="2"/>
  <c r="Q39" i="2"/>
  <c r="R39" i="2"/>
  <c r="S39" i="2"/>
  <c r="P40" i="2"/>
  <c r="Q40" i="2"/>
  <c r="R40" i="2"/>
  <c r="S40" i="2"/>
  <c r="P41" i="2"/>
  <c r="Q41" i="2"/>
  <c r="R41" i="2"/>
  <c r="S41" i="2"/>
  <c r="P42" i="2"/>
  <c r="Q42" i="2"/>
  <c r="R42" i="2"/>
  <c r="S42" i="2"/>
  <c r="P43" i="2"/>
  <c r="Q43" i="2"/>
  <c r="R43" i="2"/>
  <c r="S43" i="2"/>
  <c r="P44" i="2"/>
  <c r="Q44" i="2"/>
  <c r="R44" i="2"/>
  <c r="S44" i="2"/>
  <c r="P45" i="2"/>
  <c r="Q45" i="2"/>
  <c r="R45" i="2"/>
  <c r="S45" i="2"/>
  <c r="P46" i="2"/>
  <c r="Q46" i="2"/>
  <c r="R46" i="2"/>
  <c r="S46" i="2"/>
  <c r="P47" i="2"/>
  <c r="Q47" i="2"/>
  <c r="R47" i="2"/>
  <c r="S47" i="2"/>
  <c r="P48" i="2"/>
  <c r="Q48" i="2"/>
  <c r="R48" i="2"/>
  <c r="S48" i="2"/>
  <c r="P49" i="2"/>
  <c r="Q49" i="2"/>
  <c r="R49" i="2"/>
  <c r="S49" i="2"/>
  <c r="P50" i="2"/>
  <c r="Q50" i="2"/>
  <c r="R50" i="2"/>
  <c r="S50" i="2"/>
  <c r="P51" i="2"/>
  <c r="Q51" i="2"/>
  <c r="R51" i="2"/>
  <c r="S51" i="2"/>
  <c r="P52" i="2"/>
  <c r="Q52" i="2"/>
  <c r="R52" i="2"/>
  <c r="S52" i="2"/>
  <c r="P53" i="2"/>
  <c r="Q53" i="2"/>
  <c r="R53" i="2"/>
  <c r="S53" i="2"/>
  <c r="S3" i="2"/>
  <c r="S4" i="2"/>
  <c r="S5" i="2"/>
  <c r="S6" i="2"/>
  <c r="S7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2" i="2"/>
  <c r="C2" i="9"/>
  <c r="F3" i="13"/>
  <c r="F2" i="13" s="1"/>
  <c r="I1" i="12" s="1"/>
  <c r="Q377" i="2"/>
  <c r="R377" i="2"/>
  <c r="Q378" i="2"/>
  <c r="R378" i="2"/>
  <c r="Q379" i="2"/>
  <c r="R379" i="2"/>
  <c r="Q380" i="2"/>
  <c r="R380" i="2"/>
  <c r="Q381" i="2"/>
  <c r="R381" i="2"/>
  <c r="Q382" i="2"/>
  <c r="R382" i="2"/>
  <c r="Q383" i="2"/>
  <c r="R383" i="2"/>
  <c r="Q384" i="2"/>
  <c r="R384" i="2"/>
  <c r="P3" i="2"/>
  <c r="P4" i="2"/>
  <c r="P5" i="2"/>
  <c r="P6" i="2"/>
  <c r="P7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2" i="2"/>
  <c r="Q2" i="2"/>
  <c r="Q54" i="2"/>
  <c r="R54" i="2"/>
  <c r="Q55" i="2"/>
  <c r="R55" i="2"/>
  <c r="Q56" i="2"/>
  <c r="R56" i="2"/>
  <c r="Q57" i="2"/>
  <c r="R57" i="2"/>
  <c r="Q58" i="2"/>
  <c r="R58" i="2"/>
  <c r="Q59" i="2"/>
  <c r="R59" i="2"/>
  <c r="Q60" i="2"/>
  <c r="R60" i="2"/>
  <c r="Q61" i="2"/>
  <c r="R61" i="2"/>
  <c r="Q62" i="2"/>
  <c r="R62" i="2"/>
  <c r="Q63" i="2"/>
  <c r="R63" i="2"/>
  <c r="Q64" i="2"/>
  <c r="R64" i="2"/>
  <c r="Q65" i="2"/>
  <c r="R65" i="2"/>
  <c r="Q66" i="2"/>
  <c r="R66" i="2"/>
  <c r="Q67" i="2"/>
  <c r="R67" i="2"/>
  <c r="Q68" i="2"/>
  <c r="R68" i="2"/>
  <c r="Q69" i="2"/>
  <c r="R69" i="2"/>
  <c r="Q70" i="2"/>
  <c r="R70" i="2"/>
  <c r="Q71" i="2"/>
  <c r="R71" i="2"/>
  <c r="Q72" i="2"/>
  <c r="R72" i="2"/>
  <c r="Q73" i="2"/>
  <c r="R73" i="2"/>
  <c r="Q74" i="2"/>
  <c r="R74" i="2"/>
  <c r="Q75" i="2"/>
  <c r="R75" i="2"/>
  <c r="Q76" i="2"/>
  <c r="R76" i="2"/>
  <c r="Q77" i="2"/>
  <c r="R77" i="2"/>
  <c r="Q78" i="2"/>
  <c r="R78" i="2"/>
  <c r="Q79" i="2"/>
  <c r="R79" i="2"/>
  <c r="Q80" i="2"/>
  <c r="R80" i="2"/>
  <c r="Q81" i="2"/>
  <c r="R81" i="2"/>
  <c r="Q82" i="2"/>
  <c r="R82" i="2"/>
  <c r="Q83" i="2"/>
  <c r="R83" i="2"/>
  <c r="Q84" i="2"/>
  <c r="R84" i="2"/>
  <c r="Q85" i="2"/>
  <c r="R85" i="2"/>
  <c r="Q86" i="2"/>
  <c r="R86" i="2"/>
  <c r="Q87" i="2"/>
  <c r="R87" i="2"/>
  <c r="Q88" i="2"/>
  <c r="R88" i="2"/>
  <c r="Q89" i="2"/>
  <c r="R89" i="2"/>
  <c r="Q90" i="2"/>
  <c r="R90" i="2"/>
  <c r="Q91" i="2"/>
  <c r="R91" i="2"/>
  <c r="Q92" i="2"/>
  <c r="R92" i="2"/>
  <c r="Q93" i="2"/>
  <c r="R93" i="2"/>
  <c r="Q94" i="2"/>
  <c r="R94" i="2"/>
  <c r="Q95" i="2"/>
  <c r="R95" i="2"/>
  <c r="Q96" i="2"/>
  <c r="R96" i="2"/>
  <c r="Q97" i="2"/>
  <c r="R97" i="2"/>
  <c r="Q98" i="2"/>
  <c r="R98" i="2"/>
  <c r="Q99" i="2"/>
  <c r="R99" i="2"/>
  <c r="Q100" i="2"/>
  <c r="R100" i="2"/>
  <c r="Q101" i="2"/>
  <c r="R101" i="2"/>
  <c r="Q102" i="2"/>
  <c r="R102" i="2"/>
  <c r="Q103" i="2"/>
  <c r="R103" i="2"/>
  <c r="Q104" i="2"/>
  <c r="R104" i="2"/>
  <c r="Q105" i="2"/>
  <c r="R105" i="2"/>
  <c r="Q106" i="2"/>
  <c r="R106" i="2"/>
  <c r="Q107" i="2"/>
  <c r="R107" i="2"/>
  <c r="Q108" i="2"/>
  <c r="R108" i="2"/>
  <c r="Q109" i="2"/>
  <c r="R109" i="2"/>
  <c r="Q110" i="2"/>
  <c r="R110" i="2"/>
  <c r="Q111" i="2"/>
  <c r="R111" i="2"/>
  <c r="Q112" i="2"/>
  <c r="R112" i="2"/>
  <c r="Q113" i="2"/>
  <c r="R113" i="2"/>
  <c r="Q114" i="2"/>
  <c r="R114" i="2"/>
  <c r="Q115" i="2"/>
  <c r="R115" i="2"/>
  <c r="Q116" i="2"/>
  <c r="R116" i="2"/>
  <c r="Q117" i="2"/>
  <c r="R117" i="2"/>
  <c r="Q118" i="2"/>
  <c r="R118" i="2"/>
  <c r="Q119" i="2"/>
  <c r="R119" i="2"/>
  <c r="Q120" i="2"/>
  <c r="R120" i="2"/>
  <c r="Q121" i="2"/>
  <c r="R121" i="2"/>
  <c r="Q122" i="2"/>
  <c r="R122" i="2"/>
  <c r="Q123" i="2"/>
  <c r="R123" i="2"/>
  <c r="Q124" i="2"/>
  <c r="R124" i="2"/>
  <c r="Q125" i="2"/>
  <c r="R125" i="2"/>
  <c r="Q126" i="2"/>
  <c r="R126" i="2"/>
  <c r="Q127" i="2"/>
  <c r="R127" i="2"/>
  <c r="Q128" i="2"/>
  <c r="R128" i="2"/>
  <c r="Q129" i="2"/>
  <c r="R129" i="2"/>
  <c r="Q130" i="2"/>
  <c r="R130" i="2"/>
  <c r="Q131" i="2"/>
  <c r="R131" i="2"/>
  <c r="Q132" i="2"/>
  <c r="R132" i="2"/>
  <c r="Q133" i="2"/>
  <c r="R133" i="2"/>
  <c r="Q134" i="2"/>
  <c r="R134" i="2"/>
  <c r="Q135" i="2"/>
  <c r="R135" i="2"/>
  <c r="Q136" i="2"/>
  <c r="R136" i="2"/>
  <c r="Q137" i="2"/>
  <c r="R137" i="2"/>
  <c r="Q138" i="2"/>
  <c r="R138" i="2"/>
  <c r="Q139" i="2"/>
  <c r="R139" i="2"/>
  <c r="Q140" i="2"/>
  <c r="R140" i="2"/>
  <c r="Q141" i="2"/>
  <c r="R141" i="2"/>
  <c r="Q142" i="2"/>
  <c r="R142" i="2"/>
  <c r="Q143" i="2"/>
  <c r="R143" i="2"/>
  <c r="Q144" i="2"/>
  <c r="R144" i="2"/>
  <c r="Q145" i="2"/>
  <c r="R145" i="2"/>
  <c r="Q146" i="2"/>
  <c r="R146" i="2"/>
  <c r="Q147" i="2"/>
  <c r="R147" i="2"/>
  <c r="Q148" i="2"/>
  <c r="R148" i="2"/>
  <c r="Q149" i="2"/>
  <c r="R149" i="2"/>
  <c r="Q150" i="2"/>
  <c r="R150" i="2"/>
  <c r="Q151" i="2"/>
  <c r="R151" i="2"/>
  <c r="Q152" i="2"/>
  <c r="R152" i="2"/>
  <c r="Q153" i="2"/>
  <c r="R153" i="2"/>
  <c r="Q154" i="2"/>
  <c r="R154" i="2"/>
  <c r="Q155" i="2"/>
  <c r="R155" i="2"/>
  <c r="Q156" i="2"/>
  <c r="R156" i="2"/>
  <c r="Q157" i="2"/>
  <c r="R157" i="2"/>
  <c r="Q158" i="2"/>
  <c r="R158" i="2"/>
  <c r="Q159" i="2"/>
  <c r="R159" i="2"/>
  <c r="Q160" i="2"/>
  <c r="R160" i="2"/>
  <c r="Q161" i="2"/>
  <c r="R161" i="2"/>
  <c r="Q162" i="2"/>
  <c r="R162" i="2"/>
  <c r="Q163" i="2"/>
  <c r="R163" i="2"/>
  <c r="Q164" i="2"/>
  <c r="R164" i="2"/>
  <c r="Q165" i="2"/>
  <c r="R165" i="2"/>
  <c r="Q166" i="2"/>
  <c r="R166" i="2"/>
  <c r="Q167" i="2"/>
  <c r="R167" i="2"/>
  <c r="Q168" i="2"/>
  <c r="R168" i="2"/>
  <c r="Q169" i="2"/>
  <c r="R169" i="2"/>
  <c r="Q170" i="2"/>
  <c r="R170" i="2"/>
  <c r="Q171" i="2"/>
  <c r="R171" i="2"/>
  <c r="Q172" i="2"/>
  <c r="R172" i="2"/>
  <c r="Q173" i="2"/>
  <c r="R173" i="2"/>
  <c r="Q174" i="2"/>
  <c r="R174" i="2"/>
  <c r="Q175" i="2"/>
  <c r="R175" i="2"/>
  <c r="Q176" i="2"/>
  <c r="R176" i="2"/>
  <c r="Q177" i="2"/>
  <c r="R177" i="2"/>
  <c r="Q178" i="2"/>
  <c r="R178" i="2"/>
  <c r="Q179" i="2"/>
  <c r="R179" i="2"/>
  <c r="Q180" i="2"/>
  <c r="R180" i="2"/>
  <c r="Q181" i="2"/>
  <c r="R181" i="2"/>
  <c r="Q182" i="2"/>
  <c r="R182" i="2"/>
  <c r="Q183" i="2"/>
  <c r="R183" i="2"/>
  <c r="Q184" i="2"/>
  <c r="R184" i="2"/>
  <c r="Q185" i="2"/>
  <c r="R185" i="2"/>
  <c r="Q186" i="2"/>
  <c r="R186" i="2"/>
  <c r="Q187" i="2"/>
  <c r="R187" i="2"/>
  <c r="Q188" i="2"/>
  <c r="R188" i="2"/>
  <c r="Q189" i="2"/>
  <c r="R189" i="2"/>
  <c r="Q190" i="2"/>
  <c r="R190" i="2"/>
  <c r="Q191" i="2"/>
  <c r="R191" i="2"/>
  <c r="Q192" i="2"/>
  <c r="R192" i="2"/>
  <c r="Q193" i="2"/>
  <c r="R193" i="2"/>
  <c r="Q194" i="2"/>
  <c r="R194" i="2"/>
  <c r="Q195" i="2"/>
  <c r="R195" i="2"/>
  <c r="Q196" i="2"/>
  <c r="R196" i="2"/>
  <c r="Q197" i="2"/>
  <c r="R197" i="2"/>
  <c r="Q198" i="2"/>
  <c r="R198" i="2"/>
  <c r="Q199" i="2"/>
  <c r="R199" i="2"/>
  <c r="Q200" i="2"/>
  <c r="R200" i="2"/>
  <c r="Q201" i="2"/>
  <c r="R201" i="2"/>
  <c r="Q202" i="2"/>
  <c r="R202" i="2"/>
  <c r="Q203" i="2"/>
  <c r="R203" i="2"/>
  <c r="Q204" i="2"/>
  <c r="R204" i="2"/>
  <c r="Q205" i="2"/>
  <c r="R205" i="2"/>
  <c r="Q206" i="2"/>
  <c r="R206" i="2"/>
  <c r="Q207" i="2"/>
  <c r="R207" i="2"/>
  <c r="Q208" i="2"/>
  <c r="R208" i="2"/>
  <c r="Q209" i="2"/>
  <c r="R209" i="2"/>
  <c r="Q210" i="2"/>
  <c r="R210" i="2"/>
  <c r="Q211" i="2"/>
  <c r="R211" i="2"/>
  <c r="Q212" i="2"/>
  <c r="R212" i="2"/>
  <c r="Q213" i="2"/>
  <c r="R213" i="2"/>
  <c r="Q214" i="2"/>
  <c r="R214" i="2"/>
  <c r="Q215" i="2"/>
  <c r="R215" i="2"/>
  <c r="Q216" i="2"/>
  <c r="R216" i="2"/>
  <c r="Q217" i="2"/>
  <c r="R217" i="2"/>
  <c r="Q218" i="2"/>
  <c r="R218" i="2"/>
  <c r="Q219" i="2"/>
  <c r="R219" i="2"/>
  <c r="Q220" i="2"/>
  <c r="R220" i="2"/>
  <c r="Q221" i="2"/>
  <c r="R221" i="2"/>
  <c r="Q222" i="2"/>
  <c r="R222" i="2"/>
  <c r="Q223" i="2"/>
  <c r="R223" i="2"/>
  <c r="Q224" i="2"/>
  <c r="R224" i="2"/>
  <c r="Q225" i="2"/>
  <c r="R225" i="2"/>
  <c r="Q226" i="2"/>
  <c r="R226" i="2"/>
  <c r="Q227" i="2"/>
  <c r="R227" i="2"/>
  <c r="Q228" i="2"/>
  <c r="R228" i="2"/>
  <c r="Q229" i="2"/>
  <c r="R229" i="2"/>
  <c r="Q230" i="2"/>
  <c r="R230" i="2"/>
  <c r="Q231" i="2"/>
  <c r="R231" i="2"/>
  <c r="Q232" i="2"/>
  <c r="R232" i="2"/>
  <c r="Q233" i="2"/>
  <c r="R233" i="2"/>
  <c r="Q234" i="2"/>
  <c r="R234" i="2"/>
  <c r="Q235" i="2"/>
  <c r="R235" i="2"/>
  <c r="Q236" i="2"/>
  <c r="R236" i="2"/>
  <c r="Q237" i="2"/>
  <c r="R237" i="2"/>
  <c r="Q238" i="2"/>
  <c r="R238" i="2"/>
  <c r="Q239" i="2"/>
  <c r="R239" i="2"/>
  <c r="Q240" i="2"/>
  <c r="R240" i="2"/>
  <c r="Q241" i="2"/>
  <c r="R241" i="2"/>
  <c r="Q242" i="2"/>
  <c r="R242" i="2"/>
  <c r="Q243" i="2"/>
  <c r="R243" i="2"/>
  <c r="Q244" i="2"/>
  <c r="R244" i="2"/>
  <c r="Q245" i="2"/>
  <c r="R245" i="2"/>
  <c r="Q246" i="2"/>
  <c r="R246" i="2"/>
  <c r="Q247" i="2"/>
  <c r="R247" i="2"/>
  <c r="Q248" i="2"/>
  <c r="R248" i="2"/>
  <c r="Q249" i="2"/>
  <c r="R249" i="2"/>
  <c r="Q250" i="2"/>
  <c r="R250" i="2"/>
  <c r="Q251" i="2"/>
  <c r="R251" i="2"/>
  <c r="Q252" i="2"/>
  <c r="R252" i="2"/>
  <c r="Q253" i="2"/>
  <c r="R253" i="2"/>
  <c r="Q254" i="2"/>
  <c r="R254" i="2"/>
  <c r="Q255" i="2"/>
  <c r="R255" i="2"/>
  <c r="Q256" i="2"/>
  <c r="R256" i="2"/>
  <c r="Q257" i="2"/>
  <c r="R257" i="2"/>
  <c r="Q258" i="2"/>
  <c r="R258" i="2"/>
  <c r="Q259" i="2"/>
  <c r="R259" i="2"/>
  <c r="Q260" i="2"/>
  <c r="R260" i="2"/>
  <c r="Q261" i="2"/>
  <c r="R261" i="2"/>
  <c r="Q262" i="2"/>
  <c r="R262" i="2"/>
  <c r="Q263" i="2"/>
  <c r="R263" i="2"/>
  <c r="Q264" i="2"/>
  <c r="R264" i="2"/>
  <c r="Q265" i="2"/>
  <c r="R265" i="2"/>
  <c r="Q266" i="2"/>
  <c r="R266" i="2"/>
  <c r="Q267" i="2"/>
  <c r="R267" i="2"/>
  <c r="Q268" i="2"/>
  <c r="R268" i="2"/>
  <c r="Q269" i="2"/>
  <c r="R269" i="2"/>
  <c r="Q270" i="2"/>
  <c r="R270" i="2"/>
  <c r="Q271" i="2"/>
  <c r="R271" i="2"/>
  <c r="Q272" i="2"/>
  <c r="R272" i="2"/>
  <c r="Q273" i="2"/>
  <c r="R273" i="2"/>
  <c r="Q274" i="2"/>
  <c r="R274" i="2"/>
  <c r="Q275" i="2"/>
  <c r="R275" i="2"/>
  <c r="Q276" i="2"/>
  <c r="R276" i="2"/>
  <c r="Q277" i="2"/>
  <c r="R277" i="2"/>
  <c r="Q278" i="2"/>
  <c r="R278" i="2"/>
  <c r="Q279" i="2"/>
  <c r="R279" i="2"/>
  <c r="Q280" i="2"/>
  <c r="R280" i="2"/>
  <c r="Q281" i="2"/>
  <c r="R281" i="2"/>
  <c r="Q282" i="2"/>
  <c r="R282" i="2"/>
  <c r="Q283" i="2"/>
  <c r="R283" i="2"/>
  <c r="Q284" i="2"/>
  <c r="R284" i="2"/>
  <c r="Q285" i="2"/>
  <c r="R285" i="2"/>
  <c r="Q286" i="2"/>
  <c r="R286" i="2"/>
  <c r="Q287" i="2"/>
  <c r="R287" i="2"/>
  <c r="Q288" i="2"/>
  <c r="R288" i="2"/>
  <c r="Q289" i="2"/>
  <c r="R289" i="2"/>
  <c r="Q290" i="2"/>
  <c r="R290" i="2"/>
  <c r="Q291" i="2"/>
  <c r="R291" i="2"/>
  <c r="Q292" i="2"/>
  <c r="R292" i="2"/>
  <c r="Q293" i="2"/>
  <c r="R293" i="2"/>
  <c r="Q294" i="2"/>
  <c r="R294" i="2"/>
  <c r="Q295" i="2"/>
  <c r="R295" i="2"/>
  <c r="Q296" i="2"/>
  <c r="R296" i="2"/>
  <c r="Q297" i="2"/>
  <c r="R297" i="2"/>
  <c r="Q298" i="2"/>
  <c r="R298" i="2"/>
  <c r="Q299" i="2"/>
  <c r="R299" i="2"/>
  <c r="Q300" i="2"/>
  <c r="R300" i="2"/>
  <c r="Q301" i="2"/>
  <c r="R301" i="2"/>
  <c r="Q302" i="2"/>
  <c r="R302" i="2"/>
  <c r="Q303" i="2"/>
  <c r="R303" i="2"/>
  <c r="Q304" i="2"/>
  <c r="R304" i="2"/>
  <c r="Q305" i="2"/>
  <c r="R305" i="2"/>
  <c r="Q306" i="2"/>
  <c r="R306" i="2"/>
  <c r="Q307" i="2"/>
  <c r="R307" i="2"/>
  <c r="Q308" i="2"/>
  <c r="R308" i="2"/>
  <c r="Q309" i="2"/>
  <c r="R309" i="2"/>
  <c r="Q310" i="2"/>
  <c r="R310" i="2"/>
  <c r="Q311" i="2"/>
  <c r="R311" i="2"/>
  <c r="Q312" i="2"/>
  <c r="R312" i="2"/>
  <c r="Q313" i="2"/>
  <c r="R313" i="2"/>
  <c r="Q314" i="2"/>
  <c r="R314" i="2"/>
  <c r="Q315" i="2"/>
  <c r="R315" i="2"/>
  <c r="Q316" i="2"/>
  <c r="R316" i="2"/>
  <c r="Q317" i="2"/>
  <c r="R317" i="2"/>
  <c r="Q318" i="2"/>
  <c r="R318" i="2"/>
  <c r="Q319" i="2"/>
  <c r="R319" i="2"/>
  <c r="Q320" i="2"/>
  <c r="R320" i="2"/>
  <c r="Q321" i="2"/>
  <c r="R321" i="2"/>
  <c r="Q322" i="2"/>
  <c r="R322" i="2"/>
  <c r="Q323" i="2"/>
  <c r="R323" i="2"/>
  <c r="Q324" i="2"/>
  <c r="R324" i="2"/>
  <c r="Q325" i="2"/>
  <c r="R325" i="2"/>
  <c r="Q326" i="2"/>
  <c r="R326" i="2"/>
  <c r="Q327" i="2"/>
  <c r="R327" i="2"/>
  <c r="Q328" i="2"/>
  <c r="R328" i="2"/>
  <c r="Q329" i="2"/>
  <c r="R329" i="2"/>
  <c r="Q330" i="2"/>
  <c r="R330" i="2"/>
  <c r="Q331" i="2"/>
  <c r="R331" i="2"/>
  <c r="Q332" i="2"/>
  <c r="R332" i="2"/>
  <c r="Q333" i="2"/>
  <c r="R333" i="2"/>
  <c r="Q334" i="2"/>
  <c r="R334" i="2"/>
  <c r="Q335" i="2"/>
  <c r="R335" i="2"/>
  <c r="Q336" i="2"/>
  <c r="R336" i="2"/>
  <c r="Q337" i="2"/>
  <c r="R337" i="2"/>
  <c r="Q338" i="2"/>
  <c r="R338" i="2"/>
  <c r="Q339" i="2"/>
  <c r="R339" i="2"/>
  <c r="Q340" i="2"/>
  <c r="R340" i="2"/>
  <c r="Q341" i="2"/>
  <c r="R341" i="2"/>
  <c r="Q342" i="2"/>
  <c r="R342" i="2"/>
  <c r="Q343" i="2"/>
  <c r="R343" i="2"/>
  <c r="Q344" i="2"/>
  <c r="R344" i="2"/>
  <c r="Q345" i="2"/>
  <c r="R345" i="2"/>
  <c r="Q346" i="2"/>
  <c r="R346" i="2"/>
  <c r="Q347" i="2"/>
  <c r="R347" i="2"/>
  <c r="Q348" i="2"/>
  <c r="R348" i="2"/>
  <c r="Q349" i="2"/>
  <c r="R349" i="2"/>
  <c r="Q350" i="2"/>
  <c r="R350" i="2"/>
  <c r="Q351" i="2"/>
  <c r="R351" i="2"/>
  <c r="Q352" i="2"/>
  <c r="R352" i="2"/>
  <c r="Q353" i="2"/>
  <c r="R353" i="2"/>
  <c r="Q354" i="2"/>
  <c r="R354" i="2"/>
  <c r="Q355" i="2"/>
  <c r="R355" i="2"/>
  <c r="Q356" i="2"/>
  <c r="R356" i="2"/>
  <c r="Q357" i="2"/>
  <c r="R357" i="2"/>
  <c r="Q358" i="2"/>
  <c r="R358" i="2"/>
  <c r="Q359" i="2"/>
  <c r="R359" i="2"/>
  <c r="Q360" i="2"/>
  <c r="R360" i="2"/>
  <c r="Q361" i="2"/>
  <c r="R361" i="2"/>
  <c r="Q362" i="2"/>
  <c r="R362" i="2"/>
  <c r="Q363" i="2"/>
  <c r="R363" i="2"/>
  <c r="Q364" i="2"/>
  <c r="R364" i="2"/>
  <c r="Q365" i="2"/>
  <c r="R365" i="2"/>
  <c r="Q366" i="2"/>
  <c r="R366" i="2"/>
  <c r="Q367" i="2"/>
  <c r="R367" i="2"/>
  <c r="Q368" i="2"/>
  <c r="R368" i="2"/>
  <c r="Q369" i="2"/>
  <c r="R369" i="2"/>
  <c r="Q370" i="2"/>
  <c r="R370" i="2"/>
  <c r="Q371" i="2"/>
  <c r="R371" i="2"/>
  <c r="Q372" i="2"/>
  <c r="R372" i="2"/>
  <c r="Q373" i="2"/>
  <c r="R373" i="2"/>
  <c r="Q374" i="2"/>
  <c r="R374" i="2"/>
  <c r="Q375" i="2"/>
  <c r="R375" i="2"/>
  <c r="Q376" i="2"/>
  <c r="R376" i="2"/>
  <c r="Q3" i="2"/>
  <c r="R3" i="2"/>
  <c r="Q4" i="2"/>
  <c r="R4" i="2"/>
  <c r="Q5" i="2"/>
  <c r="R5" i="2"/>
  <c r="Q6" i="2"/>
  <c r="R6" i="2"/>
  <c r="Q7" i="2"/>
  <c r="R7" i="2"/>
  <c r="R2" i="2"/>
  <c r="A30" i="5"/>
  <c r="A31" i="5"/>
  <c r="A32" i="5"/>
  <c r="A33" i="5"/>
  <c r="A34" i="5"/>
  <c r="A35" i="5"/>
  <c r="A29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J3" i="9" l="1"/>
  <c r="I3" i="9" s="1"/>
  <c r="D14" i="9" a="1"/>
  <c r="D14" i="9" s="1"/>
  <c r="D13" i="9" a="1"/>
  <c r="D13" i="9" s="1"/>
  <c r="D11" i="9" a="1"/>
  <c r="D11" i="9" s="1"/>
  <c r="G11" i="9" a="1"/>
  <c r="G11" i="9" s="1"/>
  <c r="D24" i="9" a="1"/>
  <c r="D24" i="9" s="1"/>
  <c r="S24" i="9" a="1"/>
  <c r="S24" i="9" s="1"/>
  <c r="S27" i="9" a="1"/>
  <c r="S27" i="9" s="1"/>
  <c r="E40" i="9" a="1"/>
  <c r="E40" i="9" s="1"/>
  <c r="C3" i="9" a="1"/>
  <c r="C3" i="9" s="1"/>
  <c r="D23" i="9" a="1"/>
  <c r="D23" i="9" s="1"/>
  <c r="D26" i="9" a="1"/>
  <c r="D26" i="9" s="1"/>
  <c r="S26" i="9" a="1"/>
  <c r="S26" i="9" s="1"/>
  <c r="S25" i="9" a="1"/>
  <c r="S25" i="9" s="1"/>
  <c r="S23" i="9" a="1"/>
  <c r="S23" i="9" s="1"/>
  <c r="D25" i="9" a="1"/>
  <c r="D25" i="9" s="1"/>
  <c r="D27" i="9" a="1"/>
  <c r="D27" i="9" s="1"/>
  <c r="D30" i="9" a="1"/>
  <c r="D30" i="9" s="1"/>
  <c r="D9" i="9" a="1"/>
  <c r="D9" i="9" s="1"/>
  <c r="T40" i="9" a="1"/>
  <c r="S40" i="9" a="1"/>
  <c r="S40" i="9" s="1"/>
  <c r="D31" i="9" a="1"/>
  <c r="D31" i="9" s="1"/>
  <c r="F40" i="9" a="1"/>
  <c r="F40" i="9" s="1"/>
  <c r="D40" i="9" a="1"/>
  <c r="D40" i="9" s="1"/>
  <c r="D6" i="9" a="1"/>
  <c r="D6" i="9" s="1"/>
  <c r="D15" i="9" a="1"/>
  <c r="D15" i="9" s="1"/>
  <c r="D8" i="9" a="1"/>
  <c r="D8" i="9" s="1"/>
  <c r="D7" i="9" a="1"/>
  <c r="D7" i="9" s="1"/>
  <c r="D32" i="9" a="1"/>
  <c r="D32" i="9" s="1"/>
  <c r="D34" i="9" a="1"/>
  <c r="D34" i="9" s="1"/>
  <c r="D35" i="9" a="1"/>
  <c r="D35" i="9" s="1"/>
  <c r="D19" i="9" a="1"/>
  <c r="D19" i="9" s="1"/>
  <c r="D17" i="9" a="1"/>
  <c r="D17" i="9" s="1"/>
  <c r="D33" i="9" a="1"/>
  <c r="D33" i="9" s="1"/>
  <c r="D12" i="9" a="1"/>
  <c r="D12" i="9" s="1"/>
  <c r="D20" i="9" a="1"/>
  <c r="D20" i="9" s="1"/>
  <c r="G40" i="9" a="1"/>
  <c r="G40" i="9" s="1"/>
  <c r="I4" i="12"/>
  <c r="I5" i="12" s="1"/>
  <c r="I3" i="12"/>
  <c r="C60" i="9" l="1"/>
  <c r="C64" i="9"/>
  <c r="C65" i="9"/>
  <c r="C61" i="9"/>
  <c r="C62" i="9"/>
  <c r="C63" i="9"/>
  <c r="C66" i="9"/>
  <c r="C58" i="9"/>
  <c r="C59" i="9"/>
  <c r="C57" i="9"/>
  <c r="C53" i="9"/>
  <c r="C54" i="9"/>
  <c r="C55" i="9"/>
  <c r="C51" i="9"/>
  <c r="C56" i="9"/>
  <c r="C52" i="9"/>
  <c r="T40" i="9"/>
  <c r="C40" i="9" s="1"/>
  <c r="C44" i="9"/>
  <c r="C45" i="9"/>
  <c r="C43" i="9"/>
  <c r="C46" i="9"/>
  <c r="C47" i="9"/>
  <c r="C42" i="9"/>
  <c r="C50" i="9"/>
  <c r="C48" i="9"/>
  <c r="C41" i="9"/>
  <c r="C49" i="9"/>
  <c r="A2" i="12"/>
  <c r="B7" i="13" s="1"/>
  <c r="B8" i="13" s="1" a="1"/>
  <c r="B8" i="13" s="1"/>
  <c r="B2" i="12" l="1"/>
  <c r="C7" i="13" l="1"/>
  <c r="C8" i="13" s="1" a="1"/>
  <c r="C8" i="13" s="1"/>
  <c r="C2" i="12"/>
  <c r="D7" i="13" l="1"/>
  <c r="D8" i="13" s="1" a="1"/>
  <c r="D8" i="13" s="1"/>
  <c r="D2" i="12"/>
  <c r="E7" i="13" l="1"/>
  <c r="E8" i="13" s="1" a="1"/>
  <c r="E8" i="13" s="1"/>
  <c r="E2" i="12"/>
  <c r="F2" i="12" l="1"/>
  <c r="F7" i="13"/>
  <c r="F8" i="13" s="1" a="1"/>
  <c r="F8" i="13" s="1"/>
  <c r="G7" i="13" l="1"/>
  <c r="G8" i="13" s="1" a="1"/>
  <c r="G8" i="13" s="1"/>
  <c r="G2" i="12"/>
  <c r="H7" i="13" l="1"/>
  <c r="H8" i="13" s="1" a="1"/>
  <c r="H8" i="13" s="1"/>
  <c r="A3" i="12"/>
  <c r="B3" i="12" l="1"/>
  <c r="B12" i="13"/>
  <c r="B13" i="13" s="1" a="1"/>
  <c r="B13" i="13" s="1"/>
  <c r="C3" i="12" l="1"/>
  <c r="C12" i="13"/>
  <c r="C13" i="13" s="1" a="1"/>
  <c r="C13" i="13" s="1"/>
  <c r="D3" i="12" l="1"/>
  <c r="D12" i="13"/>
  <c r="D13" i="13" s="1" a="1"/>
  <c r="D13" i="13" s="1"/>
  <c r="E3" i="12" l="1"/>
  <c r="E12" i="13"/>
  <c r="E13" i="13" s="1" a="1"/>
  <c r="E13" i="13" s="1"/>
  <c r="F3" i="12" l="1"/>
  <c r="F12" i="13"/>
  <c r="F13" i="13" s="1" a="1"/>
  <c r="F13" i="13" s="1"/>
  <c r="G3" i="12" l="1"/>
  <c r="G12" i="13"/>
  <c r="G13" i="13" s="1" a="1"/>
  <c r="G13" i="13" s="1"/>
  <c r="T171" i="2" a="1"/>
  <c r="T191" i="2" a="1"/>
  <c r="T33" i="2" a="1"/>
  <c r="T59" i="2" a="1"/>
  <c r="T360" i="2" a="1"/>
  <c r="T101" i="2" a="1"/>
  <c r="T103" i="2" a="1"/>
  <c r="T200" i="2" a="1"/>
  <c r="T193" i="2" a="1"/>
  <c r="T251" i="2" a="1"/>
  <c r="T15" i="2" a="1"/>
  <c r="T187" i="2" a="1"/>
  <c r="T276" i="2" a="1"/>
  <c r="T204" i="2" a="1"/>
  <c r="T75" i="2" a="1"/>
  <c r="T2" i="2" a="1"/>
  <c r="T227" i="2" a="1"/>
  <c r="T236" i="2" a="1"/>
  <c r="T157" i="2" a="1"/>
  <c r="T383" i="2" a="1"/>
  <c r="T151" i="2" a="1"/>
  <c r="T49" i="2" a="1"/>
  <c r="T188" i="2" a="1"/>
  <c r="T270" i="2" a="1"/>
  <c r="T273" i="2" a="1"/>
  <c r="T190" i="2" a="1"/>
  <c r="T148" i="2" a="1"/>
  <c r="T45" i="2" a="1"/>
  <c r="T140" i="2" a="1"/>
  <c r="T47" i="2" a="1"/>
  <c r="T203" i="2" a="1"/>
  <c r="T340" i="2" a="1"/>
  <c r="T246" i="2" a="1"/>
  <c r="T297" i="2" a="1"/>
  <c r="T288" i="2" a="1"/>
  <c r="T46" i="2" a="1"/>
  <c r="T336" i="2" a="1"/>
  <c r="T377" i="2" a="1"/>
  <c r="T169" i="2" a="1"/>
  <c r="T353" i="2" a="1"/>
  <c r="T196" i="2" a="1"/>
  <c r="T51" i="2" a="1"/>
  <c r="T178" i="2" a="1"/>
  <c r="T7" i="2" a="1"/>
  <c r="T256" i="2" a="1"/>
  <c r="T174" i="2" a="1"/>
  <c r="T142" i="2" a="1"/>
  <c r="T349" i="2" a="1"/>
  <c r="T258" i="2" a="1"/>
  <c r="T153" i="2" a="1"/>
  <c r="T156" i="2" a="1"/>
  <c r="T215" i="2" a="1"/>
  <c r="T53" i="2" a="1"/>
  <c r="T279" i="2" a="1"/>
  <c r="T127" i="2" a="1"/>
  <c r="T286" i="2" a="1"/>
  <c r="T347" i="2" a="1"/>
  <c r="T289" i="2" a="1"/>
  <c r="T98" i="2" a="1"/>
  <c r="T64" i="2" a="1"/>
  <c r="T112" i="2" a="1"/>
  <c r="T243" i="2" a="1"/>
  <c r="T86" i="2" a="1"/>
  <c r="T241" i="2" a="1"/>
  <c r="T118" i="2" a="1"/>
  <c r="T106" i="2" a="1"/>
  <c r="T93" i="2" a="1"/>
  <c r="T278" i="2" a="1"/>
  <c r="T305" i="2" a="1"/>
  <c r="T63" i="2" a="1"/>
  <c r="T356" i="2" a="1"/>
  <c r="T87" i="2" a="1"/>
  <c r="T343" i="2" a="1"/>
  <c r="T79" i="2" a="1"/>
  <c r="T310" i="2" a="1"/>
  <c r="T48" i="2" a="1"/>
  <c r="T14" i="2" a="1"/>
  <c r="T311" i="2" a="1"/>
  <c r="T369" i="2" a="1"/>
  <c r="T304" i="2" a="1"/>
  <c r="T206" i="2" a="1"/>
  <c r="T143" i="2" a="1"/>
  <c r="T175" i="2" a="1"/>
  <c r="T43" i="2" a="1"/>
  <c r="T225" i="2" a="1"/>
  <c r="T184" i="2" a="1"/>
  <c r="T218" i="2" a="1"/>
  <c r="T330" i="2" a="1"/>
  <c r="T172" i="2" a="1"/>
  <c r="T254" i="2" a="1"/>
  <c r="T359" i="2" a="1"/>
  <c r="T229" i="2" a="1"/>
  <c r="T181" i="2" a="1"/>
  <c r="T8" i="2" a="1"/>
  <c r="T159" i="2" a="1"/>
  <c r="T165" i="2" a="1"/>
  <c r="T34" i="2" a="1"/>
  <c r="T110" i="2" a="1"/>
  <c r="T90" i="2" a="1"/>
  <c r="T123" i="2" a="1"/>
  <c r="T351" i="2" a="1"/>
  <c r="T259" i="2" a="1"/>
  <c r="T339" i="2" a="1"/>
  <c r="T250" i="2" a="1"/>
  <c r="T306" i="2" a="1"/>
  <c r="T375" i="2" a="1"/>
  <c r="T11" i="2" a="1"/>
  <c r="T180" i="2" a="1"/>
  <c r="T89" i="2" a="1"/>
  <c r="T147" i="2" a="1"/>
  <c r="T261" i="2" a="1"/>
  <c r="T18" i="2" a="1"/>
  <c r="T155" i="2" a="1"/>
  <c r="T144" i="2" a="1"/>
  <c r="T186" i="2" a="1"/>
  <c r="T58" i="2" a="1"/>
  <c r="T154" i="2" a="1"/>
  <c r="T268" i="2" a="1"/>
  <c r="T94" i="2" a="1"/>
  <c r="T373" i="2" a="1"/>
  <c r="T152" i="2" a="1"/>
  <c r="T370" i="2" a="1"/>
  <c r="T217" i="2" a="1"/>
  <c r="T309" i="2" a="1"/>
  <c r="T76" i="2" a="1"/>
  <c r="T381" i="2" a="1"/>
  <c r="T211" i="2" a="1"/>
  <c r="T291" i="2" a="1"/>
  <c r="T164" i="2" a="1"/>
  <c r="T179" i="2" a="1"/>
  <c r="T346" i="2" a="1"/>
  <c r="T149" i="2" a="1"/>
  <c r="T295" i="2" a="1"/>
  <c r="T38" i="2" a="1"/>
  <c r="T185" i="2" a="1"/>
  <c r="T105" i="2" a="1"/>
  <c r="T95" i="2" a="1"/>
  <c r="T357" i="2" a="1"/>
  <c r="T113" i="2" a="1"/>
  <c r="T216" i="2" a="1"/>
  <c r="T134" i="2" a="1"/>
  <c r="T224" i="2" a="1"/>
  <c r="T108" i="2" a="1"/>
  <c r="T238" i="2" a="1"/>
  <c r="T301" i="2" a="1"/>
  <c r="T115" i="2" a="1"/>
  <c r="T62" i="2" a="1"/>
  <c r="T69" i="2" a="1"/>
  <c r="T371" i="2" a="1"/>
  <c r="T212" i="2" a="1"/>
  <c r="T66" i="2" a="1"/>
  <c r="T60" i="2" a="1"/>
  <c r="T240" i="2" a="1"/>
  <c r="T85" i="2" a="1"/>
  <c r="T293" i="2" a="1"/>
  <c r="T350" i="2" a="1"/>
  <c r="T137" i="2" a="1"/>
  <c r="T341" i="2" a="1"/>
  <c r="T202" i="2" a="1"/>
  <c r="T100" i="2" a="1"/>
  <c r="T266" i="2" a="1"/>
  <c r="T214" i="2" a="1"/>
  <c r="T39" i="2" a="1"/>
  <c r="T84" i="2" a="1"/>
  <c r="T128" i="2" a="1"/>
  <c r="T352" i="2" a="1"/>
  <c r="T328" i="2" a="1"/>
  <c r="T322" i="2" a="1"/>
  <c r="T72" i="2" a="1"/>
  <c r="T22" i="2" a="1"/>
  <c r="T313" i="2" a="1"/>
  <c r="T344" i="2" a="1"/>
  <c r="T280" i="2" a="1"/>
  <c r="T321" i="2" a="1"/>
  <c r="T338" i="2" a="1"/>
  <c r="T334" i="2" a="1"/>
  <c r="T271" i="2" a="1"/>
  <c r="T231" i="2" a="1"/>
  <c r="T116" i="2" a="1"/>
  <c r="T163" i="2" a="1"/>
  <c r="T384" i="2" a="1"/>
  <c r="T320" i="2" a="1"/>
  <c r="T4" i="2" a="1"/>
  <c r="T120" i="2" a="1"/>
  <c r="T364" i="2" a="1"/>
  <c r="T117" i="2" a="1"/>
  <c r="T122" i="2" a="1"/>
  <c r="T160" i="2" a="1"/>
  <c r="T107" i="2" a="1"/>
  <c r="T161" i="2" a="1"/>
  <c r="T275" i="2" a="1"/>
  <c r="T68" i="2" a="1"/>
  <c r="T78" i="2" a="1"/>
  <c r="T54" i="2" a="1"/>
  <c r="T104" i="2" a="1"/>
  <c r="T228" i="2" a="1"/>
  <c r="T317" i="2" a="1"/>
  <c r="T354" i="2" a="1"/>
  <c r="T367" i="2" a="1"/>
  <c r="T40" i="2" a="1"/>
  <c r="T277" i="2" a="1"/>
  <c r="T287" i="2" a="1"/>
  <c r="T125" i="2" a="1"/>
  <c r="T249" i="2" a="1"/>
  <c r="T57" i="2" a="1"/>
  <c r="T41" i="2" a="1"/>
  <c r="T233" i="2" a="1"/>
  <c r="T284" i="2" a="1"/>
  <c r="T237" i="2" a="1"/>
  <c r="T319" i="2" a="1"/>
  <c r="T12" i="2" a="1"/>
  <c r="T245" i="2" a="1"/>
  <c r="T314" i="2" a="1"/>
  <c r="T292" i="2" a="1"/>
  <c r="T298" i="2" a="1"/>
  <c r="T264" i="2" a="1"/>
  <c r="T282" i="2" a="1"/>
  <c r="T265" i="2" a="1"/>
  <c r="T6" i="2" a="1"/>
  <c r="T222" i="2" a="1"/>
  <c r="T5" i="2" a="1"/>
  <c r="T23" i="2" a="1"/>
  <c r="T355" i="2" a="1"/>
  <c r="T294" i="2" a="1"/>
  <c r="T166" i="2" a="1"/>
  <c r="T44" i="2" a="1"/>
  <c r="T335" i="2" a="1"/>
  <c r="T247" i="2" a="1"/>
  <c r="T65" i="2" a="1"/>
  <c r="T91" i="2" a="1"/>
  <c r="T10" i="2" a="1"/>
  <c r="T348" i="2" a="1"/>
  <c r="T327" i="2" a="1"/>
  <c r="T192" i="2" a="1"/>
  <c r="T73" i="2" a="1"/>
  <c r="T139" i="2" a="1"/>
  <c r="T121" i="2" a="1"/>
  <c r="T368" i="2" a="1"/>
  <c r="T114" i="2" a="1"/>
  <c r="T141" i="2" a="1"/>
  <c r="T331" i="2" a="1"/>
  <c r="T129" i="2" a="1"/>
  <c r="T146" i="2" a="1"/>
  <c r="T296" i="2" a="1"/>
  <c r="T133" i="2" a="1"/>
  <c r="T177" i="2" a="1"/>
  <c r="T382" i="2" a="1"/>
  <c r="T176" i="2" a="1"/>
  <c r="T221" i="2" a="1"/>
  <c r="T36" i="2" a="1"/>
  <c r="T77" i="2" a="1"/>
  <c r="T269" i="2" a="1"/>
  <c r="T223" i="2" a="1"/>
  <c r="T299" i="2" a="1"/>
  <c r="T252" i="2" a="1"/>
  <c r="T162" i="2" a="1"/>
  <c r="T205" i="2" a="1"/>
  <c r="T290" i="2" a="1"/>
  <c r="T362" i="2" a="1"/>
  <c r="T138" i="2" a="1"/>
  <c r="T308" i="2" a="1"/>
  <c r="T3" i="2" a="1"/>
  <c r="T80" i="2" a="1"/>
  <c r="T16" i="2" a="1"/>
  <c r="T274" i="2" a="1"/>
  <c r="T56" i="2" a="1"/>
  <c r="T208" i="2" a="1"/>
  <c r="T24" i="2" a="1"/>
  <c r="T17" i="2" a="1"/>
  <c r="T150" i="2" a="1"/>
  <c r="T285" i="2" a="1"/>
  <c r="T170" i="2" a="1"/>
  <c r="T96" i="2" a="1"/>
  <c r="T253" i="2" a="1"/>
  <c r="T135" i="2" a="1"/>
  <c r="T102" i="2" a="1"/>
  <c r="T363" i="2" a="1"/>
  <c r="T281" i="2" a="1"/>
  <c r="T35" i="2" a="1"/>
  <c r="T239" i="2" a="1"/>
  <c r="T167" i="2" a="1"/>
  <c r="T182" i="2" a="1"/>
  <c r="T303" i="2" a="1"/>
  <c r="T324" i="2" a="1"/>
  <c r="T358" i="2" a="1"/>
  <c r="T92" i="2" a="1"/>
  <c r="T361" i="2" a="1"/>
  <c r="T168" i="2" a="1"/>
  <c r="T376" i="2" a="1"/>
  <c r="T378" i="2" a="1"/>
  <c r="T81" i="2" a="1"/>
  <c r="T195" i="2" a="1"/>
  <c r="T183" i="2" a="1"/>
  <c r="T130" i="2" a="1"/>
  <c r="T333" i="2" a="1"/>
  <c r="T207" i="2" a="1"/>
  <c r="T257" i="2" a="1"/>
  <c r="T374" i="2" a="1"/>
  <c r="T244" i="2" a="1"/>
  <c r="T55" i="2" a="1"/>
  <c r="T342" i="2" a="1"/>
  <c r="T119" i="2" a="1"/>
  <c r="T219" i="2" a="1"/>
  <c r="T365" i="2" a="1"/>
  <c r="T201" i="2" a="1"/>
  <c r="T372" i="2" a="1"/>
  <c r="T267" i="2" a="1"/>
  <c r="T248" i="2" a="1"/>
  <c r="T61" i="2" a="1"/>
  <c r="T325" i="2" a="1"/>
  <c r="T194" i="2" a="1"/>
  <c r="T82" i="2" a="1"/>
  <c r="T312" i="2" a="1"/>
  <c r="T126" i="2" a="1"/>
  <c r="T315" i="2" a="1"/>
  <c r="T332" i="2" a="1"/>
  <c r="T52" i="2" a="1"/>
  <c r="T242" i="2" a="1"/>
  <c r="T345" i="2" a="1"/>
  <c r="T145" i="2" a="1"/>
  <c r="T42" i="2" a="1"/>
  <c r="T70" i="2" a="1"/>
  <c r="T307" i="2" a="1"/>
  <c r="T366" i="2" a="1"/>
  <c r="T326" i="2" a="1"/>
  <c r="T260" i="2" a="1"/>
  <c r="T220" i="2" a="1"/>
  <c r="T329" i="2" a="1"/>
  <c r="T234" i="2" a="1"/>
  <c r="T235" i="2" a="1"/>
  <c r="T132" i="2" a="1"/>
  <c r="T283" i="2" a="1"/>
  <c r="T131" i="2" a="1"/>
  <c r="T230" i="2" a="1"/>
  <c r="T189" i="2" a="1"/>
  <c r="T198" i="2" a="1"/>
  <c r="T210" i="2" a="1"/>
  <c r="T88" i="2" a="1"/>
  <c r="T67" i="2" a="1"/>
  <c r="T83" i="2" a="1"/>
  <c r="T300" i="2" a="1"/>
  <c r="T337" i="2" a="1"/>
  <c r="T74" i="2" a="1"/>
  <c r="T99" i="2" a="1"/>
  <c r="T97" i="2" a="1"/>
  <c r="T9" i="2" a="1"/>
  <c r="T226" i="2" a="1"/>
  <c r="T232" i="2" a="1"/>
  <c r="T199" i="2" a="1"/>
  <c r="T109" i="2" a="1"/>
  <c r="T37" i="2" a="1"/>
  <c r="T197" i="2" a="1"/>
  <c r="T316" i="2" a="1"/>
  <c r="T255" i="2" a="1"/>
  <c r="T379" i="2" a="1"/>
  <c r="T71" i="2" a="1"/>
  <c r="T323" i="2" a="1"/>
  <c r="T318" i="2" a="1"/>
  <c r="T124" i="2" a="1"/>
  <c r="T50" i="2" a="1"/>
  <c r="T213" i="2" a="1"/>
  <c r="T111" i="2" a="1"/>
  <c r="T136" i="2" a="1"/>
  <c r="T13" i="2" a="1"/>
  <c r="T158" i="2" a="1"/>
  <c r="T262" i="2" a="1"/>
  <c r="T209" i="2" a="1"/>
  <c r="T302" i="2" a="1"/>
  <c r="T173" i="2" a="1"/>
  <c r="T272" i="2" a="1"/>
  <c r="T263" i="2" a="1"/>
  <c r="T380" i="2" a="1"/>
  <c r="T296" i="2" l="1"/>
  <c r="K296" i="2" s="1" a="1"/>
  <c r="K296" i="2" s="1"/>
  <c r="T11" i="2"/>
  <c r="T234" i="2"/>
  <c r="K234" i="2" s="1" a="1"/>
  <c r="K234" i="2" s="1"/>
  <c r="T286" i="2"/>
  <c r="T290" i="2"/>
  <c r="N290" i="2" s="1" a="1"/>
  <c r="N290" i="2" s="1"/>
  <c r="T256" i="2"/>
  <c r="M256" i="2" s="1" a="1"/>
  <c r="M256" i="2" s="1"/>
  <c r="T222" i="2"/>
  <c r="M222" i="2" s="1" a="1"/>
  <c r="M222" i="2" s="1"/>
  <c r="T342" i="2"/>
  <c r="M342" i="2" s="1" a="1"/>
  <c r="M342" i="2" s="1"/>
  <c r="T45" i="2"/>
  <c r="K45" i="2" s="1" a="1"/>
  <c r="K45" i="2" s="1"/>
  <c r="T230" i="2"/>
  <c r="L230" i="2" s="1" a="1"/>
  <c r="L230" i="2" s="1"/>
  <c r="T354" i="2"/>
  <c r="T68" i="2"/>
  <c r="K68" i="2" s="1" a="1"/>
  <c r="K68" i="2" s="1"/>
  <c r="T117" i="2"/>
  <c r="M117" i="2" s="1" a="1"/>
  <c r="M117" i="2" s="1"/>
  <c r="T226" i="2"/>
  <c r="L226" i="2" s="1" a="1"/>
  <c r="L226" i="2" s="1"/>
  <c r="T280" i="2"/>
  <c r="O280" i="2" s="1" a="1"/>
  <c r="O280" i="2" s="1"/>
  <c r="T231" i="2"/>
  <c r="N231" i="2" s="1" a="1"/>
  <c r="N231" i="2" s="1"/>
  <c r="T10" i="2"/>
  <c r="T323" i="2"/>
  <c r="M323" i="2" s="1" a="1"/>
  <c r="M323" i="2" s="1"/>
  <c r="T291" i="2"/>
  <c r="L291" i="2" s="1" a="1"/>
  <c r="L291" i="2" s="1"/>
  <c r="T214" i="2"/>
  <c r="K214" i="2" s="1" a="1"/>
  <c r="K214" i="2" s="1"/>
  <c r="T209" i="2"/>
  <c r="K209" i="2" s="1" a="1"/>
  <c r="K209" i="2" s="1"/>
  <c r="T35" i="2"/>
  <c r="K35" i="2" s="1" a="1"/>
  <c r="K35" i="2" s="1"/>
  <c r="T375" i="2"/>
  <c r="T123" i="2"/>
  <c r="N123" i="2" s="1" a="1"/>
  <c r="N123" i="2" s="1"/>
  <c r="T8" i="2"/>
  <c r="T66" i="2"/>
  <c r="N66" i="2" s="1" a="1"/>
  <c r="N66" i="2" s="1"/>
  <c r="T129" i="2"/>
  <c r="M129" i="2" s="1" a="1"/>
  <c r="M129" i="2" s="1"/>
  <c r="T307" i="2"/>
  <c r="M307" i="2" s="1" a="1"/>
  <c r="M307" i="2" s="1"/>
  <c r="T113" i="2"/>
  <c r="T82" i="2"/>
  <c r="M82" i="2" s="1" a="1"/>
  <c r="M82" i="2" s="1"/>
  <c r="T169" i="2"/>
  <c r="O169" i="2" s="1" a="1"/>
  <c r="O169" i="2" s="1"/>
  <c r="T292" i="2"/>
  <c r="O292" i="2" s="1" a="1"/>
  <c r="O292" i="2" s="1"/>
  <c r="T333" i="2"/>
  <c r="N333" i="2" s="1" a="1"/>
  <c r="N333" i="2" s="1"/>
  <c r="T358" i="2"/>
  <c r="N358" i="2" s="1" a="1"/>
  <c r="N358" i="2" s="1"/>
  <c r="T227" i="2"/>
  <c r="O227" i="2" s="1" a="1"/>
  <c r="O227" i="2" s="1"/>
  <c r="T15" i="2"/>
  <c r="T360" i="2"/>
  <c r="M360" i="2" s="1" a="1"/>
  <c r="M360" i="2" s="1"/>
  <c r="T351" i="2"/>
  <c r="O351" i="2" s="1" a="1"/>
  <c r="O351" i="2" s="1"/>
  <c r="T212" i="2"/>
  <c r="L212" i="2" s="1" a="1"/>
  <c r="L212" i="2" s="1"/>
  <c r="T206" i="2"/>
  <c r="M206" i="2" s="1" a="1"/>
  <c r="M206" i="2" s="1"/>
  <c r="T153" i="2"/>
  <c r="T162" i="2"/>
  <c r="L162" i="2" s="1" a="1"/>
  <c r="L162" i="2" s="1"/>
  <c r="T272" i="2"/>
  <c r="L272" i="2" s="1" a="1"/>
  <c r="L272" i="2" s="1"/>
  <c r="T370" i="2"/>
  <c r="L370" i="2" s="1" a="1"/>
  <c r="L370" i="2" s="1"/>
  <c r="T100" i="2"/>
  <c r="L100" i="2" s="1" a="1"/>
  <c r="L100" i="2" s="1"/>
  <c r="T125" i="2"/>
  <c r="T74" i="2"/>
  <c r="T111" i="2"/>
  <c r="L111" i="2" s="1" a="1"/>
  <c r="L111" i="2" s="1"/>
  <c r="T131" i="2"/>
  <c r="N131" i="2" s="1" a="1"/>
  <c r="N131" i="2" s="1"/>
  <c r="T43" i="2"/>
  <c r="N43" i="2" s="1" a="1"/>
  <c r="N43" i="2" s="1"/>
  <c r="T112" i="2"/>
  <c r="O112" i="2" s="1" a="1"/>
  <c r="O112" i="2" s="1"/>
  <c r="T139" i="2"/>
  <c r="O139" i="2" s="1" a="1"/>
  <c r="O139" i="2" s="1"/>
  <c r="T318" i="2"/>
  <c r="N318" i="2" s="1" a="1"/>
  <c r="N318" i="2" s="1"/>
  <c r="T166" i="2"/>
  <c r="N166" i="2" s="1" a="1"/>
  <c r="N166" i="2" s="1"/>
  <c r="T372" i="2"/>
  <c r="L372" i="2" s="1" a="1"/>
  <c r="L372" i="2" s="1"/>
  <c r="T246" i="2"/>
  <c r="L246" i="2" s="1" a="1"/>
  <c r="L246" i="2" s="1"/>
  <c r="T284" i="2"/>
  <c r="M284" i="2" s="1" a="1"/>
  <c r="M284" i="2" s="1"/>
  <c r="T96" i="2"/>
  <c r="M96" i="2" s="1" a="1"/>
  <c r="M96" i="2" s="1"/>
  <c r="T324" i="2"/>
  <c r="T281" i="2"/>
  <c r="N281" i="2" s="1" a="1"/>
  <c r="N281" i="2" s="1"/>
  <c r="T170" i="2"/>
  <c r="L170" i="2" s="1" a="1"/>
  <c r="L170" i="2" s="1"/>
  <c r="T217" i="2"/>
  <c r="O217" i="2" s="1" a="1"/>
  <c r="O217" i="2" s="1"/>
  <c r="T172" i="2"/>
  <c r="L172" i="2" s="1" a="1"/>
  <c r="L172" i="2" s="1"/>
  <c r="T238" i="2"/>
  <c r="M238" i="2" s="1" a="1"/>
  <c r="M238" i="2" s="1"/>
  <c r="T52" i="2"/>
  <c r="T295" i="2"/>
  <c r="N295" i="2" s="1" a="1"/>
  <c r="N295" i="2" s="1"/>
  <c r="T299" i="2"/>
  <c r="L299" i="2" s="1" a="1"/>
  <c r="L299" i="2" s="1"/>
  <c r="T175" i="2"/>
  <c r="O175" i="2" s="1" a="1"/>
  <c r="O175" i="2" s="1"/>
  <c r="T58" i="2"/>
  <c r="M58" i="2" s="1" a="1"/>
  <c r="M58" i="2" s="1"/>
  <c r="T261" i="2"/>
  <c r="N261" i="2" s="1" a="1"/>
  <c r="N261" i="2" s="1"/>
  <c r="T382" i="2"/>
  <c r="T106" i="2"/>
  <c r="M106" i="2" s="1" a="1"/>
  <c r="M106" i="2" s="1"/>
  <c r="T241" i="2"/>
  <c r="M241" i="2" s="1" a="1"/>
  <c r="M241" i="2" s="1"/>
  <c r="T77" i="2"/>
  <c r="O77" i="2" s="1" a="1"/>
  <c r="O77" i="2" s="1"/>
  <c r="T329" i="2"/>
  <c r="M329" i="2" s="1" a="1"/>
  <c r="M329" i="2" s="1"/>
  <c r="T127" i="2"/>
  <c r="K127" i="2" s="1" a="1"/>
  <c r="K127" i="2" s="1"/>
  <c r="T369" i="2"/>
  <c r="M369" i="2" s="1" a="1"/>
  <c r="M369" i="2" s="1"/>
  <c r="T7" i="2"/>
  <c r="T6" i="2"/>
  <c r="T55" i="2"/>
  <c r="K55" i="2" s="1" a="1"/>
  <c r="K55" i="2" s="1"/>
  <c r="T148" i="2"/>
  <c r="N148" i="2" s="1" a="1"/>
  <c r="N148" i="2" s="1"/>
  <c r="T93" i="2"/>
  <c r="L93" i="2" s="1" a="1"/>
  <c r="L93" i="2" s="1"/>
  <c r="T317" i="2"/>
  <c r="T275" i="2"/>
  <c r="M275" i="2" s="1" a="1"/>
  <c r="M275" i="2" s="1"/>
  <c r="T364" i="2"/>
  <c r="O364" i="2" s="1" a="1"/>
  <c r="O364" i="2" s="1"/>
  <c r="T44" i="2"/>
  <c r="M44" i="2" s="1" a="1"/>
  <c r="M44" i="2" s="1"/>
  <c r="T308" i="2"/>
  <c r="L308" i="2" s="1" a="1"/>
  <c r="L308" i="2" s="1"/>
  <c r="T380" i="2"/>
  <c r="T91" i="2"/>
  <c r="T225" i="2"/>
  <c r="N225" i="2" s="1" a="1"/>
  <c r="N225" i="2" s="1"/>
  <c r="T211" i="2"/>
  <c r="L211" i="2" s="1" a="1"/>
  <c r="L211" i="2" s="1"/>
  <c r="T79" i="2"/>
  <c r="O79" i="2" s="1" a="1"/>
  <c r="O79" i="2" s="1"/>
  <c r="T109" i="2"/>
  <c r="O109" i="2" s="1" a="1"/>
  <c r="O109" i="2" s="1"/>
  <c r="T305" i="2"/>
  <c r="K305" i="2" s="1" a="1"/>
  <c r="K305" i="2" s="1"/>
  <c r="T306" i="2"/>
  <c r="L306" i="2" s="1" a="1"/>
  <c r="L306" i="2" s="1"/>
  <c r="T90" i="2"/>
  <c r="N90" i="2" s="1" a="1"/>
  <c r="N90" i="2" s="1"/>
  <c r="T181" i="2"/>
  <c r="M181" i="2" s="1" a="1"/>
  <c r="M181" i="2" s="1"/>
  <c r="T313" i="2"/>
  <c r="K313" i="2" s="1" a="1"/>
  <c r="K313" i="2" s="1"/>
  <c r="T331" i="2"/>
  <c r="O331" i="2" s="1" a="1"/>
  <c r="O331" i="2" s="1"/>
  <c r="T70" i="2"/>
  <c r="O70" i="2" s="1" a="1"/>
  <c r="O70" i="2" s="1"/>
  <c r="T357" i="2"/>
  <c r="T194" i="2"/>
  <c r="M194" i="2" s="1" a="1"/>
  <c r="M194" i="2" s="1"/>
  <c r="T377" i="2"/>
  <c r="K377" i="2" s="1" a="1"/>
  <c r="K377" i="2" s="1"/>
  <c r="T314" i="2"/>
  <c r="N314" i="2" s="1" a="1"/>
  <c r="N314" i="2" s="1"/>
  <c r="T130" i="2"/>
  <c r="K130" i="2" s="1" a="1"/>
  <c r="K130" i="2" s="1"/>
  <c r="T49" i="2"/>
  <c r="K49" i="2" s="1" a="1"/>
  <c r="K49" i="2" s="1"/>
  <c r="T2" i="2"/>
  <c r="T251" i="2"/>
  <c r="M251" i="2" s="1" a="1"/>
  <c r="M251" i="2" s="1"/>
  <c r="T59" i="2"/>
  <c r="M59" i="2" s="1" a="1"/>
  <c r="M59" i="2" s="1"/>
  <c r="T159" i="2"/>
  <c r="O159" i="2" s="1" a="1"/>
  <c r="O159" i="2" s="1"/>
  <c r="T371" i="2"/>
  <c r="L371" i="2" s="1" a="1"/>
  <c r="L371" i="2" s="1"/>
  <c r="T362" i="2"/>
  <c r="K362" i="2" s="1" a="1"/>
  <c r="K362" i="2" s="1"/>
  <c r="T258" i="2"/>
  <c r="L258" i="2" s="1" a="1"/>
  <c r="L258" i="2" s="1"/>
  <c r="T352" i="2"/>
  <c r="L352" i="2" s="1" a="1"/>
  <c r="L352" i="2" s="1"/>
  <c r="T379" i="2"/>
  <c r="M379" i="2" s="1" a="1"/>
  <c r="M379" i="2" s="1"/>
  <c r="T152" i="2"/>
  <c r="K152" i="2" s="1" a="1"/>
  <c r="K152" i="2" s="1"/>
  <c r="T87" i="2"/>
  <c r="K87" i="2" s="1" a="1"/>
  <c r="K87" i="2" s="1"/>
  <c r="T158" i="2"/>
  <c r="T136" i="2"/>
  <c r="N136" i="2" s="1" a="1"/>
  <c r="N136" i="2" s="1"/>
  <c r="T88" i="2"/>
  <c r="M88" i="2" s="1" a="1"/>
  <c r="M88" i="2" s="1"/>
  <c r="T283" i="2"/>
  <c r="M283" i="2" s="1" a="1"/>
  <c r="M283" i="2" s="1"/>
  <c r="T378" i="2"/>
  <c r="L378" i="2" s="1" a="1"/>
  <c r="L378" i="2" s="1"/>
  <c r="T64" i="2"/>
  <c r="N64" i="2" s="1" a="1"/>
  <c r="N64" i="2" s="1"/>
  <c r="T73" i="2"/>
  <c r="K73" i="2" s="1" a="1"/>
  <c r="K73" i="2" s="1"/>
  <c r="T16" i="2"/>
  <c r="T294" i="2"/>
  <c r="M294" i="2" s="1" a="1"/>
  <c r="M294" i="2" s="1"/>
  <c r="T201" i="2"/>
  <c r="K201" i="2" s="1" a="1"/>
  <c r="K201" i="2" s="1"/>
  <c r="T340" i="2"/>
  <c r="O340" i="2" s="1" a="1"/>
  <c r="O340" i="2" s="1"/>
  <c r="T233" i="2"/>
  <c r="N233" i="2" s="1" a="1"/>
  <c r="N233" i="2" s="1"/>
  <c r="T376" i="2"/>
  <c r="N376" i="2" s="1" a="1"/>
  <c r="N376" i="2" s="1"/>
  <c r="T303" i="2"/>
  <c r="T363" i="2"/>
  <c r="N363" i="2" s="1" a="1"/>
  <c r="N363" i="2" s="1"/>
  <c r="T285" i="2"/>
  <c r="N285" i="2" s="1" a="1"/>
  <c r="N285" i="2" s="1"/>
  <c r="T236" i="2"/>
  <c r="O236" i="2" s="1" a="1"/>
  <c r="O236" i="2" s="1"/>
  <c r="T56" i="2"/>
  <c r="N56" i="2" s="1" a="1"/>
  <c r="N56" i="2" s="1"/>
  <c r="T108" i="2"/>
  <c r="K108" i="2" s="1" a="1"/>
  <c r="K108" i="2" s="1"/>
  <c r="T332" i="2"/>
  <c r="L332" i="2" s="1" a="1"/>
  <c r="L332" i="2" s="1"/>
  <c r="T149" i="2"/>
  <c r="O149" i="2" s="1" a="1"/>
  <c r="O149" i="2" s="1"/>
  <c r="T84" i="2"/>
  <c r="L84" i="2" s="1" a="1"/>
  <c r="L84" i="2" s="1"/>
  <c r="T316" i="2"/>
  <c r="O316" i="2" s="1" a="1"/>
  <c r="O316" i="2" s="1"/>
  <c r="T186" i="2"/>
  <c r="L186" i="2" s="1" a="1"/>
  <c r="L186" i="2" s="1"/>
  <c r="T221" i="2"/>
  <c r="T350" i="2"/>
  <c r="N350" i="2" s="1" a="1"/>
  <c r="N350" i="2" s="1"/>
  <c r="T85" i="2"/>
  <c r="M85" i="2" s="1" a="1"/>
  <c r="M85" i="2" s="1"/>
  <c r="T86" i="2"/>
  <c r="N86" i="2" s="1" a="1"/>
  <c r="N86" i="2" s="1"/>
  <c r="T271" i="2"/>
  <c r="K271" i="2" s="1" a="1"/>
  <c r="K271" i="2" s="1"/>
  <c r="T220" i="2"/>
  <c r="L220" i="2" s="1" a="1"/>
  <c r="L220" i="2" s="1"/>
  <c r="T279" i="2"/>
  <c r="M279" i="2" s="1" a="1"/>
  <c r="M279" i="2" s="1"/>
  <c r="T322" i="2"/>
  <c r="L322" i="2" s="1" a="1"/>
  <c r="L322" i="2" s="1"/>
  <c r="T178" i="2"/>
  <c r="M178" i="2" s="1" a="1"/>
  <c r="M178" i="2" s="1"/>
  <c r="T265" i="2"/>
  <c r="K265" i="2" s="1" a="1"/>
  <c r="K265" i="2" s="1"/>
  <c r="T244" i="2"/>
  <c r="M244" i="2" s="1" a="1"/>
  <c r="M244" i="2" s="1"/>
  <c r="T190" i="2"/>
  <c r="M190" i="2" s="1" a="1"/>
  <c r="M190" i="2" s="1"/>
  <c r="T287" i="2"/>
  <c r="M287" i="2" s="1" a="1"/>
  <c r="M287" i="2" s="1"/>
  <c r="T228" i="2"/>
  <c r="T161" i="2"/>
  <c r="N161" i="2" s="1" a="1"/>
  <c r="N161" i="2" s="1"/>
  <c r="T120" i="2"/>
  <c r="L120" i="2" s="1" a="1"/>
  <c r="L120" i="2" s="1"/>
  <c r="T187" i="2"/>
  <c r="K187" i="2" s="1" a="1"/>
  <c r="K187" i="2" s="1"/>
  <c r="T143" i="2"/>
  <c r="M143" i="2" s="1" a="1"/>
  <c r="M143" i="2" s="1"/>
  <c r="T124" i="2"/>
  <c r="M124" i="2" s="1" a="1"/>
  <c r="M124" i="2" s="1"/>
  <c r="T65" i="2"/>
  <c r="T338" i="2"/>
  <c r="M338" i="2" s="1" a="1"/>
  <c r="M338" i="2" s="1"/>
  <c r="T381" i="2"/>
  <c r="K381" i="2" s="1" a="1"/>
  <c r="K381" i="2" s="1"/>
  <c r="T269" i="2"/>
  <c r="N269" i="2" s="1" a="1"/>
  <c r="N269" i="2" s="1"/>
  <c r="T199" i="2"/>
  <c r="N199" i="2" s="1" a="1"/>
  <c r="N199" i="2" s="1"/>
  <c r="T147" i="2"/>
  <c r="L147" i="2" s="1" a="1"/>
  <c r="L147" i="2" s="1"/>
  <c r="T250" i="2"/>
  <c r="T110" i="2"/>
  <c r="K110" i="2" s="1" a="1"/>
  <c r="K110" i="2" s="1"/>
  <c r="T229" i="2"/>
  <c r="N229" i="2" s="1" a="1"/>
  <c r="N229" i="2" s="1"/>
  <c r="T243" i="2"/>
  <c r="M243" i="2" s="1" a="1"/>
  <c r="M243" i="2" s="1"/>
  <c r="T141" i="2"/>
  <c r="K141" i="2" s="1" a="1"/>
  <c r="K141" i="2" s="1"/>
  <c r="T42" i="2"/>
  <c r="N42" i="2" s="1" a="1"/>
  <c r="N42" i="2" s="1"/>
  <c r="T95" i="2"/>
  <c r="K95" i="2" s="1" a="1"/>
  <c r="K95" i="2" s="1"/>
  <c r="T325" i="2"/>
  <c r="O325" i="2" s="1" a="1"/>
  <c r="O325" i="2" s="1"/>
  <c r="T336" i="2"/>
  <c r="N336" i="2" s="1" a="1"/>
  <c r="N336" i="2" s="1"/>
  <c r="T245" i="2"/>
  <c r="L245" i="2" s="1" a="1"/>
  <c r="L245" i="2" s="1"/>
  <c r="T183" i="2"/>
  <c r="K183" i="2" s="1" a="1"/>
  <c r="K183" i="2" s="1"/>
  <c r="T151" i="2"/>
  <c r="K151" i="2" s="1" a="1"/>
  <c r="K151" i="2" s="1"/>
  <c r="T75" i="2"/>
  <c r="L75" i="2" s="1" a="1"/>
  <c r="L75" i="2" s="1"/>
  <c r="T193" i="2"/>
  <c r="N193" i="2" s="1" a="1"/>
  <c r="N193" i="2" s="1"/>
  <c r="T33" i="2"/>
  <c r="M33" i="2" s="1" a="1"/>
  <c r="M33" i="2" s="1"/>
  <c r="T267" i="2"/>
  <c r="K267" i="2" s="1" a="1"/>
  <c r="K267" i="2" s="1"/>
  <c r="T69" i="2"/>
  <c r="L69" i="2" s="1" a="1"/>
  <c r="L69" i="2" s="1"/>
  <c r="T22" i="2"/>
  <c r="T349" i="2"/>
  <c r="O349" i="2" s="1" a="1"/>
  <c r="O349" i="2" s="1"/>
  <c r="T14" i="2"/>
  <c r="T321" i="2"/>
  <c r="O321" i="2" s="1" a="1"/>
  <c r="O321" i="2" s="1"/>
  <c r="T373" i="2"/>
  <c r="L373" i="2" s="1" a="1"/>
  <c r="L373" i="2" s="1"/>
  <c r="T202" i="2"/>
  <c r="M202" i="2" s="1" a="1"/>
  <c r="M202" i="2" s="1"/>
  <c r="T9" i="2"/>
  <c r="T337" i="2"/>
  <c r="T210" i="2"/>
  <c r="O210" i="2" s="1" a="1"/>
  <c r="O210" i="2" s="1"/>
  <c r="T132" i="2"/>
  <c r="L132" i="2" s="1" a="1"/>
  <c r="L132" i="2" s="1"/>
  <c r="T237" i="2"/>
  <c r="N237" i="2" s="1" a="1"/>
  <c r="N237" i="2" s="1"/>
  <c r="T98" i="2"/>
  <c r="K98" i="2" s="1" a="1"/>
  <c r="K98" i="2" s="1"/>
  <c r="T192" i="2"/>
  <c r="N192" i="2" s="1" a="1"/>
  <c r="N192" i="2" s="1"/>
  <c r="T184" i="2"/>
  <c r="T355" i="2"/>
  <c r="M355" i="2" s="1" a="1"/>
  <c r="M355" i="2" s="1"/>
  <c r="T365" i="2"/>
  <c r="M365" i="2" s="1" a="1"/>
  <c r="M365" i="2" s="1"/>
  <c r="T203" i="2"/>
  <c r="L203" i="2" s="1" a="1"/>
  <c r="L203" i="2" s="1"/>
  <c r="T41" i="2"/>
  <c r="O41" i="2" s="1" a="1"/>
  <c r="O41" i="2" s="1"/>
  <c r="T168" i="2"/>
  <c r="M168" i="2" s="1" a="1"/>
  <c r="M168" i="2" s="1"/>
  <c r="T182" i="2"/>
  <c r="L182" i="2" s="1" a="1"/>
  <c r="L182" i="2" s="1"/>
  <c r="T102" i="2"/>
  <c r="K102" i="2" s="1" a="1"/>
  <c r="K102" i="2" s="1"/>
  <c r="T150" i="2"/>
  <c r="M150" i="2" s="1" a="1"/>
  <c r="M150" i="2" s="1"/>
  <c r="T297" i="2"/>
  <c r="L297" i="2" s="1" a="1"/>
  <c r="L297" i="2" s="1"/>
  <c r="T50" i="2"/>
  <c r="L50" i="2" s="1" a="1"/>
  <c r="L50" i="2" s="1"/>
  <c r="T224" i="2"/>
  <c r="O224" i="2" s="1" a="1"/>
  <c r="O224" i="2" s="1"/>
  <c r="T315" i="2"/>
  <c r="N315" i="2" s="1" a="1"/>
  <c r="N315" i="2" s="1"/>
  <c r="T346" i="2"/>
  <c r="M346" i="2" s="1" a="1"/>
  <c r="M346" i="2" s="1"/>
  <c r="T310" i="2"/>
  <c r="N310" i="2" s="1" a="1"/>
  <c r="N310" i="2" s="1"/>
  <c r="T197" i="2"/>
  <c r="K197" i="2" s="1" a="1"/>
  <c r="K197" i="2" s="1"/>
  <c r="T144" i="2"/>
  <c r="O144" i="2" s="1" a="1"/>
  <c r="O144" i="2" s="1"/>
  <c r="T63" i="2"/>
  <c r="O63" i="2" s="1" a="1"/>
  <c r="O63" i="2" s="1"/>
  <c r="T278" i="2"/>
  <c r="O278" i="2" s="1" a="1"/>
  <c r="O278" i="2" s="1"/>
  <c r="T133" i="2"/>
  <c r="K133" i="2" s="1" a="1"/>
  <c r="K133" i="2" s="1"/>
  <c r="T60" i="2"/>
  <c r="L60" i="2" s="1" a="1"/>
  <c r="L60" i="2" s="1"/>
  <c r="T121" i="2"/>
  <c r="K121" i="2" s="1" a="1"/>
  <c r="K121" i="2" s="1"/>
  <c r="T260" i="2"/>
  <c r="N260" i="2" s="1" a="1"/>
  <c r="N260" i="2" s="1"/>
  <c r="T53" i="2"/>
  <c r="O53" i="2" s="1" a="1"/>
  <c r="O53" i="2" s="1"/>
  <c r="T205" i="2"/>
  <c r="T51" i="2"/>
  <c r="N51" i="2" s="1" a="1"/>
  <c r="N51" i="2" s="1"/>
  <c r="T282" i="2"/>
  <c r="O282" i="2" s="1" a="1"/>
  <c r="O282" i="2" s="1"/>
  <c r="T374" i="2"/>
  <c r="K374" i="2" s="1" a="1"/>
  <c r="K374" i="2" s="1"/>
  <c r="T273" i="2"/>
  <c r="O273" i="2" s="1" a="1"/>
  <c r="O273" i="2" s="1"/>
  <c r="T277" i="2"/>
  <c r="N277" i="2" s="1" a="1"/>
  <c r="N277" i="2" s="1"/>
  <c r="T104" i="2"/>
  <c r="L104" i="2" s="1" a="1"/>
  <c r="L104" i="2" s="1"/>
  <c r="T107" i="2"/>
  <c r="L107" i="2" s="1" a="1"/>
  <c r="L107" i="2" s="1"/>
  <c r="T4" i="2"/>
  <c r="T101" i="2"/>
  <c r="M101" i="2" s="1" a="1"/>
  <c r="M101" i="2" s="1"/>
  <c r="T344" i="2"/>
  <c r="L344" i="2" s="1" a="1"/>
  <c r="L344" i="2" s="1"/>
  <c r="T274" i="2"/>
  <c r="K274" i="2" s="1" a="1"/>
  <c r="K274" i="2" s="1"/>
  <c r="T247" i="2"/>
  <c r="N247" i="2" s="1" a="1"/>
  <c r="N247" i="2" s="1"/>
  <c r="T80" i="2"/>
  <c r="O80" i="2" s="1" a="1"/>
  <c r="O80" i="2" s="1"/>
  <c r="T76" i="2"/>
  <c r="O76" i="2" s="1" a="1"/>
  <c r="O76" i="2" s="1"/>
  <c r="T266" i="2"/>
  <c r="O266" i="2" s="1" a="1"/>
  <c r="O266" i="2" s="1"/>
  <c r="T262" i="2"/>
  <c r="L262" i="2" s="1" a="1"/>
  <c r="L262" i="2" s="1"/>
  <c r="T89" i="2"/>
  <c r="O89" i="2" s="1" a="1"/>
  <c r="O89" i="2" s="1"/>
  <c r="T339" i="2"/>
  <c r="T34" i="2"/>
  <c r="N34" i="2" s="1" a="1"/>
  <c r="N34" i="2" s="1"/>
  <c r="T359" i="2"/>
  <c r="M359" i="2" s="1" a="1"/>
  <c r="M359" i="2" s="1"/>
  <c r="T341" i="2"/>
  <c r="L341" i="2" s="1" a="1"/>
  <c r="L341" i="2" s="1"/>
  <c r="T114" i="2"/>
  <c r="O114" i="2" s="1" a="1"/>
  <c r="O114" i="2" s="1"/>
  <c r="T145" i="2"/>
  <c r="L145" i="2" s="1" a="1"/>
  <c r="L145" i="2" s="1"/>
  <c r="T105" i="2"/>
  <c r="T61" i="2"/>
  <c r="O61" i="2" s="1" a="1"/>
  <c r="O61" i="2" s="1"/>
  <c r="T46" i="2"/>
  <c r="O46" i="2" s="1" a="1"/>
  <c r="O46" i="2" s="1"/>
  <c r="T12" i="2"/>
  <c r="T195" i="2"/>
  <c r="K195" i="2" s="1" a="1"/>
  <c r="K195" i="2" s="1"/>
  <c r="T383" i="2"/>
  <c r="K383" i="2" s="1" a="1"/>
  <c r="K383" i="2" s="1"/>
  <c r="T204" i="2"/>
  <c r="T200" i="2"/>
  <c r="N200" i="2" s="1" a="1"/>
  <c r="N200" i="2" s="1"/>
  <c r="T191" i="2"/>
  <c r="N191" i="2" s="1" a="1"/>
  <c r="N191" i="2" s="1"/>
  <c r="T99" i="2"/>
  <c r="O99" i="2" s="1" a="1"/>
  <c r="O99" i="2" s="1"/>
  <c r="T62" i="2"/>
  <c r="K62" i="2" s="1" a="1"/>
  <c r="K62" i="2" s="1"/>
  <c r="T304" i="2"/>
  <c r="M304" i="2" s="1" a="1"/>
  <c r="M304" i="2" s="1"/>
  <c r="T142" i="2"/>
  <c r="M142" i="2" s="1" a="1"/>
  <c r="M142" i="2" s="1"/>
  <c r="T252" i="2"/>
  <c r="K252" i="2" s="1" a="1"/>
  <c r="K252" i="2" s="1"/>
  <c r="T255" i="2"/>
  <c r="M255" i="2" s="1" a="1"/>
  <c r="M255" i="2" s="1"/>
  <c r="T94" i="2"/>
  <c r="N94" i="2" s="1" a="1"/>
  <c r="N94" i="2" s="1"/>
  <c r="T36" i="2"/>
  <c r="M36" i="2" s="1" a="1"/>
  <c r="M36" i="2" s="1"/>
  <c r="T97" i="2"/>
  <c r="N97" i="2" s="1" a="1"/>
  <c r="N97" i="2" s="1"/>
  <c r="T300" i="2"/>
  <c r="K300" i="2" s="1" a="1"/>
  <c r="K300" i="2" s="1"/>
  <c r="T198" i="2"/>
  <c r="L198" i="2" s="1" a="1"/>
  <c r="L198" i="2" s="1"/>
  <c r="T235" i="2"/>
  <c r="N235" i="2" s="1" a="1"/>
  <c r="N235" i="2" s="1"/>
  <c r="T67" i="2"/>
  <c r="K67" i="2" s="1" a="1"/>
  <c r="K67" i="2" s="1"/>
  <c r="T289" i="2"/>
  <c r="O289" i="2" s="1" a="1"/>
  <c r="O289" i="2" s="1"/>
  <c r="T327" i="2"/>
  <c r="M327" i="2" s="1" a="1"/>
  <c r="M327" i="2" s="1"/>
  <c r="T334" i="2"/>
  <c r="L334" i="2" s="1" a="1"/>
  <c r="L334" i="2" s="1"/>
  <c r="T23" i="2"/>
  <c r="K23" i="2" s="1" a="1"/>
  <c r="T219" i="2"/>
  <c r="O219" i="2" s="1" a="1"/>
  <c r="O219" i="2" s="1"/>
  <c r="T47" i="2"/>
  <c r="N47" i="2" s="1" a="1"/>
  <c r="N47" i="2" s="1"/>
  <c r="T57" i="2"/>
  <c r="O57" i="2" s="1" a="1"/>
  <c r="O57" i="2" s="1"/>
  <c r="T361" i="2"/>
  <c r="M361" i="2" s="1" a="1"/>
  <c r="M361" i="2" s="1"/>
  <c r="T167" i="2"/>
  <c r="T135" i="2"/>
  <c r="N135" i="2" s="1" a="1"/>
  <c r="N135" i="2" s="1"/>
  <c r="T17" i="2"/>
  <c r="T154" i="2"/>
  <c r="N154" i="2" s="1" a="1"/>
  <c r="N154" i="2" s="1"/>
  <c r="T116" i="2"/>
  <c r="N116" i="2" s="1" a="1"/>
  <c r="N116" i="2" s="1"/>
  <c r="T134" i="2"/>
  <c r="N134" i="2" s="1" a="1"/>
  <c r="N134" i="2" s="1"/>
  <c r="T126" i="2"/>
  <c r="L126" i="2" s="1" a="1"/>
  <c r="L126" i="2" s="1"/>
  <c r="T179" i="2"/>
  <c r="K179" i="2" s="1" a="1"/>
  <c r="K179" i="2" s="1"/>
  <c r="T223" i="2"/>
  <c r="M223" i="2" s="1" a="1"/>
  <c r="M223" i="2" s="1"/>
  <c r="T302" i="2"/>
  <c r="N302" i="2" s="1" a="1"/>
  <c r="N302" i="2" s="1"/>
  <c r="T155" i="2"/>
  <c r="L155" i="2" s="1" a="1"/>
  <c r="L155" i="2" s="1"/>
  <c r="T137" i="2"/>
  <c r="O137" i="2" s="1" a="1"/>
  <c r="O137" i="2" s="1"/>
  <c r="T177" i="2"/>
  <c r="O177" i="2" s="1" a="1"/>
  <c r="O177" i="2" s="1"/>
  <c r="T118" i="2"/>
  <c r="K118" i="2" s="1" a="1"/>
  <c r="K118" i="2" s="1"/>
  <c r="T146" i="2"/>
  <c r="O146" i="2" s="1" a="1"/>
  <c r="O146" i="2" s="1"/>
  <c r="T48" i="2"/>
  <c r="M48" i="2" s="1" a="1"/>
  <c r="M48" i="2" s="1"/>
  <c r="T326" i="2"/>
  <c r="N326" i="2" s="1" a="1"/>
  <c r="N326" i="2" s="1"/>
  <c r="T215" i="2"/>
  <c r="O215" i="2" s="1" a="1"/>
  <c r="O215" i="2" s="1"/>
  <c r="T311" i="2"/>
  <c r="N311" i="2" s="1" a="1"/>
  <c r="N311" i="2" s="1"/>
  <c r="T196" i="2"/>
  <c r="L196" i="2" s="1" a="1"/>
  <c r="L196" i="2" s="1"/>
  <c r="T264" i="2"/>
  <c r="L264" i="2" s="1" a="1"/>
  <c r="L264" i="2" s="1"/>
  <c r="T257" i="2"/>
  <c r="K257" i="2" s="1" a="1"/>
  <c r="K257" i="2" s="1"/>
  <c r="T270" i="2"/>
  <c r="N270" i="2" s="1" a="1"/>
  <c r="N270" i="2" s="1"/>
  <c r="T40" i="2"/>
  <c r="K40" i="2" s="1" a="1"/>
  <c r="K40" i="2" s="1"/>
  <c r="T54" i="2"/>
  <c r="T160" i="2"/>
  <c r="N160" i="2" s="1" a="1"/>
  <c r="N160" i="2" s="1"/>
  <c r="T320" i="2"/>
  <c r="K320" i="2" s="1" a="1"/>
  <c r="K320" i="2" s="1"/>
  <c r="T163" i="2"/>
  <c r="O163" i="2" s="1" a="1"/>
  <c r="O163" i="2" s="1"/>
  <c r="T138" i="2"/>
  <c r="O138" i="2" s="1" a="1"/>
  <c r="O138" i="2" s="1"/>
  <c r="T218" i="2"/>
  <c r="L218" i="2" s="1" a="1"/>
  <c r="L218" i="2" s="1"/>
  <c r="T335" i="2"/>
  <c r="K335" i="2" s="1" a="1"/>
  <c r="K335" i="2" s="1"/>
  <c r="T71" i="2"/>
  <c r="N71" i="2" s="1" a="1"/>
  <c r="N71" i="2" s="1"/>
  <c r="T309" i="2"/>
  <c r="K309" i="2" s="1" a="1"/>
  <c r="K309" i="2" s="1"/>
  <c r="T343" i="2"/>
  <c r="M343" i="2" s="1" a="1"/>
  <c r="M343" i="2" s="1"/>
  <c r="T232" i="2"/>
  <c r="K232" i="2" s="1" a="1"/>
  <c r="K232" i="2" s="1"/>
  <c r="T180" i="2"/>
  <c r="T259" i="2"/>
  <c r="L259" i="2" s="1" a="1"/>
  <c r="L259" i="2" s="1"/>
  <c r="T165" i="2"/>
  <c r="O165" i="2" s="1" a="1"/>
  <c r="O165" i="2" s="1"/>
  <c r="T254" i="2"/>
  <c r="N254" i="2" s="1" a="1"/>
  <c r="N254" i="2" s="1"/>
  <c r="T38" i="2"/>
  <c r="N38" i="2" s="1" a="1"/>
  <c r="N38" i="2" s="1"/>
  <c r="T368" i="2"/>
  <c r="L368" i="2" s="1" a="1"/>
  <c r="L368" i="2" s="1"/>
  <c r="T345" i="2"/>
  <c r="K345" i="2" s="1" a="1"/>
  <c r="K345" i="2" s="1"/>
  <c r="T185" i="2"/>
  <c r="T248" i="2"/>
  <c r="K248" i="2" s="1" a="1"/>
  <c r="K248" i="2" s="1"/>
  <c r="T288" i="2"/>
  <c r="K288" i="2" s="1" a="1"/>
  <c r="K288" i="2" s="1"/>
  <c r="T319" i="2"/>
  <c r="K319" i="2" s="1" a="1"/>
  <c r="K319" i="2" s="1"/>
  <c r="T81" i="2"/>
  <c r="L81" i="2" s="1" a="1"/>
  <c r="L81" i="2" s="1"/>
  <c r="T157" i="2"/>
  <c r="K157" i="2" s="1" a="1"/>
  <c r="K157" i="2" s="1"/>
  <c r="T276" i="2"/>
  <c r="N276" i="2" s="1" a="1"/>
  <c r="N276" i="2" s="1"/>
  <c r="T103" i="2"/>
  <c r="M103" i="2" s="1" a="1"/>
  <c r="M103" i="2" s="1"/>
  <c r="T171" i="2"/>
  <c r="M171" i="2" s="1" a="1"/>
  <c r="M171" i="2" s="1"/>
  <c r="T173" i="2"/>
  <c r="M173" i="2" s="1" a="1"/>
  <c r="M173" i="2" s="1"/>
  <c r="T115" i="2"/>
  <c r="O115" i="2" s="1" a="1"/>
  <c r="O115" i="2" s="1"/>
  <c r="T72" i="2"/>
  <c r="O72" i="2" s="1" a="1"/>
  <c r="O72" i="2" s="1"/>
  <c r="T174" i="2"/>
  <c r="T128" i="2"/>
  <c r="K128" i="2" s="1" a="1"/>
  <c r="K128" i="2" s="1"/>
  <c r="T3" i="2"/>
  <c r="T268" i="2"/>
  <c r="L268" i="2" s="1" a="1"/>
  <c r="L268" i="2" s="1"/>
  <c r="T356" i="2"/>
  <c r="K356" i="2" s="1" a="1"/>
  <c r="K356" i="2" s="1"/>
  <c r="T13" i="2"/>
  <c r="T83" i="2"/>
  <c r="T189" i="2"/>
  <c r="M189" i="2" s="1" a="1"/>
  <c r="M189" i="2" s="1"/>
  <c r="T213" i="2"/>
  <c r="M213" i="2" s="1" a="1"/>
  <c r="M213" i="2" s="1"/>
  <c r="T301" i="2"/>
  <c r="O301" i="2" s="1" a="1"/>
  <c r="O301" i="2" s="1"/>
  <c r="T347" i="2"/>
  <c r="K347" i="2" s="1" a="1"/>
  <c r="K347" i="2" s="1"/>
  <c r="T348" i="2"/>
  <c r="K348" i="2" s="1" a="1"/>
  <c r="K348" i="2" s="1"/>
  <c r="T263" i="2"/>
  <c r="M263" i="2" s="1" a="1"/>
  <c r="M263" i="2" s="1"/>
  <c r="T5" i="2"/>
  <c r="T119" i="2"/>
  <c r="L119" i="2" s="1" a="1"/>
  <c r="L119" i="2" s="1"/>
  <c r="T140" i="2"/>
  <c r="M140" i="2" s="1" a="1"/>
  <c r="M140" i="2" s="1"/>
  <c r="T249" i="2"/>
  <c r="M249" i="2" s="1" a="1"/>
  <c r="M249" i="2" s="1"/>
  <c r="T92" i="2"/>
  <c r="O92" i="2" s="1" a="1"/>
  <c r="O92" i="2" s="1"/>
  <c r="T239" i="2"/>
  <c r="N239" i="2" s="1" a="1"/>
  <c r="N239" i="2" s="1"/>
  <c r="T253" i="2"/>
  <c r="K253" i="2" s="1" a="1"/>
  <c r="K253" i="2" s="1"/>
  <c r="T24" i="2"/>
  <c r="O24" i="2" s="1" a="1"/>
  <c r="O24" i="2" s="1"/>
  <c r="T242" i="2"/>
  <c r="K242" i="2" s="1" a="1"/>
  <c r="K242" i="2" s="1"/>
  <c r="T330" i="2"/>
  <c r="L330" i="2" s="1" a="1"/>
  <c r="L330" i="2" s="1"/>
  <c r="T216" i="2"/>
  <c r="M216" i="2" s="1" a="1"/>
  <c r="M216" i="2" s="1"/>
  <c r="T312" i="2"/>
  <c r="L312" i="2" s="1" a="1"/>
  <c r="L312" i="2" s="1"/>
  <c r="T164" i="2"/>
  <c r="M164" i="2" s="1" a="1"/>
  <c r="M164" i="2" s="1"/>
  <c r="T39" i="2"/>
  <c r="M39" i="2" s="1" a="1"/>
  <c r="M39" i="2" s="1"/>
  <c r="T37" i="2"/>
  <c r="O37" i="2" s="1" a="1"/>
  <c r="O37" i="2" s="1"/>
  <c r="T18" i="2"/>
  <c r="T176" i="2"/>
  <c r="K176" i="2" s="1" a="1"/>
  <c r="K176" i="2" s="1"/>
  <c r="T293" i="2"/>
  <c r="N293" i="2" s="1" a="1"/>
  <c r="N293" i="2" s="1"/>
  <c r="T240" i="2"/>
  <c r="O240" i="2" s="1" a="1"/>
  <c r="O240" i="2" s="1"/>
  <c r="T208" i="2"/>
  <c r="O208" i="2" s="1" a="1"/>
  <c r="O208" i="2" s="1"/>
  <c r="T384" i="2"/>
  <c r="K384" i="2" s="1" a="1"/>
  <c r="K384" i="2" s="1"/>
  <c r="T366" i="2"/>
  <c r="L366" i="2" s="1" a="1"/>
  <c r="L366" i="2" s="1"/>
  <c r="T156" i="2"/>
  <c r="K156" i="2" s="1" a="1"/>
  <c r="K156" i="2" s="1"/>
  <c r="T328" i="2"/>
  <c r="K328" i="2" s="1" a="1"/>
  <c r="K328" i="2" s="1"/>
  <c r="T353" i="2"/>
  <c r="L353" i="2" s="1" a="1"/>
  <c r="L353" i="2" s="1"/>
  <c r="T298" i="2"/>
  <c r="M298" i="2" s="1" a="1"/>
  <c r="M298" i="2" s="1"/>
  <c r="T207" i="2"/>
  <c r="M207" i="2" s="1" a="1"/>
  <c r="M207" i="2" s="1"/>
  <c r="T188" i="2"/>
  <c r="N188" i="2" s="1" a="1"/>
  <c r="N188" i="2" s="1"/>
  <c r="T367" i="2"/>
  <c r="M367" i="2" s="1" a="1"/>
  <c r="M367" i="2" s="1"/>
  <c r="T78" i="2"/>
  <c r="T122" i="2"/>
  <c r="O122" i="2" s="1" a="1"/>
  <c r="O122" i="2" s="1"/>
  <c r="M234" i="2" a="1"/>
  <c r="M234" i="2" s="1"/>
  <c r="O234" i="2" a="1"/>
  <c r="O234" i="2" s="1"/>
  <c r="N342" i="2" a="1"/>
  <c r="N342" i="2" s="1"/>
  <c r="O222" i="2" a="1"/>
  <c r="O222" i="2" s="1"/>
  <c r="K226" i="2" a="1"/>
  <c r="K226" i="2" s="1"/>
  <c r="L222" i="2" a="1"/>
  <c r="L222" i="2" s="1"/>
  <c r="K342" i="2" a="1"/>
  <c r="K342" i="2" s="1"/>
  <c r="M296" i="2" a="1"/>
  <c r="M296" i="2" s="1"/>
  <c r="O296" i="2" a="1"/>
  <c r="O296" i="2" s="1"/>
  <c r="L66" i="2" a="1"/>
  <c r="L66" i="2" s="1"/>
  <c r="A4" i="12"/>
  <c r="H12" i="13"/>
  <c r="H13" i="13" s="1" a="1"/>
  <c r="H13" i="13" s="1"/>
  <c r="M8" i="2" a="1"/>
  <c r="M6" i="2" a="1"/>
  <c r="L6" i="2" a="1"/>
  <c r="O9" i="2" a="1"/>
  <c r="L7" i="2" a="1"/>
  <c r="M18" i="2" a="1"/>
  <c r="M22" i="2" a="1"/>
  <c r="M4" i="2" a="1"/>
  <c r="N18" i="2" a="1"/>
  <c r="M12" i="2" a="1"/>
  <c r="L18" i="2" a="1"/>
  <c r="L4" i="2" a="1"/>
  <c r="O18" i="2" a="1"/>
  <c r="K18" i="2" a="1"/>
  <c r="O5" i="2" a="1"/>
  <c r="O4" i="2" a="1"/>
  <c r="O13" i="2" a="1"/>
  <c r="K4" i="2" a="1"/>
  <c r="N5" i="2" a="1"/>
  <c r="N4" i="2" a="1"/>
  <c r="L12" i="2" a="1"/>
  <c r="N13" i="2" a="1"/>
  <c r="N22" i="2" a="1"/>
  <c r="L214" i="2" l="1" a="1"/>
  <c r="L214" i="2" s="1"/>
  <c r="K175" i="2" a="1"/>
  <c r="K175" i="2" s="1"/>
  <c r="K292" i="2" a="1"/>
  <c r="K292" i="2" s="1"/>
  <c r="N226" i="2" a="1"/>
  <c r="N226" i="2" s="1"/>
  <c r="O226" i="2" a="1"/>
  <c r="O226" i="2" s="1"/>
  <c r="M292" i="2" a="1"/>
  <c r="M292" i="2" s="1"/>
  <c r="N175" i="2" a="1"/>
  <c r="N175" i="2" s="1"/>
  <c r="N379" i="2" a="1"/>
  <c r="N379" i="2" s="1"/>
  <c r="O333" i="2" a="1"/>
  <c r="O333" i="2" s="1"/>
  <c r="O209" i="2" a="1"/>
  <c r="O209" i="2" s="1"/>
  <c r="N129" i="2" a="1"/>
  <c r="N129" i="2" s="1"/>
  <c r="L45" i="2" a="1"/>
  <c r="L45" i="2" s="1"/>
  <c r="M214" i="2" a="1"/>
  <c r="M214" i="2" s="1"/>
  <c r="N234" i="2" a="1"/>
  <c r="N234" i="2" s="1"/>
  <c r="K280" i="2" a="1"/>
  <c r="K280" i="2" s="1"/>
  <c r="O45" i="2" a="1"/>
  <c r="O45" i="2" s="1"/>
  <c r="K212" i="2" a="1"/>
  <c r="K212" i="2" s="1"/>
  <c r="O58" i="2" a="1"/>
  <c r="O58" i="2" s="1"/>
  <c r="L209" i="2" a="1"/>
  <c r="L209" i="2" s="1"/>
  <c r="M299" i="2" a="1"/>
  <c r="M299" i="2" s="1"/>
  <c r="M280" i="2" a="1"/>
  <c r="M280" i="2" s="1"/>
  <c r="M377" i="2" a="1"/>
  <c r="M377" i="2" s="1"/>
  <c r="L58" i="2" a="1"/>
  <c r="L58" i="2" s="1"/>
  <c r="O129" i="2" a="1"/>
  <c r="O129" i="2" s="1"/>
  <c r="N141" i="2" a="1"/>
  <c r="N141" i="2" s="1"/>
  <c r="L333" i="2" a="1"/>
  <c r="L333" i="2" s="1"/>
  <c r="K100" i="2" a="1"/>
  <c r="K100" i="2" s="1"/>
  <c r="M112" i="2" a="1"/>
  <c r="M112" i="2" s="1"/>
  <c r="L175" i="2" a="1"/>
  <c r="L175" i="2" s="1"/>
  <c r="N292" i="2" a="1"/>
  <c r="N292" i="2" s="1"/>
  <c r="N280" i="2" a="1"/>
  <c r="N280" i="2" s="1"/>
  <c r="O100" i="2" a="1"/>
  <c r="O100" i="2" s="1"/>
  <c r="N291" i="2" a="1"/>
  <c r="N291" i="2" s="1"/>
  <c r="L79" i="2" a="1"/>
  <c r="L79" i="2" s="1"/>
  <c r="K314" i="2" a="1"/>
  <c r="K314" i="2" s="1"/>
  <c r="L329" i="2" a="1"/>
  <c r="L329" i="2" s="1"/>
  <c r="K333" i="2" a="1"/>
  <c r="K333" i="2" s="1"/>
  <c r="L129" i="2" a="1"/>
  <c r="L129" i="2" s="1"/>
  <c r="N209" i="2" a="1"/>
  <c r="N209" i="2" s="1"/>
  <c r="K284" i="2" a="1"/>
  <c r="K284" i="2" s="1"/>
  <c r="L139" i="2" a="1"/>
  <c r="L139" i="2" s="1"/>
  <c r="L379" i="2" a="1"/>
  <c r="L379" i="2" s="1"/>
  <c r="M314" i="2" a="1"/>
  <c r="M314" i="2" s="1"/>
  <c r="O64" i="2" a="1"/>
  <c r="O64" i="2" s="1"/>
  <c r="M370" i="2" a="1"/>
  <c r="M370" i="2" s="1"/>
  <c r="N84" i="2" a="1"/>
  <c r="N84" i="2" s="1"/>
  <c r="N45" i="2" a="1"/>
  <c r="N45" i="2" s="1"/>
  <c r="M209" i="2" a="1"/>
  <c r="M209" i="2" s="1"/>
  <c r="M45" i="2" a="1"/>
  <c r="M45" i="2" s="1"/>
  <c r="K129" i="2" a="1"/>
  <c r="K129" i="2" s="1"/>
  <c r="N100" i="2" a="1"/>
  <c r="N100" i="2" s="1"/>
  <c r="L342" i="2" a="1"/>
  <c r="L342" i="2" s="1"/>
  <c r="M333" i="2" a="1"/>
  <c r="M333" i="2" s="1"/>
  <c r="L234" i="2" a="1"/>
  <c r="L234" i="2" s="1"/>
  <c r="K58" i="2" a="1"/>
  <c r="K58" i="2" s="1"/>
  <c r="L229" i="2" a="1"/>
  <c r="L229" i="2" s="1"/>
  <c r="N109" i="2" a="1"/>
  <c r="N109" i="2" s="1"/>
  <c r="K44" i="2" a="1"/>
  <c r="K44" i="2" s="1"/>
  <c r="N130" i="2" a="1"/>
  <c r="N130" i="2" s="1"/>
  <c r="O377" i="2" a="1"/>
  <c r="O377" i="2" s="1"/>
  <c r="N212" i="2" a="1"/>
  <c r="N212" i="2" s="1"/>
  <c r="M272" i="2" a="1"/>
  <c r="M272" i="2" s="1"/>
  <c r="O379" i="2" a="1"/>
  <c r="O379" i="2" s="1"/>
  <c r="O272" i="2" a="1"/>
  <c r="O272" i="2" s="1"/>
  <c r="L296" i="2" a="1"/>
  <c r="L296" i="2" s="1"/>
  <c r="N170" i="2" a="1"/>
  <c r="N170" i="2" s="1"/>
  <c r="K222" i="2" a="1"/>
  <c r="K222" i="2" s="1"/>
  <c r="N299" i="2" a="1"/>
  <c r="N299" i="2" s="1"/>
  <c r="K299" i="2" a="1"/>
  <c r="K299" i="2" s="1"/>
  <c r="K379" i="2" a="1"/>
  <c r="K379" i="2" s="1"/>
  <c r="O372" i="2" a="1"/>
  <c r="O372" i="2" s="1"/>
  <c r="N296" i="2" a="1"/>
  <c r="N296" i="2" s="1"/>
  <c r="M372" i="2" a="1"/>
  <c r="M372" i="2" s="1"/>
  <c r="N372" i="2" a="1"/>
  <c r="N372" i="2" s="1"/>
  <c r="N272" i="2" a="1"/>
  <c r="N272" i="2" s="1"/>
  <c r="K272" i="2" a="1"/>
  <c r="K272" i="2" s="1"/>
  <c r="M84" i="2" a="1"/>
  <c r="M84" i="2" s="1"/>
  <c r="O299" i="2" a="1"/>
  <c r="O299" i="2" s="1"/>
  <c r="N222" i="2" a="1"/>
  <c r="N222" i="2" s="1"/>
  <c r="L377" i="2" a="1"/>
  <c r="L377" i="2" s="1"/>
  <c r="N377" i="2" a="1"/>
  <c r="N377" i="2" s="1"/>
  <c r="N365" i="2" a="1"/>
  <c r="N365" i="2" s="1"/>
  <c r="L233" i="2" a="1"/>
  <c r="L233" i="2" s="1"/>
  <c r="N284" i="2" a="1"/>
  <c r="N284" i="2" s="1"/>
  <c r="L56" i="2" a="1"/>
  <c r="L56" i="2" s="1"/>
  <c r="K56" i="2" a="1"/>
  <c r="K56" i="2" s="1"/>
  <c r="M56" i="2" a="1"/>
  <c r="M56" i="2" s="1"/>
  <c r="N381" i="2" a="1"/>
  <c r="N381" i="2" s="1"/>
  <c r="L316" i="2" a="1"/>
  <c r="L316" i="2" s="1"/>
  <c r="M269" i="2" a="1"/>
  <c r="M269" i="2" s="1"/>
  <c r="O269" i="2" a="1"/>
  <c r="O269" i="2" s="1"/>
  <c r="O201" i="2" a="1"/>
  <c r="O201" i="2" s="1"/>
  <c r="M201" i="2" a="1"/>
  <c r="M201" i="2" s="1"/>
  <c r="M265" i="2" a="1"/>
  <c r="M265" i="2" s="1"/>
  <c r="L76" i="2" a="1"/>
  <c r="L76" i="2" s="1"/>
  <c r="M76" i="2" a="1"/>
  <c r="M76" i="2" s="1"/>
  <c r="O203" i="2" a="1"/>
  <c r="O203" i="2" s="1"/>
  <c r="O56" i="2" a="1"/>
  <c r="O56" i="2" s="1"/>
  <c r="O233" i="2" a="1"/>
  <c r="O233" i="2" s="1"/>
  <c r="M109" i="2" a="1"/>
  <c r="M109" i="2" s="1"/>
  <c r="M130" i="2" a="1"/>
  <c r="M130" i="2" s="1"/>
  <c r="O87" i="2" a="1"/>
  <c r="O87" i="2" s="1"/>
  <c r="L190" i="2" a="1"/>
  <c r="L190" i="2" s="1"/>
  <c r="N41" i="2" a="1"/>
  <c r="N41" i="2" s="1"/>
  <c r="K344" i="2" a="1"/>
  <c r="K344" i="2" s="1"/>
  <c r="L64" i="2" a="1"/>
  <c r="L64" i="2" s="1"/>
  <c r="K41" i="2" a="1"/>
  <c r="K41" i="2" s="1"/>
  <c r="M270" i="2" a="1"/>
  <c r="M270" i="2" s="1"/>
  <c r="M64" i="2" a="1"/>
  <c r="M64" i="2" s="1"/>
  <c r="N344" i="2" a="1"/>
  <c r="N344" i="2" s="1"/>
  <c r="N186" i="2" a="1"/>
  <c r="N186" i="2" s="1"/>
  <c r="L36" i="2" a="1"/>
  <c r="L36" i="2" s="1"/>
  <c r="M340" i="2" a="1"/>
  <c r="M340" i="2" s="1"/>
  <c r="N220" i="2" a="1"/>
  <c r="N220" i="2" s="1"/>
  <c r="K243" i="2" a="1"/>
  <c r="K243" i="2" s="1"/>
  <c r="K84" i="2" a="1"/>
  <c r="K84" i="2" s="1"/>
  <c r="O84" i="2" a="1"/>
  <c r="O84" i="2" s="1"/>
  <c r="M229" i="2" a="1"/>
  <c r="M229" i="2" s="1"/>
  <c r="N98" i="2" a="1"/>
  <c r="N98" i="2" s="1"/>
  <c r="L109" i="2" a="1"/>
  <c r="L109" i="2" s="1"/>
  <c r="K365" i="2" a="1"/>
  <c r="K365" i="2" s="1"/>
  <c r="M233" i="2" a="1"/>
  <c r="M233" i="2" s="1"/>
  <c r="M199" i="2" a="1"/>
  <c r="M199" i="2" s="1"/>
  <c r="K186" i="2" a="1"/>
  <c r="K186" i="2" s="1"/>
  <c r="O150" i="2" a="1"/>
  <c r="O150" i="2" s="1"/>
  <c r="N58" i="2" a="1"/>
  <c r="N58" i="2" s="1"/>
  <c r="L236" i="2" a="1"/>
  <c r="L236" i="2" s="1"/>
  <c r="L292" i="2" a="1"/>
  <c r="L292" i="2" s="1"/>
  <c r="O148" i="2" a="1"/>
  <c r="O148" i="2" s="1"/>
  <c r="M271" i="2" a="1"/>
  <c r="M271" i="2" s="1"/>
  <c r="O291" i="2" a="1"/>
  <c r="O291" i="2" s="1"/>
  <c r="K76" i="2" a="1"/>
  <c r="K76" i="2" s="1"/>
  <c r="L365" i="2" a="1"/>
  <c r="L365" i="2" s="1"/>
  <c r="M98" i="2" a="1"/>
  <c r="M98" i="2" s="1"/>
  <c r="M331" i="2" a="1"/>
  <c r="M331" i="2" s="1"/>
  <c r="M257" i="2" a="1"/>
  <c r="M257" i="2" s="1"/>
  <c r="L201" i="2" a="1"/>
  <c r="L201" i="2" s="1"/>
  <c r="L284" i="2" a="1"/>
  <c r="L284" i="2" s="1"/>
  <c r="O297" i="2" a="1"/>
  <c r="O297" i="2" s="1"/>
  <c r="M87" i="2" a="1"/>
  <c r="M87" i="2" s="1"/>
  <c r="N262" i="2" a="1"/>
  <c r="N262" i="2" s="1"/>
  <c r="N36" i="2" a="1"/>
  <c r="N36" i="2" s="1"/>
  <c r="M41" i="2" a="1"/>
  <c r="M41" i="2" s="1"/>
  <c r="K269" i="2" a="1"/>
  <c r="K269" i="2" s="1"/>
  <c r="L59" i="2" a="1"/>
  <c r="L59" i="2" s="1"/>
  <c r="K246" i="2" a="1"/>
  <c r="K246" i="2" s="1"/>
  <c r="K270" i="2" a="1"/>
  <c r="K270" i="2" s="1"/>
  <c r="O231" i="2" a="1"/>
  <c r="O231" i="2" s="1"/>
  <c r="L98" i="2" a="1"/>
  <c r="L98" i="2" s="1"/>
  <c r="N255" i="2" a="1"/>
  <c r="N255" i="2" s="1"/>
  <c r="O143" i="2" a="1"/>
  <c r="O143" i="2" s="1"/>
  <c r="M368" i="2" a="1"/>
  <c r="M368" i="2" s="1"/>
  <c r="K264" i="2" a="1"/>
  <c r="K264" i="2" s="1"/>
  <c r="N264" i="2" a="1"/>
  <c r="N264" i="2" s="1"/>
  <c r="O365" i="2" a="1"/>
  <c r="O365" i="2" s="1"/>
  <c r="O368" i="2" a="1"/>
  <c r="O368" i="2" s="1"/>
  <c r="L381" i="2" a="1"/>
  <c r="L381" i="2" s="1"/>
  <c r="L235" i="2" a="1"/>
  <c r="L235" i="2" s="1"/>
  <c r="O86" i="2" a="1"/>
  <c r="O86" i="2" s="1"/>
  <c r="O60" i="2" a="1"/>
  <c r="O60" i="2" s="1"/>
  <c r="O132" i="2" a="1"/>
  <c r="O132" i="2" s="1"/>
  <c r="M131" i="2" a="1"/>
  <c r="M131" i="2" s="1"/>
  <c r="N241" i="2" a="1"/>
  <c r="N241" i="2" s="1"/>
  <c r="M285" i="2" a="1"/>
  <c r="M285" i="2" s="1"/>
  <c r="K170" i="2" a="1"/>
  <c r="K170" i="2" s="1"/>
  <c r="L131" i="2" a="1"/>
  <c r="L131" i="2" s="1"/>
  <c r="L285" i="2" a="1"/>
  <c r="L285" i="2" s="1"/>
  <c r="K229" i="2" a="1"/>
  <c r="K229" i="2" s="1"/>
  <c r="O131" i="2" a="1"/>
  <c r="O131" i="2" s="1"/>
  <c r="O241" i="2" a="1"/>
  <c r="O241" i="2" s="1"/>
  <c r="L181" i="2" a="1"/>
  <c r="L181" i="2" s="1"/>
  <c r="K235" i="2" a="1"/>
  <c r="K235" i="2" s="1"/>
  <c r="O229" i="2" a="1"/>
  <c r="O229" i="2" s="1"/>
  <c r="K60" i="2" a="1"/>
  <c r="K60" i="2" s="1"/>
  <c r="K150" i="2" a="1"/>
  <c r="K150" i="2" s="1"/>
  <c r="N150" i="2" a="1"/>
  <c r="N150" i="2" s="1"/>
  <c r="M170" i="2" a="1"/>
  <c r="M170" i="2" s="1"/>
  <c r="K131" i="2" a="1"/>
  <c r="K131" i="2" s="1"/>
  <c r="K117" i="2" a="1"/>
  <c r="K117" i="2" s="1"/>
  <c r="K241" i="2" a="1"/>
  <c r="K241" i="2" s="1"/>
  <c r="N360" i="2" a="1"/>
  <c r="N360" i="2" s="1"/>
  <c r="N132" i="2" a="1"/>
  <c r="N132" i="2" s="1"/>
  <c r="O117" i="2" a="1"/>
  <c r="O117" i="2" s="1"/>
  <c r="O285" i="2" a="1"/>
  <c r="O285" i="2" s="1"/>
  <c r="K364" i="2" a="1"/>
  <c r="K364" i="2" s="1"/>
  <c r="N371" i="2" a="1"/>
  <c r="N371" i="2" s="1"/>
  <c r="K331" i="2" a="1"/>
  <c r="K331" i="2" s="1"/>
  <c r="O172" i="2" a="1"/>
  <c r="O172" i="2" s="1"/>
  <c r="L86" i="2" a="1"/>
  <c r="L86" i="2" s="1"/>
  <c r="M132" i="2" a="1"/>
  <c r="M132" i="2" s="1"/>
  <c r="K59" i="2" a="1"/>
  <c r="K59" i="2" s="1"/>
  <c r="M86" i="2" a="1"/>
  <c r="M86" i="2" s="1"/>
  <c r="N181" i="2" a="1"/>
  <c r="N181" i="2" s="1"/>
  <c r="M62" i="2" a="1"/>
  <c r="M62" i="2" s="1"/>
  <c r="O170" i="2" a="1"/>
  <c r="O170" i="2" s="1"/>
  <c r="N59" i="2" a="1"/>
  <c r="N59" i="2" s="1"/>
  <c r="L321" i="2" a="1"/>
  <c r="L321" i="2" s="1"/>
  <c r="K255" i="2" a="1"/>
  <c r="K255" i="2" s="1"/>
  <c r="K147" i="2" a="1"/>
  <c r="K147" i="2" s="1"/>
  <c r="L63" i="2" a="1"/>
  <c r="L63" i="2" s="1"/>
  <c r="O330" i="2" a="1"/>
  <c r="O330" i="2" s="1"/>
  <c r="O81" i="2" a="1"/>
  <c r="O81" i="2" s="1"/>
  <c r="L270" i="2" a="1"/>
  <c r="L270" i="2" s="1"/>
  <c r="N288" i="2" a="1"/>
  <c r="N288" i="2" s="1"/>
  <c r="O199" i="2" a="1"/>
  <c r="O199" i="2" s="1"/>
  <c r="K190" i="2" a="1"/>
  <c r="K190" i="2" s="1"/>
  <c r="M141" i="2" a="1"/>
  <c r="M141" i="2" s="1"/>
  <c r="L41" i="2" a="1"/>
  <c r="L41" i="2" s="1"/>
  <c r="O237" i="2" a="1"/>
  <c r="O237" i="2" s="1"/>
  <c r="K233" i="2" a="1"/>
  <c r="K233" i="2" s="1"/>
  <c r="K340" i="2" a="1"/>
  <c r="K340" i="2" s="1"/>
  <c r="L217" i="2" a="1"/>
  <c r="L217" i="2" s="1"/>
  <c r="N246" i="2" a="1"/>
  <c r="N246" i="2" s="1"/>
  <c r="M159" i="2" a="1"/>
  <c r="M159" i="2" s="1"/>
  <c r="L112" i="2" a="1"/>
  <c r="L112" i="2" s="1"/>
  <c r="K39" i="2" a="1"/>
  <c r="K39" i="2" s="1"/>
  <c r="K359" i="2" a="1"/>
  <c r="K359" i="2" s="1"/>
  <c r="O267" i="2" a="1"/>
  <c r="O267" i="2" s="1"/>
  <c r="K336" i="2" a="1"/>
  <c r="K336" i="2" s="1"/>
  <c r="O213" i="2" a="1"/>
  <c r="O213" i="2" s="1"/>
  <c r="M330" i="2" a="1"/>
  <c r="M330" i="2" s="1"/>
  <c r="L195" i="2" a="1"/>
  <c r="L195" i="2" s="1"/>
  <c r="L53" i="2" a="1"/>
  <c r="L53" i="2" s="1"/>
  <c r="K326" i="2" a="1"/>
  <c r="K326" i="2" s="1"/>
  <c r="O255" i="2" a="1"/>
  <c r="O255" i="2" s="1"/>
  <c r="K36" i="2" a="1"/>
  <c r="K36" i="2" s="1"/>
  <c r="N48" i="2" a="1"/>
  <c r="N48" i="2" s="1"/>
  <c r="N243" i="2" a="1"/>
  <c r="N243" i="2" s="1"/>
  <c r="N60" i="2" a="1"/>
  <c r="N60" i="2" s="1"/>
  <c r="O67" i="2" a="1"/>
  <c r="O67" i="2" s="1"/>
  <c r="K289" i="2" a="1"/>
  <c r="K289" i="2" s="1"/>
  <c r="N236" i="2" a="1"/>
  <c r="N236" i="2" s="1"/>
  <c r="O121" i="2" a="1"/>
  <c r="O121" i="2" s="1"/>
  <c r="K191" i="2" a="1"/>
  <c r="K191" i="2" s="1"/>
  <c r="M381" i="2" a="1"/>
  <c r="M381" i="2" s="1"/>
  <c r="N87" i="2" a="1"/>
  <c r="N87" i="2" s="1"/>
  <c r="K79" i="2" a="1"/>
  <c r="K79" i="2" s="1"/>
  <c r="L148" i="2" a="1"/>
  <c r="L148" i="2" s="1"/>
  <c r="K378" i="2" a="1"/>
  <c r="K378" i="2" s="1"/>
  <c r="L283" i="2" a="1"/>
  <c r="L283" i="2" s="1"/>
  <c r="K112" i="2" a="1"/>
  <c r="K112" i="2" s="1"/>
  <c r="M24" i="2" a="1"/>
  <c r="M24" i="2" s="1"/>
  <c r="L171" i="2" a="1"/>
  <c r="L171" i="2" s="1"/>
  <c r="O171" i="2" a="1"/>
  <c r="O171" i="2" s="1"/>
  <c r="K24" i="2" a="1"/>
  <c r="K24" i="2" s="1"/>
  <c r="K171" i="2" a="1"/>
  <c r="K171" i="2" s="1"/>
  <c r="N319" i="2" a="1"/>
  <c r="N319" i="2" s="1"/>
  <c r="L121" i="2" a="1"/>
  <c r="L121" i="2" s="1"/>
  <c r="N321" i="2" a="1"/>
  <c r="N321" i="2" s="1"/>
  <c r="N114" i="2" a="1"/>
  <c r="N114" i="2" s="1"/>
  <c r="K116" i="2" a="1"/>
  <c r="K116" i="2" s="1"/>
  <c r="N289" i="2" a="1"/>
  <c r="N289" i="2" s="1"/>
  <c r="N81" i="2" a="1"/>
  <c r="N81" i="2" s="1"/>
  <c r="N213" i="2" a="1"/>
  <c r="N213" i="2" s="1"/>
  <c r="L37" i="2" a="1"/>
  <c r="L37" i="2" s="1"/>
  <c r="K146" i="2" a="1"/>
  <c r="K146" i="2" s="1"/>
  <c r="N359" i="2" a="1"/>
  <c r="N359" i="2" s="1"/>
  <c r="M183" i="2" a="1"/>
  <c r="M183" i="2" s="1"/>
  <c r="K199" i="2" a="1"/>
  <c r="K199" i="2" s="1"/>
  <c r="K134" i="2" a="1"/>
  <c r="K134" i="2" s="1"/>
  <c r="L255" i="2" a="1"/>
  <c r="L255" i="2" s="1"/>
  <c r="L24" i="2" a="1"/>
  <c r="L24" i="2" s="1"/>
  <c r="N257" i="2" a="1"/>
  <c r="N257" i="2" s="1"/>
  <c r="L94" i="2" a="1"/>
  <c r="L94" i="2" s="1"/>
  <c r="K273" i="2" a="1"/>
  <c r="K273" i="2" s="1"/>
  <c r="L232" i="2" a="1"/>
  <c r="L232" i="2" s="1"/>
  <c r="N216" i="2" a="1"/>
  <c r="N216" i="2" s="1"/>
  <c r="L141" i="2" a="1"/>
  <c r="L141" i="2" s="1"/>
  <c r="M242" i="2" a="1"/>
  <c r="M242" i="2" s="1"/>
  <c r="O36" i="2" a="1"/>
  <c r="O36" i="2" s="1"/>
  <c r="K297" i="2" a="1"/>
  <c r="K297" i="2" s="1"/>
  <c r="M81" i="2" a="1"/>
  <c r="M81" i="2" s="1"/>
  <c r="N374" i="2" a="1"/>
  <c r="N374" i="2" s="1"/>
  <c r="L44" i="2" a="1"/>
  <c r="L44" i="2" s="1"/>
  <c r="K316" i="2" a="1"/>
  <c r="K316" i="2" s="1"/>
  <c r="L130" i="2" a="1"/>
  <c r="L130" i="2" s="1"/>
  <c r="M79" i="2" a="1"/>
  <c r="M79" i="2" s="1"/>
  <c r="N143" i="2" a="1"/>
  <c r="N143" i="2" s="1"/>
  <c r="L273" i="2" a="1"/>
  <c r="L273" i="2" s="1"/>
  <c r="L202" i="2" a="1"/>
  <c r="L202" i="2" s="1"/>
  <c r="O284" i="2" a="1"/>
  <c r="O284" i="2" s="1"/>
  <c r="L159" i="2" a="1"/>
  <c r="L159" i="2" s="1"/>
  <c r="M246" i="2" a="1"/>
  <c r="M246" i="2" s="1"/>
  <c r="K148" i="2" a="1"/>
  <c r="K148" i="2" s="1"/>
  <c r="N283" i="2" a="1"/>
  <c r="N283" i="2" s="1"/>
  <c r="K341" i="2" a="1"/>
  <c r="K341" i="2" s="1"/>
  <c r="K50" i="2" a="1"/>
  <c r="K50" i="2" s="1"/>
  <c r="N112" i="2" a="1"/>
  <c r="N112" i="2" s="1"/>
  <c r="K368" i="2" a="1"/>
  <c r="K368" i="2" s="1"/>
  <c r="N24" i="2" a="1"/>
  <c r="N24" i="2" s="1"/>
  <c r="N76" i="2" a="1"/>
  <c r="N76" i="2" s="1"/>
  <c r="K101" i="2" a="1"/>
  <c r="K101" i="2" s="1"/>
  <c r="L243" i="2" a="1"/>
  <c r="L243" i="2" s="1"/>
  <c r="N171" i="2" a="1"/>
  <c r="N171" i="2" s="1"/>
  <c r="O243" i="2" a="1"/>
  <c r="O243" i="2" s="1"/>
  <c r="O141" i="2" a="1"/>
  <c r="O141" i="2" s="1"/>
  <c r="O264" i="2" a="1"/>
  <c r="O264" i="2" s="1"/>
  <c r="K203" i="2" a="1"/>
  <c r="K203" i="2" s="1"/>
  <c r="M152" i="2" a="1"/>
  <c r="M152" i="2" s="1"/>
  <c r="O381" i="2" a="1"/>
  <c r="O381" i="2" s="1"/>
  <c r="L146" i="2" a="1"/>
  <c r="L146" i="2" s="1"/>
  <c r="L48" i="2" a="1"/>
  <c r="L48" i="2" s="1"/>
  <c r="K237" i="2" a="1"/>
  <c r="K237" i="2" s="1"/>
  <c r="K132" i="2" a="1"/>
  <c r="K132" i="2" s="1"/>
  <c r="M232" i="2" a="1"/>
  <c r="M232" i="2" s="1"/>
  <c r="O329" i="2" a="1"/>
  <c r="O329" i="2" s="1"/>
  <c r="O344" i="2" a="1"/>
  <c r="O344" i="2" s="1"/>
  <c r="K372" i="2" a="1"/>
  <c r="K372" i="2" s="1"/>
  <c r="M319" i="2" a="1"/>
  <c r="M319" i="2" s="1"/>
  <c r="M60" i="2" a="1"/>
  <c r="M60" i="2" s="1"/>
  <c r="L364" i="2" a="1"/>
  <c r="L364" i="2" s="1"/>
  <c r="N364" i="2" a="1"/>
  <c r="N364" i="2" s="1"/>
  <c r="L150" i="2" a="1"/>
  <c r="L150" i="2" s="1"/>
  <c r="N44" i="2" a="1"/>
  <c r="N44" i="2" s="1"/>
  <c r="O44" i="2" a="1"/>
  <c r="O44" i="2" s="1"/>
  <c r="M100" i="2" a="1"/>
  <c r="M100" i="2" s="1"/>
  <c r="K208" i="2" a="1"/>
  <c r="K208" i="2" s="1"/>
  <c r="L117" i="2" a="1"/>
  <c r="L117" i="2" s="1"/>
  <c r="O359" i="2" a="1"/>
  <c r="O359" i="2" s="1"/>
  <c r="M364" i="2" a="1"/>
  <c r="M364" i="2" s="1"/>
  <c r="N117" i="2" a="1"/>
  <c r="N117" i="2" s="1"/>
  <c r="K261" i="2" a="1"/>
  <c r="K261" i="2" s="1"/>
  <c r="L213" i="2" a="1"/>
  <c r="L213" i="2" s="1"/>
  <c r="L280" i="2" a="1"/>
  <c r="L280" i="2" s="1"/>
  <c r="N329" i="2" a="1"/>
  <c r="N329" i="2" s="1"/>
  <c r="K285" i="2" a="1"/>
  <c r="K285" i="2" s="1"/>
  <c r="N79" i="2" a="1"/>
  <c r="N79" i="2" s="1"/>
  <c r="K217" i="2" a="1"/>
  <c r="K217" i="2" s="1"/>
  <c r="M313" i="2" a="1"/>
  <c r="M313" i="2" s="1"/>
  <c r="M148" i="2" a="1"/>
  <c r="M148" i="2" s="1"/>
  <c r="K96" i="2" a="1"/>
  <c r="K96" i="2" s="1"/>
  <c r="O181" i="2" a="1"/>
  <c r="O181" i="2" s="1"/>
  <c r="O360" i="2" a="1"/>
  <c r="O360" i="2" s="1"/>
  <c r="L313" i="2" a="1"/>
  <c r="L313" i="2" s="1"/>
  <c r="K321" i="2" a="1"/>
  <c r="K321" i="2" s="1"/>
  <c r="O308" i="2" a="1"/>
  <c r="O308" i="2" s="1"/>
  <c r="N265" i="2" a="1"/>
  <c r="N265" i="2" s="1"/>
  <c r="M114" i="2" a="1"/>
  <c r="M114" i="2" s="1"/>
  <c r="M291" i="2" a="1"/>
  <c r="M291" i="2" s="1"/>
  <c r="M57" i="2" a="1"/>
  <c r="M57" i="2" s="1"/>
  <c r="L187" i="2" a="1"/>
  <c r="L187" i="2" s="1"/>
  <c r="L39" i="2" a="1"/>
  <c r="L39" i="2" s="1"/>
  <c r="L289" i="2" a="1"/>
  <c r="L289" i="2" s="1"/>
  <c r="M235" i="2" a="1"/>
  <c r="M235" i="2" s="1"/>
  <c r="O98" i="2" a="1"/>
  <c r="O98" i="2" s="1"/>
  <c r="M67" i="2" a="1"/>
  <c r="M67" i="2" s="1"/>
  <c r="L359" i="2" a="1"/>
  <c r="L359" i="2" s="1"/>
  <c r="M116" i="2" a="1"/>
  <c r="M116" i="2" s="1"/>
  <c r="K330" i="2" a="1"/>
  <c r="K330" i="2" s="1"/>
  <c r="L197" i="2" a="1"/>
  <c r="L197" i="2" s="1"/>
  <c r="O197" i="2" a="1"/>
  <c r="O197" i="2" s="1"/>
  <c r="N266" i="2" a="1"/>
  <c r="N266" i="2" s="1"/>
  <c r="M378" i="2" a="1"/>
  <c r="M378" i="2" s="1"/>
  <c r="L55" i="2" a="1"/>
  <c r="L55" i="2" s="1"/>
  <c r="K260" i="2" a="1"/>
  <c r="K260" i="2" s="1"/>
  <c r="M94" i="2" a="1"/>
  <c r="M94" i="2" s="1"/>
  <c r="N173" i="2" a="1"/>
  <c r="N173" i="2" s="1"/>
  <c r="N37" i="2" a="1"/>
  <c r="N37" i="2" s="1"/>
  <c r="K370" i="2" a="1"/>
  <c r="K370" i="2" s="1"/>
  <c r="O152" i="2" a="1"/>
  <c r="O152" i="2" s="1"/>
  <c r="O370" i="2" a="1"/>
  <c r="O370" i="2" s="1"/>
  <c r="O101" i="2" a="1"/>
  <c r="O101" i="2" s="1"/>
  <c r="N99" i="2" a="1"/>
  <c r="N99" i="2" s="1"/>
  <c r="M175" i="2" a="1"/>
  <c r="M175" i="2" s="1"/>
  <c r="M55" i="2" a="1"/>
  <c r="M55" i="2" s="1"/>
  <c r="N214" i="2" a="1"/>
  <c r="N214" i="2" s="1"/>
  <c r="L340" i="2" a="1"/>
  <c r="L340" i="2" s="1"/>
  <c r="N217" i="2" a="1"/>
  <c r="N217" i="2" s="1"/>
  <c r="M384" i="2" a="1"/>
  <c r="M384" i="2" s="1"/>
  <c r="N313" i="2" a="1"/>
  <c r="N313" i="2" s="1"/>
  <c r="N351" i="2" a="1"/>
  <c r="N351" i="2" s="1"/>
  <c r="M37" i="2" a="1"/>
  <c r="M37" i="2" s="1"/>
  <c r="N203" i="2" a="1"/>
  <c r="N203" i="2" s="1"/>
  <c r="O173" i="2" a="1"/>
  <c r="O173" i="2" s="1"/>
  <c r="M66" i="2" a="1"/>
  <c r="M66" i="2" s="1"/>
  <c r="O257" i="2" a="1"/>
  <c r="O257" i="2" s="1"/>
  <c r="M203" i="2" a="1"/>
  <c r="M203" i="2" s="1"/>
  <c r="L99" i="2" a="1"/>
  <c r="L99" i="2" s="1"/>
  <c r="O66" i="2" a="1"/>
  <c r="O66" i="2" s="1"/>
  <c r="O48" i="2" a="1"/>
  <c r="O48" i="2" s="1"/>
  <c r="O314" i="2" a="1"/>
  <c r="O314" i="2" s="1"/>
  <c r="M226" i="2" a="1"/>
  <c r="M226" i="2" s="1"/>
  <c r="K236" i="2" a="1"/>
  <c r="K236" i="2" s="1"/>
  <c r="K268" i="2" a="1"/>
  <c r="K268" i="2" s="1"/>
  <c r="M297" i="2" a="1"/>
  <c r="M297" i="2" s="1"/>
  <c r="N340" i="2" a="1"/>
  <c r="N340" i="2" s="1"/>
  <c r="L319" i="2" a="1"/>
  <c r="L319" i="2" s="1"/>
  <c r="O342" i="2" a="1"/>
  <c r="O342" i="2" s="1"/>
  <c r="J342" i="2" s="1"/>
  <c r="N245" i="2" a="1"/>
  <c r="N245" i="2" s="1"/>
  <c r="K351" i="2" a="1"/>
  <c r="K351" i="2" s="1"/>
  <c r="L43" i="2" a="1"/>
  <c r="L43" i="2" s="1"/>
  <c r="L101" i="2" a="1"/>
  <c r="L101" i="2" s="1"/>
  <c r="M373" i="2" a="1"/>
  <c r="M373" i="2" s="1"/>
  <c r="N152" i="2" a="1"/>
  <c r="N152" i="2" s="1"/>
  <c r="K66" i="2" a="1"/>
  <c r="K66" i="2" s="1"/>
  <c r="L152" i="2" a="1"/>
  <c r="L152" i="2" s="1"/>
  <c r="N370" i="2" a="1"/>
  <c r="N370" i="2" s="1"/>
  <c r="L314" i="2" a="1"/>
  <c r="L314" i="2" s="1"/>
  <c r="O214" i="2" a="1"/>
  <c r="O214" i="2" s="1"/>
  <c r="N67" i="2" a="1"/>
  <c r="N67" i="2" s="1"/>
  <c r="M316" i="2" a="1"/>
  <c r="M316" i="2" s="1"/>
  <c r="M121" i="2" a="1"/>
  <c r="M121" i="2" s="1"/>
  <c r="N297" i="2" a="1"/>
  <c r="N297" i="2" s="1"/>
  <c r="M267" i="2" a="1"/>
  <c r="M267" i="2" s="1"/>
  <c r="N159" i="2" a="1"/>
  <c r="N159" i="2" s="1"/>
  <c r="O246" i="2" a="1"/>
  <c r="O246" i="2" s="1"/>
  <c r="O271" i="2" a="1"/>
  <c r="O271" i="2" s="1"/>
  <c r="N378" i="2" a="1"/>
  <c r="N378" i="2" s="1"/>
  <c r="M187" i="2" a="1"/>
  <c r="M187" i="2" s="1"/>
  <c r="L343" i="2" a="1"/>
  <c r="L343" i="2" s="1"/>
  <c r="M197" i="2" a="1"/>
  <c r="M197" i="2" s="1"/>
  <c r="K244" i="2" a="1"/>
  <c r="K244" i="2" s="1"/>
  <c r="O341" i="2" a="1"/>
  <c r="O341" i="2" s="1"/>
  <c r="K173" i="2" a="1"/>
  <c r="K173" i="2" s="1"/>
  <c r="N268" i="2" a="1"/>
  <c r="N268" i="2" s="1"/>
  <c r="N242" i="2" a="1"/>
  <c r="N242" i="2" s="1"/>
  <c r="O326" i="2" a="1"/>
  <c r="O326" i="2" s="1"/>
  <c r="N330" i="2" a="1"/>
  <c r="N330" i="2" s="1"/>
  <c r="M344" i="2" a="1"/>
  <c r="M344" i="2" s="1"/>
  <c r="N273" i="2" a="1"/>
  <c r="N273" i="2" s="1"/>
  <c r="N121" i="2" a="1"/>
  <c r="N121" i="2" s="1"/>
  <c r="M374" i="2" a="1"/>
  <c r="M374" i="2" s="1"/>
  <c r="O374" i="2" a="1"/>
  <c r="O374" i="2" s="1"/>
  <c r="M236" i="2" a="1"/>
  <c r="M236" i="2" s="1"/>
  <c r="N183" i="2" a="1"/>
  <c r="N183" i="2" s="1"/>
  <c r="L143" i="2" a="1"/>
  <c r="L143" i="2" s="1"/>
  <c r="O343" i="2" a="1"/>
  <c r="O343" i="2" s="1"/>
  <c r="K159" i="2" a="1"/>
  <c r="K159" i="2" s="1"/>
  <c r="M309" i="2" a="1"/>
  <c r="M309" i="2" s="1"/>
  <c r="O190" i="2" a="1"/>
  <c r="O190" i="2" s="1"/>
  <c r="L96" i="2" a="1"/>
  <c r="L96" i="2" s="1"/>
  <c r="L244" i="2" a="1"/>
  <c r="L244" i="2" s="1"/>
  <c r="L87" i="2" a="1"/>
  <c r="L87" i="2" s="1"/>
  <c r="L271" i="2" a="1"/>
  <c r="L271" i="2" s="1"/>
  <c r="K371" i="2" a="1"/>
  <c r="K371" i="2" s="1"/>
  <c r="M47" i="2" a="1"/>
  <c r="M47" i="2" s="1"/>
  <c r="N331" i="2" a="1"/>
  <c r="N331" i="2" s="1"/>
  <c r="O378" i="2" a="1"/>
  <c r="O378" i="2" s="1"/>
  <c r="O212" i="2" a="1"/>
  <c r="O212" i="2" s="1"/>
  <c r="K172" i="2" a="1"/>
  <c r="K172" i="2" s="1"/>
  <c r="O43" i="2" a="1"/>
  <c r="O43" i="2" s="1"/>
  <c r="K94" i="2" a="1"/>
  <c r="K94" i="2" s="1"/>
  <c r="K37" i="2" a="1"/>
  <c r="K37" i="2" s="1"/>
  <c r="L173" i="2" a="1"/>
  <c r="L173" i="2" s="1"/>
  <c r="O270" i="2" a="1"/>
  <c r="O270" i="2" s="1"/>
  <c r="M264" i="2" a="1"/>
  <c r="M264" i="2" s="1"/>
  <c r="O94" i="2" a="1"/>
  <c r="O94" i="2" s="1"/>
  <c r="K48" i="2" a="1"/>
  <c r="K48" i="2" s="1"/>
  <c r="O319" i="2" a="1"/>
  <c r="O319" i="2" s="1"/>
  <c r="M237" i="2" a="1"/>
  <c r="M237" i="2" s="1"/>
  <c r="O268" i="2" a="1"/>
  <c r="O268" i="2" s="1"/>
  <c r="N101" i="2" a="1"/>
  <c r="N101" i="2" s="1"/>
  <c r="L242" i="2" a="1"/>
  <c r="L242" i="2" s="1"/>
  <c r="N146" i="2" a="1"/>
  <c r="N146" i="2" s="1"/>
  <c r="L257" i="2" a="1"/>
  <c r="L257" i="2" s="1"/>
  <c r="O116" i="2" a="1"/>
  <c r="O116" i="2" s="1"/>
  <c r="M186" i="2" a="1"/>
  <c r="M186" i="2" s="1"/>
  <c r="K86" i="2" a="1"/>
  <c r="K86" i="2" s="1"/>
  <c r="L82" i="2" a="1"/>
  <c r="L82" i="2" s="1"/>
  <c r="M289" i="2" a="1"/>
  <c r="M289" i="2" s="1"/>
  <c r="L208" i="2" a="1"/>
  <c r="L208" i="2" s="1"/>
  <c r="L374" i="2" a="1"/>
  <c r="L374" i="2" s="1"/>
  <c r="O130" i="2" a="1"/>
  <c r="O130" i="2" s="1"/>
  <c r="O186" i="2" a="1"/>
  <c r="O186" i="2" s="1"/>
  <c r="N316" i="2" a="1"/>
  <c r="N316" i="2" s="1"/>
  <c r="L67" i="2" a="1"/>
  <c r="L67" i="2" s="1"/>
  <c r="K202" i="2" a="1"/>
  <c r="K202" i="2" s="1"/>
  <c r="K143" i="2" a="1"/>
  <c r="K143" i="2" s="1"/>
  <c r="K329" i="2" a="1"/>
  <c r="K329" i="2" s="1"/>
  <c r="L62" i="2" a="1"/>
  <c r="L62" i="2" s="1"/>
  <c r="K109" i="2" a="1"/>
  <c r="K109" i="2" s="1"/>
  <c r="N62" i="2" a="1"/>
  <c r="N62" i="2" s="1"/>
  <c r="N190" i="2" a="1"/>
  <c r="N190" i="2" s="1"/>
  <c r="L241" i="2" a="1"/>
  <c r="L241" i="2" s="1"/>
  <c r="N343" i="2" a="1"/>
  <c r="N343" i="2" s="1"/>
  <c r="L199" i="2" a="1"/>
  <c r="L199" i="2" s="1"/>
  <c r="M212" i="2" a="1"/>
  <c r="M212" i="2" s="1"/>
  <c r="N201" i="2" a="1"/>
  <c r="N201" i="2" s="1"/>
  <c r="L282" i="2" a="1"/>
  <c r="L282" i="2" s="1"/>
  <c r="M217" i="2" a="1"/>
  <c r="M217" i="2" s="1"/>
  <c r="O313" i="2" a="1"/>
  <c r="O313" i="2" s="1"/>
  <c r="N308" i="2" a="1"/>
  <c r="N308" i="2" s="1"/>
  <c r="K220" i="2" a="1"/>
  <c r="K220" i="2" s="1"/>
  <c r="L360" i="2" a="1"/>
  <c r="L360" i="2" s="1"/>
  <c r="K360" i="2" a="1"/>
  <c r="K360" i="2" s="1"/>
  <c r="K181" i="2" a="1"/>
  <c r="K181" i="2" s="1"/>
  <c r="L310" i="2" a="1"/>
  <c r="L310" i="2" s="1"/>
  <c r="M69" i="2" a="1"/>
  <c r="M69" i="2" s="1"/>
  <c r="O265" i="2" a="1"/>
  <c r="O265" i="2" s="1"/>
  <c r="L351" i="2" a="1"/>
  <c r="L351" i="2" s="1"/>
  <c r="O244" i="2" a="1"/>
  <c r="O244" i="2" s="1"/>
  <c r="L331" i="2" a="1"/>
  <c r="L331" i="2" s="1"/>
  <c r="N271" i="2" a="1"/>
  <c r="N271" i="2" s="1"/>
  <c r="N172" i="2" a="1"/>
  <c r="N172" i="2" s="1"/>
  <c r="K43" i="2" a="1"/>
  <c r="K43" i="2" s="1"/>
  <c r="N77" i="2" a="1"/>
  <c r="N77" i="2" s="1"/>
  <c r="K188" i="2" a="1"/>
  <c r="K188" i="2" s="1"/>
  <c r="K81" i="2" a="1"/>
  <c r="K81" i="2" s="1"/>
  <c r="O39" i="2" a="1"/>
  <c r="O39" i="2" s="1"/>
  <c r="N115" i="2" a="1"/>
  <c r="N115" i="2" s="1"/>
  <c r="O288" i="2" a="1"/>
  <c r="O288" i="2" s="1"/>
  <c r="L288" i="2" a="1"/>
  <c r="L288" i="2" s="1"/>
  <c r="L237" i="2" a="1"/>
  <c r="L237" i="2" s="1"/>
  <c r="O242" i="2" a="1"/>
  <c r="O242" i="2" s="1"/>
  <c r="L267" i="2" a="1"/>
  <c r="L267" i="2" s="1"/>
  <c r="O119" i="2" a="1"/>
  <c r="O119" i="2" s="1"/>
  <c r="L46" i="2" a="1"/>
  <c r="L46" i="2" s="1"/>
  <c r="L269" i="2" a="1"/>
  <c r="L269" i="2" s="1"/>
  <c r="O154" i="2" a="1"/>
  <c r="O154" i="2" s="1"/>
  <c r="L356" i="2" a="1"/>
  <c r="L356" i="2" s="1"/>
  <c r="K138" i="2" a="1"/>
  <c r="K138" i="2" s="1"/>
  <c r="O245" i="2" a="1"/>
  <c r="O245" i="2" s="1"/>
  <c r="O69" i="2" a="1"/>
  <c r="O69" i="2" s="1"/>
  <c r="O50" i="2" a="1"/>
  <c r="O50" i="2" s="1"/>
  <c r="M336" i="2" a="1"/>
  <c r="M336" i="2" s="1"/>
  <c r="O33" i="2" a="1"/>
  <c r="O33" i="2" s="1"/>
  <c r="N69" i="2" a="1"/>
  <c r="N69" i="2" s="1"/>
  <c r="M144" i="2" a="1"/>
  <c r="M144" i="2" s="1"/>
  <c r="N55" i="2" a="1"/>
  <c r="N55" i="2" s="1"/>
  <c r="K77" i="2" a="1"/>
  <c r="K77" i="2" s="1"/>
  <c r="L323" i="2" a="1"/>
  <c r="L323" i="2" s="1"/>
  <c r="L384" i="2" a="1"/>
  <c r="L384" i="2" s="1"/>
  <c r="N366" i="2" a="1"/>
  <c r="N366" i="2" s="1"/>
  <c r="O155" i="2" a="1"/>
  <c r="O155" i="2" s="1"/>
  <c r="K256" i="2" a="1"/>
  <c r="K256" i="2" s="1"/>
  <c r="N352" i="2" a="1"/>
  <c r="N352" i="2" s="1"/>
  <c r="O232" i="2" a="1"/>
  <c r="O232" i="2" s="1"/>
  <c r="L115" i="2" a="1"/>
  <c r="L115" i="2" s="1"/>
  <c r="N39" i="2" a="1"/>
  <c r="N39" i="2" s="1"/>
  <c r="N208" i="2" a="1"/>
  <c r="N208" i="2" s="1"/>
  <c r="M268" i="2" a="1"/>
  <c r="M268" i="2" s="1"/>
  <c r="K115" i="2" a="1"/>
  <c r="K115" i="2" s="1"/>
  <c r="O235" i="2" a="1"/>
  <c r="O235" i="2" s="1"/>
  <c r="M326" i="2" a="1"/>
  <c r="M326" i="2" s="1"/>
  <c r="N119" i="2" a="1"/>
  <c r="N119" i="2" s="1"/>
  <c r="O62" i="2" a="1"/>
  <c r="O62" i="2" s="1"/>
  <c r="M273" i="2" a="1"/>
  <c r="M273" i="2" s="1"/>
  <c r="N202" i="2" a="1"/>
  <c r="N202" i="2" s="1"/>
  <c r="O183" i="2" a="1"/>
  <c r="O183" i="2" s="1"/>
  <c r="K154" i="2" a="1"/>
  <c r="K154" i="2" s="1"/>
  <c r="N282" i="2" a="1"/>
  <c r="N282" i="2" s="1"/>
  <c r="L183" i="2" a="1"/>
  <c r="L183" i="2" s="1"/>
  <c r="M220" i="2" a="1"/>
  <c r="M220" i="2" s="1"/>
  <c r="N356" i="2" a="1"/>
  <c r="N356" i="2" s="1"/>
  <c r="N197" i="2" a="1"/>
  <c r="N197" i="2" s="1"/>
  <c r="K373" i="2" a="1"/>
  <c r="K373" i="2" s="1"/>
  <c r="K163" i="2" a="1"/>
  <c r="K163" i="2" s="1"/>
  <c r="N341" i="2" a="1"/>
  <c r="N341" i="2" s="1"/>
  <c r="N244" i="2" a="1"/>
  <c r="N244" i="2" s="1"/>
  <c r="N267" i="2" a="1"/>
  <c r="N267" i="2" s="1"/>
  <c r="N373" i="2" a="1"/>
  <c r="N373" i="2" s="1"/>
  <c r="O187" i="2" a="1"/>
  <c r="O187" i="2" s="1"/>
  <c r="M260" i="2" a="1"/>
  <c r="M260" i="2" s="1"/>
  <c r="M77" i="2" a="1"/>
  <c r="M77" i="2" s="1"/>
  <c r="K298" i="2" a="1"/>
  <c r="K298" i="2" s="1"/>
  <c r="L302" i="2" a="1"/>
  <c r="L302" i="2" s="1"/>
  <c r="L166" i="2" a="1"/>
  <c r="L166" i="2" s="1"/>
  <c r="N240" i="2" a="1"/>
  <c r="N240" i="2" s="1"/>
  <c r="K198" i="2" a="1"/>
  <c r="K198" i="2" s="1"/>
  <c r="N368" i="2" a="1"/>
  <c r="N368" i="2" s="1"/>
  <c r="M288" i="2" a="1"/>
  <c r="M288" i="2" s="1"/>
  <c r="L188" i="2" a="1"/>
  <c r="L188" i="2" s="1"/>
  <c r="M163" i="2" a="1"/>
  <c r="M163" i="2" s="1"/>
  <c r="O384" i="2" a="1"/>
  <c r="O384" i="2" s="1"/>
  <c r="M366" i="2" a="1"/>
  <c r="M366" i="2" s="1"/>
  <c r="N50" i="2" a="1"/>
  <c r="N50" i="2" s="1"/>
  <c r="L144" i="2" a="1"/>
  <c r="L144" i="2" s="1"/>
  <c r="K144" i="2" a="1"/>
  <c r="K144" i="2" s="1"/>
  <c r="K114" i="2" a="1"/>
  <c r="K114" i="2" s="1"/>
  <c r="M138" i="2" a="1"/>
  <c r="M138" i="2" s="1"/>
  <c r="O373" i="2" a="1"/>
  <c r="O373" i="2" s="1"/>
  <c r="K281" i="2" a="1"/>
  <c r="K281" i="2" s="1"/>
  <c r="N164" i="2" a="1"/>
  <c r="N164" i="2" s="1"/>
  <c r="M166" i="2" a="1"/>
  <c r="M166" i="2" s="1"/>
  <c r="L275" i="2" a="1"/>
  <c r="L275" i="2" s="1"/>
  <c r="M281" i="2" a="1"/>
  <c r="M281" i="2" s="1"/>
  <c r="L138" i="2" a="1"/>
  <c r="L138" i="2" s="1"/>
  <c r="M115" i="2" a="1"/>
  <c r="M115" i="2" s="1"/>
  <c r="K119" i="2" a="1"/>
  <c r="K119" i="2" s="1"/>
  <c r="M146" i="2" a="1"/>
  <c r="M146" i="2" s="1"/>
  <c r="O309" i="2" a="1"/>
  <c r="O309" i="2" s="1"/>
  <c r="M262" i="2" a="1"/>
  <c r="M262" i="2" s="1"/>
  <c r="K266" i="2" a="1"/>
  <c r="K266" i="2" s="1"/>
  <c r="K46" i="2" a="1"/>
  <c r="K46" i="2" s="1"/>
  <c r="K310" i="2" a="1"/>
  <c r="K310" i="2" s="1"/>
  <c r="K282" i="2" a="1"/>
  <c r="K282" i="2" s="1"/>
  <c r="M320" i="2" a="1"/>
  <c r="M320" i="2" s="1"/>
  <c r="K245" i="2" a="1"/>
  <c r="K245" i="2" s="1"/>
  <c r="K301" i="2" a="1"/>
  <c r="K301" i="2" s="1"/>
  <c r="N144" i="2" a="1"/>
  <c r="N144" i="2" s="1"/>
  <c r="M347" i="2" a="1"/>
  <c r="M347" i="2" s="1"/>
  <c r="L114" i="2" a="1"/>
  <c r="L114" i="2" s="1"/>
  <c r="M155" i="2" a="1"/>
  <c r="M155" i="2" s="1"/>
  <c r="M371" i="2" a="1"/>
  <c r="M371" i="2" s="1"/>
  <c r="K120" i="2" a="1"/>
  <c r="K120" i="2" s="1"/>
  <c r="K123" i="2" a="1"/>
  <c r="K123" i="2" s="1"/>
  <c r="L118" i="2" a="1"/>
  <c r="L118" i="2" s="1"/>
  <c r="M162" i="2" a="1"/>
  <c r="M162" i="2" s="1"/>
  <c r="K135" i="2" a="1"/>
  <c r="K135" i="2" s="1"/>
  <c r="K51" i="2" a="1"/>
  <c r="K51" i="2" s="1"/>
  <c r="L355" i="2" a="1"/>
  <c r="L355" i="2" s="1"/>
  <c r="M198" i="2" a="1"/>
  <c r="M198" i="2" s="1"/>
  <c r="L248" i="2" a="1"/>
  <c r="L248" i="2" s="1"/>
  <c r="M210" i="2" a="1"/>
  <c r="M210" i="2" s="1"/>
  <c r="L122" i="2" a="1"/>
  <c r="L122" i="2" s="1"/>
  <c r="N106" i="2" a="1"/>
  <c r="N106" i="2" s="1"/>
  <c r="O161" i="2" a="1"/>
  <c r="O161" i="2" s="1"/>
  <c r="N102" i="2" a="1"/>
  <c r="N102" i="2" s="1"/>
  <c r="L210" i="2" a="1"/>
  <c r="L210" i="2" s="1"/>
  <c r="K47" i="2" a="1"/>
  <c r="K47" i="2" s="1"/>
  <c r="L47" i="2" a="1"/>
  <c r="L47" i="2" s="1"/>
  <c r="L163" i="2" a="1"/>
  <c r="L163" i="2" s="1"/>
  <c r="M154" i="2" a="1"/>
  <c r="M154" i="2" s="1"/>
  <c r="N251" i="2" a="1"/>
  <c r="N251" i="2" s="1"/>
  <c r="L301" i="2" a="1"/>
  <c r="L301" i="2" s="1"/>
  <c r="M266" i="2" a="1"/>
  <c r="M266" i="2" s="1"/>
  <c r="L266" i="2" a="1"/>
  <c r="L266" i="2" s="1"/>
  <c r="O275" i="2" a="1"/>
  <c r="O275" i="2" s="1"/>
  <c r="K352" i="2" a="1"/>
  <c r="K352" i="2" s="1"/>
  <c r="L90" i="2" a="1"/>
  <c r="L90" i="2" s="1"/>
  <c r="N256" i="2" a="1"/>
  <c r="N256" i="2" s="1"/>
  <c r="K90" i="2" a="1"/>
  <c r="K90" i="2" s="1"/>
  <c r="L103" i="2" a="1"/>
  <c r="L103" i="2" s="1"/>
  <c r="O90" i="2" a="1"/>
  <c r="O90" i="2" s="1"/>
  <c r="N118" i="2" a="1"/>
  <c r="N118" i="2" s="1"/>
  <c r="O164" i="2" a="1"/>
  <c r="O164" i="2" s="1"/>
  <c r="O352" i="2" a="1"/>
  <c r="O352" i="2" s="1"/>
  <c r="O355" i="2" a="1"/>
  <c r="O355" i="2" s="1"/>
  <c r="N194" i="2" a="1"/>
  <c r="N194" i="2" s="1"/>
  <c r="M252" i="2" a="1"/>
  <c r="M252" i="2" s="1"/>
  <c r="K363" i="2" a="1"/>
  <c r="K363" i="2" s="1"/>
  <c r="L128" i="2" a="1"/>
  <c r="L128" i="2" s="1"/>
  <c r="O51" i="2" a="1"/>
  <c r="O51" i="2" s="1"/>
  <c r="N323" i="2" a="1"/>
  <c r="N323" i="2" s="1"/>
  <c r="K346" i="2" a="1"/>
  <c r="K346" i="2" s="1"/>
  <c r="N301" i="2" a="1"/>
  <c r="N301" i="2" s="1"/>
  <c r="K240" i="2" a="1"/>
  <c r="K240" i="2" s="1"/>
  <c r="L164" i="2" a="1"/>
  <c r="L164" i="2" s="1"/>
  <c r="N275" i="2" a="1"/>
  <c r="N275" i="2" s="1"/>
  <c r="M90" i="2" a="1"/>
  <c r="M90" i="2" s="1"/>
  <c r="N68" i="2" a="1"/>
  <c r="N68" i="2" s="1"/>
  <c r="O363" i="2" a="1"/>
  <c r="O363" i="2" s="1"/>
  <c r="K275" i="2" a="1"/>
  <c r="K275" i="2" s="1"/>
  <c r="O162" i="2" a="1"/>
  <c r="O162" i="2" s="1"/>
  <c r="M149" i="2" a="1"/>
  <c r="M149" i="2" s="1"/>
  <c r="K162" i="2" a="1"/>
  <c r="K162" i="2" s="1"/>
  <c r="O34" i="2" a="1"/>
  <c r="O34" i="2" s="1"/>
  <c r="M325" i="2" a="1"/>
  <c r="M325" i="2" s="1"/>
  <c r="M363" i="2" a="1"/>
  <c r="M363" i="2" s="1"/>
  <c r="O68" i="2" a="1"/>
  <c r="O68" i="2" s="1"/>
  <c r="K149" i="2" a="1"/>
  <c r="K149" i="2" s="1"/>
  <c r="L194" i="2" a="1"/>
  <c r="L194" i="2" s="1"/>
  <c r="L161" i="2" a="1"/>
  <c r="L161" i="2" s="1"/>
  <c r="L295" i="2" a="1"/>
  <c r="L295" i="2" s="1"/>
  <c r="M225" i="2" a="1"/>
  <c r="M225" i="2" s="1"/>
  <c r="N23" i="2" a="1"/>
  <c r="N23" i="2" s="1"/>
  <c r="O198" i="2" a="1"/>
  <c r="O198" i="2" s="1"/>
  <c r="M240" i="2" a="1"/>
  <c r="M240" i="2" s="1"/>
  <c r="O196" i="2" a="1"/>
  <c r="O196" i="2" s="1"/>
  <c r="L281" i="2" a="1"/>
  <c r="L281" i="2" s="1"/>
  <c r="K196" i="2" a="1"/>
  <c r="K196" i="2" s="1"/>
  <c r="M80" i="2" a="1"/>
  <c r="M80" i="2" s="1"/>
  <c r="L149" i="2" a="1"/>
  <c r="L149" i="2" s="1"/>
  <c r="N355" i="2" a="1"/>
  <c r="N355" i="2" s="1"/>
  <c r="N196" i="2" a="1"/>
  <c r="N196" i="2" s="1"/>
  <c r="N80" i="2" a="1"/>
  <c r="N80" i="2" s="1"/>
  <c r="N198" i="2" a="1"/>
  <c r="N198" i="2" s="1"/>
  <c r="K164" i="2" a="1"/>
  <c r="K164" i="2" s="1"/>
  <c r="K194" i="2" a="1"/>
  <c r="K194" i="2" s="1"/>
  <c r="N162" i="2" a="1"/>
  <c r="N162" i="2" s="1"/>
  <c r="N210" i="2" a="1"/>
  <c r="N210" i="2" s="1"/>
  <c r="L68" i="2" a="1"/>
  <c r="L68" i="2" s="1"/>
  <c r="O281" i="2" a="1"/>
  <c r="O281" i="2" s="1"/>
  <c r="O106" i="2" a="1"/>
  <c r="O106" i="2" s="1"/>
  <c r="K106" i="2" a="1"/>
  <c r="K106" i="2" s="1"/>
  <c r="L135" i="2" a="1"/>
  <c r="L135" i="2" s="1"/>
  <c r="L338" i="2" a="1"/>
  <c r="L338" i="2" s="1"/>
  <c r="O353" i="2" a="1"/>
  <c r="O353" i="2" s="1"/>
  <c r="L346" i="2" a="1"/>
  <c r="L346" i="2" s="1"/>
  <c r="M34" i="2" a="1"/>
  <c r="M34" i="2" s="1"/>
  <c r="O207" i="2" a="1"/>
  <c r="O207" i="2" s="1"/>
  <c r="O9" i="2"/>
  <c r="L7" i="2"/>
  <c r="L6" i="2"/>
  <c r="M6" i="2"/>
  <c r="M8" i="2"/>
  <c r="N127" i="2" a="1"/>
  <c r="N127" i="2" s="1"/>
  <c r="O176" i="2" a="1"/>
  <c r="O176" i="2" s="1"/>
  <c r="N35" i="2" a="1"/>
  <c r="N35" i="2" s="1"/>
  <c r="M239" i="2" a="1"/>
  <c r="M239" i="2" s="1"/>
  <c r="O366" i="2" a="1"/>
  <c r="O366" i="2" s="1"/>
  <c r="O188" i="2" a="1"/>
  <c r="O188" i="2" s="1"/>
  <c r="L307" i="2" a="1"/>
  <c r="L307" i="2" s="1"/>
  <c r="N138" i="2" a="1"/>
  <c r="N138" i="2" s="1"/>
  <c r="M301" i="2" a="1"/>
  <c r="M301" i="2" s="1"/>
  <c r="M341" i="2" a="1"/>
  <c r="M341" i="2" s="1"/>
  <c r="K207" i="2" a="1"/>
  <c r="K207" i="2" s="1"/>
  <c r="N163" i="2" a="1"/>
  <c r="N163" i="2" s="1"/>
  <c r="N57" i="2" a="1"/>
  <c r="N57" i="2" s="1"/>
  <c r="M38" i="2" a="1"/>
  <c r="M38" i="2" s="1"/>
  <c r="O140" i="2" a="1"/>
  <c r="O140" i="2" s="1"/>
  <c r="L223" i="2" a="1"/>
  <c r="L223" i="2" s="1"/>
  <c r="M50" i="2" a="1"/>
  <c r="M50" i="2" s="1"/>
  <c r="K277" i="2" a="1"/>
  <c r="K277" i="2" s="1"/>
  <c r="O279" i="2" a="1"/>
  <c r="O279" i="2" s="1"/>
  <c r="N40" i="2" a="1"/>
  <c r="N40" i="2" s="1"/>
  <c r="M376" i="2" a="1"/>
  <c r="M376" i="2" s="1"/>
  <c r="L192" i="2" a="1"/>
  <c r="L192" i="2" s="1"/>
  <c r="L215" i="2" a="1"/>
  <c r="L215" i="2" s="1"/>
  <c r="L206" i="2" a="1"/>
  <c r="L206" i="2" s="1"/>
  <c r="N345" i="2" a="1"/>
  <c r="N345" i="2" s="1"/>
  <c r="O96" i="2" a="1"/>
  <c r="O96" i="2" s="1"/>
  <c r="K307" i="2" a="1"/>
  <c r="K307" i="2" s="1"/>
  <c r="L89" i="2" a="1"/>
  <c r="L89" i="2" s="1"/>
  <c r="M42" i="2" a="1"/>
  <c r="M42" i="2" s="1"/>
  <c r="L35" i="2" a="1"/>
  <c r="L35" i="2" s="1"/>
  <c r="M192" i="2" a="1"/>
  <c r="M192" i="2" s="1"/>
  <c r="M97" i="2" a="1"/>
  <c r="M97" i="2" s="1"/>
  <c r="K358" i="2" a="1"/>
  <c r="K358" i="2" s="1"/>
  <c r="O136" i="2" a="1"/>
  <c r="O136" i="2" s="1"/>
  <c r="O249" i="2" a="1"/>
  <c r="O249" i="2" s="1"/>
  <c r="O166" i="2" a="1"/>
  <c r="O166" i="2" s="1"/>
  <c r="K166" i="2" a="1"/>
  <c r="K166" i="2" s="1"/>
  <c r="N103" i="2" a="1"/>
  <c r="N103" i="2" s="1"/>
  <c r="L363" i="2" a="1"/>
  <c r="L363" i="2" s="1"/>
  <c r="O103" i="2" a="1"/>
  <c r="O103" i="2" s="1"/>
  <c r="M122" i="2" a="1"/>
  <c r="M122" i="2" s="1"/>
  <c r="M352" i="2" a="1"/>
  <c r="M352" i="2" s="1"/>
  <c r="K355" i="2" a="1"/>
  <c r="K355" i="2" s="1"/>
  <c r="M118" i="2" a="1"/>
  <c r="M118" i="2" s="1"/>
  <c r="N149" i="2" a="1"/>
  <c r="N149" i="2" s="1"/>
  <c r="K82" i="2" a="1"/>
  <c r="K82" i="2" s="1"/>
  <c r="M102" i="2" a="1"/>
  <c r="M102" i="2" s="1"/>
  <c r="M295" i="2" a="1"/>
  <c r="M295" i="2" s="1"/>
  <c r="N82" i="2" a="1"/>
  <c r="N82" i="2" s="1"/>
  <c r="M208" i="2" a="1"/>
  <c r="M208" i="2" s="1"/>
  <c r="N85" i="2" a="1"/>
  <c r="N85" i="2" s="1"/>
  <c r="K295" i="2" a="1"/>
  <c r="K295" i="2" s="1"/>
  <c r="N122" i="2" a="1"/>
  <c r="N122" i="2" s="1"/>
  <c r="N232" i="2" a="1"/>
  <c r="N232" i="2" s="1"/>
  <c r="K213" i="2" a="1"/>
  <c r="K213" i="2" s="1"/>
  <c r="M107" i="2" a="1"/>
  <c r="M107" i="2" s="1"/>
  <c r="M119" i="2" a="1"/>
  <c r="M119" i="2" s="1"/>
  <c r="M248" i="2" a="1"/>
  <c r="M248" i="2" s="1"/>
  <c r="L326" i="2" a="1"/>
  <c r="L326" i="2" s="1"/>
  <c r="M99" i="2" a="1"/>
  <c r="M99" i="2" s="1"/>
  <c r="K122" i="2" a="1"/>
  <c r="K122" i="2" s="1"/>
  <c r="L116" i="2" a="1"/>
  <c r="L116" i="2" s="1"/>
  <c r="O251" i="2" a="1"/>
  <c r="O251" i="2" s="1"/>
  <c r="O133" i="2" a="1"/>
  <c r="O133" i="2" s="1"/>
  <c r="L154" i="2" a="1"/>
  <c r="L154" i="2" s="1"/>
  <c r="O202" i="2" a="1"/>
  <c r="O202" i="2" s="1"/>
  <c r="K251" i="2" a="1"/>
  <c r="K251" i="2" s="1"/>
  <c r="N309" i="2" a="1"/>
  <c r="N309" i="2" s="1"/>
  <c r="N151" i="2" a="1"/>
  <c r="N151" i="2" s="1"/>
  <c r="O178" i="2" a="1"/>
  <c r="O178" i="2" s="1"/>
  <c r="K343" i="2" a="1"/>
  <c r="K343" i="2" s="1"/>
  <c r="K57" i="2" a="1"/>
  <c r="K57" i="2" s="1"/>
  <c r="M245" i="2" a="1"/>
  <c r="M245" i="2" s="1"/>
  <c r="M356" i="2" a="1"/>
  <c r="M356" i="2" s="1"/>
  <c r="M308" i="2" a="1"/>
  <c r="M308" i="2" s="1"/>
  <c r="K69" i="2" a="1"/>
  <c r="K69" i="2" s="1"/>
  <c r="O55" i="2" a="1"/>
  <c r="O55" i="2" s="1"/>
  <c r="L57" i="2" a="1"/>
  <c r="L57" i="2" s="1"/>
  <c r="L34" i="2" a="1"/>
  <c r="L34" i="2" s="1"/>
  <c r="K262" i="2" a="1"/>
  <c r="K262" i="2" s="1"/>
  <c r="O47" i="2" a="1"/>
  <c r="O47" i="2" s="1"/>
  <c r="O59" i="2" a="1"/>
  <c r="O59" i="2" s="1"/>
  <c r="K193" i="2" a="1"/>
  <c r="K193" i="2" s="1"/>
  <c r="O111" i="2" a="1"/>
  <c r="O111" i="2" s="1"/>
  <c r="L123" i="2" a="1"/>
  <c r="L123" i="2" s="1"/>
  <c r="M351" i="2" a="1"/>
  <c r="M351" i="2" s="1"/>
  <c r="N347" i="2" a="1"/>
  <c r="N347" i="2" s="1"/>
  <c r="N33" i="2" a="1"/>
  <c r="N33" i="2" s="1"/>
  <c r="K283" i="2" a="1"/>
  <c r="K283" i="2" s="1"/>
  <c r="K225" i="2" a="1"/>
  <c r="K225" i="2" s="1"/>
  <c r="O220" i="2" a="1"/>
  <c r="O220" i="2" s="1"/>
  <c r="K308" i="2" a="1"/>
  <c r="K308" i="2" s="1"/>
  <c r="K99" i="2" a="1"/>
  <c r="K99" i="2" s="1"/>
  <c r="O302" i="2" a="1"/>
  <c r="O302" i="2" s="1"/>
  <c r="L70" i="2" a="1"/>
  <c r="L70" i="2" s="1"/>
  <c r="N294" i="2" a="1"/>
  <c r="N294" i="2" s="1"/>
  <c r="N187" i="2" a="1"/>
  <c r="N187" i="2" s="1"/>
  <c r="M172" i="2" a="1"/>
  <c r="M172" i="2" s="1"/>
  <c r="O120" i="2" a="1"/>
  <c r="O120" i="2" s="1"/>
  <c r="M302" i="2" a="1"/>
  <c r="M302" i="2" s="1"/>
  <c r="M43" i="2" a="1"/>
  <c r="M43" i="2" s="1"/>
  <c r="L77" i="2" a="1"/>
  <c r="L77" i="2" s="1"/>
  <c r="L240" i="2" a="1"/>
  <c r="L240" i="2" s="1"/>
  <c r="K80" i="2" a="1"/>
  <c r="K80" i="2" s="1"/>
  <c r="N107" i="2" a="1"/>
  <c r="N107" i="2" s="1"/>
  <c r="N252" i="2" a="1"/>
  <c r="N252" i="2" s="1"/>
  <c r="L200" i="2" a="1"/>
  <c r="L200" i="2" s="1"/>
  <c r="M200" i="2" a="1"/>
  <c r="M200" i="2" s="1"/>
  <c r="O110" i="2" a="1"/>
  <c r="O110" i="2" s="1"/>
  <c r="K161" i="2" a="1"/>
  <c r="K161" i="2" s="1"/>
  <c r="O338" i="2" a="1"/>
  <c r="O338" i="2" s="1"/>
  <c r="M128" i="2" a="1"/>
  <c r="M128" i="2" s="1"/>
  <c r="O135" i="2" a="1"/>
  <c r="O135" i="2" s="1"/>
  <c r="L106" i="2" a="1"/>
  <c r="L106" i="2" s="1"/>
  <c r="K338" i="2" a="1"/>
  <c r="K338" i="2" s="1"/>
  <c r="O85" i="2" a="1"/>
  <c r="O85" i="2" s="1"/>
  <c r="O295" i="2" a="1"/>
  <c r="O295" i="2" s="1"/>
  <c r="O256" i="2" a="1"/>
  <c r="O256" i="2" s="1"/>
  <c r="O253" i="2" a="1"/>
  <c r="O253" i="2" s="1"/>
  <c r="M253" i="2" a="1"/>
  <c r="M253" i="2" s="1"/>
  <c r="M51" i="2" a="1"/>
  <c r="M51" i="2" s="1"/>
  <c r="L193" i="2" a="1"/>
  <c r="L193" i="2" s="1"/>
  <c r="O323" i="2" a="1"/>
  <c r="O323" i="2" s="1"/>
  <c r="O225" i="2" a="1"/>
  <c r="O225" i="2" s="1"/>
  <c r="N88" i="2" a="1"/>
  <c r="N88" i="2" s="1"/>
  <c r="K111" i="2" a="1"/>
  <c r="K111" i="2" s="1"/>
  <c r="O88" i="2" a="1"/>
  <c r="O88" i="2" s="1"/>
  <c r="L225" i="2" a="1"/>
  <c r="L225" i="2" s="1"/>
  <c r="L294" i="2" a="1"/>
  <c r="L294" i="2" s="1"/>
  <c r="L165" i="2" a="1"/>
  <c r="L165" i="2" s="1"/>
  <c r="K294" i="2" a="1"/>
  <c r="K294" i="2" s="1"/>
  <c r="N165" i="2" a="1"/>
  <c r="N165" i="2" s="1"/>
  <c r="L80" i="2" a="1"/>
  <c r="L80" i="2" s="1"/>
  <c r="K200" i="2" a="1"/>
  <c r="K200" i="2" s="1"/>
  <c r="O102" i="2" a="1"/>
  <c r="O102" i="2" s="1"/>
  <c r="N128" i="2" a="1"/>
  <c r="N128" i="2" s="1"/>
  <c r="N338" i="2" a="1"/>
  <c r="N338" i="2" s="1"/>
  <c r="L102" i="2" a="1"/>
  <c r="L102" i="2" s="1"/>
  <c r="K85" i="2" a="1"/>
  <c r="K85" i="2" s="1"/>
  <c r="M353" i="2" a="1"/>
  <c r="M353" i="2" s="1"/>
  <c r="O252" i="2" a="1"/>
  <c r="O252" i="2" s="1"/>
  <c r="K210" i="2" a="1"/>
  <c r="K210" i="2" s="1"/>
  <c r="K107" i="2" a="1"/>
  <c r="K107" i="2" s="1"/>
  <c r="N133" i="2" a="1"/>
  <c r="N133" i="2" s="1"/>
  <c r="L61" i="2" a="1"/>
  <c r="L61" i="2" s="1"/>
  <c r="L189" i="2" a="1"/>
  <c r="L189" i="2" s="1"/>
  <c r="L253" i="2" a="1"/>
  <c r="L253" i="2" s="1"/>
  <c r="L71" i="2" a="1"/>
  <c r="L71" i="2" s="1"/>
  <c r="K178" i="2" a="1"/>
  <c r="K178" i="2" s="1"/>
  <c r="N346" i="2" a="1"/>
  <c r="N346" i="2" s="1"/>
  <c r="L256" i="2" a="1"/>
  <c r="L256" i="2" s="1"/>
  <c r="L160" i="2" a="1"/>
  <c r="L160" i="2" s="1"/>
  <c r="M111" i="2" a="1"/>
  <c r="M111" i="2" s="1"/>
  <c r="K88" i="2" a="1"/>
  <c r="K88" i="2" s="1"/>
  <c r="L179" i="2" a="1"/>
  <c r="L179" i="2" s="1"/>
  <c r="O248" i="2" a="1"/>
  <c r="O248" i="2" s="1"/>
  <c r="M196" i="2" a="1"/>
  <c r="M196" i="2" s="1"/>
  <c r="L51" i="2" a="1"/>
  <c r="L51" i="2" s="1"/>
  <c r="M135" i="2" a="1"/>
  <c r="M135" i="2" s="1"/>
  <c r="L85" i="2" a="1"/>
  <c r="L85" i="2" s="1"/>
  <c r="O128" i="2" a="1"/>
  <c r="O128" i="2" s="1"/>
  <c r="L133" i="2" a="1"/>
  <c r="L133" i="2" s="1"/>
  <c r="O194" i="2" a="1"/>
  <c r="O194" i="2" s="1"/>
  <c r="K189" i="2" a="1"/>
  <c r="K189" i="2" s="1"/>
  <c r="O123" i="2" a="1"/>
  <c r="O123" i="2" s="1"/>
  <c r="N61" i="2" a="1"/>
  <c r="N61" i="2" s="1"/>
  <c r="K323" i="2" a="1"/>
  <c r="K323" i="2" s="1"/>
  <c r="K160" i="2" a="1"/>
  <c r="K160" i="2" s="1"/>
  <c r="M123" i="2" a="1"/>
  <c r="M123" i="2" s="1"/>
  <c r="O193" i="2" a="1"/>
  <c r="O193" i="2" s="1"/>
  <c r="M71" i="2" a="1"/>
  <c r="M71" i="2" s="1"/>
  <c r="L88" i="2" a="1"/>
  <c r="L88" i="2" s="1"/>
  <c r="K165" i="2" a="1"/>
  <c r="K165" i="2" s="1"/>
  <c r="O118" i="2" a="1"/>
  <c r="O118" i="2" s="1"/>
  <c r="K103" i="2" a="1"/>
  <c r="K103" i="2" s="1"/>
  <c r="O107" i="2" a="1"/>
  <c r="O107" i="2" s="1"/>
  <c r="M110" i="2" a="1"/>
  <c r="M110" i="2" s="1"/>
  <c r="M161" i="2" a="1"/>
  <c r="M161" i="2" s="1"/>
  <c r="N110" i="2" a="1"/>
  <c r="N110" i="2" s="1"/>
  <c r="L110" i="2" a="1"/>
  <c r="L110" i="2" s="1"/>
  <c r="O82" i="2" a="1"/>
  <c r="O82" i="2" s="1"/>
  <c r="N189" i="2" a="1"/>
  <c r="N189" i="2" s="1"/>
  <c r="O200" i="2" a="1"/>
  <c r="O200" i="2" s="1"/>
  <c r="L251" i="2" a="1"/>
  <c r="L251" i="2" s="1"/>
  <c r="M68" i="2" a="1"/>
  <c r="M68" i="2" s="1"/>
  <c r="N248" i="2" a="1"/>
  <c r="N248" i="2" s="1"/>
  <c r="L252" i="2" a="1"/>
  <c r="L252" i="2" s="1"/>
  <c r="M133" i="2" a="1"/>
  <c r="M133" i="2" s="1"/>
  <c r="N353" i="2" a="1"/>
  <c r="N353" i="2" s="1"/>
  <c r="O189" i="2" a="1"/>
  <c r="O189" i="2" s="1"/>
  <c r="L178" i="2" a="1"/>
  <c r="L178" i="2" s="1"/>
  <c r="N325" i="2" a="1"/>
  <c r="N325" i="2" s="1"/>
  <c r="O160" i="2" a="1"/>
  <c r="O160" i="2" s="1"/>
  <c r="N178" i="2" a="1"/>
  <c r="N178" i="2" s="1"/>
  <c r="M61" i="2" a="1"/>
  <c r="M61" i="2" s="1"/>
  <c r="M193" i="2" a="1"/>
  <c r="M193" i="2" s="1"/>
  <c r="O71" i="2" a="1"/>
  <c r="O71" i="2" s="1"/>
  <c r="M160" i="2" a="1"/>
  <c r="M160" i="2" s="1"/>
  <c r="O294" i="2" a="1"/>
  <c r="O294" i="2" s="1"/>
  <c r="O179" i="2" a="1"/>
  <c r="O179" i="2" s="1"/>
  <c r="M350" i="2" a="1"/>
  <c r="M350" i="2" s="1"/>
  <c r="K231" i="2" a="1"/>
  <c r="K231" i="2" s="1"/>
  <c r="O358" i="2" a="1"/>
  <c r="O358" i="2" s="1"/>
  <c r="O108" i="2" a="1"/>
  <c r="O108" i="2" s="1"/>
  <c r="M231" i="2" a="1"/>
  <c r="M231" i="2" s="1"/>
  <c r="K42" i="2" a="1"/>
  <c r="K42" i="2" s="1"/>
  <c r="O192" i="2" a="1"/>
  <c r="O192" i="2" s="1"/>
  <c r="L40" i="2" a="1"/>
  <c r="L40" i="2" s="1"/>
  <c r="O40" i="2" a="1"/>
  <c r="O40" i="2" s="1"/>
  <c r="N176" i="2" a="1"/>
  <c r="N176" i="2" s="1"/>
  <c r="M127" i="2" a="1"/>
  <c r="M127" i="2" s="1"/>
  <c r="N142" i="2" a="1"/>
  <c r="N142" i="2" s="1"/>
  <c r="K287" i="2" a="1"/>
  <c r="K287" i="2" s="1"/>
  <c r="N361" i="2" a="1"/>
  <c r="N361" i="2" s="1"/>
  <c r="O230" i="2" a="1"/>
  <c r="O230" i="2" s="1"/>
  <c r="O73" i="2" a="1"/>
  <c r="O73" i="2" s="1"/>
  <c r="L92" i="2" a="1"/>
  <c r="L92" i="2" s="1"/>
  <c r="N349" i="2" a="1"/>
  <c r="N349" i="2" s="1"/>
  <c r="O300" i="2" a="1"/>
  <c r="O300" i="2" s="1"/>
  <c r="M136" i="2" a="1"/>
  <c r="M136" i="2" s="1"/>
  <c r="L157" i="2" a="1"/>
  <c r="L157" i="2" s="1"/>
  <c r="L97" i="2" a="1"/>
  <c r="L97" i="2" s="1"/>
  <c r="M157" i="2" a="1"/>
  <c r="M157" i="2" s="1"/>
  <c r="K97" i="2" a="1"/>
  <c r="K97" i="2" s="1"/>
  <c r="O97" i="2" a="1"/>
  <c r="O97" i="2" s="1"/>
  <c r="K192" i="2" a="1"/>
  <c r="K192" i="2" s="1"/>
  <c r="N93" i="2" a="1"/>
  <c r="N93" i="2" s="1"/>
  <c r="L274" i="2" a="1"/>
  <c r="L274" i="2" s="1"/>
  <c r="O238" i="2" a="1"/>
  <c r="O238" i="2" s="1"/>
  <c r="K238" i="2" a="1"/>
  <c r="K238" i="2" s="1"/>
  <c r="L72" i="2" a="1"/>
  <c r="L72" i="2" s="1"/>
  <c r="L261" i="2" a="1"/>
  <c r="L261" i="2" s="1"/>
  <c r="L287" i="2" a="1"/>
  <c r="L287" i="2" s="1"/>
  <c r="N124" i="2" a="1"/>
  <c r="N124" i="2" s="1"/>
  <c r="N238" i="2" a="1"/>
  <c r="N238" i="2" s="1"/>
  <c r="N383" i="2" a="1"/>
  <c r="N383" i="2" s="1"/>
  <c r="O35" i="2" a="1"/>
  <c r="O35" i="2" s="1"/>
  <c r="L42" i="2" a="1"/>
  <c r="L42" i="2" s="1"/>
  <c r="M35" i="2" a="1"/>
  <c r="M35" i="2" s="1"/>
  <c r="O104" i="2" a="1"/>
  <c r="O104" i="2" s="1"/>
  <c r="L142" i="2" a="1"/>
  <c r="L142" i="2" s="1"/>
  <c r="K93" i="2" a="1"/>
  <c r="K93" i="2" s="1"/>
  <c r="O42" i="2" a="1"/>
  <c r="O42" i="2" s="1"/>
  <c r="N96" i="2" a="1"/>
  <c r="N96" i="2" s="1"/>
  <c r="L263" i="2" a="1"/>
  <c r="L263" i="2" s="1"/>
  <c r="M306" i="2" a="1"/>
  <c r="M306" i="2" s="1"/>
  <c r="O290" i="2" a="1"/>
  <c r="O290" i="2" s="1"/>
  <c r="N300" i="2" a="1"/>
  <c r="N300" i="2" s="1"/>
  <c r="M40" i="2" a="1"/>
  <c r="M40" i="2" s="1"/>
  <c r="L95" i="2" a="1"/>
  <c r="L95" i="2" s="1"/>
  <c r="L231" i="2" a="1"/>
  <c r="L231" i="2" s="1"/>
  <c r="L305" i="2" a="1"/>
  <c r="L305" i="2" s="1"/>
  <c r="L238" i="2" a="1"/>
  <c r="L238" i="2" s="1"/>
  <c r="L156" i="2" a="1"/>
  <c r="L156" i="2" s="1"/>
  <c r="K293" i="2" a="1"/>
  <c r="K293" i="2" s="1"/>
  <c r="O293" i="2" a="1"/>
  <c r="O293" i="2" s="1"/>
  <c r="O65" i="2" a="1"/>
  <c r="O65" i="2" s="1"/>
  <c r="L65" i="2" a="1"/>
  <c r="L65" i="2" s="1"/>
  <c r="K65" i="2" a="1"/>
  <c r="K65" i="2" s="1"/>
  <c r="M65" i="2" a="1"/>
  <c r="M65" i="2" s="1"/>
  <c r="M332" i="2" a="1"/>
  <c r="M332" i="2" s="1"/>
  <c r="K332" i="2" a="1"/>
  <c r="K332" i="2" s="1"/>
  <c r="O332" i="2" a="1"/>
  <c r="O332" i="2" s="1"/>
  <c r="O303" i="2" a="1"/>
  <c r="O303" i="2" s="1"/>
  <c r="K303" i="2" a="1"/>
  <c r="K303" i="2" s="1"/>
  <c r="M303" i="2" a="1"/>
  <c r="M303" i="2" s="1"/>
  <c r="N303" i="2" a="1"/>
  <c r="N303" i="2" s="1"/>
  <c r="N258" i="2" a="1"/>
  <c r="N258" i="2" s="1"/>
  <c r="M258" i="2" a="1"/>
  <c r="M258" i="2" s="1"/>
  <c r="K91" i="2" a="1"/>
  <c r="K91" i="2" s="1"/>
  <c r="N91" i="2" a="1"/>
  <c r="N91" i="2" s="1"/>
  <c r="M91" i="2" a="1"/>
  <c r="M91" i="2" s="1"/>
  <c r="O91" i="2" a="1"/>
  <c r="O91" i="2" s="1"/>
  <c r="L91" i="2" a="1"/>
  <c r="L91" i="2" s="1"/>
  <c r="O317" i="2" a="1"/>
  <c r="O317" i="2" s="1"/>
  <c r="K317" i="2" a="1"/>
  <c r="K317" i="2" s="1"/>
  <c r="N317" i="2" a="1"/>
  <c r="N317" i="2" s="1"/>
  <c r="L317" i="2" a="1"/>
  <c r="L317" i="2" s="1"/>
  <c r="K382" i="2" a="1"/>
  <c r="K382" i="2" s="1"/>
  <c r="O382" i="2" a="1"/>
  <c r="O382" i="2" s="1"/>
  <c r="N382" i="2" a="1"/>
  <c r="N382" i="2" s="1"/>
  <c r="M382" i="2" a="1"/>
  <c r="M382" i="2" s="1"/>
  <c r="L324" i="2" a="1"/>
  <c r="L324" i="2" s="1"/>
  <c r="M324" i="2" a="1"/>
  <c r="M324" i="2" s="1"/>
  <c r="N324" i="2" a="1"/>
  <c r="N324" i="2" s="1"/>
  <c r="O324" i="2" a="1"/>
  <c r="O324" i="2" s="1"/>
  <c r="L74" i="2" a="1"/>
  <c r="L74" i="2" s="1"/>
  <c r="O74" i="2" a="1"/>
  <c r="O74" i="2" s="1"/>
  <c r="N74" i="2" a="1"/>
  <c r="N74" i="2" s="1"/>
  <c r="M74" i="2" a="1"/>
  <c r="M74" i="2" s="1"/>
  <c r="K74" i="2" a="1"/>
  <c r="K74" i="2" s="1"/>
  <c r="N227" i="2" a="1"/>
  <c r="N227" i="2" s="1"/>
  <c r="M227" i="2" a="1"/>
  <c r="M227" i="2" s="1"/>
  <c r="K375" i="2" a="1"/>
  <c r="K375" i="2" s="1"/>
  <c r="L375" i="2" a="1"/>
  <c r="L375" i="2" s="1"/>
  <c r="N375" i="2" a="1"/>
  <c r="N375" i="2" s="1"/>
  <c r="M375" i="2" a="1"/>
  <c r="M375" i="2" s="1"/>
  <c r="O258" i="2" a="1"/>
  <c r="O258" i="2" s="1"/>
  <c r="O95" i="2" a="1"/>
  <c r="O95" i="2" s="1"/>
  <c r="L290" i="2" a="1"/>
  <c r="L290" i="2" s="1"/>
  <c r="L177" i="2" a="1"/>
  <c r="L177" i="2" s="1"/>
  <c r="O367" i="2" a="1"/>
  <c r="O367" i="2" s="1"/>
  <c r="N367" i="2" a="1"/>
  <c r="N367" i="2" s="1"/>
  <c r="L367" i="2" a="1"/>
  <c r="L367" i="2" s="1"/>
  <c r="K367" i="2" a="1"/>
  <c r="K367" i="2" s="1"/>
  <c r="M156" i="2" a="1"/>
  <c r="M156" i="2" s="1"/>
  <c r="N156" i="2" a="1"/>
  <c r="N156" i="2" s="1"/>
  <c r="O156" i="2" a="1"/>
  <c r="O156" i="2" s="1"/>
  <c r="L176" i="2" a="1"/>
  <c r="L176" i="2" s="1"/>
  <c r="M176" i="2" a="1"/>
  <c r="M176" i="2" s="1"/>
  <c r="L216" i="2" a="1"/>
  <c r="L216" i="2" s="1"/>
  <c r="K216" i="2" a="1"/>
  <c r="K216" i="2" s="1"/>
  <c r="O216" i="2" a="1"/>
  <c r="O216" i="2" s="1"/>
  <c r="N92" i="2" a="1"/>
  <c r="N92" i="2" s="1"/>
  <c r="M92" i="2" a="1"/>
  <c r="M92" i="2" s="1"/>
  <c r="K92" i="2" a="1"/>
  <c r="K92" i="2" s="1"/>
  <c r="L348" i="2" a="1"/>
  <c r="L348" i="2" s="1"/>
  <c r="N348" i="2" a="1"/>
  <c r="N348" i="2" s="1"/>
  <c r="O348" i="2" a="1"/>
  <c r="O348" i="2" s="1"/>
  <c r="M348" i="2" a="1"/>
  <c r="M348" i="2" s="1"/>
  <c r="M72" i="2" a="1"/>
  <c r="M72" i="2" s="1"/>
  <c r="K72" i="2" a="1"/>
  <c r="K72" i="2" s="1"/>
  <c r="N72" i="2" a="1"/>
  <c r="N72" i="2" s="1"/>
  <c r="N157" i="2" a="1"/>
  <c r="N157" i="2" s="1"/>
  <c r="O157" i="2" a="1"/>
  <c r="O157" i="2" s="1"/>
  <c r="L345" i="2" a="1"/>
  <c r="L345" i="2" s="1"/>
  <c r="M345" i="2" a="1"/>
  <c r="M345" i="2" s="1"/>
  <c r="O345" i="2" a="1"/>
  <c r="O345" i="2" s="1"/>
  <c r="M180" i="2" a="1"/>
  <c r="M180" i="2" s="1"/>
  <c r="O180" i="2" a="1"/>
  <c r="O180" i="2" s="1"/>
  <c r="K180" i="2" a="1"/>
  <c r="K180" i="2" s="1"/>
  <c r="N180" i="2" a="1"/>
  <c r="N180" i="2" s="1"/>
  <c r="L180" i="2" a="1"/>
  <c r="L180" i="2" s="1"/>
  <c r="M218" i="2" a="1"/>
  <c r="M218" i="2" s="1"/>
  <c r="N218" i="2" a="1"/>
  <c r="N218" i="2" s="1"/>
  <c r="K218" i="2" a="1"/>
  <c r="K218" i="2" s="1"/>
  <c r="O218" i="2" a="1"/>
  <c r="O218" i="2" s="1"/>
  <c r="K215" i="2" a="1"/>
  <c r="K215" i="2" s="1"/>
  <c r="N215" i="2" a="1"/>
  <c r="N215" i="2" s="1"/>
  <c r="M215" i="2" a="1"/>
  <c r="M215" i="2" s="1"/>
  <c r="M137" i="2" a="1"/>
  <c r="M137" i="2" s="1"/>
  <c r="N137" i="2" a="1"/>
  <c r="N137" i="2" s="1"/>
  <c r="L137" i="2" a="1"/>
  <c r="L137" i="2" s="1"/>
  <c r="K137" i="2" a="1"/>
  <c r="K137" i="2" s="1"/>
  <c r="M134" i="2" a="1"/>
  <c r="M134" i="2" s="1"/>
  <c r="L134" i="2" a="1"/>
  <c r="L134" i="2" s="1"/>
  <c r="O134" i="2" a="1"/>
  <c r="O134" i="2" s="1"/>
  <c r="O361" i="2" a="1"/>
  <c r="O361" i="2" s="1"/>
  <c r="K361" i="2" a="1"/>
  <c r="K361" i="2" s="1"/>
  <c r="L361" i="2" a="1"/>
  <c r="L361" i="2" s="1"/>
  <c r="K327" i="2" a="1"/>
  <c r="K327" i="2" s="1"/>
  <c r="O327" i="2" a="1"/>
  <c r="O327" i="2" s="1"/>
  <c r="L327" i="2" a="1"/>
  <c r="L327" i="2" s="1"/>
  <c r="N327" i="2" a="1"/>
  <c r="N327" i="2" s="1"/>
  <c r="N304" i="2" a="1"/>
  <c r="N304" i="2" s="1"/>
  <c r="L304" i="2" a="1"/>
  <c r="L304" i="2" s="1"/>
  <c r="O304" i="2" a="1"/>
  <c r="O304" i="2" s="1"/>
  <c r="K304" i="2" a="1"/>
  <c r="K304" i="2" s="1"/>
  <c r="O383" i="2" a="1"/>
  <c r="O383" i="2" s="1"/>
  <c r="L383" i="2" a="1"/>
  <c r="L383" i="2" s="1"/>
  <c r="M383" i="2" a="1"/>
  <c r="M383" i="2" s="1"/>
  <c r="O145" i="2" a="1"/>
  <c r="O145" i="2" s="1"/>
  <c r="K145" i="2" a="1"/>
  <c r="K145" i="2" s="1"/>
  <c r="N145" i="2" a="1"/>
  <c r="N145" i="2" s="1"/>
  <c r="M145" i="2" a="1"/>
  <c r="M145" i="2" s="1"/>
  <c r="M89" i="2" a="1"/>
  <c r="M89" i="2" s="1"/>
  <c r="K89" i="2" a="1"/>
  <c r="K89" i="2" s="1"/>
  <c r="N89" i="2" a="1"/>
  <c r="N89" i="2" s="1"/>
  <c r="N274" i="2" a="1"/>
  <c r="N274" i="2" s="1"/>
  <c r="O274" i="2" a="1"/>
  <c r="O274" i="2" s="1"/>
  <c r="M274" i="2" a="1"/>
  <c r="M274" i="2" s="1"/>
  <c r="M277" i="2" a="1"/>
  <c r="M277" i="2" s="1"/>
  <c r="L277" i="2" a="1"/>
  <c r="L277" i="2" s="1"/>
  <c r="O277" i="2" a="1"/>
  <c r="O277" i="2" s="1"/>
  <c r="K53" i="2" a="1"/>
  <c r="K53" i="2" s="1"/>
  <c r="M53" i="2" a="1"/>
  <c r="M53" i="2" s="1"/>
  <c r="N53" i="2" a="1"/>
  <c r="N53" i="2" s="1"/>
  <c r="M63" i="2" a="1"/>
  <c r="M63" i="2" s="1"/>
  <c r="N63" i="2" a="1"/>
  <c r="N63" i="2" s="1"/>
  <c r="K63" i="2" a="1"/>
  <c r="K63" i="2" s="1"/>
  <c r="N224" i="2" a="1"/>
  <c r="N224" i="2" s="1"/>
  <c r="K224" i="2" a="1"/>
  <c r="K224" i="2" s="1"/>
  <c r="M224" i="2" a="1"/>
  <c r="M224" i="2" s="1"/>
  <c r="L224" i="2" a="1"/>
  <c r="L224" i="2" s="1"/>
  <c r="O168" i="2" a="1"/>
  <c r="O168" i="2" s="1"/>
  <c r="K168" i="2" a="1"/>
  <c r="K168" i="2" s="1"/>
  <c r="L168" i="2" a="1"/>
  <c r="L168" i="2" s="1"/>
  <c r="N168" i="2" a="1"/>
  <c r="N168" i="2" s="1"/>
  <c r="O151" i="2" a="1"/>
  <c r="O151" i="2" s="1"/>
  <c r="L151" i="2" a="1"/>
  <c r="L151" i="2" s="1"/>
  <c r="M151" i="2" a="1"/>
  <c r="M151" i="2" s="1"/>
  <c r="M147" i="2" a="1"/>
  <c r="M147" i="2" s="1"/>
  <c r="O147" i="2" a="1"/>
  <c r="O147" i="2" s="1"/>
  <c r="N147" i="2" a="1"/>
  <c r="N147" i="2" s="1"/>
  <c r="O124" i="2" a="1"/>
  <c r="O124" i="2" s="1"/>
  <c r="L124" i="2" a="1"/>
  <c r="L124" i="2" s="1"/>
  <c r="K124" i="2" a="1"/>
  <c r="K124" i="2" s="1"/>
  <c r="O287" i="2" a="1"/>
  <c r="O287" i="2" s="1"/>
  <c r="N287" i="2" a="1"/>
  <c r="N287" i="2" s="1"/>
  <c r="K279" i="2" a="1"/>
  <c r="K279" i="2" s="1"/>
  <c r="N279" i="2" a="1"/>
  <c r="N279" i="2" s="1"/>
  <c r="L279" i="2" a="1"/>
  <c r="L279" i="2" s="1"/>
  <c r="K221" i="2" a="1"/>
  <c r="K221" i="2" s="1"/>
  <c r="M221" i="2" a="1"/>
  <c r="M221" i="2" s="1"/>
  <c r="L221" i="2" a="1"/>
  <c r="L221" i="2" s="1"/>
  <c r="O221" i="2" a="1"/>
  <c r="O221" i="2" s="1"/>
  <c r="N221" i="2" a="1"/>
  <c r="N221" i="2" s="1"/>
  <c r="M108" i="2" a="1"/>
  <c r="M108" i="2" s="1"/>
  <c r="N108" i="2" a="1"/>
  <c r="N108" i="2" s="1"/>
  <c r="L108" i="2" a="1"/>
  <c r="L108" i="2" s="1"/>
  <c r="O376" i="2" a="1"/>
  <c r="O376" i="2" s="1"/>
  <c r="L376" i="2" a="1"/>
  <c r="L376" i="2" s="1"/>
  <c r="K376" i="2" a="1"/>
  <c r="K376" i="2" s="1"/>
  <c r="N73" i="2" a="1"/>
  <c r="N73" i="2" s="1"/>
  <c r="L73" i="2" a="1"/>
  <c r="L73" i="2" s="1"/>
  <c r="M73" i="2" a="1"/>
  <c r="M73" i="2" s="1"/>
  <c r="M158" i="2" a="1"/>
  <c r="M158" i="2" s="1"/>
  <c r="L158" i="2" a="1"/>
  <c r="L158" i="2" s="1"/>
  <c r="K158" i="2" a="1"/>
  <c r="K158" i="2" s="1"/>
  <c r="N158" i="2" a="1"/>
  <c r="N158" i="2" s="1"/>
  <c r="O158" i="2" a="1"/>
  <c r="O158" i="2" s="1"/>
  <c r="L362" i="2" a="1"/>
  <c r="L362" i="2" s="1"/>
  <c r="N362" i="2" a="1"/>
  <c r="N362" i="2" s="1"/>
  <c r="O362" i="2" a="1"/>
  <c r="O362" i="2" s="1"/>
  <c r="M362" i="2" a="1"/>
  <c r="M362" i="2" s="1"/>
  <c r="O49" i="2" a="1"/>
  <c r="O49" i="2" s="1"/>
  <c r="N49" i="2" a="1"/>
  <c r="N49" i="2" s="1"/>
  <c r="M49" i="2" a="1"/>
  <c r="M49" i="2" s="1"/>
  <c r="L49" i="2" a="1"/>
  <c r="L49" i="2" s="1"/>
  <c r="M70" i="2" a="1"/>
  <c r="M70" i="2" s="1"/>
  <c r="N70" i="2" a="1"/>
  <c r="N70" i="2" s="1"/>
  <c r="K70" i="2" a="1"/>
  <c r="K70" i="2" s="1"/>
  <c r="N305" i="2" a="1"/>
  <c r="N305" i="2" s="1"/>
  <c r="O305" i="2" a="1"/>
  <c r="O305" i="2" s="1"/>
  <c r="M305" i="2" a="1"/>
  <c r="M305" i="2" s="1"/>
  <c r="M380" i="2" a="1"/>
  <c r="M380" i="2" s="1"/>
  <c r="L380" i="2" a="1"/>
  <c r="L380" i="2" s="1"/>
  <c r="K380" i="2" a="1"/>
  <c r="K380" i="2" s="1"/>
  <c r="O380" i="2" a="1"/>
  <c r="O380" i="2" s="1"/>
  <c r="N380" i="2" a="1"/>
  <c r="N380" i="2" s="1"/>
  <c r="M93" i="2" a="1"/>
  <c r="M93" i="2" s="1"/>
  <c r="O93" i="2" a="1"/>
  <c r="O93" i="2" s="1"/>
  <c r="L127" i="2" a="1"/>
  <c r="L127" i="2" s="1"/>
  <c r="O127" i="2" a="1"/>
  <c r="O127" i="2" s="1"/>
  <c r="O261" i="2" a="1"/>
  <c r="O261" i="2" s="1"/>
  <c r="M261" i="2" a="1"/>
  <c r="M261" i="2" s="1"/>
  <c r="K139" i="2" a="1"/>
  <c r="K139" i="2" s="1"/>
  <c r="N139" i="2" a="1"/>
  <c r="N139" i="2" s="1"/>
  <c r="M139" i="2" a="1"/>
  <c r="M139" i="2" s="1"/>
  <c r="N125" i="2" a="1"/>
  <c r="N125" i="2" s="1"/>
  <c r="L125" i="2" a="1"/>
  <c r="L125" i="2" s="1"/>
  <c r="K125" i="2" a="1"/>
  <c r="K125" i="2" s="1"/>
  <c r="O125" i="2" a="1"/>
  <c r="O125" i="2" s="1"/>
  <c r="M125" i="2" a="1"/>
  <c r="M125" i="2" s="1"/>
  <c r="K206" i="2" a="1"/>
  <c r="K206" i="2" s="1"/>
  <c r="O206" i="2" a="1"/>
  <c r="O206" i="2" s="1"/>
  <c r="N206" i="2" a="1"/>
  <c r="N206" i="2" s="1"/>
  <c r="M358" i="2" a="1"/>
  <c r="M358" i="2" s="1"/>
  <c r="L358" i="2" a="1"/>
  <c r="L358" i="2" s="1"/>
  <c r="N307" i="2" a="1"/>
  <c r="N307" i="2" s="1"/>
  <c r="O307" i="2" a="1"/>
  <c r="O307" i="2" s="1"/>
  <c r="M230" i="2" a="1"/>
  <c r="M230" i="2" s="1"/>
  <c r="K230" i="2" a="1"/>
  <c r="K230" i="2" s="1"/>
  <c r="N230" i="2" a="1"/>
  <c r="N230" i="2" s="1"/>
  <c r="M286" i="2" a="1"/>
  <c r="M286" i="2" s="1"/>
  <c r="N286" i="2" a="1"/>
  <c r="N286" i="2" s="1"/>
  <c r="K286" i="2" a="1"/>
  <c r="K286" i="2" s="1"/>
  <c r="L286" i="2" a="1"/>
  <c r="L286" i="2" s="1"/>
  <c r="O286" i="2" a="1"/>
  <c r="O286" i="2" s="1"/>
  <c r="L328" i="2" a="1"/>
  <c r="L328" i="2" s="1"/>
  <c r="O328" i="2" a="1"/>
  <c r="O328" i="2" s="1"/>
  <c r="M328" i="2" a="1"/>
  <c r="M328" i="2" s="1"/>
  <c r="K83" i="2" a="1"/>
  <c r="K83" i="2" s="1"/>
  <c r="N83" i="2" a="1"/>
  <c r="N83" i="2" s="1"/>
  <c r="L83" i="2" a="1"/>
  <c r="L83" i="2" s="1"/>
  <c r="M83" i="2" a="1"/>
  <c r="M83" i="2" s="1"/>
  <c r="O259" i="2" a="1"/>
  <c r="O259" i="2" s="1"/>
  <c r="N259" i="2" a="1"/>
  <c r="N259" i="2" s="1"/>
  <c r="K259" i="2" a="1"/>
  <c r="K259" i="2" s="1"/>
  <c r="N126" i="2" a="1"/>
  <c r="N126" i="2" s="1"/>
  <c r="M126" i="2" a="1"/>
  <c r="M126" i="2" s="1"/>
  <c r="O126" i="2" a="1"/>
  <c r="O126" i="2" s="1"/>
  <c r="N204" i="2" a="1"/>
  <c r="N204" i="2" s="1"/>
  <c r="K204" i="2" a="1"/>
  <c r="K204" i="2" s="1"/>
  <c r="M204" i="2" a="1"/>
  <c r="M204" i="2" s="1"/>
  <c r="O204" i="2" a="1"/>
  <c r="O204" i="2" s="1"/>
  <c r="M339" i="2" a="1"/>
  <c r="M339" i="2" s="1"/>
  <c r="O339" i="2" a="1"/>
  <c r="O339" i="2" s="1"/>
  <c r="K339" i="2" a="1"/>
  <c r="K339" i="2" s="1"/>
  <c r="L339" i="2" a="1"/>
  <c r="L339" i="2" s="1"/>
  <c r="N339" i="2" a="1"/>
  <c r="N339" i="2" s="1"/>
  <c r="K247" i="2" a="1"/>
  <c r="K247" i="2" s="1"/>
  <c r="O247" i="2" a="1"/>
  <c r="O247" i="2" s="1"/>
  <c r="L247" i="2" a="1"/>
  <c r="L247" i="2" s="1"/>
  <c r="K104" i="2" a="1"/>
  <c r="K104" i="2" s="1"/>
  <c r="M104" i="2" a="1"/>
  <c r="M104" i="2" s="1"/>
  <c r="O205" i="2" a="1"/>
  <c r="O205" i="2" s="1"/>
  <c r="M205" i="2" a="1"/>
  <c r="M205" i="2" s="1"/>
  <c r="N205" i="2" a="1"/>
  <c r="N205" i="2" s="1"/>
  <c r="L278" i="2" a="1"/>
  <c r="L278" i="2" s="1"/>
  <c r="K278" i="2" a="1"/>
  <c r="K278" i="2" s="1"/>
  <c r="L315" i="2" a="1"/>
  <c r="L315" i="2" s="1"/>
  <c r="K315" i="2" a="1"/>
  <c r="K315" i="2" s="1"/>
  <c r="O315" i="2" a="1"/>
  <c r="O315" i="2" s="1"/>
  <c r="M315" i="2" a="1"/>
  <c r="M315" i="2" s="1"/>
  <c r="M182" i="2" a="1"/>
  <c r="M182" i="2" s="1"/>
  <c r="K182" i="2" a="1"/>
  <c r="K182" i="2" s="1"/>
  <c r="N182" i="2" a="1"/>
  <c r="N182" i="2" s="1"/>
  <c r="O182" i="2" a="1"/>
  <c r="O182" i="2" s="1"/>
  <c r="M184" i="2" a="1"/>
  <c r="M184" i="2" s="1"/>
  <c r="K184" i="2" a="1"/>
  <c r="K184" i="2" s="1"/>
  <c r="M337" i="2" a="1"/>
  <c r="M337" i="2" s="1"/>
  <c r="K337" i="2" a="1"/>
  <c r="K337" i="2" s="1"/>
  <c r="K75" i="2" a="1"/>
  <c r="K75" i="2" s="1"/>
  <c r="N75" i="2" a="1"/>
  <c r="N75" i="2" s="1"/>
  <c r="O250" i="2" a="1"/>
  <c r="O250" i="2" s="1"/>
  <c r="K250" i="2" a="1"/>
  <c r="K250" i="2" s="1"/>
  <c r="L250" i="2" a="1"/>
  <c r="L250" i="2" s="1"/>
  <c r="M250" i="2" a="1"/>
  <c r="M250" i="2" s="1"/>
  <c r="N250" i="2" a="1"/>
  <c r="N250" i="2" s="1"/>
  <c r="M322" i="2" a="1"/>
  <c r="M322" i="2" s="1"/>
  <c r="K322" i="2" a="1"/>
  <c r="K322" i="2" s="1"/>
  <c r="O357" i="2" a="1"/>
  <c r="O357" i="2" s="1"/>
  <c r="N357" i="2" a="1"/>
  <c r="N357" i="2" s="1"/>
  <c r="L357" i="2" a="1"/>
  <c r="L357" i="2" s="1"/>
  <c r="L369" i="2" a="1"/>
  <c r="L369" i="2" s="1"/>
  <c r="N369" i="2" a="1"/>
  <c r="N369" i="2" s="1"/>
  <c r="K369" i="2" a="1"/>
  <c r="K369" i="2" s="1"/>
  <c r="L318" i="2" a="1"/>
  <c r="L318" i="2" s="1"/>
  <c r="M318" i="2" a="1"/>
  <c r="M318" i="2" s="1"/>
  <c r="K318" i="2" a="1"/>
  <c r="K318" i="2" s="1"/>
  <c r="M153" i="2" a="1"/>
  <c r="M153" i="2" s="1"/>
  <c r="O153" i="2" a="1"/>
  <c r="O153" i="2" s="1"/>
  <c r="N113" i="2" a="1"/>
  <c r="N113" i="2" s="1"/>
  <c r="M113" i="2" a="1"/>
  <c r="M113" i="2" s="1"/>
  <c r="L113" i="2" a="1"/>
  <c r="L113" i="2" s="1"/>
  <c r="K113" i="2" a="1"/>
  <c r="K113" i="2" s="1"/>
  <c r="O113" i="2" a="1"/>
  <c r="O113" i="2" s="1"/>
  <c r="M354" i="2" a="1"/>
  <c r="M354" i="2" s="1"/>
  <c r="O354" i="2" a="1"/>
  <c r="O354" i="2" s="1"/>
  <c r="K354" i="2" a="1"/>
  <c r="K354" i="2" s="1"/>
  <c r="M247" i="2" a="1"/>
  <c r="M247" i="2" s="1"/>
  <c r="K142" i="2" a="1"/>
  <c r="K142" i="2" s="1"/>
  <c r="M300" i="2" a="1"/>
  <c r="M300" i="2" s="1"/>
  <c r="L300" i="2" a="1"/>
  <c r="L300" i="2" s="1"/>
  <c r="M276" i="2" a="1"/>
  <c r="M276" i="2" s="1"/>
  <c r="O369" i="2" a="1"/>
  <c r="O369" i="2" s="1"/>
  <c r="N184" i="2" a="1"/>
  <c r="N184" i="2" s="1"/>
  <c r="L337" i="2" a="1"/>
  <c r="L337" i="2" s="1"/>
  <c r="O318" i="2" a="1"/>
  <c r="O318" i="2" s="1"/>
  <c r="O184" i="2" a="1"/>
  <c r="O184" i="2" s="1"/>
  <c r="L153" i="2" a="1"/>
  <c r="L153" i="2" s="1"/>
  <c r="M75" i="2" a="1"/>
  <c r="M75" i="2" s="1"/>
  <c r="K324" i="2" a="1"/>
  <c r="K324" i="2" s="1"/>
  <c r="O75" i="2" a="1"/>
  <c r="O75" i="2" s="1"/>
  <c r="K153" i="2" a="1"/>
  <c r="K153" i="2" s="1"/>
  <c r="O322" i="2" a="1"/>
  <c r="O322" i="2" s="1"/>
  <c r="K357" i="2" a="1"/>
  <c r="K357" i="2" s="1"/>
  <c r="O375" i="2" a="1"/>
  <c r="O375" i="2" s="1"/>
  <c r="M278" i="2" a="1"/>
  <c r="M278" i="2" s="1"/>
  <c r="L78" i="2" a="1"/>
  <c r="L78" i="2" s="1"/>
  <c r="N78" i="2" a="1"/>
  <c r="N78" i="2" s="1"/>
  <c r="O78" i="2" a="1"/>
  <c r="O78" i="2" s="1"/>
  <c r="K78" i="2" a="1"/>
  <c r="K78" i="2" s="1"/>
  <c r="N312" i="2" a="1"/>
  <c r="N312" i="2" s="1"/>
  <c r="K312" i="2" a="1"/>
  <c r="K312" i="2" s="1"/>
  <c r="M312" i="2" a="1"/>
  <c r="M312" i="2" s="1"/>
  <c r="O312" i="2" a="1"/>
  <c r="O312" i="2" s="1"/>
  <c r="K263" i="2" a="1"/>
  <c r="K263" i="2" s="1"/>
  <c r="N263" i="2" a="1"/>
  <c r="N263" i="2" s="1"/>
  <c r="O263" i="2" a="1"/>
  <c r="O263" i="2" s="1"/>
  <c r="K174" i="2" a="1"/>
  <c r="K174" i="2" s="1"/>
  <c r="O174" i="2" a="1"/>
  <c r="O174" i="2" s="1"/>
  <c r="L174" i="2" a="1"/>
  <c r="L174" i="2" s="1"/>
  <c r="N174" i="2" a="1"/>
  <c r="N174" i="2" s="1"/>
  <c r="K185" i="2" a="1"/>
  <c r="K185" i="2" s="1"/>
  <c r="N185" i="2" a="1"/>
  <c r="N185" i="2" s="1"/>
  <c r="M185" i="2" a="1"/>
  <c r="M185" i="2" s="1"/>
  <c r="L185" i="2" a="1"/>
  <c r="L185" i="2" s="1"/>
  <c r="O185" i="2" a="1"/>
  <c r="O185" i="2" s="1"/>
  <c r="K54" i="2" a="1"/>
  <c r="K54" i="2" s="1"/>
  <c r="L54" i="2" a="1"/>
  <c r="L54" i="2" s="1"/>
  <c r="N54" i="2" a="1"/>
  <c r="N54" i="2" s="1"/>
  <c r="M54" i="2" a="1"/>
  <c r="M54" i="2" s="1"/>
  <c r="M311" i="2" a="1"/>
  <c r="M311" i="2" s="1"/>
  <c r="L311" i="2" a="1"/>
  <c r="L311" i="2" s="1"/>
  <c r="O311" i="2" a="1"/>
  <c r="O311" i="2" s="1"/>
  <c r="K311" i="2" a="1"/>
  <c r="K311" i="2" s="1"/>
  <c r="O167" i="2" a="1"/>
  <c r="O167" i="2" s="1"/>
  <c r="L167" i="2" a="1"/>
  <c r="L167" i="2" s="1"/>
  <c r="K167" i="2" a="1"/>
  <c r="K167" i="2" s="1"/>
  <c r="M167" i="2" a="1"/>
  <c r="M167" i="2" s="1"/>
  <c r="K105" i="2" a="1"/>
  <c r="K105" i="2" s="1"/>
  <c r="O105" i="2" a="1"/>
  <c r="O105" i="2" s="1"/>
  <c r="M105" i="2" a="1"/>
  <c r="M105" i="2" s="1"/>
  <c r="O350" i="2" a="1"/>
  <c r="O350" i="2" s="1"/>
  <c r="K350" i="2" a="1"/>
  <c r="K350" i="2" s="1"/>
  <c r="L350" i="2" a="1"/>
  <c r="L350" i="2" s="1"/>
  <c r="N322" i="2" a="1"/>
  <c r="N322" i="2" s="1"/>
  <c r="N104" i="2" a="1"/>
  <c r="N104" i="2" s="1"/>
  <c r="O337" i="2" a="1"/>
  <c r="O337" i="2" s="1"/>
  <c r="O142" i="2" a="1"/>
  <c r="O142" i="2" s="1"/>
  <c r="L303" i="2" a="1"/>
  <c r="L303" i="2" s="1"/>
  <c r="K227" i="2" a="1"/>
  <c r="K227" i="2" s="1"/>
  <c r="K126" i="2" a="1"/>
  <c r="K126" i="2" s="1"/>
  <c r="N153" i="2" a="1"/>
  <c r="N153" i="2" s="1"/>
  <c r="N337" i="2" a="1"/>
  <c r="N337" i="2" s="1"/>
  <c r="M78" i="2" a="1"/>
  <c r="M78" i="2" s="1"/>
  <c r="L382" i="2" a="1"/>
  <c r="L382" i="2" s="1"/>
  <c r="L354" i="2" a="1"/>
  <c r="L354" i="2" s="1"/>
  <c r="N167" i="2" a="1"/>
  <c r="N167" i="2" s="1"/>
  <c r="M357" i="2" a="1"/>
  <c r="M357" i="2" s="1"/>
  <c r="K205" i="2" a="1"/>
  <c r="K205" i="2" s="1"/>
  <c r="O239" i="2" a="1"/>
  <c r="O239" i="2" s="1"/>
  <c r="K239" i="2" a="1"/>
  <c r="K239" i="2" s="1"/>
  <c r="L239" i="2" a="1"/>
  <c r="L239" i="2" s="1"/>
  <c r="K276" i="2" a="1"/>
  <c r="K276" i="2" s="1"/>
  <c r="O276" i="2" a="1"/>
  <c r="O276" i="2" s="1"/>
  <c r="L276" i="2" a="1"/>
  <c r="L276" i="2" s="1"/>
  <c r="O335" i="2" a="1"/>
  <c r="O335" i="2" s="1"/>
  <c r="L335" i="2" a="1"/>
  <c r="L335" i="2" s="1"/>
  <c r="N335" i="2" a="1"/>
  <c r="N335" i="2" s="1"/>
  <c r="M335" i="2" a="1"/>
  <c r="M335" i="2" s="1"/>
  <c r="K177" i="2" a="1"/>
  <c r="K177" i="2" s="1"/>
  <c r="N177" i="2" a="1"/>
  <c r="N177" i="2" s="1"/>
  <c r="M177" i="2" a="1"/>
  <c r="M177" i="2" s="1"/>
  <c r="O334" i="2" a="1"/>
  <c r="O334" i="2" s="1"/>
  <c r="K334" i="2" a="1"/>
  <c r="K334" i="2" s="1"/>
  <c r="M334" i="2" a="1"/>
  <c r="M334" i="2" s="1"/>
  <c r="N228" i="2" a="1"/>
  <c r="N228" i="2" s="1"/>
  <c r="K228" i="2" a="1"/>
  <c r="K228" i="2" s="1"/>
  <c r="O228" i="2" a="1"/>
  <c r="O228" i="2" s="1"/>
  <c r="L228" i="2" a="1"/>
  <c r="L228" i="2" s="1"/>
  <c r="M228" i="2" a="1"/>
  <c r="M228" i="2" s="1"/>
  <c r="L136" i="2" a="1"/>
  <c r="L136" i="2" s="1"/>
  <c r="K136" i="2" a="1"/>
  <c r="K136" i="2" s="1"/>
  <c r="O306" i="2" a="1"/>
  <c r="O306" i="2" s="1"/>
  <c r="K306" i="2" a="1"/>
  <c r="K306" i="2" s="1"/>
  <c r="N306" i="2" a="1"/>
  <c r="N306" i="2" s="1"/>
  <c r="K52" i="2" a="1"/>
  <c r="K52" i="2" s="1"/>
  <c r="L52" i="2" a="1"/>
  <c r="L52" i="2" s="1"/>
  <c r="O52" i="2" a="1"/>
  <c r="O52" i="2" s="1"/>
  <c r="N52" i="2" a="1"/>
  <c r="N52" i="2" s="1"/>
  <c r="M52" i="2" a="1"/>
  <c r="M52" i="2" s="1"/>
  <c r="N332" i="2" a="1"/>
  <c r="N332" i="2" s="1"/>
  <c r="L184" i="2" a="1"/>
  <c r="L184" i="2" s="1"/>
  <c r="M290" i="2" a="1"/>
  <c r="M290" i="2" s="1"/>
  <c r="M293" i="2" a="1"/>
  <c r="M293" i="2" s="1"/>
  <c r="N95" i="2" a="1"/>
  <c r="N95" i="2" s="1"/>
  <c r="L293" i="2" a="1"/>
  <c r="L293" i="2" s="1"/>
  <c r="K290" i="2" a="1"/>
  <c r="K290" i="2" s="1"/>
  <c r="K258" i="2" a="1"/>
  <c r="K258" i="2" s="1"/>
  <c r="M95" i="2" a="1"/>
  <c r="M95" i="2" s="1"/>
  <c r="M317" i="2" a="1"/>
  <c r="M317" i="2" s="1"/>
  <c r="L227" i="2" a="1"/>
  <c r="L227" i="2" s="1"/>
  <c r="O54" i="2" a="1"/>
  <c r="O54" i="2" s="1"/>
  <c r="M174" i="2" a="1"/>
  <c r="M174" i="2" s="1"/>
  <c r="N334" i="2" a="1"/>
  <c r="N334" i="2" s="1"/>
  <c r="N105" i="2" a="1"/>
  <c r="N105" i="2" s="1"/>
  <c r="L105" i="2" a="1"/>
  <c r="L105" i="2" s="1"/>
  <c r="N65" i="2" a="1"/>
  <c r="N65" i="2" s="1"/>
  <c r="N354" i="2" a="1"/>
  <c r="N354" i="2" s="1"/>
  <c r="N278" i="2" a="1"/>
  <c r="N278" i="2" s="1"/>
  <c r="O356" i="2" a="1"/>
  <c r="O356" i="2" s="1"/>
  <c r="L207" i="2" a="1"/>
  <c r="L207" i="2" s="1"/>
  <c r="N155" i="2" a="1"/>
  <c r="N155" i="2" s="1"/>
  <c r="L260" i="2" a="1"/>
  <c r="L260" i="2" s="1"/>
  <c r="K366" i="2" a="1"/>
  <c r="K366" i="2" s="1"/>
  <c r="N328" i="2" a="1"/>
  <c r="N328" i="2" s="1"/>
  <c r="O83" i="2" a="1"/>
  <c r="O83" i="2" s="1"/>
  <c r="O347" i="2" a="1"/>
  <c r="O347" i="2" s="1"/>
  <c r="M188" i="2" a="1"/>
  <c r="M188" i="2" s="1"/>
  <c r="O262" i="2" a="1"/>
  <c r="O262" i="2" s="1"/>
  <c r="N384" i="2" a="1"/>
  <c r="N384" i="2" s="1"/>
  <c r="L205" i="2" a="1"/>
  <c r="L205" i="2" s="1"/>
  <c r="K302" i="2" a="1"/>
  <c r="K302" i="2" s="1"/>
  <c r="M195" i="2" a="1"/>
  <c r="M195" i="2" s="1"/>
  <c r="O371" i="2" a="1"/>
  <c r="O371" i="2" s="1"/>
  <c r="K349" i="2" a="1"/>
  <c r="K349" i="2" s="1"/>
  <c r="N249" i="2" a="1"/>
  <c r="N249" i="2" s="1"/>
  <c r="K64" i="2" a="1"/>
  <c r="K64" i="2" s="1"/>
  <c r="L349" i="2" a="1"/>
  <c r="L349" i="2" s="1"/>
  <c r="L347" i="2" a="1"/>
  <c r="L347" i="2" s="1"/>
  <c r="O260" i="2" a="1"/>
  <c r="O260" i="2" s="1"/>
  <c r="K155" i="2" a="1"/>
  <c r="K155" i="2" s="1"/>
  <c r="M191" i="2" a="1"/>
  <c r="M191" i="2" s="1"/>
  <c r="L204" i="2" a="1"/>
  <c r="L204" i="2" s="1"/>
  <c r="N195" i="2" a="1"/>
  <c r="N195" i="2" s="1"/>
  <c r="O195" i="2" a="1"/>
  <c r="O195" i="2" s="1"/>
  <c r="M349" i="2" a="1"/>
  <c r="M349" i="2" s="1"/>
  <c r="N140" i="2" a="1"/>
  <c r="N140" i="2" s="1"/>
  <c r="M259" i="2" a="1"/>
  <c r="M259" i="2" s="1"/>
  <c r="L249" i="2" a="1"/>
  <c r="L249" i="2" s="1"/>
  <c r="K18" i="2"/>
  <c r="M23" i="2" a="1"/>
  <c r="M23" i="2" s="1"/>
  <c r="L23" i="2" a="1"/>
  <c r="L23" i="2" s="1"/>
  <c r="O23" i="2" a="1"/>
  <c r="O23" i="2" s="1"/>
  <c r="N253" i="2" a="1"/>
  <c r="N253" i="2" s="1"/>
  <c r="L320" i="2" a="1"/>
  <c r="L320" i="2" s="1"/>
  <c r="O346" i="2" a="1"/>
  <c r="O346" i="2" s="1"/>
  <c r="K325" i="2" a="1"/>
  <c r="K325" i="2" s="1"/>
  <c r="N219" i="2" a="1"/>
  <c r="N219" i="2" s="1"/>
  <c r="K219" i="2" a="1"/>
  <c r="K219" i="2" s="1"/>
  <c r="O283" i="2" a="1"/>
  <c r="O283" i="2" s="1"/>
  <c r="L298" i="2" a="1"/>
  <c r="L298" i="2" s="1"/>
  <c r="N111" i="2" a="1"/>
  <c r="N111" i="2" s="1"/>
  <c r="L265" i="2" a="1"/>
  <c r="L265" i="2" s="1"/>
  <c r="N207" i="2" a="1"/>
  <c r="N207" i="2" s="1"/>
  <c r="L33" i="2" a="1"/>
  <c r="L33" i="2" s="1"/>
  <c r="K291" i="2" a="1"/>
  <c r="K291" i="2" s="1"/>
  <c r="K61" i="2" a="1"/>
  <c r="K61" i="2" s="1"/>
  <c r="K34" i="2" a="1"/>
  <c r="K34" i="2" s="1"/>
  <c r="O38" i="2" a="1"/>
  <c r="O38" i="2" s="1"/>
  <c r="O254" i="2" a="1"/>
  <c r="O254" i="2" s="1"/>
  <c r="M211" i="2" a="1"/>
  <c r="M211" i="2" s="1"/>
  <c r="L169" i="2" a="1"/>
  <c r="L169" i="2" s="1"/>
  <c r="L38" i="2" a="1"/>
  <c r="L38" i="2" s="1"/>
  <c r="M169" i="2" a="1"/>
  <c r="M169" i="2" s="1"/>
  <c r="K169" i="2" a="1"/>
  <c r="K169" i="2" s="1"/>
  <c r="K38" i="2" a="1"/>
  <c r="K38" i="2" s="1"/>
  <c r="L254" i="2" a="1"/>
  <c r="L254" i="2" s="1"/>
  <c r="K223" i="2" a="1"/>
  <c r="K223" i="2" s="1"/>
  <c r="N169" i="2" a="1"/>
  <c r="N169" i="2" s="1"/>
  <c r="K140" i="2" a="1"/>
  <c r="K140" i="2" s="1"/>
  <c r="N120" i="2" a="1"/>
  <c r="N120" i="2" s="1"/>
  <c r="L140" i="2" a="1"/>
  <c r="L140" i="2" s="1"/>
  <c r="N320" i="2" a="1"/>
  <c r="N320" i="2" s="1"/>
  <c r="L219" i="2" a="1"/>
  <c r="L219" i="2" s="1"/>
  <c r="L309" i="2" a="1"/>
  <c r="L309" i="2" s="1"/>
  <c r="M282" i="2" a="1"/>
  <c r="M282" i="2" s="1"/>
  <c r="M321" i="2" a="1"/>
  <c r="M321" i="2" s="1"/>
  <c r="M310" i="2" a="1"/>
  <c r="M310" i="2" s="1"/>
  <c r="K353" i="2" a="1"/>
  <c r="K353" i="2" s="1"/>
  <c r="L336" i="2" a="1"/>
  <c r="L336" i="2" s="1"/>
  <c r="O320" i="2" a="1"/>
  <c r="O320" i="2" s="1"/>
  <c r="N46" i="2" a="1"/>
  <c r="N46" i="2" s="1"/>
  <c r="N298" i="2" a="1"/>
  <c r="N298" i="2" s="1"/>
  <c r="K33" i="2" a="1"/>
  <c r="K33" i="2" s="1"/>
  <c r="O336" i="2" a="1"/>
  <c r="O336" i="2" s="1"/>
  <c r="K249" i="2" a="1"/>
  <c r="K249" i="2" s="1"/>
  <c r="M165" i="2" a="1"/>
  <c r="M165" i="2" s="1"/>
  <c r="O211" i="2" a="1"/>
  <c r="O211" i="2" s="1"/>
  <c r="M120" i="2" a="1"/>
  <c r="M120" i="2" s="1"/>
  <c r="M179" i="2" a="1"/>
  <c r="M179" i="2" s="1"/>
  <c r="O298" i="2" a="1"/>
  <c r="O298" i="2" s="1"/>
  <c r="K71" i="2" a="1"/>
  <c r="K71" i="2" s="1"/>
  <c r="M46" i="2" a="1"/>
  <c r="M46" i="2" s="1"/>
  <c r="O310" i="2" a="1"/>
  <c r="O310" i="2" s="1"/>
  <c r="K254" i="2" a="1"/>
  <c r="K254" i="2" s="1"/>
  <c r="O191" i="2" a="1"/>
  <c r="O191" i="2" s="1"/>
  <c r="O223" i="2" a="1"/>
  <c r="O223" i="2" s="1"/>
  <c r="N223" i="2" a="1"/>
  <c r="N223" i="2" s="1"/>
  <c r="N179" i="2" a="1"/>
  <c r="N179" i="2" s="1"/>
  <c r="L325" i="2" a="1"/>
  <c r="L325" i="2" s="1"/>
  <c r="M219" i="2" a="1"/>
  <c r="M219" i="2" s="1"/>
  <c r="M254" i="2" a="1"/>
  <c r="M254" i="2" s="1"/>
  <c r="K211" i="2" a="1"/>
  <c r="K211" i="2" s="1"/>
  <c r="L191" i="2" a="1"/>
  <c r="L191" i="2" s="1"/>
  <c r="N211" i="2" a="1"/>
  <c r="N211" i="2" s="1"/>
  <c r="N5" i="2"/>
  <c r="O5" i="2"/>
  <c r="N22" i="2"/>
  <c r="L12" i="2"/>
  <c r="M22" i="2"/>
  <c r="M12" i="2"/>
  <c r="K23" i="2"/>
  <c r="O13" i="2"/>
  <c r="M18" i="2"/>
  <c r="N18" i="2"/>
  <c r="O18" i="2"/>
  <c r="L18" i="2"/>
  <c r="N13" i="2"/>
  <c r="K4" i="2"/>
  <c r="N4" i="2"/>
  <c r="O4" i="2"/>
  <c r="L4" i="2"/>
  <c r="M4" i="2"/>
  <c r="B17" i="13"/>
  <c r="B18" i="13" s="1" a="1"/>
  <c r="B18" i="13" s="1"/>
  <c r="B4" i="12"/>
  <c r="L3" i="2" a="1"/>
  <c r="K7" i="2" a="1"/>
  <c r="K6" i="2" a="1"/>
  <c r="N8" i="2" a="1"/>
  <c r="M10" i="2" a="1"/>
  <c r="L8" i="2" a="1"/>
  <c r="L10" i="2" a="1"/>
  <c r="N10" i="2" a="1"/>
  <c r="L9" i="2" a="1"/>
  <c r="O8" i="2" a="1"/>
  <c r="N6" i="2" a="1"/>
  <c r="N7" i="2" a="1"/>
  <c r="M3" i="2" a="1"/>
  <c r="O6" i="2" a="1"/>
  <c r="O3" i="2" a="1"/>
  <c r="M9" i="2" a="1"/>
  <c r="N9" i="2" a="1"/>
  <c r="K8" i="2" a="1"/>
  <c r="O10" i="2" a="1"/>
  <c r="M7" i="2" a="1"/>
  <c r="N3" i="2" a="1"/>
  <c r="K3" i="2" a="1"/>
  <c r="O7" i="2" a="1"/>
  <c r="K9" i="2" a="1"/>
  <c r="K10" i="2" a="1"/>
  <c r="L2" i="2" a="1"/>
  <c r="O16" i="2" a="1"/>
  <c r="K17" i="2" a="1"/>
  <c r="L16" i="2" a="1"/>
  <c r="K15" i="2" a="1"/>
  <c r="L11" i="2" a="1"/>
  <c r="M13" i="2" a="1"/>
  <c r="O11" i="2" a="1"/>
  <c r="O14" i="2" a="1"/>
  <c r="L22" i="2" a="1"/>
  <c r="K12" i="2" a="1"/>
  <c r="L14" i="2" a="1"/>
  <c r="O12" i="2" a="1"/>
  <c r="M15" i="2" a="1"/>
  <c r="L17" i="2" a="1"/>
  <c r="M16" i="2" a="1"/>
  <c r="N2" i="2" a="1"/>
  <c r="L13" i="2" a="1"/>
  <c r="L5" i="2" a="1"/>
  <c r="K13" i="2" a="1"/>
  <c r="M14" i="2" a="1"/>
  <c r="K14" i="2" a="1"/>
  <c r="N11" i="2" a="1"/>
  <c r="M2" i="2" a="1"/>
  <c r="K16" i="2" a="1"/>
  <c r="N17" i="2" a="1"/>
  <c r="M11" i="2" a="1"/>
  <c r="O17" i="2" a="1"/>
  <c r="M5" i="2" a="1"/>
  <c r="N16" i="2" a="1"/>
  <c r="O22" i="2" a="1"/>
  <c r="O15" i="2" a="1"/>
  <c r="O2" i="2" a="1"/>
  <c r="N12" i="2" a="1"/>
  <c r="N14" i="2" a="1"/>
  <c r="K22" i="2" a="1"/>
  <c r="N15" i="2" a="1"/>
  <c r="M17" i="2" a="1"/>
  <c r="K5" i="2" a="1"/>
  <c r="L15" i="2" a="1"/>
  <c r="K2" i="2" a="1"/>
  <c r="K11" i="2" a="1"/>
  <c r="J226" i="2" l="1"/>
  <c r="J129" i="2"/>
  <c r="J234" i="2"/>
  <c r="J209" i="2"/>
  <c r="J175" i="2"/>
  <c r="J292" i="2"/>
  <c r="J222" i="2"/>
  <c r="J45" i="2"/>
  <c r="J333" i="2"/>
  <c r="J280" i="2"/>
  <c r="J100" i="2"/>
  <c r="J58" i="2"/>
  <c r="O6" i="2"/>
  <c r="N6" i="2"/>
  <c r="L8" i="2"/>
  <c r="J56" i="2"/>
  <c r="J377" i="2"/>
  <c r="J299" i="2"/>
  <c r="J272" i="2"/>
  <c r="J379" i="2"/>
  <c r="J296" i="2"/>
  <c r="J372" i="2"/>
  <c r="J84" i="2"/>
  <c r="J284" i="2"/>
  <c r="J41" i="2"/>
  <c r="J201" i="2"/>
  <c r="J36" i="2"/>
  <c r="J229" i="2"/>
  <c r="J365" i="2"/>
  <c r="J98" i="2"/>
  <c r="J64" i="2"/>
  <c r="J233" i="2"/>
  <c r="J255" i="2"/>
  <c r="J321" i="2"/>
  <c r="J269" i="2"/>
  <c r="J109" i="2"/>
  <c r="J76" i="2"/>
  <c r="J150" i="2"/>
  <c r="J170" i="2"/>
  <c r="J344" i="2"/>
  <c r="J368" i="2"/>
  <c r="J246" i="2"/>
  <c r="J297" i="2"/>
  <c r="J199" i="2"/>
  <c r="J81" i="2"/>
  <c r="J265" i="2"/>
  <c r="J162" i="2"/>
  <c r="J330" i="2"/>
  <c r="L22" i="2"/>
  <c r="J319" i="2"/>
  <c r="J112" i="2"/>
  <c r="J314" i="2"/>
  <c r="J364" i="2"/>
  <c r="J381" i="2"/>
  <c r="J59" i="2"/>
  <c r="J285" i="2"/>
  <c r="J131" i="2"/>
  <c r="J132" i="2"/>
  <c r="J241" i="2"/>
  <c r="J86" i="2"/>
  <c r="J173" i="2"/>
  <c r="J44" i="2"/>
  <c r="J190" i="2"/>
  <c r="J270" i="2"/>
  <c r="J143" i="2"/>
  <c r="J232" i="2"/>
  <c r="J172" i="2"/>
  <c r="J213" i="2"/>
  <c r="J331" i="2"/>
  <c r="J148" i="2"/>
  <c r="J171" i="2"/>
  <c r="J316" i="2"/>
  <c r="J67" i="2"/>
  <c r="J60" i="2"/>
  <c r="J87" i="2"/>
  <c r="J273" i="2"/>
  <c r="J378" i="2"/>
  <c r="J116" i="2"/>
  <c r="J39" i="2"/>
  <c r="J130" i="2"/>
  <c r="J79" i="2"/>
  <c r="O22" i="2"/>
  <c r="K22" i="2"/>
  <c r="J214" i="2"/>
  <c r="J329" i="2"/>
  <c r="J48" i="2"/>
  <c r="J94" i="2"/>
  <c r="J236" i="2"/>
  <c r="J152" i="2"/>
  <c r="J340" i="2"/>
  <c r="J141" i="2"/>
  <c r="J159" i="2"/>
  <c r="J264" i="2"/>
  <c r="J288" i="2"/>
  <c r="J37" i="2"/>
  <c r="J117" i="2"/>
  <c r="J101" i="2"/>
  <c r="J291" i="2"/>
  <c r="J289" i="2"/>
  <c r="J146" i="2"/>
  <c r="J243" i="2"/>
  <c r="J181" i="2"/>
  <c r="J217" i="2"/>
  <c r="J197" i="2"/>
  <c r="J235" i="2"/>
  <c r="J359" i="2"/>
  <c r="J351" i="2"/>
  <c r="J208" i="2"/>
  <c r="J138" i="2"/>
  <c r="J370" i="2"/>
  <c r="J43" i="2"/>
  <c r="J66" i="2"/>
  <c r="J203" i="2"/>
  <c r="J187" i="2"/>
  <c r="J242" i="2"/>
  <c r="J374" i="2"/>
  <c r="J237" i="2"/>
  <c r="J240" i="2"/>
  <c r="J154" i="2"/>
  <c r="J266" i="2"/>
  <c r="J267" i="2"/>
  <c r="J271" i="2"/>
  <c r="J313" i="2"/>
  <c r="J212" i="2"/>
  <c r="J121" i="2"/>
  <c r="J268" i="2"/>
  <c r="J326" i="2"/>
  <c r="J202" i="2"/>
  <c r="J360" i="2"/>
  <c r="J257" i="2"/>
  <c r="J35" i="2"/>
  <c r="J196" i="2"/>
  <c r="J47" i="2"/>
  <c r="J275" i="2"/>
  <c r="J373" i="2"/>
  <c r="J55" i="2"/>
  <c r="J343" i="2"/>
  <c r="J262" i="2"/>
  <c r="J164" i="2"/>
  <c r="J115" i="2"/>
  <c r="J186" i="2"/>
  <c r="J346" i="2"/>
  <c r="J97" i="2"/>
  <c r="J281" i="2"/>
  <c r="J77" i="2"/>
  <c r="J183" i="2"/>
  <c r="J62" i="2"/>
  <c r="J161" i="2"/>
  <c r="J225" i="2"/>
  <c r="J69" i="2"/>
  <c r="J341" i="2"/>
  <c r="J244" i="2"/>
  <c r="J353" i="2"/>
  <c r="J155" i="2"/>
  <c r="J245" i="2"/>
  <c r="J57" i="2"/>
  <c r="J50" i="2"/>
  <c r="J82" i="2"/>
  <c r="J198" i="2"/>
  <c r="J352" i="2"/>
  <c r="J118" i="2"/>
  <c r="J119" i="2"/>
  <c r="J238" i="2"/>
  <c r="J248" i="2"/>
  <c r="J99" i="2"/>
  <c r="J349" i="2"/>
  <c r="J256" i="2"/>
  <c r="J220" i="2"/>
  <c r="J68" i="2"/>
  <c r="J163" i="2"/>
  <c r="J46" i="2"/>
  <c r="J355" i="2"/>
  <c r="J90" i="2"/>
  <c r="J114" i="2"/>
  <c r="J282" i="2"/>
  <c r="J144" i="2"/>
  <c r="J322" i="2"/>
  <c r="J258" i="2"/>
  <c r="J70" i="2"/>
  <c r="J53" i="2"/>
  <c r="J134" i="2"/>
  <c r="J72" i="2"/>
  <c r="J135" i="2"/>
  <c r="J102" i="2"/>
  <c r="J42" i="2"/>
  <c r="J210" i="2"/>
  <c r="J283" i="2"/>
  <c r="J384" i="2"/>
  <c r="J366" i="2"/>
  <c r="J276" i="2"/>
  <c r="J206" i="2"/>
  <c r="J157" i="2"/>
  <c r="J110" i="2"/>
  <c r="J122" i="2"/>
  <c r="J166" i="2"/>
  <c r="J310" i="2"/>
  <c r="J188" i="2"/>
  <c r="J371" i="2"/>
  <c r="J195" i="2"/>
  <c r="J34" i="2"/>
  <c r="J192" i="2"/>
  <c r="J323" i="2"/>
  <c r="K10" i="2"/>
  <c r="M10" i="2"/>
  <c r="N10" i="2"/>
  <c r="L10" i="2"/>
  <c r="O10" i="2"/>
  <c r="J263" i="2"/>
  <c r="J88" i="2"/>
  <c r="J128" i="2"/>
  <c r="J295" i="2"/>
  <c r="J106" i="2"/>
  <c r="J194" i="2"/>
  <c r="J305" i="2"/>
  <c r="J123" i="2"/>
  <c r="J294" i="2"/>
  <c r="J338" i="2"/>
  <c r="J107" i="2"/>
  <c r="J308" i="2"/>
  <c r="J363" i="2"/>
  <c r="J33" i="2"/>
  <c r="J227" i="2"/>
  <c r="J95" i="2"/>
  <c r="J382" i="2"/>
  <c r="J337" i="2"/>
  <c r="J104" i="2"/>
  <c r="J93" i="2"/>
  <c r="J347" i="2"/>
  <c r="J151" i="2"/>
  <c r="J251" i="2"/>
  <c r="J85" i="2"/>
  <c r="J149" i="2"/>
  <c r="J307" i="2"/>
  <c r="J301" i="2"/>
  <c r="J71" i="2"/>
  <c r="J165" i="2"/>
  <c r="J38" i="2"/>
  <c r="J293" i="2"/>
  <c r="J247" i="2"/>
  <c r="J230" i="2"/>
  <c r="J261" i="2"/>
  <c r="J73" i="2"/>
  <c r="J108" i="2"/>
  <c r="J178" i="2"/>
  <c r="J133" i="2"/>
  <c r="J189" i="2"/>
  <c r="J51" i="2"/>
  <c r="J160" i="2"/>
  <c r="J200" i="2"/>
  <c r="J193" i="2"/>
  <c r="J80" i="2"/>
  <c r="J356" i="2"/>
  <c r="J96" i="2"/>
  <c r="J40" i="2"/>
  <c r="J249" i="2"/>
  <c r="J83" i="2"/>
  <c r="J127" i="2"/>
  <c r="J231" i="2"/>
  <c r="J252" i="2"/>
  <c r="J103" i="2"/>
  <c r="J302" i="2"/>
  <c r="J136" i="2"/>
  <c r="J61" i="2"/>
  <c r="J332" i="2"/>
  <c r="M3" i="2"/>
  <c r="N8" i="2"/>
  <c r="K3" i="2"/>
  <c r="N3" i="2"/>
  <c r="K8" i="2"/>
  <c r="O8" i="2"/>
  <c r="K9" i="2"/>
  <c r="N7" i="2"/>
  <c r="K6" i="2"/>
  <c r="M7" i="2"/>
  <c r="N9" i="2"/>
  <c r="O3" i="2"/>
  <c r="L9" i="2"/>
  <c r="O7" i="2"/>
  <c r="K7" i="2"/>
  <c r="L3" i="2"/>
  <c r="M9" i="2"/>
  <c r="J309" i="2"/>
  <c r="J253" i="2"/>
  <c r="J207" i="2"/>
  <c r="J125" i="2"/>
  <c r="J111" i="2"/>
  <c r="J218" i="2"/>
  <c r="J120" i="2"/>
  <c r="J205" i="2"/>
  <c r="J105" i="2"/>
  <c r="J169" i="2"/>
  <c r="J191" i="2"/>
  <c r="J153" i="2"/>
  <c r="J300" i="2"/>
  <c r="J369" i="2"/>
  <c r="J315" i="2"/>
  <c r="J279" i="2"/>
  <c r="J145" i="2"/>
  <c r="J215" i="2"/>
  <c r="J345" i="2"/>
  <c r="J140" i="2"/>
  <c r="J260" i="2"/>
  <c r="J306" i="2"/>
  <c r="J228" i="2"/>
  <c r="J239" i="2"/>
  <c r="J350" i="2"/>
  <c r="J167" i="2"/>
  <c r="J185" i="2"/>
  <c r="J312" i="2"/>
  <c r="J78" i="2"/>
  <c r="J142" i="2"/>
  <c r="J113" i="2"/>
  <c r="J318" i="2"/>
  <c r="J357" i="2"/>
  <c r="J250" i="2"/>
  <c r="J182" i="2"/>
  <c r="J278" i="2"/>
  <c r="J339" i="2"/>
  <c r="J286" i="2"/>
  <c r="J358" i="2"/>
  <c r="J139" i="2"/>
  <c r="J49" i="2"/>
  <c r="J362" i="2"/>
  <c r="J287" i="2"/>
  <c r="J277" i="2"/>
  <c r="J89" i="2"/>
  <c r="J383" i="2"/>
  <c r="J361" i="2"/>
  <c r="J180" i="2"/>
  <c r="J216" i="2"/>
  <c r="J156" i="2"/>
  <c r="J177" i="2"/>
  <c r="J375" i="2"/>
  <c r="J184" i="2"/>
  <c r="J126" i="2"/>
  <c r="J224" i="2"/>
  <c r="J327" i="2"/>
  <c r="J290" i="2"/>
  <c r="J124" i="2"/>
  <c r="J274" i="2"/>
  <c r="J176" i="2"/>
  <c r="J219" i="2"/>
  <c r="J254" i="2"/>
  <c r="J54" i="2"/>
  <c r="J52" i="2"/>
  <c r="J334" i="2"/>
  <c r="J335" i="2"/>
  <c r="J354" i="2"/>
  <c r="J311" i="2"/>
  <c r="J174" i="2"/>
  <c r="J75" i="2"/>
  <c r="J204" i="2"/>
  <c r="J380" i="2"/>
  <c r="J158" i="2"/>
  <c r="J376" i="2"/>
  <c r="J221" i="2"/>
  <c r="J147" i="2"/>
  <c r="J168" i="2"/>
  <c r="J63" i="2"/>
  <c r="J304" i="2"/>
  <c r="J137" i="2"/>
  <c r="J348" i="2"/>
  <c r="J92" i="2"/>
  <c r="J367" i="2"/>
  <c r="J74" i="2"/>
  <c r="J324" i="2"/>
  <c r="J317" i="2"/>
  <c r="J91" i="2"/>
  <c r="J303" i="2"/>
  <c r="J65" i="2"/>
  <c r="J179" i="2"/>
  <c r="J298" i="2"/>
  <c r="J259" i="2"/>
  <c r="J320" i="2"/>
  <c r="J223" i="2"/>
  <c r="J325" i="2"/>
  <c r="J328" i="2"/>
  <c r="J336" i="2"/>
  <c r="J211" i="2"/>
  <c r="K17" i="2"/>
  <c r="N11" i="2"/>
  <c r="K13" i="2"/>
  <c r="N2" i="2"/>
  <c r="K14" i="2"/>
  <c r="N17" i="2"/>
  <c r="M11" i="2"/>
  <c r="M13" i="2"/>
  <c r="M16" i="2"/>
  <c r="K15" i="2"/>
  <c r="M14" i="2"/>
  <c r="O17" i="2"/>
  <c r="O12" i="2"/>
  <c r="L13" i="2"/>
  <c r="L2" i="2"/>
  <c r="L16" i="2"/>
  <c r="N15" i="2"/>
  <c r="O14" i="2"/>
  <c r="L5" i="2"/>
  <c r="L17" i="2"/>
  <c r="L11" i="2"/>
  <c r="N12" i="2"/>
  <c r="M2" i="2"/>
  <c r="K16" i="2"/>
  <c r="O15" i="2"/>
  <c r="L14" i="2"/>
  <c r="K5" i="2"/>
  <c r="O11" i="2"/>
  <c r="K12" i="2"/>
  <c r="O2" i="2"/>
  <c r="N16" i="2"/>
  <c r="L15" i="2"/>
  <c r="N14" i="2"/>
  <c r="M5" i="2"/>
  <c r="M17" i="2"/>
  <c r="K11" i="2"/>
  <c r="K2" i="2"/>
  <c r="O16" i="2"/>
  <c r="M15" i="2"/>
  <c r="J24" i="2"/>
  <c r="J23" i="2"/>
  <c r="J18" i="2"/>
  <c r="J4" i="2"/>
  <c r="C17" i="13"/>
  <c r="C18" i="13" s="1" a="1"/>
  <c r="C18" i="13" s="1"/>
  <c r="C4" i="12"/>
  <c r="J22" i="2" l="1"/>
  <c r="J3" i="2"/>
  <c r="J10" i="2"/>
  <c r="J8" i="2"/>
  <c r="J7" i="2"/>
  <c r="J6" i="2"/>
  <c r="J9" i="2"/>
  <c r="J11" i="2"/>
  <c r="J2" i="2"/>
  <c r="J12" i="2"/>
  <c r="J17" i="2"/>
  <c r="J16" i="2"/>
  <c r="J15" i="2"/>
  <c r="J13" i="2"/>
  <c r="J14" i="2"/>
  <c r="J5" i="2"/>
  <c r="D17" i="13"/>
  <c r="D18" i="13" s="1" a="1"/>
  <c r="D18" i="13" s="1"/>
  <c r="D4" i="12"/>
  <c r="E4" i="12" l="1"/>
  <c r="E17" i="13"/>
  <c r="E18" i="13" s="1" a="1"/>
  <c r="E18" i="13" s="1"/>
  <c r="F4" i="12" l="1"/>
  <c r="F17" i="13"/>
  <c r="F18" i="13" s="1" a="1"/>
  <c r="F18" i="13" s="1"/>
  <c r="G17" i="13" l="1"/>
  <c r="G18" i="13" s="1" a="1"/>
  <c r="G18" i="13" s="1"/>
  <c r="G4" i="12"/>
  <c r="H17" i="13" l="1"/>
  <c r="H18" i="13" s="1" a="1"/>
  <c r="H18" i="13" s="1"/>
  <c r="A5" i="12"/>
  <c r="B5" i="12" l="1"/>
  <c r="B22" i="13"/>
  <c r="B23" i="13" s="1" a="1"/>
  <c r="B23" i="13" s="1"/>
  <c r="C22" i="13" l="1"/>
  <c r="C23" i="13" s="1" a="1"/>
  <c r="C23" i="13" s="1"/>
  <c r="C5" i="12"/>
  <c r="D5" i="12" l="1"/>
  <c r="D22" i="13"/>
  <c r="D23" i="13" s="1" a="1"/>
  <c r="D23" i="13" s="1"/>
  <c r="E5" i="12" l="1"/>
  <c r="E22" i="13"/>
  <c r="E23" i="13" s="1" a="1"/>
  <c r="E23" i="13" s="1"/>
  <c r="F5" i="12" l="1"/>
  <c r="F22" i="13"/>
  <c r="F23" i="13" s="1" a="1"/>
  <c r="F23" i="13" s="1"/>
  <c r="G5" i="12" l="1"/>
  <c r="G22" i="13"/>
  <c r="G23" i="13" s="1" a="1"/>
  <c r="G23" i="13" s="1"/>
  <c r="H22" i="13" l="1"/>
  <c r="H23" i="13" s="1" a="1"/>
  <c r="H23" i="13" s="1"/>
  <c r="A6" i="12"/>
  <c r="B27" i="13" l="1"/>
  <c r="B28" i="13" s="1" a="1"/>
  <c r="B28" i="13" s="1"/>
  <c r="B6" i="12"/>
  <c r="C6" i="12" l="1"/>
  <c r="C27" i="13"/>
  <c r="C28" i="13" s="1" a="1"/>
  <c r="C28" i="13" s="1"/>
  <c r="D6" i="12" l="1"/>
  <c r="D27" i="13"/>
  <c r="D28" i="13" s="1" a="1"/>
  <c r="D28" i="13" s="1"/>
  <c r="E27" i="13" l="1"/>
  <c r="E28" i="13" s="1" a="1"/>
  <c r="E28" i="13" s="1"/>
  <c r="E6" i="12"/>
  <c r="F6" i="12" l="1"/>
  <c r="F27" i="13"/>
  <c r="F28" i="13" s="1" a="1"/>
  <c r="F28" i="13" s="1"/>
  <c r="G6" i="12" l="1"/>
  <c r="G27" i="13"/>
  <c r="G28" i="13" s="1" a="1"/>
  <c r="G28" i="13" s="1"/>
  <c r="A7" i="12" l="1"/>
  <c r="H27" i="13"/>
  <c r="H28" i="13" s="1" a="1"/>
  <c r="H28" i="13" s="1"/>
  <c r="B32" i="13" l="1"/>
  <c r="B33" i="13" s="1" a="1"/>
  <c r="B33" i="13" s="1"/>
  <c r="B7" i="12"/>
  <c r="C7" i="12" l="1"/>
  <c r="C32" i="13"/>
  <c r="C33" i="13" s="1" a="1"/>
  <c r="C33" i="13" s="1"/>
  <c r="D7" i="12" l="1"/>
  <c r="D32" i="13"/>
  <c r="D33" i="13" s="1" a="1"/>
  <c r="D33" i="13" s="1"/>
  <c r="E7" i="12" l="1"/>
  <c r="E32" i="13"/>
  <c r="E33" i="13" s="1" a="1"/>
  <c r="E33" i="13" s="1"/>
  <c r="F7" i="12" l="1"/>
  <c r="F32" i="13"/>
  <c r="F33" i="13" s="1" a="1"/>
  <c r="F33" i="13" s="1"/>
  <c r="G32" i="13" l="1"/>
  <c r="G33" i="13" s="1" a="1"/>
  <c r="G33" i="13" s="1"/>
  <c r="G7" i="12"/>
  <c r="H32" i="13" s="1"/>
  <c r="H33" i="13" s="1" a="1"/>
  <c r="H33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iario" description="Conexão com a consulta 'diario' na pasta de trabalho." type="5" refreshedVersion="0" background="1">
    <dbPr connection="Provider=Microsoft.Mashup.OleDb.1;Data Source=$Workbook$;Location=diario;Extended Properties=&quot;&quot;" command="SELECT * FROM [diario]"/>
  </connection>
  <connection id="2" xr16:uid="{00000000-0015-0000-FFFF-FFFF01000000}" keepAlive="1" name="Consulta - equipe" description="Conexão com a consulta 'equipe' na pasta de trabalho." type="5" refreshedVersion="0" background="1" saveData="1">
    <dbPr connection="Provider=Microsoft.Mashup.OleDb.1;Data Source=$Workbook$;Location=equipe;Extended Properties=&quot;&quot;" command="SELECT * FROM [equipe]"/>
  </connection>
  <connection id="3" xr16:uid="{00000000-0015-0000-FFFF-FFFF02000000}" keepAlive="1" name="Consulta - ferias" description="Conexão com a consulta 'ferias' na pasta de trabalho." type="5" refreshedVersion="0" background="1">
    <dbPr connection="Provider=Microsoft.Mashup.OleDb.1;Data Source=$Workbook$;Location=ferias;Extended Properties=&quot;&quot;" command="SELECT * FROM [ferias]"/>
  </connection>
  <connection id="4" xr16:uid="{00000000-0015-0000-FFFF-FFFF03000000}" keepAlive="1" name="Consulta - ferias_folgas" description="Conexão com a consulta 'ferias_folgas' na pasta de trabalho." type="5" refreshedVersion="8" background="1" saveData="1">
    <dbPr connection="Provider=Microsoft.Mashup.OleDb.1;Data Source=$Workbook$;Location=ferias_folgas;Extended Properties=&quot;&quot;" command="SELECT * FROM [ferias_folgas]"/>
  </connection>
  <connection id="5" xr16:uid="{00000000-0015-0000-FFFF-FFFF04000000}" keepAlive="1" name="Consulta - fixo" description="Conexão com a consulta 'fixo' na pasta de trabalho." type="5" refreshedVersion="0" background="1">
    <dbPr connection="Provider=Microsoft.Mashup.OleDb.1;Data Source=$Workbook$;Location=fixo;Extended Properties=&quot;&quot;" command="SELECT * FROM [fixo]"/>
  </connection>
  <connection id="6" xr16:uid="{00000000-0015-0000-FFFF-FFFF05000000}" keepAlive="1" name="Consulta - folga" description="Conexão com a consulta 'folga' na pasta de trabalho." type="5" refreshedVersion="0" background="1">
    <dbPr connection="Provider=Microsoft.Mashup.OleDb.1;Data Source=$Workbook$;Location=folga;Extended Properties=&quot;&quot;" command="SELECT * FROM [folga]"/>
  </connection>
  <connection id="7" xr16:uid="{00000000-0015-0000-FFFF-FFFF06000000}" keepAlive="1" name="Consulta - ignorar" description="Conexão com a consulta 'ignorar' na pasta de trabalho." type="5" refreshedVersion="0" background="1">
    <dbPr connection="Provider=Microsoft.Mashup.OleDb.1;Data Source=$Workbook$;Location=ignorar;Extended Properties=&quot;&quot;" command="SELECT * FROM [ignorar]"/>
  </connection>
  <connection id="8" xr16:uid="{00000000-0015-0000-FFFF-FFFF07000000}" keepAlive="1" name="Consulta - Regra" description="Conexão com a consulta 'Regra' na pasta de trabalho." type="5" refreshedVersion="0" background="1" saveData="1">
    <dbPr connection="Provider=Microsoft.Mashup.OleDb.1;Data Source=$Workbook$;Location=Regra;Extended Properties=&quot;&quot;" command="SELECT * FROM [Regra]"/>
  </connection>
  <connection id="9" xr16:uid="{00000000-0015-0000-FFFF-FFFF08000000}" keepAlive="1" name="Consulta - tudo" description="Conexão com a consulta 'tudo' na pasta de trabalho." type="5" refreshedVersion="8" background="1" saveData="1">
    <dbPr connection="Provider=Microsoft.Mashup.OleDb.1;Data Source=$Workbook$;Location=tudo;Extended Properties=&quot;&quot;" command="SELECT * FROM [tud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<sst xmlns="http://schemas.openxmlformats.org/spreadsheetml/2006/main" count="44249" uniqueCount="739">
  <si>
    <t>Data</t>
  </si>
  <si>
    <t>Médico</t>
  </si>
  <si>
    <t>Compromisso</t>
  </si>
  <si>
    <t>HoraInicio</t>
  </si>
  <si>
    <t>HoraFim</t>
  </si>
  <si>
    <t>Obs</t>
  </si>
  <si>
    <t>27/04/2023m</t>
  </si>
  <si>
    <t>ARI</t>
  </si>
  <si>
    <t>PLANTÃO SOBREAVISO</t>
  </si>
  <si>
    <t>KRE</t>
  </si>
  <si>
    <t>ESTÁGIO</t>
  </si>
  <si>
    <t>28/04/2023m</t>
  </si>
  <si>
    <t>EDU</t>
  </si>
  <si>
    <t>PLANTÃO DIA</t>
  </si>
  <si>
    <t>PW</t>
  </si>
  <si>
    <t>PLANTÃO NOITE</t>
  </si>
  <si>
    <t>PP</t>
  </si>
  <si>
    <t>FAB</t>
  </si>
  <si>
    <t>PRÉ-OP HED</t>
  </si>
  <si>
    <t>26/04/2023m</t>
  </si>
  <si>
    <t>ROB</t>
  </si>
  <si>
    <t>RA</t>
  </si>
  <si>
    <t>ADMINISTRAÇÃO</t>
  </si>
  <si>
    <t>BG</t>
  </si>
  <si>
    <t>OUTRO COMPROMISSO</t>
  </si>
  <si>
    <t>HEN</t>
  </si>
  <si>
    <t>PERÍODO LIVRE</t>
  </si>
  <si>
    <t>KIL</t>
  </si>
  <si>
    <t>25/04/2023m</t>
  </si>
  <si>
    <t>JOA</t>
  </si>
  <si>
    <t>FOLGA</t>
  </si>
  <si>
    <t>22/05/2023m</t>
  </si>
  <si>
    <t>JS</t>
  </si>
  <si>
    <t>DIF</t>
  </si>
  <si>
    <t>LIP</t>
  </si>
  <si>
    <t>FLA</t>
  </si>
  <si>
    <t>DRI</t>
  </si>
  <si>
    <t>EBB</t>
  </si>
  <si>
    <t>ORO</t>
  </si>
  <si>
    <t>KLA</t>
  </si>
  <si>
    <t>EMA</t>
  </si>
  <si>
    <t>ESTUDO</t>
  </si>
  <si>
    <t>SAK</t>
  </si>
  <si>
    <t>PRÉ-OP HMV</t>
  </si>
  <si>
    <t>REI</t>
  </si>
  <si>
    <t>PRÉ-OP HMD</t>
  </si>
  <si>
    <t>PRÉ-OP ICFUC</t>
  </si>
  <si>
    <t>VIN</t>
  </si>
  <si>
    <t>MAF</t>
  </si>
  <si>
    <t>PRÉ-OP STA.CASA/HDP</t>
  </si>
  <si>
    <t>PJP</t>
  </si>
  <si>
    <t>PRÉ-OP PPF</t>
  </si>
  <si>
    <t>AEL</t>
  </si>
  <si>
    <t>REUNIÃO</t>
  </si>
  <si>
    <t xml:space="preserve">REUNIÃO ICFUC </t>
  </si>
  <si>
    <t>CET</t>
  </si>
  <si>
    <t>SERVIÇO ESCOLA PISICOLOGIA UNISINOS</t>
  </si>
  <si>
    <t>BED</t>
  </si>
  <si>
    <t xml:space="preserve">OFICNA TCC HED - R1 </t>
  </si>
  <si>
    <t>WEN</t>
  </si>
  <si>
    <t>BMT</t>
  </si>
  <si>
    <t>AD</t>
  </si>
  <si>
    <t>RKS</t>
  </si>
  <si>
    <t>FQ</t>
  </si>
  <si>
    <t>SAR</t>
  </si>
  <si>
    <t>REUNIÃO NO SANE</t>
  </si>
  <si>
    <t>MOZ</t>
  </si>
  <si>
    <t>24/05/2023m</t>
  </si>
  <si>
    <t>PED</t>
  </si>
  <si>
    <t>PRE</t>
  </si>
  <si>
    <t xml:space="preserve">5° PERÍODO </t>
  </si>
  <si>
    <t>BRU</t>
  </si>
  <si>
    <t>GRA</t>
  </si>
  <si>
    <t>RT</t>
  </si>
  <si>
    <t xml:space="preserve">AULA P/ GRAAP DE SP </t>
  </si>
  <si>
    <t>KOP</t>
  </si>
  <si>
    <t>AULA FARMACOL CARDIO - R1</t>
  </si>
  <si>
    <t>27/05/2023m</t>
  </si>
  <si>
    <t>TERCEIRO PLANTÃO</t>
  </si>
  <si>
    <t>MTB</t>
  </si>
  <si>
    <t>REC</t>
  </si>
  <si>
    <t>28/05/2023m</t>
  </si>
  <si>
    <t>29/05/2023m</t>
  </si>
  <si>
    <t>MG</t>
  </si>
  <si>
    <t>ANO</t>
  </si>
  <si>
    <t>ELF</t>
  </si>
  <si>
    <t>23/05/2023m</t>
  </si>
  <si>
    <t>2° PERIODO</t>
  </si>
  <si>
    <t xml:space="preserve">SAR FORA APÓS AS 13H </t>
  </si>
  <si>
    <t xml:space="preserve">REUNIÃO CONSELHO </t>
  </si>
  <si>
    <t xml:space="preserve">REPOSIÇÃO VOLEMICA </t>
  </si>
  <si>
    <t>RC - TODOS R</t>
  </si>
  <si>
    <t xml:space="preserve">REUNIÃO COREME ICFUC </t>
  </si>
  <si>
    <t>REUNIÃO THIAGO</t>
  </si>
  <si>
    <t>TOT</t>
  </si>
  <si>
    <t>31/05/2023m</t>
  </si>
  <si>
    <t>VF</t>
  </si>
  <si>
    <t>HAR</t>
  </si>
  <si>
    <t>NIC</t>
  </si>
  <si>
    <t>5° PERÍODO</t>
  </si>
  <si>
    <t>SEMINÁRIO R1 R2 R3</t>
  </si>
  <si>
    <t>01/04/2023m</t>
  </si>
  <si>
    <t>25/05/2023m</t>
  </si>
  <si>
    <t>CAD</t>
  </si>
  <si>
    <t xml:space="preserve">3° PERÍODO </t>
  </si>
  <si>
    <t xml:space="preserve">4° PERÍODO </t>
  </si>
  <si>
    <t>REUNIÃO UNIMED</t>
  </si>
  <si>
    <t xml:space="preserve">SEMINÁRIO ONLINE - R1 R2 R3 </t>
  </si>
  <si>
    <t>01/06/2023m</t>
  </si>
  <si>
    <t>CA</t>
  </si>
  <si>
    <t xml:space="preserve">SEMINÁRIO ONLINE R1 R2 R3 </t>
  </si>
  <si>
    <t>26/05/2023m</t>
  </si>
  <si>
    <t>FLE</t>
  </si>
  <si>
    <t xml:space="preserve">APRESENTAÇÃO CONGRESSO </t>
  </si>
  <si>
    <t>CONSULTAS TARDE SANE</t>
  </si>
  <si>
    <t>A CRITÉRIO DO ESCALADOR</t>
  </si>
  <si>
    <t>02/06/2023m</t>
  </si>
  <si>
    <t>03/06/2023m</t>
  </si>
  <si>
    <t>04/06/2023m</t>
  </si>
  <si>
    <t>05/06/2023m</t>
  </si>
  <si>
    <t xml:space="preserve">SERVIÇO PSICOLOGIA UNISINOS </t>
  </si>
  <si>
    <t>REUNIÃO CET SBA REGIÃO SUL ONLINE</t>
  </si>
  <si>
    <t xml:space="preserve">SEMINARIO R1 R2 R3 </t>
  </si>
  <si>
    <t>06/06/2023m</t>
  </si>
  <si>
    <t>REUNIÃO CIENTÍFICA</t>
  </si>
  <si>
    <t xml:space="preserve">8° FORUM MORTALIDADE </t>
  </si>
  <si>
    <t xml:space="preserve">R1 NO SANE </t>
  </si>
  <si>
    <t>30/05/2023m</t>
  </si>
  <si>
    <t>07/06/2023m</t>
  </si>
  <si>
    <t xml:space="preserve">CEP HED - REUNIÃO </t>
  </si>
  <si>
    <t>HEN TRABALHA P/ PED</t>
  </si>
  <si>
    <t>08/06/2023m</t>
  </si>
  <si>
    <t>09/06/2023m</t>
  </si>
  <si>
    <t>10/06/2023m</t>
  </si>
  <si>
    <t>ELO</t>
  </si>
  <si>
    <t xml:space="preserve">ELO TRABALHA </t>
  </si>
  <si>
    <t>11/06/2023m</t>
  </si>
  <si>
    <t>12/06/2023m</t>
  </si>
  <si>
    <t>FISOL SIST RESPIRATORIO R1 SANE</t>
  </si>
  <si>
    <t>EVENTO ICFUC - INICIAÇÃO CIENT</t>
  </si>
  <si>
    <t>CENTRO DE SIMULAÇÃO STA CASA</t>
  </si>
  <si>
    <t xml:space="preserve">REUNIÃO MARKETING </t>
  </si>
  <si>
    <t>VIV</t>
  </si>
  <si>
    <t>13/06/2023m</t>
  </si>
  <si>
    <t xml:space="preserve">TRANSFUSÃO R2 NO SANE </t>
  </si>
  <si>
    <t>REUNIÃO CET</t>
  </si>
  <si>
    <t xml:space="preserve">JURIDICO + CONTADOR </t>
  </si>
  <si>
    <t xml:space="preserve">FERNANDO PETERSEN </t>
  </si>
  <si>
    <t>14/06/2023m</t>
  </si>
  <si>
    <t>NF</t>
  </si>
  <si>
    <t xml:space="preserve">KIL - SEMINARIO R1 R2 R3 ONLINE </t>
  </si>
  <si>
    <t xml:space="preserve">AULA LIGA DE ANESTESIOLOGIA </t>
  </si>
  <si>
    <t>15/06/2023m</t>
  </si>
  <si>
    <t xml:space="preserve">FLE - SEMINÁRIO R1 R2 R3 ONLINE </t>
  </si>
  <si>
    <t>REUNIÃO C/ DIRETOR GHC DR SATI</t>
  </si>
  <si>
    <t>16/06/2023m</t>
  </si>
  <si>
    <t xml:space="preserve">MBA </t>
  </si>
  <si>
    <t xml:space="preserve">EST - REUNIÃO ONLINE </t>
  </si>
  <si>
    <t>17/06/2023m</t>
  </si>
  <si>
    <t>MBA</t>
  </si>
  <si>
    <t>18/06/2023m</t>
  </si>
  <si>
    <t>19/06/2023m</t>
  </si>
  <si>
    <t xml:space="preserve">REUNIÃO HED FINANCEIRO </t>
  </si>
  <si>
    <t xml:space="preserve">AULA CHOQUE - R3 NO SANE </t>
  </si>
  <si>
    <t xml:space="preserve">REUNIÃO LETICIA </t>
  </si>
  <si>
    <t>CASSI - OFICINA TCC-NF,REC,MG,VF,FLA,R1</t>
  </si>
  <si>
    <t>20/06/2023m</t>
  </si>
  <si>
    <t>MENEJO ANTICOAGULANTES...</t>
  </si>
  <si>
    <t>AGENDA ONLINE</t>
  </si>
  <si>
    <t>R1 NO SANE - FARMACOLOGIA</t>
  </si>
  <si>
    <t>21/06/2023m</t>
  </si>
  <si>
    <t>TRANSFUSÃO - R2 NO SANE</t>
  </si>
  <si>
    <t>BMT WEN MARIANA ESTUDO COSMIC</t>
  </si>
  <si>
    <t>24/06/2023m</t>
  </si>
  <si>
    <t>WORKSHOP - R2 R3 - SIMULAÇÃO REALISTA STA CASA</t>
  </si>
  <si>
    <t>25/06/2023m</t>
  </si>
  <si>
    <t>22/06/2023m</t>
  </si>
  <si>
    <t>FISIOL SIST RESPIRATORIO - R1 NO SANE</t>
  </si>
  <si>
    <t>SEMINARIO ONLINE R1 R2 R3</t>
  </si>
  <si>
    <t>23/06/2023m</t>
  </si>
  <si>
    <t xml:space="preserve">WORKSHOP - STC </t>
  </si>
  <si>
    <t>ari</t>
  </si>
  <si>
    <t>02/07/2023m</t>
  </si>
  <si>
    <t>08/07/2023m</t>
  </si>
  <si>
    <t>09/07/2023m</t>
  </si>
  <si>
    <t>15/07/2023m</t>
  </si>
  <si>
    <t xml:space="preserve">MBA PRESENCIAL </t>
  </si>
  <si>
    <t>16/07/2023m</t>
  </si>
  <si>
    <t>20/07/2023m</t>
  </si>
  <si>
    <t xml:space="preserve">AULA BENTO GONÇALVES </t>
  </si>
  <si>
    <t>19/07/2023m</t>
  </si>
  <si>
    <t>21/07/2023m</t>
  </si>
  <si>
    <t>ENTREGA CRACHA HDP</t>
  </si>
  <si>
    <t>22/07/2023m</t>
  </si>
  <si>
    <t>23/07/2023m</t>
  </si>
  <si>
    <t>30/07/2023m</t>
  </si>
  <si>
    <t>01/07/2023m</t>
  </si>
  <si>
    <t>06/07/2023m</t>
  </si>
  <si>
    <t>SEMINARIO R1 R2 R3</t>
  </si>
  <si>
    <t xml:space="preserve">EMPRESA DE COBRANÇA </t>
  </si>
  <si>
    <t xml:space="preserve">ADVOGADO </t>
  </si>
  <si>
    <t xml:space="preserve">HOMENAGEM HED </t>
  </si>
  <si>
    <t>DIEGO GALBINSK</t>
  </si>
  <si>
    <t>AULA CHOQUE - R3 - ONLINE</t>
  </si>
  <si>
    <t>07/07/2023m</t>
  </si>
  <si>
    <t>ENTRANDO DE FÉRIAS NA SEGUNDA-FEIRA</t>
  </si>
  <si>
    <t>18/04/2023m</t>
  </si>
  <si>
    <t>TECNOPUC</t>
  </si>
  <si>
    <t>IR PRESENCIAL GATTI</t>
  </si>
  <si>
    <t>10/07/2023m</t>
  </si>
  <si>
    <t xml:space="preserve">SERV PSICOLOGIA </t>
  </si>
  <si>
    <t>11/07/2023m</t>
  </si>
  <si>
    <t xml:space="preserve">CASSIANA + UNIMED NO SANE </t>
  </si>
  <si>
    <t>03/07/2023m</t>
  </si>
  <si>
    <t>IFA</t>
  </si>
  <si>
    <t>C/ ALEXSANDER AFPE - NO SANE</t>
  </si>
  <si>
    <t>TX PULMÃO R3 NO SANE</t>
  </si>
  <si>
    <t xml:space="preserve">SERV PSICOLOGIA UNISINOS </t>
  </si>
  <si>
    <t xml:space="preserve">REUNIÃO COM LETICIA </t>
  </si>
  <si>
    <t>04/07/2023m</t>
  </si>
  <si>
    <t xml:space="preserve">RC HÍBRIDA: CONVIDADO EDUARDO STOFFELS - TEMA: EDUCAÇÃO FINANCEIRA </t>
  </si>
  <si>
    <t>REUNIÃO IPE</t>
  </si>
  <si>
    <t>REUNIÃO ADMINISTRATIVA</t>
  </si>
  <si>
    <t>TODOS OS SÓCIOS</t>
  </si>
  <si>
    <t>05/07/2023m</t>
  </si>
  <si>
    <t>AVAL R'S NF REC MG</t>
  </si>
  <si>
    <t>AVALIAÇÃO RESIDENTES</t>
  </si>
  <si>
    <t xml:space="preserve">AULA R1 NO SANE </t>
  </si>
  <si>
    <t>REUNIAO ONLINE COM ESTATISTICA</t>
  </si>
  <si>
    <t>AULA R3 NO SANE</t>
  </si>
  <si>
    <t>CEP HED</t>
  </si>
  <si>
    <t xml:space="preserve">AULA LIGA DE ANESTEOLOGIA </t>
  </si>
  <si>
    <t>12/07/2023m</t>
  </si>
  <si>
    <t xml:space="preserve">FARMACOLOGIA - R1 NO SANE </t>
  </si>
  <si>
    <t>26/06/2023m</t>
  </si>
  <si>
    <t>27/06/2023m</t>
  </si>
  <si>
    <t>28/06/2023m</t>
  </si>
  <si>
    <t>29/06/2023m</t>
  </si>
  <si>
    <t>30/06/2023m</t>
  </si>
  <si>
    <t>14/07/2023m</t>
  </si>
  <si>
    <t>18/07/2023m</t>
  </si>
  <si>
    <t>13/07/2023m</t>
  </si>
  <si>
    <t>SEMINÁRIO ONLINE R1 R2 R3</t>
  </si>
  <si>
    <t>17/07/2023m</t>
  </si>
  <si>
    <t>SERV DE PSICOLOGIA UNISINOS</t>
  </si>
  <si>
    <t>Estudo clínico HED</t>
  </si>
  <si>
    <t>25/07/2023m</t>
  </si>
  <si>
    <t xml:space="preserve">PALESTRA WEBIRAR SBA </t>
  </si>
  <si>
    <t xml:space="preserve">ALUNOS UNISINOS HED </t>
  </si>
  <si>
    <t>ISE</t>
  </si>
  <si>
    <t>28/07/2023m</t>
  </si>
  <si>
    <t>A CRITÉRIO DO ESCALADOR LIBERAR</t>
  </si>
  <si>
    <t>FORA DA ESCALA</t>
  </si>
  <si>
    <t>29/07/2023m</t>
  </si>
  <si>
    <t>24/07/2023m</t>
  </si>
  <si>
    <t xml:space="preserve">SERV DE PSICOLOGIA UNISINOS </t>
  </si>
  <si>
    <t xml:space="preserve">REUNIÃO HMV </t>
  </si>
  <si>
    <t xml:space="preserve">AVALIAÇÃO RESIDENTES </t>
  </si>
  <si>
    <t xml:space="preserve">AVALIAÇÃO </t>
  </si>
  <si>
    <t>AVALIAÇÃO</t>
  </si>
  <si>
    <t>26/07/2023m</t>
  </si>
  <si>
    <t xml:space="preserve">ISE TRABALHA </t>
  </si>
  <si>
    <t>REUNIÃO STA CASA</t>
  </si>
  <si>
    <t>WEBINAR SBA</t>
  </si>
  <si>
    <t>06/08/2023m</t>
  </si>
  <si>
    <t>27/07/2023m</t>
  </si>
  <si>
    <t>RENOVAÇÃO CERTIFICADO DIGITAL SANE- ONLINE</t>
  </si>
  <si>
    <t>REUNIÃO EXTRAORDINÁRIA DO CONSELHO EXECUTIVO</t>
  </si>
  <si>
    <t>31/07/2023m</t>
  </si>
  <si>
    <t xml:space="preserve">SERVI PSICOLOGIA UNISINOS </t>
  </si>
  <si>
    <t>AULA TX PULMÃO - R3 NO SANE</t>
  </si>
  <si>
    <t>ASSINAR PAPÉIS E FAZER CRACHÁ NO HMV</t>
  </si>
  <si>
    <t>01/08/2023m</t>
  </si>
  <si>
    <t xml:space="preserve">FORUM MM + CASSIANA </t>
  </si>
  <si>
    <t xml:space="preserve">REUNIÃO ADVOGADOS </t>
  </si>
  <si>
    <t xml:space="preserve">IFA TRABALHA ATÉ AS 13H </t>
  </si>
  <si>
    <t>REUNIÃO MERITOCRACIA C/ Mª JULIA</t>
  </si>
  <si>
    <t>02/08/2023m</t>
  </si>
  <si>
    <t>REUNIÃO COORDENADORES HED</t>
  </si>
  <si>
    <t>REUNIÃO CEP HED</t>
  </si>
  <si>
    <t>REUNIÃO ADM COM TODOS OS MÉDICOS</t>
  </si>
  <si>
    <t>04/08/2023m</t>
  </si>
  <si>
    <t>REI TRABALHA A TARDE P/ MAF</t>
  </si>
  <si>
    <t>JU</t>
  </si>
  <si>
    <t>ENTRANDO EM FÉRIAS NA SEGUNDA-FEIRA</t>
  </si>
  <si>
    <t>03/08/2023m</t>
  </si>
  <si>
    <t xml:space="preserve">REUNIÃO COM ESTATISTICA </t>
  </si>
  <si>
    <t>FÉRIAS - AVISAR ESCALADOR</t>
  </si>
  <si>
    <t>12/08/2023m</t>
  </si>
  <si>
    <t>13/08/2023m</t>
  </si>
  <si>
    <t>05/08/2023m</t>
  </si>
  <si>
    <t>TRABALHA</t>
  </si>
  <si>
    <t>07/08/2023m</t>
  </si>
  <si>
    <t xml:space="preserve">REUNIÃO UNIMED MANHA E TARDE </t>
  </si>
  <si>
    <t xml:space="preserve">SERV. PSICOLOGIA UNISINOS </t>
  </si>
  <si>
    <t>ANESTESIA FORA CC - R3 NO SANE</t>
  </si>
  <si>
    <t>26/08/2023m</t>
  </si>
  <si>
    <t>27/08/2023m</t>
  </si>
  <si>
    <t>08/08/2023m</t>
  </si>
  <si>
    <t>AVALIAÇÃO VENTRICULAR E VOLEMIA - HÍBRIDA</t>
  </si>
  <si>
    <t xml:space="preserve">PROVA 2 SBA - TODOS ME1 </t>
  </si>
  <si>
    <t>PROVA 2 SBA - TODOS ME2</t>
  </si>
  <si>
    <t>PROVA 2 SBA - TODOS ME3</t>
  </si>
  <si>
    <t>REUNIÃO COREME HED - 11º ANDAR</t>
  </si>
  <si>
    <t xml:space="preserve">SUPERVISÃO DA PROVAS </t>
  </si>
  <si>
    <t>09/08/2023m</t>
  </si>
  <si>
    <t>FÉRIAS - AVISAR O ESCALADOR</t>
  </si>
  <si>
    <t>FARMACOL. ANESTÉSICOS LOCAIS - R1 - NO SANE</t>
  </si>
  <si>
    <t>IRPF</t>
  </si>
  <si>
    <t>28/11/2023m</t>
  </si>
  <si>
    <t xml:space="preserve">EVENTO UNIMED SP </t>
  </si>
  <si>
    <t>29/11/2023m</t>
  </si>
  <si>
    <t>19/08/2023m</t>
  </si>
  <si>
    <t xml:space="preserve">TRABALHA </t>
  </si>
  <si>
    <t>10/08/2023m</t>
  </si>
  <si>
    <t>REUNIÃO STC</t>
  </si>
  <si>
    <t xml:space="preserve">SEMINARIO ONLINE R1 R2 R3 </t>
  </si>
  <si>
    <t>REUNIÃO HEMO IC</t>
  </si>
  <si>
    <t xml:space="preserve">REUNIÃO UNIMED </t>
  </si>
  <si>
    <t>11/08/2023m</t>
  </si>
  <si>
    <t>AULA OBSTETRICIA R2 NO SANE</t>
  </si>
  <si>
    <t>20/08/2023m</t>
  </si>
  <si>
    <t>15/08/2023m</t>
  </si>
  <si>
    <t xml:space="preserve">MAF - ANTIBIOTICOPROFILAXIA E BOA PRÁTICAS NO BLOCO - CONV: DRA STEPHANIE SCALCO </t>
  </si>
  <si>
    <t>UROLOGIA - R2 NO SANE</t>
  </si>
  <si>
    <t xml:space="preserve">REUNIÃO CARDIOLOGIA </t>
  </si>
  <si>
    <t>JOA NO SANE</t>
  </si>
  <si>
    <t>16/08/2023m</t>
  </si>
  <si>
    <t>AULA BNM - LOCAL A DEFINIR</t>
  </si>
  <si>
    <t>UNISINOS o dia todo no HED</t>
  </si>
  <si>
    <t>17/08/2023m</t>
  </si>
  <si>
    <t>SEMINÁRIO R1,R2,R3, - ONLINE</t>
  </si>
  <si>
    <t>21/08/2023m</t>
  </si>
  <si>
    <t>COR</t>
  </si>
  <si>
    <t>DOR CRÔNICA ONLINE R3</t>
  </si>
  <si>
    <t xml:space="preserve">CASSI - OFICINA TCC NO HED NF REC MG VF FLA </t>
  </si>
  <si>
    <t>REUNIAO TCC VF PRESENCIAL NO HED</t>
  </si>
  <si>
    <t>PSICOLOGIA UNISINOS</t>
  </si>
  <si>
    <t>14/08/2023m</t>
  </si>
  <si>
    <t>REUNIAO UNIMED MANHA E TARDE</t>
  </si>
  <si>
    <t>DOR AGUDA E INFLAMAÇÃO R3 NO SANE</t>
  </si>
  <si>
    <t xml:space="preserve">REUNIAO ANESTEC </t>
  </si>
  <si>
    <t>18/08/2023m</t>
  </si>
  <si>
    <t>22/08/2023m</t>
  </si>
  <si>
    <t xml:space="preserve">REUNIÃO SANE SÃO PIETRO </t>
  </si>
  <si>
    <t>ASSINATURA CONTRATO SANE TODOS OS SOCIOS</t>
  </si>
  <si>
    <t xml:space="preserve">REUNIÃO AGENTE EXTERNO </t>
  </si>
  <si>
    <t>REUNIÃO ADVOGADO THOMAZ - SANE</t>
  </si>
  <si>
    <t>23/08/2023m</t>
  </si>
  <si>
    <t>TRABALHA DAS 07H ÀS 13H</t>
  </si>
  <si>
    <t>AD - SEMINARIO ONLINE - R1 R2 R3</t>
  </si>
  <si>
    <t>AULA PCR - R1 NO SANE</t>
  </si>
  <si>
    <t>palestra NeuroSul</t>
  </si>
  <si>
    <t>JOA E ROB NO SANE REUNIÃO FÉRIAS DE VERÃO</t>
  </si>
  <si>
    <t>24/08/2023m</t>
  </si>
  <si>
    <t>WEN - SEMINÁRIO ONLINE R1 R2 R3</t>
  </si>
  <si>
    <t>11/10/2023m</t>
  </si>
  <si>
    <t>25/08/2023m</t>
  </si>
  <si>
    <t>TRABALHA PARA BG</t>
  </si>
  <si>
    <t>10/09/2023m</t>
  </si>
  <si>
    <t>28/08/2023m</t>
  </si>
  <si>
    <t>AVALIAÇÃO RESIDENTES DRI ORO</t>
  </si>
  <si>
    <t xml:space="preserve">OFICINA TCC NO HED - BED WEN BMT AD RKS </t>
  </si>
  <si>
    <t>20/10/2023m</t>
  </si>
  <si>
    <t>10/11/2023m</t>
  </si>
  <si>
    <t>FORA O DIA TODO</t>
  </si>
  <si>
    <t>TRABALHA O DIA TODO P/ REI</t>
  </si>
  <si>
    <t>09/11/2023m</t>
  </si>
  <si>
    <t>16/11/2023m</t>
  </si>
  <si>
    <t>17/11/2023m</t>
  </si>
  <si>
    <t>02/10/2023m</t>
  </si>
  <si>
    <t>27/10/2023m</t>
  </si>
  <si>
    <t>03/09/2023m</t>
  </si>
  <si>
    <t>20/09/2023m</t>
  </si>
  <si>
    <t>29/08/2023m</t>
  </si>
  <si>
    <t>TARDE</t>
  </si>
  <si>
    <t xml:space="preserve">REUNIÃO CONTADOR GATTI </t>
  </si>
  <si>
    <t>AULA ORTOPEDIA - R2 NO SANE</t>
  </si>
  <si>
    <t>REUNIÃO TCC REC NO SANE</t>
  </si>
  <si>
    <t>BG TRABALHA PARA ROB</t>
  </si>
  <si>
    <t>BG ADMINISTRAÇÃO TARDE</t>
  </si>
  <si>
    <t>WEN REVISÃO DE TRABALHOS</t>
  </si>
  <si>
    <t>REUNIÃO SIMERS</t>
  </si>
  <si>
    <t>TRABALHA O DIA INTEIRO</t>
  </si>
  <si>
    <t>23/09/2023m</t>
  </si>
  <si>
    <t>24/09/2023m</t>
  </si>
  <si>
    <t>31/08/2023m</t>
  </si>
  <si>
    <t>REUNIÃO C/ RESIDENTES EMA, ORO, KLA, KIL, CA -  NO HED</t>
  </si>
  <si>
    <t>UNISINOS - AULA LIGA DE ANESTESIOLOGIA RAQUIANESTESIAXPERIDURAL</t>
  </si>
  <si>
    <t>SEMINÁRIO ONLINE - R1, R2, R3</t>
  </si>
  <si>
    <t>REUNIÃO C/ ISABELLA (ACADEMIKAMENTE)</t>
  </si>
  <si>
    <t>ORGANIZAÇÃO FÉRIAS - NO SANE</t>
  </si>
  <si>
    <t>15/09/2023m</t>
  </si>
  <si>
    <t>REUNIÃO COMISSÃO COORDENADORA</t>
  </si>
  <si>
    <t>18/09/2023m</t>
  </si>
  <si>
    <t>CASSI - OFICINA TCC - NF REC MG VF FLA</t>
  </si>
  <si>
    <t>19/09/2023m</t>
  </si>
  <si>
    <t>21/09/2023m</t>
  </si>
  <si>
    <t>22/09/2023m</t>
  </si>
  <si>
    <t>25/09/2023m</t>
  </si>
  <si>
    <t>FQ/CASSI - OFICINA TCC - BED WEN BMT AD RKS</t>
  </si>
  <si>
    <t>26/09/2023m</t>
  </si>
  <si>
    <t>28/09/2023m</t>
  </si>
  <si>
    <t>29/09/2023m</t>
  </si>
  <si>
    <t>14/09/2023m</t>
  </si>
  <si>
    <t>07/09/2023m</t>
  </si>
  <si>
    <t>27/09/2023m</t>
  </si>
  <si>
    <t>16/09/2023m</t>
  </si>
  <si>
    <t>MBA PRESENCIAL</t>
  </si>
  <si>
    <t>17/09/2023m</t>
  </si>
  <si>
    <t>30/09/2023m</t>
  </si>
  <si>
    <t>01/10/2023m</t>
  </si>
  <si>
    <t>30/08/2023m</t>
  </si>
  <si>
    <t xml:space="preserve">ANEST NA ERA DA INTELIG. ARTIFICIAL </t>
  </si>
  <si>
    <t xml:space="preserve">REUNIÃO ESCALA DE VERÃO </t>
  </si>
  <si>
    <t>REUNIÃO TCC</t>
  </si>
  <si>
    <t>01/09/2023m</t>
  </si>
  <si>
    <t>02/09/2023m</t>
  </si>
  <si>
    <t>TRABALHA O DIA TODO</t>
  </si>
  <si>
    <t>04/09/2023m</t>
  </si>
  <si>
    <t>REUNIÃO C/ ESTATÍSTICO</t>
  </si>
  <si>
    <t>REUNIÃO PPG</t>
  </si>
  <si>
    <t>03/10/2023m</t>
  </si>
  <si>
    <t>04/10/2023m</t>
  </si>
  <si>
    <t>05/10/2023m</t>
  </si>
  <si>
    <t>06/10/2023m</t>
  </si>
  <si>
    <t>09/09/2023m</t>
  </si>
  <si>
    <t>13/09/2023m</t>
  </si>
  <si>
    <t>06/11/2023m</t>
  </si>
  <si>
    <t>12/09/2023m</t>
  </si>
  <si>
    <t>05/09/2023m</t>
  </si>
  <si>
    <t>REUNIÃO C/JOÃO SANE  PRESENCIAL</t>
  </si>
  <si>
    <t>REUNIÃO EST SANE - ONLINE</t>
  </si>
  <si>
    <t>REUNIÃO ADM MÉDICOS - ONLINE</t>
  </si>
  <si>
    <t>REUNIÃO SANE - PRESENCIAL</t>
  </si>
  <si>
    <t>AULA CIRURGIA ABDOMINAL - R2 NO SANE</t>
  </si>
  <si>
    <t>TEMA: TRANSFORMAÇÃO DIGITAL DA SAÚDE - CONVIDADO DR. LEONARDO VEDOLIN - ONLINE</t>
  </si>
  <si>
    <t>ESCALA DE VERÃO/FERIADOS - NO SANE</t>
  </si>
  <si>
    <t>REUNIÃO ANESTECH - ONLINE</t>
  </si>
  <si>
    <t>06/09/2023m</t>
  </si>
  <si>
    <t>REUNIÃO ICFUC</t>
  </si>
  <si>
    <t>LIVRE P/ CLASA</t>
  </si>
  <si>
    <t>REUNIÃO NO HMV</t>
  </si>
  <si>
    <t>11/09/2023m</t>
  </si>
  <si>
    <t>08/09/2023m</t>
  </si>
  <si>
    <t xml:space="preserve"> </t>
  </si>
  <si>
    <t>Medico</t>
  </si>
  <si>
    <r>
      <t xml:space="preserve">Regra </t>
    </r>
    <r>
      <rPr>
        <sz val="11"/>
        <color theme="1"/>
        <rFont val="Calibri"/>
        <family val="2"/>
        <scheme val="minor"/>
      </rPr>
      <t>(não mexer)</t>
    </r>
  </si>
  <si>
    <t>Nível</t>
  </si>
  <si>
    <t>Selecionar data</t>
  </si>
  <si>
    <t># Dia semana</t>
  </si>
  <si>
    <t>Dia da semana</t>
  </si>
  <si>
    <t>DataInicio</t>
  </si>
  <si>
    <t>DataFim</t>
  </si>
  <si>
    <t>Segunda-feira</t>
  </si>
  <si>
    <t>FORA</t>
  </si>
  <si>
    <t>Terça-feira</t>
  </si>
  <si>
    <t>Quarta-feira</t>
  </si>
  <si>
    <t>Quinta-feira</t>
  </si>
  <si>
    <t>Sexta-feira</t>
  </si>
  <si>
    <t>FORA PERÍODO</t>
  </si>
  <si>
    <t>REUNIÃO HED</t>
  </si>
  <si>
    <t>HED ALUNOS O DIA INTEIRO</t>
  </si>
  <si>
    <t>REUNIÃO CONSELHO</t>
  </si>
  <si>
    <t>FÉRIAS</t>
  </si>
  <si>
    <t>CONGRESSO</t>
  </si>
  <si>
    <t>CURSO</t>
  </si>
  <si>
    <t>ESAIC</t>
  </si>
  <si>
    <t>JOSULBRA</t>
  </si>
  <si>
    <t>PROVA TSA</t>
  </si>
  <si>
    <t>SIAPBM - CARTAGENA</t>
  </si>
  <si>
    <t>JABC</t>
  </si>
  <si>
    <t>CLASA</t>
  </si>
  <si>
    <t>ANEST. ARG.</t>
  </si>
  <si>
    <t>ASA</t>
  </si>
  <si>
    <t>CBA</t>
  </si>
  <si>
    <t>SBA - RJ</t>
  </si>
  <si>
    <t>R1</t>
  </si>
  <si>
    <t>Sócio</t>
  </si>
  <si>
    <t>R2</t>
  </si>
  <si>
    <t>XI SINGEP-CIK</t>
  </si>
  <si>
    <t>R3</t>
  </si>
  <si>
    <t>AULA EM CURITIBA</t>
  </si>
  <si>
    <t>SAVA</t>
  </si>
  <si>
    <t>LICENÇA SAÚDE</t>
  </si>
  <si>
    <t>HSM+</t>
  </si>
  <si>
    <t>JARGS</t>
  </si>
  <si>
    <t>BIN</t>
  </si>
  <si>
    <t>Sigla</t>
  </si>
  <si>
    <t>Nome</t>
  </si>
  <si>
    <t>Joao Henrique Silva</t>
  </si>
  <si>
    <t>Claudio Roberto Gomes</t>
  </si>
  <si>
    <t>Ari Tadeu Lirio dos Santos</t>
  </si>
  <si>
    <t>Paulo Warpechowski</t>
  </si>
  <si>
    <t>Pedro Paulo Wagner</t>
  </si>
  <si>
    <t>Airton Bagatini</t>
  </si>
  <si>
    <t>Luiz Alberto Barbosa Rahde</t>
  </si>
  <si>
    <t>Eduardo Schneider Silva</t>
  </si>
  <si>
    <t>Rubens Devildos Trindade</t>
  </si>
  <si>
    <t>Fabio Amaral Ribas</t>
  </si>
  <si>
    <t>Viviane Mentz Dornelles</t>
  </si>
  <si>
    <t>Cristiano Hahn Englert</t>
  </si>
  <si>
    <t>Paulo Jose Irigon Pereira</t>
  </si>
  <si>
    <t>Alessandra Sarturi Gheller</t>
  </si>
  <si>
    <t>Diogo Ferrari Centenaro</t>
  </si>
  <si>
    <t>Juliana de Fatima Schmitt</t>
  </si>
  <si>
    <t>Eduardo Faria Leite</t>
  </si>
  <si>
    <t xml:space="preserve">Lucio Koops Tabajara </t>
  </si>
  <si>
    <t>Mariane Fritsch</t>
  </si>
  <si>
    <t>Vicente Faraon Fonseca</t>
  </si>
  <si>
    <t>Joana Amaral Chanan</t>
  </si>
  <si>
    <t>Emilio Baldo Bender</t>
  </si>
  <si>
    <t xml:space="preserve">Daniel Schuch Reimann </t>
  </si>
  <si>
    <t xml:space="preserve">Felipe Favero </t>
  </si>
  <si>
    <t>Pedro Montano dos Santos</t>
  </si>
  <si>
    <t xml:space="preserve">Diego Grando </t>
  </si>
  <si>
    <t>Tiago Furquim da Silva</t>
  </si>
  <si>
    <t xml:space="preserve">Mariana Kieling Mozzaquatro </t>
  </si>
  <si>
    <t xml:space="preserve">Cora Salles Maruri Correa </t>
  </si>
  <si>
    <t xml:space="preserve"> Bruna Sessim Gomes</t>
  </si>
  <si>
    <t>Juliana Rocha Benedetti</t>
  </si>
  <si>
    <t>Ismael Krolow Costa</t>
  </si>
  <si>
    <t>Marianna Ifarragruirre Mello</t>
  </si>
  <si>
    <t>Caroline Kirschen Bristot</t>
  </si>
  <si>
    <t>Louise Piva Penteado</t>
  </si>
  <si>
    <t>Nathália Fornari Fernandes</t>
  </si>
  <si>
    <t>Bruna Reck</t>
  </si>
  <si>
    <t>Mariana Guetrres Martin</t>
  </si>
  <si>
    <t>Victor Freire</t>
  </si>
  <si>
    <t>Sabrina Bedinot</t>
  </si>
  <si>
    <t>Fernanda Santos Wengrover</t>
  </si>
  <si>
    <t>Bernardo Mastella</t>
  </si>
  <si>
    <t>Alexandre da Silva Diessel</t>
  </si>
  <si>
    <t>Roger Klaus</t>
  </si>
  <si>
    <t>Leonardo Witt Bosak</t>
  </si>
  <si>
    <t>Marco Aurélio Santana Batista Fleuri</t>
  </si>
  <si>
    <t>Nicole Rauber</t>
  </si>
  <si>
    <t>Artur Hartmann Hilgert</t>
  </si>
  <si>
    <t>Natalia Klaus Weber</t>
  </si>
  <si>
    <t>Carolina Prediger</t>
  </si>
  <si>
    <t>Carolina Hodara Rahde</t>
  </si>
  <si>
    <t>Flávia de Abreu Nogara</t>
  </si>
  <si>
    <t>Emanuella Flavia Alves Pinto</t>
  </si>
  <si>
    <t>Fabiana Rodrigues Philippsen</t>
  </si>
  <si>
    <t>Leonardo Kreutz Rodrigues</t>
  </si>
  <si>
    <t>Yuri Kilpp Cezar</t>
  </si>
  <si>
    <t>Mateus Borin</t>
  </si>
  <si>
    <t>Luis Fernando Oro</t>
  </si>
  <si>
    <t>Mariana Leocadio de Souza Bastos</t>
  </si>
  <si>
    <t>CompromissosFixos</t>
  </si>
  <si>
    <t>CompromissosFerias</t>
  </si>
  <si>
    <t>Dias da semana</t>
  </si>
  <si>
    <t>#</t>
  </si>
  <si>
    <t>Compromissos para regra horario</t>
  </si>
  <si>
    <t>Compromissos fora lista</t>
  </si>
  <si>
    <t>Domingo</t>
  </si>
  <si>
    <t>LICENÇA MATERNIDADE</t>
  </si>
  <si>
    <t>Sábado</t>
  </si>
  <si>
    <t>PrimeiroPeriodo</t>
  </si>
  <si>
    <t>SegundoPeriodo</t>
  </si>
  <si>
    <t>TerceiroPeriodo</t>
  </si>
  <si>
    <t>QuartoPeriodo</t>
  </si>
  <si>
    <t>QuintoPeriodo</t>
  </si>
  <si>
    <t>Fixo</t>
  </si>
  <si>
    <t>Congresso</t>
  </si>
  <si>
    <t>X</t>
  </si>
  <si>
    <t>Dia</t>
  </si>
  <si>
    <t>Mês</t>
  </si>
  <si>
    <t>Ano</t>
  </si>
  <si>
    <t>Sócios</t>
  </si>
  <si>
    <t>Residentes</t>
  </si>
  <si>
    <t>FORA (Fixo)</t>
  </si>
  <si>
    <t>Pedidos de período</t>
  </si>
  <si>
    <t>1° 07H - 10H</t>
  </si>
  <si>
    <t>2° 10H - 13H</t>
  </si>
  <si>
    <t>3° 13H - 16H</t>
  </si>
  <si>
    <t>4° 16H - 19H</t>
  </si>
  <si>
    <t>5° APÓS 19H</t>
  </si>
  <si>
    <t>PRÉ-OPERATÓRIO</t>
  </si>
  <si>
    <t>HMV</t>
  </si>
  <si>
    <t>HMD</t>
  </si>
  <si>
    <t>ICFUC</t>
  </si>
  <si>
    <t>HED</t>
  </si>
  <si>
    <t>STA.CASA/HDP</t>
  </si>
  <si>
    <t>PPF</t>
  </si>
  <si>
    <t>Compromissos</t>
  </si>
  <si>
    <t>Observação</t>
  </si>
  <si>
    <t>Janeiro</t>
  </si>
  <si>
    <t>Fevereiro</t>
  </si>
  <si>
    <t>Março</t>
  </si>
  <si>
    <t>Último dia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</si>
  <si>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</si>
  <si>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</si>
  <si>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</si>
  <si>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</si>
  <si>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</si>
  <si>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</si>
  <si>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</si>
  <si>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</si>
  <si>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</si>
  <si>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Concat</t>
  </si>
  <si>
    <t>CONGRESSO (ESAIC)</t>
  </si>
  <si>
    <t>CONGRESSO (JOSULBRA)</t>
  </si>
  <si>
    <t>CONGRESSO (PROVA TSA)</t>
  </si>
  <si>
    <t>CONGRESSO (SIAPBM - CARTAGENA)</t>
  </si>
  <si>
    <t>CONGRESSO (JABC)</t>
  </si>
  <si>
    <t>CONGRESSO (CLASA)</t>
  </si>
  <si>
    <t>CONGRESSO (ANEST. ARG.)</t>
  </si>
  <si>
    <t>CONGRESSO (ASA)</t>
  </si>
  <si>
    <t>CONGRESSO (CBA)</t>
  </si>
  <si>
    <t>CONGRESSO (SBA - RJ)</t>
  </si>
  <si>
    <t>CONGRESSO (XI SINGEP-CIK)</t>
  </si>
  <si>
    <t>CONGRESSO (HSM+)</t>
  </si>
  <si>
    <t xml:space="preserve">PALESTRA HALEXISTAR </t>
  </si>
  <si>
    <t>ANEST E A CIRURGIA DIGESTIVA CONV: JULIANO CHIBIAQUE</t>
  </si>
  <si>
    <t xml:space="preserve">REUNIÃO SANTA CASA </t>
  </si>
  <si>
    <t>QUALIDADE E SEGURANÇA - HED 7° ANDAR CPDA</t>
  </si>
  <si>
    <t xml:space="preserve">SAR - FILOS E FARMAC SIST URINÁRIO - R2 NO SANE </t>
  </si>
  <si>
    <t>SBA</t>
  </si>
  <si>
    <t>CONGRESSO (SBA)</t>
  </si>
  <si>
    <t>DIF + CA - SEMINÁRIO - R1, R2, R3 - ONLINE</t>
  </si>
  <si>
    <t>ENTREVISTAS SANE</t>
  </si>
  <si>
    <t>FQ + VF - REUNIÃO TCC COM ISABELLA</t>
  </si>
  <si>
    <t>REUNIÃO HED/UNISINOS</t>
  </si>
  <si>
    <t>REUNIÃO EST ON</t>
  </si>
  <si>
    <t xml:space="preserve">DISPOSITIVOS CARDIACOS </t>
  </si>
  <si>
    <t>GERENCIAMENTO CC - R3 NO HED</t>
  </si>
  <si>
    <t xml:space="preserve">AULA OFTALMO R2 NO SANE </t>
  </si>
  <si>
    <t>CONGRESSO (JARGS)</t>
  </si>
  <si>
    <t>PALESTRA JARGS DIA TODO</t>
  </si>
  <si>
    <t>PALESTRA JARGS MANHÃ</t>
  </si>
  <si>
    <t>CERIMÔNIA ABERTURA JARGS</t>
  </si>
  <si>
    <t>JARGS - MANHÃ</t>
  </si>
  <si>
    <t>JARGS - TARDE</t>
  </si>
  <si>
    <t>PALESTRA JARGS - TARDE</t>
  </si>
  <si>
    <t>CURSO NO COLÉGIO BRASILEIRO DE CIRURGIÕES</t>
  </si>
  <si>
    <t>19/10/2023m</t>
  </si>
  <si>
    <t>AULA NA USP</t>
  </si>
  <si>
    <t>CONGRESSO (AULA NA USP)</t>
  </si>
  <si>
    <t>21/10/2023m</t>
  </si>
  <si>
    <t>24/10/2023m</t>
  </si>
  <si>
    <t>REUNIÃO COM PRESIDENTE DO IPERGS</t>
  </si>
  <si>
    <t>10/10/2023m</t>
  </si>
  <si>
    <t>ROB TRABALHA PARA IFA</t>
  </si>
  <si>
    <t>ESTUDO CLINICO HED</t>
  </si>
  <si>
    <t>REUNIÃO NO PPG COM ORIENTADOR</t>
  </si>
  <si>
    <t>CASSI - OFICINA TCC HED - WEN BED RKS MG NF</t>
  </si>
  <si>
    <t>REC - SEMINARIO ONLINE - R1 R2 R3</t>
  </si>
  <si>
    <t xml:space="preserve">CONVENÇÃO UNIMED </t>
  </si>
  <si>
    <t>ANESTESIA AMBULATORIAL NO SANE - R2</t>
  </si>
  <si>
    <t xml:space="preserve">APFS STOELTING CONFERENCE </t>
  </si>
  <si>
    <t xml:space="preserve">AULA SRPA - R1 NO SANE </t>
  </si>
  <si>
    <t>07/10/2023m</t>
  </si>
  <si>
    <t>08/10/2023m</t>
  </si>
  <si>
    <t>09/10/2023m</t>
  </si>
  <si>
    <t>VIN ASA</t>
  </si>
  <si>
    <t>12/10/2023m</t>
  </si>
  <si>
    <t>13/10/2023m</t>
  </si>
  <si>
    <t>14/10/2023m</t>
  </si>
  <si>
    <t>15/10/2023m</t>
  </si>
  <si>
    <t>16/10/2023m</t>
  </si>
  <si>
    <t>17/10/2023m</t>
  </si>
  <si>
    <t>18/10/2023m</t>
  </si>
  <si>
    <t xml:space="preserve">AULA NA USP </t>
  </si>
  <si>
    <t>22/10/2023m</t>
  </si>
  <si>
    <t>23/10/2023m</t>
  </si>
  <si>
    <t>25/10/2023m</t>
  </si>
  <si>
    <t>26/10/2023m</t>
  </si>
  <si>
    <t>28/10/2023m</t>
  </si>
  <si>
    <t>29/10/2023m</t>
  </si>
  <si>
    <t>30/10/2023m</t>
  </si>
  <si>
    <t>31/10/2023m</t>
  </si>
  <si>
    <t>EVENTO HMV</t>
  </si>
  <si>
    <t>AULA ONLINE UNISINOS</t>
  </si>
  <si>
    <t>CONVENÇÃO UNIMED O DIA TODO</t>
  </si>
  <si>
    <t>SEMINÁRIO - R1, R2, R3 - ONLINE</t>
  </si>
  <si>
    <t>CURSO SBA</t>
  </si>
  <si>
    <t>HED ALUNOS - O DIA TODO</t>
  </si>
  <si>
    <t>MANHÃ</t>
  </si>
  <si>
    <t>CONGRESSO (CONGRESSO)</t>
  </si>
  <si>
    <t>CONVENÇÃO UNIMED - O DIA TODO</t>
  </si>
  <si>
    <t>19/11/2023m</t>
  </si>
  <si>
    <t>ADM A TARDE</t>
  </si>
  <si>
    <t>CURSO - STARTUP WEEKEND HEALTH - FLORIANÓPOLIS</t>
  </si>
  <si>
    <t>STARTUP WEEKEND HEALTH - FLORIPA</t>
  </si>
  <si>
    <t>SÓCIOS LIBERADOS - FERIADO ESTENDIDO</t>
  </si>
  <si>
    <t>REUNIÃO C/ ADVOGADO</t>
  </si>
  <si>
    <t>24/11/2023m</t>
  </si>
  <si>
    <t>REUNIÃO HMV (HOMENAGEM)</t>
  </si>
  <si>
    <t>01/11/2023m</t>
  </si>
  <si>
    <t>03/11/2023m</t>
  </si>
  <si>
    <t>AULA - TX RIM - R3 NO SANE</t>
  </si>
  <si>
    <t>07/11/2023m</t>
  </si>
  <si>
    <t>PLANEJAMENTO ESTRATEGICO DA UNIMED - 08H - 18H</t>
  </si>
  <si>
    <t>08/11/2023m</t>
  </si>
  <si>
    <t xml:space="preserve">PALESTRA DEBORA: CRIOANALGESIA </t>
  </si>
  <si>
    <t>OFICINA TCC HED WEN BED RKS MG NF</t>
  </si>
  <si>
    <t>CERTIFICADORA</t>
  </si>
  <si>
    <t>CONGRESSO (STARTUP WEEKEND HEALTH - FLORIPA)</t>
  </si>
  <si>
    <t xml:space="preserve">EVENTO ULBRA </t>
  </si>
  <si>
    <t>TRATAMENTO DA ANEMIA NO PRE OPERATORIO</t>
  </si>
  <si>
    <t>REUNIÃO DIREÇÃO HMD</t>
  </si>
  <si>
    <t>REUNIÃO CCG/HAPVIDA - ONLINE</t>
  </si>
  <si>
    <t>REUNIÃO HMV</t>
  </si>
  <si>
    <t>UNISINOS PSICOLOGIA</t>
  </si>
  <si>
    <t xml:space="preserve">REUNIÃO EST ONLINE </t>
  </si>
  <si>
    <t>SUPORTE VENTILATORIO R3 NO SANE</t>
  </si>
  <si>
    <t>PARADA CARDIACA EM ANESTESIA</t>
  </si>
  <si>
    <t>PRESENCIAL NO HED - CENARIO NA AREA DA SAUDE</t>
  </si>
  <si>
    <t xml:space="preserve">SEMINARIO R1 R2 R3 ONLINE </t>
  </si>
  <si>
    <t>EVENTO STC</t>
  </si>
  <si>
    <t xml:space="preserve">SEMINÁRIO R1 R2 R3 ONLINE </t>
  </si>
  <si>
    <t>ALUNOS UNISINOS HED</t>
  </si>
  <si>
    <t>REUNIAO EST ONLINE</t>
  </si>
  <si>
    <t>ANESTESIA OTORRINO R1 NO SANE</t>
  </si>
  <si>
    <t>EVENTO UNISINOS SÃO LEOPOLDO</t>
  </si>
  <si>
    <t xml:space="preserve">AULA LIGA ANESTESIOLOGIA </t>
  </si>
  <si>
    <t>BSA BPD - R1 NO SANE</t>
  </si>
  <si>
    <t>02/11/2023m</t>
  </si>
  <si>
    <t>04/11/2023m</t>
  </si>
  <si>
    <t>05/11/2023m</t>
  </si>
  <si>
    <t>NF - SEMINÁRIO ONLINE R1 R2 R3</t>
  </si>
  <si>
    <t>COMPLICAÇÕES EM ANESTESIA R1 NO SANE</t>
  </si>
  <si>
    <t xml:space="preserve">MAF TRABALHA P/REI </t>
  </si>
  <si>
    <t>11/11/2023m</t>
  </si>
  <si>
    <t>12/11/2023m</t>
  </si>
  <si>
    <t>13/11/2023m</t>
  </si>
  <si>
    <t>14/11/2023m</t>
  </si>
  <si>
    <t>15/11/2023m</t>
  </si>
  <si>
    <t>18/11/2023m</t>
  </si>
  <si>
    <t>20/11/2023m</t>
  </si>
  <si>
    <t>21/11/2023m</t>
  </si>
  <si>
    <t>22/11/2023m</t>
  </si>
  <si>
    <t>23/11/2023m</t>
  </si>
  <si>
    <t>25/11/2023m</t>
  </si>
  <si>
    <t>26/11/2023m</t>
  </si>
  <si>
    <t>AULA UNISINOS</t>
  </si>
  <si>
    <t>27/11/2023m</t>
  </si>
  <si>
    <t>30/11/2023m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</si>
</sst>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F400]h:mm:ss\ AM/PM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9C65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color theme="8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0" borderId="0"/>
    <xf numFmtId="0" fontId="1" fillId="0" borderId="0"/>
    <xf numFmtId="0" fontId="18" fillId="4" borderId="0" applyNumberFormat="0" applyBorder="0" applyAlignment="0" applyProtection="0"/>
    <xf numFmtId="0" fontId="1" fillId="8" borderId="8" applyNumberFormat="0" applyFont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</cellStyleXfs>
  <cellXfs count="74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15" fillId="0" borderId="10" xfId="0" applyFont="1" applyBorder="1"/>
    <xf numFmtId="164" fontId="15" fillId="0" borderId="10" xfId="0" applyNumberFormat="1" applyFont="1" applyBorder="1"/>
    <xf numFmtId="0" fontId="15" fillId="0" borderId="0" xfId="0" applyFont="1"/>
    <xf numFmtId="164" fontId="15" fillId="0" borderId="0" xfId="0" applyNumberFormat="1" applyFont="1"/>
    <xf numFmtId="165" fontId="0" fillId="0" borderId="0" xfId="0" applyNumberFormat="1"/>
    <xf numFmtId="0" fontId="15" fillId="33" borderId="11" xfId="0" applyFont="1" applyFill="1" applyBorder="1" applyAlignment="1">
      <alignment horizontal="center"/>
    </xf>
    <xf numFmtId="14" fontId="0" fillId="35" borderId="0" xfId="0" applyNumberFormat="1" applyFill="1"/>
    <xf numFmtId="0" fontId="0" fillId="35" borderId="0" xfId="0" applyFill="1"/>
    <xf numFmtId="0" fontId="0" fillId="35" borderId="14" xfId="0" applyFill="1" applyBorder="1"/>
    <xf numFmtId="0" fontId="20" fillId="0" borderId="0" xfId="0" applyFont="1"/>
    <xf numFmtId="0" fontId="12" fillId="0" borderId="0" xfId="0" applyFont="1"/>
    <xf numFmtId="0" fontId="12" fillId="0" borderId="18" xfId="0" applyFont="1" applyBorder="1"/>
    <xf numFmtId="0" fontId="0" fillId="36" borderId="0" xfId="0" applyFill="1"/>
    <xf numFmtId="14" fontId="20" fillId="0" borderId="0" xfId="0" applyNumberFormat="1" applyFont="1"/>
    <xf numFmtId="0" fontId="15" fillId="0" borderId="19" xfId="0" applyFont="1" applyBorder="1"/>
    <xf numFmtId="0" fontId="15" fillId="36" borderId="10" xfId="0" applyFont="1" applyFill="1" applyBorder="1"/>
    <xf numFmtId="0" fontId="15" fillId="35" borderId="19" xfId="0" applyFont="1" applyFill="1" applyBorder="1" applyProtection="1">
      <protection hidden="1"/>
    </xf>
    <xf numFmtId="0" fontId="0" fillId="35" borderId="13" xfId="0" applyFill="1" applyBorder="1" applyProtection="1">
      <protection hidden="1"/>
    </xf>
    <xf numFmtId="0" fontId="21" fillId="0" borderId="10" xfId="0" applyFont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4" fontId="0" fillId="35" borderId="12" xfId="0" applyNumberFormat="1" applyFill="1" applyBorder="1" applyAlignment="1" applyProtection="1">
      <alignment horizontal="center"/>
      <protection locked="0"/>
    </xf>
    <xf numFmtId="0" fontId="0" fillId="0" borderId="11" xfId="0" applyBorder="1"/>
    <xf numFmtId="0" fontId="22" fillId="0" borderId="11" xfId="0" applyFont="1" applyBorder="1"/>
    <xf numFmtId="0" fontId="24" fillId="34" borderId="0" xfId="0" applyFont="1" applyFill="1"/>
    <xf numFmtId="0" fontId="25" fillId="34" borderId="0" xfId="0" applyFont="1" applyFill="1" applyProtection="1">
      <protection hidden="1"/>
    </xf>
    <xf numFmtId="0" fontId="26" fillId="33" borderId="11" xfId="0" applyFont="1" applyFill="1" applyBorder="1" applyAlignment="1">
      <alignment horizontal="center"/>
    </xf>
    <xf numFmtId="0" fontId="27" fillId="34" borderId="0" xfId="0" applyFont="1" applyFill="1" applyAlignment="1">
      <alignment horizontal="center" vertical="center"/>
    </xf>
    <xf numFmtId="0" fontId="24" fillId="0" borderId="0" xfId="0" applyFont="1" applyProtection="1">
      <protection hidden="1"/>
    </xf>
    <xf numFmtId="0" fontId="24" fillId="0" borderId="0" xfId="0" applyFont="1"/>
    <xf numFmtId="0" fontId="28" fillId="34" borderId="0" xfId="0" applyFont="1" applyFill="1"/>
    <xf numFmtId="0" fontId="29" fillId="34" borderId="0" xfId="0" applyFont="1" applyFill="1" applyProtection="1">
      <protection hidden="1"/>
    </xf>
    <xf numFmtId="0" fontId="28" fillId="34" borderId="13" xfId="0" applyFont="1" applyFill="1" applyBorder="1"/>
    <xf numFmtId="14" fontId="29" fillId="34" borderId="0" xfId="0" applyNumberFormat="1" applyFont="1" applyFill="1" applyProtection="1">
      <protection hidden="1"/>
    </xf>
    <xf numFmtId="0" fontId="28" fillId="0" borderId="15" xfId="0" applyFont="1" applyBorder="1"/>
    <xf numFmtId="0" fontId="28" fillId="0" borderId="17" xfId="0" applyFont="1" applyBorder="1"/>
    <xf numFmtId="0" fontId="28" fillId="0" borderId="16" xfId="0" applyFont="1" applyBorder="1"/>
    <xf numFmtId="0" fontId="28" fillId="0" borderId="13" xfId="0" applyFont="1" applyBorder="1" applyProtection="1">
      <protection hidden="1"/>
    </xf>
    <xf numFmtId="0" fontId="28" fillId="0" borderId="0" xfId="0" applyFont="1" applyProtection="1">
      <protection hidden="1"/>
    </xf>
    <xf numFmtId="0" fontId="28" fillId="0" borderId="14" xfId="0" applyFont="1" applyBorder="1" applyProtection="1">
      <protection hidden="1"/>
    </xf>
    <xf numFmtId="0" fontId="31" fillId="0" borderId="0" xfId="0" applyFont="1" applyProtection="1">
      <protection hidden="1"/>
    </xf>
    <xf numFmtId="0" fontId="32" fillId="0" borderId="11" xfId="0" applyFont="1" applyBorder="1" applyProtection="1">
      <protection hidden="1"/>
    </xf>
    <xf numFmtId="0" fontId="33" fillId="0" borderId="0" xfId="0" applyFont="1" applyProtection="1">
      <protection hidden="1"/>
    </xf>
    <xf numFmtId="0" fontId="33" fillId="0" borderId="14" xfId="0" applyFont="1" applyBorder="1" applyProtection="1">
      <protection hidden="1"/>
    </xf>
    <xf numFmtId="0" fontId="30" fillId="0" borderId="10" xfId="0" applyFont="1" applyBorder="1" applyProtection="1">
      <protection hidden="1"/>
    </xf>
    <xf numFmtId="164" fontId="30" fillId="0" borderId="10" xfId="0" applyNumberFormat="1" applyFont="1" applyBorder="1" applyProtection="1">
      <protection hidden="1"/>
    </xf>
    <xf numFmtId="0" fontId="28" fillId="0" borderId="10" xfId="0" applyFont="1" applyBorder="1" applyProtection="1">
      <protection hidden="1"/>
    </xf>
    <xf numFmtId="14" fontId="28" fillId="0" borderId="0" xfId="0" applyNumberFormat="1" applyFont="1" applyProtection="1">
      <protection hidden="1"/>
    </xf>
    <xf numFmtId="164" fontId="28" fillId="0" borderId="0" xfId="0" applyNumberFormat="1" applyFont="1" applyProtection="1">
      <protection hidden="1"/>
    </xf>
    <xf numFmtId="0" fontId="28" fillId="0" borderId="13" xfId="0" applyFont="1" applyBorder="1"/>
    <xf numFmtId="14" fontId="28" fillId="0" borderId="0" xfId="0" applyNumberFormat="1" applyFont="1"/>
    <xf numFmtId="0" fontId="28" fillId="0" borderId="0" xfId="0" applyFont="1"/>
    <xf numFmtId="164" fontId="28" fillId="0" borderId="0" xfId="0" applyNumberFormat="1" applyFont="1"/>
    <xf numFmtId="0" fontId="28" fillId="0" borderId="14" xfId="0" applyFont="1" applyBorder="1"/>
    <xf numFmtId="0" fontId="26" fillId="33" borderId="11" xfId="0" applyFont="1" applyFill="1" applyBorder="1" applyAlignment="1">
      <alignment horizontal="center" vertical="center"/>
    </xf>
    <xf numFmtId="0" fontId="24" fillId="34" borderId="0" xfId="0" applyFont="1" applyFill="1" applyProtection="1">
      <protection hidden="1"/>
    </xf>
    <xf numFmtId="0" fontId="26" fillId="0" borderId="11" xfId="0" applyFont="1" applyBorder="1" applyAlignment="1" applyProtection="1">
      <alignment horizontal="center"/>
      <protection hidden="1"/>
    </xf>
    <xf numFmtId="0" fontId="24" fillId="37" borderId="21" xfId="0" applyFont="1" applyFill="1" applyBorder="1" applyAlignment="1" applyProtection="1">
      <alignment horizontal="center"/>
      <protection hidden="1"/>
    </xf>
    <xf numFmtId="0" fontId="24" fillId="37" borderId="20" xfId="0" applyFont="1" applyFill="1" applyBorder="1" applyAlignment="1" applyProtection="1">
      <alignment horizontal="center" vertical="center" wrapText="1"/>
      <protection hidden="1"/>
    </xf>
    <xf numFmtId="0" fontId="24" fillId="34" borderId="0" xfId="0" applyFont="1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37" borderId="20" xfId="0" applyFont="1" applyFill="1" applyBorder="1" applyAlignment="1" applyProtection="1">
      <alignment horizontal="center"/>
      <protection hidden="1"/>
    </xf>
    <xf numFmtId="0" fontId="24" fillId="34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34" fillId="0" borderId="0" xfId="0" applyFont="1"/>
    <xf numFmtId="0" fontId="26" fillId="33" borderId="11" xfId="0" applyFont="1" applyFill="1" applyBorder="1" applyAlignment="1">
      <alignment horizontal="center"/>
    </xf>
    <xf numFmtId="0" fontId="0" fillId="0" borderId="11" xfId="0" applyBorder="1" applyAlignment="1" applyProtection="1">
      <alignment horizontal="center" vertical="center"/>
      <protection locked="0"/>
    </xf>
    <xf numFmtId="0" fontId="23" fillId="0" borderId="11" xfId="0" applyFont="1" applyBorder="1" applyAlignment="1" applyProtection="1">
      <alignment horizontal="center" vertical="center"/>
      <protection locked="0"/>
    </xf>
    <xf numFmtId="0" fontId="0" fillId="0" borderId="0" xfId="0" applyNumberFormat="1"/>
  </cellXfs>
  <cellStyles count="44">
    <cellStyle name="20% - Ênfase1" xfId="17" builtinId="30" customBuiltin="1"/>
    <cellStyle name="20% - Ênfase2" xfId="20" builtinId="34" customBuiltin="1"/>
    <cellStyle name="20% - Ênfase3" xfId="23" builtinId="38" customBuiltin="1"/>
    <cellStyle name="20% - Ênfase4" xfId="26" builtinId="42" customBuiltin="1"/>
    <cellStyle name="20% - Ênfase5" xfId="29" builtinId="46" customBuiltin="1"/>
    <cellStyle name="20% - Ênfase6" xfId="32" builtinId="50" customBuiltin="1"/>
    <cellStyle name="40% - Ênfase1" xfId="18" builtinId="31" customBuiltin="1"/>
    <cellStyle name="40% - Ênfase2" xfId="21" builtinId="35" customBuiltin="1"/>
    <cellStyle name="40% - Ênfase3" xfId="24" builtinId="39" customBuiltin="1"/>
    <cellStyle name="40% - Ênfase4" xfId="27" builtinId="43" customBuiltin="1"/>
    <cellStyle name="40% - Ênfase5" xfId="30" builtinId="47" customBuiltin="1"/>
    <cellStyle name="40% - Ênfase6" xfId="33" builtinId="51" customBuiltin="1"/>
    <cellStyle name="60% - Ênfase1 2" xfId="38" xr:uid="{DFF9CF43-5C5D-4D4F-B8AA-41C072FC0BD7}"/>
    <cellStyle name="60% - Ênfase2 2" xfId="39" xr:uid="{89F6ABF5-30A4-4F38-9969-8546F32DFEAF}"/>
    <cellStyle name="60% - Ênfase3 2" xfId="40" xr:uid="{6F6B5DF8-94FD-41AC-A8D2-C49EFA6461D9}"/>
    <cellStyle name="60% - Ênfase4 2" xfId="41" xr:uid="{39489658-7B8D-4ED4-9A58-47F360F94FAC}"/>
    <cellStyle name="60% - Ênfase5 2" xfId="42" xr:uid="{9E2E85FC-3AF6-4BC1-895F-E6266937D301}"/>
    <cellStyle name="60% - Ênfase6 2" xfId="43" xr:uid="{8CBC5685-317A-4B0E-863B-8FFF69E48F92}"/>
    <cellStyle name="Bom" xfId="6" builtinId="26" customBuiltin="1"/>
    <cellStyle name="Cálculo" xfId="10" builtinId="22" customBuiltin="1"/>
    <cellStyle name="Célula de Verificação" xfId="12" builtinId="23" customBuiltin="1"/>
    <cellStyle name="Célula Vinculada" xfId="11" builtinId="24" customBuiltin="1"/>
    <cellStyle name="Ênfase1" xfId="16" builtinId="29" customBuiltin="1"/>
    <cellStyle name="Ênfase2" xfId="19" builtinId="33" customBuiltin="1"/>
    <cellStyle name="Ênfase3" xfId="22" builtinId="37" customBuiltin="1"/>
    <cellStyle name="Ênfase4" xfId="25" builtinId="41" customBuiltin="1"/>
    <cellStyle name="Ênfase5" xfId="28" builtinId="45" customBuiltin="1"/>
    <cellStyle name="Ênfase6" xfId="31" builtinId="49" customBuiltin="1"/>
    <cellStyle name="Entrada" xfId="8" builtinId="20" customBuiltin="1"/>
    <cellStyle name="Neutro 2" xfId="36" xr:uid="{73B2606F-94EA-4E0E-8846-27C3EDA84E91}"/>
    <cellStyle name="Normal" xfId="0" builtinId="0"/>
    <cellStyle name="Normal 2" xfId="35" xr:uid="{7763C214-1DB8-4D83-9D07-3E4CB5310598}"/>
    <cellStyle name="Normal 3" xfId="34" xr:uid="{0BD3F722-D80E-42D9-9C54-2716DB1C9F23}"/>
    <cellStyle name="Nota 2" xfId="37" xr:uid="{EF84FA6C-9429-4B9E-8511-44B477150463}"/>
    <cellStyle name="Ruim" xfId="7" builtinId="27" customBuiltin="1"/>
    <cellStyle name="Saída" xfId="9" builtinId="21" customBuiltin="1"/>
    <cellStyle name="Texto de Aviso" xfId="13" builtinId="11" customBuiltin="1"/>
    <cellStyle name="Texto Explicativo" xfId="14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5" builtinId="25" customBuiltin="1"/>
  </cellStyles>
  <dxfs count="59">
    <dxf>
      <numFmt numFmtId="19" formatCode="dd/mm/yyyy"/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7"/>
      </font>
      <fill>
        <patternFill>
          <bgColor theme="7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color theme="7"/>
      </font>
      <fill>
        <patternFill>
          <bgColor theme="7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color theme="0"/>
      </font>
    </dxf>
    <dxf>
      <numFmt numFmtId="165" formatCode="[$-F400]h:mm:ss\ AM/PM"/>
    </dxf>
    <dxf>
      <numFmt numFmtId="165" formatCode="[$-F400]h:mm:ss\ AM/PM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0" formatCode="General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64" formatCode="h:mm;@"/>
    </dxf>
    <dxf>
      <numFmt numFmtId="164" formatCode="h:mm;@"/>
    </dxf>
    <dxf>
      <numFmt numFmtId="164" formatCode="h:mm;@"/>
    </dxf>
    <dxf>
      <numFmt numFmtId="0" formatCode="General"/>
    </dxf>
    <dxf>
      <numFmt numFmtId="164" formatCode="h:mm;@"/>
    </dxf>
    <dxf>
      <numFmt numFmtId="164" formatCode="h:mm;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8</xdr:row>
      <xdr:rowOff>47625</xdr:rowOff>
    </xdr:from>
    <xdr:to>
      <xdr:col>2</xdr:col>
      <xdr:colOff>114300</xdr:colOff>
      <xdr:row>10</xdr:row>
      <xdr:rowOff>76200</xdr:rowOff>
    </xdr:to>
    <xdr:sp macro="[0]!Gravar" textlink="">
      <xdr:nvSpPr>
        <xdr:cNvPr id="2" name="Retângulo 1">
          <a:extLst>
            <a:ext uri="{FF2B5EF4-FFF2-40B4-BE49-F238E27FC236}">
              <a16:creationId xmlns:a16="http://schemas.microsoft.com/office/drawing/2014/main" id="{6274E750-56D2-25E6-6E03-EB07148BD6ED}"/>
            </a:ext>
          </a:extLst>
        </xdr:cNvPr>
        <xdr:cNvSpPr/>
      </xdr:nvSpPr>
      <xdr:spPr>
        <a:xfrm>
          <a:off x="561975" y="1571625"/>
          <a:ext cx="1143000" cy="40957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Gravar</a:t>
          </a:r>
        </a:p>
      </xdr:txBody>
    </xdr:sp>
    <xdr:clientData/>
  </xdr:twoCellAnchor>
  <xdr:twoCellAnchor>
    <xdr:from>
      <xdr:col>0</xdr:col>
      <xdr:colOff>552450</xdr:colOff>
      <xdr:row>5</xdr:row>
      <xdr:rowOff>9525</xdr:rowOff>
    </xdr:from>
    <xdr:to>
      <xdr:col>2</xdr:col>
      <xdr:colOff>104775</xdr:colOff>
      <xdr:row>7</xdr:row>
      <xdr:rowOff>38100</xdr:rowOff>
    </xdr:to>
    <xdr:sp macro="[0]!Buscar" textlink="">
      <xdr:nvSpPr>
        <xdr:cNvPr id="3" name="Retângulo 2">
          <a:extLst>
            <a:ext uri="{FF2B5EF4-FFF2-40B4-BE49-F238E27FC236}">
              <a16:creationId xmlns:a16="http://schemas.microsoft.com/office/drawing/2014/main" id="{3F18C302-F36C-4EF5-B00A-9AD2D55BA13D}"/>
            </a:ext>
          </a:extLst>
        </xdr:cNvPr>
        <xdr:cNvSpPr/>
      </xdr:nvSpPr>
      <xdr:spPr>
        <a:xfrm>
          <a:off x="552450" y="962025"/>
          <a:ext cx="1143000" cy="40957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</a:t>
          </a:r>
        </a:p>
      </xdr:txBody>
    </xdr:sp>
    <xdr:clientData/>
  </xdr:twoCellAnchor>
  <xdr:twoCellAnchor>
    <xdr:from>
      <xdr:col>0</xdr:col>
      <xdr:colOff>552450</xdr:colOff>
      <xdr:row>11</xdr:row>
      <xdr:rowOff>85725</xdr:rowOff>
    </xdr:from>
    <xdr:to>
      <xdr:col>2</xdr:col>
      <xdr:colOff>104775</xdr:colOff>
      <xdr:row>12</xdr:row>
      <xdr:rowOff>95250</xdr:rowOff>
    </xdr:to>
    <xdr:sp macro="[0]!ApagarLinha" textlink="">
      <xdr:nvSpPr>
        <xdr:cNvPr id="4" name="Retângulo 3">
          <a:extLst>
            <a:ext uri="{FF2B5EF4-FFF2-40B4-BE49-F238E27FC236}">
              <a16:creationId xmlns:a16="http://schemas.microsoft.com/office/drawing/2014/main" id="{0C3C72E8-552C-4F12-ADEE-D8D5C14B261C}"/>
            </a:ext>
          </a:extLst>
        </xdr:cNvPr>
        <xdr:cNvSpPr/>
      </xdr:nvSpPr>
      <xdr:spPr>
        <a:xfrm>
          <a:off x="552450" y="2181225"/>
          <a:ext cx="1333500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 linha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700-000000000000}" autoFormatId="16" applyNumberFormats="0" applyBorderFormats="0" applyFontFormats="0" applyPatternFormats="0" applyAlignmentFormats="0" applyWidthHeightFormats="0">
  <queryTableRefresh nextId="21" unboundColumnsRight="1">
    <queryTableFields count="14">
      <queryTableField id="1" name="Data" tableColumnId="1"/>
      <queryTableField id="2" name="Médico" tableColumnId="2"/>
      <queryTableField id="3" name="Compromisso" tableColumnId="3"/>
      <queryTableField id="4" name="HoraInicio" tableColumnId="4"/>
      <queryTableField id="5" name="HoraFim" tableColumnId="5"/>
      <queryTableField id="7" name="Obs" tableColumnId="7"/>
      <queryTableField id="9" name="PrimeiroPeriodo" tableColumnId="8"/>
      <queryTableField id="10" name="SegundoPeriodo" tableColumnId="9"/>
      <queryTableField id="11" name="TerceiroPeriodo" tableColumnId="10"/>
      <queryTableField id="12" name="QuartoPeriodo" tableColumnId="11"/>
      <queryTableField id="13" name="QuintoPeriodo" tableColumnId="12"/>
      <queryTableField id="6" name="Fixo" tableColumnId="6"/>
      <queryTableField id="20" name="Nível" tableColumnId="14"/>
      <queryTableField id="19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1000000}" autoFormatId="16" applyNumberFormats="0" applyBorderFormats="0" applyFontFormats="0" applyPatternFormats="0" applyAlignmentFormats="0" applyWidthHeightFormats="0">
  <queryTableRefresh nextId="10" unboundColumnsRight="4">
    <queryTableFields count="7">
      <queryTableField id="1" name="Médico" tableColumnId="1"/>
      <queryTableField id="2" name="Compromisso" tableColumnId="2"/>
      <queryTableField id="3" name="Data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8CAECB-8C46-4C36-83F3-AB7A2C6EF99B}" name="Tabela1" displayName="Tabela1" ref="A1:F3213" totalsRowShown="0">
  <autoFilter ref="A1:F3213" xr:uid="{00000000-0001-0000-0000-000000000000}"/>
  <tableColumns count="6">
    <tableColumn id="1" xr3:uid="{4EFCF858-A64C-42FD-AECD-4DE45D790042}" name="Data" dataDxfId="58"/>
    <tableColumn id="2" xr3:uid="{641975D0-70CD-471C-8F84-0CC82029C7F1}" name="Médico"/>
    <tableColumn id="3" xr3:uid="{295FC9ED-178C-4F40-87B8-C9A6EF989D9F}" name="Compromisso"/>
    <tableColumn id="4" xr3:uid="{092EA23C-147D-4328-B3A5-45800A69D440}" name="HoraInicio" dataDxfId="57"/>
    <tableColumn id="5" xr3:uid="{473E15CB-FEC9-4BE4-A5D8-8245D57CD9C8}" name="HoraFim" dataDxfId="56"/>
    <tableColumn id="6" xr3:uid="{45138736-78CC-4FDA-A099-0EF1EA73044B}" name="Ob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529438-4B59-4577-B6B5-4B68339EB3F8}" name="Tabela2" displayName="Tabela2" ref="A1:I38" totalsRowShown="0">
  <autoFilter ref="A1:I38" xr:uid="{08F7C5E6-3B87-4460-9E5A-25EA65E13E9A}"/>
  <tableColumns count="9">
    <tableColumn id="1" xr3:uid="{FD8559C5-5BD6-455D-9239-0B0C676CF70E}" name="# Dia semana" dataDxfId="55">
      <calculatedColumnFormula>IFERROR(VLOOKUP(Tabela2[[#This Row],[Dia da semana]],Opções!$F$2:$G$8,2,0),"")</calculatedColumnFormula>
    </tableColumn>
    <tableColumn id="2" xr3:uid="{2A24DF5F-2849-402E-A4DB-2221038095E6}" name="Dia da semana"/>
    <tableColumn id="3" xr3:uid="{A15A9D14-5022-4A2F-9FC5-D36A0ED3E6DE}" name="Médico"/>
    <tableColumn id="4" xr3:uid="{24342C21-8926-4857-A8F5-081A58B9F9D8}" name="Compromisso"/>
    <tableColumn id="5" xr3:uid="{25A8C6D8-746D-4B95-A17C-04034E9729D8}" name="HoraInicio" dataDxfId="54"/>
    <tableColumn id="6" xr3:uid="{E6444E94-EDED-4963-BE1B-98EEF0944D3D}" name="HoraFim" dataDxfId="53"/>
    <tableColumn id="9" xr3:uid="{89C2F7FC-CCE9-4F53-AB23-EF7BB2328601}" name="Obs" dataDxfId="52"/>
    <tableColumn id="7" xr3:uid="{0D25482C-E9FF-4101-8D8D-A1BDBCAE2E4C}" name="DataInicio"/>
    <tableColumn id="8" xr3:uid="{4CDA253A-7304-48D4-B310-349C3BBEF082}" name="DataFim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C012A5-FB68-4451-B41B-A709CEFD538A}" name="Tabela5" displayName="Tabela5" ref="A1:F205" totalsRowShown="0" headerRowDxfId="51" tableBorderDxfId="50">
  <autoFilter ref="A1:F205" xr:uid="{EFC012A5-FB68-4451-B41B-A709CEFD538A}">
    <filterColumn colId="1">
      <filters>
        <filter val="LIP"/>
      </filters>
    </filterColumn>
  </autoFilter>
  <tableColumns count="6">
    <tableColumn id="6" xr3:uid="{B8753AE3-8733-4282-951A-753B10FB1ED2}" name="Nível" dataDxfId="49">
      <calculatedColumnFormula>VLOOKUP(Tabela5[[#This Row],[Médico]],Equipe!A:C,3,0)</calculatedColumnFormula>
    </tableColumn>
    <tableColumn id="1" xr3:uid="{CF19FB35-3911-459A-B435-62714BCC6224}" name="Médico"/>
    <tableColumn id="4" xr3:uid="{98239747-A705-43D7-812B-35BD45C3D7FF}" name="Compromisso"/>
    <tableColumn id="2" xr3:uid="{95443339-9DDF-47E7-B50C-7C40564A435F}" name="DataInicio" dataDxfId="48"/>
    <tableColumn id="3" xr3:uid="{0A48ED69-C6F8-441C-833D-5A448EC88139}" name="DataFim" dataDxfId="47"/>
    <tableColumn id="5" xr3:uid="{EC6884EC-6351-40B2-A6CA-F9C9FDA6830B}" name="Obs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E57F57-42AE-44A3-ACCD-B1B105E00C23}" name="Tabela3" displayName="Tabela3" ref="A1:C24" totalsRowShown="0" headerRowDxfId="46">
  <autoFilter ref="A1:C24" xr:uid="{04E57F57-42AE-44A3-ACCD-B1B105E00C23}"/>
  <tableColumns count="3">
    <tableColumn id="1" xr3:uid="{B6956A45-6604-4220-A845-4AB9F95D61ED}" name="Data" dataDxfId="45"/>
    <tableColumn id="2" xr3:uid="{BDC902D5-343F-44EB-B68F-77FD5FEC4FE0}" name="Médico"/>
    <tableColumn id="3" xr3:uid="{D8E322F1-D784-443C-BC5E-37A751AE1B73}" name="Compromisso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4ECFF0-EADB-4CFB-A7E1-EF65E119CD5A}" name="Tabela7" displayName="Tabela7" ref="A1:C60" totalsRowShown="0" headerRowDxfId="44" headerRowBorderDxfId="43">
  <autoFilter ref="A1:C60" xr:uid="{704ECFF0-EADB-4CFB-A7E1-EF65E119CD5A}"/>
  <tableColumns count="3">
    <tableColumn id="1" xr3:uid="{9280738A-4C4D-4D2A-B378-1D102B9688B1}" name="Sigla"/>
    <tableColumn id="2" xr3:uid="{323C9A9A-2B22-4A7E-8E2C-DFE17BE9942D}" name="Nome"/>
    <tableColumn id="3" xr3:uid="{FCD32D54-9842-4020-A5D2-B53FF4E51BD1}" name="Nível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A641D9-11B3-497E-BA20-9F14C87237D1}" name="Tabela6" displayName="Tabela6" ref="H1:H19" totalsRowShown="0">
  <tableColumns count="1">
    <tableColumn id="1" xr3:uid="{6FFC54D0-2C1A-4AFC-968D-719DA8967723}" name="Compromissos para regra horario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D2917-24F6-4470-8FDE-AD0740156CD5}" name="Tabela_tudo" displayName="Tabela_tudo" ref="A1:N8454" tableType="queryTable" totalsRowShown="0">
  <autoFilter ref="A1:N8454" xr:uid="{A10D2917-24F6-4470-8FDE-AD0740156CD5}"/>
  <tableColumns count="14">
    <tableColumn id="1" xr3:uid="{67C21845-EAC9-4607-8C5E-C742B7397488}" uniqueName="1" name="Data" queryTableFieldId="1" dataDxfId="31"/>
    <tableColumn id="2" xr3:uid="{4662A69F-E97F-4DFA-B09F-6767015C0F4A}" uniqueName="2" name="Médico" queryTableFieldId="2" dataDxfId="42"/>
    <tableColumn id="3" xr3:uid="{63E54A1D-7AE8-4203-9C59-DA4F1D44BB0D}" uniqueName="3" name="Compromisso" queryTableFieldId="3" dataDxfId="41"/>
    <tableColumn id="4" xr3:uid="{F0CE366F-7099-4B82-8F0E-C2F9A7C33468}" uniqueName="4" name="HoraInicio" queryTableFieldId="4" dataDxfId="30"/>
    <tableColumn id="5" xr3:uid="{11F40A94-4F2E-4C73-8BE5-5A444CBF6F78}" uniqueName="5" name="HoraFim" queryTableFieldId="5" dataDxfId="29"/>
    <tableColumn id="7" xr3:uid="{754D733E-C7A0-4FE3-BD48-F6F8C2C4F4DA}" uniqueName="7" name="Obs" queryTableFieldId="7" dataDxfId="40"/>
    <tableColumn id="8" xr3:uid="{228657BE-45A5-4D8B-B6B4-041784E0FE06}" uniqueName="8" name="PrimeiroPeriodo" queryTableFieldId="9"/>
    <tableColumn id="9" xr3:uid="{8D30D369-F2CE-47DA-B3D5-CFAD10B1F19D}" uniqueName="9" name="SegundoPeriodo" queryTableFieldId="10"/>
    <tableColumn id="10" xr3:uid="{1768F7FB-B0CA-472C-AAE5-E90F8BDB3B8B}" uniqueName="10" name="TerceiroPeriodo" queryTableFieldId="11"/>
    <tableColumn id="11" xr3:uid="{329B322A-3B98-4F8B-8F69-C9E6846A15A0}" uniqueName="11" name="QuartoPeriodo" queryTableFieldId="12"/>
    <tableColumn id="12" xr3:uid="{0E9DE5EE-B799-476C-B2B8-F8E297962FC0}" uniqueName="12" name="QuintoPeriodo" queryTableFieldId="13"/>
    <tableColumn id="6" xr3:uid="{8520AC42-6AAB-499D-8C48-242D95BB130A}" uniqueName="6" name="Fixo" queryTableFieldId="6"/>
    <tableColumn id="14" xr3:uid="{0E6CD0AA-D74E-4EF7-B05F-9F2F73A1B95D}" uniqueName="14" name="Nível" queryTableFieldId="20" dataDxfId="39"/>
    <tableColumn id="13" xr3:uid="{89AF776E-17AA-4BE8-82FD-D4063D0B0D1B}" uniqueName="13" name="Congresso" queryTableFieldId="19" dataDxfId="38">
      <calculatedColumnFormula>Tabela_tudo[[#This Row],[Médico]]&amp;" ("&amp;Tabela_tudo[[#This Row],[Obs]]&amp;")"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91D05D3-79E9-4839-AF9C-31638132FAEC}" name="Tabela_ferias_folgas" displayName="Tabela_ferias_folgas" ref="A1:G1163" tableType="queryTable" totalsRowShown="0">
  <autoFilter ref="A1:G1163" xr:uid="{091D05D3-79E9-4839-AF9C-31638132FAEC}"/>
  <tableColumns count="7">
    <tableColumn id="1" xr3:uid="{F27AC98F-D33D-45A7-8625-110A26DFF710}" uniqueName="1" name="Médico" queryTableFieldId="1" dataDxfId="37"/>
    <tableColumn id="2" xr3:uid="{58B060EB-1B28-4C80-BEA6-38E4AF33D3AB}" uniqueName="2" name="Compromisso" queryTableFieldId="2" dataDxfId="36"/>
    <tableColumn id="3" xr3:uid="{BCF8AC95-7C2D-4618-A976-7EA4AD7737F7}" uniqueName="3" name="Data" queryTableFieldId="3" dataDxfId="0"/>
    <tableColumn id="4" xr3:uid="{20427805-4216-4DCF-B11B-5FE6A9CA0069}" uniqueName="4" name="Dia" queryTableFieldId="4" dataDxfId="35">
      <calculatedColumnFormula>DAY(Tabela_ferias_folgas[[#This Row],[Data]])</calculatedColumnFormula>
    </tableColumn>
    <tableColumn id="5" xr3:uid="{38E01B49-4170-41B1-B13E-A8BEB72C146E}" uniqueName="5" name="Mês" queryTableFieldId="5" dataDxfId="34">
      <calculatedColumnFormula>MONTH(Tabela_ferias_folgas[[#This Row],[Data]])</calculatedColumnFormula>
    </tableColumn>
    <tableColumn id="6" xr3:uid="{595A8C3E-B084-4874-8C2A-BF7428DEBFEC}" uniqueName="6" name="Ano" queryTableFieldId="6" dataDxfId="33">
      <calculatedColumnFormula>YEAR(Tabela_ferias_folgas[[#This Row],[Data]])</calculatedColumnFormula>
    </tableColumn>
    <tableColumn id="7" xr3:uid="{47C9AAE6-B8AA-460F-8C0D-48824F0ACBD5}" uniqueName="7" name="Concat" queryTableFieldId="7" dataDxfId="32">
      <calculatedColumnFormula>Tabela_ferias_folgas[[#This Row],[Médico]]&amp;" - "&amp;Tabela_ferias_folgas[[#This Row],[Compromisso]]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3213"/>
  <sheetViews>
    <sheetView topLeftCell="A3216" workbookViewId="0">
      <selection activeCell="D1153" sqref="D1153"/>
    </sheetView>
  </sheetViews>
  <sheetFormatPr defaultRowHeight="14.4" x14ac:dyDescent="0.3"/>
  <cols>
    <col min="1" max="1" width="12.5546875" customWidth="1"/>
    <col min="2" max="2" width="9.5546875" customWidth="1"/>
    <col min="3" max="3" width="15.44140625" customWidth="1"/>
    <col min="4" max="4" width="12.44140625" customWidth="1"/>
    <col min="5" max="5" width="10.5546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t="s">
        <v>7</v>
      </c>
      <c r="C2" t="s">
        <v>8</v>
      </c>
      <c r="D2" s="2"/>
      <c r="E2" s="2"/>
    </row>
    <row r="3" spans="1:6" x14ac:dyDescent="0.3">
      <c r="A3" t="s">
        <v>6</v>
      </c>
      <c r="B3" t="s">
        <v>9</v>
      </c>
      <c r="C3" t="s">
        <v>10</v>
      </c>
      <c r="D3" s="2"/>
      <c r="E3" s="2"/>
    </row>
    <row r="4" spans="1:6" x14ac:dyDescent="0.3">
      <c r="A4" t="s">
        <v>11</v>
      </c>
      <c r="B4" t="s">
        <v>12</v>
      </c>
      <c r="C4" t="s">
        <v>13</v>
      </c>
      <c r="D4" s="2"/>
      <c r="E4" s="2"/>
    </row>
    <row r="5" spans="1:6" x14ac:dyDescent="0.3">
      <c r="A5" t="s">
        <v>11</v>
      </c>
      <c r="B5" t="s">
        <v>14</v>
      </c>
      <c r="C5" t="s">
        <v>15</v>
      </c>
      <c r="D5" s="2"/>
      <c r="E5" s="2"/>
    </row>
    <row r="6" spans="1:6" x14ac:dyDescent="0.3">
      <c r="A6" t="s">
        <v>11</v>
      </c>
      <c r="B6" t="s">
        <v>16</v>
      </c>
      <c r="C6" t="s">
        <v>10</v>
      </c>
      <c r="D6" s="2"/>
      <c r="E6" s="2"/>
    </row>
    <row r="7" spans="1:6" x14ac:dyDescent="0.3">
      <c r="A7" t="s">
        <v>11</v>
      </c>
      <c r="B7" t="s">
        <v>17</v>
      </c>
      <c r="C7" t="s">
        <v>18</v>
      </c>
      <c r="D7" s="2"/>
      <c r="E7" s="2"/>
    </row>
    <row r="8" spans="1:6" x14ac:dyDescent="0.3">
      <c r="A8" t="s">
        <v>19</v>
      </c>
      <c r="B8" t="s">
        <v>20</v>
      </c>
      <c r="C8" t="s">
        <v>13</v>
      </c>
      <c r="D8" s="2"/>
      <c r="E8" s="2"/>
    </row>
    <row r="9" spans="1:6" x14ac:dyDescent="0.3">
      <c r="A9" t="s">
        <v>19</v>
      </c>
      <c r="B9" t="s">
        <v>21</v>
      </c>
      <c r="C9" t="s">
        <v>22</v>
      </c>
      <c r="D9" s="2"/>
      <c r="E9" s="2"/>
    </row>
    <row r="10" spans="1:6" x14ac:dyDescent="0.3">
      <c r="A10" t="s">
        <v>19</v>
      </c>
      <c r="B10" t="s">
        <v>23</v>
      </c>
      <c r="C10" t="s">
        <v>24</v>
      </c>
      <c r="D10" s="2"/>
      <c r="E10" s="2"/>
    </row>
    <row r="11" spans="1:6" x14ac:dyDescent="0.3">
      <c r="A11" t="s">
        <v>19</v>
      </c>
      <c r="B11" t="s">
        <v>25</v>
      </c>
      <c r="C11" t="s">
        <v>26</v>
      </c>
      <c r="D11" s="2">
        <v>0.29166666666666669</v>
      </c>
      <c r="E11" s="2">
        <v>0.41666666666666702</v>
      </c>
    </row>
    <row r="12" spans="1:6" x14ac:dyDescent="0.3">
      <c r="A12" t="s">
        <v>19</v>
      </c>
      <c r="B12" t="s">
        <v>27</v>
      </c>
      <c r="C12" t="s">
        <v>22</v>
      </c>
      <c r="D12" s="2">
        <v>0.54166666666666696</v>
      </c>
      <c r="E12" s="2">
        <v>0.75</v>
      </c>
    </row>
    <row r="13" spans="1:6" x14ac:dyDescent="0.3">
      <c r="A13" t="s">
        <v>28</v>
      </c>
      <c r="B13" t="s">
        <v>29</v>
      </c>
      <c r="C13" t="s">
        <v>30</v>
      </c>
      <c r="D13" s="2"/>
      <c r="E13" s="2"/>
    </row>
    <row r="14" spans="1:6" x14ac:dyDescent="0.3">
      <c r="A14" t="s">
        <v>28</v>
      </c>
      <c r="B14" t="s">
        <v>20</v>
      </c>
      <c r="C14" t="s">
        <v>26</v>
      </c>
      <c r="D14" s="2"/>
      <c r="E14" s="2"/>
    </row>
    <row r="15" spans="1:6" x14ac:dyDescent="0.3">
      <c r="A15" t="s">
        <v>31</v>
      </c>
      <c r="B15" t="s">
        <v>32</v>
      </c>
      <c r="C15" t="s">
        <v>13</v>
      </c>
      <c r="D15" s="2"/>
      <c r="E15" s="2"/>
    </row>
    <row r="16" spans="1:6" x14ac:dyDescent="0.3">
      <c r="A16" t="s">
        <v>31</v>
      </c>
      <c r="B16" t="s">
        <v>33</v>
      </c>
      <c r="C16" t="s">
        <v>15</v>
      </c>
      <c r="D16" s="2"/>
      <c r="E16" s="2"/>
    </row>
    <row r="17" spans="1:5" x14ac:dyDescent="0.3">
      <c r="A17" t="s">
        <v>31</v>
      </c>
      <c r="B17" t="s">
        <v>34</v>
      </c>
      <c r="C17" t="s">
        <v>8</v>
      </c>
      <c r="D17" s="2"/>
      <c r="E17" s="2"/>
    </row>
    <row r="18" spans="1:5" x14ac:dyDescent="0.3">
      <c r="A18" t="s">
        <v>31</v>
      </c>
      <c r="B18" t="s">
        <v>35</v>
      </c>
      <c r="C18" t="s">
        <v>13</v>
      </c>
      <c r="D18" s="2"/>
      <c r="E18" s="2"/>
    </row>
    <row r="19" spans="1:5" x14ac:dyDescent="0.3">
      <c r="A19" t="s">
        <v>31</v>
      </c>
      <c r="B19" t="s">
        <v>36</v>
      </c>
      <c r="C19" t="s">
        <v>8</v>
      </c>
      <c r="D19" s="2"/>
      <c r="E19" s="2"/>
    </row>
    <row r="20" spans="1:5" x14ac:dyDescent="0.3">
      <c r="A20" t="s">
        <v>31</v>
      </c>
      <c r="B20" t="s">
        <v>37</v>
      </c>
      <c r="C20" t="s">
        <v>30</v>
      </c>
      <c r="D20" s="2"/>
      <c r="E20" s="2"/>
    </row>
    <row r="21" spans="1:5" x14ac:dyDescent="0.3">
      <c r="A21" t="s">
        <v>31</v>
      </c>
      <c r="B21" t="s">
        <v>38</v>
      </c>
      <c r="C21" t="s">
        <v>10</v>
      </c>
      <c r="D21" s="2"/>
      <c r="E21" s="2"/>
    </row>
    <row r="22" spans="1:5" x14ac:dyDescent="0.3">
      <c r="A22" t="s">
        <v>31</v>
      </c>
      <c r="B22" t="s">
        <v>39</v>
      </c>
      <c r="C22" t="s">
        <v>10</v>
      </c>
      <c r="D22" s="2"/>
      <c r="E22" s="2"/>
    </row>
    <row r="23" spans="1:5" x14ac:dyDescent="0.3">
      <c r="A23" t="s">
        <v>31</v>
      </c>
      <c r="B23" t="s">
        <v>40</v>
      </c>
      <c r="C23" t="s">
        <v>41</v>
      </c>
      <c r="D23" s="2"/>
      <c r="E23" s="2"/>
    </row>
    <row r="24" spans="1:5" x14ac:dyDescent="0.3">
      <c r="A24" t="s">
        <v>31</v>
      </c>
      <c r="B24" t="s">
        <v>42</v>
      </c>
      <c r="C24" t="s">
        <v>41</v>
      </c>
      <c r="D24" s="2"/>
      <c r="E24" s="2"/>
    </row>
    <row r="25" spans="1:5" x14ac:dyDescent="0.3">
      <c r="A25" t="s">
        <v>31</v>
      </c>
      <c r="B25" t="s">
        <v>12</v>
      </c>
      <c r="C25" t="s">
        <v>43</v>
      </c>
      <c r="D25" s="2"/>
      <c r="E25" s="2"/>
    </row>
    <row r="26" spans="1:5" x14ac:dyDescent="0.3">
      <c r="A26" t="s">
        <v>31</v>
      </c>
      <c r="B26" t="s">
        <v>44</v>
      </c>
      <c r="C26" t="s">
        <v>45</v>
      </c>
      <c r="D26" s="2"/>
      <c r="E26" s="2"/>
    </row>
    <row r="27" spans="1:5" x14ac:dyDescent="0.3">
      <c r="A27" t="s">
        <v>31</v>
      </c>
      <c r="B27" t="s">
        <v>21</v>
      </c>
      <c r="C27" t="s">
        <v>46</v>
      </c>
      <c r="D27" s="2"/>
      <c r="E27" s="2"/>
    </row>
    <row r="28" spans="1:5" x14ac:dyDescent="0.3">
      <c r="A28" t="s">
        <v>31</v>
      </c>
      <c r="B28" t="s">
        <v>47</v>
      </c>
      <c r="C28" t="s">
        <v>18</v>
      </c>
      <c r="D28" s="2"/>
      <c r="E28" s="2"/>
    </row>
    <row r="29" spans="1:5" x14ac:dyDescent="0.3">
      <c r="A29" t="s">
        <v>31</v>
      </c>
      <c r="B29" t="s">
        <v>48</v>
      </c>
      <c r="C29" t="s">
        <v>49</v>
      </c>
      <c r="D29" s="2"/>
      <c r="E29" s="2"/>
    </row>
    <row r="30" spans="1:5" x14ac:dyDescent="0.3">
      <c r="A30" t="s">
        <v>31</v>
      </c>
      <c r="B30" t="s">
        <v>50</v>
      </c>
      <c r="C30" t="s">
        <v>51</v>
      </c>
      <c r="D30" s="2"/>
      <c r="E30" s="2"/>
    </row>
    <row r="31" spans="1:5" x14ac:dyDescent="0.3">
      <c r="A31" t="s">
        <v>31</v>
      </c>
      <c r="B31" t="s">
        <v>29</v>
      </c>
      <c r="C31" t="s">
        <v>26</v>
      </c>
      <c r="D31" s="2">
        <v>0.29166666666666669</v>
      </c>
      <c r="E31" s="2">
        <v>0.41666666666666702</v>
      </c>
    </row>
    <row r="32" spans="1:5" x14ac:dyDescent="0.3">
      <c r="A32" t="s">
        <v>31</v>
      </c>
      <c r="B32" t="s">
        <v>29</v>
      </c>
      <c r="C32" t="s">
        <v>26</v>
      </c>
      <c r="D32" s="2">
        <v>0.41666666666666702</v>
      </c>
      <c r="E32" s="2">
        <v>0.54166666666666696</v>
      </c>
    </row>
    <row r="33" spans="1:6" x14ac:dyDescent="0.3">
      <c r="A33" t="s">
        <v>31</v>
      </c>
      <c r="B33" t="s">
        <v>52</v>
      </c>
      <c r="C33" t="s">
        <v>26</v>
      </c>
      <c r="D33" s="2">
        <v>0.79166666666666696</v>
      </c>
      <c r="E33" s="2">
        <v>0.83333333333333337</v>
      </c>
    </row>
    <row r="34" spans="1:6" x14ac:dyDescent="0.3">
      <c r="A34" t="s">
        <v>31</v>
      </c>
      <c r="B34" t="s">
        <v>12</v>
      </c>
      <c r="C34" t="s">
        <v>53</v>
      </c>
      <c r="D34" s="2">
        <v>0.54166666666666696</v>
      </c>
      <c r="E34" s="2">
        <v>0.625</v>
      </c>
      <c r="F34" t="s">
        <v>54</v>
      </c>
    </row>
    <row r="35" spans="1:6" x14ac:dyDescent="0.3">
      <c r="A35" t="s">
        <v>31</v>
      </c>
      <c r="B35" t="s">
        <v>47</v>
      </c>
      <c r="C35" t="s">
        <v>53</v>
      </c>
      <c r="D35" s="2">
        <v>0.54166666666666696</v>
      </c>
      <c r="E35" s="2">
        <v>0.625</v>
      </c>
      <c r="F35" t="s">
        <v>54</v>
      </c>
    </row>
    <row r="36" spans="1:6" x14ac:dyDescent="0.3">
      <c r="A36" t="s">
        <v>31</v>
      </c>
      <c r="B36" t="s">
        <v>40</v>
      </c>
      <c r="C36" t="s">
        <v>55</v>
      </c>
      <c r="D36" s="2">
        <v>0.54166666666666696</v>
      </c>
      <c r="E36" s="2">
        <v>0.625</v>
      </c>
      <c r="F36" t="s">
        <v>56</v>
      </c>
    </row>
    <row r="37" spans="1:6" x14ac:dyDescent="0.3">
      <c r="A37" t="s">
        <v>31</v>
      </c>
      <c r="B37" t="s">
        <v>42</v>
      </c>
      <c r="C37" t="s">
        <v>55</v>
      </c>
      <c r="D37" s="2">
        <v>0.5</v>
      </c>
      <c r="E37" s="2">
        <v>0.625</v>
      </c>
      <c r="F37" t="s">
        <v>56</v>
      </c>
    </row>
    <row r="38" spans="1:6" x14ac:dyDescent="0.3">
      <c r="A38" t="s">
        <v>31</v>
      </c>
      <c r="B38" t="s">
        <v>57</v>
      </c>
      <c r="C38" t="s">
        <v>55</v>
      </c>
      <c r="D38" s="2">
        <v>0.75</v>
      </c>
      <c r="E38" s="2">
        <v>0.83333333333333337</v>
      </c>
      <c r="F38" t="s">
        <v>58</v>
      </c>
    </row>
    <row r="39" spans="1:6" x14ac:dyDescent="0.3">
      <c r="A39" t="s">
        <v>31</v>
      </c>
      <c r="B39" t="s">
        <v>59</v>
      </c>
      <c r="C39" t="s">
        <v>55</v>
      </c>
      <c r="D39" s="2">
        <v>0.75</v>
      </c>
      <c r="E39" s="2">
        <v>0.83333333333333337</v>
      </c>
      <c r="F39" t="s">
        <v>58</v>
      </c>
    </row>
    <row r="40" spans="1:6" x14ac:dyDescent="0.3">
      <c r="A40" t="s">
        <v>31</v>
      </c>
      <c r="B40" t="s">
        <v>60</v>
      </c>
      <c r="C40" t="s">
        <v>55</v>
      </c>
      <c r="D40" s="2">
        <v>0.75</v>
      </c>
      <c r="E40" s="2">
        <v>0.83333333333333337</v>
      </c>
      <c r="F40" t="s">
        <v>58</v>
      </c>
    </row>
    <row r="41" spans="1:6" x14ac:dyDescent="0.3">
      <c r="A41" t="s">
        <v>31</v>
      </c>
      <c r="B41" t="s">
        <v>61</v>
      </c>
      <c r="C41" t="s">
        <v>55</v>
      </c>
      <c r="D41" s="2">
        <v>0.75</v>
      </c>
      <c r="E41" s="2">
        <v>0.83333333333333337</v>
      </c>
      <c r="F41" t="s">
        <v>58</v>
      </c>
    </row>
    <row r="42" spans="1:6" x14ac:dyDescent="0.3">
      <c r="A42" t="s">
        <v>31</v>
      </c>
      <c r="B42" t="s">
        <v>62</v>
      </c>
      <c r="C42" t="s">
        <v>55</v>
      </c>
      <c r="D42" s="2">
        <v>0.75</v>
      </c>
      <c r="E42" s="2">
        <v>0.83333333333333337</v>
      </c>
      <c r="F42" t="s">
        <v>58</v>
      </c>
    </row>
    <row r="43" spans="1:6" x14ac:dyDescent="0.3">
      <c r="A43" t="s">
        <v>31</v>
      </c>
      <c r="B43" t="s">
        <v>63</v>
      </c>
      <c r="C43" t="s">
        <v>55</v>
      </c>
      <c r="D43" s="2">
        <v>0.75</v>
      </c>
      <c r="E43" s="2">
        <v>0.83333333333333337</v>
      </c>
      <c r="F43" t="s">
        <v>58</v>
      </c>
    </row>
    <row r="44" spans="1:6" x14ac:dyDescent="0.3">
      <c r="A44" t="s">
        <v>31</v>
      </c>
      <c r="B44" t="s">
        <v>64</v>
      </c>
      <c r="C44" t="s">
        <v>53</v>
      </c>
      <c r="D44" s="2">
        <v>0.75</v>
      </c>
      <c r="E44" s="2">
        <v>0.83333333333333337</v>
      </c>
      <c r="F44" t="s">
        <v>65</v>
      </c>
    </row>
    <row r="45" spans="1:6" x14ac:dyDescent="0.3">
      <c r="A45" t="s">
        <v>31</v>
      </c>
      <c r="B45" t="s">
        <v>66</v>
      </c>
      <c r="C45" t="s">
        <v>53</v>
      </c>
      <c r="D45" s="2">
        <v>0.75</v>
      </c>
      <c r="E45" s="2">
        <v>0.83333333333333337</v>
      </c>
      <c r="F45" t="s">
        <v>65</v>
      </c>
    </row>
    <row r="46" spans="1:6" x14ac:dyDescent="0.3">
      <c r="A46" t="s">
        <v>67</v>
      </c>
      <c r="B46" t="s">
        <v>66</v>
      </c>
      <c r="C46" t="s">
        <v>13</v>
      </c>
      <c r="D46" s="2"/>
      <c r="E46" s="2"/>
    </row>
    <row r="47" spans="1:6" x14ac:dyDescent="0.3">
      <c r="A47" t="s">
        <v>67</v>
      </c>
      <c r="B47" t="s">
        <v>68</v>
      </c>
      <c r="C47" t="s">
        <v>15</v>
      </c>
      <c r="D47" s="2"/>
      <c r="E47" s="2"/>
    </row>
    <row r="48" spans="1:6" x14ac:dyDescent="0.3">
      <c r="A48" t="s">
        <v>67</v>
      </c>
      <c r="B48" t="s">
        <v>29</v>
      </c>
      <c r="C48" t="s">
        <v>8</v>
      </c>
      <c r="D48" s="2"/>
      <c r="E48" s="2"/>
    </row>
    <row r="49" spans="1:6" x14ac:dyDescent="0.3">
      <c r="A49" t="s">
        <v>67</v>
      </c>
      <c r="B49" t="s">
        <v>27</v>
      </c>
      <c r="C49" t="s">
        <v>13</v>
      </c>
      <c r="D49" s="2"/>
      <c r="E49" s="2"/>
    </row>
    <row r="50" spans="1:6" x14ac:dyDescent="0.3">
      <c r="A50" t="s">
        <v>67</v>
      </c>
      <c r="B50" t="s">
        <v>57</v>
      </c>
      <c r="C50" t="s">
        <v>8</v>
      </c>
      <c r="D50" s="2"/>
      <c r="E50" s="2"/>
    </row>
    <row r="51" spans="1:6" x14ac:dyDescent="0.3">
      <c r="A51" t="s">
        <v>67</v>
      </c>
      <c r="B51" t="s">
        <v>20</v>
      </c>
      <c r="C51" t="s">
        <v>30</v>
      </c>
      <c r="D51" s="2"/>
      <c r="E51" s="2"/>
    </row>
    <row r="52" spans="1:6" x14ac:dyDescent="0.3">
      <c r="A52" t="s">
        <v>67</v>
      </c>
      <c r="B52" t="s">
        <v>38</v>
      </c>
      <c r="C52" t="s">
        <v>10</v>
      </c>
      <c r="D52" s="2"/>
      <c r="E52" s="2"/>
    </row>
    <row r="53" spans="1:6" x14ac:dyDescent="0.3">
      <c r="A53" t="s">
        <v>67</v>
      </c>
      <c r="B53" t="s">
        <v>39</v>
      </c>
      <c r="C53" t="s">
        <v>10</v>
      </c>
      <c r="D53" s="2"/>
      <c r="E53" s="2"/>
    </row>
    <row r="54" spans="1:6" x14ac:dyDescent="0.3">
      <c r="A54" t="s">
        <v>67</v>
      </c>
      <c r="B54" t="s">
        <v>61</v>
      </c>
      <c r="C54" t="s">
        <v>41</v>
      </c>
      <c r="D54" s="2"/>
      <c r="E54" s="2"/>
    </row>
    <row r="55" spans="1:6" x14ac:dyDescent="0.3">
      <c r="A55" t="s">
        <v>67</v>
      </c>
      <c r="B55" t="s">
        <v>69</v>
      </c>
      <c r="C55" t="s">
        <v>41</v>
      </c>
      <c r="D55" s="2"/>
      <c r="E55" s="2"/>
    </row>
    <row r="56" spans="1:6" x14ac:dyDescent="0.3">
      <c r="A56" t="s">
        <v>67</v>
      </c>
      <c r="B56" t="s">
        <v>34</v>
      </c>
      <c r="C56" t="s">
        <v>26</v>
      </c>
      <c r="D56" s="2">
        <v>0.79166666666666696</v>
      </c>
      <c r="E56" s="2">
        <v>0.83333333333333337</v>
      </c>
      <c r="F56" t="s">
        <v>70</v>
      </c>
    </row>
    <row r="57" spans="1:6" x14ac:dyDescent="0.3">
      <c r="A57" t="s">
        <v>67</v>
      </c>
      <c r="B57" t="s">
        <v>71</v>
      </c>
      <c r="C57" t="s">
        <v>26</v>
      </c>
      <c r="D57" s="2">
        <v>0.79166666666666696</v>
      </c>
      <c r="E57" s="2">
        <v>0.83333333333333337</v>
      </c>
      <c r="F57" t="s">
        <v>70</v>
      </c>
    </row>
    <row r="58" spans="1:6" x14ac:dyDescent="0.3">
      <c r="A58" t="s">
        <v>67</v>
      </c>
      <c r="B58" t="s">
        <v>37</v>
      </c>
      <c r="C58" t="s">
        <v>43</v>
      </c>
      <c r="D58" s="2"/>
      <c r="E58" s="2"/>
    </row>
    <row r="59" spans="1:6" x14ac:dyDescent="0.3">
      <c r="A59" t="s">
        <v>67</v>
      </c>
      <c r="B59" t="s">
        <v>66</v>
      </c>
      <c r="C59" t="s">
        <v>45</v>
      </c>
      <c r="D59" s="2"/>
      <c r="E59" s="2"/>
    </row>
    <row r="60" spans="1:6" x14ac:dyDescent="0.3">
      <c r="A60" t="s">
        <v>67</v>
      </c>
      <c r="B60" t="s">
        <v>68</v>
      </c>
      <c r="C60" t="s">
        <v>46</v>
      </c>
      <c r="D60" s="2"/>
      <c r="E60" s="2"/>
    </row>
    <row r="61" spans="1:6" x14ac:dyDescent="0.3">
      <c r="A61" t="s">
        <v>67</v>
      </c>
      <c r="B61" t="s">
        <v>72</v>
      </c>
      <c r="C61" t="s">
        <v>18</v>
      </c>
      <c r="D61" s="2"/>
      <c r="E61" s="2"/>
    </row>
    <row r="62" spans="1:6" x14ac:dyDescent="0.3">
      <c r="A62" t="s">
        <v>67</v>
      </c>
      <c r="B62" t="s">
        <v>48</v>
      </c>
      <c r="C62" t="s">
        <v>49</v>
      </c>
      <c r="D62" s="2"/>
      <c r="E62" s="2"/>
    </row>
    <row r="63" spans="1:6" x14ac:dyDescent="0.3">
      <c r="A63" t="s">
        <v>67</v>
      </c>
      <c r="B63" t="s">
        <v>73</v>
      </c>
      <c r="C63" t="s">
        <v>51</v>
      </c>
      <c r="D63" s="2"/>
      <c r="E63" s="2"/>
    </row>
    <row r="64" spans="1:6" x14ac:dyDescent="0.3">
      <c r="A64" t="s">
        <v>67</v>
      </c>
      <c r="B64" t="s">
        <v>23</v>
      </c>
      <c r="C64" t="s">
        <v>24</v>
      </c>
      <c r="D64" s="2">
        <v>0.79166666666666696</v>
      </c>
      <c r="E64" s="2">
        <v>0.83333333333333337</v>
      </c>
      <c r="F64" t="s">
        <v>74</v>
      </c>
    </row>
    <row r="65" spans="1:6" x14ac:dyDescent="0.3">
      <c r="A65" t="s">
        <v>67</v>
      </c>
      <c r="B65" t="s">
        <v>75</v>
      </c>
      <c r="C65" t="s">
        <v>55</v>
      </c>
      <c r="D65" s="2">
        <v>0.29166666666666669</v>
      </c>
      <c r="E65" s="2">
        <v>0.83333333333333337</v>
      </c>
      <c r="F65" t="s">
        <v>76</v>
      </c>
    </row>
    <row r="66" spans="1:6" x14ac:dyDescent="0.3">
      <c r="A66" t="s">
        <v>77</v>
      </c>
      <c r="B66" t="s">
        <v>72</v>
      </c>
      <c r="C66" t="s">
        <v>13</v>
      </c>
      <c r="D66" s="2"/>
      <c r="E66" s="2"/>
    </row>
    <row r="67" spans="1:6" x14ac:dyDescent="0.3">
      <c r="A67" t="s">
        <v>77</v>
      </c>
      <c r="B67" t="s">
        <v>75</v>
      </c>
      <c r="C67" t="s">
        <v>8</v>
      </c>
      <c r="D67" s="2"/>
      <c r="E67" s="2"/>
    </row>
    <row r="68" spans="1:6" x14ac:dyDescent="0.3">
      <c r="A68" t="s">
        <v>77</v>
      </c>
      <c r="B68" t="s">
        <v>73</v>
      </c>
      <c r="C68" t="s">
        <v>78</v>
      </c>
      <c r="D68" s="2"/>
      <c r="E68" s="2"/>
    </row>
    <row r="69" spans="1:6" x14ac:dyDescent="0.3">
      <c r="A69" t="s">
        <v>77</v>
      </c>
      <c r="B69" t="s">
        <v>69</v>
      </c>
      <c r="C69" t="s">
        <v>13</v>
      </c>
      <c r="D69" s="2"/>
      <c r="E69" s="2"/>
    </row>
    <row r="70" spans="1:6" x14ac:dyDescent="0.3">
      <c r="A70" t="s">
        <v>77</v>
      </c>
      <c r="B70" t="s">
        <v>79</v>
      </c>
      <c r="C70" t="s">
        <v>8</v>
      </c>
      <c r="D70" s="2"/>
      <c r="E70" s="2"/>
    </row>
    <row r="71" spans="1:6" x14ac:dyDescent="0.3">
      <c r="A71" t="s">
        <v>77</v>
      </c>
      <c r="B71" t="s">
        <v>80</v>
      </c>
      <c r="C71" t="s">
        <v>78</v>
      </c>
      <c r="D71" s="2"/>
      <c r="E71" s="2"/>
    </row>
    <row r="72" spans="1:6" x14ac:dyDescent="0.3">
      <c r="A72" t="s">
        <v>77</v>
      </c>
      <c r="B72" t="s">
        <v>38</v>
      </c>
      <c r="C72" t="s">
        <v>10</v>
      </c>
      <c r="D72" s="2"/>
      <c r="E72" s="2"/>
    </row>
    <row r="73" spans="1:6" x14ac:dyDescent="0.3">
      <c r="A73" t="s">
        <v>77</v>
      </c>
      <c r="B73" t="s">
        <v>39</v>
      </c>
      <c r="C73" t="s">
        <v>10</v>
      </c>
      <c r="D73" s="2"/>
      <c r="E73" s="2"/>
    </row>
    <row r="74" spans="1:6" x14ac:dyDescent="0.3">
      <c r="A74" t="s">
        <v>81</v>
      </c>
      <c r="B74" t="s">
        <v>73</v>
      </c>
      <c r="C74" t="s">
        <v>13</v>
      </c>
      <c r="D74" s="2"/>
      <c r="E74" s="2"/>
    </row>
    <row r="75" spans="1:6" x14ac:dyDescent="0.3">
      <c r="A75" t="s">
        <v>81</v>
      </c>
      <c r="B75" t="s">
        <v>72</v>
      </c>
      <c r="C75" t="s">
        <v>8</v>
      </c>
      <c r="D75" s="2"/>
      <c r="E75" s="2"/>
    </row>
    <row r="76" spans="1:6" x14ac:dyDescent="0.3">
      <c r="A76" t="s">
        <v>81</v>
      </c>
      <c r="B76" t="s">
        <v>75</v>
      </c>
      <c r="C76" t="s">
        <v>78</v>
      </c>
      <c r="D76" s="2"/>
      <c r="E76" s="2"/>
    </row>
    <row r="77" spans="1:6" x14ac:dyDescent="0.3">
      <c r="A77" t="s">
        <v>81</v>
      </c>
      <c r="B77" t="s">
        <v>69</v>
      </c>
      <c r="C77" t="s">
        <v>13</v>
      </c>
      <c r="D77" s="2"/>
      <c r="E77" s="2"/>
    </row>
    <row r="78" spans="1:6" x14ac:dyDescent="0.3">
      <c r="A78" t="s">
        <v>81</v>
      </c>
      <c r="B78" t="s">
        <v>79</v>
      </c>
      <c r="C78" t="s">
        <v>8</v>
      </c>
      <c r="D78" s="2"/>
      <c r="E78" s="2"/>
    </row>
    <row r="79" spans="1:6" x14ac:dyDescent="0.3">
      <c r="A79" t="s">
        <v>81</v>
      </c>
      <c r="B79" t="s">
        <v>80</v>
      </c>
      <c r="C79" t="s">
        <v>78</v>
      </c>
      <c r="D79" s="2"/>
      <c r="E79" s="2"/>
    </row>
    <row r="80" spans="1:6" x14ac:dyDescent="0.3">
      <c r="A80" t="s">
        <v>82</v>
      </c>
      <c r="B80" t="s">
        <v>71</v>
      </c>
      <c r="C80" t="s">
        <v>13</v>
      </c>
      <c r="D80" s="2"/>
      <c r="E80" s="2"/>
    </row>
    <row r="81" spans="1:5" x14ac:dyDescent="0.3">
      <c r="A81" t="s">
        <v>82</v>
      </c>
      <c r="B81" t="s">
        <v>68</v>
      </c>
      <c r="C81" t="s">
        <v>15</v>
      </c>
      <c r="D81" s="2"/>
      <c r="E81" s="2"/>
    </row>
    <row r="82" spans="1:5" x14ac:dyDescent="0.3">
      <c r="A82" t="s">
        <v>82</v>
      </c>
      <c r="B82" t="s">
        <v>32</v>
      </c>
      <c r="C82" t="s">
        <v>8</v>
      </c>
      <c r="D82" s="2"/>
      <c r="E82" s="2"/>
    </row>
    <row r="83" spans="1:5" x14ac:dyDescent="0.3">
      <c r="A83" t="s">
        <v>82</v>
      </c>
      <c r="B83" t="s">
        <v>36</v>
      </c>
      <c r="C83" t="s">
        <v>13</v>
      </c>
      <c r="D83" s="2"/>
      <c r="E83" s="2"/>
    </row>
    <row r="84" spans="1:5" x14ac:dyDescent="0.3">
      <c r="A84" t="s">
        <v>82</v>
      </c>
      <c r="B84" t="s">
        <v>83</v>
      </c>
      <c r="C84" t="s">
        <v>8</v>
      </c>
      <c r="D84" s="2"/>
      <c r="E84" s="2"/>
    </row>
    <row r="85" spans="1:5" x14ac:dyDescent="0.3">
      <c r="A85" t="s">
        <v>82</v>
      </c>
      <c r="B85" t="s">
        <v>50</v>
      </c>
      <c r="C85" t="s">
        <v>30</v>
      </c>
      <c r="D85" s="2"/>
      <c r="E85" s="2"/>
    </row>
    <row r="86" spans="1:5" x14ac:dyDescent="0.3">
      <c r="A86" t="s">
        <v>82</v>
      </c>
      <c r="B86" t="s">
        <v>38</v>
      </c>
      <c r="C86" t="s">
        <v>10</v>
      </c>
      <c r="D86" s="2"/>
      <c r="E86" s="2"/>
    </row>
    <row r="87" spans="1:5" x14ac:dyDescent="0.3">
      <c r="A87" t="s">
        <v>82</v>
      </c>
      <c r="B87" t="s">
        <v>39</v>
      </c>
      <c r="C87" t="s">
        <v>10</v>
      </c>
      <c r="D87" s="2"/>
      <c r="E87" s="2"/>
    </row>
    <row r="88" spans="1:5" x14ac:dyDescent="0.3">
      <c r="A88" t="s">
        <v>82</v>
      </c>
      <c r="B88" t="s">
        <v>69</v>
      </c>
      <c r="C88" t="s">
        <v>41</v>
      </c>
      <c r="D88" s="2"/>
      <c r="E88" s="2"/>
    </row>
    <row r="89" spans="1:5" x14ac:dyDescent="0.3">
      <c r="A89" t="s">
        <v>82</v>
      </c>
      <c r="B89" t="s">
        <v>79</v>
      </c>
      <c r="C89" t="s">
        <v>41</v>
      </c>
      <c r="D89" s="2"/>
      <c r="E89" s="2"/>
    </row>
    <row r="90" spans="1:5" x14ac:dyDescent="0.3">
      <c r="A90" t="s">
        <v>82</v>
      </c>
      <c r="B90" t="s">
        <v>84</v>
      </c>
      <c r="C90" t="s">
        <v>43</v>
      </c>
      <c r="D90" s="2"/>
      <c r="E90" s="2"/>
    </row>
    <row r="91" spans="1:5" x14ac:dyDescent="0.3">
      <c r="A91" t="s">
        <v>82</v>
      </c>
      <c r="B91" t="s">
        <v>44</v>
      </c>
      <c r="C91" t="s">
        <v>45</v>
      </c>
      <c r="D91" s="2"/>
      <c r="E91" s="2"/>
    </row>
    <row r="92" spans="1:5" x14ac:dyDescent="0.3">
      <c r="A92" t="s">
        <v>82</v>
      </c>
      <c r="B92" t="s">
        <v>21</v>
      </c>
      <c r="C92" t="s">
        <v>46</v>
      </c>
      <c r="D92" s="2"/>
      <c r="E92" s="2"/>
    </row>
    <row r="93" spans="1:5" x14ac:dyDescent="0.3">
      <c r="A93" t="s">
        <v>82</v>
      </c>
      <c r="B93" t="s">
        <v>32</v>
      </c>
      <c r="C93" t="s">
        <v>18</v>
      </c>
      <c r="D93" s="2"/>
      <c r="E93" s="2"/>
    </row>
    <row r="94" spans="1:5" x14ac:dyDescent="0.3">
      <c r="A94" t="s">
        <v>82</v>
      </c>
      <c r="B94" t="s">
        <v>85</v>
      </c>
      <c r="C94" t="s">
        <v>49</v>
      </c>
      <c r="D94" s="2"/>
      <c r="E94" s="2"/>
    </row>
    <row r="95" spans="1:5" x14ac:dyDescent="0.3">
      <c r="A95" t="s">
        <v>82</v>
      </c>
      <c r="B95" t="s">
        <v>50</v>
      </c>
      <c r="C95" t="s">
        <v>51</v>
      </c>
      <c r="D95" s="2"/>
      <c r="E95" s="2"/>
    </row>
    <row r="96" spans="1:5" x14ac:dyDescent="0.3">
      <c r="A96" t="s">
        <v>86</v>
      </c>
      <c r="B96" t="s">
        <v>63</v>
      </c>
      <c r="C96" t="s">
        <v>13</v>
      </c>
      <c r="D96" s="2"/>
      <c r="E96" s="2"/>
    </row>
    <row r="97" spans="1:6" x14ac:dyDescent="0.3">
      <c r="A97" t="s">
        <v>86</v>
      </c>
      <c r="B97" t="s">
        <v>50</v>
      </c>
      <c r="C97" t="s">
        <v>15</v>
      </c>
      <c r="D97" s="2"/>
      <c r="E97" s="2"/>
    </row>
    <row r="98" spans="1:6" x14ac:dyDescent="0.3">
      <c r="A98" t="s">
        <v>86</v>
      </c>
      <c r="B98" t="s">
        <v>48</v>
      </c>
      <c r="C98" t="s">
        <v>8</v>
      </c>
      <c r="D98" s="2"/>
      <c r="E98" s="2"/>
    </row>
    <row r="99" spans="1:6" x14ac:dyDescent="0.3">
      <c r="A99" t="s">
        <v>86</v>
      </c>
      <c r="B99" t="s">
        <v>61</v>
      </c>
      <c r="C99" t="s">
        <v>13</v>
      </c>
      <c r="D99" s="2"/>
      <c r="E99" s="2"/>
    </row>
    <row r="100" spans="1:6" x14ac:dyDescent="0.3">
      <c r="A100" t="s">
        <v>86</v>
      </c>
      <c r="B100" t="s">
        <v>69</v>
      </c>
      <c r="C100" t="s">
        <v>8</v>
      </c>
      <c r="D100" s="2"/>
      <c r="E100" s="2"/>
    </row>
    <row r="101" spans="1:6" x14ac:dyDescent="0.3">
      <c r="A101" t="s">
        <v>86</v>
      </c>
      <c r="B101" t="s">
        <v>37</v>
      </c>
      <c r="C101" t="s">
        <v>30</v>
      </c>
      <c r="D101" s="2"/>
      <c r="E101" s="2"/>
    </row>
    <row r="102" spans="1:6" x14ac:dyDescent="0.3">
      <c r="A102" t="s">
        <v>86</v>
      </c>
      <c r="B102" t="s">
        <v>23</v>
      </c>
      <c r="C102" t="s">
        <v>22</v>
      </c>
      <c r="D102" s="2">
        <v>0.54166666666666696</v>
      </c>
      <c r="E102" s="2">
        <v>0.83333333333333337</v>
      </c>
    </row>
    <row r="103" spans="1:6" x14ac:dyDescent="0.3">
      <c r="A103" t="s">
        <v>86</v>
      </c>
      <c r="B103" t="s">
        <v>38</v>
      </c>
      <c r="C103" t="s">
        <v>10</v>
      </c>
      <c r="D103" s="2"/>
      <c r="E103" s="2"/>
    </row>
    <row r="104" spans="1:6" x14ac:dyDescent="0.3">
      <c r="A104" t="s">
        <v>86</v>
      </c>
      <c r="B104" t="s">
        <v>39</v>
      </c>
      <c r="C104" t="s">
        <v>10</v>
      </c>
      <c r="D104" s="2"/>
      <c r="E104" s="2"/>
    </row>
    <row r="105" spans="1:6" x14ac:dyDescent="0.3">
      <c r="A105" t="s">
        <v>86</v>
      </c>
      <c r="B105" t="s">
        <v>35</v>
      </c>
      <c r="C105" t="s">
        <v>41</v>
      </c>
      <c r="D105" s="2"/>
      <c r="E105" s="2"/>
    </row>
    <row r="106" spans="1:6" x14ac:dyDescent="0.3">
      <c r="A106" t="s">
        <v>86</v>
      </c>
      <c r="B106" t="s">
        <v>36</v>
      </c>
      <c r="C106" t="s">
        <v>41</v>
      </c>
      <c r="D106" s="2"/>
      <c r="E106" s="2"/>
    </row>
    <row r="107" spans="1:6" x14ac:dyDescent="0.3">
      <c r="A107" t="s">
        <v>86</v>
      </c>
      <c r="B107" t="s">
        <v>47</v>
      </c>
      <c r="C107" t="s">
        <v>26</v>
      </c>
      <c r="D107" s="2">
        <v>0.41666666666666702</v>
      </c>
      <c r="E107" s="2">
        <v>0.54166666666666696</v>
      </c>
      <c r="F107" t="s">
        <v>87</v>
      </c>
    </row>
    <row r="108" spans="1:6" x14ac:dyDescent="0.3">
      <c r="A108" t="s">
        <v>86</v>
      </c>
      <c r="B108" t="s">
        <v>64</v>
      </c>
      <c r="C108" t="s">
        <v>24</v>
      </c>
      <c r="D108" s="2">
        <v>0.54166666666666696</v>
      </c>
      <c r="E108" s="2">
        <v>0.83333333333333337</v>
      </c>
      <c r="F108" t="s">
        <v>88</v>
      </c>
    </row>
    <row r="109" spans="1:6" x14ac:dyDescent="0.3">
      <c r="A109" t="s">
        <v>86</v>
      </c>
      <c r="B109" t="s">
        <v>20</v>
      </c>
      <c r="C109" t="s">
        <v>53</v>
      </c>
      <c r="D109" s="2">
        <v>0.75</v>
      </c>
      <c r="E109" s="2">
        <v>0.83333333333333337</v>
      </c>
      <c r="F109" t="s">
        <v>89</v>
      </c>
    </row>
    <row r="110" spans="1:6" x14ac:dyDescent="0.3">
      <c r="A110" t="s">
        <v>86</v>
      </c>
      <c r="B110" t="s">
        <v>23</v>
      </c>
      <c r="C110" t="s">
        <v>53</v>
      </c>
      <c r="D110" s="2">
        <v>0.75</v>
      </c>
      <c r="E110" s="2">
        <v>0.83333333333333337</v>
      </c>
      <c r="F110" t="s">
        <v>89</v>
      </c>
    </row>
    <row r="111" spans="1:6" x14ac:dyDescent="0.3">
      <c r="A111" t="s">
        <v>86</v>
      </c>
      <c r="B111" t="s">
        <v>12</v>
      </c>
      <c r="C111" t="s">
        <v>53</v>
      </c>
      <c r="D111" s="2">
        <v>0.75</v>
      </c>
      <c r="E111" s="2">
        <v>0.83333333333333337</v>
      </c>
      <c r="F111" t="s">
        <v>89</v>
      </c>
    </row>
    <row r="112" spans="1:6" x14ac:dyDescent="0.3">
      <c r="A112" t="s">
        <v>86</v>
      </c>
      <c r="B112" t="s">
        <v>73</v>
      </c>
      <c r="C112" t="s">
        <v>53</v>
      </c>
      <c r="D112" s="2">
        <v>0.75</v>
      </c>
      <c r="E112" s="2">
        <v>0.83333333333333337</v>
      </c>
      <c r="F112" t="s">
        <v>89</v>
      </c>
    </row>
    <row r="113" spans="1:6" x14ac:dyDescent="0.3">
      <c r="A113" t="s">
        <v>86</v>
      </c>
      <c r="B113" t="s">
        <v>50</v>
      </c>
      <c r="C113" t="s">
        <v>53</v>
      </c>
      <c r="D113" s="2">
        <v>0.75</v>
      </c>
      <c r="E113" s="2">
        <v>0.83333333333333337</v>
      </c>
      <c r="F113" t="s">
        <v>89</v>
      </c>
    </row>
    <row r="114" spans="1:6" x14ac:dyDescent="0.3">
      <c r="A114" t="s">
        <v>86</v>
      </c>
      <c r="B114" t="s">
        <v>47</v>
      </c>
      <c r="C114" t="s">
        <v>53</v>
      </c>
      <c r="D114" s="2">
        <v>0.75</v>
      </c>
      <c r="E114" s="2">
        <v>0.83333333333333337</v>
      </c>
      <c r="F114" t="s">
        <v>89</v>
      </c>
    </row>
    <row r="115" spans="1:6" x14ac:dyDescent="0.3">
      <c r="A115" t="s">
        <v>86</v>
      </c>
      <c r="B115" t="s">
        <v>29</v>
      </c>
      <c r="C115" t="s">
        <v>53</v>
      </c>
      <c r="D115" s="2">
        <v>0.75</v>
      </c>
      <c r="E115" s="2">
        <v>0.83333333333333337</v>
      </c>
      <c r="F115" t="s">
        <v>89</v>
      </c>
    </row>
    <row r="116" spans="1:6" x14ac:dyDescent="0.3">
      <c r="A116" t="s">
        <v>86</v>
      </c>
      <c r="B116" t="s">
        <v>47</v>
      </c>
      <c r="C116" t="s">
        <v>55</v>
      </c>
      <c r="D116" s="2">
        <v>0.29166666666666669</v>
      </c>
      <c r="E116" s="2">
        <v>0.83333333333333337</v>
      </c>
      <c r="F116" t="s">
        <v>90</v>
      </c>
    </row>
    <row r="117" spans="1:6" x14ac:dyDescent="0.3">
      <c r="A117" t="s">
        <v>86</v>
      </c>
      <c r="B117" t="s">
        <v>7</v>
      </c>
      <c r="C117" t="s">
        <v>55</v>
      </c>
      <c r="D117" s="2">
        <v>0.83333333333333337</v>
      </c>
      <c r="E117" s="2">
        <v>0.875</v>
      </c>
      <c r="F117" t="s">
        <v>91</v>
      </c>
    </row>
    <row r="118" spans="1:6" x14ac:dyDescent="0.3">
      <c r="A118" t="s">
        <v>86</v>
      </c>
      <c r="B118" t="s">
        <v>73</v>
      </c>
      <c r="C118" t="s">
        <v>53</v>
      </c>
      <c r="D118" s="2">
        <v>0.5</v>
      </c>
      <c r="E118" s="2">
        <v>0.83333333333333337</v>
      </c>
      <c r="F118" t="s">
        <v>92</v>
      </c>
    </row>
    <row r="119" spans="1:6" x14ac:dyDescent="0.3">
      <c r="A119" t="s">
        <v>86</v>
      </c>
      <c r="B119" t="s">
        <v>23</v>
      </c>
      <c r="C119" t="s">
        <v>53</v>
      </c>
      <c r="D119" s="2">
        <v>0.70833333333333304</v>
      </c>
      <c r="E119" s="2">
        <v>0.83333333333333337</v>
      </c>
      <c r="F119" t="s">
        <v>93</v>
      </c>
    </row>
    <row r="120" spans="1:6" x14ac:dyDescent="0.3">
      <c r="A120" t="s">
        <v>86</v>
      </c>
      <c r="B120" t="s">
        <v>12</v>
      </c>
      <c r="C120" t="s">
        <v>53</v>
      </c>
      <c r="D120" s="2">
        <v>0.70833333333333304</v>
      </c>
      <c r="E120" s="2">
        <v>0.83333333333333337</v>
      </c>
      <c r="F120" t="s">
        <v>93</v>
      </c>
    </row>
    <row r="121" spans="1:6" x14ac:dyDescent="0.3">
      <c r="A121" t="s">
        <v>86</v>
      </c>
      <c r="B121" t="s">
        <v>29</v>
      </c>
      <c r="C121" t="s">
        <v>43</v>
      </c>
      <c r="D121" s="2"/>
      <c r="E121" s="2"/>
    </row>
    <row r="122" spans="1:6" x14ac:dyDescent="0.3">
      <c r="A122" t="s">
        <v>86</v>
      </c>
      <c r="B122" t="s">
        <v>23</v>
      </c>
      <c r="C122" t="s">
        <v>45</v>
      </c>
      <c r="D122" s="2"/>
      <c r="E122" s="2"/>
    </row>
    <row r="123" spans="1:6" x14ac:dyDescent="0.3">
      <c r="A123" t="s">
        <v>86</v>
      </c>
      <c r="B123" t="s">
        <v>16</v>
      </c>
      <c r="C123" t="s">
        <v>46</v>
      </c>
      <c r="D123" s="2"/>
      <c r="E123" s="2"/>
    </row>
    <row r="124" spans="1:6" x14ac:dyDescent="0.3">
      <c r="A124" t="s">
        <v>86</v>
      </c>
      <c r="B124" t="s">
        <v>94</v>
      </c>
      <c r="C124" t="s">
        <v>18</v>
      </c>
      <c r="D124" s="2"/>
      <c r="E124" s="2"/>
    </row>
    <row r="125" spans="1:6" x14ac:dyDescent="0.3">
      <c r="A125" t="s">
        <v>86</v>
      </c>
      <c r="B125" t="s">
        <v>48</v>
      </c>
      <c r="C125" t="s">
        <v>49</v>
      </c>
      <c r="D125" s="2"/>
      <c r="E125" s="2"/>
    </row>
    <row r="126" spans="1:6" x14ac:dyDescent="0.3">
      <c r="A126" t="s">
        <v>86</v>
      </c>
      <c r="B126" t="s">
        <v>75</v>
      </c>
      <c r="C126" t="s">
        <v>51</v>
      </c>
      <c r="D126" s="2"/>
      <c r="E126" s="2"/>
    </row>
    <row r="127" spans="1:6" x14ac:dyDescent="0.3">
      <c r="A127" t="s">
        <v>95</v>
      </c>
      <c r="B127" t="s">
        <v>50</v>
      </c>
      <c r="C127" t="s">
        <v>13</v>
      </c>
      <c r="D127" s="2"/>
      <c r="E127" s="2"/>
    </row>
    <row r="128" spans="1:6" x14ac:dyDescent="0.3">
      <c r="A128" t="s">
        <v>95</v>
      </c>
      <c r="B128" t="s">
        <v>29</v>
      </c>
      <c r="C128" t="s">
        <v>15</v>
      </c>
      <c r="D128" s="2"/>
      <c r="E128" s="2"/>
    </row>
    <row r="129" spans="1:6" x14ac:dyDescent="0.3">
      <c r="A129" t="s">
        <v>95</v>
      </c>
      <c r="B129" t="s">
        <v>64</v>
      </c>
      <c r="C129" t="s">
        <v>8</v>
      </c>
      <c r="D129" s="2"/>
      <c r="E129" s="2"/>
    </row>
    <row r="130" spans="1:6" x14ac:dyDescent="0.3">
      <c r="A130" t="s">
        <v>95</v>
      </c>
      <c r="B130" t="s">
        <v>96</v>
      </c>
      <c r="C130" t="s">
        <v>13</v>
      </c>
      <c r="D130" s="2"/>
      <c r="E130" s="2"/>
    </row>
    <row r="131" spans="1:6" x14ac:dyDescent="0.3">
      <c r="A131" t="s">
        <v>95</v>
      </c>
      <c r="B131" t="s">
        <v>97</v>
      </c>
      <c r="C131" t="s">
        <v>8</v>
      </c>
      <c r="D131" s="2"/>
      <c r="E131" s="2"/>
    </row>
    <row r="132" spans="1:6" x14ac:dyDescent="0.3">
      <c r="A132" t="s">
        <v>95</v>
      </c>
      <c r="B132" t="s">
        <v>38</v>
      </c>
      <c r="C132" t="s">
        <v>10</v>
      </c>
      <c r="D132" s="2"/>
      <c r="E132" s="2"/>
    </row>
    <row r="133" spans="1:6" x14ac:dyDescent="0.3">
      <c r="A133" t="s">
        <v>95</v>
      </c>
      <c r="B133" t="s">
        <v>39</v>
      </c>
      <c r="C133" t="s">
        <v>10</v>
      </c>
      <c r="D133" s="2"/>
      <c r="E133" s="2"/>
    </row>
    <row r="134" spans="1:6" x14ac:dyDescent="0.3">
      <c r="A134" t="s">
        <v>95</v>
      </c>
      <c r="B134" t="s">
        <v>98</v>
      </c>
      <c r="C134" t="s">
        <v>41</v>
      </c>
      <c r="D134" s="2"/>
      <c r="E134" s="2"/>
    </row>
    <row r="135" spans="1:6" x14ac:dyDescent="0.3">
      <c r="A135" t="s">
        <v>95</v>
      </c>
      <c r="B135" t="s">
        <v>9</v>
      </c>
      <c r="C135" t="s">
        <v>41</v>
      </c>
      <c r="D135" s="2"/>
      <c r="E135" s="2"/>
    </row>
    <row r="136" spans="1:6" x14ac:dyDescent="0.3">
      <c r="A136" t="s">
        <v>95</v>
      </c>
      <c r="B136" t="s">
        <v>34</v>
      </c>
      <c r="C136" t="s">
        <v>26</v>
      </c>
      <c r="D136" s="2">
        <v>0.79166666666666696</v>
      </c>
      <c r="E136" s="2">
        <v>0.83333333333333337</v>
      </c>
      <c r="F136" t="s">
        <v>99</v>
      </c>
    </row>
    <row r="137" spans="1:6" x14ac:dyDescent="0.3">
      <c r="A137" t="s">
        <v>95</v>
      </c>
      <c r="B137" t="s">
        <v>29</v>
      </c>
      <c r="C137" t="s">
        <v>43</v>
      </c>
      <c r="D137" s="2"/>
      <c r="E137" s="2"/>
    </row>
    <row r="138" spans="1:6" x14ac:dyDescent="0.3">
      <c r="A138" t="s">
        <v>95</v>
      </c>
      <c r="B138" t="s">
        <v>66</v>
      </c>
      <c r="C138" t="s">
        <v>45</v>
      </c>
      <c r="D138" s="2"/>
      <c r="E138" s="2"/>
    </row>
    <row r="139" spans="1:6" x14ac:dyDescent="0.3">
      <c r="A139" t="s">
        <v>95</v>
      </c>
      <c r="B139" t="s">
        <v>68</v>
      </c>
      <c r="C139" t="s">
        <v>46</v>
      </c>
      <c r="D139" s="2"/>
      <c r="E139" s="2"/>
    </row>
    <row r="140" spans="1:6" x14ac:dyDescent="0.3">
      <c r="A140" t="s">
        <v>95</v>
      </c>
      <c r="B140" t="s">
        <v>47</v>
      </c>
      <c r="C140" t="s">
        <v>18</v>
      </c>
      <c r="D140" s="2"/>
      <c r="E140" s="2"/>
    </row>
    <row r="141" spans="1:6" x14ac:dyDescent="0.3">
      <c r="A141" t="s">
        <v>95</v>
      </c>
      <c r="B141" t="s">
        <v>85</v>
      </c>
      <c r="C141" t="s">
        <v>49</v>
      </c>
      <c r="D141" s="2"/>
      <c r="E141" s="2"/>
    </row>
    <row r="142" spans="1:6" x14ac:dyDescent="0.3">
      <c r="A142" t="s">
        <v>95</v>
      </c>
      <c r="B142" t="s">
        <v>73</v>
      </c>
      <c r="C142" t="s">
        <v>51</v>
      </c>
      <c r="D142" s="2"/>
      <c r="E142" s="2"/>
    </row>
    <row r="143" spans="1:6" x14ac:dyDescent="0.3">
      <c r="A143" t="s">
        <v>95</v>
      </c>
      <c r="B143" t="s">
        <v>48</v>
      </c>
      <c r="C143" t="s">
        <v>55</v>
      </c>
      <c r="D143" s="2">
        <v>0.79166666666666696</v>
      </c>
      <c r="E143" s="2">
        <v>0.83333333333333337</v>
      </c>
      <c r="F143" t="s">
        <v>100</v>
      </c>
    </row>
    <row r="144" spans="1:6" x14ac:dyDescent="0.3">
      <c r="A144" t="s">
        <v>95</v>
      </c>
      <c r="B144" t="s">
        <v>98</v>
      </c>
      <c r="C144" t="s">
        <v>55</v>
      </c>
      <c r="D144" s="2">
        <v>0.79166666666666696</v>
      </c>
      <c r="E144" s="2">
        <v>0.83333333333333337</v>
      </c>
      <c r="F144" t="s">
        <v>100</v>
      </c>
    </row>
    <row r="145" spans="1:5" x14ac:dyDescent="0.3">
      <c r="A145" t="s">
        <v>101</v>
      </c>
      <c r="B145" t="s">
        <v>25</v>
      </c>
      <c r="C145" t="s">
        <v>13</v>
      </c>
      <c r="D145" s="2"/>
      <c r="E145" s="2"/>
    </row>
    <row r="146" spans="1:5" x14ac:dyDescent="0.3">
      <c r="A146" t="s">
        <v>101</v>
      </c>
      <c r="B146" t="s">
        <v>20</v>
      </c>
      <c r="C146" t="s">
        <v>15</v>
      </c>
      <c r="D146" s="2"/>
      <c r="E146" s="2"/>
    </row>
    <row r="147" spans="1:5" x14ac:dyDescent="0.3">
      <c r="A147" t="s">
        <v>101</v>
      </c>
      <c r="B147" t="s">
        <v>7</v>
      </c>
      <c r="C147" t="s">
        <v>8</v>
      </c>
      <c r="D147" s="2"/>
      <c r="E147" s="2"/>
    </row>
    <row r="148" spans="1:5" x14ac:dyDescent="0.3">
      <c r="A148" t="s">
        <v>101</v>
      </c>
      <c r="B148" t="s">
        <v>14</v>
      </c>
      <c r="C148" t="s">
        <v>30</v>
      </c>
      <c r="D148" s="2"/>
      <c r="E148" s="2"/>
    </row>
    <row r="149" spans="1:5" x14ac:dyDescent="0.3">
      <c r="A149" t="s">
        <v>101</v>
      </c>
      <c r="B149" t="s">
        <v>16</v>
      </c>
      <c r="C149" t="s">
        <v>26</v>
      </c>
      <c r="D149" s="2">
        <v>0.29166666666666669</v>
      </c>
      <c r="E149" s="2">
        <v>0.41666666666666702</v>
      </c>
    </row>
    <row r="150" spans="1:5" x14ac:dyDescent="0.3">
      <c r="A150" t="s">
        <v>101</v>
      </c>
      <c r="B150" t="s">
        <v>23</v>
      </c>
      <c r="C150" t="s">
        <v>26</v>
      </c>
      <c r="D150" s="2">
        <v>0.29166666666666669</v>
      </c>
      <c r="E150" s="2">
        <v>0.41666666666666702</v>
      </c>
    </row>
    <row r="151" spans="1:5" x14ac:dyDescent="0.3">
      <c r="A151" t="s">
        <v>101</v>
      </c>
      <c r="B151" t="s">
        <v>21</v>
      </c>
      <c r="C151" t="s">
        <v>53</v>
      </c>
      <c r="D151" s="2">
        <v>0.33333333333333331</v>
      </c>
      <c r="E151" s="2">
        <v>0.41666666666666702</v>
      </c>
    </row>
    <row r="152" spans="1:5" x14ac:dyDescent="0.3">
      <c r="A152" t="s">
        <v>101</v>
      </c>
      <c r="B152" t="s">
        <v>12</v>
      </c>
      <c r="C152" t="s">
        <v>43</v>
      </c>
      <c r="D152" s="2"/>
      <c r="E152" s="2"/>
    </row>
    <row r="153" spans="1:5" x14ac:dyDescent="0.3">
      <c r="A153" t="s">
        <v>101</v>
      </c>
      <c r="B153" t="s">
        <v>73</v>
      </c>
      <c r="C153" t="s">
        <v>26</v>
      </c>
      <c r="D153" s="2">
        <v>0.54166666666666696</v>
      </c>
      <c r="E153" s="2">
        <v>0.66666666666666696</v>
      </c>
    </row>
    <row r="154" spans="1:5" x14ac:dyDescent="0.3">
      <c r="A154" t="s">
        <v>101</v>
      </c>
      <c r="B154" t="s">
        <v>17</v>
      </c>
      <c r="C154" t="s">
        <v>24</v>
      </c>
      <c r="D154" s="2">
        <v>0.54166666666666696</v>
      </c>
      <c r="E154" s="2">
        <v>0.75</v>
      </c>
    </row>
    <row r="155" spans="1:5" x14ac:dyDescent="0.3">
      <c r="A155" t="s">
        <v>102</v>
      </c>
      <c r="B155" t="s">
        <v>71</v>
      </c>
      <c r="C155" t="s">
        <v>13</v>
      </c>
      <c r="D155" s="2"/>
      <c r="E155" s="2"/>
    </row>
    <row r="156" spans="1:5" x14ac:dyDescent="0.3">
      <c r="A156" t="s">
        <v>102</v>
      </c>
      <c r="B156" t="s">
        <v>63</v>
      </c>
      <c r="C156" t="s">
        <v>15</v>
      </c>
      <c r="D156" s="2"/>
      <c r="E156" s="2"/>
    </row>
    <row r="157" spans="1:5" x14ac:dyDescent="0.3">
      <c r="A157" t="s">
        <v>102</v>
      </c>
      <c r="B157" t="s">
        <v>33</v>
      </c>
      <c r="C157" t="s">
        <v>8</v>
      </c>
      <c r="D157" s="2"/>
      <c r="E157" s="2"/>
    </row>
    <row r="158" spans="1:5" x14ac:dyDescent="0.3">
      <c r="A158" t="s">
        <v>102</v>
      </c>
      <c r="B158" t="s">
        <v>35</v>
      </c>
      <c r="C158" t="s">
        <v>13</v>
      </c>
      <c r="D158" s="2"/>
      <c r="E158" s="2"/>
    </row>
    <row r="159" spans="1:5" x14ac:dyDescent="0.3">
      <c r="A159" t="s">
        <v>102</v>
      </c>
      <c r="B159" t="s">
        <v>103</v>
      </c>
      <c r="C159" t="s">
        <v>8</v>
      </c>
      <c r="D159" s="2"/>
      <c r="E159" s="2"/>
    </row>
    <row r="160" spans="1:5" x14ac:dyDescent="0.3">
      <c r="A160" t="s">
        <v>102</v>
      </c>
      <c r="B160" t="s">
        <v>38</v>
      </c>
      <c r="C160" t="s">
        <v>10</v>
      </c>
      <c r="D160" s="2"/>
      <c r="E160" s="2"/>
    </row>
    <row r="161" spans="1:6" x14ac:dyDescent="0.3">
      <c r="A161" t="s">
        <v>102</v>
      </c>
      <c r="B161" t="s">
        <v>39</v>
      </c>
      <c r="C161" t="s">
        <v>10</v>
      </c>
      <c r="D161" s="2"/>
      <c r="E161" s="2"/>
    </row>
    <row r="162" spans="1:6" x14ac:dyDescent="0.3">
      <c r="A162" t="s">
        <v>102</v>
      </c>
      <c r="B162" t="s">
        <v>27</v>
      </c>
      <c r="C162" t="s">
        <v>41</v>
      </c>
      <c r="D162" s="2"/>
      <c r="E162" s="2"/>
    </row>
    <row r="163" spans="1:6" x14ac:dyDescent="0.3">
      <c r="A163" t="s">
        <v>102</v>
      </c>
      <c r="B163" t="s">
        <v>57</v>
      </c>
      <c r="C163" t="s">
        <v>41</v>
      </c>
      <c r="D163" s="2"/>
      <c r="E163" s="2"/>
    </row>
    <row r="164" spans="1:6" x14ac:dyDescent="0.3">
      <c r="A164" t="s">
        <v>102</v>
      </c>
      <c r="B164" t="s">
        <v>20</v>
      </c>
      <c r="C164" t="s">
        <v>26</v>
      </c>
      <c r="D164" s="2">
        <v>0.54166666666666696</v>
      </c>
      <c r="E164" s="2">
        <v>0.66666666666666696</v>
      </c>
      <c r="F164" t="s">
        <v>104</v>
      </c>
    </row>
    <row r="165" spans="1:6" x14ac:dyDescent="0.3">
      <c r="A165" t="s">
        <v>102</v>
      </c>
      <c r="B165" t="s">
        <v>20</v>
      </c>
      <c r="C165" t="s">
        <v>26</v>
      </c>
      <c r="D165" s="2">
        <v>0.66666666666666696</v>
      </c>
      <c r="E165" s="2">
        <v>0.79166666666666696</v>
      </c>
      <c r="F165" t="s">
        <v>105</v>
      </c>
    </row>
    <row r="166" spans="1:6" x14ac:dyDescent="0.3">
      <c r="A166" t="s">
        <v>102</v>
      </c>
      <c r="B166" t="s">
        <v>84</v>
      </c>
      <c r="C166" t="s">
        <v>26</v>
      </c>
      <c r="D166" s="2">
        <v>0.66666666666666696</v>
      </c>
      <c r="E166" s="2">
        <v>0.79166666666666696</v>
      </c>
      <c r="F166" t="s">
        <v>105</v>
      </c>
    </row>
    <row r="167" spans="1:6" x14ac:dyDescent="0.3">
      <c r="A167" t="s">
        <v>102</v>
      </c>
      <c r="B167" t="s">
        <v>7</v>
      </c>
      <c r="C167" t="s">
        <v>26</v>
      </c>
      <c r="D167" s="2">
        <v>0.79166666666666696</v>
      </c>
      <c r="E167" s="2">
        <v>0.83333333333333337</v>
      </c>
      <c r="F167" t="s">
        <v>99</v>
      </c>
    </row>
    <row r="168" spans="1:6" x14ac:dyDescent="0.3">
      <c r="A168" t="s">
        <v>102</v>
      </c>
      <c r="B168" t="s">
        <v>64</v>
      </c>
      <c r="C168" t="s">
        <v>43</v>
      </c>
      <c r="D168" s="2"/>
      <c r="E168" s="2"/>
    </row>
    <row r="169" spans="1:6" x14ac:dyDescent="0.3">
      <c r="A169" t="s">
        <v>102</v>
      </c>
      <c r="B169" t="s">
        <v>52</v>
      </c>
      <c r="C169" t="s">
        <v>45</v>
      </c>
      <c r="D169" s="2"/>
      <c r="E169" s="2"/>
    </row>
    <row r="170" spans="1:6" x14ac:dyDescent="0.3">
      <c r="A170" t="s">
        <v>102</v>
      </c>
      <c r="B170" t="s">
        <v>14</v>
      </c>
      <c r="C170" t="s">
        <v>46</v>
      </c>
      <c r="D170" s="2"/>
      <c r="E170" s="2"/>
    </row>
    <row r="171" spans="1:6" x14ac:dyDescent="0.3">
      <c r="A171" t="s">
        <v>102</v>
      </c>
      <c r="B171" t="s">
        <v>32</v>
      </c>
      <c r="C171" t="s">
        <v>18</v>
      </c>
      <c r="D171" s="2"/>
      <c r="E171" s="2"/>
    </row>
    <row r="172" spans="1:6" x14ac:dyDescent="0.3">
      <c r="A172" t="s">
        <v>102</v>
      </c>
      <c r="B172" t="s">
        <v>48</v>
      </c>
      <c r="C172" t="s">
        <v>49</v>
      </c>
      <c r="D172" s="2"/>
      <c r="E172" s="2"/>
    </row>
    <row r="173" spans="1:6" x14ac:dyDescent="0.3">
      <c r="A173" t="s">
        <v>102</v>
      </c>
      <c r="B173" t="s">
        <v>34</v>
      </c>
      <c r="C173" t="s">
        <v>51</v>
      </c>
      <c r="D173" s="2"/>
      <c r="E173" s="2"/>
    </row>
    <row r="174" spans="1:6" x14ac:dyDescent="0.3">
      <c r="A174" t="s">
        <v>102</v>
      </c>
      <c r="B174" t="s">
        <v>23</v>
      </c>
      <c r="C174" t="s">
        <v>53</v>
      </c>
      <c r="D174" s="2">
        <v>0.70833333333333304</v>
      </c>
      <c r="E174" s="2">
        <v>0.83333333333333337</v>
      </c>
      <c r="F174" t="s">
        <v>106</v>
      </c>
    </row>
    <row r="175" spans="1:6" x14ac:dyDescent="0.3">
      <c r="A175" t="s">
        <v>102</v>
      </c>
      <c r="B175" t="s">
        <v>72</v>
      </c>
      <c r="C175" t="s">
        <v>55</v>
      </c>
      <c r="D175" s="2">
        <v>0.83333333333333337</v>
      </c>
      <c r="E175" s="2">
        <v>0.875</v>
      </c>
      <c r="F175" t="s">
        <v>107</v>
      </c>
    </row>
    <row r="176" spans="1:6" x14ac:dyDescent="0.3">
      <c r="A176" t="s">
        <v>102</v>
      </c>
      <c r="B176" t="s">
        <v>42</v>
      </c>
      <c r="C176" t="s">
        <v>55</v>
      </c>
      <c r="D176" s="2">
        <v>0.83333333333333337</v>
      </c>
      <c r="E176" s="2">
        <v>0.875</v>
      </c>
      <c r="F176" t="s">
        <v>107</v>
      </c>
    </row>
    <row r="177" spans="1:5" x14ac:dyDescent="0.3">
      <c r="A177" t="s">
        <v>108</v>
      </c>
      <c r="B177" t="s">
        <v>68</v>
      </c>
      <c r="C177" t="s">
        <v>13</v>
      </c>
      <c r="D177" s="2"/>
      <c r="E177" s="2"/>
    </row>
    <row r="178" spans="1:5" x14ac:dyDescent="0.3">
      <c r="A178" t="s">
        <v>108</v>
      </c>
      <c r="B178" t="s">
        <v>52</v>
      </c>
      <c r="C178" t="s">
        <v>15</v>
      </c>
      <c r="D178" s="2"/>
      <c r="E178" s="2"/>
    </row>
    <row r="179" spans="1:5" x14ac:dyDescent="0.3">
      <c r="A179" t="s">
        <v>108</v>
      </c>
      <c r="B179" t="s">
        <v>84</v>
      </c>
      <c r="C179" t="s">
        <v>8</v>
      </c>
      <c r="D179" s="2"/>
      <c r="E179" s="2"/>
    </row>
    <row r="180" spans="1:5" x14ac:dyDescent="0.3">
      <c r="A180" t="s">
        <v>108</v>
      </c>
      <c r="B180" t="s">
        <v>40</v>
      </c>
      <c r="C180" t="s">
        <v>13</v>
      </c>
      <c r="D180" s="2"/>
      <c r="E180" s="2"/>
    </row>
    <row r="181" spans="1:5" x14ac:dyDescent="0.3">
      <c r="A181" t="s">
        <v>108</v>
      </c>
      <c r="B181" t="s">
        <v>62</v>
      </c>
      <c r="C181" t="s">
        <v>8</v>
      </c>
      <c r="D181" s="2"/>
      <c r="E181" s="2"/>
    </row>
    <row r="182" spans="1:5" x14ac:dyDescent="0.3">
      <c r="A182" t="s">
        <v>108</v>
      </c>
      <c r="B182" t="s">
        <v>9</v>
      </c>
      <c r="C182" t="s">
        <v>10</v>
      </c>
      <c r="D182" s="2"/>
      <c r="E182" s="2"/>
    </row>
    <row r="183" spans="1:5" x14ac:dyDescent="0.3">
      <c r="A183" t="s">
        <v>108</v>
      </c>
      <c r="B183" t="s">
        <v>36</v>
      </c>
      <c r="C183" t="s">
        <v>10</v>
      </c>
      <c r="D183" s="2"/>
      <c r="E183" s="2"/>
    </row>
    <row r="184" spans="1:5" x14ac:dyDescent="0.3">
      <c r="A184" t="s">
        <v>108</v>
      </c>
      <c r="B184" t="s">
        <v>109</v>
      </c>
      <c r="C184" t="s">
        <v>10</v>
      </c>
      <c r="D184" s="2"/>
      <c r="E184" s="2"/>
    </row>
    <row r="185" spans="1:5" x14ac:dyDescent="0.3">
      <c r="A185" t="s">
        <v>108</v>
      </c>
      <c r="B185" t="s">
        <v>96</v>
      </c>
      <c r="C185" t="s">
        <v>41</v>
      </c>
      <c r="D185" s="2"/>
      <c r="E185" s="2"/>
    </row>
    <row r="186" spans="1:5" x14ac:dyDescent="0.3">
      <c r="A186" t="s">
        <v>108</v>
      </c>
      <c r="B186" t="s">
        <v>97</v>
      </c>
      <c r="C186" t="s">
        <v>41</v>
      </c>
      <c r="D186" s="2"/>
      <c r="E186" s="2"/>
    </row>
    <row r="187" spans="1:5" x14ac:dyDescent="0.3">
      <c r="A187" t="s">
        <v>108</v>
      </c>
      <c r="B187" t="s">
        <v>32</v>
      </c>
      <c r="C187" t="s">
        <v>26</v>
      </c>
      <c r="D187" s="2">
        <v>0.41666666666666702</v>
      </c>
      <c r="E187" s="2">
        <v>0.54166666666666696</v>
      </c>
    </row>
    <row r="188" spans="1:5" x14ac:dyDescent="0.3">
      <c r="A188" t="s">
        <v>108</v>
      </c>
      <c r="B188" t="s">
        <v>66</v>
      </c>
      <c r="C188" t="s">
        <v>26</v>
      </c>
      <c r="D188" s="2">
        <v>0.66666666666666696</v>
      </c>
      <c r="E188" s="2">
        <v>0.79166666666666696</v>
      </c>
    </row>
    <row r="189" spans="1:5" x14ac:dyDescent="0.3">
      <c r="A189" t="s">
        <v>108</v>
      </c>
      <c r="B189" t="s">
        <v>66</v>
      </c>
      <c r="C189" t="s">
        <v>26</v>
      </c>
      <c r="D189" s="2">
        <v>0.79166666666666696</v>
      </c>
      <c r="E189" s="2">
        <v>0.95833333333333304</v>
      </c>
    </row>
    <row r="190" spans="1:5" x14ac:dyDescent="0.3">
      <c r="A190" t="s">
        <v>108</v>
      </c>
      <c r="B190" t="s">
        <v>25</v>
      </c>
      <c r="C190" t="s">
        <v>26</v>
      </c>
      <c r="D190" s="2">
        <v>0.79166666666666696</v>
      </c>
      <c r="E190" s="2">
        <v>0.95833333333333304</v>
      </c>
    </row>
    <row r="191" spans="1:5" x14ac:dyDescent="0.3">
      <c r="A191" t="s">
        <v>108</v>
      </c>
      <c r="B191" t="s">
        <v>12</v>
      </c>
      <c r="C191" t="s">
        <v>43</v>
      </c>
      <c r="D191" s="2"/>
      <c r="E191" s="2"/>
    </row>
    <row r="192" spans="1:5" x14ac:dyDescent="0.3">
      <c r="A192" t="s">
        <v>108</v>
      </c>
      <c r="B192" t="s">
        <v>52</v>
      </c>
      <c r="C192" t="s">
        <v>45</v>
      </c>
      <c r="D192" s="2"/>
      <c r="E192" s="2"/>
    </row>
    <row r="193" spans="1:6" x14ac:dyDescent="0.3">
      <c r="A193" t="s">
        <v>108</v>
      </c>
      <c r="B193" t="s">
        <v>14</v>
      </c>
      <c r="C193" t="s">
        <v>46</v>
      </c>
      <c r="D193" s="2"/>
      <c r="E193" s="2"/>
    </row>
    <row r="194" spans="1:6" x14ac:dyDescent="0.3">
      <c r="A194" t="s">
        <v>108</v>
      </c>
      <c r="B194" t="s">
        <v>94</v>
      </c>
      <c r="C194" t="s">
        <v>18</v>
      </c>
      <c r="D194" s="2"/>
      <c r="E194" s="2"/>
    </row>
    <row r="195" spans="1:6" x14ac:dyDescent="0.3">
      <c r="A195" t="s">
        <v>108</v>
      </c>
      <c r="B195" t="s">
        <v>85</v>
      </c>
      <c r="C195" t="s">
        <v>49</v>
      </c>
      <c r="D195" s="2"/>
      <c r="E195" s="2"/>
    </row>
    <row r="196" spans="1:6" x14ac:dyDescent="0.3">
      <c r="A196" t="s">
        <v>108</v>
      </c>
      <c r="B196" t="s">
        <v>34</v>
      </c>
      <c r="C196" t="s">
        <v>51</v>
      </c>
      <c r="D196" s="2"/>
      <c r="E196" s="2"/>
    </row>
    <row r="197" spans="1:6" x14ac:dyDescent="0.3">
      <c r="A197" t="s">
        <v>108</v>
      </c>
      <c r="B197" t="s">
        <v>75</v>
      </c>
      <c r="C197" t="s">
        <v>55</v>
      </c>
      <c r="D197" s="2">
        <v>0.83333333333333337</v>
      </c>
      <c r="E197" s="2">
        <v>0.875</v>
      </c>
      <c r="F197" t="s">
        <v>110</v>
      </c>
    </row>
    <row r="198" spans="1:6" x14ac:dyDescent="0.3">
      <c r="A198" t="s">
        <v>108</v>
      </c>
      <c r="B198" t="s">
        <v>50</v>
      </c>
      <c r="C198" t="s">
        <v>53</v>
      </c>
      <c r="D198" s="2">
        <v>0.66666666666666696</v>
      </c>
      <c r="E198" s="2">
        <v>0.70833333333333304</v>
      </c>
    </row>
    <row r="199" spans="1:6" x14ac:dyDescent="0.3">
      <c r="A199" t="s">
        <v>111</v>
      </c>
      <c r="B199" t="s">
        <v>37</v>
      </c>
      <c r="C199" t="s">
        <v>13</v>
      </c>
      <c r="D199" s="2"/>
      <c r="E199" s="2"/>
    </row>
    <row r="200" spans="1:6" x14ac:dyDescent="0.3">
      <c r="A200" t="s">
        <v>111</v>
      </c>
      <c r="B200" t="s">
        <v>29</v>
      </c>
      <c r="C200" t="s">
        <v>15</v>
      </c>
      <c r="D200" s="2"/>
      <c r="E200" s="2"/>
    </row>
    <row r="201" spans="1:6" x14ac:dyDescent="0.3">
      <c r="A201" t="s">
        <v>111</v>
      </c>
      <c r="B201" t="s">
        <v>52</v>
      </c>
      <c r="C201" t="s">
        <v>8</v>
      </c>
      <c r="D201" s="2"/>
      <c r="E201" s="2"/>
    </row>
    <row r="202" spans="1:6" x14ac:dyDescent="0.3">
      <c r="A202" t="s">
        <v>111</v>
      </c>
      <c r="B202" t="s">
        <v>60</v>
      </c>
      <c r="C202" t="s">
        <v>13</v>
      </c>
      <c r="D202" s="2"/>
      <c r="E202" s="2"/>
    </row>
    <row r="203" spans="1:6" x14ac:dyDescent="0.3">
      <c r="A203" t="s">
        <v>111</v>
      </c>
      <c r="B203" t="s">
        <v>112</v>
      </c>
      <c r="C203" t="s">
        <v>8</v>
      </c>
      <c r="D203" s="2"/>
      <c r="E203" s="2"/>
    </row>
    <row r="204" spans="1:6" x14ac:dyDescent="0.3">
      <c r="A204" t="s">
        <v>111</v>
      </c>
      <c r="B204" t="s">
        <v>38</v>
      </c>
      <c r="C204" t="s">
        <v>10</v>
      </c>
      <c r="D204" s="2"/>
      <c r="E204" s="2"/>
    </row>
    <row r="205" spans="1:6" x14ac:dyDescent="0.3">
      <c r="A205" t="s">
        <v>111</v>
      </c>
      <c r="B205" t="s">
        <v>39</v>
      </c>
      <c r="C205" t="s">
        <v>10</v>
      </c>
      <c r="D205" s="2"/>
      <c r="E205" s="2"/>
    </row>
    <row r="206" spans="1:6" x14ac:dyDescent="0.3">
      <c r="A206" t="s">
        <v>111</v>
      </c>
      <c r="B206" t="s">
        <v>35</v>
      </c>
      <c r="C206" t="s">
        <v>41</v>
      </c>
      <c r="D206" s="2"/>
      <c r="E206" s="2"/>
    </row>
    <row r="207" spans="1:6" x14ac:dyDescent="0.3">
      <c r="A207" t="s">
        <v>111</v>
      </c>
      <c r="B207" t="s">
        <v>103</v>
      </c>
      <c r="C207" t="s">
        <v>41</v>
      </c>
      <c r="D207" s="2"/>
      <c r="E207" s="2"/>
    </row>
    <row r="208" spans="1:6" x14ac:dyDescent="0.3">
      <c r="A208" t="s">
        <v>111</v>
      </c>
      <c r="B208" t="s">
        <v>72</v>
      </c>
      <c r="C208" t="s">
        <v>26</v>
      </c>
      <c r="D208" s="2">
        <v>0.54166666666666696</v>
      </c>
      <c r="E208" s="2">
        <v>0.66666666666666696</v>
      </c>
      <c r="F208" t="s">
        <v>104</v>
      </c>
    </row>
    <row r="209" spans="1:6" x14ac:dyDescent="0.3">
      <c r="A209" t="s">
        <v>111</v>
      </c>
      <c r="B209" t="s">
        <v>34</v>
      </c>
      <c r="C209" t="s">
        <v>26</v>
      </c>
      <c r="D209" s="2">
        <v>0.79166666666666696</v>
      </c>
      <c r="E209" s="2">
        <v>0.83333333333333337</v>
      </c>
      <c r="F209" t="s">
        <v>70</v>
      </c>
    </row>
    <row r="210" spans="1:6" x14ac:dyDescent="0.3">
      <c r="A210" t="s">
        <v>111</v>
      </c>
      <c r="B210" t="s">
        <v>64</v>
      </c>
      <c r="C210" t="s">
        <v>43</v>
      </c>
      <c r="D210" s="2"/>
      <c r="E210" s="2"/>
    </row>
    <row r="211" spans="1:6" x14ac:dyDescent="0.3">
      <c r="A211" t="s">
        <v>111</v>
      </c>
      <c r="B211" t="s">
        <v>52</v>
      </c>
      <c r="C211" t="s">
        <v>45</v>
      </c>
      <c r="D211" s="2"/>
      <c r="E211" s="2"/>
    </row>
    <row r="212" spans="1:6" x14ac:dyDescent="0.3">
      <c r="A212" t="s">
        <v>111</v>
      </c>
      <c r="B212" t="s">
        <v>14</v>
      </c>
      <c r="C212" t="s">
        <v>46</v>
      </c>
      <c r="D212" s="2"/>
      <c r="E212" s="2"/>
    </row>
    <row r="213" spans="1:6" x14ac:dyDescent="0.3">
      <c r="A213" t="s">
        <v>111</v>
      </c>
      <c r="B213" t="s">
        <v>63</v>
      </c>
      <c r="C213" t="s">
        <v>18</v>
      </c>
      <c r="D213" s="2"/>
      <c r="E213" s="2"/>
    </row>
    <row r="214" spans="1:6" x14ac:dyDescent="0.3">
      <c r="A214" t="s">
        <v>111</v>
      </c>
      <c r="B214" t="s">
        <v>48</v>
      </c>
      <c r="C214" t="s">
        <v>49</v>
      </c>
      <c r="D214" s="2"/>
      <c r="E214" s="2"/>
    </row>
    <row r="215" spans="1:6" x14ac:dyDescent="0.3">
      <c r="A215" t="s">
        <v>111</v>
      </c>
      <c r="B215" t="s">
        <v>17</v>
      </c>
      <c r="C215" t="s">
        <v>51</v>
      </c>
      <c r="D215" s="2"/>
      <c r="E215" s="2"/>
    </row>
    <row r="216" spans="1:6" x14ac:dyDescent="0.3">
      <c r="A216" t="s">
        <v>111</v>
      </c>
      <c r="B216" t="s">
        <v>17</v>
      </c>
      <c r="C216" t="s">
        <v>24</v>
      </c>
      <c r="D216" s="2">
        <v>0.70833333333333304</v>
      </c>
      <c r="E216" s="2">
        <v>0.83333333333333337</v>
      </c>
      <c r="F216" t="s">
        <v>113</v>
      </c>
    </row>
    <row r="217" spans="1:6" x14ac:dyDescent="0.3">
      <c r="A217" t="s">
        <v>111</v>
      </c>
      <c r="B217" t="s">
        <v>64</v>
      </c>
      <c r="C217" t="s">
        <v>24</v>
      </c>
      <c r="D217" s="2">
        <v>0.54166666666666696</v>
      </c>
      <c r="E217" s="2">
        <v>0.70833333333333304</v>
      </c>
      <c r="F217" t="s">
        <v>114</v>
      </c>
    </row>
    <row r="218" spans="1:6" x14ac:dyDescent="0.3">
      <c r="A218" t="s">
        <v>111</v>
      </c>
      <c r="B218" t="s">
        <v>68</v>
      </c>
      <c r="C218" t="s">
        <v>30</v>
      </c>
      <c r="D218" s="2"/>
      <c r="E218" s="2"/>
      <c r="F218" t="s">
        <v>115</v>
      </c>
    </row>
    <row r="219" spans="1:6" x14ac:dyDescent="0.3">
      <c r="A219" t="s">
        <v>116</v>
      </c>
      <c r="B219" t="s">
        <v>48</v>
      </c>
      <c r="C219" t="s">
        <v>13</v>
      </c>
      <c r="D219" s="2"/>
      <c r="E219" s="2"/>
    </row>
    <row r="220" spans="1:6" x14ac:dyDescent="0.3">
      <c r="A220" t="s">
        <v>116</v>
      </c>
      <c r="B220" t="s">
        <v>34</v>
      </c>
      <c r="C220" t="s">
        <v>15</v>
      </c>
      <c r="D220" s="2"/>
      <c r="E220" s="2"/>
    </row>
    <row r="221" spans="1:6" x14ac:dyDescent="0.3">
      <c r="A221" t="s">
        <v>116</v>
      </c>
      <c r="B221" t="s">
        <v>71</v>
      </c>
      <c r="C221" t="s">
        <v>8</v>
      </c>
      <c r="D221" s="2"/>
      <c r="E221" s="2"/>
    </row>
    <row r="222" spans="1:6" x14ac:dyDescent="0.3">
      <c r="A222" t="s">
        <v>116</v>
      </c>
      <c r="B222" t="s">
        <v>80</v>
      </c>
      <c r="C222" t="s">
        <v>13</v>
      </c>
      <c r="D222" s="2"/>
      <c r="E222" s="2"/>
    </row>
    <row r="223" spans="1:6" x14ac:dyDescent="0.3">
      <c r="A223" t="s">
        <v>116</v>
      </c>
      <c r="B223" t="s">
        <v>38</v>
      </c>
      <c r="C223" t="s">
        <v>8</v>
      </c>
      <c r="D223" s="2"/>
      <c r="E223" s="2"/>
    </row>
    <row r="224" spans="1:6" x14ac:dyDescent="0.3">
      <c r="A224" t="s">
        <v>116</v>
      </c>
      <c r="B224" t="s">
        <v>9</v>
      </c>
      <c r="C224" t="s">
        <v>10</v>
      </c>
      <c r="D224" s="2"/>
      <c r="E224" s="2"/>
    </row>
    <row r="225" spans="1:6" x14ac:dyDescent="0.3">
      <c r="A225" t="s">
        <v>116</v>
      </c>
      <c r="B225" t="s">
        <v>36</v>
      </c>
      <c r="C225" t="s">
        <v>10</v>
      </c>
      <c r="D225" s="2"/>
      <c r="E225" s="2"/>
    </row>
    <row r="226" spans="1:6" x14ac:dyDescent="0.3">
      <c r="A226" t="s">
        <v>116</v>
      </c>
      <c r="B226" t="s">
        <v>109</v>
      </c>
      <c r="C226" t="s">
        <v>10</v>
      </c>
      <c r="D226" s="2"/>
      <c r="E226" s="2"/>
    </row>
    <row r="227" spans="1:6" x14ac:dyDescent="0.3">
      <c r="A227" t="s">
        <v>116</v>
      </c>
      <c r="B227" t="s">
        <v>40</v>
      </c>
      <c r="C227" t="s">
        <v>41</v>
      </c>
      <c r="D227" s="2"/>
      <c r="E227" s="2"/>
    </row>
    <row r="228" spans="1:6" x14ac:dyDescent="0.3">
      <c r="A228" t="s">
        <v>116</v>
      </c>
      <c r="B228" t="s">
        <v>62</v>
      </c>
      <c r="C228" t="s">
        <v>41</v>
      </c>
      <c r="D228" s="2"/>
      <c r="E228" s="2"/>
    </row>
    <row r="229" spans="1:6" x14ac:dyDescent="0.3">
      <c r="A229" t="s">
        <v>116</v>
      </c>
      <c r="B229" t="s">
        <v>64</v>
      </c>
      <c r="C229" t="s">
        <v>43</v>
      </c>
      <c r="D229" s="2"/>
      <c r="E229" s="2"/>
    </row>
    <row r="230" spans="1:6" x14ac:dyDescent="0.3">
      <c r="A230" t="s">
        <v>116</v>
      </c>
      <c r="B230" t="s">
        <v>66</v>
      </c>
      <c r="C230" t="s">
        <v>45</v>
      </c>
      <c r="D230" s="2"/>
      <c r="E230" s="2"/>
    </row>
    <row r="231" spans="1:6" x14ac:dyDescent="0.3">
      <c r="A231" t="s">
        <v>116</v>
      </c>
      <c r="B231" t="s">
        <v>16</v>
      </c>
      <c r="C231" t="s">
        <v>46</v>
      </c>
      <c r="D231" s="2"/>
      <c r="E231" s="2"/>
    </row>
    <row r="232" spans="1:6" x14ac:dyDescent="0.3">
      <c r="A232" t="s">
        <v>116</v>
      </c>
      <c r="B232" t="s">
        <v>72</v>
      </c>
      <c r="C232" t="s">
        <v>18</v>
      </c>
      <c r="D232" s="2"/>
      <c r="E232" s="2"/>
    </row>
    <row r="233" spans="1:6" x14ac:dyDescent="0.3">
      <c r="A233" t="s">
        <v>116</v>
      </c>
      <c r="B233" t="s">
        <v>85</v>
      </c>
      <c r="C233" t="s">
        <v>49</v>
      </c>
      <c r="D233" s="2"/>
      <c r="E233" s="2"/>
    </row>
    <row r="234" spans="1:6" x14ac:dyDescent="0.3">
      <c r="A234" t="s">
        <v>116</v>
      </c>
      <c r="B234" t="s">
        <v>17</v>
      </c>
      <c r="C234" t="s">
        <v>51</v>
      </c>
      <c r="D234" s="2"/>
      <c r="E234" s="2"/>
    </row>
    <row r="235" spans="1:6" x14ac:dyDescent="0.3">
      <c r="A235" t="s">
        <v>116</v>
      </c>
      <c r="B235" t="s">
        <v>14</v>
      </c>
      <c r="C235" t="s">
        <v>46</v>
      </c>
      <c r="D235" s="2"/>
      <c r="E235" s="2"/>
    </row>
    <row r="236" spans="1:6" x14ac:dyDescent="0.3">
      <c r="A236" t="s">
        <v>116</v>
      </c>
      <c r="B236" t="s">
        <v>94</v>
      </c>
      <c r="C236" t="s">
        <v>18</v>
      </c>
      <c r="D236" s="2"/>
      <c r="E236" s="2"/>
    </row>
    <row r="237" spans="1:6" x14ac:dyDescent="0.3">
      <c r="A237" t="s">
        <v>116</v>
      </c>
      <c r="B237" t="s">
        <v>85</v>
      </c>
      <c r="C237" t="s">
        <v>49</v>
      </c>
      <c r="D237" s="2"/>
      <c r="E237" s="2"/>
    </row>
    <row r="238" spans="1:6" x14ac:dyDescent="0.3">
      <c r="A238" t="s">
        <v>116</v>
      </c>
      <c r="B238" t="s">
        <v>34</v>
      </c>
      <c r="C238" t="s">
        <v>51</v>
      </c>
      <c r="D238" s="2"/>
      <c r="E238" s="2"/>
    </row>
    <row r="239" spans="1:6" x14ac:dyDescent="0.3">
      <c r="A239" t="s">
        <v>116</v>
      </c>
      <c r="B239" t="s">
        <v>75</v>
      </c>
      <c r="C239" t="s">
        <v>55</v>
      </c>
      <c r="D239" s="2">
        <v>0.83333333333333337</v>
      </c>
      <c r="E239" s="2">
        <v>0.875</v>
      </c>
      <c r="F239" t="s">
        <v>110</v>
      </c>
    </row>
    <row r="240" spans="1:6" x14ac:dyDescent="0.3">
      <c r="A240" t="s">
        <v>117</v>
      </c>
      <c r="B240" t="s">
        <v>50</v>
      </c>
      <c r="C240" t="s">
        <v>13</v>
      </c>
      <c r="D240" s="2"/>
      <c r="E240" s="2"/>
    </row>
    <row r="241" spans="1:5" x14ac:dyDescent="0.3">
      <c r="A241" t="s">
        <v>117</v>
      </c>
      <c r="B241" t="s">
        <v>63</v>
      </c>
      <c r="C241" t="s">
        <v>8</v>
      </c>
      <c r="D241" s="2"/>
      <c r="E241" s="2"/>
    </row>
    <row r="242" spans="1:5" x14ac:dyDescent="0.3">
      <c r="A242" t="s">
        <v>117</v>
      </c>
      <c r="B242" t="s">
        <v>21</v>
      </c>
      <c r="C242" t="s">
        <v>78</v>
      </c>
      <c r="D242" s="2"/>
      <c r="E242" s="2"/>
    </row>
    <row r="243" spans="1:5" x14ac:dyDescent="0.3">
      <c r="A243" t="s">
        <v>117</v>
      </c>
      <c r="B243" t="s">
        <v>59</v>
      </c>
      <c r="C243" t="s">
        <v>13</v>
      </c>
      <c r="D243" s="2"/>
      <c r="E243" s="2"/>
    </row>
    <row r="244" spans="1:5" x14ac:dyDescent="0.3">
      <c r="A244" t="s">
        <v>117</v>
      </c>
      <c r="B244" t="s">
        <v>98</v>
      </c>
      <c r="C244" t="s">
        <v>8</v>
      </c>
      <c r="D244" s="2"/>
      <c r="E244" s="2"/>
    </row>
    <row r="245" spans="1:5" x14ac:dyDescent="0.3">
      <c r="A245" t="s">
        <v>117</v>
      </c>
      <c r="B245" t="s">
        <v>103</v>
      </c>
      <c r="C245" t="s">
        <v>78</v>
      </c>
      <c r="D245" s="2"/>
      <c r="E245" s="2"/>
    </row>
    <row r="246" spans="1:5" x14ac:dyDescent="0.3">
      <c r="A246" t="s">
        <v>117</v>
      </c>
      <c r="B246" t="s">
        <v>9</v>
      </c>
      <c r="C246" t="s">
        <v>10</v>
      </c>
      <c r="D246" s="2"/>
      <c r="E246" s="2"/>
    </row>
    <row r="247" spans="1:5" x14ac:dyDescent="0.3">
      <c r="A247" t="s">
        <v>117</v>
      </c>
      <c r="B247" t="s">
        <v>36</v>
      </c>
      <c r="C247" t="s">
        <v>10</v>
      </c>
      <c r="D247" s="2"/>
      <c r="E247" s="2"/>
    </row>
    <row r="248" spans="1:5" x14ac:dyDescent="0.3">
      <c r="A248" t="s">
        <v>117</v>
      </c>
      <c r="B248" t="s">
        <v>109</v>
      </c>
      <c r="C248" t="s">
        <v>10</v>
      </c>
      <c r="D248" s="2"/>
      <c r="E248" s="2"/>
    </row>
    <row r="249" spans="1:5" x14ac:dyDescent="0.3">
      <c r="A249" t="s">
        <v>118</v>
      </c>
      <c r="B249" t="s">
        <v>21</v>
      </c>
      <c r="C249" t="s">
        <v>13</v>
      </c>
      <c r="D249" s="2"/>
      <c r="E249" s="2"/>
    </row>
    <row r="250" spans="1:5" x14ac:dyDescent="0.3">
      <c r="A250" t="s">
        <v>118</v>
      </c>
      <c r="B250" t="s">
        <v>50</v>
      </c>
      <c r="C250" t="s">
        <v>8</v>
      </c>
      <c r="D250" s="2"/>
      <c r="E250" s="2"/>
    </row>
    <row r="251" spans="1:5" x14ac:dyDescent="0.3">
      <c r="A251" t="s">
        <v>118</v>
      </c>
      <c r="B251" t="s">
        <v>63</v>
      </c>
      <c r="C251" t="s">
        <v>78</v>
      </c>
      <c r="D251" s="2"/>
      <c r="E251" s="2"/>
    </row>
    <row r="252" spans="1:5" x14ac:dyDescent="0.3">
      <c r="A252" t="s">
        <v>118</v>
      </c>
      <c r="B252" t="s">
        <v>59</v>
      </c>
      <c r="C252" t="s">
        <v>13</v>
      </c>
      <c r="D252" s="2"/>
      <c r="E252" s="2"/>
    </row>
    <row r="253" spans="1:5" x14ac:dyDescent="0.3">
      <c r="A253" t="s">
        <v>118</v>
      </c>
      <c r="B253" t="s">
        <v>98</v>
      </c>
      <c r="C253" t="s">
        <v>8</v>
      </c>
      <c r="D253" s="2"/>
      <c r="E253" s="2"/>
    </row>
    <row r="254" spans="1:5" x14ac:dyDescent="0.3">
      <c r="A254" t="s">
        <v>118</v>
      </c>
      <c r="B254" t="s">
        <v>103</v>
      </c>
      <c r="C254" t="s">
        <v>78</v>
      </c>
      <c r="D254" s="2"/>
      <c r="E254" s="2"/>
    </row>
    <row r="255" spans="1:5" x14ac:dyDescent="0.3">
      <c r="A255" t="s">
        <v>119</v>
      </c>
      <c r="B255" t="s">
        <v>73</v>
      </c>
      <c r="C255" t="s">
        <v>13</v>
      </c>
      <c r="D255" s="2"/>
      <c r="E255" s="2"/>
    </row>
    <row r="256" spans="1:5" x14ac:dyDescent="0.3">
      <c r="A256" t="s">
        <v>119</v>
      </c>
      <c r="B256" t="s">
        <v>68</v>
      </c>
      <c r="C256" t="s">
        <v>15</v>
      </c>
      <c r="D256" s="2"/>
      <c r="E256" s="2"/>
    </row>
    <row r="257" spans="1:5" x14ac:dyDescent="0.3">
      <c r="A257" t="s">
        <v>119</v>
      </c>
      <c r="B257" t="s">
        <v>29</v>
      </c>
      <c r="C257" t="s">
        <v>8</v>
      </c>
      <c r="D257" s="2"/>
      <c r="E257" s="2"/>
    </row>
    <row r="258" spans="1:5" x14ac:dyDescent="0.3">
      <c r="A258" t="s">
        <v>119</v>
      </c>
      <c r="B258" t="s">
        <v>97</v>
      </c>
      <c r="C258" t="s">
        <v>13</v>
      </c>
      <c r="D258" s="2"/>
      <c r="E258" s="2"/>
    </row>
    <row r="259" spans="1:5" x14ac:dyDescent="0.3">
      <c r="A259" t="s">
        <v>119</v>
      </c>
      <c r="B259" t="s">
        <v>39</v>
      </c>
      <c r="C259" t="s">
        <v>8</v>
      </c>
      <c r="D259" s="2"/>
      <c r="E259" s="2"/>
    </row>
    <row r="260" spans="1:5" x14ac:dyDescent="0.3">
      <c r="A260" t="s">
        <v>119</v>
      </c>
      <c r="B260" t="s">
        <v>9</v>
      </c>
      <c r="C260" t="s">
        <v>10</v>
      </c>
      <c r="D260" s="2"/>
      <c r="E260" s="2"/>
    </row>
    <row r="261" spans="1:5" x14ac:dyDescent="0.3">
      <c r="A261" t="s">
        <v>119</v>
      </c>
      <c r="B261" t="s">
        <v>36</v>
      </c>
      <c r="C261" t="s">
        <v>10</v>
      </c>
      <c r="D261" s="2"/>
      <c r="E261" s="2"/>
    </row>
    <row r="262" spans="1:5" x14ac:dyDescent="0.3">
      <c r="A262" t="s">
        <v>119</v>
      </c>
      <c r="B262" t="s">
        <v>109</v>
      </c>
      <c r="C262" t="s">
        <v>10</v>
      </c>
      <c r="D262" s="2"/>
      <c r="E262" s="2"/>
    </row>
    <row r="263" spans="1:5" x14ac:dyDescent="0.3">
      <c r="A263" t="s">
        <v>119</v>
      </c>
      <c r="B263" t="s">
        <v>59</v>
      </c>
      <c r="C263" t="s">
        <v>41</v>
      </c>
      <c r="D263" s="2"/>
      <c r="E263" s="2"/>
    </row>
    <row r="264" spans="1:5" x14ac:dyDescent="0.3">
      <c r="A264" t="s">
        <v>119</v>
      </c>
      <c r="B264" t="s">
        <v>98</v>
      </c>
      <c r="C264" t="s">
        <v>41</v>
      </c>
      <c r="D264" s="2"/>
      <c r="E264" s="2"/>
    </row>
    <row r="265" spans="1:5" x14ac:dyDescent="0.3">
      <c r="A265" t="s">
        <v>119</v>
      </c>
      <c r="B265" t="s">
        <v>103</v>
      </c>
      <c r="C265" t="s">
        <v>41</v>
      </c>
      <c r="D265" s="2"/>
      <c r="E265" s="2"/>
    </row>
    <row r="266" spans="1:5" x14ac:dyDescent="0.3">
      <c r="A266" t="s">
        <v>119</v>
      </c>
      <c r="B266" t="s">
        <v>37</v>
      </c>
      <c r="C266" t="s">
        <v>26</v>
      </c>
      <c r="D266" s="2">
        <v>0.66666666666666696</v>
      </c>
      <c r="E266" s="2">
        <v>0.79166666666666696</v>
      </c>
    </row>
    <row r="267" spans="1:5" x14ac:dyDescent="0.3">
      <c r="A267" t="s">
        <v>119</v>
      </c>
      <c r="B267" t="s">
        <v>34</v>
      </c>
      <c r="C267" t="s">
        <v>26</v>
      </c>
      <c r="D267" s="2">
        <v>0.66666666666666696</v>
      </c>
      <c r="E267" s="2">
        <v>0.79166666666666696</v>
      </c>
    </row>
    <row r="268" spans="1:5" x14ac:dyDescent="0.3">
      <c r="A268" t="s">
        <v>119</v>
      </c>
      <c r="B268" t="s">
        <v>37</v>
      </c>
      <c r="C268" t="s">
        <v>26</v>
      </c>
      <c r="D268" s="2">
        <v>0.79166666666666696</v>
      </c>
      <c r="E268" s="2">
        <v>0.95833333333333304</v>
      </c>
    </row>
    <row r="269" spans="1:5" x14ac:dyDescent="0.3">
      <c r="A269" t="s">
        <v>119</v>
      </c>
      <c r="B269" t="s">
        <v>34</v>
      </c>
      <c r="C269" t="s">
        <v>26</v>
      </c>
      <c r="D269" s="2">
        <v>0.79166666666666696</v>
      </c>
      <c r="E269" s="2">
        <v>0.95833333333333304</v>
      </c>
    </row>
    <row r="270" spans="1:5" x14ac:dyDescent="0.3">
      <c r="A270" t="s">
        <v>119</v>
      </c>
      <c r="B270" t="s">
        <v>84</v>
      </c>
      <c r="C270" t="s">
        <v>43</v>
      </c>
      <c r="D270" s="2"/>
      <c r="E270" s="2"/>
    </row>
    <row r="271" spans="1:5" x14ac:dyDescent="0.3">
      <c r="A271" t="s">
        <v>119</v>
      </c>
      <c r="B271" t="s">
        <v>44</v>
      </c>
      <c r="C271" t="s">
        <v>45</v>
      </c>
      <c r="D271" s="2"/>
      <c r="E271" s="2"/>
    </row>
    <row r="272" spans="1:5" x14ac:dyDescent="0.3">
      <c r="A272" t="s">
        <v>119</v>
      </c>
      <c r="B272" t="s">
        <v>21</v>
      </c>
      <c r="C272" t="s">
        <v>46</v>
      </c>
      <c r="D272" s="2"/>
      <c r="E272" s="2"/>
    </row>
    <row r="273" spans="1:6" x14ac:dyDescent="0.3">
      <c r="A273" t="s">
        <v>119</v>
      </c>
      <c r="B273" t="s">
        <v>72</v>
      </c>
      <c r="C273" t="s">
        <v>18</v>
      </c>
      <c r="D273" s="2"/>
      <c r="E273" s="2"/>
    </row>
    <row r="274" spans="1:6" x14ac:dyDescent="0.3">
      <c r="A274" t="s">
        <v>119</v>
      </c>
      <c r="B274" t="s">
        <v>71</v>
      </c>
      <c r="C274" t="s">
        <v>49</v>
      </c>
      <c r="D274" s="2"/>
      <c r="E274" s="2"/>
    </row>
    <row r="275" spans="1:6" x14ac:dyDescent="0.3">
      <c r="A275" t="s">
        <v>119</v>
      </c>
      <c r="B275" t="s">
        <v>50</v>
      </c>
      <c r="C275" t="s">
        <v>51</v>
      </c>
      <c r="D275" s="2"/>
      <c r="E275" s="2"/>
    </row>
    <row r="276" spans="1:6" x14ac:dyDescent="0.3">
      <c r="A276" t="s">
        <v>119</v>
      </c>
      <c r="B276" t="s">
        <v>103</v>
      </c>
      <c r="C276" t="s">
        <v>24</v>
      </c>
      <c r="D276" s="2">
        <v>0.54166666666666696</v>
      </c>
      <c r="E276" s="2">
        <v>0.625</v>
      </c>
      <c r="F276" t="s">
        <v>120</v>
      </c>
    </row>
    <row r="277" spans="1:6" x14ac:dyDescent="0.3">
      <c r="A277" t="s">
        <v>119</v>
      </c>
      <c r="B277" t="s">
        <v>98</v>
      </c>
      <c r="C277" t="s">
        <v>24</v>
      </c>
      <c r="D277" s="2">
        <v>0.54166666666666696</v>
      </c>
      <c r="E277" s="2">
        <v>0.625</v>
      </c>
      <c r="F277" t="s">
        <v>120</v>
      </c>
    </row>
    <row r="278" spans="1:6" x14ac:dyDescent="0.3">
      <c r="A278" t="s">
        <v>119</v>
      </c>
      <c r="B278" t="s">
        <v>73</v>
      </c>
      <c r="C278" t="s">
        <v>53</v>
      </c>
      <c r="D278" s="2">
        <v>0.83333333333333337</v>
      </c>
      <c r="E278" s="2">
        <v>0.91666666666666596</v>
      </c>
      <c r="F278" t="s">
        <v>121</v>
      </c>
    </row>
    <row r="279" spans="1:6" x14ac:dyDescent="0.3">
      <c r="A279" t="s">
        <v>119</v>
      </c>
      <c r="B279" t="s">
        <v>48</v>
      </c>
      <c r="C279" t="s">
        <v>55</v>
      </c>
      <c r="D279" s="2">
        <v>0.83333333333333337</v>
      </c>
      <c r="E279" s="2">
        <v>0.91666666666666596</v>
      </c>
      <c r="F279" t="s">
        <v>122</v>
      </c>
    </row>
    <row r="280" spans="1:6" x14ac:dyDescent="0.3">
      <c r="A280" t="s">
        <v>123</v>
      </c>
      <c r="B280" t="s">
        <v>72</v>
      </c>
      <c r="C280" t="s">
        <v>13</v>
      </c>
      <c r="D280" s="2"/>
      <c r="E280" s="2"/>
    </row>
    <row r="281" spans="1:6" x14ac:dyDescent="0.3">
      <c r="A281" t="s">
        <v>123</v>
      </c>
      <c r="B281" t="s">
        <v>75</v>
      </c>
      <c r="C281" t="s">
        <v>15</v>
      </c>
      <c r="D281" s="2"/>
      <c r="E281" s="2"/>
    </row>
    <row r="282" spans="1:6" x14ac:dyDescent="0.3">
      <c r="A282" t="s">
        <v>123</v>
      </c>
      <c r="B282" t="s">
        <v>50</v>
      </c>
      <c r="C282" t="s">
        <v>8</v>
      </c>
      <c r="D282" s="2"/>
      <c r="E282" s="2"/>
    </row>
    <row r="283" spans="1:6" x14ac:dyDescent="0.3">
      <c r="A283" t="s">
        <v>123</v>
      </c>
      <c r="B283" t="s">
        <v>79</v>
      </c>
      <c r="C283" t="s">
        <v>13</v>
      </c>
      <c r="D283" s="2"/>
      <c r="E283" s="2"/>
    </row>
    <row r="284" spans="1:6" x14ac:dyDescent="0.3">
      <c r="A284" t="s">
        <v>123</v>
      </c>
      <c r="B284" t="s">
        <v>96</v>
      </c>
      <c r="C284" t="s">
        <v>15</v>
      </c>
      <c r="D284" s="2"/>
      <c r="E284" s="2"/>
    </row>
    <row r="285" spans="1:6" x14ac:dyDescent="0.3">
      <c r="A285" t="s">
        <v>123</v>
      </c>
      <c r="B285" t="s">
        <v>9</v>
      </c>
      <c r="C285" t="s">
        <v>10</v>
      </c>
      <c r="D285" s="2"/>
      <c r="E285" s="2"/>
    </row>
    <row r="286" spans="1:6" x14ac:dyDescent="0.3">
      <c r="A286" t="s">
        <v>123</v>
      </c>
      <c r="B286" t="s">
        <v>36</v>
      </c>
      <c r="C286" t="s">
        <v>10</v>
      </c>
      <c r="D286" s="2"/>
      <c r="E286" s="2"/>
    </row>
    <row r="287" spans="1:6" x14ac:dyDescent="0.3">
      <c r="A287" t="s">
        <v>123</v>
      </c>
      <c r="B287" t="s">
        <v>109</v>
      </c>
      <c r="C287" t="s">
        <v>10</v>
      </c>
      <c r="D287" s="2"/>
      <c r="E287" s="2"/>
    </row>
    <row r="288" spans="1:6" x14ac:dyDescent="0.3">
      <c r="A288" t="s">
        <v>123</v>
      </c>
      <c r="B288" t="s">
        <v>97</v>
      </c>
      <c r="C288" t="s">
        <v>41</v>
      </c>
      <c r="D288" s="2"/>
      <c r="E288" s="2"/>
    </row>
    <row r="289" spans="1:6" x14ac:dyDescent="0.3">
      <c r="A289" t="s">
        <v>123</v>
      </c>
      <c r="B289" t="s">
        <v>39</v>
      </c>
      <c r="C289" t="s">
        <v>41</v>
      </c>
      <c r="D289" s="2"/>
      <c r="E289" s="2"/>
    </row>
    <row r="290" spans="1:6" x14ac:dyDescent="0.3">
      <c r="A290" t="s">
        <v>123</v>
      </c>
      <c r="B290" t="s">
        <v>37</v>
      </c>
      <c r="C290" t="s">
        <v>43</v>
      </c>
      <c r="D290" s="2"/>
      <c r="E290" s="2"/>
    </row>
    <row r="291" spans="1:6" x14ac:dyDescent="0.3">
      <c r="A291" t="s">
        <v>123</v>
      </c>
      <c r="B291" t="s">
        <v>23</v>
      </c>
      <c r="C291" t="s">
        <v>45</v>
      </c>
      <c r="D291" s="2"/>
      <c r="E291" s="2"/>
    </row>
    <row r="292" spans="1:6" x14ac:dyDescent="0.3">
      <c r="A292" t="s">
        <v>123</v>
      </c>
      <c r="B292" t="s">
        <v>16</v>
      </c>
      <c r="C292" t="s">
        <v>46</v>
      </c>
      <c r="D292" s="2"/>
      <c r="E292" s="2"/>
    </row>
    <row r="293" spans="1:6" x14ac:dyDescent="0.3">
      <c r="A293" t="s">
        <v>123</v>
      </c>
      <c r="B293" t="s">
        <v>47</v>
      </c>
      <c r="C293" t="s">
        <v>18</v>
      </c>
      <c r="D293" s="2"/>
      <c r="E293" s="2"/>
    </row>
    <row r="294" spans="1:6" x14ac:dyDescent="0.3">
      <c r="A294" t="s">
        <v>123</v>
      </c>
      <c r="B294" t="s">
        <v>71</v>
      </c>
      <c r="C294" t="s">
        <v>49</v>
      </c>
      <c r="D294" s="2"/>
      <c r="E294" s="2"/>
    </row>
    <row r="295" spans="1:6" x14ac:dyDescent="0.3">
      <c r="A295" t="s">
        <v>123</v>
      </c>
      <c r="B295" t="s">
        <v>75</v>
      </c>
      <c r="C295" t="s">
        <v>51</v>
      </c>
      <c r="D295" s="2"/>
      <c r="E295" s="2"/>
    </row>
    <row r="296" spans="1:6" x14ac:dyDescent="0.3">
      <c r="A296" t="s">
        <v>123</v>
      </c>
      <c r="B296" t="s">
        <v>25</v>
      </c>
      <c r="C296" t="s">
        <v>124</v>
      </c>
      <c r="D296" s="2">
        <v>0.83333333333333337</v>
      </c>
      <c r="E296" s="2">
        <v>0.91666666666666596</v>
      </c>
      <c r="F296" t="s">
        <v>125</v>
      </c>
    </row>
    <row r="297" spans="1:6" x14ac:dyDescent="0.3">
      <c r="A297" t="s">
        <v>123</v>
      </c>
      <c r="B297" t="s">
        <v>63</v>
      </c>
      <c r="C297" t="s">
        <v>55</v>
      </c>
      <c r="D297" s="2">
        <v>0.29166666666666669</v>
      </c>
      <c r="E297" s="2">
        <v>0.375</v>
      </c>
      <c r="F297" t="s">
        <v>126</v>
      </c>
    </row>
    <row r="298" spans="1:6" x14ac:dyDescent="0.3">
      <c r="A298" t="s">
        <v>127</v>
      </c>
      <c r="B298" t="s">
        <v>52</v>
      </c>
      <c r="C298" t="s">
        <v>13</v>
      </c>
      <c r="D298" s="2"/>
      <c r="E298" s="2"/>
    </row>
    <row r="299" spans="1:6" x14ac:dyDescent="0.3">
      <c r="A299" t="s">
        <v>127</v>
      </c>
      <c r="B299" t="s">
        <v>75</v>
      </c>
      <c r="C299" t="s">
        <v>15</v>
      </c>
      <c r="D299" s="2"/>
      <c r="E299" s="2"/>
    </row>
    <row r="300" spans="1:6" x14ac:dyDescent="0.3">
      <c r="A300" t="s">
        <v>127</v>
      </c>
      <c r="B300" t="s">
        <v>85</v>
      </c>
      <c r="C300" t="s">
        <v>8</v>
      </c>
      <c r="D300" s="2"/>
      <c r="E300" s="2"/>
    </row>
    <row r="301" spans="1:6" x14ac:dyDescent="0.3">
      <c r="A301" t="s">
        <v>127</v>
      </c>
      <c r="B301" t="s">
        <v>98</v>
      </c>
      <c r="C301" t="s">
        <v>13</v>
      </c>
      <c r="D301" s="2"/>
      <c r="E301" s="2"/>
    </row>
    <row r="302" spans="1:6" x14ac:dyDescent="0.3">
      <c r="A302" t="s">
        <v>127</v>
      </c>
      <c r="B302" t="s">
        <v>9</v>
      </c>
      <c r="C302" t="s">
        <v>8</v>
      </c>
      <c r="D302" s="2"/>
      <c r="E302" s="2"/>
    </row>
    <row r="303" spans="1:6" x14ac:dyDescent="0.3">
      <c r="A303" t="s">
        <v>127</v>
      </c>
      <c r="B303" t="s">
        <v>38</v>
      </c>
      <c r="C303" t="s">
        <v>10</v>
      </c>
      <c r="D303" s="2"/>
      <c r="E303" s="2"/>
    </row>
    <row r="304" spans="1:6" x14ac:dyDescent="0.3">
      <c r="A304" t="s">
        <v>127</v>
      </c>
      <c r="B304" t="s">
        <v>39</v>
      </c>
      <c r="C304" t="s">
        <v>10</v>
      </c>
      <c r="D304" s="2"/>
      <c r="E304" s="2"/>
    </row>
    <row r="305" spans="1:5" x14ac:dyDescent="0.3">
      <c r="A305" t="s">
        <v>127</v>
      </c>
      <c r="B305" t="s">
        <v>36</v>
      </c>
      <c r="C305" t="s">
        <v>41</v>
      </c>
      <c r="D305" s="2"/>
      <c r="E305" s="2"/>
    </row>
    <row r="306" spans="1:5" x14ac:dyDescent="0.3">
      <c r="A306" t="s">
        <v>127</v>
      </c>
      <c r="B306" t="s">
        <v>83</v>
      </c>
      <c r="C306" t="s">
        <v>41</v>
      </c>
      <c r="D306" s="2"/>
      <c r="E306" s="2"/>
    </row>
    <row r="307" spans="1:5" x14ac:dyDescent="0.3">
      <c r="A307" t="s">
        <v>127</v>
      </c>
      <c r="B307" t="s">
        <v>12</v>
      </c>
      <c r="C307" t="s">
        <v>43</v>
      </c>
      <c r="D307" s="2"/>
      <c r="E307" s="2"/>
    </row>
    <row r="308" spans="1:5" x14ac:dyDescent="0.3">
      <c r="A308" t="s">
        <v>127</v>
      </c>
      <c r="B308" t="s">
        <v>23</v>
      </c>
      <c r="C308" t="s">
        <v>45</v>
      </c>
      <c r="D308" s="2"/>
      <c r="E308" s="2"/>
    </row>
    <row r="309" spans="1:5" x14ac:dyDescent="0.3">
      <c r="A309" t="s">
        <v>127</v>
      </c>
      <c r="B309" t="s">
        <v>16</v>
      </c>
      <c r="C309" t="s">
        <v>46</v>
      </c>
      <c r="D309" s="2"/>
      <c r="E309" s="2"/>
    </row>
    <row r="310" spans="1:5" x14ac:dyDescent="0.3">
      <c r="A310" t="s">
        <v>127</v>
      </c>
      <c r="B310" t="s">
        <v>63</v>
      </c>
      <c r="C310" t="s">
        <v>18</v>
      </c>
      <c r="D310" s="2"/>
      <c r="E310" s="2"/>
    </row>
    <row r="311" spans="1:5" x14ac:dyDescent="0.3">
      <c r="A311" t="s">
        <v>127</v>
      </c>
      <c r="B311" t="s">
        <v>85</v>
      </c>
      <c r="C311" t="s">
        <v>49</v>
      </c>
      <c r="D311" s="2"/>
      <c r="E311" s="2"/>
    </row>
    <row r="312" spans="1:5" x14ac:dyDescent="0.3">
      <c r="A312" t="s">
        <v>127</v>
      </c>
      <c r="B312" t="s">
        <v>75</v>
      </c>
      <c r="C312" t="s">
        <v>51</v>
      </c>
      <c r="D312" s="2"/>
      <c r="E312" s="2"/>
    </row>
    <row r="313" spans="1:5" x14ac:dyDescent="0.3">
      <c r="A313" t="s">
        <v>128</v>
      </c>
      <c r="B313" t="s">
        <v>50</v>
      </c>
      <c r="C313" t="s">
        <v>13</v>
      </c>
      <c r="D313" s="2"/>
      <c r="E313" s="2"/>
    </row>
    <row r="314" spans="1:5" x14ac:dyDescent="0.3">
      <c r="A314" t="s">
        <v>128</v>
      </c>
      <c r="B314" t="s">
        <v>37</v>
      </c>
      <c r="C314" t="s">
        <v>15</v>
      </c>
      <c r="D314" s="2"/>
      <c r="E314" s="2"/>
    </row>
    <row r="315" spans="1:5" x14ac:dyDescent="0.3">
      <c r="A315" t="s">
        <v>128</v>
      </c>
      <c r="B315" t="s">
        <v>44</v>
      </c>
      <c r="C315" t="s">
        <v>8</v>
      </c>
      <c r="D315" s="2"/>
      <c r="E315" s="2"/>
    </row>
    <row r="316" spans="1:5" x14ac:dyDescent="0.3">
      <c r="A316" t="s">
        <v>128</v>
      </c>
      <c r="B316" t="s">
        <v>35</v>
      </c>
      <c r="C316" t="s">
        <v>13</v>
      </c>
      <c r="D316" s="2"/>
      <c r="E316" s="2"/>
    </row>
    <row r="317" spans="1:5" x14ac:dyDescent="0.3">
      <c r="A317" t="s">
        <v>128</v>
      </c>
      <c r="B317" t="s">
        <v>27</v>
      </c>
      <c r="C317" t="s">
        <v>8</v>
      </c>
      <c r="D317" s="2"/>
      <c r="E317" s="2"/>
    </row>
    <row r="318" spans="1:5" x14ac:dyDescent="0.3">
      <c r="A318" t="s">
        <v>128</v>
      </c>
      <c r="B318" t="s">
        <v>9</v>
      </c>
      <c r="C318" t="s">
        <v>10</v>
      </c>
      <c r="D318" s="2"/>
      <c r="E318" s="2"/>
    </row>
    <row r="319" spans="1:5" x14ac:dyDescent="0.3">
      <c r="A319" t="s">
        <v>128</v>
      </c>
      <c r="B319" t="s">
        <v>36</v>
      </c>
      <c r="C319" t="s">
        <v>10</v>
      </c>
      <c r="D319" s="2"/>
      <c r="E319" s="2"/>
    </row>
    <row r="320" spans="1:5" x14ac:dyDescent="0.3">
      <c r="A320" t="s">
        <v>128</v>
      </c>
      <c r="B320" t="s">
        <v>109</v>
      </c>
      <c r="C320" t="s">
        <v>10</v>
      </c>
      <c r="D320" s="2"/>
      <c r="E320" s="2"/>
    </row>
    <row r="321" spans="1:6" x14ac:dyDescent="0.3">
      <c r="A321" t="s">
        <v>128</v>
      </c>
      <c r="B321" t="s">
        <v>79</v>
      </c>
      <c r="C321" t="s">
        <v>41</v>
      </c>
      <c r="D321" s="2"/>
      <c r="E321" s="2"/>
    </row>
    <row r="322" spans="1:6" x14ac:dyDescent="0.3">
      <c r="A322" t="s">
        <v>128</v>
      </c>
      <c r="B322" t="s">
        <v>96</v>
      </c>
      <c r="C322" t="s">
        <v>41</v>
      </c>
      <c r="D322" s="2"/>
      <c r="E322" s="2"/>
    </row>
    <row r="323" spans="1:6" x14ac:dyDescent="0.3">
      <c r="A323" t="s">
        <v>128</v>
      </c>
      <c r="B323" t="s">
        <v>29</v>
      </c>
      <c r="C323" t="s">
        <v>26</v>
      </c>
      <c r="D323" s="2">
        <v>0.66666666666666696</v>
      </c>
      <c r="E323" s="2">
        <v>0.79166666666666696</v>
      </c>
    </row>
    <row r="324" spans="1:6" x14ac:dyDescent="0.3">
      <c r="A324" t="s">
        <v>128</v>
      </c>
      <c r="B324" t="s">
        <v>29</v>
      </c>
      <c r="C324" t="s">
        <v>26</v>
      </c>
      <c r="D324" s="2">
        <v>0.79166666666666696</v>
      </c>
      <c r="E324" s="2">
        <v>0.91666666666666596</v>
      </c>
    </row>
    <row r="325" spans="1:6" x14ac:dyDescent="0.3">
      <c r="A325" t="s">
        <v>128</v>
      </c>
      <c r="B325" t="s">
        <v>34</v>
      </c>
      <c r="C325" t="s">
        <v>26</v>
      </c>
      <c r="D325" s="2">
        <v>0.79166666666666696</v>
      </c>
      <c r="E325" s="2">
        <v>0.91666666666666596</v>
      </c>
    </row>
    <row r="326" spans="1:6" x14ac:dyDescent="0.3">
      <c r="A326" t="s">
        <v>128</v>
      </c>
      <c r="B326" t="s">
        <v>84</v>
      </c>
      <c r="C326" t="s">
        <v>26</v>
      </c>
      <c r="D326" s="2">
        <v>0.79166666666666696</v>
      </c>
      <c r="E326" s="2">
        <v>0.91666666666666596</v>
      </c>
    </row>
    <row r="327" spans="1:6" x14ac:dyDescent="0.3">
      <c r="A327" t="s">
        <v>128</v>
      </c>
      <c r="B327" t="s">
        <v>29</v>
      </c>
      <c r="C327" t="s">
        <v>43</v>
      </c>
      <c r="D327" s="2"/>
      <c r="E327" s="2"/>
    </row>
    <row r="328" spans="1:6" x14ac:dyDescent="0.3">
      <c r="A328" t="s">
        <v>128</v>
      </c>
      <c r="B328" t="s">
        <v>66</v>
      </c>
      <c r="C328" t="s">
        <v>45</v>
      </c>
      <c r="D328" s="2"/>
      <c r="E328" s="2"/>
    </row>
    <row r="329" spans="1:6" x14ac:dyDescent="0.3">
      <c r="A329" t="s">
        <v>128</v>
      </c>
      <c r="B329" t="s">
        <v>68</v>
      </c>
      <c r="C329" t="s">
        <v>46</v>
      </c>
      <c r="D329" s="2"/>
      <c r="E329" s="2"/>
    </row>
    <row r="330" spans="1:6" x14ac:dyDescent="0.3">
      <c r="A330" t="s">
        <v>128</v>
      </c>
      <c r="B330" t="s">
        <v>63</v>
      </c>
      <c r="C330" t="s">
        <v>18</v>
      </c>
      <c r="D330" s="2"/>
      <c r="E330" s="2"/>
    </row>
    <row r="331" spans="1:6" x14ac:dyDescent="0.3">
      <c r="A331" t="s">
        <v>128</v>
      </c>
      <c r="B331" t="s">
        <v>71</v>
      </c>
      <c r="C331" t="s">
        <v>49</v>
      </c>
      <c r="D331" s="2"/>
      <c r="E331" s="2"/>
    </row>
    <row r="332" spans="1:6" x14ac:dyDescent="0.3">
      <c r="A332" t="s">
        <v>128</v>
      </c>
      <c r="B332" t="s">
        <v>73</v>
      </c>
      <c r="C332" t="s">
        <v>51</v>
      </c>
      <c r="D332" s="2"/>
      <c r="E332" s="2"/>
    </row>
    <row r="333" spans="1:6" x14ac:dyDescent="0.3">
      <c r="A333" t="s">
        <v>128</v>
      </c>
      <c r="B333" t="s">
        <v>63</v>
      </c>
      <c r="C333" t="s">
        <v>53</v>
      </c>
      <c r="D333" s="2">
        <v>0.58333333333333304</v>
      </c>
      <c r="E333" s="2">
        <v>0.66666666666666696</v>
      </c>
      <c r="F333" t="s">
        <v>129</v>
      </c>
    </row>
    <row r="334" spans="1:6" x14ac:dyDescent="0.3">
      <c r="A334" t="s">
        <v>128</v>
      </c>
      <c r="B334" t="s">
        <v>68</v>
      </c>
      <c r="C334" t="s">
        <v>24</v>
      </c>
      <c r="D334" s="2"/>
      <c r="E334" s="2"/>
      <c r="F334" t="s">
        <v>130</v>
      </c>
    </row>
    <row r="335" spans="1:6" x14ac:dyDescent="0.3">
      <c r="A335" t="s">
        <v>131</v>
      </c>
      <c r="B335" t="s">
        <v>73</v>
      </c>
      <c r="C335" t="s">
        <v>13</v>
      </c>
      <c r="D335" s="2"/>
      <c r="E335" s="2"/>
    </row>
    <row r="336" spans="1:6" x14ac:dyDescent="0.3">
      <c r="A336" t="s">
        <v>131</v>
      </c>
      <c r="B336" t="s">
        <v>84</v>
      </c>
      <c r="C336" t="s">
        <v>8</v>
      </c>
      <c r="D336" s="2"/>
      <c r="E336" s="2"/>
    </row>
    <row r="337" spans="1:5" x14ac:dyDescent="0.3">
      <c r="A337" t="s">
        <v>131</v>
      </c>
      <c r="B337" t="s">
        <v>32</v>
      </c>
      <c r="C337" t="s">
        <v>78</v>
      </c>
      <c r="D337" s="2"/>
      <c r="E337" s="2"/>
    </row>
    <row r="338" spans="1:5" x14ac:dyDescent="0.3">
      <c r="A338" t="s">
        <v>131</v>
      </c>
      <c r="B338" t="s">
        <v>61</v>
      </c>
      <c r="C338" t="s">
        <v>13</v>
      </c>
      <c r="D338" s="2"/>
      <c r="E338" s="2"/>
    </row>
    <row r="339" spans="1:5" x14ac:dyDescent="0.3">
      <c r="A339" t="s">
        <v>131</v>
      </c>
      <c r="B339" t="s">
        <v>42</v>
      </c>
      <c r="C339" t="s">
        <v>8</v>
      </c>
      <c r="D339" s="2"/>
      <c r="E339" s="2"/>
    </row>
    <row r="340" spans="1:5" x14ac:dyDescent="0.3">
      <c r="A340" t="s">
        <v>131</v>
      </c>
      <c r="B340" t="s">
        <v>38</v>
      </c>
      <c r="C340" t="s">
        <v>78</v>
      </c>
      <c r="D340" s="2"/>
      <c r="E340" s="2"/>
    </row>
    <row r="341" spans="1:5" x14ac:dyDescent="0.3">
      <c r="A341" t="s">
        <v>131</v>
      </c>
      <c r="B341" t="s">
        <v>9</v>
      </c>
      <c r="C341" t="s">
        <v>10</v>
      </c>
      <c r="D341" s="2"/>
      <c r="E341" s="2"/>
    </row>
    <row r="342" spans="1:5" x14ac:dyDescent="0.3">
      <c r="A342" t="s">
        <v>131</v>
      </c>
      <c r="B342" t="s">
        <v>36</v>
      </c>
      <c r="C342" t="s">
        <v>10</v>
      </c>
      <c r="D342" s="2"/>
      <c r="E342" s="2"/>
    </row>
    <row r="343" spans="1:5" x14ac:dyDescent="0.3">
      <c r="A343" t="s">
        <v>131</v>
      </c>
      <c r="B343" t="s">
        <v>109</v>
      </c>
      <c r="C343" t="s">
        <v>10</v>
      </c>
      <c r="D343" s="2"/>
      <c r="E343" s="2"/>
    </row>
    <row r="344" spans="1:5" x14ac:dyDescent="0.3">
      <c r="A344" t="s">
        <v>131</v>
      </c>
      <c r="B344" t="s">
        <v>35</v>
      </c>
      <c r="C344" t="s">
        <v>41</v>
      </c>
      <c r="D344" s="2"/>
      <c r="E344" s="2"/>
    </row>
    <row r="345" spans="1:5" x14ac:dyDescent="0.3">
      <c r="A345" t="s">
        <v>131</v>
      </c>
      <c r="B345" t="s">
        <v>27</v>
      </c>
      <c r="C345" t="s">
        <v>41</v>
      </c>
      <c r="D345" s="2"/>
      <c r="E345" s="2"/>
    </row>
    <row r="346" spans="1:5" x14ac:dyDescent="0.3">
      <c r="A346" t="s">
        <v>132</v>
      </c>
      <c r="B346" t="s">
        <v>75</v>
      </c>
      <c r="C346" t="s">
        <v>13</v>
      </c>
      <c r="D346" s="2"/>
      <c r="E346" s="2"/>
    </row>
    <row r="347" spans="1:5" x14ac:dyDescent="0.3">
      <c r="A347" t="s">
        <v>132</v>
      </c>
      <c r="B347" t="s">
        <v>37</v>
      </c>
      <c r="C347" t="s">
        <v>15</v>
      </c>
      <c r="D347" s="2"/>
      <c r="E347" s="2"/>
    </row>
    <row r="348" spans="1:5" x14ac:dyDescent="0.3">
      <c r="A348" t="s">
        <v>132</v>
      </c>
      <c r="B348" t="s">
        <v>48</v>
      </c>
      <c r="C348" t="s">
        <v>8</v>
      </c>
      <c r="D348" s="2"/>
      <c r="E348" s="2"/>
    </row>
    <row r="349" spans="1:5" x14ac:dyDescent="0.3">
      <c r="A349" t="s">
        <v>132</v>
      </c>
      <c r="B349" t="s">
        <v>103</v>
      </c>
      <c r="C349" t="s">
        <v>13</v>
      </c>
      <c r="D349" s="2"/>
      <c r="E349" s="2"/>
    </row>
    <row r="350" spans="1:5" x14ac:dyDescent="0.3">
      <c r="A350" t="s">
        <v>132</v>
      </c>
      <c r="B350" t="s">
        <v>83</v>
      </c>
      <c r="C350" t="s">
        <v>8</v>
      </c>
      <c r="D350" s="2"/>
      <c r="E350" s="2"/>
    </row>
    <row r="351" spans="1:5" x14ac:dyDescent="0.3">
      <c r="A351" t="s">
        <v>132</v>
      </c>
      <c r="B351" t="s">
        <v>9</v>
      </c>
      <c r="C351" t="s">
        <v>10</v>
      </c>
      <c r="D351" s="2"/>
      <c r="E351" s="2"/>
    </row>
    <row r="352" spans="1:5" x14ac:dyDescent="0.3">
      <c r="A352" t="s">
        <v>132</v>
      </c>
      <c r="B352" t="s">
        <v>36</v>
      </c>
      <c r="C352" t="s">
        <v>10</v>
      </c>
      <c r="D352" s="2"/>
      <c r="E352" s="2"/>
    </row>
    <row r="353" spans="1:5" x14ac:dyDescent="0.3">
      <c r="A353" t="s">
        <v>132</v>
      </c>
      <c r="B353" t="s">
        <v>109</v>
      </c>
      <c r="C353" t="s">
        <v>10</v>
      </c>
      <c r="D353" s="2"/>
      <c r="E353" s="2"/>
    </row>
    <row r="354" spans="1:5" x14ac:dyDescent="0.3">
      <c r="A354" t="s">
        <v>132</v>
      </c>
      <c r="B354" t="s">
        <v>61</v>
      </c>
      <c r="C354" t="s">
        <v>41</v>
      </c>
      <c r="D354" s="2"/>
      <c r="E354" s="2"/>
    </row>
    <row r="355" spans="1:5" x14ac:dyDescent="0.3">
      <c r="A355" t="s">
        <v>132</v>
      </c>
      <c r="B355" t="s">
        <v>42</v>
      </c>
      <c r="C355" t="s">
        <v>41</v>
      </c>
      <c r="D355" s="2"/>
      <c r="E355" s="2"/>
    </row>
    <row r="356" spans="1:5" x14ac:dyDescent="0.3">
      <c r="A356" t="s">
        <v>132</v>
      </c>
      <c r="B356" t="s">
        <v>37</v>
      </c>
      <c r="C356" t="s">
        <v>43</v>
      </c>
      <c r="D356" s="2"/>
      <c r="E356" s="2"/>
    </row>
    <row r="357" spans="1:5" x14ac:dyDescent="0.3">
      <c r="A357" t="s">
        <v>132</v>
      </c>
      <c r="B357" t="s">
        <v>66</v>
      </c>
      <c r="C357" t="s">
        <v>45</v>
      </c>
      <c r="D357" s="2"/>
      <c r="E357" s="2"/>
    </row>
    <row r="358" spans="1:5" x14ac:dyDescent="0.3">
      <c r="A358" t="s">
        <v>132</v>
      </c>
      <c r="B358" t="s">
        <v>68</v>
      </c>
      <c r="C358" t="s">
        <v>46</v>
      </c>
      <c r="D358" s="2"/>
      <c r="E358" s="2"/>
    </row>
    <row r="359" spans="1:5" x14ac:dyDescent="0.3">
      <c r="A359" t="s">
        <v>132</v>
      </c>
      <c r="B359" t="s">
        <v>94</v>
      </c>
      <c r="C359" t="s">
        <v>18</v>
      </c>
      <c r="D359" s="2"/>
      <c r="E359" s="2"/>
    </row>
    <row r="360" spans="1:5" x14ac:dyDescent="0.3">
      <c r="A360" t="s">
        <v>132</v>
      </c>
      <c r="B360" t="s">
        <v>71</v>
      </c>
      <c r="C360" t="s">
        <v>49</v>
      </c>
      <c r="D360" s="2"/>
      <c r="E360" s="2"/>
    </row>
    <row r="361" spans="1:5" x14ac:dyDescent="0.3">
      <c r="A361" t="s">
        <v>132</v>
      </c>
      <c r="B361" t="s">
        <v>17</v>
      </c>
      <c r="C361" t="s">
        <v>51</v>
      </c>
      <c r="D361" s="2"/>
      <c r="E361" s="2"/>
    </row>
    <row r="362" spans="1:5" x14ac:dyDescent="0.3">
      <c r="A362" t="s">
        <v>133</v>
      </c>
      <c r="B362" t="s">
        <v>94</v>
      </c>
      <c r="C362" t="s">
        <v>13</v>
      </c>
      <c r="D362" s="2"/>
      <c r="E362" s="2"/>
    </row>
    <row r="363" spans="1:5" x14ac:dyDescent="0.3">
      <c r="A363" t="s">
        <v>133</v>
      </c>
      <c r="B363" t="s">
        <v>32</v>
      </c>
      <c r="C363" t="s">
        <v>8</v>
      </c>
      <c r="D363" s="2"/>
      <c r="E363" s="2"/>
    </row>
    <row r="364" spans="1:5" x14ac:dyDescent="0.3">
      <c r="A364" t="s">
        <v>133</v>
      </c>
      <c r="B364" t="s">
        <v>72</v>
      </c>
      <c r="C364" t="s">
        <v>78</v>
      </c>
      <c r="D364" s="2"/>
      <c r="E364" s="2"/>
    </row>
    <row r="365" spans="1:5" x14ac:dyDescent="0.3">
      <c r="A365" t="s">
        <v>133</v>
      </c>
      <c r="B365" t="s">
        <v>62</v>
      </c>
      <c r="C365" t="s">
        <v>13</v>
      </c>
      <c r="D365" s="2"/>
      <c r="E365" s="2"/>
    </row>
    <row r="366" spans="1:5" x14ac:dyDescent="0.3">
      <c r="A366" t="s">
        <v>133</v>
      </c>
      <c r="B366" t="s">
        <v>112</v>
      </c>
      <c r="C366" t="s">
        <v>8</v>
      </c>
      <c r="D366" s="2"/>
      <c r="E366" s="2"/>
    </row>
    <row r="367" spans="1:5" x14ac:dyDescent="0.3">
      <c r="A367" t="s">
        <v>133</v>
      </c>
      <c r="B367" t="s">
        <v>40</v>
      </c>
      <c r="C367" t="s">
        <v>78</v>
      </c>
      <c r="D367" s="2"/>
      <c r="E367" s="2"/>
    </row>
    <row r="368" spans="1:5" x14ac:dyDescent="0.3">
      <c r="A368" t="s">
        <v>133</v>
      </c>
      <c r="B368" t="s">
        <v>9</v>
      </c>
      <c r="C368" t="s">
        <v>10</v>
      </c>
      <c r="D368" s="2"/>
      <c r="E368" s="2"/>
    </row>
    <row r="369" spans="1:6" x14ac:dyDescent="0.3">
      <c r="A369" t="s">
        <v>133</v>
      </c>
      <c r="B369" t="s">
        <v>36</v>
      </c>
      <c r="C369" t="s">
        <v>10</v>
      </c>
      <c r="D369" s="2"/>
      <c r="E369" s="2"/>
    </row>
    <row r="370" spans="1:6" x14ac:dyDescent="0.3">
      <c r="A370" t="s">
        <v>133</v>
      </c>
      <c r="B370" t="s">
        <v>109</v>
      </c>
      <c r="C370" t="s">
        <v>10</v>
      </c>
      <c r="D370" s="2"/>
      <c r="E370" s="2"/>
    </row>
    <row r="371" spans="1:6" x14ac:dyDescent="0.3">
      <c r="A371" t="s">
        <v>133</v>
      </c>
      <c r="B371" t="s">
        <v>134</v>
      </c>
      <c r="C371" t="s">
        <v>24</v>
      </c>
      <c r="D371" s="2"/>
      <c r="E371" s="2"/>
      <c r="F371" t="s">
        <v>135</v>
      </c>
    </row>
    <row r="372" spans="1:6" x14ac:dyDescent="0.3">
      <c r="A372" t="s">
        <v>136</v>
      </c>
      <c r="B372" t="s">
        <v>72</v>
      </c>
      <c r="C372" t="s">
        <v>13</v>
      </c>
      <c r="D372" s="2"/>
      <c r="E372" s="2"/>
    </row>
    <row r="373" spans="1:6" x14ac:dyDescent="0.3">
      <c r="A373" t="s">
        <v>136</v>
      </c>
      <c r="B373" t="s">
        <v>94</v>
      </c>
      <c r="C373" t="s">
        <v>8</v>
      </c>
      <c r="D373" s="2"/>
      <c r="E373" s="2"/>
    </row>
    <row r="374" spans="1:6" x14ac:dyDescent="0.3">
      <c r="A374" t="s">
        <v>136</v>
      </c>
      <c r="B374" t="s">
        <v>32</v>
      </c>
      <c r="C374" t="s">
        <v>78</v>
      </c>
      <c r="D374" s="2"/>
      <c r="E374" s="2"/>
    </row>
    <row r="375" spans="1:6" x14ac:dyDescent="0.3">
      <c r="A375" t="s">
        <v>136</v>
      </c>
      <c r="B375" t="s">
        <v>62</v>
      </c>
      <c r="C375" t="s">
        <v>13</v>
      </c>
      <c r="D375" s="2"/>
      <c r="E375" s="2"/>
    </row>
    <row r="376" spans="1:6" x14ac:dyDescent="0.3">
      <c r="A376" t="s">
        <v>136</v>
      </c>
      <c r="B376" t="s">
        <v>112</v>
      </c>
      <c r="C376" t="s">
        <v>8</v>
      </c>
      <c r="D376" s="2"/>
      <c r="E376" s="2"/>
    </row>
    <row r="377" spans="1:6" x14ac:dyDescent="0.3">
      <c r="A377" t="s">
        <v>136</v>
      </c>
      <c r="B377" t="s">
        <v>40</v>
      </c>
      <c r="C377" t="s">
        <v>78</v>
      </c>
      <c r="D377" s="2"/>
      <c r="E377" s="2"/>
    </row>
    <row r="378" spans="1:6" x14ac:dyDescent="0.3">
      <c r="A378" t="s">
        <v>137</v>
      </c>
      <c r="B378" t="s">
        <v>50</v>
      </c>
      <c r="C378" t="s">
        <v>13</v>
      </c>
      <c r="D378" s="2"/>
      <c r="E378" s="2"/>
    </row>
    <row r="379" spans="1:6" x14ac:dyDescent="0.3">
      <c r="A379" t="s">
        <v>137</v>
      </c>
      <c r="B379" t="s">
        <v>44</v>
      </c>
      <c r="C379" t="s">
        <v>15</v>
      </c>
      <c r="D379" s="2"/>
      <c r="E379" s="2"/>
    </row>
    <row r="380" spans="1:6" x14ac:dyDescent="0.3">
      <c r="A380" t="s">
        <v>137</v>
      </c>
      <c r="B380" t="s">
        <v>34</v>
      </c>
      <c r="C380" t="s">
        <v>8</v>
      </c>
      <c r="D380" s="2"/>
      <c r="E380" s="2"/>
    </row>
    <row r="381" spans="1:6" x14ac:dyDescent="0.3">
      <c r="A381" t="s">
        <v>137</v>
      </c>
      <c r="B381" t="s">
        <v>98</v>
      </c>
      <c r="C381" t="s">
        <v>13</v>
      </c>
      <c r="D381" s="2"/>
      <c r="E381" s="2"/>
    </row>
    <row r="382" spans="1:6" x14ac:dyDescent="0.3">
      <c r="A382" t="s">
        <v>137</v>
      </c>
      <c r="B382" t="s">
        <v>59</v>
      </c>
      <c r="C382" t="s">
        <v>8</v>
      </c>
      <c r="D382" s="2"/>
      <c r="E382" s="2"/>
    </row>
    <row r="383" spans="1:6" x14ac:dyDescent="0.3">
      <c r="A383" t="s">
        <v>137</v>
      </c>
      <c r="B383" t="s">
        <v>7</v>
      </c>
      <c r="C383" t="s">
        <v>30</v>
      </c>
      <c r="D383" s="2"/>
      <c r="E383" s="2"/>
    </row>
    <row r="384" spans="1:6" x14ac:dyDescent="0.3">
      <c r="A384" t="s">
        <v>137</v>
      </c>
      <c r="B384" t="s">
        <v>29</v>
      </c>
      <c r="C384" t="s">
        <v>30</v>
      </c>
      <c r="D384" s="2"/>
      <c r="E384" s="2"/>
    </row>
    <row r="385" spans="1:6" x14ac:dyDescent="0.3">
      <c r="A385" t="s">
        <v>137</v>
      </c>
      <c r="B385" t="s">
        <v>9</v>
      </c>
      <c r="C385" t="s">
        <v>10</v>
      </c>
      <c r="D385" s="2"/>
      <c r="E385" s="2"/>
    </row>
    <row r="386" spans="1:6" x14ac:dyDescent="0.3">
      <c r="A386" t="s">
        <v>137</v>
      </c>
      <c r="B386" t="s">
        <v>36</v>
      </c>
      <c r="C386" t="s">
        <v>10</v>
      </c>
      <c r="D386" s="2"/>
      <c r="E386" s="2"/>
    </row>
    <row r="387" spans="1:6" x14ac:dyDescent="0.3">
      <c r="A387" t="s">
        <v>137</v>
      </c>
      <c r="B387" t="s">
        <v>109</v>
      </c>
      <c r="C387" t="s">
        <v>10</v>
      </c>
      <c r="D387" s="2"/>
      <c r="E387" s="2"/>
    </row>
    <row r="388" spans="1:6" x14ac:dyDescent="0.3">
      <c r="A388" t="s">
        <v>137</v>
      </c>
      <c r="B388" t="s">
        <v>62</v>
      </c>
      <c r="C388" t="s">
        <v>41</v>
      </c>
      <c r="D388" s="2"/>
      <c r="E388" s="2"/>
    </row>
    <row r="389" spans="1:6" x14ac:dyDescent="0.3">
      <c r="A389" t="s">
        <v>137</v>
      </c>
      <c r="B389" t="s">
        <v>112</v>
      </c>
      <c r="C389" t="s">
        <v>41</v>
      </c>
      <c r="D389" s="2"/>
      <c r="E389" s="2"/>
    </row>
    <row r="390" spans="1:6" x14ac:dyDescent="0.3">
      <c r="A390" t="s">
        <v>137</v>
      </c>
      <c r="B390" t="s">
        <v>40</v>
      </c>
      <c r="C390" t="s">
        <v>41</v>
      </c>
      <c r="D390" s="2"/>
      <c r="E390" s="2"/>
    </row>
    <row r="391" spans="1:6" x14ac:dyDescent="0.3">
      <c r="A391" t="s">
        <v>137</v>
      </c>
      <c r="B391" t="s">
        <v>63</v>
      </c>
      <c r="C391" t="s">
        <v>26</v>
      </c>
      <c r="D391" s="2">
        <v>0.79166666666666696</v>
      </c>
      <c r="E391" s="2">
        <v>0.91666666666666596</v>
      </c>
    </row>
    <row r="392" spans="1:6" x14ac:dyDescent="0.3">
      <c r="A392" t="s">
        <v>137</v>
      </c>
      <c r="B392" t="s">
        <v>64</v>
      </c>
      <c r="C392" t="s">
        <v>43</v>
      </c>
      <c r="D392" s="2"/>
      <c r="E392" s="2"/>
    </row>
    <row r="393" spans="1:6" x14ac:dyDescent="0.3">
      <c r="A393" t="s">
        <v>137</v>
      </c>
      <c r="B393" t="s">
        <v>44</v>
      </c>
      <c r="C393" t="s">
        <v>45</v>
      </c>
      <c r="D393" s="2"/>
      <c r="E393" s="2"/>
    </row>
    <row r="394" spans="1:6" x14ac:dyDescent="0.3">
      <c r="A394" t="s">
        <v>137</v>
      </c>
      <c r="B394" t="s">
        <v>21</v>
      </c>
      <c r="C394" t="s">
        <v>46</v>
      </c>
      <c r="D394" s="2"/>
      <c r="E394" s="2"/>
    </row>
    <row r="395" spans="1:6" x14ac:dyDescent="0.3">
      <c r="A395" t="s">
        <v>137</v>
      </c>
      <c r="B395" t="s">
        <v>32</v>
      </c>
      <c r="C395" t="s">
        <v>18</v>
      </c>
      <c r="D395" s="2"/>
      <c r="E395" s="2"/>
    </row>
    <row r="396" spans="1:6" x14ac:dyDescent="0.3">
      <c r="A396" t="s">
        <v>137</v>
      </c>
      <c r="B396" t="s">
        <v>48</v>
      </c>
      <c r="C396" t="s">
        <v>49</v>
      </c>
      <c r="D396" s="2"/>
      <c r="E396" s="2"/>
    </row>
    <row r="397" spans="1:6" x14ac:dyDescent="0.3">
      <c r="A397" t="s">
        <v>137</v>
      </c>
      <c r="B397" t="s">
        <v>50</v>
      </c>
      <c r="C397" t="s">
        <v>51</v>
      </c>
      <c r="D397" s="2"/>
      <c r="E397" s="2"/>
    </row>
    <row r="398" spans="1:6" x14ac:dyDescent="0.3">
      <c r="A398" t="s">
        <v>137</v>
      </c>
      <c r="B398" t="s">
        <v>112</v>
      </c>
      <c r="C398" t="s">
        <v>24</v>
      </c>
      <c r="D398" s="2">
        <v>0.54166666666666696</v>
      </c>
      <c r="E398" s="2">
        <v>0.625</v>
      </c>
      <c r="F398" t="s">
        <v>120</v>
      </c>
    </row>
    <row r="399" spans="1:6" x14ac:dyDescent="0.3">
      <c r="A399" t="s">
        <v>137</v>
      </c>
      <c r="B399" t="s">
        <v>62</v>
      </c>
      <c r="C399" t="s">
        <v>24</v>
      </c>
      <c r="D399" s="2">
        <v>0.54166666666666696</v>
      </c>
      <c r="E399" s="2">
        <v>0.625</v>
      </c>
      <c r="F399" t="s">
        <v>120</v>
      </c>
    </row>
    <row r="400" spans="1:6" x14ac:dyDescent="0.3">
      <c r="A400" t="s">
        <v>137</v>
      </c>
      <c r="B400" t="s">
        <v>17</v>
      </c>
      <c r="C400" t="s">
        <v>55</v>
      </c>
      <c r="D400" s="2">
        <v>0.29166666666666669</v>
      </c>
      <c r="E400" s="2">
        <v>0.33333333333333331</v>
      </c>
      <c r="F400" t="s">
        <v>138</v>
      </c>
    </row>
    <row r="401" spans="1:6" x14ac:dyDescent="0.3">
      <c r="A401" t="s">
        <v>137</v>
      </c>
      <c r="B401" t="s">
        <v>14</v>
      </c>
      <c r="C401" t="s">
        <v>24</v>
      </c>
      <c r="D401" s="2">
        <v>0.625</v>
      </c>
      <c r="E401" s="2">
        <v>0.70833333333333304</v>
      </c>
      <c r="F401" t="s">
        <v>139</v>
      </c>
    </row>
    <row r="402" spans="1:6" x14ac:dyDescent="0.3">
      <c r="A402" t="s">
        <v>137</v>
      </c>
      <c r="B402" t="s">
        <v>17</v>
      </c>
      <c r="C402" t="s">
        <v>53</v>
      </c>
      <c r="D402" s="2">
        <v>0.625</v>
      </c>
      <c r="E402" s="2">
        <v>0.66666666666666696</v>
      </c>
      <c r="F402" t="s">
        <v>140</v>
      </c>
    </row>
    <row r="403" spans="1:6" x14ac:dyDescent="0.3">
      <c r="A403" t="s">
        <v>137</v>
      </c>
      <c r="B403" s="23" t="s">
        <v>50</v>
      </c>
      <c r="C403" s="23" t="s">
        <v>53</v>
      </c>
      <c r="D403" s="24">
        <v>0.70833333333333304</v>
      </c>
      <c r="E403" s="24">
        <v>0.79166666666666696</v>
      </c>
      <c r="F403" s="23" t="s">
        <v>141</v>
      </c>
    </row>
    <row r="404" spans="1:6" x14ac:dyDescent="0.3">
      <c r="A404" t="s">
        <v>137</v>
      </c>
      <c r="B404" s="23" t="s">
        <v>142</v>
      </c>
      <c r="C404" s="23" t="s">
        <v>53</v>
      </c>
      <c r="D404" s="24">
        <v>0.70833333333333304</v>
      </c>
      <c r="E404" s="24">
        <v>0.79166666666666696</v>
      </c>
      <c r="F404" s="23" t="s">
        <v>141</v>
      </c>
    </row>
    <row r="405" spans="1:6" x14ac:dyDescent="0.3">
      <c r="A405" t="s">
        <v>143</v>
      </c>
      <c r="B405" t="s">
        <v>85</v>
      </c>
      <c r="C405" t="s">
        <v>13</v>
      </c>
      <c r="D405" s="2"/>
      <c r="E405" s="2"/>
    </row>
    <row r="406" spans="1:6" x14ac:dyDescent="0.3">
      <c r="A406" t="s">
        <v>143</v>
      </c>
      <c r="B406" t="s">
        <v>48</v>
      </c>
      <c r="C406" t="s">
        <v>15</v>
      </c>
      <c r="D406" s="2"/>
      <c r="E406" s="2"/>
    </row>
    <row r="407" spans="1:6" x14ac:dyDescent="0.3">
      <c r="A407" t="s">
        <v>143</v>
      </c>
      <c r="B407" t="s">
        <v>72</v>
      </c>
      <c r="C407" t="s">
        <v>8</v>
      </c>
      <c r="D407" s="2"/>
      <c r="E407" s="2"/>
    </row>
    <row r="408" spans="1:6" x14ac:dyDescent="0.3">
      <c r="A408" t="s">
        <v>143</v>
      </c>
      <c r="B408" t="s">
        <v>96</v>
      </c>
      <c r="C408" t="s">
        <v>13</v>
      </c>
      <c r="D408" s="2"/>
      <c r="E408" s="2"/>
    </row>
    <row r="409" spans="1:6" x14ac:dyDescent="0.3">
      <c r="A409" t="s">
        <v>143</v>
      </c>
      <c r="B409" t="s">
        <v>40</v>
      </c>
      <c r="C409" t="s">
        <v>8</v>
      </c>
      <c r="D409" s="2"/>
      <c r="E409" s="2"/>
    </row>
    <row r="410" spans="1:6" x14ac:dyDescent="0.3">
      <c r="A410" t="s">
        <v>143</v>
      </c>
      <c r="B410" t="s">
        <v>7</v>
      </c>
      <c r="C410" t="s">
        <v>30</v>
      </c>
      <c r="D410" s="2"/>
      <c r="E410" s="2"/>
    </row>
    <row r="411" spans="1:6" x14ac:dyDescent="0.3">
      <c r="A411" t="s">
        <v>143</v>
      </c>
      <c r="B411" t="s">
        <v>29</v>
      </c>
      <c r="C411" t="s">
        <v>30</v>
      </c>
      <c r="D411" s="2"/>
      <c r="E411" s="2"/>
    </row>
    <row r="412" spans="1:6" x14ac:dyDescent="0.3">
      <c r="A412" t="s">
        <v>143</v>
      </c>
      <c r="B412" t="s">
        <v>23</v>
      </c>
      <c r="C412" t="s">
        <v>22</v>
      </c>
      <c r="D412" s="2">
        <v>0.54166666666666696</v>
      </c>
      <c r="E412" s="2">
        <v>0.79166666666666696</v>
      </c>
    </row>
    <row r="413" spans="1:6" x14ac:dyDescent="0.3">
      <c r="A413" t="s">
        <v>143</v>
      </c>
      <c r="B413" t="s">
        <v>9</v>
      </c>
      <c r="C413" t="s">
        <v>10</v>
      </c>
      <c r="D413" s="2"/>
      <c r="E413" s="2"/>
    </row>
    <row r="414" spans="1:6" x14ac:dyDescent="0.3">
      <c r="A414" t="s">
        <v>143</v>
      </c>
      <c r="B414" t="s">
        <v>36</v>
      </c>
      <c r="C414" t="s">
        <v>10</v>
      </c>
      <c r="D414" s="2"/>
      <c r="E414" s="2"/>
    </row>
    <row r="415" spans="1:6" x14ac:dyDescent="0.3">
      <c r="A415" t="s">
        <v>143</v>
      </c>
      <c r="B415" t="s">
        <v>109</v>
      </c>
      <c r="C415" t="s">
        <v>10</v>
      </c>
      <c r="D415" s="2"/>
      <c r="E415" s="2"/>
    </row>
    <row r="416" spans="1:6" x14ac:dyDescent="0.3">
      <c r="A416" t="s">
        <v>143</v>
      </c>
      <c r="B416" t="s">
        <v>98</v>
      </c>
      <c r="C416" t="s">
        <v>41</v>
      </c>
      <c r="D416" s="2"/>
      <c r="E416" s="2"/>
    </row>
    <row r="417" spans="1:6" x14ac:dyDescent="0.3">
      <c r="A417" t="s">
        <v>143</v>
      </c>
      <c r="B417" t="s">
        <v>59</v>
      </c>
      <c r="C417" t="s">
        <v>41</v>
      </c>
      <c r="D417" s="2"/>
      <c r="E417" s="2"/>
    </row>
    <row r="418" spans="1:6" x14ac:dyDescent="0.3">
      <c r="A418" t="s">
        <v>143</v>
      </c>
      <c r="B418" t="s">
        <v>17</v>
      </c>
      <c r="C418" t="s">
        <v>26</v>
      </c>
      <c r="D418" s="2">
        <v>0.29166666666666669</v>
      </c>
      <c r="E418" s="2">
        <v>0.41666666666666702</v>
      </c>
    </row>
    <row r="419" spans="1:6" x14ac:dyDescent="0.3">
      <c r="A419" t="s">
        <v>143</v>
      </c>
      <c r="B419" t="s">
        <v>21</v>
      </c>
      <c r="C419" t="s">
        <v>26</v>
      </c>
      <c r="D419" s="2">
        <v>0.66666666666666696</v>
      </c>
      <c r="E419" s="2">
        <v>0.79166666666666696</v>
      </c>
    </row>
    <row r="420" spans="1:6" x14ac:dyDescent="0.3">
      <c r="A420" t="s">
        <v>143</v>
      </c>
      <c r="B420" t="s">
        <v>21</v>
      </c>
      <c r="C420" t="s">
        <v>26</v>
      </c>
      <c r="D420" s="2">
        <v>0.79166666666666696</v>
      </c>
      <c r="E420" s="2">
        <v>0.91666666666666596</v>
      </c>
    </row>
    <row r="421" spans="1:6" x14ac:dyDescent="0.3">
      <c r="A421" t="s">
        <v>143</v>
      </c>
      <c r="B421" t="s">
        <v>142</v>
      </c>
      <c r="C421" t="s">
        <v>43</v>
      </c>
      <c r="D421" s="2"/>
      <c r="E421" s="2"/>
    </row>
    <row r="422" spans="1:6" x14ac:dyDescent="0.3">
      <c r="A422" t="s">
        <v>143</v>
      </c>
      <c r="B422" t="s">
        <v>23</v>
      </c>
      <c r="C422" t="s">
        <v>45</v>
      </c>
      <c r="D422" s="2"/>
      <c r="E422" s="2"/>
    </row>
    <row r="423" spans="1:6" x14ac:dyDescent="0.3">
      <c r="A423" t="s">
        <v>143</v>
      </c>
      <c r="B423" t="s">
        <v>16</v>
      </c>
      <c r="C423" t="s">
        <v>46</v>
      </c>
      <c r="D423" s="2"/>
      <c r="E423" s="2"/>
    </row>
    <row r="424" spans="1:6" x14ac:dyDescent="0.3">
      <c r="A424" t="s">
        <v>143</v>
      </c>
      <c r="B424" t="s">
        <v>72</v>
      </c>
      <c r="C424" t="s">
        <v>18</v>
      </c>
      <c r="D424" s="2"/>
      <c r="E424" s="2"/>
    </row>
    <row r="425" spans="1:6" x14ac:dyDescent="0.3">
      <c r="A425" t="s">
        <v>143</v>
      </c>
      <c r="B425" t="s">
        <v>48</v>
      </c>
      <c r="C425" t="s">
        <v>49</v>
      </c>
      <c r="D425" s="2"/>
      <c r="E425" s="2"/>
    </row>
    <row r="426" spans="1:6" x14ac:dyDescent="0.3">
      <c r="A426" t="s">
        <v>143</v>
      </c>
      <c r="B426" t="s">
        <v>75</v>
      </c>
      <c r="C426" t="s">
        <v>51</v>
      </c>
      <c r="D426" s="2"/>
      <c r="E426" s="2"/>
    </row>
    <row r="427" spans="1:6" x14ac:dyDescent="0.3">
      <c r="A427" t="s">
        <v>143</v>
      </c>
      <c r="B427" t="s">
        <v>50</v>
      </c>
      <c r="C427" t="s">
        <v>124</v>
      </c>
      <c r="D427" s="2">
        <v>0.79166666666666696</v>
      </c>
      <c r="E427" s="2">
        <v>0.83333333333333337</v>
      </c>
    </row>
    <row r="428" spans="1:6" x14ac:dyDescent="0.3">
      <c r="A428" t="s">
        <v>143</v>
      </c>
      <c r="B428" t="s">
        <v>47</v>
      </c>
      <c r="C428" t="s">
        <v>55</v>
      </c>
      <c r="D428" s="2">
        <v>0.29166666666666669</v>
      </c>
      <c r="E428" s="2">
        <v>0.33333333333333331</v>
      </c>
      <c r="F428" t="s">
        <v>144</v>
      </c>
    </row>
    <row r="429" spans="1:6" x14ac:dyDescent="0.3">
      <c r="A429" t="s">
        <v>143</v>
      </c>
      <c r="B429" t="s">
        <v>73</v>
      </c>
      <c r="C429" t="s">
        <v>55</v>
      </c>
      <c r="D429" s="2">
        <v>0.33333333333333331</v>
      </c>
      <c r="E429" s="2">
        <v>0.375</v>
      </c>
      <c r="F429" t="s">
        <v>145</v>
      </c>
    </row>
    <row r="430" spans="1:6" x14ac:dyDescent="0.3">
      <c r="A430" t="s">
        <v>143</v>
      </c>
      <c r="B430" s="23" t="s">
        <v>47</v>
      </c>
      <c r="C430" s="23" t="s">
        <v>55</v>
      </c>
      <c r="D430" s="24">
        <v>0.33333333333333331</v>
      </c>
      <c r="E430" s="24">
        <v>0.375</v>
      </c>
      <c r="F430" s="23" t="s">
        <v>145</v>
      </c>
    </row>
    <row r="431" spans="1:6" x14ac:dyDescent="0.3">
      <c r="A431" t="s">
        <v>143</v>
      </c>
      <c r="B431" s="23" t="s">
        <v>23</v>
      </c>
      <c r="C431" s="23" t="s">
        <v>53</v>
      </c>
      <c r="D431" s="24">
        <v>0.625</v>
      </c>
      <c r="E431" s="24">
        <v>0.70833333333333304</v>
      </c>
      <c r="F431" s="23" t="s">
        <v>146</v>
      </c>
    </row>
    <row r="432" spans="1:6" x14ac:dyDescent="0.3">
      <c r="A432" t="s">
        <v>143</v>
      </c>
      <c r="B432" s="23" t="s">
        <v>12</v>
      </c>
      <c r="C432" s="23" t="s">
        <v>53</v>
      </c>
      <c r="D432" s="24">
        <v>0.625</v>
      </c>
      <c r="E432" s="24">
        <v>0.70833333333333304</v>
      </c>
      <c r="F432" s="23" t="s">
        <v>146</v>
      </c>
    </row>
    <row r="433" spans="1:6" x14ac:dyDescent="0.3">
      <c r="A433" t="s">
        <v>143</v>
      </c>
      <c r="B433" s="23" t="s">
        <v>23</v>
      </c>
      <c r="C433" s="23" t="s">
        <v>53</v>
      </c>
      <c r="D433" s="24">
        <v>0.70833333333333304</v>
      </c>
      <c r="E433" s="24">
        <v>0.75</v>
      </c>
      <c r="F433" s="23" t="s">
        <v>147</v>
      </c>
    </row>
    <row r="434" spans="1:6" x14ac:dyDescent="0.3">
      <c r="A434" t="s">
        <v>143</v>
      </c>
      <c r="B434" s="23" t="s">
        <v>12</v>
      </c>
      <c r="C434" s="23" t="s">
        <v>53</v>
      </c>
      <c r="D434" s="24">
        <v>0.70833333333333304</v>
      </c>
      <c r="E434" s="24">
        <v>0.75</v>
      </c>
      <c r="F434" s="23" t="s">
        <v>147</v>
      </c>
    </row>
    <row r="435" spans="1:6" x14ac:dyDescent="0.3">
      <c r="A435" t="s">
        <v>148</v>
      </c>
      <c r="B435" t="s">
        <v>75</v>
      </c>
      <c r="C435" t="s">
        <v>13</v>
      </c>
      <c r="D435" s="2"/>
      <c r="E435" s="2"/>
    </row>
    <row r="436" spans="1:6" x14ac:dyDescent="0.3">
      <c r="A436" t="s">
        <v>148</v>
      </c>
      <c r="B436" t="s">
        <v>71</v>
      </c>
      <c r="C436" t="s">
        <v>15</v>
      </c>
      <c r="D436" s="2"/>
      <c r="E436" s="2"/>
    </row>
    <row r="437" spans="1:6" x14ac:dyDescent="0.3">
      <c r="A437" t="s">
        <v>148</v>
      </c>
      <c r="B437" t="s">
        <v>44</v>
      </c>
      <c r="C437" t="s">
        <v>8</v>
      </c>
      <c r="D437" s="2"/>
      <c r="E437" s="2"/>
    </row>
    <row r="438" spans="1:6" x14ac:dyDescent="0.3">
      <c r="A438" t="s">
        <v>148</v>
      </c>
      <c r="B438" t="s">
        <v>39</v>
      </c>
      <c r="C438" t="s">
        <v>13</v>
      </c>
      <c r="D438" s="2"/>
      <c r="E438" s="2"/>
    </row>
    <row r="439" spans="1:6" x14ac:dyDescent="0.3">
      <c r="A439" t="s">
        <v>148</v>
      </c>
      <c r="B439" t="s">
        <v>149</v>
      </c>
      <c r="C439" t="s">
        <v>8</v>
      </c>
      <c r="D439" s="2"/>
      <c r="E439" s="2"/>
    </row>
    <row r="440" spans="1:6" x14ac:dyDescent="0.3">
      <c r="A440" t="s">
        <v>148</v>
      </c>
      <c r="B440" t="s">
        <v>7</v>
      </c>
      <c r="C440" t="s">
        <v>30</v>
      </c>
      <c r="D440" s="2"/>
      <c r="E440" s="2"/>
    </row>
    <row r="441" spans="1:6" x14ac:dyDescent="0.3">
      <c r="A441" t="s">
        <v>148</v>
      </c>
      <c r="B441" t="s">
        <v>29</v>
      </c>
      <c r="C441" t="s">
        <v>30</v>
      </c>
      <c r="D441" s="2"/>
      <c r="E441" s="2"/>
    </row>
    <row r="442" spans="1:6" x14ac:dyDescent="0.3">
      <c r="A442" t="s">
        <v>148</v>
      </c>
      <c r="B442" t="s">
        <v>9</v>
      </c>
      <c r="C442" t="s">
        <v>10</v>
      </c>
      <c r="D442" s="2"/>
      <c r="E442" s="2"/>
    </row>
    <row r="443" spans="1:6" x14ac:dyDescent="0.3">
      <c r="A443" t="s">
        <v>148</v>
      </c>
      <c r="B443" t="s">
        <v>36</v>
      </c>
      <c r="C443" t="s">
        <v>10</v>
      </c>
      <c r="D443" s="2"/>
      <c r="E443" s="2"/>
    </row>
    <row r="444" spans="1:6" x14ac:dyDescent="0.3">
      <c r="A444" t="s">
        <v>148</v>
      </c>
      <c r="B444" t="s">
        <v>109</v>
      </c>
      <c r="C444" t="s">
        <v>10</v>
      </c>
      <c r="D444" s="2"/>
      <c r="E444" s="2"/>
    </row>
    <row r="445" spans="1:6" x14ac:dyDescent="0.3">
      <c r="A445" t="s">
        <v>148</v>
      </c>
      <c r="B445" t="s">
        <v>96</v>
      </c>
      <c r="C445" t="s">
        <v>41</v>
      </c>
      <c r="D445" s="2"/>
      <c r="E445" s="2"/>
    </row>
    <row r="446" spans="1:6" x14ac:dyDescent="0.3">
      <c r="A446" t="s">
        <v>148</v>
      </c>
      <c r="B446" t="s">
        <v>40</v>
      </c>
      <c r="C446" t="s">
        <v>41</v>
      </c>
      <c r="D446" s="2"/>
      <c r="E446" s="2"/>
    </row>
    <row r="447" spans="1:6" x14ac:dyDescent="0.3">
      <c r="A447" t="s">
        <v>148</v>
      </c>
      <c r="B447" t="s">
        <v>84</v>
      </c>
      <c r="C447" t="s">
        <v>26</v>
      </c>
      <c r="D447" s="2">
        <v>0.41666666666666702</v>
      </c>
      <c r="E447" s="2">
        <v>0.54166666666666696</v>
      </c>
    </row>
    <row r="448" spans="1:6" x14ac:dyDescent="0.3">
      <c r="A448" t="s">
        <v>148</v>
      </c>
      <c r="B448" t="s">
        <v>14</v>
      </c>
      <c r="C448" t="s">
        <v>26</v>
      </c>
      <c r="D448" s="2">
        <v>0.66666666666666696</v>
      </c>
      <c r="E448" s="2">
        <v>0.79166666666666696</v>
      </c>
    </row>
    <row r="449" spans="1:6" x14ac:dyDescent="0.3">
      <c r="A449" t="s">
        <v>148</v>
      </c>
      <c r="B449" t="s">
        <v>14</v>
      </c>
      <c r="C449" t="s">
        <v>26</v>
      </c>
      <c r="D449" s="2">
        <v>0.79166666666666696</v>
      </c>
      <c r="E449" s="2">
        <v>0.91666666666666596</v>
      </c>
    </row>
    <row r="450" spans="1:6" x14ac:dyDescent="0.3">
      <c r="A450" t="s">
        <v>148</v>
      </c>
      <c r="B450" t="s">
        <v>34</v>
      </c>
      <c r="C450" t="s">
        <v>26</v>
      </c>
      <c r="D450" s="2">
        <v>0.79166666666666696</v>
      </c>
      <c r="E450" s="2">
        <v>0.91666666666666596</v>
      </c>
    </row>
    <row r="451" spans="1:6" x14ac:dyDescent="0.3">
      <c r="A451" t="s">
        <v>148</v>
      </c>
      <c r="B451" t="s">
        <v>84</v>
      </c>
      <c r="C451" t="s">
        <v>43</v>
      </c>
      <c r="D451" s="2"/>
      <c r="E451" s="2"/>
    </row>
    <row r="452" spans="1:6" x14ac:dyDescent="0.3">
      <c r="A452" t="s">
        <v>148</v>
      </c>
      <c r="B452" t="s">
        <v>52</v>
      </c>
      <c r="C452" t="s">
        <v>45</v>
      </c>
      <c r="D452" s="2"/>
      <c r="E452" s="2"/>
    </row>
    <row r="453" spans="1:6" x14ac:dyDescent="0.3">
      <c r="A453" t="s">
        <v>148</v>
      </c>
      <c r="B453" t="s">
        <v>68</v>
      </c>
      <c r="C453" t="s">
        <v>46</v>
      </c>
      <c r="D453" s="2"/>
      <c r="E453" s="2"/>
    </row>
    <row r="454" spans="1:6" x14ac:dyDescent="0.3">
      <c r="A454" t="s">
        <v>148</v>
      </c>
      <c r="B454" t="s">
        <v>94</v>
      </c>
      <c r="C454" t="s">
        <v>18</v>
      </c>
      <c r="D454" s="2"/>
      <c r="E454" s="2"/>
    </row>
    <row r="455" spans="1:6" x14ac:dyDescent="0.3">
      <c r="A455" t="s">
        <v>148</v>
      </c>
      <c r="B455" t="s">
        <v>48</v>
      </c>
      <c r="C455" t="s">
        <v>49</v>
      </c>
      <c r="D455" s="2"/>
      <c r="E455" s="2"/>
    </row>
    <row r="456" spans="1:6" x14ac:dyDescent="0.3">
      <c r="A456" t="s">
        <v>148</v>
      </c>
      <c r="B456" t="s">
        <v>73</v>
      </c>
      <c r="C456" t="s">
        <v>51</v>
      </c>
      <c r="D456" s="2"/>
      <c r="E456" s="2"/>
    </row>
    <row r="457" spans="1:6" x14ac:dyDescent="0.3">
      <c r="A457" t="s">
        <v>148</v>
      </c>
      <c r="B457" t="s">
        <v>52</v>
      </c>
      <c r="C457" t="s">
        <v>55</v>
      </c>
      <c r="D457" s="2">
        <v>0.83333333333333337</v>
      </c>
      <c r="E457" s="2">
        <v>0.875</v>
      </c>
      <c r="F457" t="s">
        <v>150</v>
      </c>
    </row>
    <row r="458" spans="1:6" x14ac:dyDescent="0.3">
      <c r="A458" t="s">
        <v>148</v>
      </c>
      <c r="B458" t="s">
        <v>47</v>
      </c>
      <c r="C458" t="s">
        <v>53</v>
      </c>
      <c r="D458" s="2">
        <v>0.79166666666666696</v>
      </c>
      <c r="E458" s="2">
        <v>0.91666666666666596</v>
      </c>
      <c r="F458" t="s">
        <v>151</v>
      </c>
    </row>
    <row r="459" spans="1:6" x14ac:dyDescent="0.3">
      <c r="A459" t="s">
        <v>152</v>
      </c>
      <c r="B459" t="s">
        <v>94</v>
      </c>
      <c r="C459" t="s">
        <v>13</v>
      </c>
      <c r="D459" s="2"/>
      <c r="E459" s="2"/>
    </row>
    <row r="460" spans="1:6" x14ac:dyDescent="0.3">
      <c r="A460" t="s">
        <v>152</v>
      </c>
      <c r="B460" t="s">
        <v>68</v>
      </c>
      <c r="C460" t="s">
        <v>15</v>
      </c>
      <c r="D460" s="2"/>
      <c r="E460" s="2"/>
    </row>
    <row r="461" spans="1:6" x14ac:dyDescent="0.3">
      <c r="A461" t="s">
        <v>152</v>
      </c>
      <c r="B461" t="s">
        <v>84</v>
      </c>
      <c r="C461" t="s">
        <v>8</v>
      </c>
      <c r="D461" s="2"/>
      <c r="E461" s="2"/>
    </row>
    <row r="462" spans="1:6" x14ac:dyDescent="0.3">
      <c r="A462" t="s">
        <v>152</v>
      </c>
      <c r="B462" t="s">
        <v>60</v>
      </c>
      <c r="C462" t="s">
        <v>13</v>
      </c>
      <c r="D462" s="2"/>
      <c r="E462" s="2"/>
    </row>
    <row r="463" spans="1:6" x14ac:dyDescent="0.3">
      <c r="A463" t="s">
        <v>152</v>
      </c>
      <c r="B463" t="s">
        <v>97</v>
      </c>
      <c r="C463" t="s">
        <v>8</v>
      </c>
      <c r="D463" s="2"/>
      <c r="E463" s="2"/>
    </row>
    <row r="464" spans="1:6" x14ac:dyDescent="0.3">
      <c r="A464" t="s">
        <v>152</v>
      </c>
      <c r="B464" t="s">
        <v>7</v>
      </c>
      <c r="C464" t="s">
        <v>30</v>
      </c>
      <c r="D464" s="2"/>
      <c r="E464" s="2"/>
    </row>
    <row r="465" spans="1:6" x14ac:dyDescent="0.3">
      <c r="A465" t="s">
        <v>152</v>
      </c>
      <c r="B465" t="s">
        <v>29</v>
      </c>
      <c r="C465" t="s">
        <v>30</v>
      </c>
      <c r="D465" s="2"/>
      <c r="E465" s="2"/>
    </row>
    <row r="466" spans="1:6" x14ac:dyDescent="0.3">
      <c r="A466" t="s">
        <v>152</v>
      </c>
      <c r="B466" t="s">
        <v>20</v>
      </c>
      <c r="C466" t="s">
        <v>30</v>
      </c>
      <c r="D466" s="2"/>
      <c r="E466" s="2"/>
    </row>
    <row r="467" spans="1:6" x14ac:dyDescent="0.3">
      <c r="A467" t="s">
        <v>152</v>
      </c>
      <c r="B467" t="s">
        <v>9</v>
      </c>
      <c r="C467" t="s">
        <v>10</v>
      </c>
      <c r="D467" s="2"/>
      <c r="E467" s="2"/>
    </row>
    <row r="468" spans="1:6" x14ac:dyDescent="0.3">
      <c r="A468" t="s">
        <v>152</v>
      </c>
      <c r="B468" t="s">
        <v>36</v>
      </c>
      <c r="C468" t="s">
        <v>10</v>
      </c>
      <c r="D468" s="2"/>
      <c r="E468" s="2"/>
    </row>
    <row r="469" spans="1:6" x14ac:dyDescent="0.3">
      <c r="A469" t="s">
        <v>152</v>
      </c>
      <c r="B469" t="s">
        <v>109</v>
      </c>
      <c r="C469" t="s">
        <v>10</v>
      </c>
      <c r="D469" s="2"/>
      <c r="E469" s="2"/>
    </row>
    <row r="470" spans="1:6" x14ac:dyDescent="0.3">
      <c r="A470" t="s">
        <v>152</v>
      </c>
      <c r="B470" t="s">
        <v>39</v>
      </c>
      <c r="C470" t="s">
        <v>41</v>
      </c>
      <c r="D470" s="2"/>
      <c r="E470" s="2"/>
    </row>
    <row r="471" spans="1:6" x14ac:dyDescent="0.3">
      <c r="A471" t="s">
        <v>152</v>
      </c>
      <c r="B471" t="s">
        <v>149</v>
      </c>
      <c r="C471" t="s">
        <v>41</v>
      </c>
      <c r="D471" s="2"/>
      <c r="E471" s="2"/>
    </row>
    <row r="472" spans="1:6" x14ac:dyDescent="0.3">
      <c r="A472" t="s">
        <v>152</v>
      </c>
      <c r="B472" t="s">
        <v>12</v>
      </c>
      <c r="C472" t="s">
        <v>43</v>
      </c>
      <c r="D472" s="2"/>
      <c r="E472" s="2"/>
    </row>
    <row r="473" spans="1:6" x14ac:dyDescent="0.3">
      <c r="A473" t="s">
        <v>152</v>
      </c>
      <c r="B473" t="s">
        <v>52</v>
      </c>
      <c r="C473" t="s">
        <v>45</v>
      </c>
      <c r="D473" s="2"/>
      <c r="E473" s="2"/>
    </row>
    <row r="474" spans="1:6" x14ac:dyDescent="0.3">
      <c r="A474" t="s">
        <v>152</v>
      </c>
      <c r="B474" t="s">
        <v>14</v>
      </c>
      <c r="C474" t="s">
        <v>46</v>
      </c>
      <c r="D474" s="2"/>
      <c r="E474" s="2"/>
    </row>
    <row r="475" spans="1:6" x14ac:dyDescent="0.3">
      <c r="A475" t="s">
        <v>152</v>
      </c>
      <c r="B475" t="s">
        <v>63</v>
      </c>
      <c r="C475" t="s">
        <v>18</v>
      </c>
      <c r="D475" s="2"/>
      <c r="E475" s="2"/>
    </row>
    <row r="476" spans="1:6" x14ac:dyDescent="0.3">
      <c r="A476" t="s">
        <v>152</v>
      </c>
      <c r="B476" t="s">
        <v>85</v>
      </c>
      <c r="C476" t="s">
        <v>49</v>
      </c>
      <c r="D476" s="2"/>
      <c r="E476" s="2"/>
    </row>
    <row r="477" spans="1:6" x14ac:dyDescent="0.3">
      <c r="A477" t="s">
        <v>152</v>
      </c>
      <c r="B477" t="s">
        <v>34</v>
      </c>
      <c r="C477" t="s">
        <v>51</v>
      </c>
      <c r="D477" s="2"/>
      <c r="E477" s="2"/>
    </row>
    <row r="478" spans="1:6" x14ac:dyDescent="0.3">
      <c r="A478" t="s">
        <v>152</v>
      </c>
      <c r="B478" t="s">
        <v>75</v>
      </c>
      <c r="C478" t="s">
        <v>55</v>
      </c>
      <c r="D478" s="2">
        <v>0.83333333333333337</v>
      </c>
      <c r="E478" s="2">
        <v>0.875</v>
      </c>
      <c r="F478" t="s">
        <v>153</v>
      </c>
    </row>
    <row r="479" spans="1:6" x14ac:dyDescent="0.3">
      <c r="A479" t="s">
        <v>152</v>
      </c>
      <c r="B479" t="s">
        <v>73</v>
      </c>
      <c r="C479" t="s">
        <v>55</v>
      </c>
      <c r="D479" s="2">
        <v>0.70833333333333304</v>
      </c>
      <c r="E479" s="2">
        <v>0.75</v>
      </c>
      <c r="F479" t="s">
        <v>154</v>
      </c>
    </row>
    <row r="480" spans="1:6" x14ac:dyDescent="0.3">
      <c r="A480" t="s">
        <v>155</v>
      </c>
      <c r="B480" t="s">
        <v>72</v>
      </c>
      <c r="C480" t="s">
        <v>13</v>
      </c>
      <c r="D480" s="2"/>
      <c r="E480" s="2"/>
    </row>
    <row r="481" spans="1:5" x14ac:dyDescent="0.3">
      <c r="A481" t="s">
        <v>155</v>
      </c>
      <c r="B481" t="s">
        <v>47</v>
      </c>
      <c r="C481" t="s">
        <v>15</v>
      </c>
      <c r="D481" s="2"/>
      <c r="E481" s="2"/>
    </row>
    <row r="482" spans="1:5" x14ac:dyDescent="0.3">
      <c r="A482" t="s">
        <v>155</v>
      </c>
      <c r="B482" t="s">
        <v>94</v>
      </c>
      <c r="C482" t="s">
        <v>8</v>
      </c>
      <c r="D482" s="2"/>
      <c r="E482" s="2"/>
    </row>
    <row r="483" spans="1:5" x14ac:dyDescent="0.3">
      <c r="A483" t="s">
        <v>155</v>
      </c>
      <c r="B483" t="s">
        <v>69</v>
      </c>
      <c r="C483" t="s">
        <v>13</v>
      </c>
      <c r="D483" s="2"/>
      <c r="E483" s="2"/>
    </row>
    <row r="484" spans="1:5" x14ac:dyDescent="0.3">
      <c r="A484" t="s">
        <v>155</v>
      </c>
      <c r="B484" t="s">
        <v>57</v>
      </c>
      <c r="C484" t="s">
        <v>8</v>
      </c>
      <c r="D484" s="2"/>
      <c r="E484" s="2"/>
    </row>
    <row r="485" spans="1:5" x14ac:dyDescent="0.3">
      <c r="A485" t="s">
        <v>155</v>
      </c>
      <c r="B485" t="s">
        <v>7</v>
      </c>
      <c r="C485" t="s">
        <v>30</v>
      </c>
      <c r="D485" s="2"/>
      <c r="E485" s="2"/>
    </row>
    <row r="486" spans="1:5" x14ac:dyDescent="0.3">
      <c r="A486" t="s">
        <v>155</v>
      </c>
      <c r="B486" t="s">
        <v>29</v>
      </c>
      <c r="C486" t="s">
        <v>30</v>
      </c>
      <c r="D486" s="2"/>
      <c r="E486" s="2"/>
    </row>
    <row r="487" spans="1:5" x14ac:dyDescent="0.3">
      <c r="A487" t="s">
        <v>155</v>
      </c>
      <c r="B487" t="s">
        <v>75</v>
      </c>
      <c r="C487" t="s">
        <v>30</v>
      </c>
      <c r="D487" s="2"/>
      <c r="E487" s="2"/>
    </row>
    <row r="488" spans="1:5" x14ac:dyDescent="0.3">
      <c r="A488" t="s">
        <v>155</v>
      </c>
      <c r="B488" t="s">
        <v>9</v>
      </c>
      <c r="C488" t="s">
        <v>10</v>
      </c>
      <c r="D488" s="2"/>
      <c r="E488" s="2"/>
    </row>
    <row r="489" spans="1:5" x14ac:dyDescent="0.3">
      <c r="A489" t="s">
        <v>155</v>
      </c>
      <c r="B489" t="s">
        <v>36</v>
      </c>
      <c r="C489" t="s">
        <v>10</v>
      </c>
      <c r="D489" s="2"/>
      <c r="E489" s="2"/>
    </row>
    <row r="490" spans="1:5" x14ac:dyDescent="0.3">
      <c r="A490" t="s">
        <v>155</v>
      </c>
      <c r="B490" t="s">
        <v>98</v>
      </c>
      <c r="C490" t="s">
        <v>10</v>
      </c>
      <c r="D490" s="2"/>
      <c r="E490" s="2"/>
    </row>
    <row r="491" spans="1:5" x14ac:dyDescent="0.3">
      <c r="A491" t="s">
        <v>155</v>
      </c>
      <c r="B491" t="s">
        <v>60</v>
      </c>
      <c r="C491" t="s">
        <v>41</v>
      </c>
      <c r="D491" s="2"/>
      <c r="E491" s="2"/>
    </row>
    <row r="492" spans="1:5" x14ac:dyDescent="0.3">
      <c r="A492" t="s">
        <v>155</v>
      </c>
      <c r="B492" t="s">
        <v>97</v>
      </c>
      <c r="C492" t="s">
        <v>41</v>
      </c>
      <c r="D492" s="2"/>
      <c r="E492" s="2"/>
    </row>
    <row r="493" spans="1:5" x14ac:dyDescent="0.3">
      <c r="A493" t="s">
        <v>155</v>
      </c>
      <c r="B493" t="s">
        <v>48</v>
      </c>
      <c r="C493" t="s">
        <v>26</v>
      </c>
      <c r="D493" s="2">
        <v>0.66666666666666696</v>
      </c>
      <c r="E493" s="2">
        <v>0.79166666666666696</v>
      </c>
    </row>
    <row r="494" spans="1:5" x14ac:dyDescent="0.3">
      <c r="A494" t="s">
        <v>155</v>
      </c>
      <c r="B494" t="s">
        <v>48</v>
      </c>
      <c r="C494" t="s">
        <v>26</v>
      </c>
      <c r="D494" s="2">
        <v>0.79166666666666696</v>
      </c>
      <c r="E494" s="2">
        <v>0.91666666666666596</v>
      </c>
    </row>
    <row r="495" spans="1:5" x14ac:dyDescent="0.3">
      <c r="A495" t="s">
        <v>155</v>
      </c>
      <c r="B495" t="s">
        <v>71</v>
      </c>
      <c r="C495" t="s">
        <v>26</v>
      </c>
      <c r="D495" s="2">
        <v>0.79166666666666696</v>
      </c>
      <c r="E495" s="2">
        <v>0.91666666666666596</v>
      </c>
    </row>
    <row r="496" spans="1:5" x14ac:dyDescent="0.3">
      <c r="A496" t="s">
        <v>155</v>
      </c>
      <c r="B496" t="s">
        <v>37</v>
      </c>
      <c r="C496" t="s">
        <v>43</v>
      </c>
      <c r="D496" s="2"/>
      <c r="E496" s="2"/>
    </row>
    <row r="497" spans="1:6" x14ac:dyDescent="0.3">
      <c r="A497" t="s">
        <v>155</v>
      </c>
      <c r="B497" t="s">
        <v>52</v>
      </c>
      <c r="C497" t="s">
        <v>45</v>
      </c>
      <c r="D497" s="2"/>
      <c r="E497" s="2"/>
    </row>
    <row r="498" spans="1:6" x14ac:dyDescent="0.3">
      <c r="A498" t="s">
        <v>155</v>
      </c>
      <c r="B498" t="s">
        <v>14</v>
      </c>
      <c r="C498" t="s">
        <v>46</v>
      </c>
      <c r="D498" s="2"/>
      <c r="E498" s="2"/>
    </row>
    <row r="499" spans="1:6" x14ac:dyDescent="0.3">
      <c r="A499" t="s">
        <v>155</v>
      </c>
      <c r="B499" t="s">
        <v>47</v>
      </c>
      <c r="C499" t="s">
        <v>18</v>
      </c>
      <c r="D499" s="2"/>
      <c r="E499" s="2"/>
    </row>
    <row r="500" spans="1:6" x14ac:dyDescent="0.3">
      <c r="A500" t="s">
        <v>155</v>
      </c>
      <c r="B500" t="s">
        <v>48</v>
      </c>
      <c r="C500" t="s">
        <v>49</v>
      </c>
      <c r="D500" s="2"/>
      <c r="E500" s="2"/>
    </row>
    <row r="501" spans="1:6" x14ac:dyDescent="0.3">
      <c r="A501" t="s">
        <v>155</v>
      </c>
      <c r="B501" t="s">
        <v>17</v>
      </c>
      <c r="C501" t="s">
        <v>51</v>
      </c>
      <c r="D501" s="2"/>
      <c r="E501" s="2"/>
    </row>
    <row r="502" spans="1:6" x14ac:dyDescent="0.3">
      <c r="A502" t="s">
        <v>155</v>
      </c>
      <c r="B502" t="s">
        <v>25</v>
      </c>
      <c r="C502" t="s">
        <v>24</v>
      </c>
      <c r="D502" s="2">
        <v>0.75</v>
      </c>
      <c r="E502" s="2">
        <v>0.91666666666666596</v>
      </c>
      <c r="F502" t="s">
        <v>156</v>
      </c>
    </row>
    <row r="503" spans="1:6" x14ac:dyDescent="0.3">
      <c r="A503" t="s">
        <v>155</v>
      </c>
      <c r="B503" t="s">
        <v>12</v>
      </c>
      <c r="C503" t="s">
        <v>24</v>
      </c>
      <c r="D503" s="2">
        <v>0.75</v>
      </c>
      <c r="E503" s="2">
        <v>0.91666666666666596</v>
      </c>
      <c r="F503" t="s">
        <v>156</v>
      </c>
    </row>
    <row r="504" spans="1:6" x14ac:dyDescent="0.3">
      <c r="A504" t="s">
        <v>155</v>
      </c>
      <c r="B504" t="s">
        <v>84</v>
      </c>
      <c r="C504" t="s">
        <v>53</v>
      </c>
      <c r="D504" s="2">
        <v>0.70833333333333304</v>
      </c>
      <c r="E504" s="2">
        <v>0.75</v>
      </c>
      <c r="F504" t="s">
        <v>157</v>
      </c>
    </row>
    <row r="505" spans="1:6" x14ac:dyDescent="0.3">
      <c r="A505" t="s">
        <v>155</v>
      </c>
      <c r="B505" s="23" t="s">
        <v>23</v>
      </c>
      <c r="C505" s="23" t="s">
        <v>53</v>
      </c>
      <c r="D505" s="24">
        <v>0.70833333333333304</v>
      </c>
      <c r="E505" s="24">
        <v>0.75</v>
      </c>
      <c r="F505" s="23" t="s">
        <v>157</v>
      </c>
    </row>
    <row r="506" spans="1:6" x14ac:dyDescent="0.3">
      <c r="A506" t="s">
        <v>158</v>
      </c>
      <c r="B506" t="s">
        <v>142</v>
      </c>
      <c r="C506" t="s">
        <v>13</v>
      </c>
      <c r="D506" s="2"/>
      <c r="E506" s="2"/>
    </row>
    <row r="507" spans="1:6" x14ac:dyDescent="0.3">
      <c r="A507" t="s">
        <v>158</v>
      </c>
      <c r="B507" t="s">
        <v>85</v>
      </c>
      <c r="C507" t="s">
        <v>8</v>
      </c>
      <c r="D507" s="2"/>
      <c r="E507" s="2"/>
    </row>
    <row r="508" spans="1:6" x14ac:dyDescent="0.3">
      <c r="A508" t="s">
        <v>158</v>
      </c>
      <c r="B508" t="s">
        <v>34</v>
      </c>
      <c r="C508" t="s">
        <v>78</v>
      </c>
      <c r="D508" s="2"/>
      <c r="E508" s="2"/>
    </row>
    <row r="509" spans="1:6" x14ac:dyDescent="0.3">
      <c r="A509" t="s">
        <v>158</v>
      </c>
      <c r="B509" t="s">
        <v>83</v>
      </c>
      <c r="C509" t="s">
        <v>13</v>
      </c>
      <c r="D509" s="2"/>
      <c r="E509" s="2"/>
    </row>
    <row r="510" spans="1:6" x14ac:dyDescent="0.3">
      <c r="A510" t="s">
        <v>158</v>
      </c>
      <c r="B510" t="s">
        <v>109</v>
      </c>
      <c r="C510" t="s">
        <v>8</v>
      </c>
      <c r="D510" s="2"/>
      <c r="E510" s="2"/>
    </row>
    <row r="511" spans="1:6" x14ac:dyDescent="0.3">
      <c r="A511" t="s">
        <v>158</v>
      </c>
      <c r="B511" t="s">
        <v>27</v>
      </c>
      <c r="C511" t="s">
        <v>78</v>
      </c>
      <c r="D511" s="2"/>
      <c r="E511" s="2"/>
    </row>
    <row r="512" spans="1:6" x14ac:dyDescent="0.3">
      <c r="A512" t="s">
        <v>158</v>
      </c>
      <c r="B512" t="s">
        <v>9</v>
      </c>
      <c r="C512" t="s">
        <v>10</v>
      </c>
      <c r="D512" s="2"/>
      <c r="E512" s="2"/>
    </row>
    <row r="513" spans="1:6" x14ac:dyDescent="0.3">
      <c r="A513" t="s">
        <v>158</v>
      </c>
      <c r="B513" t="s">
        <v>36</v>
      </c>
      <c r="C513" t="s">
        <v>10</v>
      </c>
      <c r="D513" s="2"/>
      <c r="E513" s="2"/>
    </row>
    <row r="514" spans="1:6" x14ac:dyDescent="0.3">
      <c r="A514" t="s">
        <v>158</v>
      </c>
      <c r="B514" t="s">
        <v>98</v>
      </c>
      <c r="C514" t="s">
        <v>10</v>
      </c>
      <c r="D514" s="2"/>
      <c r="E514" s="2"/>
    </row>
    <row r="515" spans="1:6" x14ac:dyDescent="0.3">
      <c r="A515" t="s">
        <v>158</v>
      </c>
      <c r="B515" t="s">
        <v>12</v>
      </c>
      <c r="C515" t="s">
        <v>24</v>
      </c>
      <c r="D515" s="2">
        <v>0.33333333333333331</v>
      </c>
      <c r="E515" s="2">
        <v>0.5</v>
      </c>
      <c r="F515" t="s">
        <v>159</v>
      </c>
    </row>
    <row r="516" spans="1:6" x14ac:dyDescent="0.3">
      <c r="A516" t="s">
        <v>160</v>
      </c>
      <c r="B516" t="s">
        <v>34</v>
      </c>
      <c r="C516" t="s">
        <v>13</v>
      </c>
      <c r="D516" s="2"/>
      <c r="E516" s="2"/>
    </row>
    <row r="517" spans="1:6" x14ac:dyDescent="0.3">
      <c r="A517" t="s">
        <v>160</v>
      </c>
      <c r="B517" t="s">
        <v>142</v>
      </c>
      <c r="C517" t="s">
        <v>8</v>
      </c>
      <c r="D517" s="2"/>
      <c r="E517" s="2"/>
    </row>
    <row r="518" spans="1:6" x14ac:dyDescent="0.3">
      <c r="A518" t="s">
        <v>160</v>
      </c>
      <c r="B518" t="s">
        <v>85</v>
      </c>
      <c r="C518" t="s">
        <v>78</v>
      </c>
      <c r="D518" s="2"/>
      <c r="E518" s="2"/>
    </row>
    <row r="519" spans="1:6" x14ac:dyDescent="0.3">
      <c r="A519" t="s">
        <v>160</v>
      </c>
      <c r="B519" t="s">
        <v>83</v>
      </c>
      <c r="C519" t="s">
        <v>13</v>
      </c>
      <c r="D519" s="2"/>
      <c r="E519" s="2"/>
    </row>
    <row r="520" spans="1:6" x14ac:dyDescent="0.3">
      <c r="A520" t="s">
        <v>160</v>
      </c>
      <c r="B520" t="s">
        <v>109</v>
      </c>
      <c r="C520" t="s">
        <v>8</v>
      </c>
      <c r="D520" s="2"/>
      <c r="E520" s="2"/>
    </row>
    <row r="521" spans="1:6" x14ac:dyDescent="0.3">
      <c r="A521" t="s">
        <v>160</v>
      </c>
      <c r="B521" t="s">
        <v>27</v>
      </c>
      <c r="C521" t="s">
        <v>78</v>
      </c>
      <c r="D521" s="2"/>
      <c r="E521" s="2"/>
    </row>
    <row r="522" spans="1:6" x14ac:dyDescent="0.3">
      <c r="A522" t="s">
        <v>161</v>
      </c>
      <c r="B522" t="s">
        <v>52</v>
      </c>
      <c r="C522" t="s">
        <v>13</v>
      </c>
      <c r="D522" s="2"/>
      <c r="E522" s="2"/>
    </row>
    <row r="523" spans="1:6" x14ac:dyDescent="0.3">
      <c r="A523" t="s">
        <v>161</v>
      </c>
      <c r="B523" t="s">
        <v>63</v>
      </c>
      <c r="C523" t="s">
        <v>15</v>
      </c>
      <c r="D523" s="2"/>
      <c r="E523" s="2"/>
    </row>
    <row r="524" spans="1:6" x14ac:dyDescent="0.3">
      <c r="A524" t="s">
        <v>161</v>
      </c>
      <c r="B524" t="s">
        <v>29</v>
      </c>
      <c r="C524" t="s">
        <v>8</v>
      </c>
      <c r="D524" s="2"/>
      <c r="E524" s="2"/>
    </row>
    <row r="525" spans="1:6" x14ac:dyDescent="0.3">
      <c r="A525" t="s">
        <v>161</v>
      </c>
      <c r="B525" t="s">
        <v>69</v>
      </c>
      <c r="C525" t="s">
        <v>13</v>
      </c>
      <c r="D525" s="2"/>
      <c r="E525" s="2"/>
    </row>
    <row r="526" spans="1:6" x14ac:dyDescent="0.3">
      <c r="A526" t="s">
        <v>161</v>
      </c>
      <c r="B526" t="s">
        <v>80</v>
      </c>
      <c r="C526" t="s">
        <v>8</v>
      </c>
      <c r="D526" s="2"/>
      <c r="E526" s="2"/>
    </row>
    <row r="527" spans="1:6" x14ac:dyDescent="0.3">
      <c r="A527" t="s">
        <v>161</v>
      </c>
      <c r="B527" t="s">
        <v>37</v>
      </c>
      <c r="C527" t="s">
        <v>30</v>
      </c>
      <c r="D527" s="2"/>
      <c r="E527" s="2"/>
    </row>
    <row r="528" spans="1:6" x14ac:dyDescent="0.3">
      <c r="A528" t="s">
        <v>161</v>
      </c>
      <c r="B528" t="s">
        <v>9</v>
      </c>
      <c r="C528" t="s">
        <v>10</v>
      </c>
      <c r="D528" s="2"/>
      <c r="E528" s="2"/>
    </row>
    <row r="529" spans="1:6" x14ac:dyDescent="0.3">
      <c r="A529" t="s">
        <v>161</v>
      </c>
      <c r="B529" t="s">
        <v>36</v>
      </c>
      <c r="C529" t="s">
        <v>10</v>
      </c>
      <c r="D529" s="2"/>
      <c r="E529" s="2"/>
    </row>
    <row r="530" spans="1:6" x14ac:dyDescent="0.3">
      <c r="A530" t="s">
        <v>161</v>
      </c>
      <c r="B530" t="s">
        <v>98</v>
      </c>
      <c r="C530" t="s">
        <v>10</v>
      </c>
      <c r="D530" s="2"/>
      <c r="E530" s="2"/>
    </row>
    <row r="531" spans="1:6" x14ac:dyDescent="0.3">
      <c r="A531" t="s">
        <v>161</v>
      </c>
      <c r="B531" t="s">
        <v>83</v>
      </c>
      <c r="C531" t="s">
        <v>41</v>
      </c>
      <c r="D531" s="2"/>
      <c r="E531" s="2"/>
    </row>
    <row r="532" spans="1:6" x14ac:dyDescent="0.3">
      <c r="A532" t="s">
        <v>161</v>
      </c>
      <c r="B532" t="s">
        <v>109</v>
      </c>
      <c r="C532" t="s">
        <v>41</v>
      </c>
      <c r="D532" s="2"/>
      <c r="E532" s="2"/>
    </row>
    <row r="533" spans="1:6" x14ac:dyDescent="0.3">
      <c r="A533" t="s">
        <v>161</v>
      </c>
      <c r="B533" t="s">
        <v>27</v>
      </c>
      <c r="C533" t="s">
        <v>41</v>
      </c>
      <c r="D533" s="2"/>
      <c r="E533" s="2"/>
    </row>
    <row r="534" spans="1:6" x14ac:dyDescent="0.3">
      <c r="A534" t="s">
        <v>161</v>
      </c>
      <c r="B534" t="s">
        <v>73</v>
      </c>
      <c r="C534" t="s">
        <v>26</v>
      </c>
      <c r="D534" s="2">
        <v>0.29166666666666669</v>
      </c>
      <c r="E534" s="2">
        <v>0.41666666666666702</v>
      </c>
    </row>
    <row r="535" spans="1:6" x14ac:dyDescent="0.3">
      <c r="A535" t="s">
        <v>161</v>
      </c>
      <c r="B535" t="s">
        <v>29</v>
      </c>
      <c r="C535" t="s">
        <v>43</v>
      </c>
      <c r="D535" s="2"/>
      <c r="E535" s="2"/>
    </row>
    <row r="536" spans="1:6" x14ac:dyDescent="0.3">
      <c r="A536" t="s">
        <v>161</v>
      </c>
      <c r="B536" t="s">
        <v>66</v>
      </c>
      <c r="C536" t="s">
        <v>45</v>
      </c>
      <c r="D536" s="2"/>
      <c r="E536" s="2"/>
    </row>
    <row r="537" spans="1:6" x14ac:dyDescent="0.3">
      <c r="A537" t="s">
        <v>161</v>
      </c>
      <c r="B537" t="s">
        <v>21</v>
      </c>
      <c r="C537" t="s">
        <v>46</v>
      </c>
      <c r="D537" s="2"/>
      <c r="E537" s="2"/>
    </row>
    <row r="538" spans="1:6" x14ac:dyDescent="0.3">
      <c r="A538" t="s">
        <v>161</v>
      </c>
      <c r="B538" t="s">
        <v>47</v>
      </c>
      <c r="C538" t="s">
        <v>18</v>
      </c>
      <c r="D538" s="2"/>
      <c r="E538" s="2"/>
    </row>
    <row r="539" spans="1:6" x14ac:dyDescent="0.3">
      <c r="A539" t="s">
        <v>161</v>
      </c>
      <c r="B539" t="s">
        <v>85</v>
      </c>
      <c r="C539" t="s">
        <v>49</v>
      </c>
      <c r="D539" s="2"/>
      <c r="E539" s="2"/>
    </row>
    <row r="540" spans="1:6" x14ac:dyDescent="0.3">
      <c r="A540" t="s">
        <v>161</v>
      </c>
      <c r="B540" t="s">
        <v>50</v>
      </c>
      <c r="C540" t="s">
        <v>51</v>
      </c>
      <c r="D540" s="2"/>
      <c r="E540" s="2"/>
    </row>
    <row r="541" spans="1:6" x14ac:dyDescent="0.3">
      <c r="A541" t="s">
        <v>161</v>
      </c>
      <c r="B541" t="s">
        <v>109</v>
      </c>
      <c r="C541" t="s">
        <v>24</v>
      </c>
      <c r="D541" s="2">
        <v>0.54166666666666696</v>
      </c>
      <c r="E541" s="2">
        <v>0.625</v>
      </c>
      <c r="F541" t="s">
        <v>120</v>
      </c>
    </row>
    <row r="542" spans="1:6" x14ac:dyDescent="0.3">
      <c r="A542" t="s">
        <v>161</v>
      </c>
      <c r="B542" t="s">
        <v>83</v>
      </c>
      <c r="C542" t="s">
        <v>24</v>
      </c>
      <c r="D542" s="2">
        <v>0.54166666666666696</v>
      </c>
      <c r="E542" s="2">
        <v>0.625</v>
      </c>
      <c r="F542" t="s">
        <v>120</v>
      </c>
    </row>
    <row r="543" spans="1:6" x14ac:dyDescent="0.3">
      <c r="A543" t="s">
        <v>161</v>
      </c>
      <c r="B543" t="s">
        <v>12</v>
      </c>
      <c r="C543" t="s">
        <v>53</v>
      </c>
      <c r="D543" s="2">
        <v>0.41666666666666702</v>
      </c>
      <c r="E543" s="2">
        <v>0.45833333333333398</v>
      </c>
      <c r="F543" t="s">
        <v>162</v>
      </c>
    </row>
    <row r="544" spans="1:6" x14ac:dyDescent="0.3">
      <c r="A544" t="s">
        <v>161</v>
      </c>
      <c r="B544" t="s">
        <v>12</v>
      </c>
      <c r="C544" t="s">
        <v>55</v>
      </c>
      <c r="D544" s="2">
        <v>0.29166666666666669</v>
      </c>
      <c r="E544" s="2">
        <v>0.33333333333333331</v>
      </c>
      <c r="F544" t="s">
        <v>163</v>
      </c>
    </row>
    <row r="545" spans="1:6" x14ac:dyDescent="0.3">
      <c r="A545" t="s">
        <v>161</v>
      </c>
      <c r="B545" t="s">
        <v>84</v>
      </c>
      <c r="C545" t="s">
        <v>53</v>
      </c>
      <c r="D545" s="2">
        <v>0.70833333333333304</v>
      </c>
      <c r="E545" s="2">
        <v>0.75</v>
      </c>
      <c r="F545" t="s">
        <v>164</v>
      </c>
    </row>
    <row r="546" spans="1:6" x14ac:dyDescent="0.3">
      <c r="A546" t="s">
        <v>161</v>
      </c>
      <c r="B546" t="s">
        <v>50</v>
      </c>
      <c r="C546" t="s">
        <v>53</v>
      </c>
      <c r="D546" s="2">
        <v>0.70833333333333304</v>
      </c>
      <c r="E546" s="2">
        <v>0.75</v>
      </c>
      <c r="F546" t="s">
        <v>164</v>
      </c>
    </row>
    <row r="547" spans="1:6" x14ac:dyDescent="0.3">
      <c r="A547" t="s">
        <v>161</v>
      </c>
      <c r="B547" s="23" t="s">
        <v>63</v>
      </c>
      <c r="C547" s="23" t="s">
        <v>55</v>
      </c>
      <c r="D547" s="24">
        <v>0.75</v>
      </c>
      <c r="E547" s="24">
        <v>0.79166666666666696</v>
      </c>
      <c r="F547" s="23" t="s">
        <v>165</v>
      </c>
    </row>
    <row r="548" spans="1:6" x14ac:dyDescent="0.3">
      <c r="A548" t="s">
        <v>166</v>
      </c>
      <c r="B548" t="s">
        <v>73</v>
      </c>
      <c r="C548" t="s">
        <v>13</v>
      </c>
      <c r="D548" s="2"/>
      <c r="E548" s="2"/>
    </row>
    <row r="549" spans="1:6" x14ac:dyDescent="0.3">
      <c r="A549" t="s">
        <v>166</v>
      </c>
      <c r="B549" t="s">
        <v>66</v>
      </c>
      <c r="C549" t="s">
        <v>15</v>
      </c>
      <c r="D549" s="2"/>
      <c r="E549" s="2"/>
    </row>
    <row r="550" spans="1:6" x14ac:dyDescent="0.3">
      <c r="A550" t="s">
        <v>166</v>
      </c>
      <c r="B550" t="s">
        <v>85</v>
      </c>
      <c r="C550" t="s">
        <v>8</v>
      </c>
      <c r="D550" s="2"/>
      <c r="E550" s="2"/>
    </row>
    <row r="551" spans="1:6" x14ac:dyDescent="0.3">
      <c r="A551" t="s">
        <v>166</v>
      </c>
      <c r="B551" t="s">
        <v>149</v>
      </c>
      <c r="C551" t="s">
        <v>13</v>
      </c>
      <c r="D551" s="2"/>
      <c r="E551" s="2"/>
    </row>
    <row r="552" spans="1:6" x14ac:dyDescent="0.3">
      <c r="A552" t="s">
        <v>166</v>
      </c>
      <c r="B552" t="s">
        <v>35</v>
      </c>
      <c r="C552" t="s">
        <v>8</v>
      </c>
      <c r="D552" s="2"/>
      <c r="E552" s="2"/>
    </row>
    <row r="553" spans="1:6" x14ac:dyDescent="0.3">
      <c r="A553" t="s">
        <v>166</v>
      </c>
      <c r="B553" t="s">
        <v>9</v>
      </c>
      <c r="C553" t="s">
        <v>10</v>
      </c>
      <c r="D553" s="2"/>
      <c r="E553" s="2"/>
    </row>
    <row r="554" spans="1:6" x14ac:dyDescent="0.3">
      <c r="A554" t="s">
        <v>166</v>
      </c>
      <c r="B554" t="s">
        <v>36</v>
      </c>
      <c r="C554" t="s">
        <v>10</v>
      </c>
      <c r="D554" s="2"/>
      <c r="E554" s="2"/>
    </row>
    <row r="555" spans="1:6" x14ac:dyDescent="0.3">
      <c r="A555" t="s">
        <v>166</v>
      </c>
      <c r="B555" t="s">
        <v>98</v>
      </c>
      <c r="C555" t="s">
        <v>10</v>
      </c>
      <c r="D555" s="2"/>
      <c r="E555" s="2"/>
    </row>
    <row r="556" spans="1:6" x14ac:dyDescent="0.3">
      <c r="A556" t="s">
        <v>166</v>
      </c>
      <c r="B556" t="s">
        <v>69</v>
      </c>
      <c r="C556" t="s">
        <v>41</v>
      </c>
      <c r="D556" s="2"/>
      <c r="E556" s="2"/>
    </row>
    <row r="557" spans="1:6" x14ac:dyDescent="0.3">
      <c r="A557" t="s">
        <v>166</v>
      </c>
      <c r="B557" t="s">
        <v>80</v>
      </c>
      <c r="C557" t="s">
        <v>41</v>
      </c>
      <c r="D557" s="2"/>
      <c r="E557" s="2"/>
    </row>
    <row r="558" spans="1:6" x14ac:dyDescent="0.3">
      <c r="A558" t="s">
        <v>166</v>
      </c>
      <c r="B558" t="s">
        <v>16</v>
      </c>
      <c r="C558" t="s">
        <v>26</v>
      </c>
      <c r="D558" s="2">
        <v>0.66666666666666696</v>
      </c>
      <c r="E558" s="2">
        <v>0.79166666666666696</v>
      </c>
    </row>
    <row r="559" spans="1:6" x14ac:dyDescent="0.3">
      <c r="A559" t="s">
        <v>166</v>
      </c>
      <c r="B559" t="s">
        <v>16</v>
      </c>
      <c r="C559" t="s">
        <v>26</v>
      </c>
      <c r="D559" s="2">
        <v>0.79166666666666696</v>
      </c>
      <c r="E559" s="2">
        <v>0.91666666666666596</v>
      </c>
    </row>
    <row r="560" spans="1:6" x14ac:dyDescent="0.3">
      <c r="A560" t="s">
        <v>166</v>
      </c>
      <c r="B560" t="s">
        <v>33</v>
      </c>
      <c r="C560" t="s">
        <v>43</v>
      </c>
      <c r="D560" s="2"/>
      <c r="E560" s="2"/>
    </row>
    <row r="561" spans="1:6" x14ac:dyDescent="0.3">
      <c r="A561" t="s">
        <v>166</v>
      </c>
      <c r="B561" t="s">
        <v>66</v>
      </c>
      <c r="C561" t="s">
        <v>45</v>
      </c>
      <c r="D561" s="2"/>
      <c r="E561" s="2"/>
    </row>
    <row r="562" spans="1:6" x14ac:dyDescent="0.3">
      <c r="A562" t="s">
        <v>166</v>
      </c>
      <c r="B562" t="s">
        <v>16</v>
      </c>
      <c r="C562" t="s">
        <v>46</v>
      </c>
      <c r="D562" s="2"/>
      <c r="E562" s="2"/>
    </row>
    <row r="563" spans="1:6" x14ac:dyDescent="0.3">
      <c r="A563" t="s">
        <v>166</v>
      </c>
      <c r="B563" t="s">
        <v>94</v>
      </c>
      <c r="C563" t="s">
        <v>18</v>
      </c>
      <c r="D563" s="2"/>
      <c r="E563" s="2"/>
    </row>
    <row r="564" spans="1:6" x14ac:dyDescent="0.3">
      <c r="A564" t="s">
        <v>166</v>
      </c>
      <c r="B564" t="s">
        <v>85</v>
      </c>
      <c r="C564" t="s">
        <v>49</v>
      </c>
      <c r="D564" s="2"/>
      <c r="E564" s="2"/>
    </row>
    <row r="565" spans="1:6" x14ac:dyDescent="0.3">
      <c r="A565" t="s">
        <v>166</v>
      </c>
      <c r="B565" t="s">
        <v>75</v>
      </c>
      <c r="C565" t="s">
        <v>51</v>
      </c>
      <c r="D565" s="2"/>
      <c r="E565" s="2"/>
    </row>
    <row r="566" spans="1:6" x14ac:dyDescent="0.3">
      <c r="A566" t="s">
        <v>166</v>
      </c>
      <c r="B566" t="s">
        <v>64</v>
      </c>
      <c r="C566" t="s">
        <v>124</v>
      </c>
      <c r="D566" s="2">
        <v>0.83333333333333337</v>
      </c>
      <c r="E566" s="2">
        <v>0.875</v>
      </c>
      <c r="F566" t="s">
        <v>167</v>
      </c>
    </row>
    <row r="567" spans="1:6" x14ac:dyDescent="0.3">
      <c r="A567" t="s">
        <v>166</v>
      </c>
      <c r="B567" t="s">
        <v>29</v>
      </c>
      <c r="C567" t="s">
        <v>53</v>
      </c>
      <c r="D567" s="2">
        <v>0.66666666666666696</v>
      </c>
      <c r="E567" s="2">
        <v>0.70833333333333304</v>
      </c>
      <c r="F567" t="s">
        <v>168</v>
      </c>
    </row>
    <row r="568" spans="1:6" x14ac:dyDescent="0.3">
      <c r="A568" t="s">
        <v>166</v>
      </c>
      <c r="B568" t="s">
        <v>50</v>
      </c>
      <c r="C568" t="s">
        <v>55</v>
      </c>
      <c r="D568" s="2">
        <v>0.29166666666666669</v>
      </c>
      <c r="E568" s="2">
        <v>0.33333333333333331</v>
      </c>
      <c r="F568" t="s">
        <v>169</v>
      </c>
    </row>
    <row r="569" spans="1:6" x14ac:dyDescent="0.3">
      <c r="A569" t="s">
        <v>166</v>
      </c>
      <c r="B569" t="s">
        <v>50</v>
      </c>
      <c r="C569" t="s">
        <v>53</v>
      </c>
      <c r="D569" s="2">
        <v>0.70833333333333304</v>
      </c>
      <c r="E569" s="2">
        <v>0.75</v>
      </c>
      <c r="F569" t="s">
        <v>141</v>
      </c>
    </row>
    <row r="570" spans="1:6" x14ac:dyDescent="0.3">
      <c r="A570" t="s">
        <v>166</v>
      </c>
      <c r="B570" t="s">
        <v>142</v>
      </c>
      <c r="C570" t="s">
        <v>53</v>
      </c>
      <c r="D570" s="2">
        <v>0.70833333333333304</v>
      </c>
      <c r="E570" s="2">
        <v>0.75</v>
      </c>
      <c r="F570" t="s">
        <v>141</v>
      </c>
    </row>
    <row r="571" spans="1:6" x14ac:dyDescent="0.3">
      <c r="A571" t="s">
        <v>166</v>
      </c>
      <c r="B571" t="s">
        <v>66</v>
      </c>
      <c r="C571" t="s">
        <v>53</v>
      </c>
      <c r="D571" s="2">
        <v>0.70833333333333304</v>
      </c>
      <c r="E571" s="2">
        <v>0.75</v>
      </c>
      <c r="F571" t="s">
        <v>141</v>
      </c>
    </row>
    <row r="572" spans="1:6" x14ac:dyDescent="0.3">
      <c r="A572" t="s">
        <v>170</v>
      </c>
      <c r="B572" t="s">
        <v>37</v>
      </c>
      <c r="C572" t="s">
        <v>13</v>
      </c>
      <c r="D572" s="2"/>
      <c r="E572" s="2"/>
    </row>
    <row r="573" spans="1:6" x14ac:dyDescent="0.3">
      <c r="A573" t="s">
        <v>170</v>
      </c>
      <c r="B573" t="s">
        <v>72</v>
      </c>
      <c r="C573" t="s">
        <v>15</v>
      </c>
      <c r="D573" s="2"/>
      <c r="E573" s="2"/>
    </row>
    <row r="574" spans="1:6" x14ac:dyDescent="0.3">
      <c r="A574" t="s">
        <v>170</v>
      </c>
      <c r="B574" t="s">
        <v>63</v>
      </c>
      <c r="C574" t="s">
        <v>8</v>
      </c>
      <c r="D574" s="2"/>
      <c r="E574" s="2"/>
    </row>
    <row r="575" spans="1:6" x14ac:dyDescent="0.3">
      <c r="A575" t="s">
        <v>170</v>
      </c>
      <c r="B575" t="s">
        <v>112</v>
      </c>
      <c r="C575" t="s">
        <v>13</v>
      </c>
      <c r="D575" s="2"/>
      <c r="E575" s="2"/>
    </row>
    <row r="576" spans="1:6" x14ac:dyDescent="0.3">
      <c r="A576" t="s">
        <v>170</v>
      </c>
      <c r="B576" t="s">
        <v>63</v>
      </c>
      <c r="C576" t="s">
        <v>8</v>
      </c>
      <c r="D576" s="2"/>
      <c r="E576" s="2"/>
    </row>
    <row r="577" spans="1:6" x14ac:dyDescent="0.3">
      <c r="A577" t="s">
        <v>170</v>
      </c>
      <c r="B577" t="s">
        <v>64</v>
      </c>
      <c r="C577" t="s">
        <v>30</v>
      </c>
      <c r="D577" s="2"/>
      <c r="E577" s="2"/>
    </row>
    <row r="578" spans="1:6" x14ac:dyDescent="0.3">
      <c r="A578" t="s">
        <v>170</v>
      </c>
      <c r="B578" t="s">
        <v>9</v>
      </c>
      <c r="C578" t="s">
        <v>10</v>
      </c>
      <c r="D578" s="2"/>
      <c r="E578" s="2"/>
    </row>
    <row r="579" spans="1:6" x14ac:dyDescent="0.3">
      <c r="A579" t="s">
        <v>170</v>
      </c>
      <c r="B579" t="s">
        <v>36</v>
      </c>
      <c r="C579" t="s">
        <v>10</v>
      </c>
      <c r="D579" s="2"/>
      <c r="E579" s="2"/>
    </row>
    <row r="580" spans="1:6" x14ac:dyDescent="0.3">
      <c r="A580" t="s">
        <v>170</v>
      </c>
      <c r="B580" t="s">
        <v>98</v>
      </c>
      <c r="C580" t="s">
        <v>10</v>
      </c>
      <c r="D580" s="2"/>
      <c r="E580" s="2"/>
    </row>
    <row r="581" spans="1:6" x14ac:dyDescent="0.3">
      <c r="A581" t="s">
        <v>170</v>
      </c>
      <c r="B581" t="s">
        <v>149</v>
      </c>
      <c r="C581" t="s">
        <v>41</v>
      </c>
      <c r="D581" s="2"/>
      <c r="E581" s="2"/>
    </row>
    <row r="582" spans="1:6" x14ac:dyDescent="0.3">
      <c r="A582" t="s">
        <v>170</v>
      </c>
      <c r="B582" t="s">
        <v>35</v>
      </c>
      <c r="C582" t="s">
        <v>41</v>
      </c>
      <c r="D582" s="2"/>
      <c r="E582" s="2"/>
    </row>
    <row r="583" spans="1:6" x14ac:dyDescent="0.3">
      <c r="A583" t="s">
        <v>170</v>
      </c>
      <c r="B583" t="s">
        <v>34</v>
      </c>
      <c r="C583" t="s">
        <v>26</v>
      </c>
      <c r="D583" s="2">
        <v>0.79166666666666696</v>
      </c>
      <c r="E583" s="2">
        <v>0.91666666666666596</v>
      </c>
    </row>
    <row r="584" spans="1:6" x14ac:dyDescent="0.3">
      <c r="A584" t="s">
        <v>170</v>
      </c>
      <c r="B584" t="s">
        <v>71</v>
      </c>
      <c r="C584" t="s">
        <v>26</v>
      </c>
      <c r="D584" s="2">
        <v>0.79166666666666696</v>
      </c>
      <c r="E584" s="2">
        <v>0.91666666666666596</v>
      </c>
    </row>
    <row r="585" spans="1:6" x14ac:dyDescent="0.3">
      <c r="A585" t="s">
        <v>170</v>
      </c>
      <c r="B585" t="s">
        <v>48</v>
      </c>
      <c r="C585" t="s">
        <v>26</v>
      </c>
      <c r="D585" s="2">
        <v>0.79166666666666696</v>
      </c>
      <c r="E585" s="2">
        <v>0.91666666666666596</v>
      </c>
    </row>
    <row r="586" spans="1:6" x14ac:dyDescent="0.3">
      <c r="A586" t="s">
        <v>170</v>
      </c>
      <c r="B586" t="s">
        <v>64</v>
      </c>
      <c r="C586" t="s">
        <v>43</v>
      </c>
      <c r="D586" s="2"/>
      <c r="E586" s="2"/>
    </row>
    <row r="587" spans="1:6" x14ac:dyDescent="0.3">
      <c r="A587" t="s">
        <v>170</v>
      </c>
      <c r="B587" t="s">
        <v>66</v>
      </c>
      <c r="C587" t="s">
        <v>45</v>
      </c>
      <c r="D587" s="2"/>
      <c r="E587" s="2"/>
    </row>
    <row r="588" spans="1:6" x14ac:dyDescent="0.3">
      <c r="A588" t="s">
        <v>170</v>
      </c>
      <c r="B588" t="s">
        <v>68</v>
      </c>
      <c r="C588" t="s">
        <v>46</v>
      </c>
      <c r="D588" s="2"/>
      <c r="E588" s="2"/>
    </row>
    <row r="589" spans="1:6" x14ac:dyDescent="0.3">
      <c r="A589" t="s">
        <v>170</v>
      </c>
      <c r="B589" t="s">
        <v>72</v>
      </c>
      <c r="C589" t="s">
        <v>18</v>
      </c>
      <c r="D589" s="2"/>
      <c r="E589" s="2"/>
    </row>
    <row r="590" spans="1:6" x14ac:dyDescent="0.3">
      <c r="A590" t="s">
        <v>170</v>
      </c>
      <c r="B590" t="s">
        <v>85</v>
      </c>
      <c r="C590" t="s">
        <v>49</v>
      </c>
      <c r="D590" s="2"/>
      <c r="E590" s="2"/>
    </row>
    <row r="591" spans="1:6" x14ac:dyDescent="0.3">
      <c r="A591" t="s">
        <v>170</v>
      </c>
      <c r="B591" t="s">
        <v>73</v>
      </c>
      <c r="C591" t="s">
        <v>51</v>
      </c>
      <c r="D591" s="2"/>
      <c r="E591" s="2"/>
    </row>
    <row r="592" spans="1:6" x14ac:dyDescent="0.3">
      <c r="A592" t="s">
        <v>170</v>
      </c>
      <c r="B592" t="s">
        <v>47</v>
      </c>
      <c r="C592" t="s">
        <v>55</v>
      </c>
      <c r="D592" s="2">
        <v>0.29166666666666669</v>
      </c>
      <c r="E592" s="2">
        <v>0.33333333333333331</v>
      </c>
      <c r="F592" t="s">
        <v>171</v>
      </c>
    </row>
    <row r="593" spans="1:6" x14ac:dyDescent="0.3">
      <c r="A593" t="s">
        <v>170</v>
      </c>
      <c r="B593" t="s">
        <v>14</v>
      </c>
      <c r="C593" t="s">
        <v>53</v>
      </c>
      <c r="D593" s="2">
        <v>0.75</v>
      </c>
      <c r="E593" s="2">
        <v>0.83333333333333337</v>
      </c>
      <c r="F593" t="s">
        <v>172</v>
      </c>
    </row>
    <row r="594" spans="1:6" x14ac:dyDescent="0.3">
      <c r="A594" t="s">
        <v>173</v>
      </c>
      <c r="B594" t="s">
        <v>21</v>
      </c>
      <c r="C594" t="s">
        <v>13</v>
      </c>
      <c r="D594" s="2"/>
      <c r="E594" s="2"/>
    </row>
    <row r="595" spans="1:6" x14ac:dyDescent="0.3">
      <c r="A595" t="s">
        <v>173</v>
      </c>
      <c r="B595" t="s">
        <v>12</v>
      </c>
      <c r="C595" t="s">
        <v>8</v>
      </c>
      <c r="D595" s="2"/>
      <c r="E595" s="2"/>
    </row>
    <row r="596" spans="1:6" x14ac:dyDescent="0.3">
      <c r="A596" t="s">
        <v>173</v>
      </c>
      <c r="B596" t="s">
        <v>29</v>
      </c>
      <c r="C596" t="s">
        <v>78</v>
      </c>
      <c r="D596" s="2"/>
      <c r="E596" s="2"/>
    </row>
    <row r="597" spans="1:6" x14ac:dyDescent="0.3">
      <c r="A597" t="s">
        <v>173</v>
      </c>
      <c r="B597" t="s">
        <v>61</v>
      </c>
      <c r="C597" t="s">
        <v>13</v>
      </c>
      <c r="D597" s="2"/>
      <c r="E597" s="2"/>
    </row>
    <row r="598" spans="1:6" x14ac:dyDescent="0.3">
      <c r="A598" t="s">
        <v>173</v>
      </c>
      <c r="B598" t="s">
        <v>39</v>
      </c>
      <c r="C598" t="s">
        <v>8</v>
      </c>
      <c r="D598" s="2"/>
      <c r="E598" s="2"/>
    </row>
    <row r="599" spans="1:6" x14ac:dyDescent="0.3">
      <c r="A599" t="s">
        <v>173</v>
      </c>
      <c r="B599" t="s">
        <v>79</v>
      </c>
      <c r="C599" t="s">
        <v>78</v>
      </c>
      <c r="D599" s="2"/>
      <c r="E599" s="2"/>
    </row>
    <row r="600" spans="1:6" x14ac:dyDescent="0.3">
      <c r="A600" t="s">
        <v>173</v>
      </c>
      <c r="B600" t="s">
        <v>9</v>
      </c>
      <c r="C600" t="s">
        <v>10</v>
      </c>
      <c r="D600" s="2"/>
      <c r="E600" s="2"/>
    </row>
    <row r="601" spans="1:6" x14ac:dyDescent="0.3">
      <c r="A601" t="s">
        <v>173</v>
      </c>
      <c r="B601" t="s">
        <v>36</v>
      </c>
      <c r="C601" t="s">
        <v>10</v>
      </c>
      <c r="D601" s="2"/>
      <c r="E601" s="2"/>
    </row>
    <row r="602" spans="1:6" x14ac:dyDescent="0.3">
      <c r="A602" t="s">
        <v>173</v>
      </c>
      <c r="B602" t="s">
        <v>98</v>
      </c>
      <c r="C602" t="s">
        <v>10</v>
      </c>
      <c r="D602" s="2"/>
      <c r="E602" s="2"/>
    </row>
    <row r="603" spans="1:6" x14ac:dyDescent="0.3">
      <c r="A603" t="s">
        <v>173</v>
      </c>
      <c r="B603" t="s">
        <v>17</v>
      </c>
      <c r="C603" t="s">
        <v>24</v>
      </c>
      <c r="D603" s="2">
        <v>0.33333333333333331</v>
      </c>
      <c r="E603" s="2">
        <v>0.54166666666666696</v>
      </c>
      <c r="F603" t="s">
        <v>174</v>
      </c>
    </row>
    <row r="604" spans="1:6" x14ac:dyDescent="0.3">
      <c r="A604" t="s">
        <v>173</v>
      </c>
      <c r="B604" t="s">
        <v>73</v>
      </c>
      <c r="C604" t="s">
        <v>24</v>
      </c>
      <c r="D604" s="2">
        <v>0.33333333333333331</v>
      </c>
      <c r="E604" s="2">
        <v>0.54166666666666696</v>
      </c>
      <c r="F604" t="s">
        <v>174</v>
      </c>
    </row>
    <row r="605" spans="1:6" x14ac:dyDescent="0.3">
      <c r="A605" t="s">
        <v>173</v>
      </c>
      <c r="B605" t="s">
        <v>142</v>
      </c>
      <c r="C605" t="s">
        <v>24</v>
      </c>
      <c r="D605" s="2">
        <v>0.33333333333333331</v>
      </c>
      <c r="E605" s="2">
        <v>0.54166666666666696</v>
      </c>
      <c r="F605" t="s">
        <v>174</v>
      </c>
    </row>
    <row r="606" spans="1:6" x14ac:dyDescent="0.3">
      <c r="A606" t="s">
        <v>173</v>
      </c>
      <c r="B606" t="s">
        <v>50</v>
      </c>
      <c r="C606" t="s">
        <v>24</v>
      </c>
      <c r="D606" s="2">
        <v>0.33333333333333331</v>
      </c>
      <c r="E606" s="2">
        <v>0.54166666666666696</v>
      </c>
      <c r="F606" t="s">
        <v>174</v>
      </c>
    </row>
    <row r="607" spans="1:6" x14ac:dyDescent="0.3">
      <c r="A607" t="s">
        <v>173</v>
      </c>
      <c r="B607" t="s">
        <v>34</v>
      </c>
      <c r="C607" t="s">
        <v>24</v>
      </c>
      <c r="D607" s="2">
        <v>0.33333333333333331</v>
      </c>
      <c r="E607" s="2">
        <v>0.54166666666666696</v>
      </c>
      <c r="F607" t="s">
        <v>174</v>
      </c>
    </row>
    <row r="608" spans="1:6" x14ac:dyDescent="0.3">
      <c r="A608" t="s">
        <v>175</v>
      </c>
      <c r="B608" t="s">
        <v>29</v>
      </c>
      <c r="C608" t="s">
        <v>13</v>
      </c>
      <c r="D608" s="2"/>
      <c r="E608" s="2"/>
    </row>
    <row r="609" spans="1:5" x14ac:dyDescent="0.3">
      <c r="A609" t="s">
        <v>175</v>
      </c>
      <c r="B609" t="s">
        <v>21</v>
      </c>
      <c r="C609" t="s">
        <v>8</v>
      </c>
      <c r="D609" s="2"/>
      <c r="E609" s="2"/>
    </row>
    <row r="610" spans="1:5" x14ac:dyDescent="0.3">
      <c r="A610" t="s">
        <v>175</v>
      </c>
      <c r="B610" t="s">
        <v>12</v>
      </c>
      <c r="C610" t="s">
        <v>78</v>
      </c>
      <c r="D610" s="2"/>
      <c r="E610" s="2"/>
    </row>
    <row r="611" spans="1:5" x14ac:dyDescent="0.3">
      <c r="A611" t="s">
        <v>175</v>
      </c>
      <c r="B611" t="s">
        <v>61</v>
      </c>
      <c r="C611" t="s">
        <v>13</v>
      </c>
      <c r="D611" s="2"/>
      <c r="E611" s="2"/>
    </row>
    <row r="612" spans="1:5" x14ac:dyDescent="0.3">
      <c r="A612" t="s">
        <v>175</v>
      </c>
      <c r="B612" t="s">
        <v>39</v>
      </c>
      <c r="C612" t="s">
        <v>8</v>
      </c>
      <c r="D612" s="2"/>
      <c r="E612" s="2"/>
    </row>
    <row r="613" spans="1:5" x14ac:dyDescent="0.3">
      <c r="A613" t="s">
        <v>175</v>
      </c>
      <c r="B613" t="s">
        <v>79</v>
      </c>
      <c r="C613" t="s">
        <v>78</v>
      </c>
      <c r="D613" s="2"/>
      <c r="E613" s="2"/>
    </row>
    <row r="614" spans="1:5" x14ac:dyDescent="0.3">
      <c r="A614" t="s">
        <v>176</v>
      </c>
      <c r="B614" t="s">
        <v>33</v>
      </c>
      <c r="C614" t="s">
        <v>13</v>
      </c>
      <c r="D614" s="2"/>
      <c r="E614" s="2"/>
    </row>
    <row r="615" spans="1:5" x14ac:dyDescent="0.3">
      <c r="A615" t="s">
        <v>176</v>
      </c>
      <c r="B615" t="s">
        <v>34</v>
      </c>
      <c r="C615" t="s">
        <v>15</v>
      </c>
      <c r="D615" s="2"/>
      <c r="E615" s="2"/>
    </row>
    <row r="616" spans="1:5" x14ac:dyDescent="0.3">
      <c r="A616" t="s">
        <v>176</v>
      </c>
      <c r="B616" t="s">
        <v>50</v>
      </c>
      <c r="C616" t="s">
        <v>8</v>
      </c>
      <c r="D616" s="2"/>
      <c r="E616" s="2"/>
    </row>
    <row r="617" spans="1:5" x14ac:dyDescent="0.3">
      <c r="A617" t="s">
        <v>176</v>
      </c>
      <c r="B617" t="s">
        <v>59</v>
      </c>
      <c r="C617" t="s">
        <v>13</v>
      </c>
      <c r="D617" s="2"/>
      <c r="E617" s="2"/>
    </row>
    <row r="618" spans="1:5" x14ac:dyDescent="0.3">
      <c r="A618" t="s">
        <v>176</v>
      </c>
      <c r="B618" t="s">
        <v>69</v>
      </c>
      <c r="C618" t="s">
        <v>8</v>
      </c>
      <c r="D618" s="2"/>
      <c r="E618" s="2"/>
    </row>
    <row r="619" spans="1:5" x14ac:dyDescent="0.3">
      <c r="A619" t="s">
        <v>176</v>
      </c>
      <c r="B619" t="s">
        <v>9</v>
      </c>
      <c r="C619" t="s">
        <v>10</v>
      </c>
      <c r="D619" s="2"/>
      <c r="E619" s="2"/>
    </row>
    <row r="620" spans="1:5" x14ac:dyDescent="0.3">
      <c r="A620" t="s">
        <v>176</v>
      </c>
      <c r="B620" t="s">
        <v>36</v>
      </c>
      <c r="C620" t="s">
        <v>10</v>
      </c>
      <c r="D620" s="2"/>
      <c r="E620" s="2"/>
    </row>
    <row r="621" spans="1:5" x14ac:dyDescent="0.3">
      <c r="A621" t="s">
        <v>176</v>
      </c>
      <c r="B621" t="s">
        <v>98</v>
      </c>
      <c r="C621" t="s">
        <v>10</v>
      </c>
      <c r="D621" s="2"/>
      <c r="E621" s="2"/>
    </row>
    <row r="622" spans="1:5" x14ac:dyDescent="0.3">
      <c r="A622" t="s">
        <v>176</v>
      </c>
      <c r="B622" t="s">
        <v>112</v>
      </c>
      <c r="C622" t="s">
        <v>41</v>
      </c>
      <c r="D622" s="2"/>
      <c r="E622" s="2"/>
    </row>
    <row r="623" spans="1:5" x14ac:dyDescent="0.3">
      <c r="A623" t="s">
        <v>176</v>
      </c>
      <c r="B623" t="s">
        <v>38</v>
      </c>
      <c r="C623" t="s">
        <v>41</v>
      </c>
      <c r="D623" s="2"/>
      <c r="E623" s="2"/>
    </row>
    <row r="624" spans="1:5" x14ac:dyDescent="0.3">
      <c r="A624" t="s">
        <v>176</v>
      </c>
      <c r="B624" t="s">
        <v>84</v>
      </c>
      <c r="C624" t="s">
        <v>43</v>
      </c>
      <c r="D624" s="2"/>
      <c r="E624" s="2"/>
    </row>
    <row r="625" spans="1:6" x14ac:dyDescent="0.3">
      <c r="A625" t="s">
        <v>176</v>
      </c>
      <c r="B625" t="s">
        <v>52</v>
      </c>
      <c r="C625" t="s">
        <v>45</v>
      </c>
      <c r="D625" s="2"/>
      <c r="E625" s="2"/>
    </row>
    <row r="626" spans="1:6" x14ac:dyDescent="0.3">
      <c r="A626" t="s">
        <v>176</v>
      </c>
      <c r="B626" t="s">
        <v>14</v>
      </c>
      <c r="C626" t="s">
        <v>46</v>
      </c>
      <c r="D626" s="2"/>
      <c r="E626" s="2"/>
    </row>
    <row r="627" spans="1:6" x14ac:dyDescent="0.3">
      <c r="A627" t="s">
        <v>176</v>
      </c>
      <c r="B627" t="s">
        <v>32</v>
      </c>
      <c r="C627" t="s">
        <v>18</v>
      </c>
      <c r="D627" s="2"/>
      <c r="E627" s="2"/>
    </row>
    <row r="628" spans="1:6" x14ac:dyDescent="0.3">
      <c r="A628" t="s">
        <v>176</v>
      </c>
      <c r="B628" t="s">
        <v>85</v>
      </c>
      <c r="C628" t="s">
        <v>49</v>
      </c>
      <c r="D628" s="2"/>
      <c r="E628" s="2"/>
    </row>
    <row r="629" spans="1:6" x14ac:dyDescent="0.3">
      <c r="A629" t="s">
        <v>176</v>
      </c>
      <c r="B629" t="s">
        <v>34</v>
      </c>
      <c r="C629" t="s">
        <v>51</v>
      </c>
      <c r="D629" s="2"/>
      <c r="E629" s="2"/>
    </row>
    <row r="630" spans="1:6" x14ac:dyDescent="0.3">
      <c r="A630" t="s">
        <v>176</v>
      </c>
      <c r="B630" t="s">
        <v>23</v>
      </c>
      <c r="C630" t="s">
        <v>53</v>
      </c>
      <c r="D630" s="2">
        <v>0.58333333333333304</v>
      </c>
      <c r="E630" s="2">
        <v>0.625</v>
      </c>
    </row>
    <row r="631" spans="1:6" x14ac:dyDescent="0.3">
      <c r="A631" t="s">
        <v>176</v>
      </c>
      <c r="B631" t="s">
        <v>84</v>
      </c>
      <c r="C631" t="s">
        <v>53</v>
      </c>
      <c r="D631" s="2">
        <v>0.58333333333333304</v>
      </c>
      <c r="E631" s="2">
        <v>0.625</v>
      </c>
    </row>
    <row r="632" spans="1:6" x14ac:dyDescent="0.3">
      <c r="A632" t="s">
        <v>176</v>
      </c>
      <c r="B632" t="s">
        <v>64</v>
      </c>
      <c r="C632" t="s">
        <v>53</v>
      </c>
      <c r="D632" s="2">
        <v>0.58333333333333304</v>
      </c>
      <c r="E632" s="2">
        <v>0.625</v>
      </c>
    </row>
    <row r="633" spans="1:6" x14ac:dyDescent="0.3">
      <c r="A633" t="s">
        <v>176</v>
      </c>
      <c r="B633" t="s">
        <v>17</v>
      </c>
      <c r="C633" t="s">
        <v>55</v>
      </c>
      <c r="D633" s="2">
        <v>0.29166666666666669</v>
      </c>
      <c r="E633" s="2">
        <v>0.33333333333333331</v>
      </c>
      <c r="F633" t="s">
        <v>177</v>
      </c>
    </row>
    <row r="634" spans="1:6" x14ac:dyDescent="0.3">
      <c r="A634" t="s">
        <v>176</v>
      </c>
      <c r="B634" t="s">
        <v>64</v>
      </c>
      <c r="C634" t="s">
        <v>55</v>
      </c>
      <c r="D634" s="2">
        <v>0.83333333333333337</v>
      </c>
      <c r="E634" s="2">
        <v>0.875</v>
      </c>
      <c r="F634" t="s">
        <v>178</v>
      </c>
    </row>
    <row r="635" spans="1:6" x14ac:dyDescent="0.3">
      <c r="A635" t="s">
        <v>176</v>
      </c>
      <c r="B635" t="s">
        <v>20</v>
      </c>
      <c r="C635" t="s">
        <v>30</v>
      </c>
      <c r="D635" s="2"/>
      <c r="E635" s="2"/>
    </row>
    <row r="636" spans="1:6" x14ac:dyDescent="0.3">
      <c r="A636" t="s">
        <v>179</v>
      </c>
      <c r="B636" t="s">
        <v>47</v>
      </c>
      <c r="C636" t="s">
        <v>13</v>
      </c>
      <c r="D636" s="2"/>
      <c r="E636" s="2"/>
    </row>
    <row r="637" spans="1:6" x14ac:dyDescent="0.3">
      <c r="A637" t="s">
        <v>179</v>
      </c>
      <c r="B637" t="s">
        <v>73</v>
      </c>
      <c r="C637" t="s">
        <v>15</v>
      </c>
      <c r="D637" s="2"/>
      <c r="E637" s="2"/>
    </row>
    <row r="638" spans="1:6" x14ac:dyDescent="0.3">
      <c r="A638" t="s">
        <v>179</v>
      </c>
      <c r="B638" t="s">
        <v>52</v>
      </c>
      <c r="C638" t="s">
        <v>8</v>
      </c>
      <c r="D638" s="2"/>
      <c r="E638" s="2"/>
    </row>
    <row r="639" spans="1:6" x14ac:dyDescent="0.3">
      <c r="A639" t="s">
        <v>179</v>
      </c>
      <c r="B639" t="s">
        <v>109</v>
      </c>
      <c r="C639" t="s">
        <v>13</v>
      </c>
      <c r="D639" s="2"/>
      <c r="E639" s="2"/>
    </row>
    <row r="640" spans="1:6" x14ac:dyDescent="0.3">
      <c r="A640" t="s">
        <v>179</v>
      </c>
      <c r="B640" t="s">
        <v>35</v>
      </c>
      <c r="C640" t="s">
        <v>8</v>
      </c>
      <c r="D640" s="2"/>
      <c r="E640" s="2"/>
    </row>
    <row r="641" spans="1:5" x14ac:dyDescent="0.3">
      <c r="A641" t="s">
        <v>179</v>
      </c>
      <c r="B641" t="s">
        <v>48</v>
      </c>
      <c r="C641" t="s">
        <v>30</v>
      </c>
      <c r="D641" s="2"/>
      <c r="E641" s="2"/>
    </row>
    <row r="642" spans="1:5" x14ac:dyDescent="0.3">
      <c r="A642" t="s">
        <v>179</v>
      </c>
      <c r="B642" t="s">
        <v>9</v>
      </c>
      <c r="C642" t="s">
        <v>10</v>
      </c>
      <c r="D642" s="2"/>
      <c r="E642" s="2"/>
    </row>
    <row r="643" spans="1:5" x14ac:dyDescent="0.3">
      <c r="A643" t="s">
        <v>179</v>
      </c>
      <c r="B643" t="s">
        <v>36</v>
      </c>
      <c r="C643" t="s">
        <v>10</v>
      </c>
      <c r="D643" s="2"/>
      <c r="E643" s="2"/>
    </row>
    <row r="644" spans="1:5" x14ac:dyDescent="0.3">
      <c r="A644" t="s">
        <v>179</v>
      </c>
      <c r="B644" t="s">
        <v>98</v>
      </c>
      <c r="C644" t="s">
        <v>10</v>
      </c>
      <c r="D644" s="2"/>
      <c r="E644" s="2"/>
    </row>
    <row r="645" spans="1:5" x14ac:dyDescent="0.3">
      <c r="A645" t="s">
        <v>179</v>
      </c>
      <c r="B645" t="s">
        <v>59</v>
      </c>
      <c r="C645" t="s">
        <v>41</v>
      </c>
      <c r="D645" s="2"/>
      <c r="E645" s="2"/>
    </row>
    <row r="646" spans="1:5" x14ac:dyDescent="0.3">
      <c r="A646" t="s">
        <v>179</v>
      </c>
      <c r="B646" t="s">
        <v>69</v>
      </c>
      <c r="C646" t="s">
        <v>41</v>
      </c>
      <c r="D646" s="2"/>
      <c r="E646" s="2"/>
    </row>
    <row r="647" spans="1:5" x14ac:dyDescent="0.3">
      <c r="A647" t="s">
        <v>179</v>
      </c>
      <c r="B647" t="s">
        <v>17</v>
      </c>
      <c r="C647" t="s">
        <v>26</v>
      </c>
      <c r="D647" s="2">
        <v>0.29166666666666669</v>
      </c>
      <c r="E647" s="2">
        <v>0.41666666666666702</v>
      </c>
    </row>
    <row r="648" spans="1:5" x14ac:dyDescent="0.3">
      <c r="A648" t="s">
        <v>179</v>
      </c>
      <c r="B648" t="s">
        <v>73</v>
      </c>
      <c r="C648" t="s">
        <v>26</v>
      </c>
      <c r="D648" s="2">
        <v>0.41666666666666702</v>
      </c>
      <c r="E648" s="2">
        <v>0.54166666666666696</v>
      </c>
    </row>
    <row r="649" spans="1:5" x14ac:dyDescent="0.3">
      <c r="A649" t="s">
        <v>179</v>
      </c>
      <c r="B649" t="s">
        <v>71</v>
      </c>
      <c r="C649" t="s">
        <v>26</v>
      </c>
      <c r="D649" s="2">
        <v>0.54166666666666696</v>
      </c>
      <c r="E649" s="2">
        <v>0.66666666666666696</v>
      </c>
    </row>
    <row r="650" spans="1:5" x14ac:dyDescent="0.3">
      <c r="A650" t="s">
        <v>179</v>
      </c>
      <c r="B650" t="s">
        <v>72</v>
      </c>
      <c r="C650" t="s">
        <v>26</v>
      </c>
      <c r="D650" s="2">
        <v>0.54166666666666696</v>
      </c>
      <c r="E650" s="2">
        <v>0.66666666666666696</v>
      </c>
    </row>
    <row r="651" spans="1:5" x14ac:dyDescent="0.3">
      <c r="A651" t="s">
        <v>179</v>
      </c>
      <c r="B651" t="s">
        <v>66</v>
      </c>
      <c r="C651" t="s">
        <v>26</v>
      </c>
      <c r="D651" s="2">
        <v>0.66666666666666696</v>
      </c>
      <c r="E651" s="2">
        <v>0.79166666666666696</v>
      </c>
    </row>
    <row r="652" spans="1:5" x14ac:dyDescent="0.3">
      <c r="A652" t="s">
        <v>179</v>
      </c>
      <c r="B652" t="s">
        <v>71</v>
      </c>
      <c r="C652" t="s">
        <v>26</v>
      </c>
      <c r="D652" s="2">
        <v>0.66666666666666696</v>
      </c>
      <c r="E652" s="2">
        <v>0.79166666666666696</v>
      </c>
    </row>
    <row r="653" spans="1:5" x14ac:dyDescent="0.3">
      <c r="A653" t="s">
        <v>179</v>
      </c>
      <c r="B653" t="s">
        <v>16</v>
      </c>
      <c r="C653" t="s">
        <v>26</v>
      </c>
      <c r="D653" s="2">
        <v>0.66666666666666696</v>
      </c>
      <c r="E653" s="2">
        <v>0.79166666666666696</v>
      </c>
    </row>
    <row r="654" spans="1:5" x14ac:dyDescent="0.3">
      <c r="A654" t="s">
        <v>179</v>
      </c>
      <c r="B654" t="s">
        <v>66</v>
      </c>
      <c r="C654" t="s">
        <v>26</v>
      </c>
      <c r="D654" s="2">
        <v>0.79166666666666696</v>
      </c>
      <c r="E654" s="2">
        <v>0.91666666666666596</v>
      </c>
    </row>
    <row r="655" spans="1:5" x14ac:dyDescent="0.3">
      <c r="A655" t="s">
        <v>179</v>
      </c>
      <c r="B655" t="s">
        <v>16</v>
      </c>
      <c r="C655" t="s">
        <v>26</v>
      </c>
      <c r="D655" s="2">
        <v>0.79166666666666696</v>
      </c>
      <c r="E655" s="2">
        <v>0.91666666666666596</v>
      </c>
    </row>
    <row r="656" spans="1:5" x14ac:dyDescent="0.3">
      <c r="A656" t="s">
        <v>179</v>
      </c>
      <c r="B656" t="s">
        <v>94</v>
      </c>
      <c r="C656" t="s">
        <v>26</v>
      </c>
      <c r="D656" s="2">
        <v>0.79166666666666696</v>
      </c>
      <c r="E656" s="2">
        <v>0.875</v>
      </c>
    </row>
    <row r="657" spans="1:6" x14ac:dyDescent="0.3">
      <c r="A657" t="s">
        <v>179</v>
      </c>
      <c r="B657" t="s">
        <v>142</v>
      </c>
      <c r="C657" t="s">
        <v>43</v>
      </c>
      <c r="D657" s="2"/>
      <c r="E657" s="2"/>
    </row>
    <row r="658" spans="1:6" x14ac:dyDescent="0.3">
      <c r="A658" t="s">
        <v>179</v>
      </c>
      <c r="B658" t="s">
        <v>23</v>
      </c>
      <c r="C658" t="s">
        <v>45</v>
      </c>
      <c r="D658" s="2"/>
      <c r="E658" s="2"/>
    </row>
    <row r="659" spans="1:6" x14ac:dyDescent="0.3">
      <c r="A659" t="s">
        <v>179</v>
      </c>
      <c r="B659" t="s">
        <v>21</v>
      </c>
      <c r="C659" t="s">
        <v>46</v>
      </c>
      <c r="D659" s="2"/>
      <c r="E659" s="2"/>
    </row>
    <row r="660" spans="1:6" x14ac:dyDescent="0.3">
      <c r="A660" t="s">
        <v>179</v>
      </c>
      <c r="B660" t="s">
        <v>63</v>
      </c>
      <c r="C660" t="s">
        <v>18</v>
      </c>
      <c r="D660" s="2"/>
      <c r="E660" s="2"/>
    </row>
    <row r="661" spans="1:6" x14ac:dyDescent="0.3">
      <c r="A661" t="s">
        <v>179</v>
      </c>
      <c r="B661" s="23" t="s">
        <v>85</v>
      </c>
      <c r="C661" s="23" t="s">
        <v>49</v>
      </c>
      <c r="D661" s="24"/>
      <c r="E661" s="24"/>
      <c r="F661" s="23"/>
    </row>
    <row r="662" spans="1:6" x14ac:dyDescent="0.3">
      <c r="A662" t="s">
        <v>179</v>
      </c>
      <c r="B662" s="23" t="s">
        <v>17</v>
      </c>
      <c r="C662" s="23" t="s">
        <v>51</v>
      </c>
      <c r="D662" s="24"/>
      <c r="E662" s="24"/>
      <c r="F662" s="23"/>
    </row>
    <row r="663" spans="1:6" x14ac:dyDescent="0.3">
      <c r="A663" t="s">
        <v>179</v>
      </c>
      <c r="B663" s="23" t="s">
        <v>17</v>
      </c>
      <c r="C663" s="23" t="s">
        <v>53</v>
      </c>
      <c r="D663" s="24">
        <v>0.70833333333333304</v>
      </c>
      <c r="E663" s="24">
        <v>0.75</v>
      </c>
      <c r="F663" s="23" t="s">
        <v>180</v>
      </c>
    </row>
    <row r="664" spans="1:6" x14ac:dyDescent="0.3">
      <c r="A664" t="s">
        <v>179</v>
      </c>
      <c r="B664" s="23" t="s">
        <v>181</v>
      </c>
      <c r="C664" s="23" t="s">
        <v>30</v>
      </c>
      <c r="D664" s="24"/>
      <c r="E664" s="24"/>
      <c r="F664" s="23"/>
    </row>
    <row r="665" spans="1:6" x14ac:dyDescent="0.3">
      <c r="A665" t="s">
        <v>182</v>
      </c>
      <c r="B665" t="s">
        <v>44</v>
      </c>
      <c r="C665" t="s">
        <v>13</v>
      </c>
      <c r="D665" s="2"/>
      <c r="E665" s="2"/>
    </row>
    <row r="666" spans="1:6" x14ac:dyDescent="0.3">
      <c r="A666" t="s">
        <v>182</v>
      </c>
      <c r="B666" t="s">
        <v>37</v>
      </c>
      <c r="C666" t="s">
        <v>8</v>
      </c>
      <c r="D666" s="2"/>
      <c r="E666" s="2"/>
    </row>
    <row r="667" spans="1:6" x14ac:dyDescent="0.3">
      <c r="A667" t="s">
        <v>182</v>
      </c>
      <c r="B667" t="s">
        <v>72</v>
      </c>
      <c r="C667" t="s">
        <v>78</v>
      </c>
      <c r="D667" s="2"/>
      <c r="E667" s="2"/>
    </row>
    <row r="668" spans="1:6" x14ac:dyDescent="0.3">
      <c r="A668" t="s">
        <v>182</v>
      </c>
      <c r="B668" t="s">
        <v>57</v>
      </c>
      <c r="C668" t="s">
        <v>13</v>
      </c>
      <c r="D668" s="2"/>
      <c r="E668" s="2"/>
    </row>
    <row r="669" spans="1:6" x14ac:dyDescent="0.3">
      <c r="A669" t="s">
        <v>182</v>
      </c>
      <c r="B669" t="s">
        <v>42</v>
      </c>
      <c r="C669" t="s">
        <v>8</v>
      </c>
      <c r="D669" s="2"/>
      <c r="E669" s="2"/>
    </row>
    <row r="670" spans="1:6" x14ac:dyDescent="0.3">
      <c r="A670" t="s">
        <v>182</v>
      </c>
      <c r="B670" t="s">
        <v>38</v>
      </c>
      <c r="C670" t="s">
        <v>78</v>
      </c>
      <c r="D670" s="2"/>
      <c r="E670" s="2"/>
    </row>
    <row r="671" spans="1:6" x14ac:dyDescent="0.3">
      <c r="A671" t="s">
        <v>183</v>
      </c>
      <c r="B671" t="s">
        <v>66</v>
      </c>
      <c r="C671" t="s">
        <v>13</v>
      </c>
      <c r="D671" s="2"/>
      <c r="E671" s="2"/>
    </row>
    <row r="672" spans="1:6" x14ac:dyDescent="0.3">
      <c r="A672" t="s">
        <v>183</v>
      </c>
      <c r="B672" t="s">
        <v>68</v>
      </c>
      <c r="C672" t="s">
        <v>8</v>
      </c>
      <c r="D672" s="2"/>
      <c r="E672" s="2"/>
    </row>
    <row r="673" spans="1:5" x14ac:dyDescent="0.3">
      <c r="A673" t="s">
        <v>183</v>
      </c>
      <c r="B673" t="s">
        <v>63</v>
      </c>
      <c r="C673" t="s">
        <v>78</v>
      </c>
      <c r="D673" s="2"/>
      <c r="E673" s="2"/>
    </row>
    <row r="674" spans="1:5" x14ac:dyDescent="0.3">
      <c r="A674" t="s">
        <v>183</v>
      </c>
      <c r="B674" t="s">
        <v>96</v>
      </c>
      <c r="C674" t="s">
        <v>13</v>
      </c>
      <c r="D674" s="2"/>
      <c r="E674" s="2"/>
    </row>
    <row r="675" spans="1:5" x14ac:dyDescent="0.3">
      <c r="A675" t="s">
        <v>183</v>
      </c>
      <c r="B675" t="s">
        <v>69</v>
      </c>
      <c r="C675" t="s">
        <v>8</v>
      </c>
      <c r="D675" s="2"/>
      <c r="E675" s="2"/>
    </row>
    <row r="676" spans="1:5" x14ac:dyDescent="0.3">
      <c r="A676" t="s">
        <v>183</v>
      </c>
      <c r="B676" t="s">
        <v>27</v>
      </c>
      <c r="C676" t="s">
        <v>78</v>
      </c>
      <c r="D676" s="2"/>
      <c r="E676" s="2"/>
    </row>
    <row r="677" spans="1:5" x14ac:dyDescent="0.3">
      <c r="A677" t="s">
        <v>183</v>
      </c>
      <c r="B677" t="s">
        <v>40</v>
      </c>
      <c r="C677" t="s">
        <v>10</v>
      </c>
      <c r="D677" s="2"/>
      <c r="E677" s="2"/>
    </row>
    <row r="678" spans="1:5" x14ac:dyDescent="0.3">
      <c r="A678" t="s">
        <v>183</v>
      </c>
      <c r="B678" t="s">
        <v>35</v>
      </c>
      <c r="C678" t="s">
        <v>10</v>
      </c>
      <c r="D678" s="2"/>
      <c r="E678" s="2"/>
    </row>
    <row r="679" spans="1:5" x14ac:dyDescent="0.3">
      <c r="A679" t="s">
        <v>183</v>
      </c>
      <c r="B679" t="s">
        <v>103</v>
      </c>
      <c r="C679" t="s">
        <v>10</v>
      </c>
      <c r="D679" s="2"/>
      <c r="E679" s="2"/>
    </row>
    <row r="680" spans="1:5" x14ac:dyDescent="0.3">
      <c r="A680" t="s">
        <v>184</v>
      </c>
      <c r="B680" t="s">
        <v>63</v>
      </c>
      <c r="C680" t="s">
        <v>13</v>
      </c>
      <c r="D680" s="2"/>
      <c r="E680" s="2"/>
    </row>
    <row r="681" spans="1:5" x14ac:dyDescent="0.3">
      <c r="A681" t="s">
        <v>184</v>
      </c>
      <c r="B681" t="s">
        <v>66</v>
      </c>
      <c r="C681" t="s">
        <v>8</v>
      </c>
      <c r="D681" s="2"/>
      <c r="E681" s="2"/>
    </row>
    <row r="682" spans="1:5" x14ac:dyDescent="0.3">
      <c r="A682" t="s">
        <v>184</v>
      </c>
      <c r="B682" t="s">
        <v>68</v>
      </c>
      <c r="C682" t="s">
        <v>78</v>
      </c>
      <c r="D682" s="2"/>
      <c r="E682" s="2"/>
    </row>
    <row r="683" spans="1:5" x14ac:dyDescent="0.3">
      <c r="A683" t="s">
        <v>184</v>
      </c>
      <c r="B683" t="s">
        <v>96</v>
      </c>
      <c r="C683" t="s">
        <v>13</v>
      </c>
      <c r="D683" s="2"/>
      <c r="E683" s="2"/>
    </row>
    <row r="684" spans="1:5" x14ac:dyDescent="0.3">
      <c r="A684" t="s">
        <v>184</v>
      </c>
      <c r="B684" t="s">
        <v>69</v>
      </c>
      <c r="C684" t="s">
        <v>8</v>
      </c>
      <c r="D684" s="2"/>
      <c r="E684" s="2"/>
    </row>
    <row r="685" spans="1:5" x14ac:dyDescent="0.3">
      <c r="A685" t="s">
        <v>184</v>
      </c>
      <c r="B685" t="s">
        <v>27</v>
      </c>
      <c r="C685" t="s">
        <v>78</v>
      </c>
      <c r="D685" s="2"/>
      <c r="E685" s="2"/>
    </row>
    <row r="686" spans="1:5" x14ac:dyDescent="0.3">
      <c r="A686" t="s">
        <v>185</v>
      </c>
      <c r="B686" t="s">
        <v>75</v>
      </c>
      <c r="C686" t="s">
        <v>13</v>
      </c>
      <c r="D686" s="2"/>
      <c r="E686" s="2"/>
    </row>
    <row r="687" spans="1:5" x14ac:dyDescent="0.3">
      <c r="A687" t="s">
        <v>185</v>
      </c>
      <c r="B687" t="s">
        <v>71</v>
      </c>
      <c r="C687" t="s">
        <v>8</v>
      </c>
      <c r="D687" s="2"/>
      <c r="E687" s="2"/>
    </row>
    <row r="688" spans="1:5" x14ac:dyDescent="0.3">
      <c r="A688" t="s">
        <v>185</v>
      </c>
      <c r="B688" t="s">
        <v>142</v>
      </c>
      <c r="C688" t="s">
        <v>78</v>
      </c>
      <c r="D688" s="2"/>
      <c r="E688" s="2"/>
    </row>
    <row r="689" spans="1:6" x14ac:dyDescent="0.3">
      <c r="A689" t="s">
        <v>185</v>
      </c>
      <c r="B689" t="s">
        <v>80</v>
      </c>
      <c r="C689" t="s">
        <v>13</v>
      </c>
      <c r="D689" s="2"/>
      <c r="E689" s="2"/>
    </row>
    <row r="690" spans="1:6" x14ac:dyDescent="0.3">
      <c r="A690" t="s">
        <v>185</v>
      </c>
      <c r="B690" t="s">
        <v>9</v>
      </c>
      <c r="C690" t="s">
        <v>8</v>
      </c>
      <c r="D690" s="2"/>
      <c r="E690" s="2"/>
    </row>
    <row r="691" spans="1:6" x14ac:dyDescent="0.3">
      <c r="A691" t="s">
        <v>185</v>
      </c>
      <c r="B691" t="s">
        <v>109</v>
      </c>
      <c r="C691" t="s">
        <v>78</v>
      </c>
      <c r="D691" s="2"/>
      <c r="E691" s="2"/>
    </row>
    <row r="692" spans="1:6" x14ac:dyDescent="0.3">
      <c r="A692" t="s">
        <v>185</v>
      </c>
      <c r="B692" t="s">
        <v>12</v>
      </c>
      <c r="C692" t="s">
        <v>24</v>
      </c>
      <c r="D692" s="2">
        <v>0.33333333333333331</v>
      </c>
      <c r="E692" s="2">
        <v>0.75</v>
      </c>
      <c r="F692" t="s">
        <v>186</v>
      </c>
    </row>
    <row r="693" spans="1:6" x14ac:dyDescent="0.3">
      <c r="A693" t="s">
        <v>187</v>
      </c>
      <c r="B693" t="s">
        <v>142</v>
      </c>
      <c r="C693" t="s">
        <v>13</v>
      </c>
      <c r="D693" s="2"/>
      <c r="E693" s="2"/>
    </row>
    <row r="694" spans="1:6" x14ac:dyDescent="0.3">
      <c r="A694" t="s">
        <v>187</v>
      </c>
      <c r="B694" t="s">
        <v>75</v>
      </c>
      <c r="C694" t="s">
        <v>8</v>
      </c>
      <c r="D694" s="2"/>
      <c r="E694" s="2"/>
    </row>
    <row r="695" spans="1:6" x14ac:dyDescent="0.3">
      <c r="A695" t="s">
        <v>187</v>
      </c>
      <c r="B695" t="s">
        <v>71</v>
      </c>
      <c r="C695" t="s">
        <v>78</v>
      </c>
      <c r="D695" s="2"/>
      <c r="E695" s="2"/>
    </row>
    <row r="696" spans="1:6" x14ac:dyDescent="0.3">
      <c r="A696" t="s">
        <v>187</v>
      </c>
      <c r="B696" t="s">
        <v>80</v>
      </c>
      <c r="C696" t="s">
        <v>13</v>
      </c>
      <c r="D696" s="2"/>
      <c r="E696" s="2"/>
    </row>
    <row r="697" spans="1:6" x14ac:dyDescent="0.3">
      <c r="A697" t="s">
        <v>187</v>
      </c>
      <c r="B697" t="s">
        <v>9</v>
      </c>
      <c r="C697" t="s">
        <v>8</v>
      </c>
      <c r="D697" s="2"/>
      <c r="E697" s="2"/>
    </row>
    <row r="698" spans="1:6" x14ac:dyDescent="0.3">
      <c r="A698" t="s">
        <v>187</v>
      </c>
      <c r="B698" t="s">
        <v>109</v>
      </c>
      <c r="C698" t="s">
        <v>78</v>
      </c>
      <c r="D698" s="2"/>
      <c r="E698" s="2"/>
    </row>
    <row r="699" spans="1:6" x14ac:dyDescent="0.3">
      <c r="A699" t="s">
        <v>188</v>
      </c>
      <c r="B699" t="s">
        <v>72</v>
      </c>
      <c r="C699" t="s">
        <v>13</v>
      </c>
      <c r="D699" s="2"/>
      <c r="E699" s="2"/>
    </row>
    <row r="700" spans="1:6" x14ac:dyDescent="0.3">
      <c r="A700" t="s">
        <v>188</v>
      </c>
      <c r="B700" t="s">
        <v>84</v>
      </c>
      <c r="C700" t="s">
        <v>15</v>
      </c>
      <c r="D700" s="2"/>
      <c r="E700" s="2"/>
    </row>
    <row r="701" spans="1:6" x14ac:dyDescent="0.3">
      <c r="A701" t="s">
        <v>188</v>
      </c>
      <c r="B701" t="s">
        <v>68</v>
      </c>
      <c r="C701" t="s">
        <v>8</v>
      </c>
      <c r="D701" s="2"/>
      <c r="E701" s="2"/>
    </row>
    <row r="702" spans="1:6" x14ac:dyDescent="0.3">
      <c r="A702" t="s">
        <v>188</v>
      </c>
      <c r="B702" t="s">
        <v>39</v>
      </c>
      <c r="C702" t="s">
        <v>13</v>
      </c>
      <c r="D702" s="2"/>
      <c r="E702" s="2"/>
    </row>
    <row r="703" spans="1:6" x14ac:dyDescent="0.3">
      <c r="A703" t="s">
        <v>188</v>
      </c>
      <c r="B703" t="s">
        <v>60</v>
      </c>
      <c r="C703" t="s">
        <v>8</v>
      </c>
      <c r="D703" s="2"/>
      <c r="E703" s="2"/>
    </row>
    <row r="704" spans="1:6" x14ac:dyDescent="0.3">
      <c r="A704" t="s">
        <v>188</v>
      </c>
      <c r="B704" t="s">
        <v>40</v>
      </c>
      <c r="C704" t="s">
        <v>10</v>
      </c>
      <c r="D704" s="2"/>
      <c r="E704" s="2"/>
    </row>
    <row r="705" spans="1:6" x14ac:dyDescent="0.3">
      <c r="A705" t="s">
        <v>188</v>
      </c>
      <c r="B705" t="s">
        <v>103</v>
      </c>
      <c r="C705" t="s">
        <v>10</v>
      </c>
      <c r="D705" s="2"/>
      <c r="E705" s="2"/>
    </row>
    <row r="706" spans="1:6" x14ac:dyDescent="0.3">
      <c r="A706" t="s">
        <v>188</v>
      </c>
      <c r="B706" t="s">
        <v>9</v>
      </c>
      <c r="C706" t="s">
        <v>41</v>
      </c>
      <c r="D706" s="2"/>
      <c r="E706" s="2"/>
    </row>
    <row r="707" spans="1:6" x14ac:dyDescent="0.3">
      <c r="A707" t="s">
        <v>188</v>
      </c>
      <c r="B707" t="s">
        <v>35</v>
      </c>
      <c r="C707" t="s">
        <v>41</v>
      </c>
      <c r="D707" s="2"/>
      <c r="E707" s="2"/>
    </row>
    <row r="708" spans="1:6" x14ac:dyDescent="0.3">
      <c r="A708" t="s">
        <v>188</v>
      </c>
      <c r="B708" t="s">
        <v>84</v>
      </c>
      <c r="C708" t="s">
        <v>43</v>
      </c>
      <c r="D708" s="2"/>
      <c r="E708" s="2"/>
    </row>
    <row r="709" spans="1:6" x14ac:dyDescent="0.3">
      <c r="A709" t="s">
        <v>188</v>
      </c>
      <c r="B709" t="s">
        <v>52</v>
      </c>
      <c r="C709" t="s">
        <v>45</v>
      </c>
      <c r="D709" s="2"/>
      <c r="E709" s="2"/>
    </row>
    <row r="710" spans="1:6" x14ac:dyDescent="0.3">
      <c r="A710" t="s">
        <v>188</v>
      </c>
      <c r="B710" t="s">
        <v>14</v>
      </c>
      <c r="C710" t="s">
        <v>46</v>
      </c>
      <c r="D710" s="2"/>
      <c r="E710" s="2"/>
    </row>
    <row r="711" spans="1:6" x14ac:dyDescent="0.3">
      <c r="A711" t="s">
        <v>188</v>
      </c>
      <c r="B711" t="s">
        <v>63</v>
      </c>
      <c r="C711" t="s">
        <v>18</v>
      </c>
      <c r="D711" s="2"/>
      <c r="E711" s="2"/>
    </row>
    <row r="712" spans="1:6" x14ac:dyDescent="0.3">
      <c r="A712" t="s">
        <v>188</v>
      </c>
      <c r="B712" t="s">
        <v>71</v>
      </c>
      <c r="C712" t="s">
        <v>49</v>
      </c>
      <c r="D712" s="2"/>
      <c r="E712" s="2"/>
    </row>
    <row r="713" spans="1:6" x14ac:dyDescent="0.3">
      <c r="A713" t="s">
        <v>188</v>
      </c>
      <c r="B713" t="s">
        <v>34</v>
      </c>
      <c r="C713" t="s">
        <v>51</v>
      </c>
      <c r="D713" s="2"/>
      <c r="E713" s="2"/>
    </row>
    <row r="714" spans="1:6" x14ac:dyDescent="0.3">
      <c r="A714" t="s">
        <v>188</v>
      </c>
      <c r="B714" t="s">
        <v>23</v>
      </c>
      <c r="C714" t="s">
        <v>24</v>
      </c>
      <c r="D714" s="2">
        <v>0.29166666666666669</v>
      </c>
      <c r="E714" s="2">
        <v>0.5</v>
      </c>
      <c r="F714" t="s">
        <v>189</v>
      </c>
    </row>
    <row r="715" spans="1:6" x14ac:dyDescent="0.3">
      <c r="A715" t="s">
        <v>190</v>
      </c>
      <c r="B715" t="s">
        <v>75</v>
      </c>
      <c r="C715" t="s">
        <v>13</v>
      </c>
      <c r="D715" s="2"/>
      <c r="E715" s="2"/>
    </row>
    <row r="716" spans="1:6" x14ac:dyDescent="0.3">
      <c r="A716" t="s">
        <v>190</v>
      </c>
      <c r="B716" t="s">
        <v>52</v>
      </c>
      <c r="C716" t="s">
        <v>15</v>
      </c>
      <c r="D716" s="2"/>
      <c r="E716" s="2"/>
    </row>
    <row r="717" spans="1:6" x14ac:dyDescent="0.3">
      <c r="A717" t="s">
        <v>190</v>
      </c>
      <c r="B717" t="s">
        <v>33</v>
      </c>
      <c r="C717" t="s">
        <v>8</v>
      </c>
      <c r="D717" s="2"/>
      <c r="E717" s="2"/>
    </row>
    <row r="718" spans="1:6" x14ac:dyDescent="0.3">
      <c r="A718" t="s">
        <v>190</v>
      </c>
      <c r="B718" t="s">
        <v>9</v>
      </c>
      <c r="C718" t="s">
        <v>13</v>
      </c>
      <c r="D718" s="2"/>
      <c r="E718" s="2"/>
    </row>
    <row r="719" spans="1:6" x14ac:dyDescent="0.3">
      <c r="A719" t="s">
        <v>190</v>
      </c>
      <c r="B719" t="s">
        <v>35</v>
      </c>
      <c r="C719" t="s">
        <v>8</v>
      </c>
      <c r="D719" s="2"/>
      <c r="E719" s="2"/>
    </row>
    <row r="720" spans="1:6" x14ac:dyDescent="0.3">
      <c r="A720" t="s">
        <v>190</v>
      </c>
      <c r="B720" t="s">
        <v>40</v>
      </c>
      <c r="C720" t="s">
        <v>10</v>
      </c>
      <c r="D720" s="2"/>
      <c r="E720" s="2"/>
    </row>
    <row r="721" spans="1:6" x14ac:dyDescent="0.3">
      <c r="A721" t="s">
        <v>190</v>
      </c>
      <c r="B721" t="s">
        <v>103</v>
      </c>
      <c r="C721" t="s">
        <v>10</v>
      </c>
      <c r="D721" s="2"/>
      <c r="E721" s="2"/>
    </row>
    <row r="722" spans="1:6" x14ac:dyDescent="0.3">
      <c r="A722" t="s">
        <v>190</v>
      </c>
      <c r="B722" t="s">
        <v>59</v>
      </c>
      <c r="C722" t="s">
        <v>41</v>
      </c>
      <c r="D722" s="2"/>
      <c r="E722" s="2"/>
    </row>
    <row r="723" spans="1:6" x14ac:dyDescent="0.3">
      <c r="A723" t="s">
        <v>190</v>
      </c>
      <c r="B723" t="s">
        <v>36</v>
      </c>
      <c r="C723" t="s">
        <v>41</v>
      </c>
      <c r="D723" s="2"/>
      <c r="E723" s="2"/>
    </row>
    <row r="724" spans="1:6" x14ac:dyDescent="0.3">
      <c r="A724" t="s">
        <v>190</v>
      </c>
      <c r="B724" t="s">
        <v>23</v>
      </c>
      <c r="C724" t="s">
        <v>24</v>
      </c>
      <c r="D724" s="2">
        <v>0.625</v>
      </c>
      <c r="E724" s="2">
        <v>0.91666666666666596</v>
      </c>
      <c r="F724" t="s">
        <v>189</v>
      </c>
    </row>
    <row r="725" spans="1:6" x14ac:dyDescent="0.3">
      <c r="A725" t="s">
        <v>191</v>
      </c>
      <c r="B725" t="s">
        <v>66</v>
      </c>
      <c r="C725" t="s">
        <v>13</v>
      </c>
      <c r="D725" s="2"/>
      <c r="E725" s="2"/>
    </row>
    <row r="726" spans="1:6" x14ac:dyDescent="0.3">
      <c r="A726" t="s">
        <v>191</v>
      </c>
      <c r="B726" t="s">
        <v>34</v>
      </c>
      <c r="C726" t="s">
        <v>15</v>
      </c>
      <c r="D726" s="2"/>
      <c r="E726" s="2"/>
    </row>
    <row r="727" spans="1:6" x14ac:dyDescent="0.3">
      <c r="A727" t="s">
        <v>191</v>
      </c>
      <c r="B727" t="s">
        <v>142</v>
      </c>
      <c r="C727" t="s">
        <v>8</v>
      </c>
      <c r="D727" s="2"/>
      <c r="E727" s="2"/>
    </row>
    <row r="728" spans="1:6" x14ac:dyDescent="0.3">
      <c r="A728" t="s">
        <v>191</v>
      </c>
      <c r="B728" t="s">
        <v>62</v>
      </c>
      <c r="C728" t="s">
        <v>13</v>
      </c>
      <c r="D728" s="2"/>
      <c r="E728" s="2"/>
    </row>
    <row r="729" spans="1:6" x14ac:dyDescent="0.3">
      <c r="A729" t="s">
        <v>191</v>
      </c>
      <c r="B729" t="s">
        <v>35</v>
      </c>
      <c r="C729" t="s">
        <v>8</v>
      </c>
      <c r="D729" s="2"/>
      <c r="E729" s="2"/>
    </row>
    <row r="730" spans="1:6" x14ac:dyDescent="0.3">
      <c r="A730" t="s">
        <v>191</v>
      </c>
      <c r="B730" t="s">
        <v>40</v>
      </c>
      <c r="C730" t="s">
        <v>10</v>
      </c>
      <c r="D730" s="2"/>
      <c r="E730" s="2"/>
    </row>
    <row r="731" spans="1:6" x14ac:dyDescent="0.3">
      <c r="A731" t="s">
        <v>191</v>
      </c>
      <c r="B731" t="s">
        <v>103</v>
      </c>
      <c r="C731" t="s">
        <v>10</v>
      </c>
      <c r="D731" s="2"/>
      <c r="E731" s="2"/>
    </row>
    <row r="732" spans="1:6" x14ac:dyDescent="0.3">
      <c r="A732" t="s">
        <v>191</v>
      </c>
      <c r="B732" t="s">
        <v>39</v>
      </c>
      <c r="C732" t="s">
        <v>41</v>
      </c>
      <c r="D732" s="2"/>
      <c r="E732" s="2"/>
    </row>
    <row r="733" spans="1:6" x14ac:dyDescent="0.3">
      <c r="A733" t="s">
        <v>191</v>
      </c>
      <c r="B733" t="s">
        <v>60</v>
      </c>
      <c r="C733" t="s">
        <v>41</v>
      </c>
      <c r="D733" s="2"/>
      <c r="E733" s="2"/>
    </row>
    <row r="734" spans="1:6" x14ac:dyDescent="0.3">
      <c r="A734" t="s">
        <v>191</v>
      </c>
      <c r="B734" t="s">
        <v>142</v>
      </c>
      <c r="C734" t="s">
        <v>43</v>
      </c>
      <c r="D734" s="2"/>
      <c r="E734" s="2"/>
    </row>
    <row r="735" spans="1:6" x14ac:dyDescent="0.3">
      <c r="A735" t="s">
        <v>191</v>
      </c>
      <c r="B735" t="s">
        <v>23</v>
      </c>
      <c r="C735" t="s">
        <v>45</v>
      </c>
      <c r="D735" s="2"/>
      <c r="E735" s="2"/>
    </row>
    <row r="736" spans="1:6" x14ac:dyDescent="0.3">
      <c r="A736" t="s">
        <v>191</v>
      </c>
      <c r="B736" t="s">
        <v>68</v>
      </c>
      <c r="C736" t="s">
        <v>46</v>
      </c>
      <c r="D736" s="2"/>
      <c r="E736" s="2"/>
    </row>
    <row r="737" spans="1:6" x14ac:dyDescent="0.3">
      <c r="A737" t="s">
        <v>191</v>
      </c>
      <c r="B737" t="s">
        <v>47</v>
      </c>
      <c r="C737" t="s">
        <v>18</v>
      </c>
      <c r="D737" s="2"/>
      <c r="E737" s="2"/>
    </row>
    <row r="738" spans="1:6" x14ac:dyDescent="0.3">
      <c r="A738" t="s">
        <v>191</v>
      </c>
      <c r="B738" t="s">
        <v>71</v>
      </c>
      <c r="C738" t="s">
        <v>49</v>
      </c>
      <c r="D738" s="2"/>
      <c r="E738" s="2"/>
    </row>
    <row r="739" spans="1:6" x14ac:dyDescent="0.3">
      <c r="A739" t="s">
        <v>191</v>
      </c>
      <c r="B739" t="s">
        <v>17</v>
      </c>
      <c r="C739" t="s">
        <v>51</v>
      </c>
      <c r="D739" s="2"/>
      <c r="E739" s="2"/>
    </row>
    <row r="740" spans="1:6" x14ac:dyDescent="0.3">
      <c r="A740" t="s">
        <v>191</v>
      </c>
      <c r="B740" t="s">
        <v>94</v>
      </c>
      <c r="C740" t="s">
        <v>24</v>
      </c>
      <c r="D740" s="2">
        <v>0.45833333333333398</v>
      </c>
      <c r="E740" s="2">
        <v>0.5</v>
      </c>
      <c r="F740" t="s">
        <v>192</v>
      </c>
    </row>
    <row r="741" spans="1:6" x14ac:dyDescent="0.3">
      <c r="A741" t="s">
        <v>193</v>
      </c>
      <c r="B741" t="s">
        <v>33</v>
      </c>
      <c r="C741" t="s">
        <v>13</v>
      </c>
      <c r="D741" s="2"/>
      <c r="E741" s="2"/>
    </row>
    <row r="742" spans="1:6" x14ac:dyDescent="0.3">
      <c r="A742" t="s">
        <v>193</v>
      </c>
      <c r="B742" t="s">
        <v>48</v>
      </c>
      <c r="C742" t="s">
        <v>8</v>
      </c>
      <c r="D742" s="2"/>
      <c r="E742" s="2"/>
    </row>
    <row r="743" spans="1:6" x14ac:dyDescent="0.3">
      <c r="A743" t="s">
        <v>193</v>
      </c>
      <c r="B743" t="s">
        <v>52</v>
      </c>
      <c r="C743" t="s">
        <v>78</v>
      </c>
      <c r="D743" s="2"/>
      <c r="E743" s="2"/>
    </row>
    <row r="744" spans="1:6" x14ac:dyDescent="0.3">
      <c r="A744" t="s">
        <v>193</v>
      </c>
      <c r="B744" t="s">
        <v>149</v>
      </c>
      <c r="C744" t="s">
        <v>13</v>
      </c>
      <c r="D744" s="2"/>
      <c r="E744" s="2"/>
    </row>
    <row r="745" spans="1:6" x14ac:dyDescent="0.3">
      <c r="A745" t="s">
        <v>193</v>
      </c>
      <c r="B745" t="s">
        <v>69</v>
      </c>
      <c r="C745" t="s">
        <v>8</v>
      </c>
      <c r="D745" s="2"/>
      <c r="E745" s="2"/>
    </row>
    <row r="746" spans="1:6" x14ac:dyDescent="0.3">
      <c r="A746" t="s">
        <v>193</v>
      </c>
      <c r="B746" t="s">
        <v>79</v>
      </c>
      <c r="C746" t="s">
        <v>78</v>
      </c>
      <c r="D746" s="2"/>
      <c r="E746" s="2"/>
    </row>
    <row r="747" spans="1:6" x14ac:dyDescent="0.3">
      <c r="A747" t="s">
        <v>194</v>
      </c>
      <c r="B747" t="s">
        <v>52</v>
      </c>
      <c r="C747" t="s">
        <v>13</v>
      </c>
      <c r="D747" s="2"/>
      <c r="E747" s="2"/>
    </row>
    <row r="748" spans="1:6" x14ac:dyDescent="0.3">
      <c r="A748" t="s">
        <v>194</v>
      </c>
      <c r="B748" t="s">
        <v>33</v>
      </c>
      <c r="C748" t="s">
        <v>8</v>
      </c>
      <c r="D748" s="2"/>
      <c r="E748" s="2"/>
    </row>
    <row r="749" spans="1:6" x14ac:dyDescent="0.3">
      <c r="A749" t="s">
        <v>194</v>
      </c>
      <c r="B749" t="s">
        <v>48</v>
      </c>
      <c r="C749" t="s">
        <v>78</v>
      </c>
      <c r="D749" s="2"/>
      <c r="E749" s="2"/>
    </row>
    <row r="750" spans="1:6" x14ac:dyDescent="0.3">
      <c r="A750" t="s">
        <v>194</v>
      </c>
      <c r="B750" t="s">
        <v>149</v>
      </c>
      <c r="C750" t="s">
        <v>13</v>
      </c>
      <c r="D750" s="2"/>
      <c r="E750" s="2"/>
    </row>
    <row r="751" spans="1:6" x14ac:dyDescent="0.3">
      <c r="A751" t="s">
        <v>194</v>
      </c>
      <c r="B751" t="s">
        <v>69</v>
      </c>
      <c r="C751" t="s">
        <v>8</v>
      </c>
      <c r="D751" s="2"/>
      <c r="E751" s="2"/>
    </row>
    <row r="752" spans="1:6" x14ac:dyDescent="0.3">
      <c r="A752" t="s">
        <v>194</v>
      </c>
      <c r="B752" t="s">
        <v>79</v>
      </c>
      <c r="C752" t="s">
        <v>78</v>
      </c>
      <c r="D752" s="2"/>
      <c r="E752" s="2"/>
    </row>
    <row r="753" spans="1:5" x14ac:dyDescent="0.3">
      <c r="A753" t="s">
        <v>195</v>
      </c>
      <c r="B753" t="s">
        <v>94</v>
      </c>
      <c r="C753" t="s">
        <v>13</v>
      </c>
      <c r="D753" s="2"/>
      <c r="E753" s="2"/>
    </row>
    <row r="754" spans="1:5" x14ac:dyDescent="0.3">
      <c r="A754" t="s">
        <v>195</v>
      </c>
      <c r="B754" t="s">
        <v>47</v>
      </c>
      <c r="C754" t="s">
        <v>8</v>
      </c>
      <c r="D754" s="2"/>
      <c r="E754" s="2"/>
    </row>
    <row r="755" spans="1:5" x14ac:dyDescent="0.3">
      <c r="A755" t="s">
        <v>195</v>
      </c>
      <c r="B755" t="s">
        <v>85</v>
      </c>
      <c r="C755" t="s">
        <v>78</v>
      </c>
      <c r="D755" s="2"/>
      <c r="E755" s="2"/>
    </row>
    <row r="756" spans="1:5" x14ac:dyDescent="0.3">
      <c r="A756" t="s">
        <v>195</v>
      </c>
      <c r="B756" t="s">
        <v>60</v>
      </c>
      <c r="C756" t="s">
        <v>13</v>
      </c>
      <c r="D756" s="2"/>
      <c r="E756" s="2"/>
    </row>
    <row r="757" spans="1:5" x14ac:dyDescent="0.3">
      <c r="A757" t="s">
        <v>195</v>
      </c>
      <c r="B757" t="s">
        <v>35</v>
      </c>
      <c r="C757" t="s">
        <v>8</v>
      </c>
      <c r="D757" s="2"/>
      <c r="E757" s="2"/>
    </row>
    <row r="758" spans="1:5" x14ac:dyDescent="0.3">
      <c r="A758" t="s">
        <v>195</v>
      </c>
      <c r="B758" t="s">
        <v>36</v>
      </c>
      <c r="C758" t="s">
        <v>78</v>
      </c>
      <c r="D758" s="2"/>
      <c r="E758" s="2"/>
    </row>
    <row r="759" spans="1:5" x14ac:dyDescent="0.3">
      <c r="A759" t="s">
        <v>196</v>
      </c>
      <c r="B759" t="s">
        <v>37</v>
      </c>
      <c r="C759" t="s">
        <v>13</v>
      </c>
      <c r="D759" s="2"/>
      <c r="E759" s="2"/>
    </row>
    <row r="760" spans="1:5" x14ac:dyDescent="0.3">
      <c r="A760" t="s">
        <v>196</v>
      </c>
      <c r="B760" t="s">
        <v>72</v>
      </c>
      <c r="C760" t="s">
        <v>8</v>
      </c>
      <c r="D760" s="2"/>
      <c r="E760" s="2"/>
    </row>
    <row r="761" spans="1:5" x14ac:dyDescent="0.3">
      <c r="A761" t="s">
        <v>196</v>
      </c>
      <c r="B761" t="s">
        <v>44</v>
      </c>
      <c r="C761" t="s">
        <v>78</v>
      </c>
      <c r="D761" s="2"/>
      <c r="E761" s="2"/>
    </row>
    <row r="762" spans="1:5" x14ac:dyDescent="0.3">
      <c r="A762" t="s">
        <v>196</v>
      </c>
      <c r="B762" t="s">
        <v>57</v>
      </c>
      <c r="C762" t="s">
        <v>13</v>
      </c>
      <c r="D762" s="2"/>
      <c r="E762" s="2"/>
    </row>
    <row r="763" spans="1:5" x14ac:dyDescent="0.3">
      <c r="A763" t="s">
        <v>196</v>
      </c>
      <c r="B763" t="s">
        <v>42</v>
      </c>
      <c r="C763" t="s">
        <v>8</v>
      </c>
      <c r="D763" s="2"/>
      <c r="E763" s="2"/>
    </row>
    <row r="764" spans="1:5" x14ac:dyDescent="0.3">
      <c r="A764" t="s">
        <v>196</v>
      </c>
      <c r="B764" t="s">
        <v>38</v>
      </c>
      <c r="C764" t="s">
        <v>78</v>
      </c>
      <c r="D764" s="2"/>
      <c r="E764" s="2"/>
    </row>
    <row r="765" spans="1:5" x14ac:dyDescent="0.3">
      <c r="A765" t="s">
        <v>196</v>
      </c>
      <c r="B765" t="s">
        <v>40</v>
      </c>
      <c r="C765" t="s">
        <v>10</v>
      </c>
      <c r="D765" s="2"/>
      <c r="E765" s="2"/>
    </row>
    <row r="766" spans="1:5" x14ac:dyDescent="0.3">
      <c r="A766" t="s">
        <v>196</v>
      </c>
      <c r="B766" t="s">
        <v>103</v>
      </c>
      <c r="C766" t="s">
        <v>10</v>
      </c>
      <c r="D766" s="2"/>
      <c r="E766" s="2"/>
    </row>
    <row r="767" spans="1:5" x14ac:dyDescent="0.3">
      <c r="A767" t="s">
        <v>196</v>
      </c>
      <c r="B767" t="s">
        <v>35</v>
      </c>
      <c r="C767" t="s">
        <v>10</v>
      </c>
      <c r="D767" s="2"/>
      <c r="E767" s="2"/>
    </row>
    <row r="768" spans="1:5" x14ac:dyDescent="0.3">
      <c r="A768" t="s">
        <v>197</v>
      </c>
      <c r="B768" t="s">
        <v>44</v>
      </c>
      <c r="C768" t="s">
        <v>13</v>
      </c>
      <c r="D768" s="2"/>
      <c r="E768" s="2"/>
    </row>
    <row r="769" spans="1:5" x14ac:dyDescent="0.3">
      <c r="A769" t="s">
        <v>197</v>
      </c>
      <c r="B769" t="s">
        <v>71</v>
      </c>
      <c r="C769" t="s">
        <v>15</v>
      </c>
      <c r="D769" s="2"/>
      <c r="E769" s="2"/>
    </row>
    <row r="770" spans="1:5" x14ac:dyDescent="0.3">
      <c r="A770" t="s">
        <v>197</v>
      </c>
      <c r="B770" t="s">
        <v>63</v>
      </c>
      <c r="C770" t="s">
        <v>8</v>
      </c>
      <c r="D770" s="2"/>
      <c r="E770" s="2"/>
    </row>
    <row r="771" spans="1:5" x14ac:dyDescent="0.3">
      <c r="A771" t="s">
        <v>197</v>
      </c>
      <c r="B771" t="s">
        <v>109</v>
      </c>
      <c r="C771" t="s">
        <v>13</v>
      </c>
      <c r="D771" s="2"/>
      <c r="E771" s="2"/>
    </row>
    <row r="772" spans="1:5" x14ac:dyDescent="0.3">
      <c r="A772" t="s">
        <v>197</v>
      </c>
      <c r="B772" t="s">
        <v>79</v>
      </c>
      <c r="C772" t="s">
        <v>8</v>
      </c>
      <c r="D772" s="2"/>
      <c r="E772" s="2"/>
    </row>
    <row r="773" spans="1:5" x14ac:dyDescent="0.3">
      <c r="A773" t="s">
        <v>197</v>
      </c>
      <c r="B773" t="s">
        <v>40</v>
      </c>
      <c r="C773" t="s">
        <v>10</v>
      </c>
      <c r="D773" s="2"/>
      <c r="E773" s="2"/>
    </row>
    <row r="774" spans="1:5" x14ac:dyDescent="0.3">
      <c r="A774" t="s">
        <v>197</v>
      </c>
      <c r="B774" t="s">
        <v>103</v>
      </c>
      <c r="C774" t="s">
        <v>10</v>
      </c>
      <c r="D774" s="2"/>
      <c r="E774" s="2"/>
    </row>
    <row r="775" spans="1:5" x14ac:dyDescent="0.3">
      <c r="A775" t="s">
        <v>197</v>
      </c>
      <c r="B775" t="s">
        <v>35</v>
      </c>
      <c r="C775" t="s">
        <v>10</v>
      </c>
      <c r="D775" s="2"/>
      <c r="E775" s="2"/>
    </row>
    <row r="776" spans="1:5" x14ac:dyDescent="0.3">
      <c r="A776" t="s">
        <v>197</v>
      </c>
      <c r="B776" t="s">
        <v>83</v>
      </c>
      <c r="C776" t="s">
        <v>41</v>
      </c>
      <c r="D776" s="2"/>
      <c r="E776" s="2"/>
    </row>
    <row r="777" spans="1:5" x14ac:dyDescent="0.3">
      <c r="A777" t="s">
        <v>197</v>
      </c>
      <c r="B777" t="s">
        <v>39</v>
      </c>
      <c r="C777" t="s">
        <v>41</v>
      </c>
      <c r="D777" s="2"/>
      <c r="E777" s="2"/>
    </row>
    <row r="778" spans="1:5" x14ac:dyDescent="0.3">
      <c r="A778" t="s">
        <v>197</v>
      </c>
      <c r="B778" t="s">
        <v>84</v>
      </c>
      <c r="C778" t="s">
        <v>26</v>
      </c>
      <c r="D778" s="2">
        <v>0.79166666666666696</v>
      </c>
      <c r="E778" s="2">
        <v>0.91666666666666596</v>
      </c>
    </row>
    <row r="779" spans="1:5" x14ac:dyDescent="0.3">
      <c r="A779" t="s">
        <v>197</v>
      </c>
      <c r="B779" t="s">
        <v>29</v>
      </c>
      <c r="C779" t="s">
        <v>43</v>
      </c>
      <c r="D779" s="2"/>
      <c r="E779" s="2"/>
    </row>
    <row r="780" spans="1:5" x14ac:dyDescent="0.3">
      <c r="A780" t="s">
        <v>197</v>
      </c>
      <c r="B780" t="s">
        <v>52</v>
      </c>
      <c r="C780" t="s">
        <v>45</v>
      </c>
      <c r="D780" s="2"/>
      <c r="E780" s="2"/>
    </row>
    <row r="781" spans="1:5" x14ac:dyDescent="0.3">
      <c r="A781" t="s">
        <v>197</v>
      </c>
      <c r="B781" t="s">
        <v>14</v>
      </c>
      <c r="C781" t="s">
        <v>46</v>
      </c>
      <c r="D781" s="2"/>
      <c r="E781" s="2"/>
    </row>
    <row r="782" spans="1:5" x14ac:dyDescent="0.3">
      <c r="A782" t="s">
        <v>197</v>
      </c>
      <c r="B782" t="s">
        <v>94</v>
      </c>
      <c r="C782" t="s">
        <v>18</v>
      </c>
      <c r="D782" s="2"/>
      <c r="E782" s="2"/>
    </row>
    <row r="783" spans="1:5" x14ac:dyDescent="0.3">
      <c r="A783" t="s">
        <v>197</v>
      </c>
      <c r="B783" t="s">
        <v>48</v>
      </c>
      <c r="C783" t="s">
        <v>49</v>
      </c>
      <c r="D783" s="2"/>
      <c r="E783" s="2"/>
    </row>
    <row r="784" spans="1:5" x14ac:dyDescent="0.3">
      <c r="A784" t="s">
        <v>197</v>
      </c>
      <c r="B784" t="s">
        <v>17</v>
      </c>
      <c r="C784" t="s">
        <v>51</v>
      </c>
      <c r="D784" s="2"/>
      <c r="E784" s="2"/>
    </row>
    <row r="785" spans="1:6" x14ac:dyDescent="0.3">
      <c r="A785" t="s">
        <v>197</v>
      </c>
      <c r="B785" t="s">
        <v>142</v>
      </c>
      <c r="C785" t="s">
        <v>55</v>
      </c>
      <c r="D785" s="2">
        <v>0.83333333333333337</v>
      </c>
      <c r="E785" s="2">
        <v>0.91666666666666596</v>
      </c>
      <c r="F785" t="s">
        <v>198</v>
      </c>
    </row>
    <row r="786" spans="1:6" x14ac:dyDescent="0.3">
      <c r="A786" t="s">
        <v>197</v>
      </c>
      <c r="B786" t="s">
        <v>69</v>
      </c>
      <c r="C786" t="s">
        <v>55</v>
      </c>
      <c r="D786" s="2">
        <v>0.83333333333333337</v>
      </c>
      <c r="E786" s="2">
        <v>0.91666666666666596</v>
      </c>
      <c r="F786" t="s">
        <v>198</v>
      </c>
    </row>
    <row r="787" spans="1:6" x14ac:dyDescent="0.3">
      <c r="A787" t="s">
        <v>197</v>
      </c>
      <c r="B787" t="s">
        <v>12</v>
      </c>
      <c r="C787" t="s">
        <v>53</v>
      </c>
      <c r="D787" s="2">
        <v>0.33333333333333331</v>
      </c>
      <c r="E787" s="2">
        <v>0.41666666666666702</v>
      </c>
      <c r="F787" t="s">
        <v>199</v>
      </c>
    </row>
    <row r="788" spans="1:6" x14ac:dyDescent="0.3">
      <c r="A788" t="s">
        <v>197</v>
      </c>
      <c r="B788" t="s">
        <v>12</v>
      </c>
      <c r="C788" t="s">
        <v>53</v>
      </c>
      <c r="D788" s="2">
        <v>0.41666666666666702</v>
      </c>
      <c r="E788" s="2">
        <v>0.45833333333333398</v>
      </c>
      <c r="F788" t="s">
        <v>200</v>
      </c>
    </row>
    <row r="789" spans="1:6" x14ac:dyDescent="0.3">
      <c r="A789" t="s">
        <v>197</v>
      </c>
      <c r="B789" t="s">
        <v>23</v>
      </c>
      <c r="C789" t="s">
        <v>24</v>
      </c>
      <c r="D789" s="2">
        <v>0.70833333333333304</v>
      </c>
      <c r="E789" s="2">
        <v>0.79166666666666696</v>
      </c>
      <c r="F789" t="s">
        <v>201</v>
      </c>
    </row>
    <row r="790" spans="1:6" x14ac:dyDescent="0.3">
      <c r="A790" t="s">
        <v>197</v>
      </c>
      <c r="B790" t="s">
        <v>12</v>
      </c>
      <c r="C790" t="s">
        <v>53</v>
      </c>
      <c r="D790" s="2">
        <v>0.45833333333333398</v>
      </c>
      <c r="E790" s="2">
        <v>0.5</v>
      </c>
      <c r="F790" t="s">
        <v>202</v>
      </c>
    </row>
    <row r="791" spans="1:6" x14ac:dyDescent="0.3">
      <c r="A791" t="s">
        <v>197</v>
      </c>
      <c r="B791" s="23" t="s">
        <v>14</v>
      </c>
      <c r="C791" s="23" t="s">
        <v>26</v>
      </c>
      <c r="D791" s="24">
        <v>0.66666666666666696</v>
      </c>
      <c r="E791" s="24">
        <v>0.79166666666666696</v>
      </c>
      <c r="F791" s="23"/>
    </row>
    <row r="792" spans="1:6" x14ac:dyDescent="0.3">
      <c r="A792" t="s">
        <v>197</v>
      </c>
      <c r="B792" s="23" t="s">
        <v>33</v>
      </c>
      <c r="C792" s="23" t="s">
        <v>26</v>
      </c>
      <c r="D792" s="24">
        <v>0.79166666666666696</v>
      </c>
      <c r="E792" s="24">
        <v>0.95833333333333304</v>
      </c>
      <c r="F792" s="23"/>
    </row>
    <row r="793" spans="1:6" x14ac:dyDescent="0.3">
      <c r="A793" t="s">
        <v>197</v>
      </c>
      <c r="B793" s="23" t="s">
        <v>12</v>
      </c>
      <c r="C793" s="23" t="s">
        <v>55</v>
      </c>
      <c r="D793" s="24">
        <v>0.79166666666666696</v>
      </c>
      <c r="E793" s="24">
        <v>0.83333333333333337</v>
      </c>
      <c r="F793" s="23" t="s">
        <v>203</v>
      </c>
    </row>
    <row r="794" spans="1:6" x14ac:dyDescent="0.3">
      <c r="A794" t="s">
        <v>204</v>
      </c>
      <c r="B794" t="s">
        <v>84</v>
      </c>
      <c r="C794" t="s">
        <v>13</v>
      </c>
      <c r="D794" s="2"/>
      <c r="E794" s="2"/>
    </row>
    <row r="795" spans="1:6" x14ac:dyDescent="0.3">
      <c r="A795" t="s">
        <v>204</v>
      </c>
      <c r="B795" t="s">
        <v>94</v>
      </c>
      <c r="C795" t="s">
        <v>15</v>
      </c>
      <c r="D795" s="2"/>
      <c r="E795" s="2"/>
    </row>
    <row r="796" spans="1:6" x14ac:dyDescent="0.3">
      <c r="A796" t="s">
        <v>204</v>
      </c>
      <c r="B796" t="s">
        <v>37</v>
      </c>
      <c r="C796" t="s">
        <v>8</v>
      </c>
      <c r="D796" s="2"/>
      <c r="E796" s="2"/>
    </row>
    <row r="797" spans="1:6" x14ac:dyDescent="0.3">
      <c r="A797" t="s">
        <v>204</v>
      </c>
      <c r="B797" t="s">
        <v>80</v>
      </c>
      <c r="C797" t="s">
        <v>13</v>
      </c>
      <c r="D797" s="2"/>
      <c r="E797" s="2"/>
    </row>
    <row r="798" spans="1:6" x14ac:dyDescent="0.3">
      <c r="A798" t="s">
        <v>204</v>
      </c>
      <c r="B798" t="s">
        <v>38</v>
      </c>
      <c r="C798" t="s">
        <v>8</v>
      </c>
      <c r="D798" s="2"/>
      <c r="E798" s="2"/>
    </row>
    <row r="799" spans="1:6" x14ac:dyDescent="0.3">
      <c r="A799" t="s">
        <v>204</v>
      </c>
      <c r="B799" t="s">
        <v>33</v>
      </c>
      <c r="C799" t="s">
        <v>30</v>
      </c>
      <c r="D799" s="2"/>
      <c r="E799" s="2"/>
    </row>
    <row r="800" spans="1:6" x14ac:dyDescent="0.3">
      <c r="A800" t="s">
        <v>204</v>
      </c>
      <c r="B800" t="s">
        <v>40</v>
      </c>
      <c r="C800" t="s">
        <v>10</v>
      </c>
      <c r="D800" s="2"/>
      <c r="E800" s="2"/>
    </row>
    <row r="801" spans="1:6" x14ac:dyDescent="0.3">
      <c r="A801" t="s">
        <v>204</v>
      </c>
      <c r="B801" t="s">
        <v>103</v>
      </c>
      <c r="C801" t="s">
        <v>10</v>
      </c>
      <c r="D801" s="2"/>
      <c r="E801" s="2"/>
    </row>
    <row r="802" spans="1:6" x14ac:dyDescent="0.3">
      <c r="A802" t="s">
        <v>204</v>
      </c>
      <c r="B802" t="s">
        <v>35</v>
      </c>
      <c r="C802" t="s">
        <v>10</v>
      </c>
      <c r="D802" s="2"/>
      <c r="E802" s="2"/>
    </row>
    <row r="803" spans="1:6" x14ac:dyDescent="0.3">
      <c r="A803" t="s">
        <v>204</v>
      </c>
      <c r="B803" t="s">
        <v>109</v>
      </c>
      <c r="C803" t="s">
        <v>41</v>
      </c>
      <c r="D803" s="2"/>
      <c r="E803" s="2"/>
    </row>
    <row r="804" spans="1:6" x14ac:dyDescent="0.3">
      <c r="A804" t="s">
        <v>204</v>
      </c>
      <c r="B804" t="s">
        <v>79</v>
      </c>
      <c r="C804" t="s">
        <v>41</v>
      </c>
      <c r="D804" s="2"/>
      <c r="E804" s="2"/>
    </row>
    <row r="805" spans="1:6" x14ac:dyDescent="0.3">
      <c r="A805" t="s">
        <v>204</v>
      </c>
      <c r="B805" t="s">
        <v>75</v>
      </c>
      <c r="C805" t="s">
        <v>26</v>
      </c>
      <c r="D805" s="2">
        <v>0.66666666666666696</v>
      </c>
      <c r="E805" s="2">
        <v>0.79166666666666696</v>
      </c>
    </row>
    <row r="806" spans="1:6" x14ac:dyDescent="0.3">
      <c r="A806" t="s">
        <v>204</v>
      </c>
      <c r="B806" t="s">
        <v>75</v>
      </c>
      <c r="C806" t="s">
        <v>26</v>
      </c>
      <c r="D806" s="2">
        <v>0.79166666666666696</v>
      </c>
      <c r="E806" s="2">
        <v>0.91666666666666596</v>
      </c>
    </row>
    <row r="807" spans="1:6" x14ac:dyDescent="0.3">
      <c r="A807" t="s">
        <v>204</v>
      </c>
      <c r="B807" t="s">
        <v>37</v>
      </c>
      <c r="C807" t="s">
        <v>43</v>
      </c>
      <c r="D807" s="2"/>
      <c r="E807" s="2"/>
    </row>
    <row r="808" spans="1:6" x14ac:dyDescent="0.3">
      <c r="A808" t="s">
        <v>204</v>
      </c>
      <c r="B808" t="s">
        <v>52</v>
      </c>
      <c r="C808" t="s">
        <v>45</v>
      </c>
      <c r="D808" s="2"/>
      <c r="E808" s="2"/>
    </row>
    <row r="809" spans="1:6" x14ac:dyDescent="0.3">
      <c r="A809" t="s">
        <v>204</v>
      </c>
      <c r="B809" t="s">
        <v>21</v>
      </c>
      <c r="C809" t="s">
        <v>46</v>
      </c>
      <c r="D809" s="2"/>
      <c r="E809" s="2"/>
    </row>
    <row r="810" spans="1:6" x14ac:dyDescent="0.3">
      <c r="A810" t="s">
        <v>204</v>
      </c>
      <c r="B810" t="s">
        <v>72</v>
      </c>
      <c r="C810" t="s">
        <v>18</v>
      </c>
      <c r="D810" s="2"/>
      <c r="E810" s="2"/>
    </row>
    <row r="811" spans="1:6" x14ac:dyDescent="0.3">
      <c r="A811" t="s">
        <v>204</v>
      </c>
      <c r="B811" t="s">
        <v>48</v>
      </c>
      <c r="C811" t="s">
        <v>49</v>
      </c>
      <c r="D811" s="2"/>
      <c r="E811" s="2"/>
    </row>
    <row r="812" spans="1:6" x14ac:dyDescent="0.3">
      <c r="A812" t="s">
        <v>204</v>
      </c>
      <c r="B812" t="s">
        <v>17</v>
      </c>
      <c r="C812" t="s">
        <v>51</v>
      </c>
      <c r="D812" s="2"/>
      <c r="E812" s="2"/>
    </row>
    <row r="813" spans="1:6" x14ac:dyDescent="0.3">
      <c r="A813" t="s">
        <v>204</v>
      </c>
      <c r="B813" t="s">
        <v>29</v>
      </c>
      <c r="C813" t="s">
        <v>26</v>
      </c>
      <c r="D813" s="2">
        <v>0.66666666666666696</v>
      </c>
      <c r="E813" s="2">
        <v>0.79166666666666696</v>
      </c>
    </row>
    <row r="814" spans="1:6" x14ac:dyDescent="0.3">
      <c r="A814" t="s">
        <v>204</v>
      </c>
      <c r="B814" t="s">
        <v>29</v>
      </c>
      <c r="C814" t="s">
        <v>26</v>
      </c>
      <c r="D814" s="2">
        <v>0.79166666666666696</v>
      </c>
      <c r="E814" s="2">
        <v>0.91666666666666596</v>
      </c>
    </row>
    <row r="815" spans="1:6" x14ac:dyDescent="0.3">
      <c r="A815" t="s">
        <v>204</v>
      </c>
      <c r="B815" s="23" t="s">
        <v>50</v>
      </c>
      <c r="C815" s="23" t="s">
        <v>24</v>
      </c>
      <c r="D815" s="24"/>
      <c r="E815" s="24"/>
      <c r="F815" s="23" t="s">
        <v>205</v>
      </c>
    </row>
    <row r="816" spans="1:6" x14ac:dyDescent="0.3">
      <c r="A816" t="s">
        <v>204</v>
      </c>
      <c r="B816" s="23" t="s">
        <v>20</v>
      </c>
      <c r="C816" s="23" t="s">
        <v>24</v>
      </c>
      <c r="D816" s="24"/>
      <c r="E816" s="24"/>
      <c r="F816" s="23" t="s">
        <v>205</v>
      </c>
    </row>
    <row r="817" spans="1:6" x14ac:dyDescent="0.3">
      <c r="A817" t="s">
        <v>204</v>
      </c>
      <c r="B817" s="23" t="s">
        <v>73</v>
      </c>
      <c r="C817" s="23" t="s">
        <v>24</v>
      </c>
      <c r="D817" s="24"/>
      <c r="E817" s="24"/>
      <c r="F817" s="23" t="s">
        <v>205</v>
      </c>
    </row>
    <row r="818" spans="1:6" x14ac:dyDescent="0.3">
      <c r="A818" t="s">
        <v>206</v>
      </c>
      <c r="B818" t="s">
        <v>142</v>
      </c>
      <c r="C818" t="s">
        <v>13</v>
      </c>
      <c r="D818" s="2"/>
      <c r="E818" s="2"/>
    </row>
    <row r="819" spans="1:6" x14ac:dyDescent="0.3">
      <c r="A819" t="s">
        <v>206</v>
      </c>
      <c r="B819" t="s">
        <v>27</v>
      </c>
      <c r="C819" t="s">
        <v>13</v>
      </c>
      <c r="D819" s="2"/>
      <c r="E819" s="2"/>
    </row>
    <row r="820" spans="1:6" x14ac:dyDescent="0.3">
      <c r="A820" t="s">
        <v>206</v>
      </c>
      <c r="B820" t="s">
        <v>75</v>
      </c>
      <c r="C820" t="s">
        <v>15</v>
      </c>
      <c r="D820" s="2"/>
      <c r="E820" s="2"/>
    </row>
    <row r="821" spans="1:6" x14ac:dyDescent="0.3">
      <c r="A821" t="s">
        <v>206</v>
      </c>
      <c r="B821" t="s">
        <v>33</v>
      </c>
      <c r="C821" t="s">
        <v>8</v>
      </c>
      <c r="D821" s="2"/>
      <c r="E821" s="2"/>
    </row>
    <row r="822" spans="1:6" x14ac:dyDescent="0.3">
      <c r="A822" t="s">
        <v>206</v>
      </c>
      <c r="B822" t="s">
        <v>57</v>
      </c>
      <c r="C822" t="s">
        <v>8</v>
      </c>
      <c r="D822" s="2"/>
      <c r="E822" s="2"/>
    </row>
    <row r="823" spans="1:6" x14ac:dyDescent="0.3">
      <c r="A823" t="s">
        <v>206</v>
      </c>
      <c r="B823" t="s">
        <v>36</v>
      </c>
      <c r="C823" t="s">
        <v>10</v>
      </c>
      <c r="D823" s="2"/>
      <c r="E823" s="2"/>
    </row>
    <row r="824" spans="1:6" x14ac:dyDescent="0.3">
      <c r="A824" t="s">
        <v>206</v>
      </c>
      <c r="B824" t="s">
        <v>97</v>
      </c>
      <c r="C824" t="s">
        <v>10</v>
      </c>
      <c r="D824" s="2"/>
      <c r="E824" s="2"/>
    </row>
    <row r="825" spans="1:6" x14ac:dyDescent="0.3">
      <c r="A825" t="s">
        <v>206</v>
      </c>
      <c r="B825" t="s">
        <v>40</v>
      </c>
      <c r="C825" t="s">
        <v>41</v>
      </c>
      <c r="D825" s="2"/>
      <c r="E825" s="2"/>
    </row>
    <row r="826" spans="1:6" x14ac:dyDescent="0.3">
      <c r="A826" t="s">
        <v>206</v>
      </c>
      <c r="B826" t="s">
        <v>59</v>
      </c>
      <c r="C826" t="s">
        <v>41</v>
      </c>
      <c r="D826" s="2"/>
      <c r="E826" s="2"/>
    </row>
    <row r="827" spans="1:6" x14ac:dyDescent="0.3">
      <c r="A827" t="s">
        <v>206</v>
      </c>
      <c r="B827" t="s">
        <v>44</v>
      </c>
      <c r="C827" t="s">
        <v>26</v>
      </c>
      <c r="D827" s="2">
        <v>0.41666666666666702</v>
      </c>
      <c r="E827" s="2">
        <v>0.54166666666666696</v>
      </c>
    </row>
    <row r="828" spans="1:6" x14ac:dyDescent="0.3">
      <c r="A828" t="s">
        <v>206</v>
      </c>
      <c r="B828" t="s">
        <v>16</v>
      </c>
      <c r="C828" t="s">
        <v>26</v>
      </c>
      <c r="D828" s="2">
        <v>0.54166666666666696</v>
      </c>
      <c r="E828" s="2">
        <v>0.66666666666666696</v>
      </c>
    </row>
    <row r="829" spans="1:6" x14ac:dyDescent="0.3">
      <c r="A829" t="s">
        <v>206</v>
      </c>
      <c r="B829" t="s">
        <v>68</v>
      </c>
      <c r="C829" t="s">
        <v>26</v>
      </c>
      <c r="D829" s="2">
        <v>0.79166666666666696</v>
      </c>
      <c r="E829" s="2">
        <v>0.83333333333333337</v>
      </c>
    </row>
    <row r="830" spans="1:6" x14ac:dyDescent="0.3">
      <c r="A830" t="s">
        <v>206</v>
      </c>
      <c r="B830" t="s">
        <v>64</v>
      </c>
      <c r="C830" t="s">
        <v>43</v>
      </c>
      <c r="D830" s="2"/>
      <c r="E830" s="2"/>
    </row>
    <row r="831" spans="1:6" x14ac:dyDescent="0.3">
      <c r="A831" t="s">
        <v>206</v>
      </c>
      <c r="B831" t="s">
        <v>23</v>
      </c>
      <c r="C831" t="s">
        <v>45</v>
      </c>
      <c r="D831" s="2"/>
      <c r="E831" s="2"/>
    </row>
    <row r="832" spans="1:6" x14ac:dyDescent="0.3">
      <c r="A832" t="s">
        <v>206</v>
      </c>
      <c r="B832" t="s">
        <v>16</v>
      </c>
      <c r="C832" t="s">
        <v>46</v>
      </c>
      <c r="D832" s="2"/>
      <c r="E832" s="2"/>
    </row>
    <row r="833" spans="1:6" x14ac:dyDescent="0.3">
      <c r="A833" t="s">
        <v>206</v>
      </c>
      <c r="B833" t="s">
        <v>72</v>
      </c>
      <c r="C833" t="s">
        <v>18</v>
      </c>
      <c r="D833" s="2"/>
      <c r="E833" s="2"/>
    </row>
    <row r="834" spans="1:6" x14ac:dyDescent="0.3">
      <c r="A834" t="s">
        <v>206</v>
      </c>
      <c r="B834" t="s">
        <v>85</v>
      </c>
      <c r="C834" t="s">
        <v>49</v>
      </c>
      <c r="D834" s="2"/>
      <c r="E834" s="2"/>
    </row>
    <row r="835" spans="1:6" x14ac:dyDescent="0.3">
      <c r="A835" t="s">
        <v>206</v>
      </c>
      <c r="B835" t="s">
        <v>75</v>
      </c>
      <c r="C835" t="s">
        <v>51</v>
      </c>
      <c r="D835" s="2"/>
      <c r="E835" s="2"/>
    </row>
    <row r="836" spans="1:6" x14ac:dyDescent="0.3">
      <c r="A836" t="s">
        <v>206</v>
      </c>
      <c r="B836" t="s">
        <v>20</v>
      </c>
      <c r="C836" t="s">
        <v>24</v>
      </c>
      <c r="D836" s="2">
        <v>0.79166666666666696</v>
      </c>
      <c r="E836" s="2">
        <v>0.83333333333333337</v>
      </c>
      <c r="F836" t="s">
        <v>207</v>
      </c>
    </row>
    <row r="837" spans="1:6" x14ac:dyDescent="0.3">
      <c r="A837" t="s">
        <v>206</v>
      </c>
      <c r="B837" t="s">
        <v>23</v>
      </c>
      <c r="C837" t="s">
        <v>24</v>
      </c>
      <c r="D837" s="2">
        <v>0.79166666666666696</v>
      </c>
      <c r="E837" s="2">
        <v>0.83333333333333337</v>
      </c>
      <c r="F837" t="s">
        <v>207</v>
      </c>
    </row>
    <row r="838" spans="1:6" x14ac:dyDescent="0.3">
      <c r="A838" t="s">
        <v>206</v>
      </c>
      <c r="B838" t="s">
        <v>12</v>
      </c>
      <c r="C838" t="s">
        <v>24</v>
      </c>
      <c r="D838" s="2">
        <v>0.79166666666666696</v>
      </c>
      <c r="E838" s="2">
        <v>0.83333333333333337</v>
      </c>
      <c r="F838" t="s">
        <v>207</v>
      </c>
    </row>
    <row r="839" spans="1:6" x14ac:dyDescent="0.3">
      <c r="A839" t="s">
        <v>206</v>
      </c>
      <c r="B839" t="s">
        <v>73</v>
      </c>
      <c r="C839" t="s">
        <v>24</v>
      </c>
      <c r="D839" s="2">
        <v>0.79166666666666696</v>
      </c>
      <c r="E839" s="2">
        <v>0.83333333333333337</v>
      </c>
      <c r="F839" t="s">
        <v>207</v>
      </c>
    </row>
    <row r="840" spans="1:6" x14ac:dyDescent="0.3">
      <c r="A840" t="s">
        <v>206</v>
      </c>
      <c r="B840" t="s">
        <v>50</v>
      </c>
      <c r="C840" t="s">
        <v>24</v>
      </c>
      <c r="D840" s="2">
        <v>0.79166666666666696</v>
      </c>
      <c r="E840" s="2">
        <v>0.83333333333333337</v>
      </c>
      <c r="F840" t="s">
        <v>207</v>
      </c>
    </row>
    <row r="841" spans="1:6" x14ac:dyDescent="0.3">
      <c r="A841" t="s">
        <v>206</v>
      </c>
      <c r="B841" t="s">
        <v>47</v>
      </c>
      <c r="C841" t="s">
        <v>24</v>
      </c>
      <c r="D841" s="2">
        <v>0.79166666666666696</v>
      </c>
      <c r="E841" s="2">
        <v>0.83333333333333337</v>
      </c>
      <c r="F841" t="s">
        <v>207</v>
      </c>
    </row>
    <row r="842" spans="1:6" x14ac:dyDescent="0.3">
      <c r="A842" t="s">
        <v>206</v>
      </c>
      <c r="B842" t="s">
        <v>29</v>
      </c>
      <c r="C842" t="s">
        <v>24</v>
      </c>
      <c r="D842" s="2">
        <v>0.79166666666666696</v>
      </c>
      <c r="E842" s="2">
        <v>0.83333333333333337</v>
      </c>
      <c r="F842" t="s">
        <v>207</v>
      </c>
    </row>
    <row r="843" spans="1:6" x14ac:dyDescent="0.3">
      <c r="A843" t="s">
        <v>206</v>
      </c>
      <c r="B843" t="s">
        <v>17</v>
      </c>
      <c r="C843" t="s">
        <v>24</v>
      </c>
      <c r="D843" s="2">
        <v>0.33333333333333331</v>
      </c>
      <c r="E843" s="2">
        <v>0.41666666666666702</v>
      </c>
      <c r="F843" t="s">
        <v>208</v>
      </c>
    </row>
    <row r="844" spans="1:6" x14ac:dyDescent="0.3">
      <c r="A844" t="s">
        <v>206</v>
      </c>
      <c r="B844" t="s">
        <v>52</v>
      </c>
      <c r="C844" t="s">
        <v>24</v>
      </c>
      <c r="D844" s="2">
        <v>0.70833333333333304</v>
      </c>
      <c r="E844" s="2">
        <v>0.79166666666666696</v>
      </c>
      <c r="F844" t="s">
        <v>208</v>
      </c>
    </row>
    <row r="845" spans="1:6" x14ac:dyDescent="0.3">
      <c r="A845" t="s">
        <v>206</v>
      </c>
      <c r="B845" t="s">
        <v>29</v>
      </c>
      <c r="C845" t="s">
        <v>30</v>
      </c>
      <c r="D845" s="2"/>
      <c r="E845" s="2"/>
    </row>
    <row r="846" spans="1:6" x14ac:dyDescent="0.3">
      <c r="A846" t="s">
        <v>206</v>
      </c>
      <c r="B846" s="23" t="s">
        <v>12</v>
      </c>
      <c r="C846" s="23" t="s">
        <v>53</v>
      </c>
      <c r="D846" s="24">
        <v>0.57291666666666596</v>
      </c>
      <c r="E846" s="24">
        <v>0.61458333333333304</v>
      </c>
      <c r="F846" s="23"/>
    </row>
    <row r="847" spans="1:6" x14ac:dyDescent="0.3">
      <c r="A847" t="s">
        <v>209</v>
      </c>
      <c r="B847" t="s">
        <v>37</v>
      </c>
      <c r="C847" t="s">
        <v>13</v>
      </c>
      <c r="D847" s="2"/>
      <c r="E847" s="2"/>
    </row>
    <row r="848" spans="1:6" x14ac:dyDescent="0.3">
      <c r="A848" t="s">
        <v>209</v>
      </c>
      <c r="B848" t="s">
        <v>33</v>
      </c>
      <c r="C848" t="s">
        <v>15</v>
      </c>
      <c r="D848" s="2"/>
      <c r="E848" s="2"/>
    </row>
    <row r="849" spans="1:5" x14ac:dyDescent="0.3">
      <c r="A849" t="s">
        <v>209</v>
      </c>
      <c r="B849" t="s">
        <v>32</v>
      </c>
      <c r="C849" t="s">
        <v>8</v>
      </c>
      <c r="D849" s="2"/>
      <c r="E849" s="2"/>
    </row>
    <row r="850" spans="1:5" x14ac:dyDescent="0.3">
      <c r="A850" t="s">
        <v>209</v>
      </c>
      <c r="B850" t="s">
        <v>57</v>
      </c>
      <c r="C850" t="s">
        <v>13</v>
      </c>
      <c r="D850" s="2"/>
      <c r="E850" s="2"/>
    </row>
    <row r="851" spans="1:5" x14ac:dyDescent="0.3">
      <c r="A851" t="s">
        <v>209</v>
      </c>
      <c r="B851" t="s">
        <v>112</v>
      </c>
      <c r="C851" t="s">
        <v>8</v>
      </c>
      <c r="D851" s="2"/>
      <c r="E851" s="2"/>
    </row>
    <row r="852" spans="1:5" x14ac:dyDescent="0.3">
      <c r="A852" t="s">
        <v>209</v>
      </c>
      <c r="B852" t="s">
        <v>84</v>
      </c>
      <c r="C852" t="s">
        <v>30</v>
      </c>
      <c r="D852" s="2"/>
      <c r="E852" s="2"/>
    </row>
    <row r="853" spans="1:5" x14ac:dyDescent="0.3">
      <c r="A853" t="s">
        <v>209</v>
      </c>
      <c r="B853" t="s">
        <v>40</v>
      </c>
      <c r="C853" t="s">
        <v>10</v>
      </c>
      <c r="D853" s="2"/>
      <c r="E853" s="2"/>
    </row>
    <row r="854" spans="1:5" x14ac:dyDescent="0.3">
      <c r="A854" t="s">
        <v>209</v>
      </c>
      <c r="B854" t="s">
        <v>103</v>
      </c>
      <c r="C854" t="s">
        <v>10</v>
      </c>
      <c r="D854" s="2"/>
      <c r="E854" s="2"/>
    </row>
    <row r="855" spans="1:5" x14ac:dyDescent="0.3">
      <c r="A855" t="s">
        <v>209</v>
      </c>
      <c r="B855" t="s">
        <v>35</v>
      </c>
      <c r="C855" t="s">
        <v>10</v>
      </c>
      <c r="D855" s="2"/>
      <c r="E855" s="2"/>
    </row>
    <row r="856" spans="1:5" x14ac:dyDescent="0.3">
      <c r="A856" t="s">
        <v>209</v>
      </c>
      <c r="B856" t="s">
        <v>96</v>
      </c>
      <c r="C856" t="s">
        <v>41</v>
      </c>
      <c r="D856" s="2"/>
      <c r="E856" s="2"/>
    </row>
    <row r="857" spans="1:5" x14ac:dyDescent="0.3">
      <c r="A857" t="s">
        <v>209</v>
      </c>
      <c r="B857" t="s">
        <v>97</v>
      </c>
      <c r="C857" t="s">
        <v>41</v>
      </c>
      <c r="D857" s="2"/>
      <c r="E857" s="2"/>
    </row>
    <row r="858" spans="1:5" x14ac:dyDescent="0.3">
      <c r="A858" t="s">
        <v>209</v>
      </c>
      <c r="B858" t="s">
        <v>27</v>
      </c>
      <c r="C858" t="s">
        <v>41</v>
      </c>
      <c r="D858" s="2"/>
      <c r="E858" s="2"/>
    </row>
    <row r="859" spans="1:5" x14ac:dyDescent="0.3">
      <c r="A859" t="s">
        <v>209</v>
      </c>
      <c r="B859" t="s">
        <v>33</v>
      </c>
      <c r="C859" t="s">
        <v>43</v>
      </c>
      <c r="D859" s="2"/>
      <c r="E859" s="2"/>
    </row>
    <row r="860" spans="1:5" x14ac:dyDescent="0.3">
      <c r="A860" t="s">
        <v>209</v>
      </c>
      <c r="B860" t="s">
        <v>44</v>
      </c>
      <c r="C860" t="s">
        <v>45</v>
      </c>
      <c r="D860" s="2"/>
      <c r="E860" s="2"/>
    </row>
    <row r="861" spans="1:5" x14ac:dyDescent="0.3">
      <c r="A861" t="s">
        <v>209</v>
      </c>
      <c r="B861" t="s">
        <v>21</v>
      </c>
      <c r="C861" t="s">
        <v>46</v>
      </c>
      <c r="D861" s="2"/>
      <c r="E861" s="2"/>
    </row>
    <row r="862" spans="1:5" x14ac:dyDescent="0.3">
      <c r="A862" t="s">
        <v>209</v>
      </c>
      <c r="B862" t="s">
        <v>72</v>
      </c>
      <c r="C862" t="s">
        <v>18</v>
      </c>
      <c r="D862" s="2"/>
      <c r="E862" s="2"/>
    </row>
    <row r="863" spans="1:5" x14ac:dyDescent="0.3">
      <c r="A863" t="s">
        <v>209</v>
      </c>
      <c r="B863" t="s">
        <v>85</v>
      </c>
      <c r="C863" t="s">
        <v>49</v>
      </c>
      <c r="D863" s="2"/>
      <c r="E863" s="2"/>
    </row>
    <row r="864" spans="1:5" x14ac:dyDescent="0.3">
      <c r="A864" t="s">
        <v>209</v>
      </c>
      <c r="B864" t="s">
        <v>17</v>
      </c>
      <c r="C864" t="s">
        <v>51</v>
      </c>
      <c r="D864" s="2"/>
      <c r="E864" s="2"/>
    </row>
    <row r="865" spans="1:6" x14ac:dyDescent="0.3">
      <c r="A865" t="s">
        <v>209</v>
      </c>
      <c r="B865" t="s">
        <v>97</v>
      </c>
      <c r="C865" t="s">
        <v>24</v>
      </c>
      <c r="D865" s="2">
        <v>0.54166666666666696</v>
      </c>
      <c r="E865" s="2">
        <v>0.625</v>
      </c>
      <c r="F865" t="s">
        <v>210</v>
      </c>
    </row>
    <row r="866" spans="1:6" x14ac:dyDescent="0.3">
      <c r="A866" t="s">
        <v>209</v>
      </c>
      <c r="B866" t="s">
        <v>96</v>
      </c>
      <c r="C866" t="s">
        <v>24</v>
      </c>
      <c r="D866" s="2">
        <v>0.54166666666666696</v>
      </c>
      <c r="E866" s="2">
        <v>0.625</v>
      </c>
      <c r="F866" t="s">
        <v>210</v>
      </c>
    </row>
    <row r="867" spans="1:6" x14ac:dyDescent="0.3">
      <c r="A867" t="s">
        <v>209</v>
      </c>
      <c r="B867" t="s">
        <v>21</v>
      </c>
      <c r="C867" t="s">
        <v>26</v>
      </c>
      <c r="D867" s="2">
        <v>0.54166666666666696</v>
      </c>
      <c r="E867" s="2">
        <v>0.91666666666666596</v>
      </c>
    </row>
    <row r="868" spans="1:6" x14ac:dyDescent="0.3">
      <c r="A868" t="s">
        <v>209</v>
      </c>
      <c r="B868" s="23" t="s">
        <v>44</v>
      </c>
      <c r="C868" s="23" t="s">
        <v>26</v>
      </c>
      <c r="D868" s="24">
        <v>0.79166666666666696</v>
      </c>
      <c r="E868" s="24">
        <v>0.91666666666666596</v>
      </c>
      <c r="F868" s="23"/>
    </row>
    <row r="869" spans="1:6" x14ac:dyDescent="0.3">
      <c r="A869" t="s">
        <v>211</v>
      </c>
      <c r="B869" t="s">
        <v>29</v>
      </c>
      <c r="C869" t="s">
        <v>13</v>
      </c>
      <c r="D869" s="2"/>
      <c r="E869" s="2"/>
    </row>
    <row r="870" spans="1:6" x14ac:dyDescent="0.3">
      <c r="A870" t="s">
        <v>211</v>
      </c>
      <c r="B870" t="s">
        <v>72</v>
      </c>
      <c r="C870" t="s">
        <v>15</v>
      </c>
      <c r="D870" s="2"/>
      <c r="E870" s="2"/>
    </row>
    <row r="871" spans="1:6" x14ac:dyDescent="0.3">
      <c r="A871" t="s">
        <v>211</v>
      </c>
      <c r="B871" t="s">
        <v>44</v>
      </c>
      <c r="C871" t="s">
        <v>8</v>
      </c>
      <c r="D871" s="2"/>
      <c r="E871" s="2"/>
    </row>
    <row r="872" spans="1:6" x14ac:dyDescent="0.3">
      <c r="A872" t="s">
        <v>211</v>
      </c>
      <c r="B872" t="s">
        <v>79</v>
      </c>
      <c r="C872" t="s">
        <v>13</v>
      </c>
      <c r="D872" s="2"/>
      <c r="E872" s="2"/>
    </row>
    <row r="873" spans="1:6" x14ac:dyDescent="0.3">
      <c r="A873" t="s">
        <v>211</v>
      </c>
      <c r="B873" t="s">
        <v>42</v>
      </c>
      <c r="C873" t="s">
        <v>8</v>
      </c>
      <c r="D873" s="2"/>
      <c r="E873" s="2"/>
    </row>
    <row r="874" spans="1:6" x14ac:dyDescent="0.3">
      <c r="A874" t="s">
        <v>211</v>
      </c>
      <c r="B874" t="s">
        <v>40</v>
      </c>
      <c r="C874" t="s">
        <v>10</v>
      </c>
      <c r="D874" s="2"/>
      <c r="E874" s="2"/>
    </row>
    <row r="875" spans="1:6" x14ac:dyDescent="0.3">
      <c r="A875" t="s">
        <v>211</v>
      </c>
      <c r="B875" t="s">
        <v>103</v>
      </c>
      <c r="C875" t="s">
        <v>10</v>
      </c>
      <c r="D875" s="2"/>
      <c r="E875" s="2"/>
    </row>
    <row r="876" spans="1:6" x14ac:dyDescent="0.3">
      <c r="A876" t="s">
        <v>211</v>
      </c>
      <c r="B876" t="s">
        <v>35</v>
      </c>
      <c r="C876" t="s">
        <v>10</v>
      </c>
      <c r="D876" s="2"/>
      <c r="E876" s="2"/>
    </row>
    <row r="877" spans="1:6" x14ac:dyDescent="0.3">
      <c r="A877" t="s">
        <v>211</v>
      </c>
      <c r="B877" t="s">
        <v>57</v>
      </c>
      <c r="C877" t="s">
        <v>41</v>
      </c>
      <c r="D877" s="2"/>
      <c r="E877" s="2"/>
    </row>
    <row r="878" spans="1:6" x14ac:dyDescent="0.3">
      <c r="A878" t="s">
        <v>211</v>
      </c>
      <c r="B878" t="s">
        <v>112</v>
      </c>
      <c r="C878" t="s">
        <v>41</v>
      </c>
      <c r="D878" s="2"/>
      <c r="E878" s="2"/>
    </row>
    <row r="879" spans="1:6" x14ac:dyDescent="0.3">
      <c r="A879" t="s">
        <v>211</v>
      </c>
      <c r="B879" t="s">
        <v>12</v>
      </c>
      <c r="C879" t="s">
        <v>43</v>
      </c>
      <c r="D879" s="2"/>
      <c r="E879" s="2"/>
    </row>
    <row r="880" spans="1:6" x14ac:dyDescent="0.3">
      <c r="A880" t="s">
        <v>211</v>
      </c>
      <c r="B880" t="s">
        <v>23</v>
      </c>
      <c r="C880" t="s">
        <v>45</v>
      </c>
      <c r="D880" s="2"/>
      <c r="E880" s="2"/>
    </row>
    <row r="881" spans="1:6" x14ac:dyDescent="0.3">
      <c r="A881" t="s">
        <v>211</v>
      </c>
      <c r="B881" t="s">
        <v>16</v>
      </c>
      <c r="C881" t="s">
        <v>46</v>
      </c>
      <c r="D881" s="2"/>
      <c r="E881" s="2"/>
    </row>
    <row r="882" spans="1:6" x14ac:dyDescent="0.3">
      <c r="A882" t="s">
        <v>211</v>
      </c>
      <c r="B882" t="s">
        <v>47</v>
      </c>
      <c r="C882" t="s">
        <v>18</v>
      </c>
      <c r="D882" s="2"/>
      <c r="E882" s="2"/>
    </row>
    <row r="883" spans="1:6" x14ac:dyDescent="0.3">
      <c r="A883" t="s">
        <v>211</v>
      </c>
      <c r="B883" t="s">
        <v>85</v>
      </c>
      <c r="C883" t="s">
        <v>49</v>
      </c>
      <c r="D883" s="2"/>
      <c r="E883" s="2"/>
    </row>
    <row r="884" spans="1:6" x14ac:dyDescent="0.3">
      <c r="A884" t="s">
        <v>211</v>
      </c>
      <c r="B884" t="s">
        <v>75</v>
      </c>
      <c r="C884" t="s">
        <v>51</v>
      </c>
      <c r="D884" s="2"/>
      <c r="E884" s="2"/>
    </row>
    <row r="885" spans="1:6" x14ac:dyDescent="0.3">
      <c r="A885" t="s">
        <v>211</v>
      </c>
      <c r="B885" t="s">
        <v>23</v>
      </c>
      <c r="C885" t="s">
        <v>53</v>
      </c>
      <c r="D885" s="2">
        <v>0.70833333333333304</v>
      </c>
      <c r="E885" s="2">
        <v>0.75</v>
      </c>
      <c r="F885" t="s">
        <v>212</v>
      </c>
    </row>
    <row r="886" spans="1:6" x14ac:dyDescent="0.3">
      <c r="A886" t="s">
        <v>211</v>
      </c>
      <c r="B886" t="s">
        <v>50</v>
      </c>
      <c r="C886" t="s">
        <v>53</v>
      </c>
      <c r="D886" s="2">
        <v>0.70833333333333304</v>
      </c>
      <c r="E886" s="2">
        <v>0.75</v>
      </c>
      <c r="F886" t="s">
        <v>212</v>
      </c>
    </row>
    <row r="887" spans="1:6" x14ac:dyDescent="0.3">
      <c r="A887" t="s">
        <v>211</v>
      </c>
      <c r="B887" t="s">
        <v>21</v>
      </c>
      <c r="C887" t="s">
        <v>30</v>
      </c>
      <c r="D887" s="2"/>
      <c r="E887" s="2"/>
    </row>
    <row r="888" spans="1:6" x14ac:dyDescent="0.3">
      <c r="A888" t="s">
        <v>213</v>
      </c>
      <c r="B888" t="s">
        <v>63</v>
      </c>
      <c r="C888" t="s">
        <v>13</v>
      </c>
      <c r="D888" s="2"/>
      <c r="E888" s="2"/>
    </row>
    <row r="889" spans="1:6" x14ac:dyDescent="0.3">
      <c r="A889" t="s">
        <v>213</v>
      </c>
      <c r="B889" t="s">
        <v>47</v>
      </c>
      <c r="C889" t="s">
        <v>15</v>
      </c>
      <c r="D889" s="2"/>
      <c r="E889" s="2"/>
    </row>
    <row r="890" spans="1:6" x14ac:dyDescent="0.3">
      <c r="A890" t="s">
        <v>213</v>
      </c>
      <c r="B890" t="s">
        <v>73</v>
      </c>
      <c r="C890" t="s">
        <v>8</v>
      </c>
      <c r="D890" s="2"/>
      <c r="E890" s="2"/>
    </row>
    <row r="891" spans="1:6" x14ac:dyDescent="0.3">
      <c r="A891" t="s">
        <v>213</v>
      </c>
      <c r="B891" t="s">
        <v>60</v>
      </c>
      <c r="C891" t="s">
        <v>13</v>
      </c>
      <c r="D891" s="2"/>
      <c r="E891" s="2"/>
    </row>
    <row r="892" spans="1:6" x14ac:dyDescent="0.3">
      <c r="A892" t="s">
        <v>213</v>
      </c>
      <c r="B892" t="s">
        <v>27</v>
      </c>
      <c r="C892" t="s">
        <v>8</v>
      </c>
      <c r="D892" s="2"/>
      <c r="E892" s="2"/>
    </row>
    <row r="893" spans="1:6" x14ac:dyDescent="0.3">
      <c r="A893" t="s">
        <v>213</v>
      </c>
      <c r="B893" t="s">
        <v>16</v>
      </c>
      <c r="C893" t="s">
        <v>30</v>
      </c>
      <c r="D893" s="2"/>
      <c r="E893" s="2"/>
    </row>
    <row r="894" spans="1:6" x14ac:dyDescent="0.3">
      <c r="A894" t="s">
        <v>213</v>
      </c>
      <c r="B894" t="s">
        <v>214</v>
      </c>
      <c r="C894" t="s">
        <v>30</v>
      </c>
      <c r="D894" s="2"/>
      <c r="E894" s="2"/>
    </row>
    <row r="895" spans="1:6" x14ac:dyDescent="0.3">
      <c r="A895" t="s">
        <v>213</v>
      </c>
      <c r="B895" t="s">
        <v>40</v>
      </c>
      <c r="C895" t="s">
        <v>10</v>
      </c>
      <c r="D895" s="2"/>
      <c r="E895" s="2"/>
    </row>
    <row r="896" spans="1:6" x14ac:dyDescent="0.3">
      <c r="A896" t="s">
        <v>213</v>
      </c>
      <c r="B896" t="s">
        <v>103</v>
      </c>
      <c r="C896" t="s">
        <v>10</v>
      </c>
      <c r="D896" s="2"/>
      <c r="E896" s="2"/>
    </row>
    <row r="897" spans="1:6" x14ac:dyDescent="0.3">
      <c r="A897" t="s">
        <v>213</v>
      </c>
      <c r="B897" t="s">
        <v>35</v>
      </c>
      <c r="C897" t="s">
        <v>10</v>
      </c>
      <c r="D897" s="2"/>
      <c r="E897" s="2"/>
    </row>
    <row r="898" spans="1:6" x14ac:dyDescent="0.3">
      <c r="A898" t="s">
        <v>213</v>
      </c>
      <c r="B898" t="s">
        <v>57</v>
      </c>
      <c r="C898" t="s">
        <v>41</v>
      </c>
      <c r="D898" s="2"/>
      <c r="E898" s="2"/>
    </row>
    <row r="899" spans="1:6" x14ac:dyDescent="0.3">
      <c r="A899" t="s">
        <v>213</v>
      </c>
      <c r="B899" t="s">
        <v>42</v>
      </c>
      <c r="C899" t="s">
        <v>41</v>
      </c>
      <c r="D899" s="2"/>
      <c r="E899" s="2"/>
    </row>
    <row r="900" spans="1:6" x14ac:dyDescent="0.3">
      <c r="A900" t="s">
        <v>213</v>
      </c>
      <c r="B900" t="s">
        <v>38</v>
      </c>
      <c r="C900" t="s">
        <v>41</v>
      </c>
      <c r="D900" s="2"/>
      <c r="E900" s="2"/>
    </row>
    <row r="901" spans="1:6" x14ac:dyDescent="0.3">
      <c r="A901" t="s">
        <v>213</v>
      </c>
      <c r="B901" t="s">
        <v>84</v>
      </c>
      <c r="C901" t="s">
        <v>43</v>
      </c>
      <c r="D901" s="2"/>
      <c r="E901" s="2"/>
    </row>
    <row r="902" spans="1:6" x14ac:dyDescent="0.3">
      <c r="A902" t="s">
        <v>213</v>
      </c>
      <c r="B902" t="s">
        <v>44</v>
      </c>
      <c r="C902" t="s">
        <v>45</v>
      </c>
      <c r="D902" s="2"/>
      <c r="E902" s="2"/>
    </row>
    <row r="903" spans="1:6" x14ac:dyDescent="0.3">
      <c r="A903" t="s">
        <v>213</v>
      </c>
      <c r="B903" t="s">
        <v>21</v>
      </c>
      <c r="C903" t="s">
        <v>46</v>
      </c>
      <c r="D903" s="2"/>
      <c r="E903" s="2"/>
    </row>
    <row r="904" spans="1:6" x14ac:dyDescent="0.3">
      <c r="A904" t="s">
        <v>213</v>
      </c>
      <c r="B904" t="s">
        <v>32</v>
      </c>
      <c r="C904" t="s">
        <v>18</v>
      </c>
      <c r="D904" s="2"/>
      <c r="E904" s="2"/>
    </row>
    <row r="905" spans="1:6" x14ac:dyDescent="0.3">
      <c r="A905" t="s">
        <v>213</v>
      </c>
      <c r="B905" t="s">
        <v>48</v>
      </c>
      <c r="C905" t="s">
        <v>49</v>
      </c>
      <c r="D905" s="2"/>
      <c r="E905" s="2"/>
    </row>
    <row r="906" spans="1:6" x14ac:dyDescent="0.3">
      <c r="A906" t="s">
        <v>213</v>
      </c>
      <c r="B906" t="s">
        <v>12</v>
      </c>
      <c r="C906" t="s">
        <v>53</v>
      </c>
      <c r="D906" s="2">
        <v>0.41666666666666702</v>
      </c>
      <c r="E906" s="2">
        <v>0.45833333333333398</v>
      </c>
      <c r="F906" t="s">
        <v>215</v>
      </c>
    </row>
    <row r="907" spans="1:6" x14ac:dyDescent="0.3">
      <c r="A907" t="s">
        <v>213</v>
      </c>
      <c r="B907" t="s">
        <v>17</v>
      </c>
      <c r="C907" t="s">
        <v>55</v>
      </c>
      <c r="D907" s="2">
        <v>0.29166666666666669</v>
      </c>
      <c r="E907" s="2">
        <v>0.33333333333333331</v>
      </c>
      <c r="F907" t="s">
        <v>216</v>
      </c>
    </row>
    <row r="908" spans="1:6" x14ac:dyDescent="0.3">
      <c r="A908" t="s">
        <v>213</v>
      </c>
      <c r="B908" t="s">
        <v>38</v>
      </c>
      <c r="C908" t="s">
        <v>24</v>
      </c>
      <c r="D908" s="2">
        <v>0.54166666666666696</v>
      </c>
      <c r="E908" s="2">
        <v>0.625</v>
      </c>
      <c r="F908" t="s">
        <v>217</v>
      </c>
    </row>
    <row r="909" spans="1:6" x14ac:dyDescent="0.3">
      <c r="A909" t="s">
        <v>213</v>
      </c>
      <c r="B909" t="s">
        <v>57</v>
      </c>
      <c r="C909" t="s">
        <v>24</v>
      </c>
      <c r="D909" s="2">
        <v>0.54166666666666696</v>
      </c>
      <c r="E909" s="2">
        <v>0.625</v>
      </c>
      <c r="F909" t="s">
        <v>217</v>
      </c>
    </row>
    <row r="910" spans="1:6" x14ac:dyDescent="0.3">
      <c r="A910" t="s">
        <v>213</v>
      </c>
      <c r="B910" t="s">
        <v>64</v>
      </c>
      <c r="C910" t="s">
        <v>53</v>
      </c>
      <c r="D910" s="2">
        <v>0.66666666666666696</v>
      </c>
      <c r="E910" s="2">
        <v>0.75</v>
      </c>
      <c r="F910" t="s">
        <v>218</v>
      </c>
    </row>
    <row r="911" spans="1:6" x14ac:dyDescent="0.3">
      <c r="A911" t="s">
        <v>213</v>
      </c>
      <c r="B911" s="23" t="s">
        <v>75</v>
      </c>
      <c r="C911" s="23" t="s">
        <v>51</v>
      </c>
      <c r="D911" s="24"/>
      <c r="E911" s="24"/>
      <c r="F911" s="23"/>
    </row>
    <row r="912" spans="1:6" x14ac:dyDescent="0.3">
      <c r="A912" t="s">
        <v>219</v>
      </c>
      <c r="B912" t="s">
        <v>94</v>
      </c>
      <c r="C912" t="s">
        <v>13</v>
      </c>
      <c r="D912" s="2"/>
      <c r="E912" s="2"/>
    </row>
    <row r="913" spans="1:6" x14ac:dyDescent="0.3">
      <c r="A913" t="s">
        <v>219</v>
      </c>
      <c r="B913" t="s">
        <v>68</v>
      </c>
      <c r="C913" t="s">
        <v>15</v>
      </c>
      <c r="D913" s="2"/>
      <c r="E913" s="2"/>
    </row>
    <row r="914" spans="1:6" x14ac:dyDescent="0.3">
      <c r="A914" t="s">
        <v>219</v>
      </c>
      <c r="B914" t="s">
        <v>48</v>
      </c>
      <c r="C914" t="s">
        <v>8</v>
      </c>
      <c r="D914" s="2"/>
      <c r="E914" s="2"/>
    </row>
    <row r="915" spans="1:6" x14ac:dyDescent="0.3">
      <c r="A915" t="s">
        <v>219</v>
      </c>
      <c r="B915" t="s">
        <v>112</v>
      </c>
      <c r="C915" t="s">
        <v>13</v>
      </c>
      <c r="D915" s="2"/>
      <c r="E915" s="2"/>
    </row>
    <row r="916" spans="1:6" x14ac:dyDescent="0.3">
      <c r="A916" t="s">
        <v>219</v>
      </c>
      <c r="B916" t="s">
        <v>59</v>
      </c>
      <c r="C916" t="s">
        <v>8</v>
      </c>
      <c r="D916" s="2"/>
      <c r="E916" s="2"/>
    </row>
    <row r="917" spans="1:6" x14ac:dyDescent="0.3">
      <c r="A917" t="s">
        <v>219</v>
      </c>
      <c r="B917" t="s">
        <v>40</v>
      </c>
      <c r="C917" t="s">
        <v>10</v>
      </c>
      <c r="D917" s="2"/>
      <c r="E917" s="2"/>
    </row>
    <row r="918" spans="1:6" x14ac:dyDescent="0.3">
      <c r="A918" t="s">
        <v>219</v>
      </c>
      <c r="B918" t="s">
        <v>103</v>
      </c>
      <c r="C918" t="s">
        <v>10</v>
      </c>
      <c r="D918" s="2"/>
      <c r="E918" s="2"/>
    </row>
    <row r="919" spans="1:6" x14ac:dyDescent="0.3">
      <c r="A919" t="s">
        <v>219</v>
      </c>
      <c r="B919" t="s">
        <v>35</v>
      </c>
      <c r="C919" t="s">
        <v>10</v>
      </c>
      <c r="D919" s="2"/>
      <c r="E919" s="2"/>
    </row>
    <row r="920" spans="1:6" x14ac:dyDescent="0.3">
      <c r="A920" t="s">
        <v>219</v>
      </c>
      <c r="B920" t="s">
        <v>60</v>
      </c>
      <c r="C920" t="s">
        <v>41</v>
      </c>
      <c r="D920" s="2"/>
      <c r="E920" s="2"/>
    </row>
    <row r="921" spans="1:6" x14ac:dyDescent="0.3">
      <c r="A921" t="s">
        <v>219</v>
      </c>
      <c r="B921" t="s">
        <v>27</v>
      </c>
      <c r="C921" t="s">
        <v>41</v>
      </c>
      <c r="D921" s="2"/>
      <c r="E921" s="2"/>
    </row>
    <row r="922" spans="1:6" x14ac:dyDescent="0.3">
      <c r="A922" t="s">
        <v>219</v>
      </c>
      <c r="B922" t="s">
        <v>142</v>
      </c>
      <c r="C922" t="s">
        <v>43</v>
      </c>
      <c r="D922" s="2"/>
      <c r="E922" s="2"/>
    </row>
    <row r="923" spans="1:6" x14ac:dyDescent="0.3">
      <c r="A923" t="s">
        <v>219</v>
      </c>
      <c r="B923" t="s">
        <v>23</v>
      </c>
      <c r="C923" t="s">
        <v>45</v>
      </c>
      <c r="D923" s="2"/>
      <c r="E923" s="2"/>
    </row>
    <row r="924" spans="1:6" x14ac:dyDescent="0.3">
      <c r="A924" t="s">
        <v>219</v>
      </c>
      <c r="B924" t="s">
        <v>16</v>
      </c>
      <c r="C924" t="s">
        <v>46</v>
      </c>
      <c r="D924" s="2"/>
      <c r="E924" s="2"/>
    </row>
    <row r="925" spans="1:6" x14ac:dyDescent="0.3">
      <c r="A925" t="s">
        <v>219</v>
      </c>
      <c r="B925" t="s">
        <v>63</v>
      </c>
      <c r="C925" t="s">
        <v>18</v>
      </c>
      <c r="D925" s="2"/>
      <c r="E925" s="2"/>
    </row>
    <row r="926" spans="1:6" x14ac:dyDescent="0.3">
      <c r="A926" t="s">
        <v>219</v>
      </c>
      <c r="B926" t="s">
        <v>48</v>
      </c>
      <c r="C926" t="s">
        <v>49</v>
      </c>
      <c r="D926" s="2"/>
      <c r="E926" s="2"/>
    </row>
    <row r="927" spans="1:6" x14ac:dyDescent="0.3">
      <c r="A927" t="s">
        <v>219</v>
      </c>
      <c r="B927" t="s">
        <v>73</v>
      </c>
      <c r="C927" t="s">
        <v>51</v>
      </c>
      <c r="D927" s="2"/>
      <c r="E927" s="2"/>
    </row>
    <row r="928" spans="1:6" x14ac:dyDescent="0.3">
      <c r="A928" t="s">
        <v>219</v>
      </c>
      <c r="B928" t="s">
        <v>44</v>
      </c>
      <c r="C928" t="s">
        <v>124</v>
      </c>
      <c r="D928" s="2">
        <v>0.79166666666666696</v>
      </c>
      <c r="E928" s="2">
        <v>0.91666666666666596</v>
      </c>
      <c r="F928" t="s">
        <v>220</v>
      </c>
    </row>
    <row r="929" spans="1:6" x14ac:dyDescent="0.3">
      <c r="A929" t="s">
        <v>219</v>
      </c>
      <c r="B929" t="s">
        <v>73</v>
      </c>
      <c r="C929" t="s">
        <v>53</v>
      </c>
      <c r="D929" s="2">
        <v>0.5</v>
      </c>
      <c r="E929" s="2">
        <v>0.54166666666666696</v>
      </c>
      <c r="F929" t="s">
        <v>92</v>
      </c>
    </row>
    <row r="930" spans="1:6" x14ac:dyDescent="0.3">
      <c r="A930" t="s">
        <v>219</v>
      </c>
      <c r="B930" t="s">
        <v>23</v>
      </c>
      <c r="C930" t="s">
        <v>53</v>
      </c>
      <c r="D930" s="2">
        <v>0.375</v>
      </c>
      <c r="E930" s="2">
        <v>0.45833333333333398</v>
      </c>
      <c r="F930" t="s">
        <v>221</v>
      </c>
    </row>
    <row r="931" spans="1:6" x14ac:dyDescent="0.3">
      <c r="A931" t="s">
        <v>219</v>
      </c>
      <c r="B931" s="23" t="s">
        <v>25</v>
      </c>
      <c r="C931" s="23" t="s">
        <v>222</v>
      </c>
      <c r="D931" s="24">
        <v>0.83333333333333337</v>
      </c>
      <c r="E931" s="24">
        <v>0.875</v>
      </c>
      <c r="F931" s="23" t="s">
        <v>223</v>
      </c>
    </row>
    <row r="932" spans="1:6" x14ac:dyDescent="0.3">
      <c r="A932" t="s">
        <v>224</v>
      </c>
      <c r="B932" t="s">
        <v>73</v>
      </c>
      <c r="C932" t="s">
        <v>13</v>
      </c>
      <c r="D932" s="2"/>
      <c r="E932" s="2"/>
    </row>
    <row r="933" spans="1:6" x14ac:dyDescent="0.3">
      <c r="A933" t="s">
        <v>224</v>
      </c>
      <c r="B933" t="s">
        <v>52</v>
      </c>
      <c r="C933" t="s">
        <v>15</v>
      </c>
      <c r="D933" s="2"/>
      <c r="E933" s="2"/>
    </row>
    <row r="934" spans="1:6" x14ac:dyDescent="0.3">
      <c r="A934" t="s">
        <v>224</v>
      </c>
      <c r="B934" t="s">
        <v>29</v>
      </c>
      <c r="C934" t="s">
        <v>8</v>
      </c>
      <c r="D934" s="2"/>
      <c r="E934" s="2"/>
    </row>
    <row r="935" spans="1:6" x14ac:dyDescent="0.3">
      <c r="A935" t="s">
        <v>224</v>
      </c>
      <c r="B935" t="s">
        <v>83</v>
      </c>
      <c r="C935" t="s">
        <v>13</v>
      </c>
      <c r="D935" s="2"/>
      <c r="E935" s="2"/>
    </row>
    <row r="936" spans="1:6" x14ac:dyDescent="0.3">
      <c r="A936" t="s">
        <v>224</v>
      </c>
      <c r="B936" t="s">
        <v>39</v>
      </c>
      <c r="C936" t="s">
        <v>8</v>
      </c>
      <c r="D936" s="2"/>
      <c r="E936" s="2"/>
    </row>
    <row r="937" spans="1:6" x14ac:dyDescent="0.3">
      <c r="A937" t="s">
        <v>224</v>
      </c>
      <c r="B937" t="s">
        <v>84</v>
      </c>
      <c r="C937" t="s">
        <v>30</v>
      </c>
      <c r="D937" s="2"/>
      <c r="E937" s="2"/>
    </row>
    <row r="938" spans="1:6" x14ac:dyDescent="0.3">
      <c r="A938" t="s">
        <v>224</v>
      </c>
      <c r="B938" t="s">
        <v>72</v>
      </c>
      <c r="C938" t="s">
        <v>30</v>
      </c>
      <c r="D938" s="2"/>
      <c r="E938" s="2"/>
    </row>
    <row r="939" spans="1:6" x14ac:dyDescent="0.3">
      <c r="A939" t="s">
        <v>224</v>
      </c>
      <c r="B939" t="s">
        <v>40</v>
      </c>
      <c r="C939" t="s">
        <v>10</v>
      </c>
      <c r="D939" s="2"/>
      <c r="E939" s="2"/>
    </row>
    <row r="940" spans="1:6" x14ac:dyDescent="0.3">
      <c r="A940" t="s">
        <v>224</v>
      </c>
      <c r="B940" t="s">
        <v>103</v>
      </c>
      <c r="C940" t="s">
        <v>10</v>
      </c>
      <c r="D940" s="2"/>
      <c r="E940" s="2"/>
    </row>
    <row r="941" spans="1:6" x14ac:dyDescent="0.3">
      <c r="A941" t="s">
        <v>224</v>
      </c>
      <c r="B941" t="s">
        <v>35</v>
      </c>
      <c r="C941" t="s">
        <v>10</v>
      </c>
      <c r="D941" s="2"/>
      <c r="E941" s="2"/>
    </row>
    <row r="942" spans="1:6" x14ac:dyDescent="0.3">
      <c r="A942" t="s">
        <v>224</v>
      </c>
      <c r="B942" t="s">
        <v>112</v>
      </c>
      <c r="C942" t="s">
        <v>41</v>
      </c>
      <c r="D942" s="2"/>
      <c r="E942" s="2"/>
    </row>
    <row r="943" spans="1:6" x14ac:dyDescent="0.3">
      <c r="A943" t="s">
        <v>224</v>
      </c>
      <c r="B943" t="s">
        <v>59</v>
      </c>
      <c r="C943" t="s">
        <v>41</v>
      </c>
      <c r="D943" s="2"/>
      <c r="E943" s="2"/>
    </row>
    <row r="944" spans="1:6" x14ac:dyDescent="0.3">
      <c r="A944" t="s">
        <v>224</v>
      </c>
      <c r="B944" t="s">
        <v>21</v>
      </c>
      <c r="C944" t="s">
        <v>26</v>
      </c>
      <c r="D944" s="2">
        <v>0.41666666666666702</v>
      </c>
      <c r="E944" s="2">
        <v>0.54166666666666696</v>
      </c>
    </row>
    <row r="945" spans="1:6" x14ac:dyDescent="0.3">
      <c r="A945" t="s">
        <v>224</v>
      </c>
      <c r="B945" t="s">
        <v>71</v>
      </c>
      <c r="C945" t="s">
        <v>26</v>
      </c>
      <c r="D945" s="2">
        <v>0.66666666666666696</v>
      </c>
      <c r="E945" s="2">
        <v>0.79166666666666696</v>
      </c>
    </row>
    <row r="946" spans="1:6" x14ac:dyDescent="0.3">
      <c r="A946" t="s">
        <v>224</v>
      </c>
      <c r="B946" t="s">
        <v>71</v>
      </c>
      <c r="C946" t="s">
        <v>26</v>
      </c>
      <c r="D946" s="2">
        <v>0.79166666666666696</v>
      </c>
      <c r="E946" s="2">
        <v>0.91666666666666596</v>
      </c>
    </row>
    <row r="947" spans="1:6" x14ac:dyDescent="0.3">
      <c r="A947" t="s">
        <v>224</v>
      </c>
      <c r="B947" t="s">
        <v>64</v>
      </c>
      <c r="C947" t="s">
        <v>26</v>
      </c>
      <c r="D947" s="2">
        <v>0.79166666666666696</v>
      </c>
      <c r="E947" s="2">
        <v>0.91666666666666596</v>
      </c>
    </row>
    <row r="948" spans="1:6" x14ac:dyDescent="0.3">
      <c r="A948" t="s">
        <v>224</v>
      </c>
      <c r="B948" t="s">
        <v>44</v>
      </c>
      <c r="C948" t="s">
        <v>26</v>
      </c>
      <c r="D948" s="2">
        <v>0.79166666666666696</v>
      </c>
      <c r="E948" s="2">
        <v>0.91666666666666596</v>
      </c>
    </row>
    <row r="949" spans="1:6" x14ac:dyDescent="0.3">
      <c r="A949" t="s">
        <v>224</v>
      </c>
      <c r="B949" t="s">
        <v>12</v>
      </c>
      <c r="C949" t="s">
        <v>43</v>
      </c>
      <c r="D949" s="2"/>
      <c r="E949" s="2"/>
    </row>
    <row r="950" spans="1:6" x14ac:dyDescent="0.3">
      <c r="A950" t="s">
        <v>224</v>
      </c>
      <c r="B950" t="s">
        <v>66</v>
      </c>
      <c r="C950" t="s">
        <v>45</v>
      </c>
      <c r="D950" s="2"/>
      <c r="E950" s="2"/>
    </row>
    <row r="951" spans="1:6" x14ac:dyDescent="0.3">
      <c r="A951" t="s">
        <v>224</v>
      </c>
      <c r="B951" t="s">
        <v>68</v>
      </c>
      <c r="C951" t="s">
        <v>46</v>
      </c>
      <c r="D951" s="2"/>
      <c r="E951" s="2"/>
    </row>
    <row r="952" spans="1:6" x14ac:dyDescent="0.3">
      <c r="A952" t="s">
        <v>224</v>
      </c>
      <c r="B952" t="s">
        <v>47</v>
      </c>
      <c r="C952" t="s">
        <v>18</v>
      </c>
      <c r="D952" s="2"/>
      <c r="E952" s="2"/>
    </row>
    <row r="953" spans="1:6" x14ac:dyDescent="0.3">
      <c r="A953" t="s">
        <v>224</v>
      </c>
      <c r="B953" t="s">
        <v>48</v>
      </c>
      <c r="C953" t="s">
        <v>49</v>
      </c>
      <c r="D953" s="2"/>
      <c r="E953" s="2"/>
    </row>
    <row r="954" spans="1:6" x14ac:dyDescent="0.3">
      <c r="A954" t="s">
        <v>224</v>
      </c>
      <c r="B954" t="s">
        <v>17</v>
      </c>
      <c r="C954" t="s">
        <v>51</v>
      </c>
      <c r="D954" s="2"/>
      <c r="E954" s="2"/>
    </row>
    <row r="955" spans="1:6" x14ac:dyDescent="0.3">
      <c r="A955" t="s">
        <v>224</v>
      </c>
      <c r="B955" t="s">
        <v>73</v>
      </c>
      <c r="C955" t="s">
        <v>55</v>
      </c>
      <c r="D955" s="2">
        <v>0.33333333333333331</v>
      </c>
      <c r="E955" s="2">
        <v>0.41666666666666702</v>
      </c>
      <c r="F955" t="s">
        <v>225</v>
      </c>
    </row>
    <row r="956" spans="1:6" x14ac:dyDescent="0.3">
      <c r="A956" t="s">
        <v>224</v>
      </c>
      <c r="B956" t="s">
        <v>142</v>
      </c>
      <c r="C956" t="s">
        <v>55</v>
      </c>
      <c r="D956" s="2">
        <v>0.33333333333333331</v>
      </c>
      <c r="E956" s="2">
        <v>0.41666666666666702</v>
      </c>
      <c r="F956" t="s">
        <v>225</v>
      </c>
    </row>
    <row r="957" spans="1:6" x14ac:dyDescent="0.3">
      <c r="A957" t="s">
        <v>224</v>
      </c>
      <c r="B957" s="23" t="s">
        <v>149</v>
      </c>
      <c r="C957" s="23" t="s">
        <v>55</v>
      </c>
      <c r="D957" s="24">
        <v>0.33333333333333331</v>
      </c>
      <c r="E957" s="24">
        <v>0.35416666666666602</v>
      </c>
      <c r="F957" s="23" t="s">
        <v>226</v>
      </c>
    </row>
    <row r="958" spans="1:6" x14ac:dyDescent="0.3">
      <c r="A958" t="s">
        <v>224</v>
      </c>
      <c r="B958" s="23" t="s">
        <v>80</v>
      </c>
      <c r="C958" s="23" t="s">
        <v>55</v>
      </c>
      <c r="D958" s="24">
        <v>0.35416666666666602</v>
      </c>
      <c r="E958" s="24">
        <v>0.375</v>
      </c>
      <c r="F958" s="23" t="s">
        <v>226</v>
      </c>
    </row>
    <row r="959" spans="1:6" x14ac:dyDescent="0.3">
      <c r="A959" t="s">
        <v>224</v>
      </c>
      <c r="B959" s="23" t="s">
        <v>83</v>
      </c>
      <c r="C959" s="23" t="s">
        <v>55</v>
      </c>
      <c r="D959" s="24">
        <v>0.375</v>
      </c>
      <c r="E959" s="24">
        <v>0.39583333333333298</v>
      </c>
      <c r="F959" s="23" t="s">
        <v>226</v>
      </c>
    </row>
    <row r="960" spans="1:6" x14ac:dyDescent="0.3">
      <c r="A960" t="s">
        <v>224</v>
      </c>
      <c r="B960" s="23" t="s">
        <v>14</v>
      </c>
      <c r="C960" s="23" t="s">
        <v>53</v>
      </c>
      <c r="D960" s="24">
        <v>0.45833333333333398</v>
      </c>
      <c r="E960" s="24">
        <v>0.5</v>
      </c>
      <c r="F960" s="23" t="s">
        <v>54</v>
      </c>
    </row>
    <row r="961" spans="1:6" x14ac:dyDescent="0.3">
      <c r="A961" t="s">
        <v>224</v>
      </c>
      <c r="B961" s="23" t="s">
        <v>16</v>
      </c>
      <c r="C961" s="23" t="s">
        <v>53</v>
      </c>
      <c r="D961" s="24">
        <v>0.45833333333333398</v>
      </c>
      <c r="E961" s="24">
        <v>0.5</v>
      </c>
      <c r="F961" s="23" t="s">
        <v>54</v>
      </c>
    </row>
    <row r="962" spans="1:6" x14ac:dyDescent="0.3">
      <c r="A962" t="s">
        <v>224</v>
      </c>
      <c r="B962" s="23" t="s">
        <v>75</v>
      </c>
      <c r="C962" s="23" t="s">
        <v>55</v>
      </c>
      <c r="D962" s="24">
        <v>0.29166666666666669</v>
      </c>
      <c r="E962" s="24">
        <v>0.33333333333333331</v>
      </c>
      <c r="F962" s="23" t="s">
        <v>227</v>
      </c>
    </row>
    <row r="963" spans="1:6" x14ac:dyDescent="0.3">
      <c r="A963" t="s">
        <v>224</v>
      </c>
      <c r="B963" s="23" t="s">
        <v>14</v>
      </c>
      <c r="C963" s="23" t="s">
        <v>53</v>
      </c>
      <c r="D963" s="24">
        <v>0.75</v>
      </c>
      <c r="E963" s="24">
        <v>0.79166666666666696</v>
      </c>
      <c r="F963" s="23" t="s">
        <v>228</v>
      </c>
    </row>
    <row r="964" spans="1:6" x14ac:dyDescent="0.3">
      <c r="A964" t="s">
        <v>224</v>
      </c>
      <c r="B964" s="23" t="s">
        <v>60</v>
      </c>
      <c r="C964" s="23" t="s">
        <v>53</v>
      </c>
      <c r="D964" s="24">
        <v>0.75</v>
      </c>
      <c r="E964" s="24">
        <v>0.79166666666666696</v>
      </c>
      <c r="F964" s="23" t="s">
        <v>228</v>
      </c>
    </row>
    <row r="965" spans="1:6" x14ac:dyDescent="0.3">
      <c r="A965" t="s">
        <v>224</v>
      </c>
      <c r="B965" s="23" t="s">
        <v>12</v>
      </c>
      <c r="C965" s="23" t="s">
        <v>55</v>
      </c>
      <c r="D965" s="24">
        <v>0.75</v>
      </c>
      <c r="E965" s="24">
        <v>0.875</v>
      </c>
      <c r="F965" s="23" t="s">
        <v>229</v>
      </c>
    </row>
    <row r="966" spans="1:6" x14ac:dyDescent="0.3">
      <c r="A966" t="s">
        <v>224</v>
      </c>
      <c r="B966" s="23" t="s">
        <v>63</v>
      </c>
      <c r="C966" s="23" t="s">
        <v>53</v>
      </c>
      <c r="D966" s="24">
        <v>0.58333333333333304</v>
      </c>
      <c r="E966" s="24">
        <v>0.66666666666666696</v>
      </c>
      <c r="F966" s="23" t="s">
        <v>230</v>
      </c>
    </row>
    <row r="967" spans="1:6" x14ac:dyDescent="0.3">
      <c r="A967" t="s">
        <v>224</v>
      </c>
      <c r="B967" s="23" t="s">
        <v>47</v>
      </c>
      <c r="C967" s="23" t="s">
        <v>24</v>
      </c>
      <c r="D967" s="24">
        <v>0.812499999999998</v>
      </c>
      <c r="E967" s="24">
        <v>0.91666666666666596</v>
      </c>
      <c r="F967" s="23" t="s">
        <v>231</v>
      </c>
    </row>
    <row r="968" spans="1:6" x14ac:dyDescent="0.3">
      <c r="A968" t="s">
        <v>232</v>
      </c>
      <c r="B968" t="s">
        <v>47</v>
      </c>
      <c r="C968" t="s">
        <v>13</v>
      </c>
      <c r="D968" s="2"/>
      <c r="E968" s="2"/>
    </row>
    <row r="969" spans="1:6" x14ac:dyDescent="0.3">
      <c r="A969" t="s">
        <v>232</v>
      </c>
      <c r="B969" t="s">
        <v>64</v>
      </c>
      <c r="C969" t="s">
        <v>15</v>
      </c>
      <c r="D969" s="2"/>
      <c r="E969" s="2"/>
    </row>
    <row r="970" spans="1:6" x14ac:dyDescent="0.3">
      <c r="A970" t="s">
        <v>232</v>
      </c>
      <c r="B970" t="s">
        <v>94</v>
      </c>
      <c r="C970" t="s">
        <v>8</v>
      </c>
      <c r="D970" s="2"/>
      <c r="E970" s="2"/>
    </row>
    <row r="971" spans="1:6" x14ac:dyDescent="0.3">
      <c r="A971" t="s">
        <v>232</v>
      </c>
      <c r="B971" t="s">
        <v>97</v>
      </c>
      <c r="C971" t="s">
        <v>13</v>
      </c>
      <c r="D971" s="2"/>
      <c r="E971" s="2"/>
    </row>
    <row r="972" spans="1:6" x14ac:dyDescent="0.3">
      <c r="A972" t="s">
        <v>232</v>
      </c>
      <c r="B972" t="s">
        <v>9</v>
      </c>
      <c r="C972" t="s">
        <v>8</v>
      </c>
      <c r="D972" s="2"/>
      <c r="E972" s="2"/>
    </row>
    <row r="973" spans="1:6" x14ac:dyDescent="0.3">
      <c r="A973" t="s">
        <v>232</v>
      </c>
      <c r="B973" t="s">
        <v>40</v>
      </c>
      <c r="C973" t="s">
        <v>10</v>
      </c>
      <c r="D973" s="2"/>
      <c r="E973" s="2"/>
    </row>
    <row r="974" spans="1:6" x14ac:dyDescent="0.3">
      <c r="A974" t="s">
        <v>232</v>
      </c>
      <c r="B974" t="s">
        <v>103</v>
      </c>
      <c r="C974" t="s">
        <v>10</v>
      </c>
      <c r="D974" s="2"/>
      <c r="E974" s="2"/>
    </row>
    <row r="975" spans="1:6" x14ac:dyDescent="0.3">
      <c r="A975" t="s">
        <v>232</v>
      </c>
      <c r="B975" t="s">
        <v>35</v>
      </c>
      <c r="C975" t="s">
        <v>10</v>
      </c>
      <c r="D975" s="2"/>
      <c r="E975" s="2"/>
    </row>
    <row r="976" spans="1:6" x14ac:dyDescent="0.3">
      <c r="A976" t="s">
        <v>232</v>
      </c>
      <c r="B976" t="s">
        <v>79</v>
      </c>
      <c r="C976" t="s">
        <v>41</v>
      </c>
      <c r="D976" s="2"/>
      <c r="E976" s="2"/>
    </row>
    <row r="977" spans="1:6" x14ac:dyDescent="0.3">
      <c r="A977" t="s">
        <v>232</v>
      </c>
      <c r="B977" t="s">
        <v>42</v>
      </c>
      <c r="C977" t="s">
        <v>41</v>
      </c>
      <c r="D977" s="2"/>
      <c r="E977" s="2"/>
    </row>
    <row r="978" spans="1:6" x14ac:dyDescent="0.3">
      <c r="A978" t="s">
        <v>232</v>
      </c>
      <c r="B978" t="s">
        <v>16</v>
      </c>
      <c r="C978" t="s">
        <v>26</v>
      </c>
      <c r="D978" s="2">
        <v>0.66666666666666696</v>
      </c>
      <c r="E978" s="2">
        <v>0.79166666666666696</v>
      </c>
    </row>
    <row r="979" spans="1:6" x14ac:dyDescent="0.3">
      <c r="A979" t="s">
        <v>232</v>
      </c>
      <c r="B979" t="s">
        <v>63</v>
      </c>
      <c r="C979" t="s">
        <v>26</v>
      </c>
      <c r="D979" s="2">
        <v>0.79166666666666696</v>
      </c>
      <c r="E979" s="2">
        <v>0.91666666666666596</v>
      </c>
    </row>
    <row r="980" spans="1:6" x14ac:dyDescent="0.3">
      <c r="A980" t="s">
        <v>232</v>
      </c>
      <c r="B980" t="s">
        <v>16</v>
      </c>
      <c r="C980" t="s">
        <v>26</v>
      </c>
      <c r="D980" s="2">
        <v>0.79166666666666696</v>
      </c>
      <c r="E980" s="2">
        <v>0.91666666666666596</v>
      </c>
    </row>
    <row r="981" spans="1:6" x14ac:dyDescent="0.3">
      <c r="A981" t="s">
        <v>232</v>
      </c>
      <c r="B981" t="s">
        <v>142</v>
      </c>
      <c r="C981" t="s">
        <v>43</v>
      </c>
      <c r="D981" s="2"/>
      <c r="E981" s="2"/>
    </row>
    <row r="982" spans="1:6" x14ac:dyDescent="0.3">
      <c r="A982" t="s">
        <v>232</v>
      </c>
      <c r="B982" t="s">
        <v>66</v>
      </c>
      <c r="C982" t="s">
        <v>45</v>
      </c>
      <c r="D982" s="2"/>
      <c r="E982" s="2"/>
    </row>
    <row r="983" spans="1:6" x14ac:dyDescent="0.3">
      <c r="A983" t="s">
        <v>232</v>
      </c>
      <c r="B983" t="s">
        <v>68</v>
      </c>
      <c r="C983" t="s">
        <v>46</v>
      </c>
      <c r="D983" s="2"/>
      <c r="E983" s="2"/>
    </row>
    <row r="984" spans="1:6" x14ac:dyDescent="0.3">
      <c r="A984" t="s">
        <v>232</v>
      </c>
      <c r="B984" t="s">
        <v>63</v>
      </c>
      <c r="C984" t="s">
        <v>18</v>
      </c>
      <c r="D984" s="2"/>
      <c r="E984" s="2"/>
    </row>
    <row r="985" spans="1:6" x14ac:dyDescent="0.3">
      <c r="A985" t="s">
        <v>232</v>
      </c>
      <c r="B985" t="s">
        <v>85</v>
      </c>
      <c r="C985" t="s">
        <v>49</v>
      </c>
      <c r="D985" s="2"/>
      <c r="E985" s="2"/>
    </row>
    <row r="986" spans="1:6" x14ac:dyDescent="0.3">
      <c r="A986" t="s">
        <v>232</v>
      </c>
      <c r="B986" t="s">
        <v>17</v>
      </c>
      <c r="C986" t="s">
        <v>51</v>
      </c>
      <c r="D986" s="2"/>
      <c r="E986" s="2"/>
    </row>
    <row r="987" spans="1:6" x14ac:dyDescent="0.3">
      <c r="A987" t="s">
        <v>232</v>
      </c>
      <c r="B987" t="s">
        <v>21</v>
      </c>
      <c r="C987" t="s">
        <v>30</v>
      </c>
      <c r="D987" s="2"/>
      <c r="E987" s="2"/>
    </row>
    <row r="988" spans="1:6" x14ac:dyDescent="0.3">
      <c r="A988" t="s">
        <v>232</v>
      </c>
      <c r="B988" t="s">
        <v>23</v>
      </c>
      <c r="C988" t="s">
        <v>26</v>
      </c>
      <c r="D988" s="2">
        <v>0.66666666666666596</v>
      </c>
      <c r="E988" s="2">
        <v>0.79166666666666496</v>
      </c>
    </row>
    <row r="989" spans="1:6" x14ac:dyDescent="0.3">
      <c r="A989" t="s">
        <v>232</v>
      </c>
      <c r="B989" t="s">
        <v>85</v>
      </c>
      <c r="C989" t="s">
        <v>26</v>
      </c>
      <c r="D989" s="2">
        <v>0.79166666666666496</v>
      </c>
      <c r="E989" s="2">
        <v>0.91666666666666496</v>
      </c>
    </row>
    <row r="990" spans="1:6" x14ac:dyDescent="0.3">
      <c r="A990" t="s">
        <v>232</v>
      </c>
      <c r="B990" t="s">
        <v>23</v>
      </c>
      <c r="C990" t="s">
        <v>26</v>
      </c>
      <c r="D990" s="2">
        <v>0.79166666666666496</v>
      </c>
      <c r="E990" s="2">
        <v>0.91666666666666496</v>
      </c>
    </row>
    <row r="991" spans="1:6" x14ac:dyDescent="0.3">
      <c r="A991" t="s">
        <v>232</v>
      </c>
      <c r="B991" t="s">
        <v>14</v>
      </c>
      <c r="C991" t="s">
        <v>26</v>
      </c>
      <c r="D991" s="2">
        <v>0.79166666666666496</v>
      </c>
      <c r="E991" s="2">
        <v>0.91666666666666496</v>
      </c>
    </row>
    <row r="992" spans="1:6" x14ac:dyDescent="0.3">
      <c r="A992" t="s">
        <v>232</v>
      </c>
      <c r="B992" t="s">
        <v>47</v>
      </c>
      <c r="C992" t="s">
        <v>55</v>
      </c>
      <c r="D992" s="2">
        <v>0.29166666666666669</v>
      </c>
      <c r="E992" s="2">
        <v>0.33333333333333298</v>
      </c>
      <c r="F992" t="s">
        <v>233</v>
      </c>
    </row>
    <row r="993" spans="1:6" x14ac:dyDescent="0.3">
      <c r="A993" t="s">
        <v>232</v>
      </c>
      <c r="B993" s="23" t="s">
        <v>29</v>
      </c>
      <c r="C993" s="23" t="s">
        <v>26</v>
      </c>
      <c r="D993" s="24">
        <v>0.54166666666666596</v>
      </c>
      <c r="E993" s="24">
        <v>0.66666666666666596</v>
      </c>
      <c r="F993" s="23"/>
    </row>
    <row r="994" spans="1:6" x14ac:dyDescent="0.3">
      <c r="A994" t="s">
        <v>234</v>
      </c>
      <c r="B994" t="s">
        <v>72</v>
      </c>
      <c r="C994" t="s">
        <v>13</v>
      </c>
      <c r="D994" s="2"/>
      <c r="E994" s="2"/>
    </row>
    <row r="995" spans="1:6" x14ac:dyDescent="0.3">
      <c r="A995" t="s">
        <v>234</v>
      </c>
      <c r="B995" t="s">
        <v>32</v>
      </c>
      <c r="C995" t="s">
        <v>15</v>
      </c>
      <c r="D995" s="2"/>
      <c r="E995" s="2"/>
    </row>
    <row r="996" spans="1:6" x14ac:dyDescent="0.3">
      <c r="A996" t="s">
        <v>234</v>
      </c>
      <c r="B996" t="s">
        <v>47</v>
      </c>
      <c r="C996" t="s">
        <v>8</v>
      </c>
      <c r="D996" s="2"/>
      <c r="E996" s="2"/>
    </row>
    <row r="997" spans="1:6" x14ac:dyDescent="0.3">
      <c r="A997" t="s">
        <v>234</v>
      </c>
      <c r="B997" t="s">
        <v>27</v>
      </c>
      <c r="C997" t="s">
        <v>13</v>
      </c>
      <c r="D997" s="2"/>
      <c r="E997" s="2"/>
    </row>
    <row r="998" spans="1:6" x14ac:dyDescent="0.3">
      <c r="A998" t="s">
        <v>234</v>
      </c>
      <c r="B998" t="s">
        <v>35</v>
      </c>
      <c r="C998" t="s">
        <v>8</v>
      </c>
      <c r="D998" s="2"/>
      <c r="E998" s="2"/>
    </row>
    <row r="999" spans="1:6" x14ac:dyDescent="0.3">
      <c r="A999" t="s">
        <v>234</v>
      </c>
      <c r="B999" t="s">
        <v>9</v>
      </c>
      <c r="C999" t="s">
        <v>10</v>
      </c>
      <c r="D999" s="2"/>
      <c r="E999" s="2"/>
    </row>
    <row r="1000" spans="1:6" x14ac:dyDescent="0.3">
      <c r="A1000" t="s">
        <v>234</v>
      </c>
      <c r="B1000" t="s">
        <v>36</v>
      </c>
      <c r="C1000" t="s">
        <v>10</v>
      </c>
      <c r="D1000" s="2"/>
      <c r="E1000" s="2"/>
    </row>
    <row r="1001" spans="1:6" x14ac:dyDescent="0.3">
      <c r="A1001" t="s">
        <v>234</v>
      </c>
      <c r="B1001" t="s">
        <v>98</v>
      </c>
      <c r="C1001" t="s">
        <v>10</v>
      </c>
      <c r="D1001" s="2"/>
      <c r="E1001" s="2"/>
    </row>
    <row r="1002" spans="1:6" x14ac:dyDescent="0.3">
      <c r="A1002" t="s">
        <v>234</v>
      </c>
      <c r="B1002" t="s">
        <v>61</v>
      </c>
      <c r="C1002" t="s">
        <v>41</v>
      </c>
      <c r="D1002" s="2"/>
      <c r="E1002" s="2"/>
    </row>
    <row r="1003" spans="1:6" x14ac:dyDescent="0.3">
      <c r="A1003" t="s">
        <v>234</v>
      </c>
      <c r="B1003" t="s">
        <v>39</v>
      </c>
      <c r="C1003" t="s">
        <v>41</v>
      </c>
      <c r="D1003" s="2"/>
      <c r="E1003" s="2"/>
    </row>
    <row r="1004" spans="1:6" x14ac:dyDescent="0.3">
      <c r="A1004" t="s">
        <v>234</v>
      </c>
      <c r="B1004" t="s">
        <v>79</v>
      </c>
      <c r="C1004" t="s">
        <v>10</v>
      </c>
      <c r="D1004" s="2"/>
      <c r="E1004" s="2"/>
    </row>
    <row r="1005" spans="1:6" x14ac:dyDescent="0.3">
      <c r="A1005" t="s">
        <v>234</v>
      </c>
      <c r="B1005" t="s">
        <v>33</v>
      </c>
      <c r="C1005" t="s">
        <v>43</v>
      </c>
      <c r="D1005" s="2"/>
      <c r="E1005" s="2"/>
    </row>
    <row r="1006" spans="1:6" x14ac:dyDescent="0.3">
      <c r="A1006" t="s">
        <v>234</v>
      </c>
      <c r="B1006" t="s">
        <v>44</v>
      </c>
      <c r="C1006" t="s">
        <v>45</v>
      </c>
      <c r="D1006" s="2"/>
      <c r="E1006" s="2"/>
    </row>
    <row r="1007" spans="1:6" x14ac:dyDescent="0.3">
      <c r="A1007" t="s">
        <v>234</v>
      </c>
      <c r="B1007" t="s">
        <v>21</v>
      </c>
      <c r="C1007" t="s">
        <v>46</v>
      </c>
      <c r="D1007" s="2"/>
      <c r="E1007" s="2"/>
    </row>
    <row r="1008" spans="1:6" x14ac:dyDescent="0.3">
      <c r="A1008" t="s">
        <v>234</v>
      </c>
      <c r="B1008" t="s">
        <v>32</v>
      </c>
      <c r="C1008" t="s">
        <v>18</v>
      </c>
      <c r="D1008" s="2"/>
      <c r="E1008" s="2"/>
    </row>
    <row r="1009" spans="1:6" x14ac:dyDescent="0.3">
      <c r="A1009" t="s">
        <v>234</v>
      </c>
      <c r="B1009" t="s">
        <v>71</v>
      </c>
      <c r="C1009" t="s">
        <v>49</v>
      </c>
      <c r="D1009" s="2"/>
      <c r="E1009" s="2"/>
    </row>
    <row r="1010" spans="1:6" x14ac:dyDescent="0.3">
      <c r="A1010" t="s">
        <v>234</v>
      </c>
      <c r="B1010" t="s">
        <v>50</v>
      </c>
      <c r="C1010" t="s">
        <v>51</v>
      </c>
      <c r="D1010" s="2"/>
      <c r="E1010" s="2"/>
    </row>
    <row r="1011" spans="1:6" x14ac:dyDescent="0.3">
      <c r="A1011" t="s">
        <v>234</v>
      </c>
      <c r="B1011" t="s">
        <v>39</v>
      </c>
      <c r="C1011" t="s">
        <v>24</v>
      </c>
      <c r="D1011" s="2">
        <v>0.54166666666666696</v>
      </c>
      <c r="E1011" s="2">
        <v>0.625</v>
      </c>
      <c r="F1011" t="s">
        <v>120</v>
      </c>
    </row>
    <row r="1012" spans="1:6" x14ac:dyDescent="0.3">
      <c r="A1012" t="s">
        <v>234</v>
      </c>
      <c r="B1012" t="s">
        <v>61</v>
      </c>
      <c r="C1012" t="s">
        <v>124</v>
      </c>
      <c r="D1012" s="2">
        <v>0.54166666666666696</v>
      </c>
      <c r="E1012" s="2">
        <v>0.625</v>
      </c>
      <c r="F1012" t="s">
        <v>120</v>
      </c>
    </row>
    <row r="1013" spans="1:6" x14ac:dyDescent="0.3">
      <c r="A1013" t="s">
        <v>234</v>
      </c>
      <c r="B1013" t="s">
        <v>71</v>
      </c>
      <c r="C1013" t="s">
        <v>30</v>
      </c>
      <c r="D1013" s="2"/>
      <c r="E1013" s="2"/>
    </row>
    <row r="1014" spans="1:6" x14ac:dyDescent="0.3">
      <c r="A1014" t="s">
        <v>235</v>
      </c>
      <c r="B1014" t="s">
        <v>71</v>
      </c>
      <c r="C1014" t="s">
        <v>13</v>
      </c>
      <c r="D1014" s="2"/>
      <c r="E1014" s="2"/>
    </row>
    <row r="1015" spans="1:6" x14ac:dyDescent="0.3">
      <c r="A1015" t="s">
        <v>235</v>
      </c>
      <c r="B1015" t="s">
        <v>29</v>
      </c>
      <c r="C1015" t="s">
        <v>15</v>
      </c>
      <c r="D1015" s="2"/>
      <c r="E1015" s="2"/>
    </row>
    <row r="1016" spans="1:6" x14ac:dyDescent="0.3">
      <c r="A1016" t="s">
        <v>235</v>
      </c>
      <c r="B1016" t="s">
        <v>73</v>
      </c>
      <c r="C1016" t="s">
        <v>8</v>
      </c>
      <c r="D1016" s="2"/>
      <c r="E1016" s="2"/>
    </row>
    <row r="1017" spans="1:6" x14ac:dyDescent="0.3">
      <c r="A1017" t="s">
        <v>235</v>
      </c>
      <c r="B1017" t="s">
        <v>62</v>
      </c>
      <c r="C1017" t="s">
        <v>13</v>
      </c>
      <c r="D1017" s="2"/>
      <c r="E1017" s="2"/>
    </row>
    <row r="1018" spans="1:6" x14ac:dyDescent="0.3">
      <c r="A1018" t="s">
        <v>235</v>
      </c>
      <c r="B1018" t="s">
        <v>109</v>
      </c>
      <c r="C1018" t="s">
        <v>8</v>
      </c>
      <c r="D1018" s="2"/>
      <c r="E1018" s="2"/>
    </row>
    <row r="1019" spans="1:6" x14ac:dyDescent="0.3">
      <c r="A1019" t="s">
        <v>235</v>
      </c>
      <c r="B1019" t="s">
        <v>9</v>
      </c>
      <c r="C1019" t="s">
        <v>10</v>
      </c>
      <c r="D1019" s="2"/>
      <c r="E1019" s="2"/>
    </row>
    <row r="1020" spans="1:6" x14ac:dyDescent="0.3">
      <c r="A1020" t="s">
        <v>235</v>
      </c>
      <c r="B1020" t="s">
        <v>36</v>
      </c>
      <c r="C1020" t="s">
        <v>10</v>
      </c>
      <c r="D1020" s="2"/>
      <c r="E1020" s="2"/>
    </row>
    <row r="1021" spans="1:6" x14ac:dyDescent="0.3">
      <c r="A1021" t="s">
        <v>235</v>
      </c>
      <c r="B1021" t="s">
        <v>98</v>
      </c>
      <c r="C1021" t="s">
        <v>10</v>
      </c>
      <c r="D1021" s="2"/>
      <c r="E1021" s="2"/>
    </row>
    <row r="1022" spans="1:6" x14ac:dyDescent="0.3">
      <c r="A1022" t="s">
        <v>235</v>
      </c>
      <c r="B1022" t="s">
        <v>27</v>
      </c>
      <c r="C1022" t="s">
        <v>41</v>
      </c>
      <c r="D1022" s="2"/>
      <c r="E1022" s="2"/>
    </row>
    <row r="1023" spans="1:6" x14ac:dyDescent="0.3">
      <c r="A1023" t="s">
        <v>235</v>
      </c>
      <c r="B1023" t="s">
        <v>35</v>
      </c>
      <c r="C1023" t="s">
        <v>41</v>
      </c>
      <c r="D1023" s="2"/>
      <c r="E1023" s="2"/>
    </row>
    <row r="1024" spans="1:6" x14ac:dyDescent="0.3">
      <c r="A1024" t="s">
        <v>235</v>
      </c>
      <c r="B1024" t="s">
        <v>29</v>
      </c>
      <c r="C1024" t="s">
        <v>43</v>
      </c>
      <c r="D1024" s="2"/>
      <c r="E1024" s="2"/>
    </row>
    <row r="1025" spans="1:5" x14ac:dyDescent="0.3">
      <c r="A1025" t="s">
        <v>235</v>
      </c>
      <c r="B1025" t="s">
        <v>23</v>
      </c>
      <c r="C1025" t="s">
        <v>45</v>
      </c>
      <c r="D1025" s="2"/>
      <c r="E1025" s="2"/>
    </row>
    <row r="1026" spans="1:5" x14ac:dyDescent="0.3">
      <c r="A1026" t="s">
        <v>235</v>
      </c>
      <c r="B1026" t="s">
        <v>16</v>
      </c>
      <c r="C1026" t="s">
        <v>46</v>
      </c>
      <c r="D1026" s="2"/>
      <c r="E1026" s="2"/>
    </row>
    <row r="1027" spans="1:5" x14ac:dyDescent="0.3">
      <c r="A1027" t="s">
        <v>235</v>
      </c>
      <c r="B1027" t="s">
        <v>63</v>
      </c>
      <c r="C1027" t="s">
        <v>18</v>
      </c>
      <c r="D1027" s="2"/>
      <c r="E1027" s="2"/>
    </row>
    <row r="1028" spans="1:5" x14ac:dyDescent="0.3">
      <c r="A1028" t="s">
        <v>235</v>
      </c>
      <c r="B1028" t="s">
        <v>71</v>
      </c>
      <c r="C1028" t="s">
        <v>49</v>
      </c>
      <c r="D1028" s="2"/>
      <c r="E1028" s="2"/>
    </row>
    <row r="1029" spans="1:5" x14ac:dyDescent="0.3">
      <c r="A1029" t="s">
        <v>235</v>
      </c>
      <c r="B1029" t="s">
        <v>75</v>
      </c>
      <c r="C1029" t="s">
        <v>51</v>
      </c>
      <c r="D1029" s="2"/>
      <c r="E1029" s="2"/>
    </row>
    <row r="1030" spans="1:5" x14ac:dyDescent="0.3">
      <c r="A1030" t="s">
        <v>235</v>
      </c>
      <c r="B1030" t="s">
        <v>37</v>
      </c>
      <c r="C1030" t="s">
        <v>30</v>
      </c>
      <c r="D1030" s="2"/>
      <c r="E1030" s="2"/>
    </row>
    <row r="1031" spans="1:5" x14ac:dyDescent="0.3">
      <c r="A1031" t="s">
        <v>236</v>
      </c>
      <c r="B1031" t="s">
        <v>29</v>
      </c>
      <c r="C1031" t="s">
        <v>13</v>
      </c>
      <c r="D1031" s="2"/>
      <c r="E1031" s="2"/>
    </row>
    <row r="1032" spans="1:5" x14ac:dyDescent="0.3">
      <c r="A1032" t="s">
        <v>236</v>
      </c>
      <c r="B1032" t="s">
        <v>64</v>
      </c>
      <c r="C1032" t="s">
        <v>15</v>
      </c>
      <c r="D1032" s="2"/>
      <c r="E1032" s="2"/>
    </row>
    <row r="1033" spans="1:5" x14ac:dyDescent="0.3">
      <c r="A1033" t="s">
        <v>236</v>
      </c>
      <c r="B1033" t="s">
        <v>37</v>
      </c>
      <c r="C1033" t="s">
        <v>8</v>
      </c>
      <c r="D1033" s="2"/>
      <c r="E1033" s="2"/>
    </row>
    <row r="1034" spans="1:5" x14ac:dyDescent="0.3">
      <c r="A1034" t="s">
        <v>236</v>
      </c>
      <c r="B1034" t="s">
        <v>38</v>
      </c>
      <c r="C1034" t="s">
        <v>13</v>
      </c>
      <c r="D1034" s="2"/>
      <c r="E1034" s="2"/>
    </row>
    <row r="1035" spans="1:5" x14ac:dyDescent="0.3">
      <c r="A1035" t="s">
        <v>236</v>
      </c>
      <c r="B1035" t="s">
        <v>97</v>
      </c>
      <c r="C1035" t="s">
        <v>8</v>
      </c>
      <c r="D1035" s="2"/>
      <c r="E1035" s="2"/>
    </row>
    <row r="1036" spans="1:5" x14ac:dyDescent="0.3">
      <c r="A1036" t="s">
        <v>236</v>
      </c>
      <c r="B1036" t="s">
        <v>9</v>
      </c>
      <c r="C1036" t="s">
        <v>10</v>
      </c>
      <c r="D1036" s="2"/>
      <c r="E1036" s="2"/>
    </row>
    <row r="1037" spans="1:5" x14ac:dyDescent="0.3">
      <c r="A1037" t="s">
        <v>236</v>
      </c>
      <c r="B1037" t="s">
        <v>36</v>
      </c>
      <c r="C1037" t="s">
        <v>10</v>
      </c>
      <c r="D1037" s="2"/>
      <c r="E1037" s="2"/>
    </row>
    <row r="1038" spans="1:5" x14ac:dyDescent="0.3">
      <c r="A1038" t="s">
        <v>236</v>
      </c>
      <c r="B1038" t="s">
        <v>98</v>
      </c>
      <c r="C1038" t="s">
        <v>10</v>
      </c>
      <c r="D1038" s="2"/>
      <c r="E1038" s="2"/>
    </row>
    <row r="1039" spans="1:5" x14ac:dyDescent="0.3">
      <c r="A1039" t="s">
        <v>236</v>
      </c>
      <c r="B1039" t="s">
        <v>62</v>
      </c>
      <c r="C1039" t="s">
        <v>41</v>
      </c>
      <c r="D1039" s="2"/>
      <c r="E1039" s="2"/>
    </row>
    <row r="1040" spans="1:5" x14ac:dyDescent="0.3">
      <c r="A1040" t="s">
        <v>236</v>
      </c>
      <c r="B1040" t="s">
        <v>109</v>
      </c>
      <c r="C1040" t="s">
        <v>41</v>
      </c>
      <c r="D1040" s="2"/>
      <c r="E1040" s="2"/>
    </row>
    <row r="1041" spans="1:5" x14ac:dyDescent="0.3">
      <c r="A1041" t="s">
        <v>236</v>
      </c>
      <c r="B1041" t="s">
        <v>12</v>
      </c>
      <c r="C1041" t="s">
        <v>26</v>
      </c>
      <c r="D1041" s="2">
        <v>0.79166666666666696</v>
      </c>
      <c r="E1041" s="2">
        <v>0.91666666666666596</v>
      </c>
    </row>
    <row r="1042" spans="1:5" x14ac:dyDescent="0.3">
      <c r="A1042" t="s">
        <v>236</v>
      </c>
      <c r="B1042" t="s">
        <v>50</v>
      </c>
      <c r="C1042" t="s">
        <v>30</v>
      </c>
      <c r="D1042" s="2"/>
      <c r="E1042" s="2"/>
    </row>
    <row r="1043" spans="1:5" x14ac:dyDescent="0.3">
      <c r="A1043" t="s">
        <v>237</v>
      </c>
      <c r="B1043" t="s">
        <v>66</v>
      </c>
      <c r="C1043" t="s">
        <v>13</v>
      </c>
      <c r="D1043" s="2"/>
      <c r="E1043" s="2"/>
    </row>
    <row r="1044" spans="1:5" x14ac:dyDescent="0.3">
      <c r="A1044" t="s">
        <v>237</v>
      </c>
      <c r="B1044" t="s">
        <v>84</v>
      </c>
      <c r="C1044" t="s">
        <v>15</v>
      </c>
      <c r="D1044" s="2"/>
      <c r="E1044" s="2"/>
    </row>
    <row r="1045" spans="1:5" x14ac:dyDescent="0.3">
      <c r="A1045" t="s">
        <v>237</v>
      </c>
      <c r="B1045" t="s">
        <v>75</v>
      </c>
      <c r="C1045" t="s">
        <v>8</v>
      </c>
      <c r="D1045" s="2"/>
      <c r="E1045" s="2"/>
    </row>
    <row r="1046" spans="1:5" x14ac:dyDescent="0.3">
      <c r="A1046" t="s">
        <v>237</v>
      </c>
      <c r="B1046" t="s">
        <v>42</v>
      </c>
      <c r="C1046" t="s">
        <v>13</v>
      </c>
      <c r="D1046" s="2"/>
      <c r="E1046" s="2"/>
    </row>
    <row r="1047" spans="1:5" x14ac:dyDescent="0.3">
      <c r="A1047" t="s">
        <v>237</v>
      </c>
      <c r="B1047" t="s">
        <v>79</v>
      </c>
      <c r="C1047" t="s">
        <v>8</v>
      </c>
      <c r="D1047" s="2"/>
      <c r="E1047" s="2"/>
    </row>
    <row r="1048" spans="1:5" x14ac:dyDescent="0.3">
      <c r="A1048" t="s">
        <v>237</v>
      </c>
      <c r="B1048" t="s">
        <v>9</v>
      </c>
      <c r="C1048" t="s">
        <v>10</v>
      </c>
      <c r="D1048" s="2"/>
      <c r="E1048" s="2"/>
    </row>
    <row r="1049" spans="1:5" x14ac:dyDescent="0.3">
      <c r="A1049" t="s">
        <v>237</v>
      </c>
      <c r="B1049" t="s">
        <v>36</v>
      </c>
      <c r="C1049" t="s">
        <v>10</v>
      </c>
      <c r="D1049" s="2"/>
      <c r="E1049" s="2"/>
    </row>
    <row r="1050" spans="1:5" x14ac:dyDescent="0.3">
      <c r="A1050" t="s">
        <v>237</v>
      </c>
      <c r="B1050" t="s">
        <v>98</v>
      </c>
      <c r="C1050" t="s">
        <v>10</v>
      </c>
      <c r="D1050" s="2"/>
      <c r="E1050" s="2"/>
    </row>
    <row r="1051" spans="1:5" x14ac:dyDescent="0.3">
      <c r="A1051" t="s">
        <v>237</v>
      </c>
      <c r="B1051" t="s">
        <v>38</v>
      </c>
      <c r="C1051" t="s">
        <v>41</v>
      </c>
      <c r="D1051" s="2"/>
      <c r="E1051" s="2"/>
    </row>
    <row r="1052" spans="1:5" x14ac:dyDescent="0.3">
      <c r="A1052" t="s">
        <v>237</v>
      </c>
      <c r="B1052" t="s">
        <v>97</v>
      </c>
      <c r="C1052" t="s">
        <v>41</v>
      </c>
      <c r="D1052" s="2"/>
      <c r="E1052" s="2"/>
    </row>
    <row r="1053" spans="1:5" x14ac:dyDescent="0.3">
      <c r="A1053" t="s">
        <v>237</v>
      </c>
      <c r="B1053" t="s">
        <v>21</v>
      </c>
      <c r="C1053" t="s">
        <v>26</v>
      </c>
      <c r="D1053" s="2">
        <v>0.54166666666666696</v>
      </c>
      <c r="E1053" s="2">
        <v>0.66666666666666696</v>
      </c>
    </row>
    <row r="1054" spans="1:5" x14ac:dyDescent="0.3">
      <c r="A1054" t="s">
        <v>237</v>
      </c>
      <c r="B1054" t="s">
        <v>21</v>
      </c>
      <c r="C1054" t="s">
        <v>26</v>
      </c>
      <c r="D1054" s="2">
        <v>0.66666666666666696</v>
      </c>
      <c r="E1054" s="2">
        <v>0.79166666666666696</v>
      </c>
    </row>
    <row r="1055" spans="1:5" x14ac:dyDescent="0.3">
      <c r="A1055" t="s">
        <v>237</v>
      </c>
      <c r="B1055" t="s">
        <v>12</v>
      </c>
      <c r="C1055" t="s">
        <v>43</v>
      </c>
      <c r="D1055" s="2"/>
      <c r="E1055" s="2"/>
    </row>
    <row r="1056" spans="1:5" x14ac:dyDescent="0.3">
      <c r="A1056" t="s">
        <v>237</v>
      </c>
      <c r="B1056" t="s">
        <v>52</v>
      </c>
      <c r="C1056" t="s">
        <v>45</v>
      </c>
      <c r="D1056" s="2"/>
      <c r="E1056" s="2"/>
    </row>
    <row r="1057" spans="1:5" x14ac:dyDescent="0.3">
      <c r="A1057" t="s">
        <v>237</v>
      </c>
      <c r="B1057" t="s">
        <v>14</v>
      </c>
      <c r="C1057" t="s">
        <v>46</v>
      </c>
      <c r="D1057" s="2"/>
      <c r="E1057" s="2"/>
    </row>
    <row r="1058" spans="1:5" x14ac:dyDescent="0.3">
      <c r="A1058" t="s">
        <v>237</v>
      </c>
      <c r="B1058" t="s">
        <v>94</v>
      </c>
      <c r="C1058" t="s">
        <v>18</v>
      </c>
      <c r="D1058" s="2"/>
      <c r="E1058" s="2"/>
    </row>
    <row r="1059" spans="1:5" x14ac:dyDescent="0.3">
      <c r="A1059" t="s">
        <v>237</v>
      </c>
      <c r="B1059" t="s">
        <v>71</v>
      </c>
      <c r="C1059" t="s">
        <v>49</v>
      </c>
      <c r="D1059" s="2"/>
      <c r="E1059" s="2"/>
    </row>
    <row r="1060" spans="1:5" x14ac:dyDescent="0.3">
      <c r="A1060" t="s">
        <v>237</v>
      </c>
      <c r="B1060" t="s">
        <v>34</v>
      </c>
      <c r="C1060" t="s">
        <v>51</v>
      </c>
      <c r="D1060" s="2"/>
      <c r="E1060" s="2"/>
    </row>
    <row r="1061" spans="1:5" x14ac:dyDescent="0.3">
      <c r="A1061" t="s">
        <v>237</v>
      </c>
      <c r="B1061" t="s">
        <v>33</v>
      </c>
      <c r="C1061" t="s">
        <v>30</v>
      </c>
      <c r="D1061" s="2"/>
      <c r="E1061" s="2"/>
    </row>
    <row r="1062" spans="1:5" x14ac:dyDescent="0.3">
      <c r="A1062" t="s">
        <v>238</v>
      </c>
      <c r="B1062" t="s">
        <v>48</v>
      </c>
      <c r="C1062" t="s">
        <v>13</v>
      </c>
      <c r="D1062" s="2"/>
      <c r="E1062" s="2"/>
    </row>
    <row r="1063" spans="1:5" x14ac:dyDescent="0.3">
      <c r="A1063" t="s">
        <v>238</v>
      </c>
      <c r="B1063" t="s">
        <v>71</v>
      </c>
      <c r="C1063" t="s">
        <v>15</v>
      </c>
      <c r="D1063" s="2"/>
      <c r="E1063" s="2"/>
    </row>
    <row r="1064" spans="1:5" x14ac:dyDescent="0.3">
      <c r="A1064" t="s">
        <v>238</v>
      </c>
      <c r="B1064" t="s">
        <v>63</v>
      </c>
      <c r="C1064" t="s">
        <v>8</v>
      </c>
      <c r="D1064" s="2"/>
      <c r="E1064" s="2"/>
    </row>
    <row r="1065" spans="1:5" x14ac:dyDescent="0.3">
      <c r="A1065" t="s">
        <v>238</v>
      </c>
      <c r="B1065" t="s">
        <v>57</v>
      </c>
      <c r="C1065" t="s">
        <v>13</v>
      </c>
      <c r="D1065" s="2"/>
      <c r="E1065" s="2"/>
    </row>
    <row r="1066" spans="1:5" x14ac:dyDescent="0.3">
      <c r="A1066" t="s">
        <v>238</v>
      </c>
      <c r="B1066" t="s">
        <v>112</v>
      </c>
      <c r="C1066" t="s">
        <v>8</v>
      </c>
      <c r="D1066" s="2"/>
      <c r="E1066" s="2"/>
    </row>
    <row r="1067" spans="1:5" x14ac:dyDescent="0.3">
      <c r="A1067" t="s">
        <v>238</v>
      </c>
      <c r="B1067" t="s">
        <v>9</v>
      </c>
      <c r="C1067" t="s">
        <v>10</v>
      </c>
      <c r="D1067" s="2"/>
      <c r="E1067" s="2"/>
    </row>
    <row r="1068" spans="1:5" x14ac:dyDescent="0.3">
      <c r="A1068" t="s">
        <v>238</v>
      </c>
      <c r="B1068" t="s">
        <v>36</v>
      </c>
      <c r="C1068" t="s">
        <v>10</v>
      </c>
      <c r="D1068" s="2"/>
      <c r="E1068" s="2"/>
    </row>
    <row r="1069" spans="1:5" x14ac:dyDescent="0.3">
      <c r="A1069" t="s">
        <v>238</v>
      </c>
      <c r="B1069" t="s">
        <v>98</v>
      </c>
      <c r="C1069" t="s">
        <v>10</v>
      </c>
      <c r="D1069" s="2"/>
      <c r="E1069" s="2"/>
    </row>
    <row r="1070" spans="1:5" x14ac:dyDescent="0.3">
      <c r="A1070" t="s">
        <v>238</v>
      </c>
      <c r="B1070" t="s">
        <v>69</v>
      </c>
      <c r="C1070" t="s">
        <v>41</v>
      </c>
      <c r="D1070" s="2"/>
      <c r="E1070" s="2"/>
    </row>
    <row r="1071" spans="1:5" x14ac:dyDescent="0.3">
      <c r="A1071" t="s">
        <v>238</v>
      </c>
      <c r="B1071" t="s">
        <v>79</v>
      </c>
      <c r="C1071" t="s">
        <v>41</v>
      </c>
      <c r="D1071" s="2"/>
      <c r="E1071" s="2"/>
    </row>
    <row r="1072" spans="1:5" x14ac:dyDescent="0.3">
      <c r="A1072" t="s">
        <v>238</v>
      </c>
      <c r="B1072" t="s">
        <v>94</v>
      </c>
      <c r="C1072" t="s">
        <v>26</v>
      </c>
      <c r="D1072" s="2">
        <v>0.66666666666666696</v>
      </c>
      <c r="E1072" s="2">
        <v>0.79166666666666696</v>
      </c>
    </row>
    <row r="1073" spans="1:5" x14ac:dyDescent="0.3">
      <c r="A1073" t="s">
        <v>238</v>
      </c>
      <c r="B1073" t="s">
        <v>94</v>
      </c>
      <c r="C1073" t="s">
        <v>26</v>
      </c>
      <c r="D1073" s="2">
        <v>0.79166666666666696</v>
      </c>
      <c r="E1073" s="2">
        <v>0.91666666666666596</v>
      </c>
    </row>
    <row r="1074" spans="1:5" x14ac:dyDescent="0.3">
      <c r="A1074" t="s">
        <v>238</v>
      </c>
      <c r="B1074" t="s">
        <v>64</v>
      </c>
      <c r="C1074" t="s">
        <v>43</v>
      </c>
      <c r="D1074" s="2"/>
      <c r="E1074" s="2"/>
    </row>
    <row r="1075" spans="1:5" x14ac:dyDescent="0.3">
      <c r="A1075" t="s">
        <v>238</v>
      </c>
      <c r="B1075" t="s">
        <v>23</v>
      </c>
      <c r="C1075" t="s">
        <v>43</v>
      </c>
      <c r="D1075" s="2"/>
      <c r="E1075" s="2"/>
    </row>
    <row r="1076" spans="1:5" x14ac:dyDescent="0.3">
      <c r="A1076" t="s">
        <v>238</v>
      </c>
      <c r="B1076" t="s">
        <v>16</v>
      </c>
      <c r="C1076" t="s">
        <v>46</v>
      </c>
      <c r="D1076" s="2"/>
      <c r="E1076" s="2"/>
    </row>
    <row r="1077" spans="1:5" x14ac:dyDescent="0.3">
      <c r="A1077" t="s">
        <v>238</v>
      </c>
      <c r="B1077" t="s">
        <v>72</v>
      </c>
      <c r="C1077" t="s">
        <v>18</v>
      </c>
      <c r="D1077" s="2"/>
      <c r="E1077" s="2"/>
    </row>
    <row r="1078" spans="1:5" x14ac:dyDescent="0.3">
      <c r="A1078" t="s">
        <v>238</v>
      </c>
      <c r="B1078" t="s">
        <v>71</v>
      </c>
      <c r="C1078" t="s">
        <v>49</v>
      </c>
      <c r="D1078" s="2"/>
      <c r="E1078" s="2"/>
    </row>
    <row r="1079" spans="1:5" x14ac:dyDescent="0.3">
      <c r="A1079" t="s">
        <v>238</v>
      </c>
      <c r="B1079" t="s">
        <v>17</v>
      </c>
      <c r="C1079" t="s">
        <v>51</v>
      </c>
      <c r="D1079" s="2"/>
      <c r="E1079" s="2"/>
    </row>
    <row r="1080" spans="1:5" x14ac:dyDescent="0.3">
      <c r="A1080" t="s">
        <v>238</v>
      </c>
      <c r="B1080" t="s">
        <v>14</v>
      </c>
      <c r="C1080" t="s">
        <v>30</v>
      </c>
      <c r="D1080" s="2"/>
      <c r="E1080" s="2"/>
    </row>
    <row r="1081" spans="1:5" x14ac:dyDescent="0.3">
      <c r="A1081" t="s">
        <v>238</v>
      </c>
      <c r="B1081" t="s">
        <v>85</v>
      </c>
      <c r="C1081" t="s">
        <v>30</v>
      </c>
      <c r="D1081" s="2"/>
      <c r="E1081" s="2"/>
    </row>
    <row r="1082" spans="1:5" x14ac:dyDescent="0.3">
      <c r="A1082" t="s">
        <v>239</v>
      </c>
      <c r="B1082" t="s">
        <v>63</v>
      </c>
      <c r="C1082" t="s">
        <v>13</v>
      </c>
      <c r="D1082" s="2"/>
      <c r="E1082" s="2"/>
    </row>
    <row r="1083" spans="1:5" x14ac:dyDescent="0.3">
      <c r="A1083" t="s">
        <v>239</v>
      </c>
      <c r="B1083" t="s">
        <v>68</v>
      </c>
      <c r="C1083" t="s">
        <v>15</v>
      </c>
      <c r="D1083" s="2"/>
      <c r="E1083" s="2"/>
    </row>
    <row r="1084" spans="1:5" x14ac:dyDescent="0.3">
      <c r="A1084" t="s">
        <v>239</v>
      </c>
      <c r="B1084" t="s">
        <v>84</v>
      </c>
      <c r="C1084" t="s">
        <v>8</v>
      </c>
      <c r="D1084" s="2"/>
      <c r="E1084" s="2"/>
    </row>
    <row r="1085" spans="1:5" x14ac:dyDescent="0.3">
      <c r="A1085" t="s">
        <v>239</v>
      </c>
      <c r="B1085" t="s">
        <v>38</v>
      </c>
      <c r="C1085" t="s">
        <v>13</v>
      </c>
      <c r="D1085" s="2"/>
      <c r="E1085" s="2"/>
    </row>
    <row r="1086" spans="1:5" x14ac:dyDescent="0.3">
      <c r="A1086" t="s">
        <v>239</v>
      </c>
      <c r="B1086" t="s">
        <v>96</v>
      </c>
      <c r="C1086" t="s">
        <v>8</v>
      </c>
      <c r="D1086" s="2"/>
      <c r="E1086" s="2"/>
    </row>
    <row r="1087" spans="1:5" x14ac:dyDescent="0.3">
      <c r="A1087" t="s">
        <v>239</v>
      </c>
      <c r="B1087" t="s">
        <v>40</v>
      </c>
      <c r="C1087" t="s">
        <v>10</v>
      </c>
      <c r="D1087" s="2"/>
      <c r="E1087" s="2"/>
    </row>
    <row r="1088" spans="1:5" x14ac:dyDescent="0.3">
      <c r="A1088" t="s">
        <v>239</v>
      </c>
      <c r="B1088" t="s">
        <v>103</v>
      </c>
      <c r="C1088" t="s">
        <v>10</v>
      </c>
      <c r="D1088" s="2"/>
      <c r="E1088" s="2"/>
    </row>
    <row r="1089" spans="1:6" x14ac:dyDescent="0.3">
      <c r="A1089" t="s">
        <v>239</v>
      </c>
      <c r="B1089" t="s">
        <v>35</v>
      </c>
      <c r="C1089" t="s">
        <v>10</v>
      </c>
      <c r="D1089" s="2"/>
      <c r="E1089" s="2"/>
    </row>
    <row r="1090" spans="1:6" x14ac:dyDescent="0.3">
      <c r="A1090" t="s">
        <v>239</v>
      </c>
      <c r="B1090" t="s">
        <v>61</v>
      </c>
      <c r="C1090" t="s">
        <v>41</v>
      </c>
      <c r="D1090" s="2"/>
      <c r="E1090" s="2"/>
    </row>
    <row r="1091" spans="1:6" x14ac:dyDescent="0.3">
      <c r="A1091" t="s">
        <v>239</v>
      </c>
      <c r="B1091" t="s">
        <v>98</v>
      </c>
      <c r="C1091" t="s">
        <v>41</v>
      </c>
      <c r="D1091" s="2"/>
      <c r="E1091" s="2"/>
    </row>
    <row r="1092" spans="1:6" x14ac:dyDescent="0.3">
      <c r="A1092" t="s">
        <v>239</v>
      </c>
      <c r="B1092" t="s">
        <v>64</v>
      </c>
      <c r="C1092" t="s">
        <v>43</v>
      </c>
      <c r="D1092" s="2"/>
      <c r="E1092" s="2"/>
    </row>
    <row r="1093" spans="1:6" x14ac:dyDescent="0.3">
      <c r="A1093" t="s">
        <v>239</v>
      </c>
      <c r="B1093" t="s">
        <v>44</v>
      </c>
      <c r="C1093" t="s">
        <v>45</v>
      </c>
      <c r="D1093" s="2"/>
      <c r="E1093" s="2"/>
    </row>
    <row r="1094" spans="1:6" x14ac:dyDescent="0.3">
      <c r="A1094" t="s">
        <v>239</v>
      </c>
      <c r="B1094" t="s">
        <v>16</v>
      </c>
      <c r="C1094" t="s">
        <v>46</v>
      </c>
      <c r="D1094" s="2"/>
      <c r="E1094" s="2"/>
    </row>
    <row r="1095" spans="1:6" x14ac:dyDescent="0.3">
      <c r="A1095" t="s">
        <v>239</v>
      </c>
      <c r="B1095" t="s">
        <v>94</v>
      </c>
      <c r="C1095" t="s">
        <v>18</v>
      </c>
      <c r="D1095" s="2"/>
      <c r="E1095" s="2"/>
    </row>
    <row r="1096" spans="1:6" x14ac:dyDescent="0.3">
      <c r="A1096" t="s">
        <v>239</v>
      </c>
      <c r="B1096" t="s">
        <v>71</v>
      </c>
      <c r="C1096" t="s">
        <v>49</v>
      </c>
      <c r="D1096" s="2"/>
      <c r="E1096" s="2"/>
    </row>
    <row r="1097" spans="1:6" x14ac:dyDescent="0.3">
      <c r="A1097" t="s">
        <v>239</v>
      </c>
      <c r="B1097" t="s">
        <v>17</v>
      </c>
      <c r="C1097" t="s">
        <v>51</v>
      </c>
      <c r="D1097" s="2"/>
      <c r="E1097" s="2"/>
    </row>
    <row r="1098" spans="1:6" x14ac:dyDescent="0.3">
      <c r="A1098" t="s">
        <v>239</v>
      </c>
      <c r="B1098" t="s">
        <v>12</v>
      </c>
      <c r="C1098" t="s">
        <v>24</v>
      </c>
      <c r="D1098" s="2">
        <v>0.54166666666666696</v>
      </c>
      <c r="E1098" s="2">
        <v>0.91666666666666596</v>
      </c>
      <c r="F1098" t="s">
        <v>186</v>
      </c>
    </row>
    <row r="1099" spans="1:6" x14ac:dyDescent="0.3">
      <c r="A1099" t="s">
        <v>239</v>
      </c>
      <c r="B1099" t="s">
        <v>33</v>
      </c>
      <c r="C1099" t="s">
        <v>26</v>
      </c>
      <c r="D1099" s="2">
        <v>0.41666666666666702</v>
      </c>
      <c r="E1099" s="2">
        <v>0.54166666666666596</v>
      </c>
    </row>
    <row r="1100" spans="1:6" x14ac:dyDescent="0.3">
      <c r="A1100" t="s">
        <v>239</v>
      </c>
      <c r="B1100" t="s">
        <v>48</v>
      </c>
      <c r="C1100" t="s">
        <v>26</v>
      </c>
      <c r="D1100" s="2">
        <v>0.66666666666666596</v>
      </c>
      <c r="E1100" s="2">
        <v>0.79166666666666496</v>
      </c>
    </row>
    <row r="1101" spans="1:6" x14ac:dyDescent="0.3">
      <c r="A1101" t="s">
        <v>239</v>
      </c>
      <c r="B1101" t="s">
        <v>66</v>
      </c>
      <c r="C1101" t="s">
        <v>26</v>
      </c>
      <c r="D1101" s="2">
        <v>0.66666666666666596</v>
      </c>
      <c r="E1101" s="2">
        <v>0.79166666666666496</v>
      </c>
    </row>
    <row r="1102" spans="1:6" x14ac:dyDescent="0.3">
      <c r="A1102" t="s">
        <v>239</v>
      </c>
      <c r="B1102" t="s">
        <v>48</v>
      </c>
      <c r="C1102" t="s">
        <v>26</v>
      </c>
      <c r="D1102" s="2">
        <v>0.79166666666666496</v>
      </c>
      <c r="E1102" s="2">
        <v>0.91666666666666496</v>
      </c>
    </row>
    <row r="1103" spans="1:6" x14ac:dyDescent="0.3">
      <c r="A1103" t="s">
        <v>239</v>
      </c>
      <c r="B1103" t="s">
        <v>52</v>
      </c>
      <c r="C1103" t="s">
        <v>26</v>
      </c>
      <c r="D1103" s="2">
        <v>0.79166666666666496</v>
      </c>
      <c r="E1103" s="2">
        <v>0.91666666666666496</v>
      </c>
    </row>
    <row r="1104" spans="1:6" x14ac:dyDescent="0.3">
      <c r="A1104" t="s">
        <v>239</v>
      </c>
      <c r="B1104" t="s">
        <v>66</v>
      </c>
      <c r="C1104" t="s">
        <v>26</v>
      </c>
      <c r="D1104" s="2">
        <v>0.79166666666666496</v>
      </c>
      <c r="E1104" s="2">
        <v>0.91666666666666496</v>
      </c>
    </row>
    <row r="1105" spans="1:6" x14ac:dyDescent="0.3">
      <c r="A1105" t="s">
        <v>239</v>
      </c>
      <c r="B1105" t="s">
        <v>29</v>
      </c>
      <c r="C1105" t="s">
        <v>26</v>
      </c>
      <c r="D1105" s="2">
        <v>0.79166666666666496</v>
      </c>
      <c r="E1105" s="2">
        <v>0.91666666666666496</v>
      </c>
    </row>
    <row r="1106" spans="1:6" x14ac:dyDescent="0.3">
      <c r="A1106" t="s">
        <v>239</v>
      </c>
      <c r="B1106" s="23" t="s">
        <v>25</v>
      </c>
      <c r="C1106" s="23" t="s">
        <v>30</v>
      </c>
      <c r="D1106" s="24"/>
      <c r="E1106" s="24"/>
      <c r="F1106" s="23"/>
    </row>
    <row r="1107" spans="1:6" x14ac:dyDescent="0.3">
      <c r="A1107" t="s">
        <v>240</v>
      </c>
      <c r="B1107" t="s">
        <v>29</v>
      </c>
      <c r="C1107" t="s">
        <v>13</v>
      </c>
      <c r="D1107" s="2"/>
      <c r="E1107" s="2"/>
    </row>
    <row r="1108" spans="1:6" x14ac:dyDescent="0.3">
      <c r="A1108" t="s">
        <v>240</v>
      </c>
      <c r="B1108" t="s">
        <v>34</v>
      </c>
      <c r="C1108" t="s">
        <v>15</v>
      </c>
      <c r="D1108" s="2"/>
      <c r="E1108" s="2"/>
    </row>
    <row r="1109" spans="1:6" x14ac:dyDescent="0.3">
      <c r="A1109" t="s">
        <v>240</v>
      </c>
      <c r="B1109" t="s">
        <v>50</v>
      </c>
      <c r="C1109" t="s">
        <v>8</v>
      </c>
      <c r="D1109" s="2"/>
      <c r="E1109" s="2"/>
    </row>
    <row r="1110" spans="1:6" x14ac:dyDescent="0.3">
      <c r="A1110" t="s">
        <v>240</v>
      </c>
      <c r="B1110" t="s">
        <v>59</v>
      </c>
      <c r="C1110" t="s">
        <v>13</v>
      </c>
      <c r="D1110" s="2"/>
      <c r="E1110" s="2"/>
    </row>
    <row r="1111" spans="1:6" x14ac:dyDescent="0.3">
      <c r="A1111" t="s">
        <v>240</v>
      </c>
      <c r="B1111" t="s">
        <v>36</v>
      </c>
      <c r="C1111" t="s">
        <v>8</v>
      </c>
      <c r="D1111" s="2"/>
      <c r="E1111" s="2"/>
    </row>
    <row r="1112" spans="1:6" x14ac:dyDescent="0.3">
      <c r="A1112" t="s">
        <v>240</v>
      </c>
      <c r="B1112" t="s">
        <v>40</v>
      </c>
      <c r="C1112" t="s">
        <v>10</v>
      </c>
      <c r="D1112" s="2"/>
      <c r="E1112" s="2"/>
    </row>
    <row r="1113" spans="1:6" x14ac:dyDescent="0.3">
      <c r="A1113" t="s">
        <v>240</v>
      </c>
      <c r="B1113" t="s">
        <v>103</v>
      </c>
      <c r="C1113" t="s">
        <v>10</v>
      </c>
      <c r="D1113" s="2"/>
      <c r="E1113" s="2"/>
    </row>
    <row r="1114" spans="1:6" x14ac:dyDescent="0.3">
      <c r="A1114" t="s">
        <v>240</v>
      </c>
      <c r="B1114" t="s">
        <v>69</v>
      </c>
      <c r="C1114" t="s">
        <v>41</v>
      </c>
      <c r="D1114" s="2"/>
      <c r="E1114" s="2"/>
    </row>
    <row r="1115" spans="1:6" x14ac:dyDescent="0.3">
      <c r="A1115" t="s">
        <v>240</v>
      </c>
      <c r="B1115" t="s">
        <v>62</v>
      </c>
      <c r="C1115" t="s">
        <v>41</v>
      </c>
      <c r="D1115" s="2"/>
      <c r="E1115" s="2"/>
    </row>
    <row r="1116" spans="1:6" x14ac:dyDescent="0.3">
      <c r="A1116" t="s">
        <v>240</v>
      </c>
      <c r="B1116" t="s">
        <v>33</v>
      </c>
      <c r="C1116" t="s">
        <v>43</v>
      </c>
      <c r="D1116" s="2"/>
      <c r="E1116" s="2"/>
    </row>
    <row r="1117" spans="1:6" x14ac:dyDescent="0.3">
      <c r="A1117" t="s">
        <v>240</v>
      </c>
      <c r="B1117" t="s">
        <v>23</v>
      </c>
      <c r="C1117" t="s">
        <v>45</v>
      </c>
      <c r="D1117" s="2"/>
      <c r="E1117" s="2"/>
    </row>
    <row r="1118" spans="1:6" x14ac:dyDescent="0.3">
      <c r="A1118" t="s">
        <v>240</v>
      </c>
      <c r="B1118" t="s">
        <v>16</v>
      </c>
      <c r="C1118" t="s">
        <v>46</v>
      </c>
      <c r="D1118" s="2"/>
      <c r="E1118" s="2"/>
    </row>
    <row r="1119" spans="1:6" x14ac:dyDescent="0.3">
      <c r="A1119" t="s">
        <v>240</v>
      </c>
      <c r="B1119" t="s">
        <v>72</v>
      </c>
      <c r="C1119" t="s">
        <v>18</v>
      </c>
      <c r="D1119" s="2"/>
      <c r="E1119" s="2"/>
    </row>
    <row r="1120" spans="1:6" x14ac:dyDescent="0.3">
      <c r="A1120" t="s">
        <v>240</v>
      </c>
      <c r="B1120" t="s">
        <v>71</v>
      </c>
      <c r="C1120" t="s">
        <v>49</v>
      </c>
      <c r="D1120" s="2"/>
      <c r="E1120" s="2"/>
    </row>
    <row r="1121" spans="1:5" x14ac:dyDescent="0.3">
      <c r="A1121" t="s">
        <v>240</v>
      </c>
      <c r="B1121" t="s">
        <v>75</v>
      </c>
      <c r="C1121" t="s">
        <v>51</v>
      </c>
      <c r="D1121" s="2"/>
      <c r="E1121" s="2"/>
    </row>
    <row r="1122" spans="1:5" x14ac:dyDescent="0.3">
      <c r="A1122" t="s">
        <v>240</v>
      </c>
      <c r="B1122" t="s">
        <v>44</v>
      </c>
      <c r="C1122" t="s">
        <v>26</v>
      </c>
      <c r="D1122" s="2">
        <v>0.41666666666666702</v>
      </c>
      <c r="E1122" s="2">
        <v>0.54166666666666596</v>
      </c>
    </row>
    <row r="1123" spans="1:5" x14ac:dyDescent="0.3">
      <c r="A1123" t="s">
        <v>240</v>
      </c>
      <c r="B1123" t="s">
        <v>17</v>
      </c>
      <c r="C1123" t="s">
        <v>26</v>
      </c>
      <c r="D1123" s="2">
        <v>0.66666666666666596</v>
      </c>
      <c r="E1123" s="2">
        <v>0.79166666666666496</v>
      </c>
    </row>
    <row r="1124" spans="1:5" x14ac:dyDescent="0.3">
      <c r="A1124" t="s">
        <v>240</v>
      </c>
      <c r="B1124" t="s">
        <v>17</v>
      </c>
      <c r="C1124" t="s">
        <v>26</v>
      </c>
      <c r="D1124" s="2">
        <v>0.79166666666666496</v>
      </c>
      <c r="E1124" s="2">
        <v>0.95833333333333104</v>
      </c>
    </row>
    <row r="1125" spans="1:5" x14ac:dyDescent="0.3">
      <c r="A1125" t="s">
        <v>241</v>
      </c>
      <c r="B1125" t="s">
        <v>142</v>
      </c>
      <c r="C1125" t="s">
        <v>13</v>
      </c>
      <c r="D1125" s="2"/>
      <c r="E1125" s="2"/>
    </row>
    <row r="1126" spans="1:5" x14ac:dyDescent="0.3">
      <c r="A1126" t="s">
        <v>241</v>
      </c>
      <c r="B1126" t="s">
        <v>75</v>
      </c>
      <c r="C1126" t="s">
        <v>15</v>
      </c>
      <c r="D1126" s="2"/>
      <c r="E1126" s="2"/>
    </row>
    <row r="1127" spans="1:5" x14ac:dyDescent="0.3">
      <c r="A1127" t="s">
        <v>241</v>
      </c>
      <c r="B1127" t="s">
        <v>34</v>
      </c>
      <c r="C1127" t="s">
        <v>8</v>
      </c>
      <c r="D1127" s="2"/>
      <c r="E1127" s="2"/>
    </row>
    <row r="1128" spans="1:5" x14ac:dyDescent="0.3">
      <c r="A1128" t="s">
        <v>241</v>
      </c>
      <c r="B1128" t="s">
        <v>61</v>
      </c>
      <c r="C1128" t="s">
        <v>13</v>
      </c>
      <c r="D1128" s="2"/>
      <c r="E1128" s="2"/>
    </row>
    <row r="1129" spans="1:5" x14ac:dyDescent="0.3">
      <c r="A1129" t="s">
        <v>241</v>
      </c>
      <c r="B1129" t="s">
        <v>98</v>
      </c>
      <c r="C1129" t="s">
        <v>8</v>
      </c>
      <c r="D1129" s="2"/>
      <c r="E1129" s="2"/>
    </row>
    <row r="1130" spans="1:5" x14ac:dyDescent="0.3">
      <c r="A1130" t="s">
        <v>241</v>
      </c>
      <c r="B1130" t="s">
        <v>40</v>
      </c>
      <c r="C1130" t="s">
        <v>10</v>
      </c>
      <c r="D1130" s="2"/>
      <c r="E1130" s="2"/>
    </row>
    <row r="1131" spans="1:5" x14ac:dyDescent="0.3">
      <c r="A1131" t="s">
        <v>241</v>
      </c>
      <c r="B1131" t="s">
        <v>103</v>
      </c>
      <c r="C1131" t="s">
        <v>10</v>
      </c>
      <c r="D1131" s="2"/>
      <c r="E1131" s="2"/>
    </row>
    <row r="1132" spans="1:5" x14ac:dyDescent="0.3">
      <c r="A1132" t="s">
        <v>241</v>
      </c>
      <c r="B1132" t="s">
        <v>35</v>
      </c>
      <c r="C1132" t="s">
        <v>10</v>
      </c>
      <c r="D1132" s="2"/>
      <c r="E1132" s="2"/>
    </row>
    <row r="1133" spans="1:5" x14ac:dyDescent="0.3">
      <c r="A1133" t="s">
        <v>241</v>
      </c>
      <c r="B1133" t="s">
        <v>97</v>
      </c>
      <c r="C1133" t="s">
        <v>41</v>
      </c>
      <c r="D1133" s="2"/>
      <c r="E1133" s="2"/>
    </row>
    <row r="1134" spans="1:5" x14ac:dyDescent="0.3">
      <c r="A1134" t="s">
        <v>241</v>
      </c>
      <c r="B1134" t="s">
        <v>9</v>
      </c>
      <c r="C1134" t="s">
        <v>41</v>
      </c>
      <c r="D1134" s="2"/>
      <c r="E1134" s="2"/>
    </row>
    <row r="1135" spans="1:5" x14ac:dyDescent="0.3">
      <c r="A1135" t="s">
        <v>241</v>
      </c>
      <c r="B1135" t="s">
        <v>84</v>
      </c>
      <c r="C1135" t="s">
        <v>43</v>
      </c>
      <c r="D1135" s="2"/>
      <c r="E1135" s="2"/>
    </row>
    <row r="1136" spans="1:5" x14ac:dyDescent="0.3">
      <c r="A1136" t="s">
        <v>241</v>
      </c>
      <c r="B1136" t="s">
        <v>52</v>
      </c>
      <c r="C1136" t="s">
        <v>45</v>
      </c>
      <c r="D1136" s="2"/>
      <c r="E1136" s="2"/>
    </row>
    <row r="1137" spans="1:6" x14ac:dyDescent="0.3">
      <c r="A1137" t="s">
        <v>241</v>
      </c>
      <c r="B1137" t="s">
        <v>14</v>
      </c>
      <c r="C1137" t="s">
        <v>46</v>
      </c>
      <c r="D1137" s="2"/>
      <c r="E1137" s="2"/>
    </row>
    <row r="1138" spans="1:6" x14ac:dyDescent="0.3">
      <c r="A1138" t="s">
        <v>241</v>
      </c>
      <c r="B1138" t="s">
        <v>32</v>
      </c>
      <c r="C1138" t="s">
        <v>18</v>
      </c>
      <c r="D1138" s="2"/>
      <c r="E1138" s="2"/>
    </row>
    <row r="1139" spans="1:6" x14ac:dyDescent="0.3">
      <c r="A1139" t="s">
        <v>241</v>
      </c>
      <c r="B1139" t="s">
        <v>85</v>
      </c>
      <c r="C1139" t="s">
        <v>49</v>
      </c>
      <c r="D1139" s="2"/>
      <c r="E1139" s="2"/>
    </row>
    <row r="1140" spans="1:6" x14ac:dyDescent="0.3">
      <c r="A1140" t="s">
        <v>241</v>
      </c>
      <c r="B1140" t="s">
        <v>34</v>
      </c>
      <c r="C1140" t="s">
        <v>51</v>
      </c>
      <c r="D1140" s="2"/>
      <c r="E1140" s="2"/>
    </row>
    <row r="1141" spans="1:6" x14ac:dyDescent="0.3">
      <c r="A1141" t="s">
        <v>241</v>
      </c>
      <c r="B1141" t="s">
        <v>17</v>
      </c>
      <c r="C1141" t="s">
        <v>26</v>
      </c>
      <c r="D1141" s="2">
        <v>0.29166666666666669</v>
      </c>
      <c r="E1141" s="2">
        <v>0.41666666666666702</v>
      </c>
    </row>
    <row r="1142" spans="1:6" x14ac:dyDescent="0.3">
      <c r="A1142" t="s">
        <v>241</v>
      </c>
      <c r="B1142" t="s">
        <v>17</v>
      </c>
      <c r="C1142" t="s">
        <v>26</v>
      </c>
      <c r="D1142" s="2">
        <v>0.41666666666666702</v>
      </c>
      <c r="E1142" s="2">
        <v>0.54166666666666596</v>
      </c>
    </row>
    <row r="1143" spans="1:6" x14ac:dyDescent="0.3">
      <c r="A1143" t="s">
        <v>241</v>
      </c>
      <c r="B1143" t="s">
        <v>85</v>
      </c>
      <c r="C1143" t="s">
        <v>30</v>
      </c>
      <c r="D1143" s="2"/>
      <c r="E1143" s="2"/>
    </row>
    <row r="1144" spans="1:6" x14ac:dyDescent="0.3">
      <c r="A1144" t="s">
        <v>241</v>
      </c>
      <c r="B1144" t="s">
        <v>33</v>
      </c>
      <c r="C1144" t="s">
        <v>55</v>
      </c>
      <c r="D1144" s="2">
        <v>0.83333333333333204</v>
      </c>
      <c r="E1144" s="2">
        <v>0.91666666666666496</v>
      </c>
      <c r="F1144" t="s">
        <v>242</v>
      </c>
    </row>
    <row r="1145" spans="1:6" x14ac:dyDescent="0.3">
      <c r="A1145" t="s">
        <v>241</v>
      </c>
      <c r="B1145" t="s">
        <v>103</v>
      </c>
      <c r="C1145" t="s">
        <v>55</v>
      </c>
      <c r="D1145" s="2">
        <v>0.83333333333333204</v>
      </c>
      <c r="E1145" s="2">
        <v>0.91666666666666496</v>
      </c>
      <c r="F1145" t="s">
        <v>242</v>
      </c>
    </row>
    <row r="1146" spans="1:6" x14ac:dyDescent="0.3">
      <c r="A1146" t="s">
        <v>241</v>
      </c>
      <c r="B1146" t="s">
        <v>25</v>
      </c>
      <c r="C1146" t="s">
        <v>30</v>
      </c>
      <c r="D1146" s="2"/>
      <c r="E1146" s="2"/>
    </row>
    <row r="1147" spans="1:6" x14ac:dyDescent="0.3">
      <c r="A1147" t="s">
        <v>243</v>
      </c>
      <c r="B1147" t="s">
        <v>48</v>
      </c>
      <c r="C1147" t="s">
        <v>13</v>
      </c>
      <c r="D1147" s="2"/>
      <c r="E1147" s="2"/>
    </row>
    <row r="1148" spans="1:6" x14ac:dyDescent="0.3">
      <c r="A1148" t="s">
        <v>243</v>
      </c>
      <c r="B1148" t="s">
        <v>32</v>
      </c>
      <c r="C1148" t="s">
        <v>15</v>
      </c>
      <c r="D1148" s="2"/>
      <c r="E1148" s="2"/>
    </row>
    <row r="1149" spans="1:6" x14ac:dyDescent="0.3">
      <c r="A1149" t="s">
        <v>243</v>
      </c>
      <c r="B1149" t="s">
        <v>66</v>
      </c>
      <c r="C1149" t="s">
        <v>8</v>
      </c>
      <c r="D1149" s="2"/>
      <c r="E1149" s="2"/>
    </row>
    <row r="1150" spans="1:6" x14ac:dyDescent="0.3">
      <c r="A1150" t="s">
        <v>243</v>
      </c>
      <c r="B1150" t="s">
        <v>69</v>
      </c>
      <c r="C1150" t="s">
        <v>13</v>
      </c>
      <c r="D1150" s="2"/>
      <c r="E1150" s="2"/>
    </row>
    <row r="1151" spans="1:6" x14ac:dyDescent="0.3">
      <c r="A1151" t="s">
        <v>243</v>
      </c>
      <c r="B1151" t="s">
        <v>62</v>
      </c>
      <c r="C1151" t="s">
        <v>8</v>
      </c>
      <c r="D1151" s="2"/>
      <c r="E1151" s="2"/>
    </row>
    <row r="1152" spans="1:6" x14ac:dyDescent="0.3">
      <c r="A1152" t="s">
        <v>243</v>
      </c>
      <c r="B1152" t="s">
        <v>40</v>
      </c>
      <c r="C1152" t="s">
        <v>10</v>
      </c>
      <c r="D1152" s="2"/>
      <c r="E1152" s="2"/>
    </row>
    <row r="1153" spans="1:6" x14ac:dyDescent="0.3">
      <c r="A1153" t="s">
        <v>243</v>
      </c>
      <c r="B1153" t="s">
        <v>103</v>
      </c>
      <c r="C1153" t="s">
        <v>10</v>
      </c>
      <c r="D1153" s="2"/>
      <c r="E1153" s="2"/>
    </row>
    <row r="1154" spans="1:6" x14ac:dyDescent="0.3">
      <c r="A1154" t="s">
        <v>243</v>
      </c>
      <c r="B1154" t="s">
        <v>80</v>
      </c>
      <c r="C1154" t="s">
        <v>41</v>
      </c>
      <c r="D1154" s="2"/>
      <c r="E1154" s="2"/>
    </row>
    <row r="1155" spans="1:6" x14ac:dyDescent="0.3">
      <c r="A1155" t="s">
        <v>243</v>
      </c>
      <c r="B1155" t="s">
        <v>9</v>
      </c>
      <c r="C1155" t="s">
        <v>41</v>
      </c>
      <c r="D1155" s="2"/>
      <c r="E1155" s="2"/>
    </row>
    <row r="1156" spans="1:6" x14ac:dyDescent="0.3">
      <c r="A1156" t="s">
        <v>243</v>
      </c>
      <c r="B1156" t="s">
        <v>103</v>
      </c>
      <c r="C1156" t="s">
        <v>41</v>
      </c>
      <c r="D1156" s="2"/>
      <c r="E1156" s="2"/>
    </row>
    <row r="1157" spans="1:6" x14ac:dyDescent="0.3">
      <c r="A1157" t="s">
        <v>243</v>
      </c>
      <c r="B1157" t="s">
        <v>29</v>
      </c>
      <c r="C1157" t="s">
        <v>43</v>
      </c>
      <c r="D1157" s="2"/>
      <c r="E1157" s="2"/>
    </row>
    <row r="1158" spans="1:6" x14ac:dyDescent="0.3">
      <c r="A1158" t="s">
        <v>243</v>
      </c>
      <c r="B1158" t="s">
        <v>44</v>
      </c>
      <c r="C1158" t="s">
        <v>45</v>
      </c>
      <c r="D1158" s="2"/>
      <c r="E1158" s="2"/>
    </row>
    <row r="1159" spans="1:6" x14ac:dyDescent="0.3">
      <c r="A1159" t="s">
        <v>243</v>
      </c>
      <c r="B1159" t="s">
        <v>21</v>
      </c>
      <c r="C1159" t="s">
        <v>46</v>
      </c>
      <c r="D1159" s="2"/>
      <c r="E1159" s="2"/>
    </row>
    <row r="1160" spans="1:6" x14ac:dyDescent="0.3">
      <c r="A1160" t="s">
        <v>243</v>
      </c>
      <c r="B1160" t="s">
        <v>32</v>
      </c>
      <c r="C1160" t="s">
        <v>18</v>
      </c>
      <c r="D1160" s="2"/>
      <c r="E1160" s="2"/>
    </row>
    <row r="1161" spans="1:6" x14ac:dyDescent="0.3">
      <c r="A1161" t="s">
        <v>243</v>
      </c>
      <c r="B1161" t="s">
        <v>71</v>
      </c>
      <c r="C1161" t="s">
        <v>49</v>
      </c>
      <c r="D1161" s="2"/>
      <c r="E1161" s="2"/>
    </row>
    <row r="1162" spans="1:6" x14ac:dyDescent="0.3">
      <c r="A1162" t="s">
        <v>243</v>
      </c>
      <c r="B1162" t="s">
        <v>50</v>
      </c>
      <c r="C1162" t="s">
        <v>51</v>
      </c>
      <c r="D1162" s="2"/>
      <c r="E1162" s="2"/>
    </row>
    <row r="1163" spans="1:6" x14ac:dyDescent="0.3">
      <c r="A1163" t="s">
        <v>243</v>
      </c>
      <c r="B1163" t="s">
        <v>9</v>
      </c>
      <c r="C1163" t="s">
        <v>124</v>
      </c>
      <c r="D1163" s="2">
        <v>0.54166666666666696</v>
      </c>
      <c r="E1163" s="2">
        <v>0.625</v>
      </c>
      <c r="F1163" t="s">
        <v>244</v>
      </c>
    </row>
    <row r="1164" spans="1:6" x14ac:dyDescent="0.3">
      <c r="A1164" t="s">
        <v>243</v>
      </c>
      <c r="B1164" t="s">
        <v>80</v>
      </c>
      <c r="C1164" t="s">
        <v>24</v>
      </c>
      <c r="D1164" s="2">
        <v>0.54166666666666696</v>
      </c>
      <c r="E1164" s="2">
        <v>0.625</v>
      </c>
      <c r="F1164" t="s">
        <v>244</v>
      </c>
    </row>
    <row r="1165" spans="1:6" x14ac:dyDescent="0.3">
      <c r="A1165" t="s">
        <v>243</v>
      </c>
      <c r="B1165" t="s">
        <v>63</v>
      </c>
      <c r="C1165" t="s">
        <v>53</v>
      </c>
      <c r="D1165" s="2">
        <v>0.45833333333333298</v>
      </c>
      <c r="E1165" s="2">
        <v>0.5</v>
      </c>
      <c r="F1165" t="s">
        <v>245</v>
      </c>
    </row>
    <row r="1166" spans="1:6" x14ac:dyDescent="0.3">
      <c r="A1166" t="s">
        <v>243</v>
      </c>
      <c r="B1166" t="s">
        <v>64</v>
      </c>
      <c r="C1166" t="s">
        <v>30</v>
      </c>
      <c r="D1166" s="2"/>
      <c r="E1166" s="2"/>
    </row>
    <row r="1167" spans="1:6" x14ac:dyDescent="0.3">
      <c r="A1167" t="s">
        <v>246</v>
      </c>
      <c r="B1167" t="s">
        <v>34</v>
      </c>
      <c r="C1167" t="s">
        <v>13</v>
      </c>
      <c r="D1167" s="2"/>
      <c r="E1167" s="2"/>
    </row>
    <row r="1168" spans="1:6" x14ac:dyDescent="0.3">
      <c r="A1168" t="s">
        <v>246</v>
      </c>
      <c r="B1168" t="s">
        <v>48</v>
      </c>
      <c r="C1168" t="s">
        <v>15</v>
      </c>
      <c r="D1168" s="2"/>
      <c r="E1168" s="2"/>
    </row>
    <row r="1169" spans="1:5" x14ac:dyDescent="0.3">
      <c r="A1169" t="s">
        <v>246</v>
      </c>
      <c r="B1169" t="s">
        <v>52</v>
      </c>
      <c r="C1169" t="s">
        <v>8</v>
      </c>
      <c r="D1169" s="2"/>
      <c r="E1169" s="2"/>
    </row>
    <row r="1170" spans="1:5" x14ac:dyDescent="0.3">
      <c r="A1170" t="s">
        <v>246</v>
      </c>
      <c r="B1170" t="s">
        <v>35</v>
      </c>
      <c r="C1170" t="s">
        <v>13</v>
      </c>
      <c r="D1170" s="2"/>
      <c r="E1170" s="2"/>
    </row>
    <row r="1171" spans="1:5" x14ac:dyDescent="0.3">
      <c r="A1171" t="s">
        <v>246</v>
      </c>
      <c r="B1171" t="s">
        <v>9</v>
      </c>
      <c r="C1171" t="s">
        <v>8</v>
      </c>
      <c r="D1171" s="2"/>
      <c r="E1171" s="2"/>
    </row>
    <row r="1172" spans="1:5" x14ac:dyDescent="0.3">
      <c r="A1172" t="s">
        <v>246</v>
      </c>
      <c r="B1172" t="s">
        <v>40</v>
      </c>
      <c r="C1172" t="s">
        <v>10</v>
      </c>
      <c r="D1172" s="2"/>
      <c r="E1172" s="2"/>
    </row>
    <row r="1173" spans="1:5" x14ac:dyDescent="0.3">
      <c r="A1173" t="s">
        <v>246</v>
      </c>
      <c r="B1173" t="s">
        <v>80</v>
      </c>
      <c r="C1173" t="s">
        <v>41</v>
      </c>
      <c r="D1173" s="2"/>
      <c r="E1173" s="2"/>
    </row>
    <row r="1174" spans="1:5" x14ac:dyDescent="0.3">
      <c r="A1174" t="s">
        <v>246</v>
      </c>
      <c r="B1174" t="s">
        <v>103</v>
      </c>
      <c r="C1174" t="s">
        <v>41</v>
      </c>
      <c r="D1174" s="2"/>
      <c r="E1174" s="2"/>
    </row>
    <row r="1175" spans="1:5" x14ac:dyDescent="0.3">
      <c r="A1175" t="s">
        <v>246</v>
      </c>
      <c r="B1175" t="s">
        <v>142</v>
      </c>
      <c r="C1175" t="s">
        <v>43</v>
      </c>
      <c r="D1175" s="2"/>
      <c r="E1175" s="2"/>
    </row>
    <row r="1176" spans="1:5" x14ac:dyDescent="0.3">
      <c r="A1176" t="s">
        <v>246</v>
      </c>
      <c r="B1176" t="s">
        <v>23</v>
      </c>
      <c r="C1176" t="s">
        <v>45</v>
      </c>
      <c r="D1176" s="2"/>
      <c r="E1176" s="2"/>
    </row>
    <row r="1177" spans="1:5" x14ac:dyDescent="0.3">
      <c r="A1177" t="s">
        <v>246</v>
      </c>
      <c r="B1177" t="s">
        <v>16</v>
      </c>
      <c r="C1177" t="s">
        <v>46</v>
      </c>
      <c r="D1177" s="2"/>
      <c r="E1177" s="2"/>
    </row>
    <row r="1178" spans="1:5" x14ac:dyDescent="0.3">
      <c r="A1178" t="s">
        <v>246</v>
      </c>
      <c r="B1178" t="s">
        <v>94</v>
      </c>
      <c r="C1178" t="s">
        <v>18</v>
      </c>
      <c r="D1178" s="2"/>
      <c r="E1178" s="2"/>
    </row>
    <row r="1179" spans="1:5" x14ac:dyDescent="0.3">
      <c r="A1179" t="s">
        <v>246</v>
      </c>
      <c r="B1179" t="s">
        <v>48</v>
      </c>
      <c r="C1179" t="s">
        <v>49</v>
      </c>
      <c r="D1179" s="2"/>
      <c r="E1179" s="2"/>
    </row>
    <row r="1180" spans="1:5" x14ac:dyDescent="0.3">
      <c r="A1180" t="s">
        <v>246</v>
      </c>
      <c r="B1180" t="s">
        <v>75</v>
      </c>
      <c r="C1180" t="s">
        <v>51</v>
      </c>
      <c r="D1180" s="2"/>
      <c r="E1180" s="2"/>
    </row>
    <row r="1181" spans="1:5" x14ac:dyDescent="0.3">
      <c r="A1181" t="s">
        <v>246</v>
      </c>
      <c r="B1181" t="s">
        <v>72</v>
      </c>
      <c r="C1181" t="s">
        <v>26</v>
      </c>
      <c r="D1181" s="2">
        <v>0.54166666666666596</v>
      </c>
      <c r="E1181" s="2">
        <v>0.66666666666666596</v>
      </c>
    </row>
    <row r="1182" spans="1:5" x14ac:dyDescent="0.3">
      <c r="A1182" t="s">
        <v>246</v>
      </c>
      <c r="B1182" t="s">
        <v>33</v>
      </c>
      <c r="C1182" t="s">
        <v>26</v>
      </c>
      <c r="D1182" s="2">
        <v>0.66666666666666596</v>
      </c>
      <c r="E1182" s="2">
        <v>0.79166666666666496</v>
      </c>
    </row>
    <row r="1183" spans="1:5" x14ac:dyDescent="0.3">
      <c r="A1183" t="s">
        <v>246</v>
      </c>
      <c r="B1183" t="s">
        <v>33</v>
      </c>
      <c r="C1183" t="s">
        <v>26</v>
      </c>
      <c r="D1183" s="2">
        <v>0.79166666666666496</v>
      </c>
      <c r="E1183" s="2">
        <v>0.91666666666666496</v>
      </c>
    </row>
    <row r="1184" spans="1:5" x14ac:dyDescent="0.3">
      <c r="A1184" t="s">
        <v>246</v>
      </c>
      <c r="B1184" t="s">
        <v>85</v>
      </c>
      <c r="C1184" t="s">
        <v>124</v>
      </c>
      <c r="D1184" s="2">
        <v>0.83333333333333204</v>
      </c>
      <c r="E1184" s="2">
        <v>0.91666666666666496</v>
      </c>
    </row>
    <row r="1185" spans="1:6" x14ac:dyDescent="0.3">
      <c r="A1185" t="s">
        <v>246</v>
      </c>
      <c r="B1185" t="s">
        <v>17</v>
      </c>
      <c r="C1185" t="s">
        <v>24</v>
      </c>
      <c r="D1185" s="2">
        <v>0.72916666666666496</v>
      </c>
      <c r="E1185" s="2">
        <v>0.91666666666666496</v>
      </c>
      <c r="F1185" t="s">
        <v>247</v>
      </c>
    </row>
    <row r="1186" spans="1:6" x14ac:dyDescent="0.3">
      <c r="A1186" t="s">
        <v>246</v>
      </c>
      <c r="B1186" t="s">
        <v>47</v>
      </c>
      <c r="C1186" t="s">
        <v>53</v>
      </c>
      <c r="D1186" s="2">
        <v>0.54166666666666596</v>
      </c>
      <c r="E1186" s="2">
        <v>0.91666666666666496</v>
      </c>
      <c r="F1186" t="s">
        <v>248</v>
      </c>
    </row>
    <row r="1187" spans="1:6" x14ac:dyDescent="0.3">
      <c r="A1187" t="s">
        <v>246</v>
      </c>
      <c r="B1187" t="s">
        <v>12</v>
      </c>
      <c r="C1187" t="s">
        <v>53</v>
      </c>
      <c r="D1187" s="2">
        <v>0.70833333333333204</v>
      </c>
      <c r="E1187" s="2">
        <v>0.79166666666666496</v>
      </c>
      <c r="F1187" t="s">
        <v>53</v>
      </c>
    </row>
    <row r="1188" spans="1:6" x14ac:dyDescent="0.3">
      <c r="A1188" t="s">
        <v>246</v>
      </c>
      <c r="B1188" t="s">
        <v>50</v>
      </c>
      <c r="C1188" t="s">
        <v>53</v>
      </c>
      <c r="D1188" s="2">
        <v>0.70833333333333204</v>
      </c>
      <c r="E1188" s="2">
        <v>0.79166666666666496</v>
      </c>
      <c r="F1188" t="s">
        <v>53</v>
      </c>
    </row>
    <row r="1189" spans="1:6" x14ac:dyDescent="0.3">
      <c r="A1189" t="s">
        <v>246</v>
      </c>
      <c r="B1189" t="s">
        <v>249</v>
      </c>
      <c r="C1189" t="s">
        <v>30</v>
      </c>
      <c r="D1189" s="2"/>
      <c r="E1189" s="2"/>
    </row>
    <row r="1190" spans="1:6" x14ac:dyDescent="0.3">
      <c r="A1190" t="s">
        <v>246</v>
      </c>
      <c r="B1190" s="23" t="s">
        <v>12</v>
      </c>
      <c r="C1190" s="23" t="s">
        <v>22</v>
      </c>
      <c r="D1190" s="24">
        <v>0.35416666666666602</v>
      </c>
      <c r="E1190" s="24">
        <v>0.4375</v>
      </c>
      <c r="F1190" s="23"/>
    </row>
    <row r="1191" spans="1:6" x14ac:dyDescent="0.3">
      <c r="A1191" t="s">
        <v>250</v>
      </c>
      <c r="B1191" t="s">
        <v>142</v>
      </c>
      <c r="C1191" t="s">
        <v>13</v>
      </c>
      <c r="D1191" s="2"/>
      <c r="E1191" s="2"/>
    </row>
    <row r="1192" spans="1:6" x14ac:dyDescent="0.3">
      <c r="A1192" t="s">
        <v>250</v>
      </c>
      <c r="B1192" t="s">
        <v>72</v>
      </c>
      <c r="C1192" t="s">
        <v>15</v>
      </c>
      <c r="D1192" s="2"/>
      <c r="E1192" s="2"/>
    </row>
    <row r="1193" spans="1:6" x14ac:dyDescent="0.3">
      <c r="A1193" t="s">
        <v>250</v>
      </c>
      <c r="B1193" t="s">
        <v>75</v>
      </c>
      <c r="C1193" t="s">
        <v>8</v>
      </c>
      <c r="D1193" s="2"/>
      <c r="E1193" s="2"/>
    </row>
    <row r="1194" spans="1:6" x14ac:dyDescent="0.3">
      <c r="A1194" t="s">
        <v>250</v>
      </c>
      <c r="B1194" t="s">
        <v>42</v>
      </c>
      <c r="C1194" t="s">
        <v>13</v>
      </c>
      <c r="D1194" s="2"/>
      <c r="E1194" s="2"/>
    </row>
    <row r="1195" spans="1:6" x14ac:dyDescent="0.3">
      <c r="A1195" t="s">
        <v>250</v>
      </c>
      <c r="B1195" t="s">
        <v>83</v>
      </c>
      <c r="C1195" t="s">
        <v>8</v>
      </c>
      <c r="D1195" s="2"/>
      <c r="E1195" s="2"/>
    </row>
    <row r="1196" spans="1:6" x14ac:dyDescent="0.3">
      <c r="A1196" t="s">
        <v>250</v>
      </c>
      <c r="B1196" t="s">
        <v>12</v>
      </c>
      <c r="C1196" t="s">
        <v>30</v>
      </c>
      <c r="D1196" s="2"/>
      <c r="E1196" s="2"/>
      <c r="F1196" t="s">
        <v>251</v>
      </c>
    </row>
    <row r="1197" spans="1:6" x14ac:dyDescent="0.3">
      <c r="A1197" t="s">
        <v>250</v>
      </c>
      <c r="B1197" t="s">
        <v>40</v>
      </c>
      <c r="C1197" t="s">
        <v>10</v>
      </c>
      <c r="D1197" s="2"/>
      <c r="E1197" s="2"/>
    </row>
    <row r="1198" spans="1:6" x14ac:dyDescent="0.3">
      <c r="A1198" t="s">
        <v>250</v>
      </c>
      <c r="B1198" t="s">
        <v>149</v>
      </c>
      <c r="C1198" t="s">
        <v>41</v>
      </c>
      <c r="D1198" s="2"/>
      <c r="E1198" s="2"/>
    </row>
    <row r="1199" spans="1:6" x14ac:dyDescent="0.3">
      <c r="A1199" t="s">
        <v>250</v>
      </c>
      <c r="B1199" t="s">
        <v>79</v>
      </c>
      <c r="C1199" t="s">
        <v>41</v>
      </c>
      <c r="D1199" s="2"/>
      <c r="E1199" s="2"/>
    </row>
    <row r="1200" spans="1:6" x14ac:dyDescent="0.3">
      <c r="A1200" t="s">
        <v>250</v>
      </c>
      <c r="B1200" t="s">
        <v>23</v>
      </c>
      <c r="C1200" t="s">
        <v>26</v>
      </c>
      <c r="D1200" s="2">
        <v>0.66666666666666596</v>
      </c>
      <c r="E1200" s="2">
        <v>0.79166666666666496</v>
      </c>
    </row>
    <row r="1201" spans="1:6" x14ac:dyDescent="0.3">
      <c r="A1201" t="s">
        <v>250</v>
      </c>
      <c r="B1201" t="s">
        <v>23</v>
      </c>
      <c r="C1201" t="s">
        <v>26</v>
      </c>
      <c r="D1201" s="2">
        <v>0.79166666666666496</v>
      </c>
      <c r="E1201" s="2">
        <v>0.91666666666666496</v>
      </c>
    </row>
    <row r="1202" spans="1:6" x14ac:dyDescent="0.3">
      <c r="A1202" t="s">
        <v>250</v>
      </c>
      <c r="B1202" t="s">
        <v>142</v>
      </c>
      <c r="C1202" t="s">
        <v>43</v>
      </c>
      <c r="D1202" s="2"/>
      <c r="E1202" s="2"/>
    </row>
    <row r="1203" spans="1:6" x14ac:dyDescent="0.3">
      <c r="A1203" t="s">
        <v>250</v>
      </c>
      <c r="B1203" t="s">
        <v>66</v>
      </c>
      <c r="C1203" t="s">
        <v>45</v>
      </c>
      <c r="D1203" s="2"/>
      <c r="E1203" s="2"/>
    </row>
    <row r="1204" spans="1:6" x14ac:dyDescent="0.3">
      <c r="A1204" t="s">
        <v>250</v>
      </c>
      <c r="B1204" t="s">
        <v>16</v>
      </c>
      <c r="C1204" t="s">
        <v>46</v>
      </c>
      <c r="D1204" s="2"/>
      <c r="E1204" s="2"/>
    </row>
    <row r="1205" spans="1:6" x14ac:dyDescent="0.3">
      <c r="A1205" t="s">
        <v>250</v>
      </c>
      <c r="B1205" t="s">
        <v>63</v>
      </c>
      <c r="C1205" t="s">
        <v>18</v>
      </c>
      <c r="D1205" s="2"/>
      <c r="E1205" s="2"/>
    </row>
    <row r="1206" spans="1:6" x14ac:dyDescent="0.3">
      <c r="A1206" t="s">
        <v>250</v>
      </c>
      <c r="B1206" t="s">
        <v>48</v>
      </c>
      <c r="C1206" t="s">
        <v>49</v>
      </c>
      <c r="D1206" s="2"/>
      <c r="E1206" s="2"/>
    </row>
    <row r="1207" spans="1:6" x14ac:dyDescent="0.3">
      <c r="A1207" t="s">
        <v>250</v>
      </c>
      <c r="B1207" t="s">
        <v>17</v>
      </c>
      <c r="C1207" t="s">
        <v>51</v>
      </c>
      <c r="D1207" s="2"/>
      <c r="E1207" s="2"/>
    </row>
    <row r="1208" spans="1:6" x14ac:dyDescent="0.3">
      <c r="A1208" t="s">
        <v>250</v>
      </c>
      <c r="B1208" t="s">
        <v>29</v>
      </c>
      <c r="C1208" t="s">
        <v>26</v>
      </c>
      <c r="D1208" s="2">
        <v>0.66666666666666596</v>
      </c>
      <c r="E1208" s="2">
        <v>0.79166666666666496</v>
      </c>
    </row>
    <row r="1209" spans="1:6" x14ac:dyDescent="0.3">
      <c r="A1209" t="s">
        <v>250</v>
      </c>
      <c r="B1209" t="s">
        <v>29</v>
      </c>
      <c r="C1209" t="s">
        <v>26</v>
      </c>
      <c r="D1209" s="2">
        <v>0.79166666666666496</v>
      </c>
      <c r="E1209" s="2">
        <v>0.98958333333333104</v>
      </c>
    </row>
    <row r="1210" spans="1:6" x14ac:dyDescent="0.3">
      <c r="A1210" t="s">
        <v>250</v>
      </c>
      <c r="B1210" t="s">
        <v>9</v>
      </c>
      <c r="C1210" t="s">
        <v>24</v>
      </c>
      <c r="D1210" s="2"/>
      <c r="E1210" s="2"/>
      <c r="F1210" t="s">
        <v>252</v>
      </c>
    </row>
    <row r="1211" spans="1:6" x14ac:dyDescent="0.3">
      <c r="A1211" t="s">
        <v>253</v>
      </c>
      <c r="B1211" t="s">
        <v>47</v>
      </c>
      <c r="C1211" t="s">
        <v>13</v>
      </c>
      <c r="D1211" s="2"/>
      <c r="E1211" s="2"/>
    </row>
    <row r="1212" spans="1:6" x14ac:dyDescent="0.3">
      <c r="A1212" t="s">
        <v>253</v>
      </c>
      <c r="B1212" t="s">
        <v>85</v>
      </c>
      <c r="C1212" t="s">
        <v>8</v>
      </c>
      <c r="D1212" s="2"/>
      <c r="E1212" s="2"/>
    </row>
    <row r="1213" spans="1:6" x14ac:dyDescent="0.3">
      <c r="A1213" t="s">
        <v>253</v>
      </c>
      <c r="B1213" t="s">
        <v>94</v>
      </c>
      <c r="C1213" t="s">
        <v>78</v>
      </c>
      <c r="D1213" s="2"/>
      <c r="E1213" s="2"/>
    </row>
    <row r="1214" spans="1:6" x14ac:dyDescent="0.3">
      <c r="A1214" t="s">
        <v>253</v>
      </c>
      <c r="B1214" t="s">
        <v>60</v>
      </c>
      <c r="C1214" t="s">
        <v>13</v>
      </c>
      <c r="D1214" s="2"/>
      <c r="E1214" s="2"/>
    </row>
    <row r="1215" spans="1:6" x14ac:dyDescent="0.3">
      <c r="A1215" t="s">
        <v>253</v>
      </c>
      <c r="B1215" t="s">
        <v>35</v>
      </c>
      <c r="C1215" t="s">
        <v>8</v>
      </c>
      <c r="D1215" s="2"/>
      <c r="E1215" s="2"/>
    </row>
    <row r="1216" spans="1:6" x14ac:dyDescent="0.3">
      <c r="A1216" t="s">
        <v>253</v>
      </c>
      <c r="B1216" t="s">
        <v>36</v>
      </c>
      <c r="C1216" t="s">
        <v>78</v>
      </c>
      <c r="D1216" s="2"/>
      <c r="E1216" s="2"/>
    </row>
    <row r="1217" spans="1:6" x14ac:dyDescent="0.3">
      <c r="A1217" t="s">
        <v>253</v>
      </c>
      <c r="B1217" t="s">
        <v>40</v>
      </c>
      <c r="C1217" t="s">
        <v>10</v>
      </c>
      <c r="D1217" s="2"/>
      <c r="E1217" s="2"/>
    </row>
    <row r="1218" spans="1:6" x14ac:dyDescent="0.3">
      <c r="A1218" t="s">
        <v>253</v>
      </c>
      <c r="B1218" t="s">
        <v>9</v>
      </c>
      <c r="C1218" t="s">
        <v>24</v>
      </c>
      <c r="D1218" s="2"/>
      <c r="E1218" s="2"/>
      <c r="F1218" t="s">
        <v>252</v>
      </c>
    </row>
    <row r="1219" spans="1:6" x14ac:dyDescent="0.3">
      <c r="A1219" t="s">
        <v>254</v>
      </c>
      <c r="B1219" t="s">
        <v>68</v>
      </c>
      <c r="C1219" t="s">
        <v>13</v>
      </c>
      <c r="D1219" s="2"/>
      <c r="E1219" s="2"/>
    </row>
    <row r="1220" spans="1:6" x14ac:dyDescent="0.3">
      <c r="A1220" t="s">
        <v>254</v>
      </c>
      <c r="B1220" t="s">
        <v>44</v>
      </c>
      <c r="C1220" t="s">
        <v>15</v>
      </c>
      <c r="D1220" s="2"/>
      <c r="E1220" s="2"/>
    </row>
    <row r="1221" spans="1:6" x14ac:dyDescent="0.3">
      <c r="A1221" t="s">
        <v>254</v>
      </c>
      <c r="B1221" t="s">
        <v>71</v>
      </c>
      <c r="C1221" t="s">
        <v>8</v>
      </c>
      <c r="D1221" s="2"/>
      <c r="E1221" s="2"/>
    </row>
    <row r="1222" spans="1:6" x14ac:dyDescent="0.3">
      <c r="A1222" t="s">
        <v>254</v>
      </c>
      <c r="B1222" t="s">
        <v>80</v>
      </c>
      <c r="C1222" t="s">
        <v>13</v>
      </c>
      <c r="D1222" s="2"/>
      <c r="E1222" s="2"/>
    </row>
    <row r="1223" spans="1:6" x14ac:dyDescent="0.3">
      <c r="A1223" t="s">
        <v>254</v>
      </c>
      <c r="B1223" t="s">
        <v>109</v>
      </c>
      <c r="C1223" t="s">
        <v>8</v>
      </c>
      <c r="D1223" s="2"/>
      <c r="E1223" s="2"/>
    </row>
    <row r="1224" spans="1:6" x14ac:dyDescent="0.3">
      <c r="A1224" t="s">
        <v>254</v>
      </c>
      <c r="B1224" t="s">
        <v>40</v>
      </c>
      <c r="C1224" t="s">
        <v>10</v>
      </c>
      <c r="D1224" s="2"/>
      <c r="E1224" s="2"/>
    </row>
    <row r="1225" spans="1:6" x14ac:dyDescent="0.3">
      <c r="A1225" t="s">
        <v>254</v>
      </c>
      <c r="B1225" t="s">
        <v>103</v>
      </c>
      <c r="C1225" t="s">
        <v>10</v>
      </c>
      <c r="D1225" s="2"/>
      <c r="E1225" s="2"/>
    </row>
    <row r="1226" spans="1:6" x14ac:dyDescent="0.3">
      <c r="A1226" t="s">
        <v>254</v>
      </c>
      <c r="B1226" t="s">
        <v>149</v>
      </c>
      <c r="C1226" t="s">
        <v>41</v>
      </c>
      <c r="D1226" s="2"/>
      <c r="E1226" s="2"/>
    </row>
    <row r="1227" spans="1:6" x14ac:dyDescent="0.3">
      <c r="A1227" t="s">
        <v>254</v>
      </c>
      <c r="B1227" t="s">
        <v>69</v>
      </c>
      <c r="C1227" t="s">
        <v>41</v>
      </c>
      <c r="D1227" s="2"/>
      <c r="E1227" s="2"/>
    </row>
    <row r="1228" spans="1:6" x14ac:dyDescent="0.3">
      <c r="A1228" t="s">
        <v>254</v>
      </c>
      <c r="B1228" t="s">
        <v>79</v>
      </c>
      <c r="C1228" t="s">
        <v>41</v>
      </c>
      <c r="D1228" s="2"/>
      <c r="E1228" s="2"/>
    </row>
    <row r="1229" spans="1:6" x14ac:dyDescent="0.3">
      <c r="A1229" t="s">
        <v>254</v>
      </c>
      <c r="B1229" t="s">
        <v>12</v>
      </c>
      <c r="C1229" t="s">
        <v>43</v>
      </c>
      <c r="D1229" s="2"/>
      <c r="E1229" s="2"/>
    </row>
    <row r="1230" spans="1:6" x14ac:dyDescent="0.3">
      <c r="A1230" t="s">
        <v>254</v>
      </c>
      <c r="B1230" t="s">
        <v>44</v>
      </c>
      <c r="C1230" t="s">
        <v>45</v>
      </c>
      <c r="D1230" s="2"/>
      <c r="E1230" s="2"/>
    </row>
    <row r="1231" spans="1:6" x14ac:dyDescent="0.3">
      <c r="A1231" t="s">
        <v>254</v>
      </c>
      <c r="B1231" t="s">
        <v>21</v>
      </c>
      <c r="C1231" t="s">
        <v>46</v>
      </c>
      <c r="D1231" s="2"/>
      <c r="E1231" s="2"/>
    </row>
    <row r="1232" spans="1:6" x14ac:dyDescent="0.3">
      <c r="A1232" t="s">
        <v>254</v>
      </c>
      <c r="B1232" t="s">
        <v>47</v>
      </c>
      <c r="C1232" t="s">
        <v>18</v>
      </c>
      <c r="D1232" s="2"/>
      <c r="E1232" s="2"/>
    </row>
    <row r="1233" spans="1:6" x14ac:dyDescent="0.3">
      <c r="A1233" t="s">
        <v>254</v>
      </c>
      <c r="B1233" t="s">
        <v>48</v>
      </c>
      <c r="C1233" t="s">
        <v>49</v>
      </c>
      <c r="D1233" s="2"/>
      <c r="E1233" s="2"/>
    </row>
    <row r="1234" spans="1:6" x14ac:dyDescent="0.3">
      <c r="A1234" t="s">
        <v>254</v>
      </c>
      <c r="B1234" t="s">
        <v>50</v>
      </c>
      <c r="C1234" t="s">
        <v>51</v>
      </c>
      <c r="D1234" s="2"/>
      <c r="E1234" s="2"/>
    </row>
    <row r="1235" spans="1:6" x14ac:dyDescent="0.3">
      <c r="A1235" t="s">
        <v>254</v>
      </c>
      <c r="B1235" t="s">
        <v>60</v>
      </c>
      <c r="C1235" t="s">
        <v>24</v>
      </c>
      <c r="D1235" s="2">
        <v>0.54166666666666696</v>
      </c>
      <c r="E1235" s="2">
        <v>0.625</v>
      </c>
      <c r="F1235" t="s">
        <v>255</v>
      </c>
    </row>
    <row r="1236" spans="1:6" x14ac:dyDescent="0.3">
      <c r="A1236" t="s">
        <v>254</v>
      </c>
      <c r="B1236" t="s">
        <v>59</v>
      </c>
      <c r="C1236" t="s">
        <v>24</v>
      </c>
      <c r="D1236" s="2">
        <v>0.54166666666666696</v>
      </c>
      <c r="E1236" s="2">
        <v>0.625</v>
      </c>
      <c r="F1236" t="s">
        <v>255</v>
      </c>
    </row>
    <row r="1237" spans="1:6" x14ac:dyDescent="0.3">
      <c r="A1237" t="s">
        <v>254</v>
      </c>
      <c r="B1237" t="s">
        <v>50</v>
      </c>
      <c r="C1237" t="s">
        <v>53</v>
      </c>
      <c r="D1237" s="2">
        <v>0.77083333333333204</v>
      </c>
      <c r="E1237" s="2">
        <v>0.91666666666666496</v>
      </c>
      <c r="F1237" t="s">
        <v>256</v>
      </c>
    </row>
    <row r="1238" spans="1:6" x14ac:dyDescent="0.3">
      <c r="A1238" t="s">
        <v>254</v>
      </c>
      <c r="B1238" t="s">
        <v>73</v>
      </c>
      <c r="C1238" t="s">
        <v>55</v>
      </c>
      <c r="D1238" s="2">
        <v>0.3125</v>
      </c>
      <c r="E1238" s="2">
        <v>0.40625</v>
      </c>
      <c r="F1238" t="s">
        <v>257</v>
      </c>
    </row>
    <row r="1239" spans="1:6" x14ac:dyDescent="0.3">
      <c r="A1239" t="s">
        <v>254</v>
      </c>
      <c r="B1239" t="s">
        <v>142</v>
      </c>
      <c r="C1239" t="s">
        <v>55</v>
      </c>
      <c r="D1239" s="2">
        <v>0.3125</v>
      </c>
      <c r="E1239" s="2">
        <v>0.40625</v>
      </c>
      <c r="F1239" t="s">
        <v>257</v>
      </c>
    </row>
    <row r="1240" spans="1:6" x14ac:dyDescent="0.3">
      <c r="A1240" t="s">
        <v>254</v>
      </c>
      <c r="B1240" t="s">
        <v>9</v>
      </c>
      <c r="C1240" t="s">
        <v>55</v>
      </c>
      <c r="D1240" s="2">
        <v>0.3125</v>
      </c>
      <c r="E1240" s="2">
        <v>0.33333333333333298</v>
      </c>
      <c r="F1240" t="s">
        <v>258</v>
      </c>
    </row>
    <row r="1241" spans="1:6" x14ac:dyDescent="0.3">
      <c r="A1241" t="s">
        <v>254</v>
      </c>
      <c r="B1241" t="s">
        <v>61</v>
      </c>
      <c r="C1241" t="s">
        <v>55</v>
      </c>
      <c r="D1241" s="2">
        <v>0.34375</v>
      </c>
      <c r="E1241" s="2">
        <v>0.375</v>
      </c>
      <c r="F1241" t="s">
        <v>258</v>
      </c>
    </row>
    <row r="1242" spans="1:6" x14ac:dyDescent="0.3">
      <c r="A1242" t="s">
        <v>254</v>
      </c>
      <c r="B1242" t="s">
        <v>62</v>
      </c>
      <c r="C1242" t="s">
        <v>55</v>
      </c>
      <c r="D1242" s="2">
        <v>0.375</v>
      </c>
      <c r="E1242" s="2">
        <v>0.40625</v>
      </c>
      <c r="F1242" t="s">
        <v>259</v>
      </c>
    </row>
    <row r="1243" spans="1:6" x14ac:dyDescent="0.3">
      <c r="A1243" t="s">
        <v>260</v>
      </c>
      <c r="B1243" t="s">
        <v>71</v>
      </c>
      <c r="C1243" t="s">
        <v>13</v>
      </c>
      <c r="D1243" s="2"/>
      <c r="E1243" s="2"/>
    </row>
    <row r="1244" spans="1:6" x14ac:dyDescent="0.3">
      <c r="A1244" t="s">
        <v>260</v>
      </c>
      <c r="B1244" t="s">
        <v>94</v>
      </c>
      <c r="C1244" t="s">
        <v>15</v>
      </c>
      <c r="D1244" s="2"/>
      <c r="E1244" s="2"/>
    </row>
    <row r="1245" spans="1:6" x14ac:dyDescent="0.3">
      <c r="A1245" t="s">
        <v>260</v>
      </c>
      <c r="B1245" t="s">
        <v>33</v>
      </c>
      <c r="C1245" t="s">
        <v>8</v>
      </c>
      <c r="D1245" s="2"/>
      <c r="E1245" s="2"/>
    </row>
    <row r="1246" spans="1:6" x14ac:dyDescent="0.3">
      <c r="A1246" t="s">
        <v>260</v>
      </c>
      <c r="B1246" t="s">
        <v>36</v>
      </c>
      <c r="C1246" t="s">
        <v>13</v>
      </c>
      <c r="D1246" s="2"/>
      <c r="E1246" s="2"/>
    </row>
    <row r="1247" spans="1:6" x14ac:dyDescent="0.3">
      <c r="A1247" t="s">
        <v>260</v>
      </c>
      <c r="B1247" t="s">
        <v>61</v>
      </c>
      <c r="C1247" t="s">
        <v>8</v>
      </c>
      <c r="D1247" s="2"/>
      <c r="E1247" s="2"/>
    </row>
    <row r="1248" spans="1:6" x14ac:dyDescent="0.3">
      <c r="A1248" t="s">
        <v>260</v>
      </c>
      <c r="B1248" t="s">
        <v>40</v>
      </c>
      <c r="C1248" t="s">
        <v>10</v>
      </c>
      <c r="D1248" s="2"/>
      <c r="E1248" s="2"/>
    </row>
    <row r="1249" spans="1:6" x14ac:dyDescent="0.3">
      <c r="A1249" t="s">
        <v>260</v>
      </c>
      <c r="B1249" t="s">
        <v>35</v>
      </c>
      <c r="C1249" t="s">
        <v>41</v>
      </c>
      <c r="D1249" s="2"/>
      <c r="E1249" s="2"/>
    </row>
    <row r="1250" spans="1:6" x14ac:dyDescent="0.3">
      <c r="A1250" t="s">
        <v>260</v>
      </c>
      <c r="B1250" t="s">
        <v>9</v>
      </c>
      <c r="C1250" t="s">
        <v>41</v>
      </c>
      <c r="D1250" s="2"/>
      <c r="E1250" s="2"/>
    </row>
    <row r="1251" spans="1:6" x14ac:dyDescent="0.3">
      <c r="A1251" t="s">
        <v>260</v>
      </c>
      <c r="B1251" t="s">
        <v>73</v>
      </c>
      <c r="C1251" t="s">
        <v>26</v>
      </c>
      <c r="D1251" s="2">
        <v>0.41666666666666702</v>
      </c>
      <c r="E1251" s="2">
        <v>0.54166666666666596</v>
      </c>
    </row>
    <row r="1252" spans="1:6" x14ac:dyDescent="0.3">
      <c r="A1252" t="s">
        <v>260</v>
      </c>
      <c r="B1252" t="s">
        <v>33</v>
      </c>
      <c r="C1252" t="s">
        <v>43</v>
      </c>
      <c r="D1252" s="2"/>
      <c r="E1252" s="2"/>
    </row>
    <row r="1253" spans="1:6" x14ac:dyDescent="0.3">
      <c r="A1253" t="s">
        <v>260</v>
      </c>
      <c r="B1253" t="s">
        <v>66</v>
      </c>
      <c r="C1253" t="s">
        <v>45</v>
      </c>
      <c r="D1253" s="2"/>
      <c r="E1253" s="2"/>
    </row>
    <row r="1254" spans="1:6" x14ac:dyDescent="0.3">
      <c r="A1254" t="s">
        <v>260</v>
      </c>
      <c r="B1254" t="s">
        <v>68</v>
      </c>
      <c r="C1254" t="s">
        <v>46</v>
      </c>
      <c r="D1254" s="2"/>
      <c r="E1254" s="2"/>
    </row>
    <row r="1255" spans="1:6" x14ac:dyDescent="0.3">
      <c r="A1255" t="s">
        <v>260</v>
      </c>
      <c r="B1255" t="s">
        <v>72</v>
      </c>
      <c r="C1255" t="s">
        <v>18</v>
      </c>
      <c r="D1255" s="2"/>
      <c r="E1255" s="2"/>
    </row>
    <row r="1256" spans="1:6" x14ac:dyDescent="0.3">
      <c r="A1256" t="s">
        <v>260</v>
      </c>
      <c r="B1256" t="s">
        <v>48</v>
      </c>
      <c r="C1256" t="s">
        <v>49</v>
      </c>
      <c r="D1256" s="2"/>
      <c r="E1256" s="2"/>
    </row>
    <row r="1257" spans="1:6" x14ac:dyDescent="0.3">
      <c r="A1257" t="s">
        <v>260</v>
      </c>
      <c r="B1257" t="s">
        <v>73</v>
      </c>
      <c r="C1257" t="s">
        <v>51</v>
      </c>
      <c r="D1257" s="2"/>
      <c r="E1257" s="2"/>
    </row>
    <row r="1258" spans="1:6" x14ac:dyDescent="0.3">
      <c r="A1258" t="s">
        <v>260</v>
      </c>
      <c r="B1258" t="s">
        <v>33</v>
      </c>
      <c r="C1258" t="s">
        <v>55</v>
      </c>
      <c r="D1258" s="2">
        <v>0.83333333333333204</v>
      </c>
      <c r="E1258" s="2">
        <v>0.91666666666666496</v>
      </c>
    </row>
    <row r="1259" spans="1:6" x14ac:dyDescent="0.3">
      <c r="A1259" t="s">
        <v>260</v>
      </c>
      <c r="B1259" t="s">
        <v>109</v>
      </c>
      <c r="C1259" t="s">
        <v>55</v>
      </c>
      <c r="D1259" s="2">
        <v>0.83333333333333204</v>
      </c>
      <c r="E1259" s="2">
        <v>0.91666666666666496</v>
      </c>
    </row>
    <row r="1260" spans="1:6" x14ac:dyDescent="0.3">
      <c r="A1260" t="s">
        <v>260</v>
      </c>
      <c r="B1260" t="s">
        <v>73</v>
      </c>
      <c r="C1260" t="s">
        <v>55</v>
      </c>
      <c r="D1260" s="2">
        <v>0.3125</v>
      </c>
      <c r="E1260" s="2">
        <v>0.40625</v>
      </c>
    </row>
    <row r="1261" spans="1:6" x14ac:dyDescent="0.3">
      <c r="A1261" t="s">
        <v>260</v>
      </c>
      <c r="B1261" t="s">
        <v>142</v>
      </c>
      <c r="C1261" t="s">
        <v>55</v>
      </c>
      <c r="D1261" s="2">
        <v>0.3125</v>
      </c>
      <c r="E1261" s="2">
        <v>0.40625</v>
      </c>
    </row>
    <row r="1262" spans="1:6" x14ac:dyDescent="0.3">
      <c r="A1262" t="s">
        <v>260</v>
      </c>
      <c r="B1262" t="s">
        <v>103</v>
      </c>
      <c r="C1262" t="s">
        <v>55</v>
      </c>
      <c r="D1262" s="2">
        <v>0.3125</v>
      </c>
      <c r="E1262" s="2">
        <v>0.34375</v>
      </c>
    </row>
    <row r="1263" spans="1:6" x14ac:dyDescent="0.3">
      <c r="A1263" t="s">
        <v>260</v>
      </c>
      <c r="B1263" t="s">
        <v>79</v>
      </c>
      <c r="C1263" t="s">
        <v>55</v>
      </c>
      <c r="D1263" s="2">
        <v>0.34375</v>
      </c>
      <c r="E1263" s="2">
        <v>0.375</v>
      </c>
    </row>
    <row r="1264" spans="1:6" x14ac:dyDescent="0.3">
      <c r="A1264" t="s">
        <v>260</v>
      </c>
      <c r="B1264" s="23" t="s">
        <v>60</v>
      </c>
      <c r="C1264" s="23" t="s">
        <v>55</v>
      </c>
      <c r="D1264" s="24">
        <v>0.375</v>
      </c>
      <c r="E1264" s="24">
        <v>0.40625</v>
      </c>
      <c r="F1264" s="23"/>
    </row>
    <row r="1265" spans="1:6" x14ac:dyDescent="0.3">
      <c r="A1265" t="s">
        <v>260</v>
      </c>
      <c r="B1265" s="23" t="s">
        <v>249</v>
      </c>
      <c r="C1265" s="23" t="s">
        <v>24</v>
      </c>
      <c r="D1265" s="24"/>
      <c r="E1265" s="24"/>
      <c r="F1265" s="23" t="s">
        <v>261</v>
      </c>
    </row>
    <row r="1266" spans="1:6" x14ac:dyDescent="0.3">
      <c r="A1266" t="s">
        <v>260</v>
      </c>
      <c r="B1266" s="23" t="s">
        <v>50</v>
      </c>
      <c r="C1266" s="23" t="s">
        <v>53</v>
      </c>
      <c r="D1266" s="24">
        <v>0.749999999999999</v>
      </c>
      <c r="E1266" s="24">
        <v>0.79166666666666496</v>
      </c>
      <c r="F1266" s="23" t="s">
        <v>262</v>
      </c>
    </row>
    <row r="1267" spans="1:6" x14ac:dyDescent="0.3">
      <c r="A1267" t="s">
        <v>260</v>
      </c>
      <c r="B1267" s="23" t="s">
        <v>7</v>
      </c>
      <c r="C1267" s="23" t="s">
        <v>24</v>
      </c>
      <c r="D1267" s="24">
        <v>0.77083333333333204</v>
      </c>
      <c r="E1267" s="24">
        <v>0.91666666666666496</v>
      </c>
      <c r="F1267" s="23" t="s">
        <v>263</v>
      </c>
    </row>
    <row r="1268" spans="1:6" x14ac:dyDescent="0.3">
      <c r="A1268" t="s">
        <v>264</v>
      </c>
      <c r="B1268" t="s">
        <v>17</v>
      </c>
      <c r="C1268" t="s">
        <v>13</v>
      </c>
      <c r="D1268" s="2"/>
      <c r="E1268" s="2"/>
    </row>
    <row r="1269" spans="1:6" x14ac:dyDescent="0.3">
      <c r="A1269" t="s">
        <v>264</v>
      </c>
      <c r="B1269" t="s">
        <v>12</v>
      </c>
      <c r="C1269" t="s">
        <v>8</v>
      </c>
      <c r="D1269" s="2"/>
      <c r="E1269" s="2"/>
    </row>
    <row r="1270" spans="1:6" x14ac:dyDescent="0.3">
      <c r="A1270" t="s">
        <v>264</v>
      </c>
      <c r="B1270" t="s">
        <v>44</v>
      </c>
      <c r="C1270" t="s">
        <v>78</v>
      </c>
      <c r="D1270" s="2"/>
      <c r="E1270" s="2"/>
    </row>
    <row r="1271" spans="1:6" x14ac:dyDescent="0.3">
      <c r="A1271" t="s">
        <v>264</v>
      </c>
      <c r="B1271" t="s">
        <v>69</v>
      </c>
      <c r="C1271" t="s">
        <v>13</v>
      </c>
      <c r="D1271" s="2"/>
      <c r="E1271" s="2"/>
    </row>
    <row r="1272" spans="1:6" x14ac:dyDescent="0.3">
      <c r="A1272" t="s">
        <v>264</v>
      </c>
      <c r="B1272" t="s">
        <v>112</v>
      </c>
      <c r="C1272" t="s">
        <v>8</v>
      </c>
      <c r="D1272" s="2"/>
      <c r="E1272" s="2"/>
    </row>
    <row r="1273" spans="1:6" x14ac:dyDescent="0.3">
      <c r="A1273" t="s">
        <v>264</v>
      </c>
      <c r="B1273" t="s">
        <v>96</v>
      </c>
      <c r="C1273" t="s">
        <v>78</v>
      </c>
      <c r="D1273" s="2"/>
      <c r="E1273" s="2"/>
    </row>
    <row r="1274" spans="1:6" x14ac:dyDescent="0.3">
      <c r="A1274" t="s">
        <v>265</v>
      </c>
      <c r="B1274" t="s">
        <v>50</v>
      </c>
      <c r="C1274" t="s">
        <v>13</v>
      </c>
      <c r="D1274" s="2"/>
      <c r="E1274" s="2"/>
    </row>
    <row r="1275" spans="1:6" x14ac:dyDescent="0.3">
      <c r="A1275" t="s">
        <v>265</v>
      </c>
      <c r="B1275" t="s">
        <v>66</v>
      </c>
      <c r="C1275" t="s">
        <v>15</v>
      </c>
      <c r="D1275" s="2"/>
      <c r="E1275" s="2"/>
    </row>
    <row r="1276" spans="1:6" x14ac:dyDescent="0.3">
      <c r="A1276" t="s">
        <v>265</v>
      </c>
      <c r="B1276" t="s">
        <v>72</v>
      </c>
      <c r="C1276" t="s">
        <v>8</v>
      </c>
      <c r="D1276" s="2"/>
      <c r="E1276" s="2"/>
    </row>
    <row r="1277" spans="1:6" x14ac:dyDescent="0.3">
      <c r="A1277" t="s">
        <v>265</v>
      </c>
      <c r="B1277" t="s">
        <v>149</v>
      </c>
      <c r="C1277" t="s">
        <v>13</v>
      </c>
      <c r="D1277" s="2"/>
      <c r="E1277" s="2"/>
    </row>
    <row r="1278" spans="1:6" x14ac:dyDescent="0.3">
      <c r="A1278" t="s">
        <v>265</v>
      </c>
      <c r="B1278" t="s">
        <v>79</v>
      </c>
      <c r="C1278" t="s">
        <v>8</v>
      </c>
      <c r="D1278" s="2"/>
      <c r="E1278" s="2"/>
    </row>
    <row r="1279" spans="1:6" x14ac:dyDescent="0.3">
      <c r="A1279" t="s">
        <v>265</v>
      </c>
      <c r="B1279" t="s">
        <v>40</v>
      </c>
      <c r="C1279" t="s">
        <v>10</v>
      </c>
      <c r="D1279" s="2"/>
      <c r="E1279" s="2"/>
    </row>
    <row r="1280" spans="1:6" x14ac:dyDescent="0.3">
      <c r="A1280" t="s">
        <v>265</v>
      </c>
      <c r="B1280" t="s">
        <v>36</v>
      </c>
      <c r="C1280" t="s">
        <v>41</v>
      </c>
      <c r="D1280" s="2"/>
      <c r="E1280" s="2"/>
    </row>
    <row r="1281" spans="1:6" x14ac:dyDescent="0.3">
      <c r="A1281" t="s">
        <v>265</v>
      </c>
      <c r="B1281" t="s">
        <v>61</v>
      </c>
      <c r="C1281" t="s">
        <v>41</v>
      </c>
      <c r="D1281" s="2"/>
      <c r="E1281" s="2"/>
    </row>
    <row r="1282" spans="1:6" x14ac:dyDescent="0.3">
      <c r="A1282" t="s">
        <v>265</v>
      </c>
      <c r="B1282" t="s">
        <v>14</v>
      </c>
      <c r="C1282" t="s">
        <v>26</v>
      </c>
      <c r="D1282" s="2">
        <v>0.66666666666666596</v>
      </c>
      <c r="E1282" s="2">
        <v>0.79166666666666496</v>
      </c>
    </row>
    <row r="1283" spans="1:6" x14ac:dyDescent="0.3">
      <c r="A1283" t="s">
        <v>265</v>
      </c>
      <c r="B1283" t="s">
        <v>12</v>
      </c>
      <c r="C1283" t="s">
        <v>43</v>
      </c>
      <c r="D1283" s="2"/>
      <c r="E1283" s="2"/>
    </row>
    <row r="1284" spans="1:6" x14ac:dyDescent="0.3">
      <c r="A1284" t="s">
        <v>265</v>
      </c>
      <c r="B1284" t="s">
        <v>52</v>
      </c>
      <c r="C1284" t="s">
        <v>45</v>
      </c>
      <c r="D1284" s="2"/>
      <c r="E1284" s="2"/>
    </row>
    <row r="1285" spans="1:6" x14ac:dyDescent="0.3">
      <c r="A1285" t="s">
        <v>265</v>
      </c>
      <c r="B1285" t="s">
        <v>14</v>
      </c>
      <c r="C1285" t="s">
        <v>46</v>
      </c>
      <c r="D1285" s="2"/>
      <c r="E1285" s="2"/>
    </row>
    <row r="1286" spans="1:6" x14ac:dyDescent="0.3">
      <c r="A1286" t="s">
        <v>265</v>
      </c>
      <c r="B1286" t="s">
        <v>32</v>
      </c>
      <c r="C1286" t="s">
        <v>18</v>
      </c>
      <c r="D1286" s="2"/>
      <c r="E1286" s="2"/>
    </row>
    <row r="1287" spans="1:6" x14ac:dyDescent="0.3">
      <c r="A1287" t="s">
        <v>265</v>
      </c>
      <c r="B1287" t="s">
        <v>48</v>
      </c>
      <c r="C1287" t="s">
        <v>49</v>
      </c>
      <c r="D1287" s="2"/>
      <c r="E1287" s="2"/>
    </row>
    <row r="1288" spans="1:6" x14ac:dyDescent="0.3">
      <c r="A1288" t="s">
        <v>265</v>
      </c>
      <c r="B1288" t="s">
        <v>34</v>
      </c>
      <c r="C1288" t="s">
        <v>51</v>
      </c>
      <c r="D1288" s="2"/>
      <c r="E1288" s="2"/>
    </row>
    <row r="1289" spans="1:6" x14ac:dyDescent="0.3">
      <c r="A1289" t="s">
        <v>265</v>
      </c>
      <c r="B1289" t="s">
        <v>14</v>
      </c>
      <c r="C1289" t="s">
        <v>55</v>
      </c>
      <c r="D1289" s="2">
        <v>0.83333333333333204</v>
      </c>
      <c r="E1289" s="2">
        <v>0.91666666666666496</v>
      </c>
      <c r="F1289" t="s">
        <v>100</v>
      </c>
    </row>
    <row r="1290" spans="1:6" x14ac:dyDescent="0.3">
      <c r="A1290" t="s">
        <v>265</v>
      </c>
      <c r="B1290" t="s">
        <v>62</v>
      </c>
      <c r="C1290" t="s">
        <v>55</v>
      </c>
      <c r="D1290" s="2">
        <v>0.83333333333333204</v>
      </c>
      <c r="E1290" s="2">
        <v>0.91666666666666496</v>
      </c>
      <c r="F1290" t="s">
        <v>100</v>
      </c>
    </row>
    <row r="1291" spans="1:6" x14ac:dyDescent="0.3">
      <c r="A1291" t="s">
        <v>265</v>
      </c>
      <c r="B1291" t="s">
        <v>52</v>
      </c>
      <c r="C1291" t="s">
        <v>30</v>
      </c>
      <c r="D1291" s="2"/>
      <c r="E1291" s="2"/>
    </row>
    <row r="1292" spans="1:6" x14ac:dyDescent="0.3">
      <c r="A1292" t="s">
        <v>265</v>
      </c>
      <c r="B1292" t="s">
        <v>12</v>
      </c>
      <c r="C1292" t="s">
        <v>24</v>
      </c>
      <c r="D1292" s="2">
        <v>0.70833333333333204</v>
      </c>
      <c r="E1292" s="2">
        <v>0.72916666666666496</v>
      </c>
      <c r="F1292" t="s">
        <v>266</v>
      </c>
    </row>
    <row r="1293" spans="1:6" x14ac:dyDescent="0.3">
      <c r="A1293" t="s">
        <v>265</v>
      </c>
      <c r="B1293" s="23" t="s">
        <v>9</v>
      </c>
      <c r="C1293" t="s">
        <v>24</v>
      </c>
      <c r="D1293" s="2"/>
      <c r="E1293" s="2"/>
      <c r="F1293" t="s">
        <v>252</v>
      </c>
    </row>
    <row r="1294" spans="1:6" x14ac:dyDescent="0.3">
      <c r="A1294" t="s">
        <v>265</v>
      </c>
      <c r="B1294" t="s">
        <v>23</v>
      </c>
      <c r="C1294" t="s">
        <v>53</v>
      </c>
      <c r="D1294" s="2">
        <v>0.72916666666666496</v>
      </c>
      <c r="E1294" s="2">
        <v>0.874999999999998</v>
      </c>
      <c r="F1294" t="s">
        <v>267</v>
      </c>
    </row>
    <row r="1295" spans="1:6" x14ac:dyDescent="0.3">
      <c r="A1295" t="s">
        <v>265</v>
      </c>
      <c r="B1295" s="23" t="s">
        <v>16</v>
      </c>
      <c r="C1295" s="23" t="s">
        <v>26</v>
      </c>
      <c r="D1295" s="24">
        <v>0.29166666666666669</v>
      </c>
      <c r="E1295" s="24">
        <v>0.41666666666666702</v>
      </c>
      <c r="F1295" s="23"/>
    </row>
    <row r="1296" spans="1:6" x14ac:dyDescent="0.3">
      <c r="A1296" t="s">
        <v>268</v>
      </c>
      <c r="B1296" t="s">
        <v>32</v>
      </c>
      <c r="C1296" t="s">
        <v>13</v>
      </c>
      <c r="D1296" s="2"/>
      <c r="E1296" s="2"/>
    </row>
    <row r="1297" spans="1:6" x14ac:dyDescent="0.3">
      <c r="A1297" t="s">
        <v>268</v>
      </c>
      <c r="B1297" s="23" t="s">
        <v>33</v>
      </c>
      <c r="C1297" s="23" t="s">
        <v>15</v>
      </c>
      <c r="D1297" s="24"/>
      <c r="E1297" s="24"/>
      <c r="F1297" s="23"/>
    </row>
    <row r="1298" spans="1:6" x14ac:dyDescent="0.3">
      <c r="A1298" t="s">
        <v>268</v>
      </c>
      <c r="B1298" s="23" t="s">
        <v>73</v>
      </c>
      <c r="C1298" s="23" t="s">
        <v>8</v>
      </c>
      <c r="D1298" s="24"/>
      <c r="E1298" s="24"/>
      <c r="F1298" s="23"/>
    </row>
    <row r="1299" spans="1:6" x14ac:dyDescent="0.3">
      <c r="A1299" t="s">
        <v>268</v>
      </c>
      <c r="B1299" s="23" t="s">
        <v>98</v>
      </c>
      <c r="C1299" s="23" t="s">
        <v>13</v>
      </c>
      <c r="D1299" s="24"/>
      <c r="E1299" s="24"/>
      <c r="F1299" s="23"/>
    </row>
    <row r="1300" spans="1:6" x14ac:dyDescent="0.3">
      <c r="A1300" t="s">
        <v>268</v>
      </c>
      <c r="B1300" s="23" t="s">
        <v>149</v>
      </c>
      <c r="C1300" s="23" t="s">
        <v>8</v>
      </c>
      <c r="D1300" s="24"/>
      <c r="E1300" s="24"/>
      <c r="F1300" s="23"/>
    </row>
    <row r="1301" spans="1:6" x14ac:dyDescent="0.3">
      <c r="A1301" t="s">
        <v>268</v>
      </c>
      <c r="B1301" s="23" t="s">
        <v>40</v>
      </c>
      <c r="C1301" s="23" t="s">
        <v>10</v>
      </c>
      <c r="D1301" s="24"/>
      <c r="E1301" s="24"/>
      <c r="F1301" s="23"/>
    </row>
    <row r="1302" spans="1:6" x14ac:dyDescent="0.3">
      <c r="A1302" t="s">
        <v>268</v>
      </c>
      <c r="B1302" s="23" t="s">
        <v>60</v>
      </c>
      <c r="C1302" s="23" t="s">
        <v>41</v>
      </c>
      <c r="D1302" s="24"/>
      <c r="E1302" s="24"/>
      <c r="F1302" s="23"/>
    </row>
    <row r="1303" spans="1:6" x14ac:dyDescent="0.3">
      <c r="A1303" t="s">
        <v>268</v>
      </c>
      <c r="B1303" s="23" t="s">
        <v>35</v>
      </c>
      <c r="C1303" s="23" t="s">
        <v>41</v>
      </c>
      <c r="D1303" s="24"/>
      <c r="E1303" s="24"/>
      <c r="F1303" s="23"/>
    </row>
    <row r="1304" spans="1:6" x14ac:dyDescent="0.3">
      <c r="A1304" t="s">
        <v>268</v>
      </c>
      <c r="B1304" s="23" t="s">
        <v>36</v>
      </c>
      <c r="C1304" s="23" t="s">
        <v>41</v>
      </c>
      <c r="D1304" s="24"/>
      <c r="E1304" s="24"/>
      <c r="F1304" s="23"/>
    </row>
    <row r="1305" spans="1:6" x14ac:dyDescent="0.3">
      <c r="A1305" t="s">
        <v>268</v>
      </c>
      <c r="B1305" s="23" t="s">
        <v>68</v>
      </c>
      <c r="C1305" s="23" t="s">
        <v>26</v>
      </c>
      <c r="D1305" s="24">
        <v>0.29166666666666669</v>
      </c>
      <c r="E1305" s="24">
        <v>0.41666666666666702</v>
      </c>
      <c r="F1305" s="23"/>
    </row>
    <row r="1306" spans="1:6" x14ac:dyDescent="0.3">
      <c r="A1306" t="s">
        <v>268</v>
      </c>
      <c r="B1306" s="23" t="s">
        <v>36</v>
      </c>
      <c r="C1306" s="23" t="s">
        <v>24</v>
      </c>
      <c r="D1306" s="24">
        <v>0.54166666666666696</v>
      </c>
      <c r="E1306" s="24">
        <v>0.625</v>
      </c>
      <c r="F1306" s="23" t="s">
        <v>269</v>
      </c>
    </row>
    <row r="1307" spans="1:6" x14ac:dyDescent="0.3">
      <c r="A1307" t="s">
        <v>268</v>
      </c>
      <c r="B1307" s="23" t="s">
        <v>35</v>
      </c>
      <c r="C1307" s="23" t="s">
        <v>24</v>
      </c>
      <c r="D1307" s="24">
        <v>0.54166666666666696</v>
      </c>
      <c r="E1307" s="24">
        <v>0.625</v>
      </c>
      <c r="F1307" s="23" t="s">
        <v>269</v>
      </c>
    </row>
    <row r="1308" spans="1:6" x14ac:dyDescent="0.3">
      <c r="A1308" t="s">
        <v>268</v>
      </c>
      <c r="B1308" s="23" t="s">
        <v>29</v>
      </c>
      <c r="C1308" s="23" t="s">
        <v>43</v>
      </c>
      <c r="D1308" s="24"/>
      <c r="E1308" s="24"/>
      <c r="F1308" s="23"/>
    </row>
    <row r="1309" spans="1:6" x14ac:dyDescent="0.3">
      <c r="A1309" t="s">
        <v>268</v>
      </c>
      <c r="B1309" s="23" t="s">
        <v>44</v>
      </c>
      <c r="C1309" s="23" t="s">
        <v>45</v>
      </c>
      <c r="D1309" s="24"/>
      <c r="E1309" s="24"/>
      <c r="F1309" s="23"/>
    </row>
    <row r="1310" spans="1:6" x14ac:dyDescent="0.3">
      <c r="A1310" t="s">
        <v>268</v>
      </c>
      <c r="B1310" s="23" t="s">
        <v>21</v>
      </c>
      <c r="C1310" s="23" t="s">
        <v>46</v>
      </c>
      <c r="D1310" s="24"/>
      <c r="E1310" s="24"/>
      <c r="F1310" s="23"/>
    </row>
    <row r="1311" spans="1:6" x14ac:dyDescent="0.3">
      <c r="A1311" t="s">
        <v>268</v>
      </c>
      <c r="B1311" s="23" t="s">
        <v>32</v>
      </c>
      <c r="C1311" s="23" t="s">
        <v>18</v>
      </c>
      <c r="D1311" s="24"/>
      <c r="E1311" s="24"/>
      <c r="F1311" s="23"/>
    </row>
    <row r="1312" spans="1:6" x14ac:dyDescent="0.3">
      <c r="A1312" t="s">
        <v>268</v>
      </c>
      <c r="B1312" s="23" t="s">
        <v>85</v>
      </c>
      <c r="C1312" s="23" t="s">
        <v>49</v>
      </c>
      <c r="D1312" s="24"/>
      <c r="E1312" s="24"/>
      <c r="F1312" s="23"/>
    </row>
    <row r="1313" spans="1:6" x14ac:dyDescent="0.3">
      <c r="A1313" t="s">
        <v>268</v>
      </c>
      <c r="B1313" s="23" t="s">
        <v>50</v>
      </c>
      <c r="C1313" s="23" t="s">
        <v>51</v>
      </c>
      <c r="D1313" s="24"/>
      <c r="E1313" s="24"/>
      <c r="F1313" s="23"/>
    </row>
    <row r="1314" spans="1:6" x14ac:dyDescent="0.3">
      <c r="A1314" t="s">
        <v>268</v>
      </c>
      <c r="B1314" s="23" t="s">
        <v>68</v>
      </c>
      <c r="C1314" t="s">
        <v>26</v>
      </c>
      <c r="D1314" s="2">
        <v>0.29166666666666669</v>
      </c>
      <c r="E1314" s="2">
        <v>0.41666666666666702</v>
      </c>
    </row>
    <row r="1315" spans="1:6" x14ac:dyDescent="0.3">
      <c r="A1315" t="s">
        <v>268</v>
      </c>
      <c r="B1315" s="23" t="s">
        <v>33</v>
      </c>
      <c r="C1315" t="s">
        <v>55</v>
      </c>
      <c r="D1315" s="2">
        <v>0.29166666666666669</v>
      </c>
      <c r="E1315" s="2">
        <v>0.375</v>
      </c>
      <c r="F1315" t="s">
        <v>270</v>
      </c>
    </row>
    <row r="1316" spans="1:6" x14ac:dyDescent="0.3">
      <c r="A1316" t="s">
        <v>268</v>
      </c>
      <c r="B1316" s="23" t="s">
        <v>72</v>
      </c>
      <c r="C1316" t="s">
        <v>30</v>
      </c>
      <c r="D1316" s="2"/>
      <c r="E1316" s="2"/>
    </row>
    <row r="1317" spans="1:6" x14ac:dyDescent="0.3">
      <c r="A1317" t="s">
        <v>268</v>
      </c>
      <c r="B1317" s="23" t="s">
        <v>71</v>
      </c>
      <c r="C1317" t="s">
        <v>30</v>
      </c>
      <c r="D1317" s="2"/>
      <c r="E1317" s="2"/>
    </row>
    <row r="1318" spans="1:6" x14ac:dyDescent="0.3">
      <c r="A1318" t="s">
        <v>268</v>
      </c>
      <c r="B1318" s="23" t="s">
        <v>94</v>
      </c>
      <c r="C1318" t="s">
        <v>24</v>
      </c>
      <c r="D1318" s="2">
        <v>0.66666666666666596</v>
      </c>
      <c r="E1318" s="2">
        <v>0.687499999999999</v>
      </c>
      <c r="F1318" t="s">
        <v>271</v>
      </c>
    </row>
    <row r="1319" spans="1:6" x14ac:dyDescent="0.3">
      <c r="A1319" t="s">
        <v>268</v>
      </c>
      <c r="B1319" s="23" t="s">
        <v>68</v>
      </c>
      <c r="C1319" s="23" t="s">
        <v>26</v>
      </c>
      <c r="D1319" s="24">
        <v>0.41666666666666702</v>
      </c>
      <c r="E1319" s="24">
        <v>0.54166666666666596</v>
      </c>
      <c r="F1319" s="23"/>
    </row>
    <row r="1320" spans="1:6" x14ac:dyDescent="0.3">
      <c r="A1320" t="s">
        <v>268</v>
      </c>
      <c r="B1320" s="23" t="s">
        <v>37</v>
      </c>
      <c r="C1320" s="23" t="s">
        <v>30</v>
      </c>
      <c r="D1320" s="24"/>
      <c r="E1320" s="24"/>
      <c r="F1320" s="23"/>
    </row>
    <row r="1321" spans="1:6" x14ac:dyDescent="0.3">
      <c r="A1321" t="s">
        <v>272</v>
      </c>
      <c r="B1321" t="s">
        <v>71</v>
      </c>
      <c r="C1321" t="s">
        <v>13</v>
      </c>
      <c r="D1321" s="2"/>
      <c r="E1321" s="2"/>
    </row>
    <row r="1322" spans="1:6" x14ac:dyDescent="0.3">
      <c r="A1322" t="s">
        <v>272</v>
      </c>
      <c r="B1322" s="23" t="s">
        <v>63</v>
      </c>
      <c r="C1322" s="23" t="s">
        <v>15</v>
      </c>
      <c r="D1322" s="24"/>
      <c r="E1322" s="24"/>
      <c r="F1322" s="23"/>
    </row>
    <row r="1323" spans="1:6" x14ac:dyDescent="0.3">
      <c r="A1323" t="s">
        <v>272</v>
      </c>
      <c r="B1323" s="23" t="s">
        <v>48</v>
      </c>
      <c r="C1323" s="23" t="s">
        <v>8</v>
      </c>
      <c r="D1323" s="24"/>
      <c r="E1323" s="24"/>
      <c r="F1323" s="23"/>
    </row>
    <row r="1324" spans="1:6" x14ac:dyDescent="0.3">
      <c r="A1324" t="s">
        <v>272</v>
      </c>
      <c r="B1324" s="23" t="s">
        <v>57</v>
      </c>
      <c r="C1324" s="23" t="s">
        <v>13</v>
      </c>
      <c r="D1324" s="24"/>
      <c r="E1324" s="24"/>
      <c r="F1324" s="23"/>
    </row>
    <row r="1325" spans="1:6" x14ac:dyDescent="0.3">
      <c r="A1325" t="s">
        <v>272</v>
      </c>
      <c r="B1325" s="23" t="s">
        <v>39</v>
      </c>
      <c r="C1325" s="23" t="s">
        <v>8</v>
      </c>
      <c r="D1325" s="24"/>
      <c r="E1325" s="24"/>
      <c r="F1325" s="23"/>
    </row>
    <row r="1326" spans="1:6" x14ac:dyDescent="0.3">
      <c r="A1326" t="s">
        <v>272</v>
      </c>
      <c r="B1326" s="23" t="s">
        <v>72</v>
      </c>
      <c r="C1326" s="23" t="s">
        <v>30</v>
      </c>
      <c r="D1326" s="24"/>
      <c r="E1326" s="24"/>
      <c r="F1326" s="23"/>
    </row>
    <row r="1327" spans="1:6" x14ac:dyDescent="0.3">
      <c r="A1327" t="s">
        <v>272</v>
      </c>
      <c r="B1327" s="23" t="s">
        <v>37</v>
      </c>
      <c r="C1327" s="23" t="s">
        <v>30</v>
      </c>
      <c r="D1327" s="24"/>
      <c r="E1327" s="24"/>
      <c r="F1327" s="23"/>
    </row>
    <row r="1328" spans="1:6" x14ac:dyDescent="0.3">
      <c r="A1328" t="s">
        <v>272</v>
      </c>
      <c r="B1328" s="23" t="s">
        <v>23</v>
      </c>
      <c r="C1328" s="23" t="s">
        <v>22</v>
      </c>
      <c r="D1328" s="24">
        <v>0.54166666666666596</v>
      </c>
      <c r="E1328" s="24">
        <v>0.749999999999999</v>
      </c>
      <c r="F1328" s="23"/>
    </row>
    <row r="1329" spans="1:6" x14ac:dyDescent="0.3">
      <c r="A1329" t="s">
        <v>272</v>
      </c>
      <c r="B1329" s="23" t="s">
        <v>40</v>
      </c>
      <c r="C1329" s="23" t="s">
        <v>10</v>
      </c>
      <c r="D1329" s="24"/>
      <c r="E1329" s="24"/>
      <c r="F1329" s="23"/>
    </row>
    <row r="1330" spans="1:6" x14ac:dyDescent="0.3">
      <c r="A1330" t="s">
        <v>272</v>
      </c>
      <c r="B1330" s="23" t="s">
        <v>36</v>
      </c>
      <c r="C1330" s="23" t="s">
        <v>10</v>
      </c>
      <c r="D1330" s="24"/>
      <c r="E1330" s="24"/>
      <c r="F1330" s="23"/>
    </row>
    <row r="1331" spans="1:6" x14ac:dyDescent="0.3">
      <c r="A1331" t="s">
        <v>272</v>
      </c>
      <c r="B1331" s="23" t="s">
        <v>79</v>
      </c>
      <c r="C1331" s="23" t="s">
        <v>10</v>
      </c>
      <c r="D1331" s="24"/>
      <c r="E1331" s="24"/>
      <c r="F1331" s="23"/>
    </row>
    <row r="1332" spans="1:6" x14ac:dyDescent="0.3">
      <c r="A1332" t="s">
        <v>272</v>
      </c>
      <c r="B1332" s="23" t="s">
        <v>27</v>
      </c>
      <c r="C1332" s="23" t="s">
        <v>10</v>
      </c>
      <c r="D1332" s="24"/>
      <c r="E1332" s="24"/>
      <c r="F1332" s="23"/>
    </row>
    <row r="1333" spans="1:6" x14ac:dyDescent="0.3">
      <c r="A1333" t="s">
        <v>272</v>
      </c>
      <c r="B1333" s="23" t="s">
        <v>98</v>
      </c>
      <c r="C1333" s="23" t="s">
        <v>41</v>
      </c>
      <c r="D1333" s="24"/>
      <c r="E1333" s="24"/>
      <c r="F1333" s="23"/>
    </row>
    <row r="1334" spans="1:6" x14ac:dyDescent="0.3">
      <c r="A1334" t="s">
        <v>272</v>
      </c>
      <c r="B1334" s="23" t="s">
        <v>149</v>
      </c>
      <c r="C1334" s="23" t="s">
        <v>41</v>
      </c>
      <c r="D1334" s="24"/>
      <c r="E1334" s="24"/>
      <c r="F1334" s="23"/>
    </row>
    <row r="1335" spans="1:6" x14ac:dyDescent="0.3">
      <c r="A1335" t="s">
        <v>272</v>
      </c>
      <c r="B1335" s="23" t="s">
        <v>17</v>
      </c>
      <c r="C1335" s="23" t="s">
        <v>26</v>
      </c>
      <c r="D1335" s="24">
        <v>0.29166666666666669</v>
      </c>
      <c r="E1335" s="24">
        <v>0.41666666666666702</v>
      </c>
      <c r="F1335" s="23"/>
    </row>
    <row r="1336" spans="1:6" x14ac:dyDescent="0.3">
      <c r="A1336" t="s">
        <v>272</v>
      </c>
      <c r="B1336" s="23" t="s">
        <v>44</v>
      </c>
      <c r="C1336" s="23" t="s">
        <v>26</v>
      </c>
      <c r="D1336" s="24">
        <v>0.41666666666666702</v>
      </c>
      <c r="E1336" s="24">
        <v>0.54166666666666596</v>
      </c>
      <c r="F1336" s="23"/>
    </row>
    <row r="1337" spans="1:6" x14ac:dyDescent="0.3">
      <c r="A1337" t="s">
        <v>272</v>
      </c>
      <c r="B1337" s="23" t="s">
        <v>68</v>
      </c>
      <c r="C1337" s="23" t="s">
        <v>26</v>
      </c>
      <c r="D1337" s="24">
        <v>0.66666666666666596</v>
      </c>
      <c r="E1337" s="24">
        <v>0.79166666666666496</v>
      </c>
      <c r="F1337" s="23"/>
    </row>
    <row r="1338" spans="1:6" x14ac:dyDescent="0.3">
      <c r="A1338" t="s">
        <v>272</v>
      </c>
      <c r="B1338" s="23" t="s">
        <v>68</v>
      </c>
      <c r="C1338" s="23" t="s">
        <v>26</v>
      </c>
      <c r="D1338" s="24">
        <v>0.79166666666666496</v>
      </c>
      <c r="E1338" s="24">
        <v>0.91666666666666496</v>
      </c>
      <c r="F1338" s="23"/>
    </row>
    <row r="1339" spans="1:6" x14ac:dyDescent="0.3">
      <c r="A1339" t="s">
        <v>272</v>
      </c>
      <c r="B1339" s="23" t="s">
        <v>37</v>
      </c>
      <c r="C1339" t="s">
        <v>43</v>
      </c>
      <c r="D1339" s="2"/>
      <c r="E1339" s="2"/>
    </row>
    <row r="1340" spans="1:6" x14ac:dyDescent="0.3">
      <c r="A1340" t="s">
        <v>272</v>
      </c>
      <c r="B1340" s="23" t="s">
        <v>23</v>
      </c>
      <c r="C1340" t="s">
        <v>45</v>
      </c>
      <c r="D1340" s="2"/>
      <c r="E1340" s="2"/>
    </row>
    <row r="1341" spans="1:6" x14ac:dyDescent="0.3">
      <c r="A1341" t="s">
        <v>272</v>
      </c>
      <c r="B1341" s="23" t="s">
        <v>16</v>
      </c>
      <c r="C1341" t="s">
        <v>46</v>
      </c>
      <c r="D1341" s="2"/>
      <c r="E1341" s="2"/>
    </row>
    <row r="1342" spans="1:6" x14ac:dyDescent="0.3">
      <c r="A1342" t="s">
        <v>272</v>
      </c>
      <c r="B1342" s="23" t="s">
        <v>63</v>
      </c>
      <c r="C1342" t="s">
        <v>18</v>
      </c>
      <c r="D1342" s="2"/>
      <c r="E1342" s="2"/>
    </row>
    <row r="1343" spans="1:6" x14ac:dyDescent="0.3">
      <c r="A1343" t="s">
        <v>272</v>
      </c>
      <c r="B1343" s="23" t="s">
        <v>85</v>
      </c>
      <c r="C1343" t="s">
        <v>49</v>
      </c>
      <c r="D1343" s="2"/>
      <c r="E1343" s="2"/>
    </row>
    <row r="1344" spans="1:6" x14ac:dyDescent="0.3">
      <c r="A1344" t="s">
        <v>272</v>
      </c>
      <c r="B1344" s="23" t="s">
        <v>75</v>
      </c>
      <c r="C1344" s="23" t="s">
        <v>51</v>
      </c>
      <c r="D1344" s="24"/>
      <c r="E1344" s="24"/>
      <c r="F1344" s="23"/>
    </row>
    <row r="1345" spans="1:6" x14ac:dyDescent="0.3">
      <c r="A1345" t="s">
        <v>272</v>
      </c>
      <c r="B1345" s="23" t="s">
        <v>23</v>
      </c>
      <c r="C1345" s="23" t="s">
        <v>124</v>
      </c>
      <c r="D1345" s="24">
        <v>0.79166666666666496</v>
      </c>
      <c r="E1345" s="24">
        <v>0.91666666666666496</v>
      </c>
      <c r="F1345" s="23" t="s">
        <v>273</v>
      </c>
    </row>
    <row r="1346" spans="1:6" x14ac:dyDescent="0.3">
      <c r="A1346" t="s">
        <v>272</v>
      </c>
      <c r="B1346" s="23" t="s">
        <v>23</v>
      </c>
      <c r="C1346" s="23" t="s">
        <v>53</v>
      </c>
      <c r="D1346" s="24">
        <v>0.66666666666666596</v>
      </c>
      <c r="E1346" s="24">
        <v>0.70833333333333204</v>
      </c>
      <c r="F1346" s="23" t="s">
        <v>274</v>
      </c>
    </row>
    <row r="1347" spans="1:6" x14ac:dyDescent="0.3">
      <c r="A1347" t="s">
        <v>272</v>
      </c>
      <c r="B1347" s="23" t="s">
        <v>214</v>
      </c>
      <c r="C1347" s="23" t="s">
        <v>24</v>
      </c>
      <c r="D1347" s="24">
        <v>0.54166666666666596</v>
      </c>
      <c r="E1347" s="24">
        <v>0.91666666666666496</v>
      </c>
      <c r="F1347" s="23" t="s">
        <v>275</v>
      </c>
    </row>
    <row r="1348" spans="1:6" x14ac:dyDescent="0.3">
      <c r="A1348" t="s">
        <v>272</v>
      </c>
      <c r="B1348" s="23" t="s">
        <v>29</v>
      </c>
      <c r="C1348" s="23" t="s">
        <v>22</v>
      </c>
      <c r="D1348" s="24">
        <v>0.54166666666666596</v>
      </c>
      <c r="E1348" s="24">
        <v>0.749999999999999</v>
      </c>
      <c r="F1348" s="23"/>
    </row>
    <row r="1349" spans="1:6" x14ac:dyDescent="0.3">
      <c r="A1349" t="s">
        <v>272</v>
      </c>
      <c r="B1349" s="23" t="s">
        <v>12</v>
      </c>
      <c r="C1349" s="23" t="s">
        <v>53</v>
      </c>
      <c r="D1349" s="24">
        <v>0.70833333333333204</v>
      </c>
      <c r="E1349" s="24">
        <v>0.749999999999999</v>
      </c>
      <c r="F1349" s="23" t="s">
        <v>276</v>
      </c>
    </row>
    <row r="1350" spans="1:6" x14ac:dyDescent="0.3">
      <c r="A1350" t="s">
        <v>272</v>
      </c>
      <c r="B1350" s="23" t="s">
        <v>50</v>
      </c>
      <c r="C1350" s="23" t="s">
        <v>53</v>
      </c>
      <c r="D1350" s="24">
        <v>0.70833333333333204</v>
      </c>
      <c r="E1350" s="24">
        <v>0.749999999999999</v>
      </c>
      <c r="F1350" s="23" t="s">
        <v>276</v>
      </c>
    </row>
    <row r="1351" spans="1:6" x14ac:dyDescent="0.3">
      <c r="A1351" t="s">
        <v>277</v>
      </c>
      <c r="B1351" t="s">
        <v>68</v>
      </c>
      <c r="C1351" t="s">
        <v>13</v>
      </c>
      <c r="D1351" s="2"/>
      <c r="E1351" s="2"/>
    </row>
    <row r="1352" spans="1:6" x14ac:dyDescent="0.3">
      <c r="A1352" t="s">
        <v>277</v>
      </c>
      <c r="B1352" t="s">
        <v>44</v>
      </c>
      <c r="C1352" t="s">
        <v>15</v>
      </c>
      <c r="D1352" s="2"/>
      <c r="E1352" s="2"/>
    </row>
    <row r="1353" spans="1:6" x14ac:dyDescent="0.3">
      <c r="A1353" t="s">
        <v>277</v>
      </c>
      <c r="B1353" t="s">
        <v>64</v>
      </c>
      <c r="C1353" t="s">
        <v>8</v>
      </c>
      <c r="D1353" s="2"/>
      <c r="E1353" s="2"/>
    </row>
    <row r="1354" spans="1:6" x14ac:dyDescent="0.3">
      <c r="A1354" t="s">
        <v>277</v>
      </c>
      <c r="B1354" t="s">
        <v>9</v>
      </c>
      <c r="C1354" t="s">
        <v>13</v>
      </c>
      <c r="D1354" s="2"/>
      <c r="E1354" s="2"/>
    </row>
    <row r="1355" spans="1:6" x14ac:dyDescent="0.3">
      <c r="A1355" t="s">
        <v>277</v>
      </c>
      <c r="B1355" t="s">
        <v>80</v>
      </c>
      <c r="C1355" t="s">
        <v>8</v>
      </c>
      <c r="D1355" s="2"/>
      <c r="E1355" s="2"/>
    </row>
    <row r="1356" spans="1:6" x14ac:dyDescent="0.3">
      <c r="A1356" t="s">
        <v>277</v>
      </c>
      <c r="B1356" t="s">
        <v>40</v>
      </c>
      <c r="C1356" t="s">
        <v>10</v>
      </c>
      <c r="D1356" s="2"/>
      <c r="E1356" s="2"/>
    </row>
    <row r="1357" spans="1:6" x14ac:dyDescent="0.3">
      <c r="A1357" t="s">
        <v>277</v>
      </c>
      <c r="B1357" t="s">
        <v>36</v>
      </c>
      <c r="C1357" t="s">
        <v>10</v>
      </c>
      <c r="D1357" s="2"/>
      <c r="E1357" s="2"/>
    </row>
    <row r="1358" spans="1:6" x14ac:dyDescent="0.3">
      <c r="A1358" t="s">
        <v>277</v>
      </c>
      <c r="B1358" t="s">
        <v>79</v>
      </c>
      <c r="C1358" t="s">
        <v>10</v>
      </c>
      <c r="D1358" s="2"/>
      <c r="E1358" s="2"/>
    </row>
    <row r="1359" spans="1:6" x14ac:dyDescent="0.3">
      <c r="A1359" t="s">
        <v>277</v>
      </c>
      <c r="B1359" t="s">
        <v>27</v>
      </c>
      <c r="C1359" t="s">
        <v>10</v>
      </c>
      <c r="D1359" s="2"/>
      <c r="E1359" s="2"/>
    </row>
    <row r="1360" spans="1:6" x14ac:dyDescent="0.3">
      <c r="A1360" t="s">
        <v>277</v>
      </c>
      <c r="B1360" s="23" t="s">
        <v>57</v>
      </c>
      <c r="C1360" s="23" t="s">
        <v>41</v>
      </c>
      <c r="D1360" s="24"/>
      <c r="E1360" s="24"/>
      <c r="F1360" s="23"/>
    </row>
    <row r="1361" spans="1:6" x14ac:dyDescent="0.3">
      <c r="A1361" t="s">
        <v>277</v>
      </c>
      <c r="B1361" s="23" t="s">
        <v>39</v>
      </c>
      <c r="C1361" s="23" t="s">
        <v>41</v>
      </c>
      <c r="D1361" s="24"/>
      <c r="E1361" s="24"/>
      <c r="F1361" s="23"/>
    </row>
    <row r="1362" spans="1:6" x14ac:dyDescent="0.3">
      <c r="A1362" t="s">
        <v>277</v>
      </c>
      <c r="B1362" s="23" t="s">
        <v>29</v>
      </c>
      <c r="C1362" s="23" t="s">
        <v>30</v>
      </c>
      <c r="D1362" s="24"/>
      <c r="E1362" s="24"/>
      <c r="F1362" s="23"/>
    </row>
    <row r="1363" spans="1:6" x14ac:dyDescent="0.3">
      <c r="A1363" t="s">
        <v>277</v>
      </c>
      <c r="B1363" s="23" t="s">
        <v>37</v>
      </c>
      <c r="C1363" s="23" t="s">
        <v>30</v>
      </c>
      <c r="D1363" s="24"/>
      <c r="E1363" s="24"/>
      <c r="F1363" s="23"/>
    </row>
    <row r="1364" spans="1:6" x14ac:dyDescent="0.3">
      <c r="A1364" t="s">
        <v>277</v>
      </c>
      <c r="B1364" s="23" t="s">
        <v>85</v>
      </c>
      <c r="C1364" s="23" t="s">
        <v>26</v>
      </c>
      <c r="D1364" s="24">
        <v>0.41666666666666702</v>
      </c>
      <c r="E1364" s="24">
        <v>0.54166666666666596</v>
      </c>
      <c r="F1364" s="23"/>
    </row>
    <row r="1365" spans="1:6" x14ac:dyDescent="0.3">
      <c r="A1365" t="s">
        <v>277</v>
      </c>
      <c r="B1365" s="23" t="s">
        <v>33</v>
      </c>
      <c r="C1365" t="s">
        <v>43</v>
      </c>
      <c r="D1365" s="2"/>
      <c r="E1365" s="2"/>
    </row>
    <row r="1366" spans="1:6" x14ac:dyDescent="0.3">
      <c r="A1366" t="s">
        <v>277</v>
      </c>
      <c r="B1366" s="23" t="s">
        <v>66</v>
      </c>
      <c r="C1366" t="s">
        <v>45</v>
      </c>
      <c r="D1366" s="2"/>
      <c r="E1366" s="2"/>
    </row>
    <row r="1367" spans="1:6" x14ac:dyDescent="0.3">
      <c r="A1367" t="s">
        <v>277</v>
      </c>
      <c r="B1367" s="23" t="s">
        <v>68</v>
      </c>
      <c r="C1367" t="s">
        <v>46</v>
      </c>
      <c r="D1367" s="2"/>
      <c r="E1367" s="2"/>
    </row>
    <row r="1368" spans="1:6" x14ac:dyDescent="0.3">
      <c r="A1368" t="s">
        <v>277</v>
      </c>
      <c r="B1368" s="23" t="s">
        <v>47</v>
      </c>
      <c r="C1368" s="23" t="s">
        <v>18</v>
      </c>
      <c r="D1368" s="24"/>
      <c r="E1368" s="24"/>
      <c r="F1368" s="23"/>
    </row>
    <row r="1369" spans="1:6" x14ac:dyDescent="0.3">
      <c r="A1369" t="s">
        <v>277</v>
      </c>
      <c r="B1369" s="23" t="s">
        <v>85</v>
      </c>
      <c r="C1369" s="23" t="s">
        <v>49</v>
      </c>
      <c r="D1369" s="24"/>
      <c r="E1369" s="24"/>
      <c r="F1369" s="23"/>
    </row>
    <row r="1370" spans="1:6" x14ac:dyDescent="0.3">
      <c r="A1370" t="s">
        <v>277</v>
      </c>
      <c r="B1370" s="23" t="s">
        <v>73</v>
      </c>
      <c r="C1370" s="23" t="s">
        <v>51</v>
      </c>
      <c r="D1370" s="2"/>
      <c r="E1370" s="2"/>
    </row>
    <row r="1371" spans="1:6" x14ac:dyDescent="0.3">
      <c r="A1371" t="s">
        <v>277</v>
      </c>
      <c r="B1371" s="23" t="s">
        <v>73</v>
      </c>
      <c r="C1371" s="23" t="s">
        <v>53</v>
      </c>
      <c r="D1371" s="24">
        <v>0.45833333333333298</v>
      </c>
      <c r="E1371" s="24">
        <v>0.5</v>
      </c>
      <c r="F1371" s="23" t="s">
        <v>278</v>
      </c>
    </row>
    <row r="1372" spans="1:6" x14ac:dyDescent="0.3">
      <c r="A1372" t="s">
        <v>277</v>
      </c>
      <c r="B1372" s="23" t="s">
        <v>63</v>
      </c>
      <c r="C1372" s="23" t="s">
        <v>53</v>
      </c>
      <c r="D1372" s="2">
        <v>0.58333333333333304</v>
      </c>
      <c r="E1372" s="2">
        <v>0.66666666666666596</v>
      </c>
      <c r="F1372" t="s">
        <v>279</v>
      </c>
    </row>
    <row r="1373" spans="1:6" x14ac:dyDescent="0.3">
      <c r="A1373" t="s">
        <v>277</v>
      </c>
      <c r="B1373" s="23" t="s">
        <v>25</v>
      </c>
      <c r="C1373" s="23" t="s">
        <v>53</v>
      </c>
      <c r="D1373" s="24">
        <v>0.83333333333333204</v>
      </c>
      <c r="E1373" s="24">
        <v>0.874999999999998</v>
      </c>
      <c r="F1373" s="23" t="s">
        <v>280</v>
      </c>
    </row>
    <row r="1374" spans="1:6" x14ac:dyDescent="0.3">
      <c r="A1374" t="s">
        <v>281</v>
      </c>
      <c r="B1374" t="s">
        <v>33</v>
      </c>
      <c r="C1374" t="s">
        <v>13</v>
      </c>
      <c r="D1374" s="2"/>
      <c r="E1374" s="2"/>
    </row>
    <row r="1375" spans="1:6" x14ac:dyDescent="0.3">
      <c r="A1375" t="s">
        <v>281</v>
      </c>
      <c r="B1375" t="s">
        <v>66</v>
      </c>
      <c r="C1375" t="s">
        <v>15</v>
      </c>
      <c r="D1375" s="2"/>
      <c r="E1375" s="2"/>
    </row>
    <row r="1376" spans="1:6" x14ac:dyDescent="0.3">
      <c r="A1376" t="s">
        <v>281</v>
      </c>
      <c r="B1376" t="s">
        <v>94</v>
      </c>
      <c r="C1376" t="s">
        <v>8</v>
      </c>
      <c r="D1376" s="2"/>
      <c r="E1376" s="2"/>
    </row>
    <row r="1377" spans="1:6" x14ac:dyDescent="0.3">
      <c r="A1377" t="s">
        <v>281</v>
      </c>
      <c r="B1377" t="s">
        <v>35</v>
      </c>
      <c r="C1377" t="s">
        <v>13</v>
      </c>
      <c r="D1377" s="2"/>
      <c r="E1377" s="2"/>
    </row>
    <row r="1378" spans="1:6" x14ac:dyDescent="0.3">
      <c r="A1378" t="s">
        <v>281</v>
      </c>
      <c r="B1378" t="s">
        <v>83</v>
      </c>
      <c r="C1378" t="s">
        <v>8</v>
      </c>
      <c r="D1378" s="2"/>
      <c r="E1378" s="2"/>
    </row>
    <row r="1379" spans="1:6" x14ac:dyDescent="0.3">
      <c r="A1379" t="s">
        <v>281</v>
      </c>
      <c r="B1379" t="s">
        <v>40</v>
      </c>
      <c r="C1379" t="s">
        <v>10</v>
      </c>
      <c r="D1379" s="2"/>
      <c r="E1379" s="2"/>
    </row>
    <row r="1380" spans="1:6" x14ac:dyDescent="0.3">
      <c r="A1380" t="s">
        <v>281</v>
      </c>
      <c r="B1380" t="s">
        <v>36</v>
      </c>
      <c r="C1380" t="s">
        <v>10</v>
      </c>
      <c r="D1380" s="2"/>
      <c r="E1380" s="2"/>
    </row>
    <row r="1381" spans="1:6" x14ac:dyDescent="0.3">
      <c r="A1381" t="s">
        <v>281</v>
      </c>
      <c r="B1381" t="s">
        <v>79</v>
      </c>
      <c r="C1381" t="s">
        <v>10</v>
      </c>
      <c r="D1381" s="2"/>
      <c r="E1381" s="2"/>
    </row>
    <row r="1382" spans="1:6" x14ac:dyDescent="0.3">
      <c r="A1382" t="s">
        <v>281</v>
      </c>
      <c r="B1382" t="s">
        <v>27</v>
      </c>
      <c r="C1382" t="s">
        <v>10</v>
      </c>
      <c r="D1382" s="2"/>
      <c r="E1382" s="2"/>
    </row>
    <row r="1383" spans="1:6" x14ac:dyDescent="0.3">
      <c r="A1383" t="s">
        <v>281</v>
      </c>
      <c r="B1383" t="s">
        <v>42</v>
      </c>
      <c r="C1383" t="s">
        <v>41</v>
      </c>
      <c r="D1383" s="2"/>
      <c r="E1383" s="2"/>
    </row>
    <row r="1384" spans="1:6" x14ac:dyDescent="0.3">
      <c r="A1384" t="s">
        <v>281</v>
      </c>
      <c r="B1384" t="s">
        <v>103</v>
      </c>
      <c r="C1384" t="s">
        <v>41</v>
      </c>
      <c r="D1384" s="2"/>
      <c r="E1384" s="2"/>
    </row>
    <row r="1385" spans="1:6" x14ac:dyDescent="0.3">
      <c r="A1385" t="s">
        <v>281</v>
      </c>
      <c r="B1385" t="s">
        <v>48</v>
      </c>
      <c r="C1385" t="s">
        <v>26</v>
      </c>
      <c r="D1385" s="2">
        <v>0.29166666666666669</v>
      </c>
      <c r="E1385" s="2">
        <v>0.41666666666666702</v>
      </c>
    </row>
    <row r="1386" spans="1:6" x14ac:dyDescent="0.3">
      <c r="A1386" t="s">
        <v>281</v>
      </c>
      <c r="B1386" t="s">
        <v>48</v>
      </c>
      <c r="C1386" t="s">
        <v>26</v>
      </c>
      <c r="D1386" s="2">
        <v>0.41666666666666702</v>
      </c>
      <c r="E1386" s="2">
        <v>0.54166666666666596</v>
      </c>
    </row>
    <row r="1387" spans="1:6" x14ac:dyDescent="0.3">
      <c r="A1387" t="s">
        <v>281</v>
      </c>
      <c r="B1387" t="s">
        <v>44</v>
      </c>
      <c r="C1387" t="s">
        <v>24</v>
      </c>
      <c r="D1387" s="2"/>
      <c r="E1387" s="2"/>
      <c r="F1387" t="s">
        <v>282</v>
      </c>
    </row>
    <row r="1388" spans="1:6" x14ac:dyDescent="0.3">
      <c r="A1388" t="s">
        <v>281</v>
      </c>
      <c r="B1388" t="s">
        <v>29</v>
      </c>
      <c r="C1388" t="s">
        <v>30</v>
      </c>
      <c r="D1388" s="2"/>
      <c r="E1388" s="2"/>
    </row>
    <row r="1389" spans="1:6" x14ac:dyDescent="0.3">
      <c r="A1389" t="s">
        <v>281</v>
      </c>
      <c r="B1389" s="23" t="s">
        <v>283</v>
      </c>
      <c r="C1389" s="23" t="s">
        <v>24</v>
      </c>
      <c r="D1389" s="24"/>
      <c r="E1389" s="24"/>
      <c r="F1389" s="23" t="s">
        <v>284</v>
      </c>
    </row>
    <row r="1390" spans="1:6" x14ac:dyDescent="0.3">
      <c r="A1390" t="s">
        <v>281</v>
      </c>
      <c r="B1390" s="23" t="s">
        <v>48</v>
      </c>
      <c r="C1390" s="23" t="s">
        <v>24</v>
      </c>
      <c r="D1390" s="24"/>
      <c r="E1390" s="24"/>
      <c r="F1390" s="23" t="s">
        <v>284</v>
      </c>
    </row>
    <row r="1391" spans="1:6" x14ac:dyDescent="0.3">
      <c r="A1391" t="s">
        <v>281</v>
      </c>
      <c r="B1391" s="23" t="s">
        <v>68</v>
      </c>
      <c r="C1391" s="23" t="s">
        <v>24</v>
      </c>
      <c r="D1391" s="24"/>
      <c r="E1391" s="24"/>
      <c r="F1391" s="23" t="s">
        <v>284</v>
      </c>
    </row>
    <row r="1392" spans="1:6" x14ac:dyDescent="0.3">
      <c r="A1392" t="s">
        <v>281</v>
      </c>
      <c r="B1392" s="23" t="s">
        <v>63</v>
      </c>
      <c r="C1392" s="23" t="s">
        <v>24</v>
      </c>
      <c r="D1392" s="24"/>
      <c r="E1392" s="24"/>
      <c r="F1392" s="23" t="s">
        <v>284</v>
      </c>
    </row>
    <row r="1393" spans="1:6" x14ac:dyDescent="0.3">
      <c r="A1393" t="s">
        <v>281</v>
      </c>
      <c r="B1393" s="23" t="s">
        <v>84</v>
      </c>
      <c r="C1393" s="23" t="s">
        <v>43</v>
      </c>
      <c r="D1393" s="2"/>
      <c r="E1393" s="2"/>
      <c r="F1393" s="69"/>
    </row>
    <row r="1394" spans="1:6" x14ac:dyDescent="0.3">
      <c r="A1394" t="s">
        <v>281</v>
      </c>
      <c r="B1394" s="23" t="s">
        <v>52</v>
      </c>
      <c r="C1394" s="23" t="s">
        <v>45</v>
      </c>
      <c r="D1394" s="24"/>
      <c r="E1394" s="24"/>
      <c r="F1394" s="23"/>
    </row>
    <row r="1395" spans="1:6" x14ac:dyDescent="0.3">
      <c r="A1395" t="s">
        <v>281</v>
      </c>
      <c r="B1395" s="23" t="s">
        <v>68</v>
      </c>
      <c r="C1395" s="23" t="s">
        <v>46</v>
      </c>
      <c r="D1395" s="24"/>
      <c r="E1395" s="24"/>
      <c r="F1395" s="23"/>
    </row>
    <row r="1396" spans="1:6" x14ac:dyDescent="0.3">
      <c r="A1396" t="s">
        <v>281</v>
      </c>
      <c r="B1396" s="23" t="s">
        <v>72</v>
      </c>
      <c r="C1396" s="23" t="s">
        <v>18</v>
      </c>
      <c r="D1396" s="2"/>
      <c r="E1396" s="2"/>
    </row>
    <row r="1397" spans="1:6" x14ac:dyDescent="0.3">
      <c r="A1397" t="s">
        <v>281</v>
      </c>
      <c r="B1397" s="23" t="s">
        <v>85</v>
      </c>
      <c r="C1397" s="23" t="s">
        <v>49</v>
      </c>
      <c r="D1397" s="24"/>
      <c r="E1397" s="24"/>
      <c r="F1397" s="23"/>
    </row>
    <row r="1398" spans="1:6" x14ac:dyDescent="0.3">
      <c r="A1398" t="s">
        <v>281</v>
      </c>
      <c r="B1398" s="23" t="s">
        <v>17</v>
      </c>
      <c r="C1398" s="23" t="s">
        <v>51</v>
      </c>
      <c r="D1398" s="24"/>
      <c r="E1398" s="24"/>
      <c r="F1398" s="23"/>
    </row>
    <row r="1399" spans="1:6" x14ac:dyDescent="0.3">
      <c r="A1399" t="s">
        <v>281</v>
      </c>
      <c r="B1399" s="23" t="s">
        <v>47</v>
      </c>
      <c r="C1399" s="23" t="s">
        <v>30</v>
      </c>
      <c r="D1399" s="24"/>
      <c r="E1399" s="24"/>
      <c r="F1399" s="23"/>
    </row>
    <row r="1400" spans="1:6" x14ac:dyDescent="0.3">
      <c r="A1400" t="s">
        <v>285</v>
      </c>
      <c r="B1400" t="s">
        <v>73</v>
      </c>
      <c r="C1400" t="s">
        <v>13</v>
      </c>
      <c r="D1400" s="2"/>
      <c r="E1400" s="2"/>
    </row>
    <row r="1401" spans="1:6" x14ac:dyDescent="0.3">
      <c r="A1401" t="s">
        <v>285</v>
      </c>
      <c r="B1401" t="s">
        <v>37</v>
      </c>
      <c r="C1401" t="s">
        <v>15</v>
      </c>
      <c r="D1401" s="2"/>
      <c r="E1401" s="2"/>
    </row>
    <row r="1402" spans="1:6" x14ac:dyDescent="0.3">
      <c r="A1402" t="s">
        <v>285</v>
      </c>
      <c r="B1402" t="s">
        <v>68</v>
      </c>
      <c r="C1402" t="s">
        <v>8</v>
      </c>
      <c r="D1402" s="2"/>
      <c r="E1402" s="2"/>
    </row>
    <row r="1403" spans="1:6" x14ac:dyDescent="0.3">
      <c r="A1403" t="s">
        <v>285</v>
      </c>
      <c r="B1403" t="s">
        <v>42</v>
      </c>
      <c r="C1403" t="s">
        <v>13</v>
      </c>
      <c r="D1403" s="2"/>
      <c r="E1403" s="2"/>
    </row>
    <row r="1404" spans="1:6" x14ac:dyDescent="0.3">
      <c r="A1404" t="s">
        <v>285</v>
      </c>
      <c r="B1404" t="s">
        <v>103</v>
      </c>
      <c r="C1404" t="s">
        <v>8</v>
      </c>
      <c r="D1404" s="2"/>
      <c r="E1404" s="2"/>
    </row>
    <row r="1405" spans="1:6" x14ac:dyDescent="0.3">
      <c r="A1405" t="s">
        <v>285</v>
      </c>
      <c r="B1405" t="s">
        <v>40</v>
      </c>
      <c r="C1405" t="s">
        <v>10</v>
      </c>
      <c r="D1405" s="2"/>
      <c r="E1405" s="2"/>
    </row>
    <row r="1406" spans="1:6" x14ac:dyDescent="0.3">
      <c r="A1406" t="s">
        <v>285</v>
      </c>
      <c r="B1406" t="s">
        <v>36</v>
      </c>
      <c r="C1406" t="s">
        <v>10</v>
      </c>
      <c r="D1406" s="2"/>
      <c r="E1406" s="2"/>
    </row>
    <row r="1407" spans="1:6" x14ac:dyDescent="0.3">
      <c r="A1407" t="s">
        <v>285</v>
      </c>
      <c r="B1407" t="s">
        <v>79</v>
      </c>
      <c r="C1407" t="s">
        <v>10</v>
      </c>
      <c r="D1407" s="2"/>
      <c r="E1407" s="2"/>
    </row>
    <row r="1408" spans="1:6" x14ac:dyDescent="0.3">
      <c r="A1408" t="s">
        <v>285</v>
      </c>
      <c r="B1408" t="s">
        <v>27</v>
      </c>
      <c r="C1408" t="s">
        <v>10</v>
      </c>
      <c r="D1408" s="2"/>
      <c r="E1408" s="2"/>
    </row>
    <row r="1409" spans="1:6" x14ac:dyDescent="0.3">
      <c r="A1409" t="s">
        <v>285</v>
      </c>
      <c r="B1409" t="s">
        <v>9</v>
      </c>
      <c r="C1409" t="s">
        <v>41</v>
      </c>
      <c r="D1409" s="2"/>
      <c r="E1409" s="2"/>
    </row>
    <row r="1410" spans="1:6" x14ac:dyDescent="0.3">
      <c r="A1410" t="s">
        <v>285</v>
      </c>
      <c r="B1410" t="s">
        <v>80</v>
      </c>
      <c r="C1410" t="s">
        <v>41</v>
      </c>
      <c r="D1410" s="2"/>
      <c r="E1410" s="2"/>
    </row>
    <row r="1411" spans="1:6" x14ac:dyDescent="0.3">
      <c r="A1411" t="s">
        <v>285</v>
      </c>
      <c r="B1411" t="s">
        <v>63</v>
      </c>
      <c r="C1411" t="s">
        <v>55</v>
      </c>
      <c r="D1411" s="2">
        <v>0.83333333333333204</v>
      </c>
      <c r="E1411" s="2">
        <v>0.91666666666666496</v>
      </c>
      <c r="F1411" t="s">
        <v>242</v>
      </c>
    </row>
    <row r="1412" spans="1:6" x14ac:dyDescent="0.3">
      <c r="A1412" t="s">
        <v>285</v>
      </c>
      <c r="B1412" t="s">
        <v>103</v>
      </c>
      <c r="C1412" t="s">
        <v>55</v>
      </c>
      <c r="D1412" s="2">
        <v>0.83333333333333204</v>
      </c>
      <c r="E1412" s="2">
        <v>0.91666666666666496</v>
      </c>
      <c r="F1412" t="s">
        <v>242</v>
      </c>
    </row>
    <row r="1413" spans="1:6" x14ac:dyDescent="0.3">
      <c r="A1413" t="s">
        <v>285</v>
      </c>
      <c r="B1413" t="s">
        <v>66</v>
      </c>
      <c r="C1413" t="s">
        <v>53</v>
      </c>
      <c r="D1413" s="2">
        <v>0.66666666666666596</v>
      </c>
      <c r="E1413" s="2">
        <v>0.70833333333333204</v>
      </c>
      <c r="F1413" t="s">
        <v>286</v>
      </c>
    </row>
    <row r="1414" spans="1:6" x14ac:dyDescent="0.3">
      <c r="A1414" t="s">
        <v>285</v>
      </c>
      <c r="B1414" t="s">
        <v>36</v>
      </c>
      <c r="C1414" t="s">
        <v>53</v>
      </c>
      <c r="D1414" s="2">
        <v>0.66666666666666596</v>
      </c>
      <c r="E1414" s="2">
        <v>0.70833333333333204</v>
      </c>
      <c r="F1414" t="s">
        <v>286</v>
      </c>
    </row>
    <row r="1415" spans="1:6" x14ac:dyDescent="0.3">
      <c r="A1415" t="s">
        <v>285</v>
      </c>
      <c r="B1415" s="23" t="s">
        <v>29</v>
      </c>
      <c r="C1415" s="23" t="s">
        <v>30</v>
      </c>
      <c r="D1415" s="24"/>
      <c r="E1415" s="24"/>
      <c r="F1415" s="23"/>
    </row>
    <row r="1416" spans="1:6" x14ac:dyDescent="0.3">
      <c r="A1416" t="s">
        <v>285</v>
      </c>
      <c r="B1416" s="23" t="s">
        <v>50</v>
      </c>
      <c r="C1416" s="23" t="s">
        <v>26</v>
      </c>
      <c r="D1416" s="24">
        <v>0.79166666666666496</v>
      </c>
      <c r="E1416" s="24">
        <v>0.91666666666666496</v>
      </c>
      <c r="F1416" s="23"/>
    </row>
    <row r="1417" spans="1:6" x14ac:dyDescent="0.3">
      <c r="A1417" t="s">
        <v>285</v>
      </c>
      <c r="B1417" s="23" t="s">
        <v>64</v>
      </c>
      <c r="C1417" s="23" t="s">
        <v>43</v>
      </c>
      <c r="D1417" s="24"/>
      <c r="E1417" s="24"/>
      <c r="F1417" s="23"/>
    </row>
    <row r="1418" spans="1:6" x14ac:dyDescent="0.3">
      <c r="A1418" t="s">
        <v>285</v>
      </c>
      <c r="B1418" s="23" t="s">
        <v>52</v>
      </c>
      <c r="C1418" s="23" t="s">
        <v>45</v>
      </c>
      <c r="D1418" s="24"/>
      <c r="E1418" s="24"/>
      <c r="F1418" s="23"/>
    </row>
    <row r="1419" spans="1:6" x14ac:dyDescent="0.3">
      <c r="A1419" t="s">
        <v>285</v>
      </c>
      <c r="B1419" s="23" t="s">
        <v>14</v>
      </c>
      <c r="C1419" s="23" t="s">
        <v>46</v>
      </c>
      <c r="D1419" s="2"/>
      <c r="E1419" s="2"/>
      <c r="F1419" s="69" t="s">
        <v>287</v>
      </c>
    </row>
    <row r="1420" spans="1:6" x14ac:dyDescent="0.3">
      <c r="A1420" t="s">
        <v>285</v>
      </c>
      <c r="B1420" s="23" t="s">
        <v>94</v>
      </c>
      <c r="C1420" s="23" t="s">
        <v>18</v>
      </c>
      <c r="D1420" s="24"/>
      <c r="E1420" s="24"/>
      <c r="F1420" s="23"/>
    </row>
    <row r="1421" spans="1:6" x14ac:dyDescent="0.3">
      <c r="A1421" t="s">
        <v>285</v>
      </c>
      <c r="B1421" s="23" t="s">
        <v>85</v>
      </c>
      <c r="C1421" s="23" t="s">
        <v>49</v>
      </c>
      <c r="D1421" s="24"/>
      <c r="E1421" s="24"/>
      <c r="F1421" s="23"/>
    </row>
    <row r="1422" spans="1:6" x14ac:dyDescent="0.3">
      <c r="A1422" t="s">
        <v>285</v>
      </c>
      <c r="B1422" s="23" t="s">
        <v>34</v>
      </c>
      <c r="C1422" s="23" t="s">
        <v>51</v>
      </c>
      <c r="D1422" s="2"/>
      <c r="E1422" s="2"/>
    </row>
    <row r="1423" spans="1:6" x14ac:dyDescent="0.3">
      <c r="A1423" t="s">
        <v>285</v>
      </c>
      <c r="B1423" s="23" t="s">
        <v>63</v>
      </c>
      <c r="C1423" s="23" t="s">
        <v>26</v>
      </c>
      <c r="D1423" s="24">
        <v>0.41666666666666702</v>
      </c>
      <c r="E1423" s="24">
        <v>0.54166666666666596</v>
      </c>
      <c r="F1423" s="23"/>
    </row>
    <row r="1424" spans="1:6" x14ac:dyDescent="0.3">
      <c r="A1424" t="s">
        <v>285</v>
      </c>
      <c r="B1424" s="23" t="s">
        <v>23</v>
      </c>
      <c r="C1424" s="23" t="s">
        <v>30</v>
      </c>
      <c r="D1424" s="24"/>
      <c r="E1424" s="24"/>
      <c r="F1424" s="23"/>
    </row>
    <row r="1425" spans="1:6" x14ac:dyDescent="0.3">
      <c r="A1425" t="s">
        <v>285</v>
      </c>
      <c r="B1425" s="23" t="s">
        <v>33</v>
      </c>
      <c r="C1425" s="23" t="s">
        <v>30</v>
      </c>
      <c r="D1425" s="24"/>
      <c r="E1425" s="24"/>
      <c r="F1425" s="23"/>
    </row>
    <row r="1426" spans="1:6" x14ac:dyDescent="0.3">
      <c r="A1426" t="s">
        <v>285</v>
      </c>
      <c r="B1426" s="23" t="s">
        <v>71</v>
      </c>
      <c r="C1426" s="23" t="s">
        <v>26</v>
      </c>
      <c r="D1426" s="24">
        <v>0.79166666666666496</v>
      </c>
      <c r="E1426" s="24">
        <v>0.91666666666666496</v>
      </c>
      <c r="F1426" s="23"/>
    </row>
    <row r="1427" spans="1:6" x14ac:dyDescent="0.3">
      <c r="A1427" t="s">
        <v>288</v>
      </c>
      <c r="B1427" t="s">
        <v>64</v>
      </c>
      <c r="C1427" t="s">
        <v>13</v>
      </c>
      <c r="D1427" s="2"/>
      <c r="E1427" s="2"/>
    </row>
    <row r="1428" spans="1:6" x14ac:dyDescent="0.3">
      <c r="A1428" t="s">
        <v>288</v>
      </c>
      <c r="B1428" s="23" t="s">
        <v>29</v>
      </c>
      <c r="C1428" s="23" t="s">
        <v>8</v>
      </c>
      <c r="D1428" s="24"/>
      <c r="E1428" s="24"/>
      <c r="F1428" s="23"/>
    </row>
    <row r="1429" spans="1:6" x14ac:dyDescent="0.3">
      <c r="A1429" t="s">
        <v>288</v>
      </c>
      <c r="B1429" s="23" t="s">
        <v>34</v>
      </c>
      <c r="C1429" s="23" t="s">
        <v>78</v>
      </c>
      <c r="D1429" s="24"/>
      <c r="E1429" s="24"/>
      <c r="F1429" s="23"/>
    </row>
    <row r="1430" spans="1:6" x14ac:dyDescent="0.3">
      <c r="A1430" t="s">
        <v>288</v>
      </c>
      <c r="B1430" s="23" t="s">
        <v>35</v>
      </c>
      <c r="C1430" s="23" t="s">
        <v>13</v>
      </c>
      <c r="D1430" s="24"/>
      <c r="E1430" s="24"/>
      <c r="F1430" s="23"/>
    </row>
    <row r="1431" spans="1:6" x14ac:dyDescent="0.3">
      <c r="A1431" t="s">
        <v>288</v>
      </c>
      <c r="B1431" s="23" t="s">
        <v>57</v>
      </c>
      <c r="C1431" s="23" t="s">
        <v>8</v>
      </c>
      <c r="D1431" s="24"/>
      <c r="E1431" s="24"/>
      <c r="F1431" s="23"/>
    </row>
    <row r="1432" spans="1:6" x14ac:dyDescent="0.3">
      <c r="A1432" t="s">
        <v>288</v>
      </c>
      <c r="B1432" s="23" t="s">
        <v>9</v>
      </c>
      <c r="C1432" s="23" t="s">
        <v>78</v>
      </c>
      <c r="D1432" s="24"/>
      <c r="E1432" s="24"/>
      <c r="F1432" s="23"/>
    </row>
    <row r="1433" spans="1:6" x14ac:dyDescent="0.3">
      <c r="A1433" t="s">
        <v>288</v>
      </c>
      <c r="B1433" s="23" t="s">
        <v>40</v>
      </c>
      <c r="C1433" s="23" t="s">
        <v>10</v>
      </c>
      <c r="D1433" s="24"/>
      <c r="E1433" s="24"/>
      <c r="F1433" s="23"/>
    </row>
    <row r="1434" spans="1:6" x14ac:dyDescent="0.3">
      <c r="A1434" t="s">
        <v>288</v>
      </c>
      <c r="B1434" s="23" t="s">
        <v>36</v>
      </c>
      <c r="C1434" s="23" t="s">
        <v>10</v>
      </c>
      <c r="D1434" s="24"/>
      <c r="E1434" s="24"/>
      <c r="F1434" s="23"/>
    </row>
    <row r="1435" spans="1:6" x14ac:dyDescent="0.3">
      <c r="A1435" t="s">
        <v>288</v>
      </c>
      <c r="B1435" s="23" t="s">
        <v>79</v>
      </c>
      <c r="C1435" s="23" t="s">
        <v>10</v>
      </c>
      <c r="D1435" s="24"/>
      <c r="E1435" s="24"/>
      <c r="F1435" s="23"/>
    </row>
    <row r="1436" spans="1:6" x14ac:dyDescent="0.3">
      <c r="A1436" t="s">
        <v>288</v>
      </c>
      <c r="B1436" s="23" t="s">
        <v>27</v>
      </c>
      <c r="C1436" s="23" t="s">
        <v>10</v>
      </c>
      <c r="D1436" s="24"/>
      <c r="E1436" s="24"/>
      <c r="F1436" s="23"/>
    </row>
    <row r="1437" spans="1:6" x14ac:dyDescent="0.3">
      <c r="A1437" t="s">
        <v>288</v>
      </c>
      <c r="B1437" s="23" t="s">
        <v>12</v>
      </c>
      <c r="C1437" s="23" t="s">
        <v>53</v>
      </c>
      <c r="D1437" s="24">
        <v>0.33333333333333298</v>
      </c>
      <c r="E1437" s="24">
        <v>0.5</v>
      </c>
      <c r="F1437" s="23" t="s">
        <v>159</v>
      </c>
    </row>
    <row r="1438" spans="1:6" x14ac:dyDescent="0.3">
      <c r="A1438" t="s">
        <v>289</v>
      </c>
      <c r="B1438" t="s">
        <v>34</v>
      </c>
      <c r="C1438" t="s">
        <v>13</v>
      </c>
      <c r="D1438" s="2"/>
      <c r="E1438" s="2"/>
    </row>
    <row r="1439" spans="1:6" x14ac:dyDescent="0.3">
      <c r="A1439" t="s">
        <v>289</v>
      </c>
      <c r="B1439" s="23" t="s">
        <v>64</v>
      </c>
      <c r="C1439" s="23" t="s">
        <v>8</v>
      </c>
      <c r="D1439" s="24"/>
      <c r="E1439" s="24"/>
      <c r="F1439" s="23"/>
    </row>
    <row r="1440" spans="1:6" x14ac:dyDescent="0.3">
      <c r="A1440" t="s">
        <v>289</v>
      </c>
      <c r="B1440" s="23" t="s">
        <v>29</v>
      </c>
      <c r="C1440" s="23" t="s">
        <v>78</v>
      </c>
      <c r="D1440" s="24"/>
      <c r="E1440" s="24"/>
      <c r="F1440" s="23"/>
    </row>
    <row r="1441" spans="1:6" x14ac:dyDescent="0.3">
      <c r="A1441" t="s">
        <v>289</v>
      </c>
      <c r="B1441" s="23" t="s">
        <v>35</v>
      </c>
      <c r="C1441" s="23" t="s">
        <v>13</v>
      </c>
      <c r="D1441" s="24"/>
      <c r="E1441" s="24"/>
      <c r="F1441" s="23"/>
    </row>
    <row r="1442" spans="1:6" x14ac:dyDescent="0.3">
      <c r="A1442" t="s">
        <v>289</v>
      </c>
      <c r="B1442" s="23" t="s">
        <v>57</v>
      </c>
      <c r="C1442" s="23" t="s">
        <v>8</v>
      </c>
      <c r="D1442" s="24"/>
      <c r="E1442" s="24"/>
      <c r="F1442" s="23"/>
    </row>
    <row r="1443" spans="1:6" x14ac:dyDescent="0.3">
      <c r="A1443" t="s">
        <v>289</v>
      </c>
      <c r="B1443" s="23" t="s">
        <v>9</v>
      </c>
      <c r="C1443" s="23" t="s">
        <v>78</v>
      </c>
      <c r="D1443" s="24"/>
      <c r="E1443" s="24"/>
      <c r="F1443" s="23"/>
    </row>
    <row r="1444" spans="1:6" x14ac:dyDescent="0.3">
      <c r="A1444" t="s">
        <v>290</v>
      </c>
      <c r="B1444" t="s">
        <v>12</v>
      </c>
      <c r="C1444" t="s">
        <v>13</v>
      </c>
      <c r="D1444" s="2"/>
      <c r="E1444" s="2"/>
    </row>
    <row r="1445" spans="1:6" x14ac:dyDescent="0.3">
      <c r="A1445" t="s">
        <v>290</v>
      </c>
      <c r="B1445" t="s">
        <v>44</v>
      </c>
      <c r="C1445" t="s">
        <v>8</v>
      </c>
      <c r="D1445" s="2"/>
      <c r="E1445" s="2"/>
    </row>
    <row r="1446" spans="1:6" x14ac:dyDescent="0.3">
      <c r="A1446" t="s">
        <v>290</v>
      </c>
      <c r="B1446" t="s">
        <v>17</v>
      </c>
      <c r="C1446" t="s">
        <v>78</v>
      </c>
      <c r="D1446" s="2"/>
      <c r="E1446" s="2"/>
    </row>
    <row r="1447" spans="1:6" x14ac:dyDescent="0.3">
      <c r="A1447" t="s">
        <v>290</v>
      </c>
      <c r="B1447" t="s">
        <v>69</v>
      </c>
      <c r="C1447" t="s">
        <v>13</v>
      </c>
      <c r="D1447" s="2"/>
      <c r="E1447" s="2"/>
    </row>
    <row r="1448" spans="1:6" x14ac:dyDescent="0.3">
      <c r="A1448" t="s">
        <v>290</v>
      </c>
      <c r="B1448" t="s">
        <v>112</v>
      </c>
      <c r="C1448" t="s">
        <v>8</v>
      </c>
      <c r="D1448" s="2"/>
      <c r="E1448" s="2"/>
    </row>
    <row r="1449" spans="1:6" x14ac:dyDescent="0.3">
      <c r="A1449" t="s">
        <v>290</v>
      </c>
      <c r="B1449" t="s">
        <v>96</v>
      </c>
      <c r="C1449" t="s">
        <v>78</v>
      </c>
      <c r="D1449" s="2"/>
      <c r="E1449" s="2"/>
    </row>
    <row r="1450" spans="1:6" x14ac:dyDescent="0.3">
      <c r="A1450" t="s">
        <v>290</v>
      </c>
      <c r="B1450" t="s">
        <v>40</v>
      </c>
      <c r="C1450" t="s">
        <v>10</v>
      </c>
      <c r="D1450" s="2"/>
      <c r="E1450" s="2"/>
    </row>
    <row r="1451" spans="1:6" x14ac:dyDescent="0.3">
      <c r="A1451" t="s">
        <v>290</v>
      </c>
      <c r="B1451" t="s">
        <v>36</v>
      </c>
      <c r="C1451" t="s">
        <v>10</v>
      </c>
      <c r="D1451" s="2"/>
      <c r="E1451" s="2"/>
    </row>
    <row r="1452" spans="1:6" x14ac:dyDescent="0.3">
      <c r="A1452" t="s">
        <v>290</v>
      </c>
      <c r="B1452" t="s">
        <v>79</v>
      </c>
      <c r="C1452" t="s">
        <v>10</v>
      </c>
      <c r="D1452" s="2"/>
      <c r="E1452" s="2"/>
    </row>
    <row r="1453" spans="1:6" x14ac:dyDescent="0.3">
      <c r="A1453" t="s">
        <v>290</v>
      </c>
      <c r="B1453" t="s">
        <v>27</v>
      </c>
      <c r="C1453" t="s">
        <v>10</v>
      </c>
      <c r="D1453" s="2"/>
      <c r="E1453" s="2"/>
    </row>
    <row r="1454" spans="1:6" x14ac:dyDescent="0.3">
      <c r="A1454" t="s">
        <v>290</v>
      </c>
      <c r="B1454" t="s">
        <v>249</v>
      </c>
      <c r="C1454" t="s">
        <v>24</v>
      </c>
      <c r="D1454" s="2"/>
      <c r="E1454" s="2"/>
      <c r="F1454" t="s">
        <v>291</v>
      </c>
    </row>
    <row r="1455" spans="1:6" x14ac:dyDescent="0.3">
      <c r="A1455" t="s">
        <v>292</v>
      </c>
      <c r="B1455" t="s">
        <v>64</v>
      </c>
      <c r="C1455" t="s">
        <v>13</v>
      </c>
      <c r="D1455" s="2"/>
      <c r="E1455" s="2"/>
    </row>
    <row r="1456" spans="1:6" x14ac:dyDescent="0.3">
      <c r="A1456" t="s">
        <v>292</v>
      </c>
      <c r="B1456" t="s">
        <v>32</v>
      </c>
      <c r="C1456" t="s">
        <v>15</v>
      </c>
      <c r="D1456" s="2"/>
      <c r="E1456" s="2"/>
    </row>
    <row r="1457" spans="1:6" x14ac:dyDescent="0.3">
      <c r="A1457" t="s">
        <v>292</v>
      </c>
      <c r="B1457" t="s">
        <v>47</v>
      </c>
      <c r="C1457" t="s">
        <v>8</v>
      </c>
      <c r="D1457" s="2"/>
      <c r="E1457" s="2"/>
    </row>
    <row r="1458" spans="1:6" x14ac:dyDescent="0.3">
      <c r="A1458" t="s">
        <v>292</v>
      </c>
      <c r="B1458" t="s">
        <v>149</v>
      </c>
      <c r="C1458" t="s">
        <v>13</v>
      </c>
      <c r="D1458" s="2"/>
      <c r="E1458" s="2"/>
    </row>
    <row r="1459" spans="1:6" x14ac:dyDescent="0.3">
      <c r="A1459" t="s">
        <v>292</v>
      </c>
      <c r="B1459" t="s">
        <v>103</v>
      </c>
      <c r="C1459" t="s">
        <v>8</v>
      </c>
      <c r="D1459" s="2"/>
      <c r="E1459" s="2"/>
    </row>
    <row r="1460" spans="1:6" x14ac:dyDescent="0.3">
      <c r="A1460" t="s">
        <v>292</v>
      </c>
      <c r="B1460" t="s">
        <v>40</v>
      </c>
      <c r="C1460" t="s">
        <v>10</v>
      </c>
      <c r="D1460" s="2"/>
      <c r="E1460" s="2"/>
    </row>
    <row r="1461" spans="1:6" x14ac:dyDescent="0.3">
      <c r="A1461" t="s">
        <v>292</v>
      </c>
      <c r="B1461" t="s">
        <v>36</v>
      </c>
      <c r="C1461" t="s">
        <v>10</v>
      </c>
      <c r="D1461" s="2"/>
      <c r="E1461" s="2"/>
    </row>
    <row r="1462" spans="1:6" x14ac:dyDescent="0.3">
      <c r="A1462" t="s">
        <v>292</v>
      </c>
      <c r="B1462" t="s">
        <v>79</v>
      </c>
      <c r="C1462" t="s">
        <v>10</v>
      </c>
      <c r="D1462" s="2"/>
      <c r="E1462" s="2"/>
    </row>
    <row r="1463" spans="1:6" x14ac:dyDescent="0.3">
      <c r="A1463" t="s">
        <v>292</v>
      </c>
      <c r="B1463" t="s">
        <v>27</v>
      </c>
      <c r="C1463" t="s">
        <v>10</v>
      </c>
      <c r="D1463" s="2"/>
      <c r="E1463" s="2"/>
    </row>
    <row r="1464" spans="1:6" x14ac:dyDescent="0.3">
      <c r="A1464" t="s">
        <v>292</v>
      </c>
      <c r="B1464" t="s">
        <v>69</v>
      </c>
      <c r="C1464" t="s">
        <v>41</v>
      </c>
      <c r="D1464" s="2"/>
      <c r="E1464" s="2"/>
    </row>
    <row r="1465" spans="1:6" x14ac:dyDescent="0.3">
      <c r="A1465" t="s">
        <v>292</v>
      </c>
      <c r="B1465" t="s">
        <v>112</v>
      </c>
      <c r="C1465" t="s">
        <v>41</v>
      </c>
      <c r="D1465" s="2"/>
      <c r="E1465" s="2"/>
    </row>
    <row r="1466" spans="1:6" x14ac:dyDescent="0.3">
      <c r="A1466" t="s">
        <v>292</v>
      </c>
      <c r="B1466" t="s">
        <v>96</v>
      </c>
      <c r="C1466" t="s">
        <v>41</v>
      </c>
      <c r="D1466" s="2"/>
      <c r="E1466" s="2"/>
    </row>
    <row r="1467" spans="1:6" x14ac:dyDescent="0.3">
      <c r="A1467" t="s">
        <v>292</v>
      </c>
      <c r="B1467" t="s">
        <v>50</v>
      </c>
      <c r="C1467" t="s">
        <v>26</v>
      </c>
      <c r="D1467" s="2">
        <v>0.66666666666666596</v>
      </c>
      <c r="E1467" s="2">
        <v>0.79166666666666496</v>
      </c>
    </row>
    <row r="1468" spans="1:6" x14ac:dyDescent="0.3">
      <c r="A1468" t="s">
        <v>292</v>
      </c>
      <c r="B1468" t="s">
        <v>142</v>
      </c>
      <c r="C1468" t="s">
        <v>43</v>
      </c>
      <c r="D1468" s="2"/>
      <c r="E1468" s="2"/>
    </row>
    <row r="1469" spans="1:6" x14ac:dyDescent="0.3">
      <c r="A1469" t="s">
        <v>292</v>
      </c>
      <c r="B1469" t="s">
        <v>44</v>
      </c>
      <c r="C1469" t="s">
        <v>45</v>
      </c>
      <c r="D1469" s="2"/>
      <c r="E1469" s="2"/>
    </row>
    <row r="1470" spans="1:6" x14ac:dyDescent="0.3">
      <c r="A1470" t="s">
        <v>292</v>
      </c>
      <c r="B1470" s="23" t="s">
        <v>21</v>
      </c>
      <c r="C1470" s="23" t="s">
        <v>46</v>
      </c>
      <c r="D1470" s="24"/>
      <c r="E1470" s="24"/>
      <c r="F1470" s="23"/>
    </row>
    <row r="1471" spans="1:6" x14ac:dyDescent="0.3">
      <c r="A1471" t="s">
        <v>292</v>
      </c>
      <c r="B1471" s="23" t="s">
        <v>72</v>
      </c>
      <c r="C1471" s="23" t="s">
        <v>18</v>
      </c>
      <c r="D1471" s="24"/>
      <c r="E1471" s="24"/>
      <c r="F1471" s="23"/>
    </row>
    <row r="1472" spans="1:6" x14ac:dyDescent="0.3">
      <c r="A1472" t="s">
        <v>292</v>
      </c>
      <c r="B1472" s="23" t="s">
        <v>71</v>
      </c>
      <c r="C1472" t="s">
        <v>49</v>
      </c>
      <c r="D1472" s="2"/>
      <c r="E1472" s="2"/>
    </row>
    <row r="1473" spans="1:6" x14ac:dyDescent="0.3">
      <c r="A1473" t="s">
        <v>292</v>
      </c>
      <c r="B1473" s="23" t="s">
        <v>50</v>
      </c>
      <c r="C1473" t="s">
        <v>51</v>
      </c>
      <c r="D1473" s="2"/>
      <c r="E1473" s="2"/>
    </row>
    <row r="1474" spans="1:6" x14ac:dyDescent="0.3">
      <c r="A1474" t="s">
        <v>292</v>
      </c>
      <c r="B1474" s="23" t="s">
        <v>23</v>
      </c>
      <c r="C1474" t="s">
        <v>53</v>
      </c>
      <c r="D1474" s="2">
        <v>0.29166666666666669</v>
      </c>
      <c r="E1474" s="2">
        <v>0.54166666666666596</v>
      </c>
      <c r="F1474" t="s">
        <v>293</v>
      </c>
    </row>
    <row r="1475" spans="1:6" x14ac:dyDescent="0.3">
      <c r="A1475" t="s">
        <v>292</v>
      </c>
      <c r="B1475" s="23" t="s">
        <v>9</v>
      </c>
      <c r="C1475" t="s">
        <v>24</v>
      </c>
      <c r="D1475" s="2">
        <v>0.54166666666666596</v>
      </c>
      <c r="E1475" s="2">
        <v>0.624999999999999</v>
      </c>
      <c r="F1475" t="s">
        <v>294</v>
      </c>
    </row>
    <row r="1476" spans="1:6" x14ac:dyDescent="0.3">
      <c r="A1476" t="s">
        <v>292</v>
      </c>
      <c r="B1476" s="23" t="s">
        <v>80</v>
      </c>
      <c r="C1476" t="s">
        <v>24</v>
      </c>
      <c r="D1476" s="2">
        <v>0.54166666666666596</v>
      </c>
      <c r="E1476" s="2">
        <v>0.624999999999999</v>
      </c>
      <c r="F1476" t="s">
        <v>294</v>
      </c>
    </row>
    <row r="1477" spans="1:6" x14ac:dyDescent="0.3">
      <c r="A1477" t="s">
        <v>292</v>
      </c>
      <c r="B1477" s="23" t="s">
        <v>37</v>
      </c>
      <c r="C1477" s="23" t="s">
        <v>55</v>
      </c>
      <c r="D1477" s="24">
        <v>0.29166666666666669</v>
      </c>
      <c r="E1477" s="24">
        <v>0.33333333333333298</v>
      </c>
      <c r="F1477" s="23" t="s">
        <v>295</v>
      </c>
    </row>
    <row r="1478" spans="1:6" x14ac:dyDescent="0.3">
      <c r="A1478" t="s">
        <v>292</v>
      </c>
      <c r="B1478" s="23" t="s">
        <v>47</v>
      </c>
      <c r="C1478" s="23" t="s">
        <v>53</v>
      </c>
      <c r="D1478" s="24">
        <v>0.749999999999999</v>
      </c>
      <c r="E1478" s="24">
        <v>0.91666666666666496</v>
      </c>
      <c r="F1478" s="23"/>
    </row>
    <row r="1479" spans="1:6" x14ac:dyDescent="0.3">
      <c r="A1479" t="s">
        <v>292</v>
      </c>
      <c r="B1479" s="23" t="s">
        <v>33</v>
      </c>
      <c r="C1479" s="23" t="s">
        <v>53</v>
      </c>
      <c r="D1479" s="24">
        <v>0.749999999999999</v>
      </c>
      <c r="E1479" s="24">
        <v>0.91666666666666496</v>
      </c>
      <c r="F1479" s="23"/>
    </row>
    <row r="1480" spans="1:6" x14ac:dyDescent="0.3">
      <c r="A1480" t="s">
        <v>296</v>
      </c>
      <c r="B1480" t="s">
        <v>29</v>
      </c>
      <c r="C1480" t="s">
        <v>13</v>
      </c>
      <c r="D1480" s="2"/>
      <c r="E1480" s="2"/>
    </row>
    <row r="1481" spans="1:6" x14ac:dyDescent="0.3">
      <c r="A1481" t="s">
        <v>296</v>
      </c>
      <c r="B1481" s="23" t="s">
        <v>37</v>
      </c>
      <c r="C1481" s="23" t="s">
        <v>8</v>
      </c>
      <c r="D1481" s="24"/>
      <c r="E1481" s="24"/>
      <c r="F1481" s="23"/>
    </row>
    <row r="1482" spans="1:6" x14ac:dyDescent="0.3">
      <c r="A1482" t="s">
        <v>296</v>
      </c>
      <c r="B1482" s="23" t="s">
        <v>66</v>
      </c>
      <c r="C1482" s="23" t="s">
        <v>78</v>
      </c>
      <c r="D1482" s="24"/>
      <c r="E1482" s="24"/>
      <c r="F1482" s="23"/>
    </row>
    <row r="1483" spans="1:6" x14ac:dyDescent="0.3">
      <c r="A1483" t="s">
        <v>296</v>
      </c>
      <c r="B1483" s="23" t="s">
        <v>97</v>
      </c>
      <c r="C1483" t="s">
        <v>13</v>
      </c>
      <c r="D1483" s="24"/>
      <c r="E1483" s="24"/>
      <c r="F1483" s="23"/>
    </row>
    <row r="1484" spans="1:6" x14ac:dyDescent="0.3">
      <c r="A1484" t="s">
        <v>296</v>
      </c>
      <c r="B1484" s="23" t="s">
        <v>60</v>
      </c>
      <c r="C1484" s="23" t="s">
        <v>8</v>
      </c>
      <c r="D1484" s="24"/>
      <c r="E1484" s="24"/>
      <c r="F1484" s="23"/>
    </row>
    <row r="1485" spans="1:6" x14ac:dyDescent="0.3">
      <c r="A1485" t="s">
        <v>296</v>
      </c>
      <c r="B1485" s="23" t="s">
        <v>103</v>
      </c>
      <c r="C1485" s="23" t="s">
        <v>78</v>
      </c>
      <c r="D1485" s="24"/>
      <c r="E1485" s="24"/>
      <c r="F1485" s="23"/>
    </row>
    <row r="1486" spans="1:6" x14ac:dyDescent="0.3">
      <c r="A1486" t="s">
        <v>296</v>
      </c>
      <c r="B1486" s="23" t="s">
        <v>40</v>
      </c>
      <c r="C1486" s="23" t="s">
        <v>10</v>
      </c>
      <c r="D1486" s="24"/>
      <c r="E1486" s="24"/>
      <c r="F1486" s="23"/>
    </row>
    <row r="1487" spans="1:6" x14ac:dyDescent="0.3">
      <c r="A1487" t="s">
        <v>296</v>
      </c>
      <c r="B1487" s="23" t="s">
        <v>36</v>
      </c>
      <c r="C1487" s="23" t="s">
        <v>10</v>
      </c>
      <c r="D1487" s="24"/>
      <c r="E1487" s="24"/>
      <c r="F1487" s="23"/>
    </row>
    <row r="1488" spans="1:6" x14ac:dyDescent="0.3">
      <c r="A1488" t="s">
        <v>296</v>
      </c>
      <c r="B1488" s="23" t="s">
        <v>79</v>
      </c>
      <c r="C1488" s="23" t="s">
        <v>10</v>
      </c>
      <c r="D1488" s="24"/>
      <c r="E1488" s="24"/>
      <c r="F1488" s="23"/>
    </row>
    <row r="1489" spans="1:6" x14ac:dyDescent="0.3">
      <c r="A1489" t="s">
        <v>296</v>
      </c>
      <c r="B1489" s="23" t="s">
        <v>27</v>
      </c>
      <c r="C1489" s="23" t="s">
        <v>10</v>
      </c>
      <c r="D1489" s="2"/>
      <c r="E1489" s="2"/>
    </row>
    <row r="1490" spans="1:6" x14ac:dyDescent="0.3">
      <c r="A1490" t="s">
        <v>297</v>
      </c>
      <c r="B1490" t="s">
        <v>66</v>
      </c>
      <c r="C1490" t="s">
        <v>13</v>
      </c>
      <c r="D1490" s="2"/>
      <c r="E1490" s="2"/>
    </row>
    <row r="1491" spans="1:6" x14ac:dyDescent="0.3">
      <c r="A1491" t="s">
        <v>297</v>
      </c>
      <c r="B1491" s="23" t="s">
        <v>29</v>
      </c>
      <c r="C1491" s="23" t="s">
        <v>8</v>
      </c>
      <c r="D1491" s="24"/>
      <c r="E1491" s="24"/>
      <c r="F1491" s="23"/>
    </row>
    <row r="1492" spans="1:6" x14ac:dyDescent="0.3">
      <c r="A1492" t="s">
        <v>297</v>
      </c>
      <c r="B1492" s="23" t="s">
        <v>37</v>
      </c>
      <c r="C1492" s="23" t="s">
        <v>78</v>
      </c>
      <c r="D1492" s="24"/>
      <c r="E1492" s="24"/>
      <c r="F1492" s="23"/>
    </row>
    <row r="1493" spans="1:6" x14ac:dyDescent="0.3">
      <c r="A1493" t="s">
        <v>297</v>
      </c>
      <c r="B1493" s="23" t="s">
        <v>97</v>
      </c>
      <c r="C1493" t="s">
        <v>13</v>
      </c>
      <c r="D1493" s="24"/>
      <c r="E1493" s="24"/>
      <c r="F1493" s="23"/>
    </row>
    <row r="1494" spans="1:6" x14ac:dyDescent="0.3">
      <c r="A1494" t="s">
        <v>297</v>
      </c>
      <c r="B1494" s="23" t="s">
        <v>60</v>
      </c>
      <c r="C1494" s="23" t="s">
        <v>8</v>
      </c>
      <c r="D1494" s="24"/>
      <c r="E1494" s="24"/>
      <c r="F1494" s="23"/>
    </row>
    <row r="1495" spans="1:6" x14ac:dyDescent="0.3">
      <c r="A1495" t="s">
        <v>297</v>
      </c>
      <c r="B1495" s="23" t="s">
        <v>103</v>
      </c>
      <c r="C1495" s="23" t="s">
        <v>78</v>
      </c>
      <c r="D1495" s="24"/>
      <c r="E1495" s="24"/>
      <c r="F1495" s="23"/>
    </row>
    <row r="1496" spans="1:6" x14ac:dyDescent="0.3">
      <c r="A1496" t="s">
        <v>298</v>
      </c>
      <c r="B1496" t="s">
        <v>44</v>
      </c>
      <c r="C1496" t="s">
        <v>13</v>
      </c>
      <c r="D1496" s="2"/>
      <c r="E1496" s="2"/>
    </row>
    <row r="1497" spans="1:6" x14ac:dyDescent="0.3">
      <c r="A1497" t="s">
        <v>298</v>
      </c>
      <c r="B1497" t="s">
        <v>52</v>
      </c>
      <c r="C1497" t="s">
        <v>15</v>
      </c>
      <c r="D1497" s="2"/>
      <c r="E1497" s="2"/>
    </row>
    <row r="1498" spans="1:6" x14ac:dyDescent="0.3">
      <c r="A1498" t="s">
        <v>298</v>
      </c>
      <c r="B1498" t="s">
        <v>73</v>
      </c>
      <c r="C1498" t="s">
        <v>8</v>
      </c>
      <c r="D1498" s="2"/>
      <c r="E1498" s="2"/>
    </row>
    <row r="1499" spans="1:6" x14ac:dyDescent="0.3">
      <c r="A1499" t="s">
        <v>298</v>
      </c>
      <c r="B1499" t="s">
        <v>9</v>
      </c>
      <c r="C1499" t="s">
        <v>13</v>
      </c>
      <c r="D1499" s="2"/>
      <c r="E1499" s="2"/>
    </row>
    <row r="1500" spans="1:6" x14ac:dyDescent="0.3">
      <c r="A1500" t="s">
        <v>298</v>
      </c>
      <c r="B1500" t="s">
        <v>60</v>
      </c>
      <c r="C1500" t="s">
        <v>8</v>
      </c>
      <c r="D1500" s="2"/>
      <c r="E1500" s="2"/>
    </row>
    <row r="1501" spans="1:6" x14ac:dyDescent="0.3">
      <c r="A1501" t="s">
        <v>298</v>
      </c>
      <c r="B1501" t="s">
        <v>40</v>
      </c>
      <c r="C1501" t="s">
        <v>10</v>
      </c>
      <c r="D1501" s="2"/>
      <c r="E1501" s="2"/>
    </row>
    <row r="1502" spans="1:6" x14ac:dyDescent="0.3">
      <c r="A1502" t="s">
        <v>298</v>
      </c>
      <c r="B1502" t="s">
        <v>36</v>
      </c>
      <c r="C1502" t="s">
        <v>10</v>
      </c>
      <c r="D1502" s="2"/>
      <c r="E1502" s="2"/>
    </row>
    <row r="1503" spans="1:6" x14ac:dyDescent="0.3">
      <c r="A1503" t="s">
        <v>298</v>
      </c>
      <c r="B1503" t="s">
        <v>79</v>
      </c>
      <c r="C1503" t="s">
        <v>10</v>
      </c>
      <c r="D1503" s="2"/>
      <c r="E1503" s="2"/>
    </row>
    <row r="1504" spans="1:6" x14ac:dyDescent="0.3">
      <c r="A1504" t="s">
        <v>298</v>
      </c>
      <c r="B1504" t="s">
        <v>27</v>
      </c>
      <c r="C1504" t="s">
        <v>10</v>
      </c>
      <c r="D1504" s="2"/>
      <c r="E1504" s="2"/>
    </row>
    <row r="1505" spans="1:6" x14ac:dyDescent="0.3">
      <c r="A1505" t="s">
        <v>298</v>
      </c>
      <c r="B1505" t="s">
        <v>149</v>
      </c>
      <c r="C1505" t="s">
        <v>41</v>
      </c>
      <c r="D1505" s="2"/>
      <c r="E1505" s="2"/>
    </row>
    <row r="1506" spans="1:6" x14ac:dyDescent="0.3">
      <c r="A1506" t="s">
        <v>298</v>
      </c>
      <c r="B1506" t="s">
        <v>103</v>
      </c>
      <c r="C1506" t="s">
        <v>41</v>
      </c>
      <c r="D1506" s="2"/>
      <c r="E1506" s="2"/>
    </row>
    <row r="1507" spans="1:6" x14ac:dyDescent="0.3">
      <c r="A1507" t="s">
        <v>298</v>
      </c>
      <c r="B1507" t="s">
        <v>34</v>
      </c>
      <c r="C1507" t="s">
        <v>26</v>
      </c>
      <c r="D1507" s="2">
        <v>0.66666666666666596</v>
      </c>
      <c r="E1507" s="2">
        <v>0.79166666666666496</v>
      </c>
    </row>
    <row r="1508" spans="1:6" x14ac:dyDescent="0.3">
      <c r="A1508" t="s">
        <v>298</v>
      </c>
      <c r="B1508" t="s">
        <v>34</v>
      </c>
      <c r="C1508" t="s">
        <v>26</v>
      </c>
      <c r="D1508" s="2">
        <v>0.79166666666666496</v>
      </c>
      <c r="E1508" s="2">
        <v>0.91666666666666496</v>
      </c>
    </row>
    <row r="1509" spans="1:6" x14ac:dyDescent="0.3">
      <c r="A1509" t="s">
        <v>298</v>
      </c>
      <c r="B1509" t="s">
        <v>29</v>
      </c>
      <c r="C1509" t="s">
        <v>43</v>
      </c>
      <c r="D1509" s="2"/>
      <c r="E1509" s="2"/>
    </row>
    <row r="1510" spans="1:6" x14ac:dyDescent="0.3">
      <c r="A1510" t="s">
        <v>298</v>
      </c>
      <c r="B1510" t="s">
        <v>23</v>
      </c>
      <c r="C1510" t="s">
        <v>45</v>
      </c>
      <c r="D1510" s="2"/>
      <c r="E1510" s="2"/>
    </row>
    <row r="1511" spans="1:6" x14ac:dyDescent="0.3">
      <c r="A1511" t="s">
        <v>298</v>
      </c>
      <c r="B1511" s="23" t="s">
        <v>16</v>
      </c>
      <c r="C1511" s="23" t="s">
        <v>46</v>
      </c>
      <c r="D1511" s="24"/>
      <c r="E1511" s="24"/>
      <c r="F1511" s="23"/>
    </row>
    <row r="1512" spans="1:6" x14ac:dyDescent="0.3">
      <c r="A1512" t="s">
        <v>298</v>
      </c>
      <c r="B1512" s="23" t="s">
        <v>47</v>
      </c>
      <c r="C1512" s="23" t="s">
        <v>18</v>
      </c>
      <c r="D1512" s="24"/>
      <c r="E1512" s="24"/>
      <c r="F1512" s="23"/>
    </row>
    <row r="1513" spans="1:6" x14ac:dyDescent="0.3">
      <c r="A1513" t="s">
        <v>298</v>
      </c>
      <c r="B1513" s="23" t="s">
        <v>71</v>
      </c>
      <c r="C1513" t="s">
        <v>49</v>
      </c>
      <c r="D1513" s="2"/>
      <c r="E1513" s="2"/>
    </row>
    <row r="1514" spans="1:6" x14ac:dyDescent="0.3">
      <c r="A1514" t="s">
        <v>298</v>
      </c>
      <c r="B1514" s="23" t="s">
        <v>75</v>
      </c>
      <c r="C1514" t="s">
        <v>51</v>
      </c>
      <c r="D1514" s="2"/>
      <c r="E1514" s="2"/>
    </row>
    <row r="1515" spans="1:6" x14ac:dyDescent="0.3">
      <c r="A1515" t="s">
        <v>298</v>
      </c>
      <c r="B1515" s="23" t="s">
        <v>33</v>
      </c>
      <c r="C1515" t="s">
        <v>124</v>
      </c>
      <c r="D1515" s="2">
        <v>0.83333333333333204</v>
      </c>
      <c r="E1515" s="2">
        <v>0.91666666666666496</v>
      </c>
      <c r="F1515" t="s">
        <v>299</v>
      </c>
    </row>
    <row r="1516" spans="1:6" x14ac:dyDescent="0.3">
      <c r="A1516" t="s">
        <v>298</v>
      </c>
      <c r="B1516" s="23" t="s">
        <v>149</v>
      </c>
      <c r="C1516" t="s">
        <v>55</v>
      </c>
      <c r="D1516" s="2">
        <v>0.66666666666666596</v>
      </c>
      <c r="E1516" s="2">
        <v>0.687499999999999</v>
      </c>
      <c r="F1516" t="s">
        <v>300</v>
      </c>
    </row>
    <row r="1517" spans="1:6" x14ac:dyDescent="0.3">
      <c r="A1517" t="s">
        <v>298</v>
      </c>
      <c r="B1517" s="23" t="s">
        <v>42</v>
      </c>
      <c r="C1517" t="s">
        <v>55</v>
      </c>
      <c r="D1517" s="2">
        <v>0.70833333333333204</v>
      </c>
      <c r="E1517" s="2">
        <v>0.72916666666666496</v>
      </c>
      <c r="F1517" t="s">
        <v>301</v>
      </c>
    </row>
    <row r="1518" spans="1:6" x14ac:dyDescent="0.3">
      <c r="A1518" t="s">
        <v>298</v>
      </c>
      <c r="B1518" s="23" t="s">
        <v>40</v>
      </c>
      <c r="C1518" s="23" t="s">
        <v>55</v>
      </c>
      <c r="D1518" s="24">
        <v>0.749999999999999</v>
      </c>
      <c r="E1518" s="24">
        <v>0.77083333333333204</v>
      </c>
      <c r="F1518" t="s">
        <v>302</v>
      </c>
    </row>
    <row r="1519" spans="1:6" x14ac:dyDescent="0.3">
      <c r="A1519" t="s">
        <v>298</v>
      </c>
      <c r="B1519" s="23" t="s">
        <v>23</v>
      </c>
      <c r="C1519" s="23" t="s">
        <v>22</v>
      </c>
      <c r="D1519" s="24">
        <v>0.33333333333333298</v>
      </c>
      <c r="E1519" s="24">
        <v>0.54166666666666596</v>
      </c>
      <c r="F1519" s="23"/>
    </row>
    <row r="1520" spans="1:6" x14ac:dyDescent="0.3">
      <c r="A1520" t="s">
        <v>298</v>
      </c>
      <c r="B1520" s="23" t="s">
        <v>73</v>
      </c>
      <c r="C1520" s="23" t="s">
        <v>53</v>
      </c>
      <c r="D1520" s="24">
        <v>0.45833333333333298</v>
      </c>
      <c r="E1520" s="24">
        <v>0.54166666666666596</v>
      </c>
      <c r="F1520" s="23" t="s">
        <v>303</v>
      </c>
    </row>
    <row r="1521" spans="1:6" x14ac:dyDescent="0.3">
      <c r="A1521" t="s">
        <v>298</v>
      </c>
      <c r="B1521" s="23" t="s">
        <v>75</v>
      </c>
      <c r="C1521" s="23" t="s">
        <v>26</v>
      </c>
      <c r="D1521" s="24">
        <v>0.79166666666666496</v>
      </c>
      <c r="E1521" s="24">
        <v>0.91666666666666496</v>
      </c>
      <c r="F1521" s="23"/>
    </row>
    <row r="1522" spans="1:6" x14ac:dyDescent="0.3">
      <c r="A1522" t="s">
        <v>298</v>
      </c>
      <c r="B1522" s="23" t="s">
        <v>12</v>
      </c>
      <c r="C1522" s="23" t="s">
        <v>26</v>
      </c>
      <c r="D1522" s="24">
        <v>0.79166666666666496</v>
      </c>
      <c r="E1522" s="24">
        <v>0.91666666666666496</v>
      </c>
      <c r="F1522" s="23"/>
    </row>
    <row r="1523" spans="1:6" x14ac:dyDescent="0.3">
      <c r="A1523" t="s">
        <v>298</v>
      </c>
      <c r="B1523" s="23" t="s">
        <v>33</v>
      </c>
      <c r="C1523" s="23" t="s">
        <v>26</v>
      </c>
      <c r="D1523" s="24">
        <v>0.66666666666666596</v>
      </c>
      <c r="E1523" s="24">
        <v>0.79166666666666496</v>
      </c>
      <c r="F1523" s="23"/>
    </row>
    <row r="1524" spans="1:6" x14ac:dyDescent="0.3">
      <c r="A1524" t="s">
        <v>298</v>
      </c>
      <c r="B1524" s="23" t="s">
        <v>14</v>
      </c>
      <c r="C1524" s="23" t="s">
        <v>26</v>
      </c>
      <c r="D1524" s="24">
        <v>0.79166666666666496</v>
      </c>
      <c r="E1524" s="24">
        <v>0.91666666666666496</v>
      </c>
      <c r="F1524" s="23"/>
    </row>
    <row r="1525" spans="1:6" x14ac:dyDescent="0.3">
      <c r="A1525" t="s">
        <v>298</v>
      </c>
      <c r="B1525" s="23" t="s">
        <v>66</v>
      </c>
      <c r="C1525" s="23" t="s">
        <v>26</v>
      </c>
      <c r="D1525" s="24">
        <v>0.79166666666666496</v>
      </c>
      <c r="E1525" s="24">
        <v>0.91666666666666496</v>
      </c>
      <c r="F1525" s="23"/>
    </row>
    <row r="1526" spans="1:6" x14ac:dyDescent="0.3">
      <c r="A1526" t="s">
        <v>298</v>
      </c>
      <c r="B1526" s="23" t="s">
        <v>73</v>
      </c>
      <c r="C1526" s="23" t="s">
        <v>55</v>
      </c>
      <c r="D1526" s="24">
        <v>0.66666666666666596</v>
      </c>
      <c r="E1526" s="24">
        <v>0.79166666666666496</v>
      </c>
      <c r="F1526" s="23" t="s">
        <v>304</v>
      </c>
    </row>
    <row r="1527" spans="1:6" x14ac:dyDescent="0.3">
      <c r="A1527" t="s">
        <v>305</v>
      </c>
      <c r="B1527" t="s">
        <v>85</v>
      </c>
      <c r="C1527" t="s">
        <v>13</v>
      </c>
      <c r="D1527" s="2"/>
      <c r="E1527" s="2"/>
    </row>
    <row r="1528" spans="1:6" x14ac:dyDescent="0.3">
      <c r="A1528" t="s">
        <v>305</v>
      </c>
      <c r="B1528" t="s">
        <v>33</v>
      </c>
      <c r="C1528" t="s">
        <v>15</v>
      </c>
      <c r="D1528" s="2"/>
      <c r="E1528" s="2"/>
    </row>
    <row r="1529" spans="1:6" x14ac:dyDescent="0.3">
      <c r="A1529" t="s">
        <v>305</v>
      </c>
      <c r="B1529" t="s">
        <v>94</v>
      </c>
      <c r="C1529" t="s">
        <v>8</v>
      </c>
      <c r="D1529" s="2"/>
      <c r="E1529" s="2"/>
    </row>
    <row r="1530" spans="1:6" x14ac:dyDescent="0.3">
      <c r="A1530" t="s">
        <v>305</v>
      </c>
      <c r="B1530" t="s">
        <v>35</v>
      </c>
      <c r="C1530" t="s">
        <v>13</v>
      </c>
      <c r="D1530" s="2"/>
      <c r="E1530" s="2"/>
    </row>
    <row r="1531" spans="1:6" x14ac:dyDescent="0.3">
      <c r="A1531" t="s">
        <v>305</v>
      </c>
      <c r="B1531" t="s">
        <v>57</v>
      </c>
      <c r="C1531" t="s">
        <v>8</v>
      </c>
      <c r="D1531" s="2"/>
      <c r="E1531" s="2"/>
    </row>
    <row r="1532" spans="1:6" x14ac:dyDescent="0.3">
      <c r="A1532" t="s">
        <v>305</v>
      </c>
      <c r="B1532" t="s">
        <v>40</v>
      </c>
      <c r="C1532" t="s">
        <v>10</v>
      </c>
      <c r="D1532" s="2"/>
      <c r="E1532" s="2"/>
    </row>
    <row r="1533" spans="1:6" x14ac:dyDescent="0.3">
      <c r="A1533" t="s">
        <v>305</v>
      </c>
      <c r="B1533" t="s">
        <v>36</v>
      </c>
      <c r="C1533" t="s">
        <v>10</v>
      </c>
      <c r="D1533" s="2"/>
      <c r="E1533" s="2"/>
    </row>
    <row r="1534" spans="1:6" x14ac:dyDescent="0.3">
      <c r="A1534" t="s">
        <v>305</v>
      </c>
      <c r="B1534" t="s">
        <v>79</v>
      </c>
      <c r="C1534" t="s">
        <v>10</v>
      </c>
      <c r="D1534" s="2"/>
      <c r="E1534" s="2"/>
    </row>
    <row r="1535" spans="1:6" x14ac:dyDescent="0.3">
      <c r="A1535" t="s">
        <v>305</v>
      </c>
      <c r="B1535" t="s">
        <v>27</v>
      </c>
      <c r="C1535" t="s">
        <v>10</v>
      </c>
      <c r="D1535" s="2"/>
      <c r="E1535" s="2"/>
    </row>
    <row r="1536" spans="1:6" x14ac:dyDescent="0.3">
      <c r="A1536" t="s">
        <v>305</v>
      </c>
      <c r="B1536" t="s">
        <v>9</v>
      </c>
      <c r="C1536" t="s">
        <v>41</v>
      </c>
      <c r="D1536" s="2"/>
      <c r="E1536" s="2"/>
    </row>
    <row r="1537" spans="1:6" x14ac:dyDescent="0.3">
      <c r="A1537" t="s">
        <v>305</v>
      </c>
      <c r="B1537" t="s">
        <v>60</v>
      </c>
      <c r="C1537" t="s">
        <v>41</v>
      </c>
      <c r="D1537" s="2"/>
      <c r="E1537" s="2"/>
    </row>
    <row r="1538" spans="1:6" x14ac:dyDescent="0.3">
      <c r="A1538" t="s">
        <v>305</v>
      </c>
      <c r="B1538" t="s">
        <v>12</v>
      </c>
      <c r="C1538" t="s">
        <v>43</v>
      </c>
      <c r="D1538" s="2"/>
      <c r="E1538" s="2"/>
    </row>
    <row r="1539" spans="1:6" x14ac:dyDescent="0.3">
      <c r="A1539" t="s">
        <v>305</v>
      </c>
      <c r="B1539" t="s">
        <v>66</v>
      </c>
      <c r="C1539" t="s">
        <v>45</v>
      </c>
      <c r="D1539" s="2"/>
      <c r="E1539" s="2"/>
    </row>
    <row r="1540" spans="1:6" x14ac:dyDescent="0.3">
      <c r="A1540" t="s">
        <v>305</v>
      </c>
      <c r="B1540" t="s">
        <v>68</v>
      </c>
      <c r="C1540" t="s">
        <v>46</v>
      </c>
      <c r="D1540" s="2"/>
      <c r="E1540" s="2"/>
      <c r="F1540" s="69" t="s">
        <v>306</v>
      </c>
    </row>
    <row r="1541" spans="1:6" x14ac:dyDescent="0.3">
      <c r="A1541" t="s">
        <v>305</v>
      </c>
      <c r="B1541" t="s">
        <v>63</v>
      </c>
      <c r="C1541" t="s">
        <v>18</v>
      </c>
      <c r="D1541" s="2"/>
      <c r="E1541" s="2"/>
      <c r="F1541" s="69" t="s">
        <v>306</v>
      </c>
    </row>
    <row r="1542" spans="1:6" x14ac:dyDescent="0.3">
      <c r="A1542" t="s">
        <v>305</v>
      </c>
      <c r="B1542" s="23" t="s">
        <v>71</v>
      </c>
      <c r="C1542" s="23" t="s">
        <v>49</v>
      </c>
      <c r="D1542" s="24"/>
      <c r="E1542" s="24"/>
      <c r="F1542" s="23"/>
    </row>
    <row r="1543" spans="1:6" x14ac:dyDescent="0.3">
      <c r="A1543" t="s">
        <v>305</v>
      </c>
      <c r="B1543" s="23" t="s">
        <v>73</v>
      </c>
      <c r="C1543" s="23" t="s">
        <v>51</v>
      </c>
      <c r="D1543" s="24"/>
      <c r="E1543" s="24"/>
      <c r="F1543" s="23"/>
    </row>
    <row r="1544" spans="1:6" x14ac:dyDescent="0.3">
      <c r="A1544" t="s">
        <v>305</v>
      </c>
      <c r="B1544" s="23" t="s">
        <v>29</v>
      </c>
      <c r="C1544" s="23" t="s">
        <v>55</v>
      </c>
      <c r="D1544" s="24">
        <v>0.79166666666666496</v>
      </c>
      <c r="E1544" s="24">
        <v>0.83333333333333204</v>
      </c>
      <c r="F1544" s="23" t="s">
        <v>307</v>
      </c>
    </row>
    <row r="1545" spans="1:6" x14ac:dyDescent="0.3">
      <c r="A1545" t="s">
        <v>305</v>
      </c>
      <c r="B1545" s="23" t="s">
        <v>37</v>
      </c>
      <c r="C1545" s="23" t="s">
        <v>26</v>
      </c>
      <c r="D1545" s="24">
        <v>0.29166666666666669</v>
      </c>
      <c r="E1545" s="24">
        <v>0.41666666666666702</v>
      </c>
      <c r="F1545" s="23"/>
    </row>
    <row r="1546" spans="1:6" x14ac:dyDescent="0.3">
      <c r="A1546" t="s">
        <v>305</v>
      </c>
      <c r="B1546" s="23" t="s">
        <v>37</v>
      </c>
      <c r="C1546" s="23" t="s">
        <v>26</v>
      </c>
      <c r="D1546" s="2">
        <v>0.41666666666666702</v>
      </c>
      <c r="E1546" s="2">
        <v>0.54166666666666596</v>
      </c>
    </row>
    <row r="1547" spans="1:6" x14ac:dyDescent="0.3">
      <c r="A1547" t="s">
        <v>305</v>
      </c>
      <c r="B1547" s="23" t="s">
        <v>142</v>
      </c>
      <c r="C1547" s="23" t="s">
        <v>26</v>
      </c>
      <c r="D1547" s="24">
        <v>0.79166666666666496</v>
      </c>
      <c r="E1547" s="24">
        <v>0.91666666666666496</v>
      </c>
      <c r="F1547" s="23"/>
    </row>
    <row r="1548" spans="1:6" x14ac:dyDescent="0.3">
      <c r="A1548" t="s">
        <v>305</v>
      </c>
      <c r="B1548" s="23" t="s">
        <v>84</v>
      </c>
      <c r="C1548" t="s">
        <v>26</v>
      </c>
      <c r="D1548" s="2">
        <v>0.79166666666666496</v>
      </c>
      <c r="E1548" s="2">
        <v>0.91666666666666496</v>
      </c>
    </row>
    <row r="1549" spans="1:6" x14ac:dyDescent="0.3">
      <c r="A1549" t="s">
        <v>305</v>
      </c>
      <c r="B1549" s="23" t="s">
        <v>12</v>
      </c>
      <c r="C1549" s="23" t="s">
        <v>26</v>
      </c>
      <c r="D1549" s="24">
        <v>0.79166666666666496</v>
      </c>
      <c r="E1549" s="24">
        <v>0.91666666666666496</v>
      </c>
    </row>
    <row r="1550" spans="1:6" x14ac:dyDescent="0.3">
      <c r="A1550" t="s">
        <v>305</v>
      </c>
      <c r="B1550" s="23" t="s">
        <v>71</v>
      </c>
      <c r="C1550" s="23" t="s">
        <v>26</v>
      </c>
      <c r="D1550" s="24">
        <v>0.79166666666666496</v>
      </c>
      <c r="E1550" s="24">
        <v>0.91666666666666496</v>
      </c>
      <c r="F1550" s="23"/>
    </row>
    <row r="1551" spans="1:6" x14ac:dyDescent="0.3">
      <c r="A1551" t="s">
        <v>305</v>
      </c>
      <c r="B1551" s="23" t="s">
        <v>12</v>
      </c>
      <c r="C1551" s="23" t="s">
        <v>22</v>
      </c>
      <c r="D1551" s="24">
        <v>0.33333333333333298</v>
      </c>
      <c r="E1551" s="24">
        <v>0.5</v>
      </c>
      <c r="F1551" s="23" t="s">
        <v>308</v>
      </c>
    </row>
    <row r="1552" spans="1:6" x14ac:dyDescent="0.3">
      <c r="A1552" t="s">
        <v>312</v>
      </c>
      <c r="B1552" t="s">
        <v>84</v>
      </c>
      <c r="C1552" t="s">
        <v>13</v>
      </c>
      <c r="D1552" s="2"/>
      <c r="E1552" s="2"/>
    </row>
    <row r="1553" spans="1:6" x14ac:dyDescent="0.3">
      <c r="A1553" t="s">
        <v>312</v>
      </c>
      <c r="B1553" s="23" t="s">
        <v>52</v>
      </c>
      <c r="C1553" s="23" t="s">
        <v>8</v>
      </c>
      <c r="D1553" s="24"/>
      <c r="E1553" s="24"/>
      <c r="F1553" s="23"/>
    </row>
    <row r="1554" spans="1:6" x14ac:dyDescent="0.3">
      <c r="A1554" t="s">
        <v>312</v>
      </c>
      <c r="B1554" s="23" t="s">
        <v>73</v>
      </c>
      <c r="C1554" s="23" t="s">
        <v>78</v>
      </c>
      <c r="D1554" s="24"/>
      <c r="E1554" s="24"/>
      <c r="F1554" s="23"/>
    </row>
    <row r="1555" spans="1:6" x14ac:dyDescent="0.3">
      <c r="A1555" t="s">
        <v>312</v>
      </c>
      <c r="B1555" s="23" t="s">
        <v>214</v>
      </c>
      <c r="C1555" s="23" t="s">
        <v>24</v>
      </c>
      <c r="D1555" s="24"/>
      <c r="E1555" s="24"/>
      <c r="F1555" s="23" t="s">
        <v>313</v>
      </c>
    </row>
    <row r="1556" spans="1:6" x14ac:dyDescent="0.3">
      <c r="A1556" t="s">
        <v>312</v>
      </c>
      <c r="B1556" s="23" t="s">
        <v>39</v>
      </c>
      <c r="C1556" t="s">
        <v>13</v>
      </c>
      <c r="D1556" s="2"/>
      <c r="E1556" s="2"/>
    </row>
    <row r="1557" spans="1:6" x14ac:dyDescent="0.3">
      <c r="A1557" t="s">
        <v>312</v>
      </c>
      <c r="B1557" s="23" t="s">
        <v>80</v>
      </c>
      <c r="C1557" s="23" t="s">
        <v>8</v>
      </c>
      <c r="D1557" s="2"/>
      <c r="E1557" s="2"/>
    </row>
    <row r="1558" spans="1:6" x14ac:dyDescent="0.3">
      <c r="A1558" t="s">
        <v>312</v>
      </c>
      <c r="B1558" s="23" t="s">
        <v>38</v>
      </c>
      <c r="C1558" s="23" t="s">
        <v>78</v>
      </c>
      <c r="D1558" s="2"/>
      <c r="E1558" s="2"/>
    </row>
    <row r="1559" spans="1:6" x14ac:dyDescent="0.3">
      <c r="A1559" t="s">
        <v>314</v>
      </c>
      <c r="B1559" t="s">
        <v>71</v>
      </c>
      <c r="C1559" t="s">
        <v>13</v>
      </c>
      <c r="D1559" s="2"/>
      <c r="E1559" s="2"/>
    </row>
    <row r="1560" spans="1:6" x14ac:dyDescent="0.3">
      <c r="A1560" t="s">
        <v>314</v>
      </c>
      <c r="B1560" s="23" t="s">
        <v>73</v>
      </c>
      <c r="C1560" s="23" t="s">
        <v>15</v>
      </c>
      <c r="D1560" s="24"/>
      <c r="E1560" s="24"/>
      <c r="F1560" s="23"/>
    </row>
    <row r="1561" spans="1:6" x14ac:dyDescent="0.3">
      <c r="A1561" t="s">
        <v>314</v>
      </c>
      <c r="B1561" s="23" t="s">
        <v>34</v>
      </c>
      <c r="C1561" s="23" t="s">
        <v>8</v>
      </c>
      <c r="D1561" s="24"/>
      <c r="E1561" s="24"/>
      <c r="F1561" s="23"/>
    </row>
    <row r="1562" spans="1:6" x14ac:dyDescent="0.3">
      <c r="A1562" t="s">
        <v>314</v>
      </c>
      <c r="B1562" s="23" t="s">
        <v>83</v>
      </c>
      <c r="C1562" s="23" t="s">
        <v>13</v>
      </c>
      <c r="D1562" s="24"/>
      <c r="E1562" s="24"/>
      <c r="F1562" s="23"/>
    </row>
    <row r="1563" spans="1:6" x14ac:dyDescent="0.3">
      <c r="A1563" t="s">
        <v>314</v>
      </c>
      <c r="B1563" s="23" t="s">
        <v>109</v>
      </c>
      <c r="C1563" s="23" t="s">
        <v>8</v>
      </c>
      <c r="D1563" s="24"/>
      <c r="E1563" s="24"/>
      <c r="F1563" s="23"/>
    </row>
    <row r="1564" spans="1:6" x14ac:dyDescent="0.3">
      <c r="A1564" t="s">
        <v>314</v>
      </c>
      <c r="B1564" s="23" t="s">
        <v>40</v>
      </c>
      <c r="C1564" s="23" t="s">
        <v>10</v>
      </c>
      <c r="D1564" s="24"/>
      <c r="E1564" s="24"/>
      <c r="F1564" s="23"/>
    </row>
    <row r="1565" spans="1:6" x14ac:dyDescent="0.3">
      <c r="A1565" t="s">
        <v>314</v>
      </c>
      <c r="B1565" s="23" t="s">
        <v>36</v>
      </c>
      <c r="C1565" s="23" t="s">
        <v>10</v>
      </c>
      <c r="D1565" s="24"/>
      <c r="E1565" s="24"/>
      <c r="F1565" s="23"/>
    </row>
    <row r="1566" spans="1:6" x14ac:dyDescent="0.3">
      <c r="A1566" t="s">
        <v>314</v>
      </c>
      <c r="B1566" s="23" t="s">
        <v>79</v>
      </c>
      <c r="C1566" s="23" t="s">
        <v>10</v>
      </c>
      <c r="D1566" s="24"/>
      <c r="E1566" s="24"/>
      <c r="F1566" s="23"/>
    </row>
    <row r="1567" spans="1:6" x14ac:dyDescent="0.3">
      <c r="A1567" t="s">
        <v>314</v>
      </c>
      <c r="B1567" s="23" t="s">
        <v>27</v>
      </c>
      <c r="C1567" s="23" t="s">
        <v>10</v>
      </c>
      <c r="D1567" s="24"/>
      <c r="E1567" s="24"/>
      <c r="F1567" s="23"/>
    </row>
    <row r="1568" spans="1:6" x14ac:dyDescent="0.3">
      <c r="A1568" t="s">
        <v>314</v>
      </c>
      <c r="B1568" s="23" t="s">
        <v>35</v>
      </c>
      <c r="C1568" s="23" t="s">
        <v>41</v>
      </c>
      <c r="D1568" s="24"/>
      <c r="E1568" s="24"/>
      <c r="F1568" s="23"/>
    </row>
    <row r="1569" spans="1:6" x14ac:dyDescent="0.3">
      <c r="A1569" t="s">
        <v>314</v>
      </c>
      <c r="B1569" s="23" t="s">
        <v>57</v>
      </c>
      <c r="C1569" s="23" t="s">
        <v>41</v>
      </c>
      <c r="D1569" s="24"/>
      <c r="E1569" s="24"/>
      <c r="F1569" s="23"/>
    </row>
    <row r="1570" spans="1:6" x14ac:dyDescent="0.3">
      <c r="A1570" t="s">
        <v>314</v>
      </c>
      <c r="B1570" s="23" t="s">
        <v>37</v>
      </c>
      <c r="C1570" s="23" t="s">
        <v>43</v>
      </c>
      <c r="D1570" s="24"/>
      <c r="E1570" s="24"/>
      <c r="F1570" s="23"/>
    </row>
    <row r="1571" spans="1:6" x14ac:dyDescent="0.3">
      <c r="A1571" t="s">
        <v>314</v>
      </c>
      <c r="B1571" s="23" t="s">
        <v>52</v>
      </c>
      <c r="C1571" s="23" t="s">
        <v>45</v>
      </c>
      <c r="D1571" s="24"/>
      <c r="E1571" s="24"/>
      <c r="F1571" s="23"/>
    </row>
    <row r="1572" spans="1:6" x14ac:dyDescent="0.3">
      <c r="A1572" t="s">
        <v>314</v>
      </c>
      <c r="B1572" s="23" t="s">
        <v>14</v>
      </c>
      <c r="C1572" s="23" t="s">
        <v>46</v>
      </c>
      <c r="D1572" s="24"/>
      <c r="E1572" s="24"/>
      <c r="F1572" s="23"/>
    </row>
    <row r="1573" spans="1:6" x14ac:dyDescent="0.3">
      <c r="A1573" t="s">
        <v>314</v>
      </c>
      <c r="B1573" s="23" t="s">
        <v>32</v>
      </c>
      <c r="C1573" s="23" t="s">
        <v>18</v>
      </c>
      <c r="D1573" s="24"/>
      <c r="E1573" s="24"/>
      <c r="F1573" s="23"/>
    </row>
    <row r="1574" spans="1:6" x14ac:dyDescent="0.3">
      <c r="A1574" t="s">
        <v>314</v>
      </c>
      <c r="B1574" s="23" t="s">
        <v>71</v>
      </c>
      <c r="C1574" s="23" t="s">
        <v>49</v>
      </c>
      <c r="D1574" s="24"/>
      <c r="E1574" s="24"/>
      <c r="F1574" s="23"/>
    </row>
    <row r="1575" spans="1:6" x14ac:dyDescent="0.3">
      <c r="A1575" t="s">
        <v>314</v>
      </c>
      <c r="B1575" s="23" t="s">
        <v>34</v>
      </c>
      <c r="C1575" s="23" t="s">
        <v>51</v>
      </c>
      <c r="D1575" s="24"/>
      <c r="E1575" s="24"/>
      <c r="F1575" s="23"/>
    </row>
    <row r="1576" spans="1:6" x14ac:dyDescent="0.3">
      <c r="A1576" t="s">
        <v>314</v>
      </c>
      <c r="B1576" s="23" t="s">
        <v>50</v>
      </c>
      <c r="C1576" s="23" t="s">
        <v>53</v>
      </c>
      <c r="D1576" s="24">
        <v>0.66666666666666596</v>
      </c>
      <c r="E1576" s="24">
        <v>0.70833333333333204</v>
      </c>
      <c r="F1576" s="23" t="s">
        <v>315</v>
      </c>
    </row>
    <row r="1577" spans="1:6" x14ac:dyDescent="0.3">
      <c r="A1577" t="s">
        <v>314</v>
      </c>
      <c r="B1577" s="23" t="s">
        <v>37</v>
      </c>
      <c r="C1577" t="s">
        <v>55</v>
      </c>
      <c r="D1577" s="2">
        <v>0.83333333333333204</v>
      </c>
      <c r="E1577" s="2">
        <v>0.91666666666666496</v>
      </c>
      <c r="F1577" t="s">
        <v>316</v>
      </c>
    </row>
    <row r="1578" spans="1:6" x14ac:dyDescent="0.3">
      <c r="A1578" t="s">
        <v>314</v>
      </c>
      <c r="B1578" s="23" t="s">
        <v>61</v>
      </c>
      <c r="C1578" t="s">
        <v>55</v>
      </c>
      <c r="D1578" s="2">
        <v>0.83333333333333204</v>
      </c>
      <c r="E1578" s="2">
        <v>0.91666666666666496</v>
      </c>
      <c r="F1578" t="s">
        <v>316</v>
      </c>
    </row>
    <row r="1579" spans="1:6" x14ac:dyDescent="0.3">
      <c r="A1579" t="s">
        <v>314</v>
      </c>
      <c r="B1579" s="23" t="s">
        <v>66</v>
      </c>
      <c r="C1579" t="s">
        <v>26</v>
      </c>
      <c r="D1579" s="2">
        <v>0.79166666666666496</v>
      </c>
      <c r="E1579" s="2">
        <v>0.91666666666666496</v>
      </c>
    </row>
    <row r="1580" spans="1:6" x14ac:dyDescent="0.3">
      <c r="A1580" t="s">
        <v>314</v>
      </c>
      <c r="B1580" s="23" t="s">
        <v>25</v>
      </c>
      <c r="C1580" s="23" t="s">
        <v>26</v>
      </c>
      <c r="D1580" s="24">
        <v>0.29166666666666669</v>
      </c>
      <c r="E1580" s="24">
        <v>0.41666666666666702</v>
      </c>
    </row>
    <row r="1581" spans="1:6" x14ac:dyDescent="0.3">
      <c r="A1581" t="s">
        <v>314</v>
      </c>
      <c r="B1581" s="23" t="s">
        <v>12</v>
      </c>
      <c r="C1581" s="23" t="s">
        <v>26</v>
      </c>
      <c r="D1581" s="24">
        <v>0.66666666666666596</v>
      </c>
      <c r="E1581" s="24">
        <v>0.79166666666666496</v>
      </c>
      <c r="F1581" s="23"/>
    </row>
    <row r="1582" spans="1:6" x14ac:dyDescent="0.3">
      <c r="A1582" t="s">
        <v>314</v>
      </c>
      <c r="B1582" s="23" t="s">
        <v>142</v>
      </c>
      <c r="C1582" s="23" t="s">
        <v>26</v>
      </c>
      <c r="D1582" s="24">
        <v>0.29166666666666669</v>
      </c>
      <c r="E1582" s="24">
        <v>0.41666666666666702</v>
      </c>
      <c r="F1582" s="23"/>
    </row>
    <row r="1583" spans="1:6" x14ac:dyDescent="0.3">
      <c r="A1583" t="s">
        <v>314</v>
      </c>
      <c r="B1583" s="23" t="s">
        <v>12</v>
      </c>
      <c r="C1583" s="23" t="s">
        <v>53</v>
      </c>
      <c r="D1583" s="24">
        <v>0.5</v>
      </c>
      <c r="E1583" s="24">
        <v>0.58333333333333304</v>
      </c>
      <c r="F1583" s="23" t="s">
        <v>317</v>
      </c>
    </row>
    <row r="1584" spans="1:6" x14ac:dyDescent="0.3">
      <c r="A1584" t="s">
        <v>314</v>
      </c>
      <c r="B1584" s="23" t="s">
        <v>23</v>
      </c>
      <c r="C1584" s="23" t="s">
        <v>53</v>
      </c>
      <c r="D1584" s="24">
        <v>0.5</v>
      </c>
      <c r="E1584" s="24">
        <v>0.58333333333333304</v>
      </c>
      <c r="F1584" s="23" t="s">
        <v>317</v>
      </c>
    </row>
    <row r="1585" spans="1:6" x14ac:dyDescent="0.3">
      <c r="A1585" t="s">
        <v>314</v>
      </c>
      <c r="B1585" s="23" t="s">
        <v>23</v>
      </c>
      <c r="C1585" s="23" t="s">
        <v>53</v>
      </c>
      <c r="D1585" s="24">
        <v>0.66666666666666596</v>
      </c>
      <c r="E1585" s="24">
        <v>0.70833333333333204</v>
      </c>
      <c r="F1585" s="23" t="s">
        <v>318</v>
      </c>
    </row>
    <row r="1586" spans="1:6" x14ac:dyDescent="0.3">
      <c r="A1586" t="s">
        <v>319</v>
      </c>
      <c r="B1586" t="s">
        <v>84</v>
      </c>
      <c r="C1586" t="s">
        <v>13</v>
      </c>
      <c r="D1586" s="2"/>
      <c r="E1586" s="2"/>
    </row>
    <row r="1587" spans="1:6" x14ac:dyDescent="0.3">
      <c r="A1587" t="s">
        <v>319</v>
      </c>
      <c r="B1587" s="23" t="s">
        <v>75</v>
      </c>
      <c r="C1587" s="23" t="s">
        <v>15</v>
      </c>
      <c r="D1587" s="24"/>
      <c r="E1587" s="24"/>
      <c r="F1587" s="23"/>
    </row>
    <row r="1588" spans="1:6" x14ac:dyDescent="0.3">
      <c r="A1588" t="s">
        <v>319</v>
      </c>
      <c r="B1588" s="23" t="s">
        <v>72</v>
      </c>
      <c r="C1588" s="23" t="s">
        <v>8</v>
      </c>
      <c r="D1588" s="24"/>
      <c r="E1588" s="24"/>
      <c r="F1588" s="23"/>
    </row>
    <row r="1589" spans="1:6" x14ac:dyDescent="0.3">
      <c r="A1589" t="s">
        <v>319</v>
      </c>
      <c r="B1589" s="23" t="s">
        <v>80</v>
      </c>
      <c r="C1589" s="23" t="s">
        <v>13</v>
      </c>
      <c r="D1589" s="24"/>
      <c r="E1589" s="24"/>
      <c r="F1589" s="23"/>
    </row>
    <row r="1590" spans="1:6" x14ac:dyDescent="0.3">
      <c r="A1590" t="s">
        <v>319</v>
      </c>
      <c r="B1590" s="23" t="s">
        <v>39</v>
      </c>
      <c r="C1590" s="23" t="s">
        <v>8</v>
      </c>
      <c r="D1590" s="24"/>
      <c r="E1590" s="24"/>
      <c r="F1590" s="23"/>
    </row>
    <row r="1591" spans="1:6" x14ac:dyDescent="0.3">
      <c r="A1591" t="s">
        <v>319</v>
      </c>
      <c r="B1591" s="23" t="s">
        <v>40</v>
      </c>
      <c r="C1591" s="23" t="s">
        <v>10</v>
      </c>
      <c r="D1591" s="24"/>
      <c r="E1591" s="24"/>
      <c r="F1591" s="23"/>
    </row>
    <row r="1592" spans="1:6" x14ac:dyDescent="0.3">
      <c r="A1592" t="s">
        <v>319</v>
      </c>
      <c r="B1592" s="23" t="s">
        <v>36</v>
      </c>
      <c r="C1592" s="23" t="s">
        <v>10</v>
      </c>
      <c r="D1592" s="24"/>
      <c r="E1592" s="24"/>
      <c r="F1592" s="23"/>
    </row>
    <row r="1593" spans="1:6" x14ac:dyDescent="0.3">
      <c r="A1593" t="s">
        <v>319</v>
      </c>
      <c r="B1593" s="23" t="s">
        <v>79</v>
      </c>
      <c r="C1593" s="23" t="s">
        <v>10</v>
      </c>
      <c r="D1593" s="24"/>
      <c r="E1593" s="24"/>
      <c r="F1593" s="23"/>
    </row>
    <row r="1594" spans="1:6" x14ac:dyDescent="0.3">
      <c r="A1594" t="s">
        <v>319</v>
      </c>
      <c r="B1594" s="23" t="s">
        <v>27</v>
      </c>
      <c r="C1594" s="23" t="s">
        <v>10</v>
      </c>
      <c r="D1594" s="24"/>
      <c r="E1594" s="24"/>
      <c r="F1594" s="23"/>
    </row>
    <row r="1595" spans="1:6" x14ac:dyDescent="0.3">
      <c r="A1595" t="s">
        <v>319</v>
      </c>
      <c r="B1595" s="23" t="s">
        <v>83</v>
      </c>
      <c r="C1595" s="23" t="s">
        <v>41</v>
      </c>
      <c r="D1595" s="24"/>
      <c r="E1595" s="24"/>
      <c r="F1595" s="23"/>
    </row>
    <row r="1596" spans="1:6" x14ac:dyDescent="0.3">
      <c r="A1596" t="s">
        <v>319</v>
      </c>
      <c r="B1596" s="23" t="s">
        <v>109</v>
      </c>
      <c r="C1596" s="23" t="s">
        <v>41</v>
      </c>
      <c r="D1596" s="24"/>
      <c r="E1596" s="24"/>
      <c r="F1596" s="23"/>
    </row>
    <row r="1597" spans="1:6" x14ac:dyDescent="0.3">
      <c r="A1597" t="s">
        <v>319</v>
      </c>
      <c r="B1597" s="23" t="s">
        <v>33</v>
      </c>
      <c r="C1597" s="23" t="s">
        <v>43</v>
      </c>
      <c r="D1597" s="24"/>
      <c r="E1597" s="24"/>
      <c r="F1597" s="23"/>
    </row>
    <row r="1598" spans="1:6" x14ac:dyDescent="0.3">
      <c r="A1598" t="s">
        <v>319</v>
      </c>
      <c r="B1598" s="23" t="s">
        <v>44</v>
      </c>
      <c r="C1598" s="23" t="s">
        <v>45</v>
      </c>
      <c r="D1598" s="24"/>
      <c r="E1598" s="24"/>
      <c r="F1598" s="23"/>
    </row>
    <row r="1599" spans="1:6" x14ac:dyDescent="0.3">
      <c r="A1599" t="s">
        <v>319</v>
      </c>
      <c r="B1599" s="23" t="s">
        <v>14</v>
      </c>
      <c r="C1599" s="23" t="s">
        <v>46</v>
      </c>
      <c r="D1599" s="24"/>
      <c r="E1599" s="24"/>
      <c r="F1599" s="23"/>
    </row>
    <row r="1600" spans="1:6" x14ac:dyDescent="0.3">
      <c r="A1600" t="s">
        <v>319</v>
      </c>
      <c r="B1600" s="23" t="s">
        <v>94</v>
      </c>
      <c r="C1600" s="23" t="s">
        <v>18</v>
      </c>
      <c r="D1600" s="24"/>
      <c r="E1600" s="24"/>
      <c r="F1600" s="23"/>
    </row>
    <row r="1601" spans="1:6" x14ac:dyDescent="0.3">
      <c r="A1601" t="s">
        <v>319</v>
      </c>
      <c r="B1601" s="23" t="s">
        <v>71</v>
      </c>
      <c r="C1601" s="23" t="s">
        <v>49</v>
      </c>
      <c r="D1601" s="24"/>
      <c r="E1601" s="24"/>
      <c r="F1601" s="23"/>
    </row>
    <row r="1602" spans="1:6" x14ac:dyDescent="0.3">
      <c r="A1602" t="s">
        <v>319</v>
      </c>
      <c r="B1602" s="23" t="s">
        <v>17</v>
      </c>
      <c r="C1602" s="23" t="s">
        <v>51</v>
      </c>
      <c r="D1602" s="24"/>
      <c r="E1602" s="24"/>
      <c r="F1602" s="23"/>
    </row>
    <row r="1603" spans="1:6" x14ac:dyDescent="0.3">
      <c r="A1603" t="s">
        <v>319</v>
      </c>
      <c r="B1603" s="23" t="s">
        <v>12</v>
      </c>
      <c r="C1603" s="23" t="s">
        <v>24</v>
      </c>
      <c r="D1603" s="24">
        <v>0.749999999999999</v>
      </c>
      <c r="E1603" s="24">
        <v>0.91666666666666496</v>
      </c>
      <c r="F1603" s="23" t="s">
        <v>159</v>
      </c>
    </row>
    <row r="1604" spans="1:6" x14ac:dyDescent="0.3">
      <c r="A1604" t="s">
        <v>319</v>
      </c>
      <c r="B1604" s="23" t="s">
        <v>12</v>
      </c>
      <c r="C1604" s="23" t="s">
        <v>24</v>
      </c>
      <c r="D1604" s="24"/>
      <c r="E1604" s="24"/>
      <c r="F1604" s="23" t="s">
        <v>284</v>
      </c>
    </row>
    <row r="1605" spans="1:6" x14ac:dyDescent="0.3">
      <c r="A1605" t="s">
        <v>319</v>
      </c>
      <c r="B1605" s="23" t="s">
        <v>48</v>
      </c>
      <c r="C1605" s="23" t="s">
        <v>24</v>
      </c>
      <c r="D1605" s="2"/>
      <c r="E1605" s="2"/>
      <c r="F1605" s="23" t="s">
        <v>284</v>
      </c>
    </row>
    <row r="1606" spans="1:6" x14ac:dyDescent="0.3">
      <c r="A1606" t="s">
        <v>319</v>
      </c>
      <c r="B1606" s="23" t="s">
        <v>94</v>
      </c>
      <c r="C1606" t="s">
        <v>55</v>
      </c>
      <c r="D1606" s="2">
        <v>0.29166666666666669</v>
      </c>
      <c r="E1606" s="2">
        <v>0.33333333333333298</v>
      </c>
      <c r="F1606" s="23" t="s">
        <v>320</v>
      </c>
    </row>
    <row r="1607" spans="1:6" x14ac:dyDescent="0.3">
      <c r="A1607" t="s">
        <v>321</v>
      </c>
      <c r="B1607" t="s">
        <v>73</v>
      </c>
      <c r="C1607" t="s">
        <v>13</v>
      </c>
      <c r="D1607" s="2"/>
      <c r="E1607" s="2"/>
    </row>
    <row r="1608" spans="1:6" x14ac:dyDescent="0.3">
      <c r="A1608" t="s">
        <v>321</v>
      </c>
      <c r="B1608" s="23" t="s">
        <v>84</v>
      </c>
      <c r="C1608" s="23" t="s">
        <v>8</v>
      </c>
      <c r="D1608" s="24"/>
      <c r="E1608" s="24"/>
      <c r="F1608" s="23"/>
    </row>
    <row r="1609" spans="1:6" x14ac:dyDescent="0.3">
      <c r="A1609" t="s">
        <v>321</v>
      </c>
      <c r="B1609" s="23" t="s">
        <v>52</v>
      </c>
      <c r="C1609" s="23" t="s">
        <v>78</v>
      </c>
      <c r="D1609" s="24"/>
      <c r="E1609" s="24"/>
      <c r="F1609" s="23"/>
    </row>
    <row r="1610" spans="1:6" x14ac:dyDescent="0.3">
      <c r="A1610" t="s">
        <v>321</v>
      </c>
      <c r="B1610" s="23" t="s">
        <v>39</v>
      </c>
      <c r="C1610" t="s">
        <v>13</v>
      </c>
      <c r="D1610" s="24"/>
      <c r="E1610" s="24"/>
      <c r="F1610" s="23"/>
    </row>
    <row r="1611" spans="1:6" x14ac:dyDescent="0.3">
      <c r="A1611" t="s">
        <v>321</v>
      </c>
      <c r="B1611" s="23" t="s">
        <v>80</v>
      </c>
      <c r="C1611" s="23" t="s">
        <v>8</v>
      </c>
      <c r="D1611" s="2"/>
      <c r="E1611" s="2"/>
    </row>
    <row r="1612" spans="1:6" x14ac:dyDescent="0.3">
      <c r="A1612" t="s">
        <v>321</v>
      </c>
      <c r="B1612" s="23" t="s">
        <v>38</v>
      </c>
      <c r="C1612" s="23" t="s">
        <v>78</v>
      </c>
      <c r="D1612" s="2"/>
      <c r="E1612" s="2"/>
    </row>
    <row r="1613" spans="1:6" x14ac:dyDescent="0.3">
      <c r="A1613" t="s">
        <v>322</v>
      </c>
      <c r="B1613" t="s">
        <v>94</v>
      </c>
      <c r="C1613" t="s">
        <v>13</v>
      </c>
      <c r="D1613" s="2"/>
      <c r="E1613" s="2"/>
    </row>
    <row r="1614" spans="1:6" x14ac:dyDescent="0.3">
      <c r="A1614" t="s">
        <v>322</v>
      </c>
      <c r="B1614" s="23" t="s">
        <v>50</v>
      </c>
      <c r="C1614" s="23" t="s">
        <v>15</v>
      </c>
      <c r="D1614" s="24"/>
      <c r="E1614" s="24"/>
      <c r="F1614" s="23"/>
    </row>
    <row r="1615" spans="1:6" x14ac:dyDescent="0.3">
      <c r="A1615" t="s">
        <v>322</v>
      </c>
      <c r="B1615" s="23" t="s">
        <v>68</v>
      </c>
      <c r="C1615" s="23" t="s">
        <v>8</v>
      </c>
      <c r="D1615" s="24"/>
      <c r="E1615" s="24"/>
      <c r="F1615" s="23"/>
    </row>
    <row r="1616" spans="1:6" x14ac:dyDescent="0.3">
      <c r="A1616" t="s">
        <v>322</v>
      </c>
      <c r="B1616" s="23" t="s">
        <v>38</v>
      </c>
      <c r="C1616" s="23" t="s">
        <v>13</v>
      </c>
      <c r="D1616" s="24"/>
      <c r="E1616" s="24"/>
      <c r="F1616" s="23"/>
    </row>
    <row r="1617" spans="1:6" x14ac:dyDescent="0.3">
      <c r="A1617" t="s">
        <v>322</v>
      </c>
      <c r="B1617" s="23" t="s">
        <v>42</v>
      </c>
      <c r="C1617" s="23" t="s">
        <v>8</v>
      </c>
      <c r="D1617" s="24"/>
      <c r="E1617" s="24"/>
      <c r="F1617" s="23"/>
    </row>
    <row r="1618" spans="1:6" x14ac:dyDescent="0.3">
      <c r="A1618" t="s">
        <v>322</v>
      </c>
      <c r="B1618" s="23" t="s">
        <v>23</v>
      </c>
      <c r="C1618" s="23" t="s">
        <v>22</v>
      </c>
      <c r="D1618" s="24">
        <v>0.29166666666666669</v>
      </c>
      <c r="E1618" s="24">
        <v>0.54166666666666596</v>
      </c>
      <c r="F1618" s="23"/>
    </row>
    <row r="1619" spans="1:6" x14ac:dyDescent="0.3">
      <c r="A1619" t="s">
        <v>322</v>
      </c>
      <c r="B1619" s="23" t="s">
        <v>40</v>
      </c>
      <c r="C1619" s="23" t="s">
        <v>10</v>
      </c>
      <c r="D1619" s="24"/>
      <c r="E1619" s="24"/>
      <c r="F1619" s="23"/>
    </row>
    <row r="1620" spans="1:6" x14ac:dyDescent="0.3">
      <c r="A1620" t="s">
        <v>322</v>
      </c>
      <c r="B1620" s="23" t="s">
        <v>36</v>
      </c>
      <c r="C1620" s="23" t="s">
        <v>10</v>
      </c>
      <c r="D1620" s="24"/>
      <c r="E1620" s="24"/>
      <c r="F1620" s="23"/>
    </row>
    <row r="1621" spans="1:6" x14ac:dyDescent="0.3">
      <c r="A1621" t="s">
        <v>322</v>
      </c>
      <c r="B1621" s="23" t="s">
        <v>79</v>
      </c>
      <c r="C1621" s="23" t="s">
        <v>10</v>
      </c>
      <c r="D1621" s="24"/>
      <c r="E1621" s="24"/>
      <c r="F1621" s="23"/>
    </row>
    <row r="1622" spans="1:6" x14ac:dyDescent="0.3">
      <c r="A1622" t="s">
        <v>322</v>
      </c>
      <c r="B1622" s="23" t="s">
        <v>27</v>
      </c>
      <c r="C1622" s="23" t="s">
        <v>10</v>
      </c>
      <c r="D1622" s="24"/>
      <c r="E1622" s="24"/>
      <c r="F1622" s="23"/>
    </row>
    <row r="1623" spans="1:6" x14ac:dyDescent="0.3">
      <c r="A1623" t="s">
        <v>322</v>
      </c>
      <c r="B1623" s="23" t="s">
        <v>62</v>
      </c>
      <c r="C1623" s="23" t="s">
        <v>41</v>
      </c>
      <c r="D1623" s="24"/>
      <c r="E1623" s="24"/>
      <c r="F1623" s="23"/>
    </row>
    <row r="1624" spans="1:6" x14ac:dyDescent="0.3">
      <c r="A1624" t="s">
        <v>322</v>
      </c>
      <c r="B1624" s="23" t="s">
        <v>69</v>
      </c>
      <c r="C1624" s="23" t="s">
        <v>41</v>
      </c>
      <c r="D1624" s="24"/>
      <c r="E1624" s="24"/>
      <c r="F1624" s="23"/>
    </row>
    <row r="1625" spans="1:6" x14ac:dyDescent="0.3">
      <c r="A1625" t="s">
        <v>322</v>
      </c>
      <c r="B1625" s="23" t="s">
        <v>29</v>
      </c>
      <c r="C1625" s="23" t="s">
        <v>43</v>
      </c>
      <c r="D1625" s="24"/>
      <c r="E1625" s="24"/>
      <c r="F1625" s="23"/>
    </row>
    <row r="1626" spans="1:6" x14ac:dyDescent="0.3">
      <c r="A1626" t="s">
        <v>322</v>
      </c>
      <c r="B1626" s="23" t="s">
        <v>23</v>
      </c>
      <c r="C1626" s="23" t="s">
        <v>45</v>
      </c>
      <c r="D1626" s="24"/>
      <c r="E1626" s="24"/>
      <c r="F1626" s="23"/>
    </row>
    <row r="1627" spans="1:6" x14ac:dyDescent="0.3">
      <c r="A1627" t="s">
        <v>322</v>
      </c>
      <c r="B1627" s="23" t="s">
        <v>16</v>
      </c>
      <c r="C1627" s="23" t="s">
        <v>46</v>
      </c>
      <c r="D1627" s="24"/>
      <c r="E1627" s="24"/>
      <c r="F1627" s="23"/>
    </row>
    <row r="1628" spans="1:6" x14ac:dyDescent="0.3">
      <c r="A1628" t="s">
        <v>322</v>
      </c>
      <c r="B1628" s="23" t="s">
        <v>72</v>
      </c>
      <c r="C1628" s="23" t="s">
        <v>18</v>
      </c>
      <c r="D1628" s="24"/>
      <c r="E1628" s="24"/>
      <c r="F1628" s="23"/>
    </row>
    <row r="1629" spans="1:6" x14ac:dyDescent="0.3">
      <c r="A1629" t="s">
        <v>322</v>
      </c>
      <c r="B1629" s="23" t="s">
        <v>85</v>
      </c>
      <c r="C1629" s="23" t="s">
        <v>49</v>
      </c>
      <c r="D1629" s="24"/>
      <c r="E1629" s="24"/>
      <c r="F1629" s="23"/>
    </row>
    <row r="1630" spans="1:6" x14ac:dyDescent="0.3">
      <c r="A1630" t="s">
        <v>322</v>
      </c>
      <c r="B1630" s="23" t="s">
        <v>75</v>
      </c>
      <c r="C1630" s="23" t="s">
        <v>51</v>
      </c>
      <c r="D1630" s="24"/>
      <c r="E1630" s="24"/>
      <c r="F1630" s="23"/>
    </row>
    <row r="1631" spans="1:6" x14ac:dyDescent="0.3">
      <c r="A1631" t="s">
        <v>322</v>
      </c>
      <c r="B1631" s="23" t="s">
        <v>48</v>
      </c>
      <c r="C1631" t="s">
        <v>124</v>
      </c>
      <c r="D1631" s="2">
        <v>0.83333333333333204</v>
      </c>
      <c r="E1631" s="2">
        <v>0.91666666666666496</v>
      </c>
      <c r="F1631" t="s">
        <v>323</v>
      </c>
    </row>
    <row r="1632" spans="1:6" x14ac:dyDescent="0.3">
      <c r="A1632" t="s">
        <v>322</v>
      </c>
      <c r="B1632" s="23" t="s">
        <v>32</v>
      </c>
      <c r="C1632" s="23" t="s">
        <v>30</v>
      </c>
      <c r="D1632" s="2"/>
      <c r="E1632" s="2"/>
    </row>
    <row r="1633" spans="1:6" x14ac:dyDescent="0.3">
      <c r="A1633" t="s">
        <v>322</v>
      </c>
      <c r="B1633" s="23" t="s">
        <v>34</v>
      </c>
      <c r="C1633" s="23" t="s">
        <v>55</v>
      </c>
      <c r="D1633" s="24">
        <v>0.29166666666666669</v>
      </c>
      <c r="E1633" s="24">
        <v>0.33333333333333298</v>
      </c>
      <c r="F1633" s="23" t="s">
        <v>324</v>
      </c>
    </row>
    <row r="1634" spans="1:6" x14ac:dyDescent="0.3">
      <c r="A1634" t="s">
        <v>322</v>
      </c>
      <c r="B1634" s="23" t="s">
        <v>44</v>
      </c>
      <c r="C1634" t="s">
        <v>26</v>
      </c>
      <c r="D1634" s="2">
        <v>0.41666666666666702</v>
      </c>
      <c r="E1634" s="2">
        <v>0.54166666666666596</v>
      </c>
    </row>
    <row r="1635" spans="1:6" x14ac:dyDescent="0.3">
      <c r="A1635" t="s">
        <v>322</v>
      </c>
      <c r="B1635" s="23" t="s">
        <v>142</v>
      </c>
      <c r="C1635" s="23" t="s">
        <v>26</v>
      </c>
      <c r="D1635" s="24">
        <v>0.79166666666666496</v>
      </c>
      <c r="E1635" s="24">
        <v>0.91666666666666496</v>
      </c>
      <c r="F1635" s="23"/>
    </row>
    <row r="1636" spans="1:6" x14ac:dyDescent="0.3">
      <c r="A1636" t="s">
        <v>322</v>
      </c>
      <c r="B1636" s="23" t="s">
        <v>33</v>
      </c>
      <c r="C1636" s="23" t="s">
        <v>26</v>
      </c>
      <c r="D1636" s="24">
        <v>0.79166666666666496</v>
      </c>
      <c r="E1636" s="24">
        <v>0.91666666666666496</v>
      </c>
      <c r="F1636" s="23"/>
    </row>
    <row r="1637" spans="1:6" x14ac:dyDescent="0.3">
      <c r="A1637" t="s">
        <v>322</v>
      </c>
      <c r="B1637" s="23" t="s">
        <v>23</v>
      </c>
      <c r="C1637" s="23" t="s">
        <v>53</v>
      </c>
      <c r="D1637" s="24">
        <v>0.375</v>
      </c>
      <c r="E1637" s="24">
        <v>0.41666666666666702</v>
      </c>
      <c r="F1637" s="23" t="s">
        <v>325</v>
      </c>
    </row>
    <row r="1638" spans="1:6" x14ac:dyDescent="0.3">
      <c r="A1638" t="s">
        <v>322</v>
      </c>
      <c r="B1638" s="23" t="s">
        <v>47</v>
      </c>
      <c r="C1638" s="23" t="s">
        <v>53</v>
      </c>
      <c r="D1638" s="24">
        <v>0.375</v>
      </c>
      <c r="E1638" s="24">
        <v>0.41666666666666702</v>
      </c>
      <c r="F1638" s="23" t="s">
        <v>325</v>
      </c>
    </row>
    <row r="1639" spans="1:6" x14ac:dyDescent="0.3">
      <c r="A1639" t="s">
        <v>322</v>
      </c>
      <c r="B1639" s="23" t="s">
        <v>29</v>
      </c>
      <c r="C1639" s="23" t="s">
        <v>26</v>
      </c>
      <c r="D1639" s="24">
        <v>0.54166666666666596</v>
      </c>
      <c r="E1639" s="24">
        <v>0.66666666666666596</v>
      </c>
      <c r="F1639" s="23" t="s">
        <v>326</v>
      </c>
    </row>
    <row r="1640" spans="1:6" x14ac:dyDescent="0.3">
      <c r="A1640" t="s">
        <v>322</v>
      </c>
      <c r="B1640" s="23" t="s">
        <v>29</v>
      </c>
      <c r="C1640" s="23" t="s">
        <v>26</v>
      </c>
      <c r="D1640" s="24">
        <v>0.66666666666666596</v>
      </c>
      <c r="E1640" s="24">
        <v>0.79166666666666496</v>
      </c>
      <c r="F1640" s="23" t="s">
        <v>326</v>
      </c>
    </row>
    <row r="1641" spans="1:6" x14ac:dyDescent="0.3">
      <c r="A1641" t="s">
        <v>327</v>
      </c>
      <c r="B1641" t="s">
        <v>64</v>
      </c>
      <c r="C1641" t="s">
        <v>13</v>
      </c>
      <c r="D1641" s="2"/>
      <c r="E1641" s="2"/>
    </row>
    <row r="1642" spans="1:6" x14ac:dyDescent="0.3">
      <c r="A1642" t="s">
        <v>327</v>
      </c>
      <c r="B1642" s="23" t="s">
        <v>142</v>
      </c>
      <c r="C1642" s="23" t="s">
        <v>15</v>
      </c>
      <c r="D1642" s="24"/>
      <c r="E1642" s="24"/>
      <c r="F1642" s="23"/>
    </row>
    <row r="1643" spans="1:6" x14ac:dyDescent="0.3">
      <c r="A1643" t="s">
        <v>327</v>
      </c>
      <c r="B1643" s="23" t="s">
        <v>29</v>
      </c>
      <c r="C1643" s="23" t="s">
        <v>8</v>
      </c>
      <c r="D1643" s="24"/>
      <c r="E1643" s="24"/>
      <c r="F1643" s="23"/>
    </row>
    <row r="1644" spans="1:6" x14ac:dyDescent="0.3">
      <c r="A1644" t="s">
        <v>327</v>
      </c>
      <c r="B1644" s="23" t="s">
        <v>109</v>
      </c>
      <c r="C1644" s="23" t="s">
        <v>13</v>
      </c>
      <c r="D1644" s="24"/>
      <c r="E1644" s="24"/>
      <c r="F1644" s="23"/>
    </row>
    <row r="1645" spans="1:6" x14ac:dyDescent="0.3">
      <c r="A1645" t="s">
        <v>327</v>
      </c>
      <c r="B1645" s="23" t="s">
        <v>149</v>
      </c>
      <c r="C1645" s="23" t="s">
        <v>8</v>
      </c>
      <c r="D1645" s="24"/>
      <c r="E1645" s="24"/>
      <c r="F1645" s="23"/>
    </row>
    <row r="1646" spans="1:6" x14ac:dyDescent="0.3">
      <c r="A1646" t="s">
        <v>327</v>
      </c>
      <c r="B1646" s="23" t="s">
        <v>66</v>
      </c>
      <c r="C1646" s="23" t="s">
        <v>45</v>
      </c>
      <c r="D1646" s="24"/>
      <c r="E1646" s="24"/>
      <c r="F1646" s="23"/>
    </row>
    <row r="1647" spans="1:6" x14ac:dyDescent="0.3">
      <c r="A1647" t="s">
        <v>327</v>
      </c>
      <c r="B1647" s="23" t="s">
        <v>68</v>
      </c>
      <c r="C1647" s="23" t="s">
        <v>46</v>
      </c>
      <c r="D1647" s="24"/>
      <c r="E1647" s="24"/>
      <c r="F1647" s="23"/>
    </row>
    <row r="1648" spans="1:6" x14ac:dyDescent="0.3">
      <c r="A1648" t="s">
        <v>327</v>
      </c>
      <c r="B1648" s="23" t="s">
        <v>94</v>
      </c>
      <c r="C1648" s="23" t="s">
        <v>18</v>
      </c>
      <c r="D1648" s="24"/>
      <c r="E1648" s="24"/>
      <c r="F1648" s="23"/>
    </row>
    <row r="1649" spans="1:6" x14ac:dyDescent="0.3">
      <c r="A1649" t="s">
        <v>327</v>
      </c>
      <c r="B1649" s="23" t="s">
        <v>85</v>
      </c>
      <c r="C1649" s="23" t="s">
        <v>49</v>
      </c>
      <c r="D1649" s="24"/>
      <c r="E1649" s="24"/>
      <c r="F1649" s="23"/>
    </row>
    <row r="1650" spans="1:6" x14ac:dyDescent="0.3">
      <c r="A1650" t="s">
        <v>327</v>
      </c>
      <c r="B1650" s="23" t="s">
        <v>73</v>
      </c>
      <c r="C1650" s="23" t="s">
        <v>51</v>
      </c>
      <c r="D1650" s="24"/>
      <c r="E1650" s="24"/>
      <c r="F1650" s="23"/>
    </row>
    <row r="1651" spans="1:6" x14ac:dyDescent="0.3">
      <c r="A1651" t="s">
        <v>327</v>
      </c>
      <c r="B1651" s="23" t="s">
        <v>23</v>
      </c>
      <c r="C1651" s="23" t="s">
        <v>55</v>
      </c>
      <c r="D1651" s="24">
        <v>0.29166666666666669</v>
      </c>
      <c r="E1651" s="24">
        <v>0.33333333333333298</v>
      </c>
      <c r="F1651" s="23" t="s">
        <v>328</v>
      </c>
    </row>
    <row r="1652" spans="1:6" x14ac:dyDescent="0.3">
      <c r="A1652" t="s">
        <v>327</v>
      </c>
      <c r="B1652" s="23" t="s">
        <v>40</v>
      </c>
      <c r="C1652" s="23" t="s">
        <v>10</v>
      </c>
      <c r="D1652" s="24"/>
      <c r="E1652" s="24"/>
      <c r="F1652" s="23"/>
    </row>
    <row r="1653" spans="1:6" x14ac:dyDescent="0.3">
      <c r="A1653" t="s">
        <v>327</v>
      </c>
      <c r="B1653" s="23" t="s">
        <v>36</v>
      </c>
      <c r="C1653" s="23" t="s">
        <v>10</v>
      </c>
      <c r="D1653" s="24"/>
      <c r="E1653" s="24"/>
      <c r="F1653" s="23"/>
    </row>
    <row r="1654" spans="1:6" x14ac:dyDescent="0.3">
      <c r="A1654" t="s">
        <v>327</v>
      </c>
      <c r="B1654" s="23" t="s">
        <v>79</v>
      </c>
      <c r="C1654" s="23" t="s">
        <v>10</v>
      </c>
      <c r="D1654" s="24"/>
      <c r="E1654" s="24"/>
      <c r="F1654" s="23"/>
    </row>
    <row r="1655" spans="1:6" x14ac:dyDescent="0.3">
      <c r="A1655" t="s">
        <v>327</v>
      </c>
      <c r="B1655" s="23" t="s">
        <v>27</v>
      </c>
      <c r="C1655" s="23" t="s">
        <v>10</v>
      </c>
      <c r="D1655" s="24"/>
      <c r="E1655" s="24"/>
      <c r="F1655" s="23"/>
    </row>
    <row r="1656" spans="1:6" x14ac:dyDescent="0.3">
      <c r="A1656" t="s">
        <v>327</v>
      </c>
      <c r="B1656" s="23" t="s">
        <v>38</v>
      </c>
      <c r="C1656" s="23" t="s">
        <v>41</v>
      </c>
      <c r="D1656" s="24"/>
      <c r="E1656" s="24"/>
      <c r="F1656" s="23"/>
    </row>
    <row r="1657" spans="1:6" x14ac:dyDescent="0.3">
      <c r="A1657" t="s">
        <v>327</v>
      </c>
      <c r="B1657" s="23" t="s">
        <v>42</v>
      </c>
      <c r="C1657" s="23" t="s">
        <v>41</v>
      </c>
      <c r="D1657" s="2"/>
      <c r="E1657" s="2"/>
    </row>
    <row r="1658" spans="1:6" x14ac:dyDescent="0.3">
      <c r="A1658" t="s">
        <v>327</v>
      </c>
      <c r="B1658" s="23" t="s">
        <v>63</v>
      </c>
      <c r="C1658" s="23" t="s">
        <v>26</v>
      </c>
      <c r="D1658" s="24">
        <v>0.79166666666666496</v>
      </c>
      <c r="E1658" s="24">
        <v>0.91666666666666496</v>
      </c>
      <c r="F1658" s="23"/>
    </row>
    <row r="1659" spans="1:6" x14ac:dyDescent="0.3">
      <c r="A1659" t="s">
        <v>327</v>
      </c>
      <c r="B1659" s="23" t="s">
        <v>84</v>
      </c>
      <c r="C1659" t="s">
        <v>30</v>
      </c>
      <c r="D1659" s="2"/>
      <c r="E1659" s="2"/>
    </row>
    <row r="1660" spans="1:6" x14ac:dyDescent="0.3">
      <c r="A1660" t="s">
        <v>327</v>
      </c>
      <c r="B1660" s="23" t="s">
        <v>37</v>
      </c>
      <c r="C1660" s="23" t="s">
        <v>43</v>
      </c>
      <c r="D1660" s="2"/>
      <c r="E1660" s="2"/>
    </row>
    <row r="1661" spans="1:6" x14ac:dyDescent="0.3">
      <c r="A1661" t="s">
        <v>327</v>
      </c>
      <c r="B1661" s="23" t="s">
        <v>16</v>
      </c>
      <c r="C1661" t="s">
        <v>26</v>
      </c>
      <c r="D1661" s="2">
        <v>0.66666666666666596</v>
      </c>
      <c r="E1661" s="2">
        <v>0.79166666666666496</v>
      </c>
      <c r="F1661" s="23"/>
    </row>
    <row r="1662" spans="1:6" x14ac:dyDescent="0.3">
      <c r="A1662" t="s">
        <v>327</v>
      </c>
      <c r="B1662" s="23" t="s">
        <v>16</v>
      </c>
      <c r="C1662" t="s">
        <v>26</v>
      </c>
      <c r="D1662" s="2">
        <v>0.79166666666666496</v>
      </c>
      <c r="E1662" s="2">
        <v>0.91666666666666496</v>
      </c>
    </row>
    <row r="1663" spans="1:6" x14ac:dyDescent="0.3">
      <c r="A1663" t="s">
        <v>327</v>
      </c>
      <c r="B1663" s="23" t="s">
        <v>47</v>
      </c>
      <c r="C1663" s="23" t="s">
        <v>24</v>
      </c>
      <c r="D1663" s="24">
        <v>0.29166666666666669</v>
      </c>
      <c r="E1663" s="24">
        <v>0.79166666666666496</v>
      </c>
      <c r="F1663" s="23" t="s">
        <v>329</v>
      </c>
    </row>
    <row r="1664" spans="1:6" x14ac:dyDescent="0.3">
      <c r="A1664" t="s">
        <v>330</v>
      </c>
      <c r="B1664" t="s">
        <v>52</v>
      </c>
      <c r="C1664" t="s">
        <v>13</v>
      </c>
      <c r="D1664" s="2"/>
      <c r="E1664" s="2"/>
    </row>
    <row r="1665" spans="1:6" x14ac:dyDescent="0.3">
      <c r="A1665" t="s">
        <v>330</v>
      </c>
      <c r="B1665" s="23" t="s">
        <v>84</v>
      </c>
      <c r="C1665" s="23" t="s">
        <v>15</v>
      </c>
      <c r="D1665" s="24"/>
      <c r="E1665" s="24"/>
      <c r="F1665" s="23"/>
    </row>
    <row r="1666" spans="1:6" x14ac:dyDescent="0.3">
      <c r="A1666" t="s">
        <v>330</v>
      </c>
      <c r="B1666" s="23" t="s">
        <v>37</v>
      </c>
      <c r="C1666" s="23" t="s">
        <v>8</v>
      </c>
      <c r="D1666" s="24"/>
      <c r="E1666" s="24"/>
      <c r="F1666" s="23"/>
    </row>
    <row r="1667" spans="1:6" x14ac:dyDescent="0.3">
      <c r="A1667" t="s">
        <v>330</v>
      </c>
      <c r="B1667" s="23" t="s">
        <v>96</v>
      </c>
      <c r="C1667" s="23" t="s">
        <v>13</v>
      </c>
      <c r="D1667" s="24"/>
      <c r="E1667" s="24"/>
      <c r="F1667" s="23"/>
    </row>
    <row r="1668" spans="1:6" x14ac:dyDescent="0.3">
      <c r="A1668" t="s">
        <v>330</v>
      </c>
      <c r="B1668" s="23" t="s">
        <v>97</v>
      </c>
      <c r="C1668" s="23" t="s">
        <v>8</v>
      </c>
      <c r="D1668" s="24"/>
      <c r="E1668" s="24"/>
      <c r="F1668" s="23"/>
    </row>
    <row r="1669" spans="1:6" x14ac:dyDescent="0.3">
      <c r="A1669" t="s">
        <v>330</v>
      </c>
      <c r="B1669" s="23" t="s">
        <v>29</v>
      </c>
      <c r="C1669" s="23" t="s">
        <v>43</v>
      </c>
      <c r="D1669" s="24"/>
      <c r="E1669" s="24"/>
      <c r="F1669" s="23"/>
    </row>
    <row r="1670" spans="1:6" x14ac:dyDescent="0.3">
      <c r="A1670" t="s">
        <v>330</v>
      </c>
      <c r="B1670" s="23" t="s">
        <v>52</v>
      </c>
      <c r="C1670" s="23" t="s">
        <v>45</v>
      </c>
      <c r="D1670" s="24"/>
      <c r="E1670" s="24"/>
      <c r="F1670" s="23"/>
    </row>
    <row r="1671" spans="1:6" x14ac:dyDescent="0.3">
      <c r="A1671" t="s">
        <v>330</v>
      </c>
      <c r="B1671" s="23" t="s">
        <v>14</v>
      </c>
      <c r="C1671" s="23" t="s">
        <v>46</v>
      </c>
      <c r="D1671" s="24"/>
      <c r="E1671" s="24"/>
      <c r="F1671" s="23"/>
    </row>
    <row r="1672" spans="1:6" x14ac:dyDescent="0.3">
      <c r="A1672" t="s">
        <v>330</v>
      </c>
      <c r="B1672" s="23" t="s">
        <v>63</v>
      </c>
      <c r="C1672" s="23" t="s">
        <v>18</v>
      </c>
      <c r="D1672" s="24"/>
      <c r="E1672" s="24"/>
      <c r="F1672" s="23"/>
    </row>
    <row r="1673" spans="1:6" x14ac:dyDescent="0.3">
      <c r="A1673" t="s">
        <v>330</v>
      </c>
      <c r="B1673" s="23" t="s">
        <v>85</v>
      </c>
      <c r="C1673" s="23" t="s">
        <v>49</v>
      </c>
      <c r="D1673" s="2"/>
      <c r="E1673" s="2"/>
    </row>
    <row r="1674" spans="1:6" x14ac:dyDescent="0.3">
      <c r="A1674" t="s">
        <v>330</v>
      </c>
      <c r="B1674" s="23" t="s">
        <v>34</v>
      </c>
      <c r="C1674" s="23" t="s">
        <v>51</v>
      </c>
      <c r="D1674" s="24"/>
      <c r="E1674" s="24"/>
      <c r="F1674" s="23"/>
    </row>
    <row r="1675" spans="1:6" x14ac:dyDescent="0.3">
      <c r="A1675" t="s">
        <v>330</v>
      </c>
      <c r="B1675" s="23" t="s">
        <v>64</v>
      </c>
      <c r="C1675" t="s">
        <v>30</v>
      </c>
      <c r="D1675" s="24"/>
      <c r="E1675" s="24"/>
      <c r="F1675" s="23"/>
    </row>
    <row r="1676" spans="1:6" x14ac:dyDescent="0.3">
      <c r="A1676" t="s">
        <v>330</v>
      </c>
      <c r="B1676" s="23" t="s">
        <v>73</v>
      </c>
      <c r="C1676" s="23" t="s">
        <v>55</v>
      </c>
      <c r="D1676" s="24">
        <v>0.83333333333333204</v>
      </c>
      <c r="E1676" s="24">
        <v>0.91666666666666496</v>
      </c>
      <c r="F1676" s="23" t="s">
        <v>331</v>
      </c>
    </row>
    <row r="1677" spans="1:6" x14ac:dyDescent="0.3">
      <c r="A1677" t="s">
        <v>330</v>
      </c>
      <c r="B1677" s="23" t="s">
        <v>60</v>
      </c>
      <c r="C1677" s="23" t="s">
        <v>55</v>
      </c>
      <c r="D1677" s="24">
        <v>0.83333333333333204</v>
      </c>
      <c r="E1677" s="24">
        <v>0.91666666666666496</v>
      </c>
      <c r="F1677" s="23" t="s">
        <v>331</v>
      </c>
    </row>
    <row r="1678" spans="1:6" x14ac:dyDescent="0.3">
      <c r="A1678" t="s">
        <v>330</v>
      </c>
      <c r="B1678" s="23" t="s">
        <v>40</v>
      </c>
      <c r="C1678" s="23" t="s">
        <v>10</v>
      </c>
      <c r="D1678" s="24"/>
      <c r="E1678" s="24"/>
      <c r="F1678" s="23"/>
    </row>
    <row r="1679" spans="1:6" x14ac:dyDescent="0.3">
      <c r="A1679" t="s">
        <v>330</v>
      </c>
      <c r="B1679" s="23" t="s">
        <v>36</v>
      </c>
      <c r="C1679" s="23" t="s">
        <v>10</v>
      </c>
      <c r="D1679" s="24"/>
      <c r="E1679" s="24"/>
      <c r="F1679" s="23"/>
    </row>
    <row r="1680" spans="1:6" x14ac:dyDescent="0.3">
      <c r="A1680" t="s">
        <v>330</v>
      </c>
      <c r="B1680" s="23" t="s">
        <v>79</v>
      </c>
      <c r="C1680" s="23" t="s">
        <v>10</v>
      </c>
      <c r="D1680" s="2"/>
      <c r="E1680" s="2"/>
    </row>
    <row r="1681" spans="1:6" x14ac:dyDescent="0.3">
      <c r="A1681" t="s">
        <v>330</v>
      </c>
      <c r="B1681" s="23" t="s">
        <v>27</v>
      </c>
      <c r="C1681" s="23" t="s">
        <v>10</v>
      </c>
      <c r="D1681" s="2"/>
      <c r="E1681" s="2"/>
    </row>
    <row r="1682" spans="1:6" x14ac:dyDescent="0.3">
      <c r="A1682" t="s">
        <v>330</v>
      </c>
      <c r="B1682" s="23" t="s">
        <v>109</v>
      </c>
      <c r="C1682" s="23" t="s">
        <v>41</v>
      </c>
      <c r="D1682" s="24"/>
      <c r="E1682" s="24"/>
      <c r="F1682" s="23"/>
    </row>
    <row r="1683" spans="1:6" x14ac:dyDescent="0.3">
      <c r="A1683" t="s">
        <v>330</v>
      </c>
      <c r="B1683" s="23" t="s">
        <v>149</v>
      </c>
      <c r="C1683" s="23" t="s">
        <v>41</v>
      </c>
      <c r="D1683" s="24"/>
      <c r="E1683" s="24"/>
      <c r="F1683" s="23"/>
    </row>
    <row r="1684" spans="1:6" x14ac:dyDescent="0.3">
      <c r="A1684" t="s">
        <v>330</v>
      </c>
      <c r="B1684" s="23" t="s">
        <v>32</v>
      </c>
      <c r="C1684" t="s">
        <v>26</v>
      </c>
      <c r="D1684" s="2">
        <v>0.66666666666666596</v>
      </c>
      <c r="E1684" s="2">
        <v>0.79166666666666496</v>
      </c>
      <c r="F1684" s="23"/>
    </row>
    <row r="1685" spans="1:6" x14ac:dyDescent="0.3">
      <c r="A1685" t="s">
        <v>330</v>
      </c>
      <c r="B1685" s="23" t="s">
        <v>32</v>
      </c>
      <c r="C1685" t="s">
        <v>26</v>
      </c>
      <c r="D1685" s="2">
        <v>0.79166666666666496</v>
      </c>
      <c r="E1685" s="2">
        <v>0.91666666666666496</v>
      </c>
    </row>
    <row r="1686" spans="1:6" x14ac:dyDescent="0.3">
      <c r="A1686" t="s">
        <v>330</v>
      </c>
      <c r="B1686" s="23" t="s">
        <v>7</v>
      </c>
      <c r="C1686" s="23" t="s">
        <v>26</v>
      </c>
      <c r="D1686" s="24">
        <v>0.79166666666666496</v>
      </c>
      <c r="E1686" s="24">
        <v>0.91666666666666496</v>
      </c>
      <c r="F1686" s="23"/>
    </row>
    <row r="1687" spans="1:6" x14ac:dyDescent="0.3">
      <c r="A1687" t="s">
        <v>330</v>
      </c>
      <c r="B1687" s="23" t="s">
        <v>20</v>
      </c>
      <c r="C1687" s="23" t="s">
        <v>26</v>
      </c>
      <c r="D1687" s="24">
        <v>0.79166666666666496</v>
      </c>
      <c r="E1687" s="24">
        <v>0.91666666666666496</v>
      </c>
      <c r="F1687" s="23"/>
    </row>
    <row r="1688" spans="1:6" x14ac:dyDescent="0.3">
      <c r="A1688" t="s">
        <v>330</v>
      </c>
      <c r="B1688" s="23" t="s">
        <v>66</v>
      </c>
      <c r="C1688" s="23" t="s">
        <v>26</v>
      </c>
      <c r="D1688" s="24">
        <v>0.41666666666666702</v>
      </c>
      <c r="E1688" s="24">
        <v>0.54166666666666596</v>
      </c>
      <c r="F1688" s="23"/>
    </row>
    <row r="1689" spans="1:6" x14ac:dyDescent="0.3">
      <c r="A1689" t="s">
        <v>330</v>
      </c>
      <c r="B1689" s="23" t="s">
        <v>20</v>
      </c>
      <c r="C1689" s="23" t="s">
        <v>26</v>
      </c>
      <c r="D1689" s="24">
        <v>0.66666666666666596</v>
      </c>
      <c r="E1689" s="24">
        <v>0.79166666666666496</v>
      </c>
      <c r="F1689" s="23"/>
    </row>
    <row r="1690" spans="1:6" x14ac:dyDescent="0.3">
      <c r="A1690" t="s">
        <v>330</v>
      </c>
      <c r="B1690" s="23" t="s">
        <v>25</v>
      </c>
      <c r="C1690" s="23" t="s">
        <v>26</v>
      </c>
      <c r="D1690" s="24">
        <v>0.29166666666666669</v>
      </c>
      <c r="E1690" s="24">
        <v>0.41666666666666702</v>
      </c>
      <c r="F1690" s="23"/>
    </row>
    <row r="1691" spans="1:6" x14ac:dyDescent="0.3">
      <c r="A1691" t="s">
        <v>332</v>
      </c>
      <c r="B1691" t="s">
        <v>32</v>
      </c>
      <c r="C1691" t="s">
        <v>13</v>
      </c>
      <c r="D1691" s="2"/>
      <c r="E1691" s="2"/>
    </row>
    <row r="1692" spans="1:6" x14ac:dyDescent="0.3">
      <c r="A1692" t="s">
        <v>332</v>
      </c>
      <c r="B1692" s="23" t="s">
        <v>29</v>
      </c>
      <c r="C1692" s="23" t="s">
        <v>15</v>
      </c>
      <c r="D1692" s="24"/>
      <c r="E1692" s="24"/>
      <c r="F1692" s="23"/>
    </row>
    <row r="1693" spans="1:6" x14ac:dyDescent="0.3">
      <c r="A1693" t="s">
        <v>332</v>
      </c>
      <c r="B1693" s="23" t="s">
        <v>142</v>
      </c>
      <c r="C1693" s="23" t="s">
        <v>8</v>
      </c>
      <c r="D1693" s="24"/>
      <c r="E1693" s="24"/>
      <c r="F1693" s="23"/>
    </row>
    <row r="1694" spans="1:6" x14ac:dyDescent="0.3">
      <c r="A1694" t="s">
        <v>332</v>
      </c>
      <c r="B1694" s="23" t="s">
        <v>98</v>
      </c>
      <c r="C1694" t="s">
        <v>13</v>
      </c>
      <c r="D1694" s="24"/>
      <c r="E1694" s="24"/>
      <c r="F1694" s="23"/>
    </row>
    <row r="1695" spans="1:6" x14ac:dyDescent="0.3">
      <c r="A1695" t="s">
        <v>332</v>
      </c>
      <c r="B1695" s="23" t="s">
        <v>61</v>
      </c>
      <c r="C1695" s="23" t="s">
        <v>8</v>
      </c>
      <c r="D1695" s="24"/>
      <c r="E1695" s="24"/>
      <c r="F1695" s="23"/>
    </row>
    <row r="1696" spans="1:6" x14ac:dyDescent="0.3">
      <c r="A1696" t="s">
        <v>332</v>
      </c>
      <c r="B1696" s="23" t="s">
        <v>39</v>
      </c>
      <c r="C1696" s="23" t="s">
        <v>41</v>
      </c>
      <c r="D1696" s="24"/>
      <c r="E1696" s="24"/>
      <c r="F1696" s="23"/>
    </row>
    <row r="1697" spans="1:6" x14ac:dyDescent="0.3">
      <c r="A1697" t="s">
        <v>332</v>
      </c>
      <c r="B1697" s="23" t="s">
        <v>80</v>
      </c>
      <c r="C1697" s="23" t="s">
        <v>41</v>
      </c>
      <c r="D1697" s="24"/>
      <c r="E1697" s="24"/>
      <c r="F1697" s="23"/>
    </row>
    <row r="1698" spans="1:6" x14ac:dyDescent="0.3">
      <c r="A1698" t="s">
        <v>332</v>
      </c>
      <c r="B1698" s="23" t="s">
        <v>40</v>
      </c>
      <c r="C1698" s="23" t="s">
        <v>10</v>
      </c>
      <c r="D1698" s="24"/>
      <c r="E1698" s="24"/>
      <c r="F1698" s="23"/>
    </row>
    <row r="1699" spans="1:6" x14ac:dyDescent="0.3">
      <c r="A1699" t="s">
        <v>332</v>
      </c>
      <c r="B1699" s="23" t="s">
        <v>36</v>
      </c>
      <c r="C1699" s="23" t="s">
        <v>10</v>
      </c>
      <c r="D1699" s="24"/>
      <c r="E1699" s="24"/>
      <c r="F1699" s="23"/>
    </row>
    <row r="1700" spans="1:6" x14ac:dyDescent="0.3">
      <c r="A1700" t="s">
        <v>332</v>
      </c>
      <c r="B1700" s="23" t="s">
        <v>79</v>
      </c>
      <c r="C1700" s="23" t="s">
        <v>10</v>
      </c>
      <c r="D1700" s="2"/>
      <c r="E1700" s="2"/>
    </row>
    <row r="1701" spans="1:6" x14ac:dyDescent="0.3">
      <c r="A1701" t="s">
        <v>332</v>
      </c>
      <c r="B1701" s="23" t="s">
        <v>27</v>
      </c>
      <c r="C1701" s="23" t="s">
        <v>10</v>
      </c>
      <c r="D1701" s="2"/>
      <c r="E1701" s="2"/>
    </row>
    <row r="1702" spans="1:6" x14ac:dyDescent="0.3">
      <c r="A1702" t="s">
        <v>332</v>
      </c>
      <c r="B1702" s="23" t="s">
        <v>33</v>
      </c>
      <c r="C1702" s="23" t="s">
        <v>43</v>
      </c>
      <c r="D1702" s="2"/>
      <c r="E1702" s="2"/>
    </row>
    <row r="1703" spans="1:6" x14ac:dyDescent="0.3">
      <c r="A1703" t="s">
        <v>332</v>
      </c>
      <c r="B1703" s="23" t="s">
        <v>44</v>
      </c>
      <c r="C1703" s="23" t="s">
        <v>45</v>
      </c>
      <c r="D1703" s="2"/>
      <c r="E1703" s="2"/>
    </row>
    <row r="1704" spans="1:6" x14ac:dyDescent="0.3">
      <c r="A1704" t="s">
        <v>332</v>
      </c>
      <c r="B1704" s="23" t="s">
        <v>21</v>
      </c>
      <c r="C1704" s="23" t="s">
        <v>46</v>
      </c>
      <c r="D1704" s="2"/>
      <c r="E1704" s="2"/>
    </row>
    <row r="1705" spans="1:6" x14ac:dyDescent="0.3">
      <c r="A1705" t="s">
        <v>332</v>
      </c>
      <c r="B1705" s="23" t="s">
        <v>47</v>
      </c>
      <c r="C1705" s="23" t="s">
        <v>18</v>
      </c>
      <c r="D1705" s="2"/>
      <c r="E1705" s="2"/>
    </row>
    <row r="1706" spans="1:6" x14ac:dyDescent="0.3">
      <c r="A1706" t="s">
        <v>332</v>
      </c>
      <c r="B1706" s="23" t="s">
        <v>71</v>
      </c>
      <c r="C1706" s="23" t="s">
        <v>49</v>
      </c>
      <c r="D1706" s="24"/>
      <c r="E1706" s="24"/>
      <c r="F1706" s="23"/>
    </row>
    <row r="1707" spans="1:6" x14ac:dyDescent="0.3">
      <c r="A1707" t="s">
        <v>332</v>
      </c>
      <c r="B1707" s="23" t="s">
        <v>50</v>
      </c>
      <c r="C1707" s="23" t="s">
        <v>51</v>
      </c>
      <c r="D1707" s="24"/>
      <c r="E1707" s="24"/>
      <c r="F1707" s="23"/>
    </row>
    <row r="1708" spans="1:6" x14ac:dyDescent="0.3">
      <c r="A1708" t="s">
        <v>332</v>
      </c>
      <c r="B1708" s="23" t="s">
        <v>72</v>
      </c>
      <c r="C1708" s="23" t="s">
        <v>30</v>
      </c>
      <c r="D1708" s="2"/>
      <c r="E1708" s="2"/>
    </row>
    <row r="1709" spans="1:6" x14ac:dyDescent="0.3">
      <c r="A1709" t="s">
        <v>332</v>
      </c>
      <c r="B1709" s="23" t="s">
        <v>333</v>
      </c>
      <c r="C1709" s="23" t="s">
        <v>55</v>
      </c>
      <c r="D1709" s="2">
        <v>0.29166666666666669</v>
      </c>
      <c r="E1709" s="2">
        <v>0.33333333333333298</v>
      </c>
      <c r="F1709" t="s">
        <v>334</v>
      </c>
    </row>
    <row r="1710" spans="1:6" x14ac:dyDescent="0.3">
      <c r="A1710" t="s">
        <v>332</v>
      </c>
      <c r="B1710" s="23" t="s">
        <v>63</v>
      </c>
      <c r="C1710" s="23" t="s">
        <v>55</v>
      </c>
      <c r="D1710" s="24">
        <v>0.749999999999999</v>
      </c>
      <c r="E1710" s="24">
        <v>0.79166666666666496</v>
      </c>
      <c r="F1710" s="23" t="s">
        <v>335</v>
      </c>
    </row>
    <row r="1711" spans="1:6" x14ac:dyDescent="0.3">
      <c r="A1711" t="s">
        <v>332</v>
      </c>
      <c r="B1711" s="23" t="s">
        <v>37</v>
      </c>
      <c r="C1711" t="s">
        <v>30</v>
      </c>
      <c r="D1711" s="2"/>
      <c r="E1711" s="2"/>
      <c r="F1711" s="23"/>
    </row>
    <row r="1712" spans="1:6" x14ac:dyDescent="0.3">
      <c r="A1712" t="s">
        <v>332</v>
      </c>
      <c r="B1712" s="23" t="s">
        <v>63</v>
      </c>
      <c r="C1712" t="s">
        <v>55</v>
      </c>
      <c r="D1712" s="2">
        <v>0.70833333333333204</v>
      </c>
      <c r="E1712" s="2">
        <v>0.749999999999999</v>
      </c>
      <c r="F1712" t="s">
        <v>336</v>
      </c>
    </row>
    <row r="1713" spans="1:6" x14ac:dyDescent="0.3">
      <c r="A1713" t="s">
        <v>332</v>
      </c>
      <c r="B1713" s="23" t="s">
        <v>36</v>
      </c>
      <c r="C1713" s="23" t="s">
        <v>24</v>
      </c>
      <c r="D1713" s="24">
        <v>0.54166666666666596</v>
      </c>
      <c r="E1713" s="24">
        <v>0.624999999999999</v>
      </c>
      <c r="F1713" s="23" t="s">
        <v>337</v>
      </c>
    </row>
    <row r="1714" spans="1:6" x14ac:dyDescent="0.3">
      <c r="A1714" t="s">
        <v>338</v>
      </c>
      <c r="B1714" t="s">
        <v>52</v>
      </c>
      <c r="C1714" t="s">
        <v>13</v>
      </c>
      <c r="D1714" s="2"/>
      <c r="E1714" s="2"/>
    </row>
    <row r="1715" spans="1:6" x14ac:dyDescent="0.3">
      <c r="A1715" t="s">
        <v>338</v>
      </c>
      <c r="B1715" s="23" t="s">
        <v>37</v>
      </c>
      <c r="C1715" s="23" t="s">
        <v>15</v>
      </c>
      <c r="D1715" s="24"/>
      <c r="E1715" s="24"/>
      <c r="F1715" s="23"/>
    </row>
    <row r="1716" spans="1:6" x14ac:dyDescent="0.3">
      <c r="A1716" t="s">
        <v>338</v>
      </c>
      <c r="B1716" s="23" t="s">
        <v>73</v>
      </c>
      <c r="C1716" s="23" t="s">
        <v>8</v>
      </c>
      <c r="D1716" s="24"/>
      <c r="E1716" s="24"/>
      <c r="F1716" s="23"/>
    </row>
    <row r="1717" spans="1:6" x14ac:dyDescent="0.3">
      <c r="A1717" t="s">
        <v>338</v>
      </c>
      <c r="B1717" s="23" t="s">
        <v>62</v>
      </c>
      <c r="C1717" s="23" t="s">
        <v>13</v>
      </c>
      <c r="D1717" s="24"/>
      <c r="E1717" s="24"/>
      <c r="F1717" s="23"/>
    </row>
    <row r="1718" spans="1:6" x14ac:dyDescent="0.3">
      <c r="A1718" t="s">
        <v>338</v>
      </c>
      <c r="B1718" s="23" t="s">
        <v>69</v>
      </c>
      <c r="C1718" s="23" t="s">
        <v>8</v>
      </c>
      <c r="D1718" s="24"/>
      <c r="E1718" s="24"/>
      <c r="F1718" s="23"/>
    </row>
    <row r="1719" spans="1:6" x14ac:dyDescent="0.3">
      <c r="A1719" t="s">
        <v>338</v>
      </c>
      <c r="B1719" s="23" t="s">
        <v>50</v>
      </c>
      <c r="C1719" s="23" t="s">
        <v>30</v>
      </c>
      <c r="D1719" s="24"/>
      <c r="E1719" s="24"/>
      <c r="F1719" s="23"/>
    </row>
    <row r="1720" spans="1:6" x14ac:dyDescent="0.3">
      <c r="A1720" t="s">
        <v>338</v>
      </c>
      <c r="B1720" s="23" t="s">
        <v>40</v>
      </c>
      <c r="C1720" s="23" t="s">
        <v>10</v>
      </c>
      <c r="D1720" s="24"/>
      <c r="E1720" s="24"/>
      <c r="F1720" s="23"/>
    </row>
    <row r="1721" spans="1:6" x14ac:dyDescent="0.3">
      <c r="A1721" t="s">
        <v>338</v>
      </c>
      <c r="B1721" s="23" t="s">
        <v>36</v>
      </c>
      <c r="C1721" s="23" t="s">
        <v>10</v>
      </c>
      <c r="D1721" s="24"/>
      <c r="E1721" s="24"/>
      <c r="F1721" s="23"/>
    </row>
    <row r="1722" spans="1:6" x14ac:dyDescent="0.3">
      <c r="A1722" t="s">
        <v>338</v>
      </c>
      <c r="B1722" s="23" t="s">
        <v>79</v>
      </c>
      <c r="C1722" s="23" t="s">
        <v>10</v>
      </c>
      <c r="D1722" s="24"/>
      <c r="E1722" s="24"/>
      <c r="F1722" s="23"/>
    </row>
    <row r="1723" spans="1:6" x14ac:dyDescent="0.3">
      <c r="A1723" t="s">
        <v>338</v>
      </c>
      <c r="B1723" s="23" t="s">
        <v>27</v>
      </c>
      <c r="C1723" s="23" t="s">
        <v>10</v>
      </c>
      <c r="D1723" s="24"/>
      <c r="E1723" s="24"/>
      <c r="F1723" s="23"/>
    </row>
    <row r="1724" spans="1:6" x14ac:dyDescent="0.3">
      <c r="A1724" t="s">
        <v>338</v>
      </c>
      <c r="B1724" s="23" t="s">
        <v>35</v>
      </c>
      <c r="C1724" s="23" t="s">
        <v>41</v>
      </c>
      <c r="D1724" s="24"/>
      <c r="E1724" s="24"/>
      <c r="F1724" s="23"/>
    </row>
    <row r="1725" spans="1:6" x14ac:dyDescent="0.3">
      <c r="A1725" t="s">
        <v>338</v>
      </c>
      <c r="B1725" s="23" t="s">
        <v>57</v>
      </c>
      <c r="C1725" s="23" t="s">
        <v>41</v>
      </c>
      <c r="D1725" s="24"/>
      <c r="E1725" s="24"/>
      <c r="F1725" s="23"/>
    </row>
    <row r="1726" spans="1:6" x14ac:dyDescent="0.3">
      <c r="A1726" t="s">
        <v>338</v>
      </c>
      <c r="B1726" s="23" t="s">
        <v>9</v>
      </c>
      <c r="C1726" s="23" t="s">
        <v>41</v>
      </c>
      <c r="D1726" s="24"/>
      <c r="E1726" s="24"/>
      <c r="F1726" s="23"/>
    </row>
    <row r="1727" spans="1:6" x14ac:dyDescent="0.3">
      <c r="A1727" t="s">
        <v>338</v>
      </c>
      <c r="B1727" s="23" t="s">
        <v>84</v>
      </c>
      <c r="C1727" s="23" t="s">
        <v>43</v>
      </c>
      <c r="D1727" s="24"/>
      <c r="E1727" s="24"/>
      <c r="F1727" s="23"/>
    </row>
    <row r="1728" spans="1:6" x14ac:dyDescent="0.3">
      <c r="A1728" t="s">
        <v>338</v>
      </c>
      <c r="B1728" s="23" t="s">
        <v>44</v>
      </c>
      <c r="C1728" s="23" t="s">
        <v>45</v>
      </c>
      <c r="D1728" s="24"/>
      <c r="E1728" s="24"/>
      <c r="F1728" s="23"/>
    </row>
    <row r="1729" spans="1:6" x14ac:dyDescent="0.3">
      <c r="A1729" t="s">
        <v>338</v>
      </c>
      <c r="B1729" s="23" t="s">
        <v>21</v>
      </c>
      <c r="C1729" s="23" t="s">
        <v>46</v>
      </c>
      <c r="D1729" s="24"/>
      <c r="E1729" s="24"/>
      <c r="F1729" s="23"/>
    </row>
    <row r="1730" spans="1:6" x14ac:dyDescent="0.3">
      <c r="A1730" t="s">
        <v>338</v>
      </c>
      <c r="B1730" s="23" t="s">
        <v>32</v>
      </c>
      <c r="C1730" s="23" t="s">
        <v>18</v>
      </c>
      <c r="D1730" s="24"/>
      <c r="E1730" s="24"/>
      <c r="F1730" s="23"/>
    </row>
    <row r="1731" spans="1:6" x14ac:dyDescent="0.3">
      <c r="A1731" t="s">
        <v>338</v>
      </c>
      <c r="B1731" s="23" t="s">
        <v>85</v>
      </c>
      <c r="C1731" s="23" t="s">
        <v>49</v>
      </c>
      <c r="D1731" s="24"/>
      <c r="E1731" s="24"/>
      <c r="F1731" s="23"/>
    </row>
    <row r="1732" spans="1:6" x14ac:dyDescent="0.3">
      <c r="A1732" t="s">
        <v>338</v>
      </c>
      <c r="B1732" s="23" t="s">
        <v>50</v>
      </c>
      <c r="C1732" s="23" t="s">
        <v>51</v>
      </c>
      <c r="D1732" s="2"/>
      <c r="E1732" s="2"/>
    </row>
    <row r="1733" spans="1:6" x14ac:dyDescent="0.3">
      <c r="A1733" t="s">
        <v>338</v>
      </c>
      <c r="B1733" s="23" t="s">
        <v>23</v>
      </c>
      <c r="C1733" s="23" t="s">
        <v>53</v>
      </c>
      <c r="D1733" s="24">
        <v>0.29166666666666669</v>
      </c>
      <c r="E1733" s="24">
        <v>0.79166666666666496</v>
      </c>
      <c r="F1733" t="s">
        <v>339</v>
      </c>
    </row>
    <row r="1734" spans="1:6" x14ac:dyDescent="0.3">
      <c r="A1734" t="s">
        <v>338</v>
      </c>
      <c r="B1734" s="23" t="s">
        <v>75</v>
      </c>
      <c r="C1734" s="23" t="s">
        <v>55</v>
      </c>
      <c r="D1734" s="24">
        <v>0.29166666666666669</v>
      </c>
      <c r="E1734" s="24">
        <v>0.33333333333333298</v>
      </c>
      <c r="F1734" t="s">
        <v>340</v>
      </c>
    </row>
    <row r="1735" spans="1:6" x14ac:dyDescent="0.3">
      <c r="A1735" t="s">
        <v>338</v>
      </c>
      <c r="B1735" s="23" t="s">
        <v>64</v>
      </c>
      <c r="C1735" t="s">
        <v>53</v>
      </c>
      <c r="D1735" s="2">
        <v>0.58333333333333304</v>
      </c>
      <c r="E1735" s="2">
        <v>0.624999999999999</v>
      </c>
      <c r="F1735" t="s">
        <v>341</v>
      </c>
    </row>
    <row r="1736" spans="1:6" x14ac:dyDescent="0.3">
      <c r="A1736" t="s">
        <v>338</v>
      </c>
      <c r="B1736" s="23" t="s">
        <v>14</v>
      </c>
      <c r="C1736" s="23" t="s">
        <v>26</v>
      </c>
      <c r="D1736" s="24">
        <v>0.66666666666666596</v>
      </c>
      <c r="E1736" s="24">
        <v>0.79166666666666496</v>
      </c>
      <c r="F1736" s="23"/>
    </row>
    <row r="1737" spans="1:6" x14ac:dyDescent="0.3">
      <c r="A1737" t="s">
        <v>338</v>
      </c>
      <c r="B1737" s="23" t="s">
        <v>33</v>
      </c>
      <c r="C1737" s="23" t="s">
        <v>30</v>
      </c>
      <c r="D1737" s="24"/>
      <c r="E1737" s="24"/>
      <c r="F1737" s="23"/>
    </row>
    <row r="1738" spans="1:6" x14ac:dyDescent="0.3">
      <c r="A1738" t="s">
        <v>342</v>
      </c>
      <c r="B1738" t="s">
        <v>34</v>
      </c>
      <c r="C1738" t="s">
        <v>13</v>
      </c>
      <c r="D1738" s="2"/>
      <c r="E1738" s="2"/>
    </row>
    <row r="1739" spans="1:6" x14ac:dyDescent="0.3">
      <c r="A1739" t="s">
        <v>342</v>
      </c>
      <c r="B1739" t="s">
        <v>33</v>
      </c>
      <c r="C1739" t="s">
        <v>15</v>
      </c>
      <c r="D1739" s="2"/>
      <c r="E1739" s="2"/>
    </row>
    <row r="1740" spans="1:6" x14ac:dyDescent="0.3">
      <c r="A1740" t="s">
        <v>342</v>
      </c>
      <c r="B1740" t="s">
        <v>68</v>
      </c>
      <c r="C1740" t="s">
        <v>8</v>
      </c>
      <c r="D1740" s="2"/>
      <c r="E1740" s="2"/>
    </row>
    <row r="1741" spans="1:6" x14ac:dyDescent="0.3">
      <c r="A1741" t="s">
        <v>342</v>
      </c>
      <c r="B1741" t="s">
        <v>103</v>
      </c>
      <c r="C1741" t="s">
        <v>13</v>
      </c>
      <c r="D1741" s="2"/>
      <c r="E1741" s="2"/>
    </row>
    <row r="1742" spans="1:6" x14ac:dyDescent="0.3">
      <c r="A1742" t="s">
        <v>342</v>
      </c>
      <c r="B1742" t="s">
        <v>79</v>
      </c>
      <c r="C1742" t="s">
        <v>8</v>
      </c>
      <c r="D1742" s="2"/>
      <c r="E1742" s="2"/>
    </row>
    <row r="1743" spans="1:6" x14ac:dyDescent="0.3">
      <c r="A1743" t="s">
        <v>342</v>
      </c>
      <c r="B1743" t="s">
        <v>40</v>
      </c>
      <c r="C1743" t="s">
        <v>10</v>
      </c>
      <c r="D1743" s="2"/>
      <c r="E1743" s="2"/>
    </row>
    <row r="1744" spans="1:6" x14ac:dyDescent="0.3">
      <c r="A1744" t="s">
        <v>342</v>
      </c>
      <c r="B1744" t="s">
        <v>36</v>
      </c>
      <c r="C1744" t="s">
        <v>10</v>
      </c>
      <c r="D1744" s="2"/>
      <c r="E1744" s="2"/>
    </row>
    <row r="1745" spans="1:6" x14ac:dyDescent="0.3">
      <c r="A1745" t="s">
        <v>342</v>
      </c>
      <c r="B1745" t="s">
        <v>79</v>
      </c>
      <c r="C1745" t="s">
        <v>10</v>
      </c>
      <c r="D1745" s="2"/>
      <c r="E1745" s="2"/>
    </row>
    <row r="1746" spans="1:6" x14ac:dyDescent="0.3">
      <c r="A1746" t="s">
        <v>342</v>
      </c>
      <c r="B1746" t="s">
        <v>27</v>
      </c>
      <c r="C1746" t="s">
        <v>10</v>
      </c>
      <c r="D1746" s="2"/>
      <c r="E1746" s="2"/>
    </row>
    <row r="1747" spans="1:6" x14ac:dyDescent="0.3">
      <c r="A1747" t="s">
        <v>342</v>
      </c>
      <c r="B1747" s="23" t="s">
        <v>96</v>
      </c>
      <c r="C1747" s="23" t="s">
        <v>41</v>
      </c>
      <c r="D1747" s="24"/>
      <c r="E1747" s="24"/>
      <c r="F1747" s="23"/>
    </row>
    <row r="1748" spans="1:6" x14ac:dyDescent="0.3">
      <c r="A1748" t="s">
        <v>342</v>
      </c>
      <c r="B1748" s="23" t="s">
        <v>97</v>
      </c>
      <c r="C1748" s="23" t="s">
        <v>41</v>
      </c>
      <c r="D1748" s="24"/>
      <c r="E1748" s="24"/>
      <c r="F1748" s="23"/>
    </row>
    <row r="1749" spans="1:6" x14ac:dyDescent="0.3">
      <c r="A1749" t="s">
        <v>342</v>
      </c>
      <c r="B1749" t="s">
        <v>37</v>
      </c>
      <c r="C1749" t="s">
        <v>43</v>
      </c>
      <c r="D1749" s="2"/>
      <c r="E1749" s="2"/>
    </row>
    <row r="1750" spans="1:6" x14ac:dyDescent="0.3">
      <c r="A1750" t="s">
        <v>342</v>
      </c>
      <c r="B1750" t="s">
        <v>23</v>
      </c>
      <c r="C1750" t="s">
        <v>45</v>
      </c>
      <c r="D1750" s="2"/>
      <c r="E1750" s="2"/>
    </row>
    <row r="1751" spans="1:6" x14ac:dyDescent="0.3">
      <c r="A1751" t="s">
        <v>342</v>
      </c>
      <c r="B1751" t="s">
        <v>21</v>
      </c>
      <c r="C1751" t="s">
        <v>46</v>
      </c>
      <c r="D1751" s="2"/>
      <c r="E1751" s="2"/>
    </row>
    <row r="1752" spans="1:6" x14ac:dyDescent="0.3">
      <c r="A1752" t="s">
        <v>342</v>
      </c>
      <c r="B1752" t="s">
        <v>47</v>
      </c>
      <c r="C1752" t="s">
        <v>18</v>
      </c>
      <c r="D1752" s="2"/>
      <c r="E1752" s="2"/>
    </row>
    <row r="1753" spans="1:6" x14ac:dyDescent="0.3">
      <c r="A1753" t="s">
        <v>342</v>
      </c>
      <c r="B1753" t="s">
        <v>85</v>
      </c>
      <c r="C1753" t="s">
        <v>49</v>
      </c>
      <c r="D1753" s="2"/>
      <c r="E1753" s="2"/>
    </row>
    <row r="1754" spans="1:6" x14ac:dyDescent="0.3">
      <c r="A1754" t="s">
        <v>342</v>
      </c>
      <c r="B1754" t="s">
        <v>17</v>
      </c>
      <c r="C1754" t="s">
        <v>51</v>
      </c>
      <c r="D1754" s="2"/>
      <c r="E1754" s="2"/>
    </row>
    <row r="1755" spans="1:6" x14ac:dyDescent="0.3">
      <c r="A1755" t="s">
        <v>342</v>
      </c>
      <c r="B1755" s="23" t="s">
        <v>12</v>
      </c>
      <c r="C1755" s="23" t="s">
        <v>24</v>
      </c>
      <c r="D1755" s="24"/>
      <c r="E1755" s="24"/>
      <c r="F1755" s="23" t="s">
        <v>284</v>
      </c>
    </row>
    <row r="1756" spans="1:6" x14ac:dyDescent="0.3">
      <c r="A1756" t="s">
        <v>342</v>
      </c>
      <c r="B1756" s="23" t="s">
        <v>16</v>
      </c>
      <c r="C1756" s="23" t="s">
        <v>30</v>
      </c>
      <c r="D1756" s="2"/>
      <c r="E1756" s="2"/>
    </row>
    <row r="1757" spans="1:6" x14ac:dyDescent="0.3">
      <c r="A1757" t="s">
        <v>342</v>
      </c>
      <c r="B1757" s="23" t="s">
        <v>29</v>
      </c>
      <c r="C1757" t="s">
        <v>26</v>
      </c>
      <c r="D1757" s="2">
        <v>0.66666666666666596</v>
      </c>
      <c r="E1757" s="2">
        <v>0.79166666666666496</v>
      </c>
    </row>
    <row r="1758" spans="1:6" x14ac:dyDescent="0.3">
      <c r="A1758" t="s">
        <v>342</v>
      </c>
      <c r="B1758" s="23" t="s">
        <v>29</v>
      </c>
      <c r="C1758" s="23" t="s">
        <v>26</v>
      </c>
      <c r="D1758" s="24">
        <v>0.79166666666666496</v>
      </c>
      <c r="E1758" s="24">
        <v>0.91666666666666496</v>
      </c>
      <c r="F1758" s="23"/>
    </row>
    <row r="1759" spans="1:6" x14ac:dyDescent="0.3">
      <c r="A1759" t="s">
        <v>342</v>
      </c>
      <c r="B1759" s="23" t="s">
        <v>23</v>
      </c>
      <c r="C1759" t="s">
        <v>53</v>
      </c>
      <c r="D1759" s="2">
        <v>0.4375</v>
      </c>
      <c r="E1759" s="2">
        <v>0.47916666666666602</v>
      </c>
      <c r="F1759" t="s">
        <v>325</v>
      </c>
    </row>
    <row r="1760" spans="1:6" x14ac:dyDescent="0.3">
      <c r="A1760" t="s">
        <v>342</v>
      </c>
      <c r="B1760" s="23" t="s">
        <v>50</v>
      </c>
      <c r="C1760" s="23" t="s">
        <v>53</v>
      </c>
      <c r="D1760" s="24">
        <v>0.4375</v>
      </c>
      <c r="E1760" s="24">
        <v>0.47916666666666602</v>
      </c>
      <c r="F1760" s="23" t="s">
        <v>325</v>
      </c>
    </row>
    <row r="1761" spans="1:6" x14ac:dyDescent="0.3">
      <c r="A1761" t="s">
        <v>342</v>
      </c>
      <c r="B1761" s="23" t="s">
        <v>64</v>
      </c>
      <c r="C1761" s="23" t="s">
        <v>30</v>
      </c>
      <c r="D1761" s="24"/>
      <c r="E1761" s="24"/>
      <c r="F1761" s="23"/>
    </row>
    <row r="1762" spans="1:6" x14ac:dyDescent="0.3">
      <c r="A1762" t="s">
        <v>343</v>
      </c>
      <c r="B1762" t="s">
        <v>48</v>
      </c>
      <c r="C1762" t="s">
        <v>13</v>
      </c>
      <c r="D1762" s="2"/>
      <c r="E1762" s="2"/>
    </row>
    <row r="1763" spans="1:6" x14ac:dyDescent="0.3">
      <c r="A1763" t="s">
        <v>343</v>
      </c>
      <c r="B1763" s="23" t="s">
        <v>85</v>
      </c>
      <c r="C1763" s="23" t="s">
        <v>15</v>
      </c>
      <c r="D1763" s="24"/>
      <c r="E1763" s="24"/>
      <c r="F1763" s="23"/>
    </row>
    <row r="1764" spans="1:6" x14ac:dyDescent="0.3">
      <c r="A1764" t="s">
        <v>343</v>
      </c>
      <c r="B1764" s="23" t="s">
        <v>33</v>
      </c>
      <c r="C1764" s="23" t="s">
        <v>8</v>
      </c>
      <c r="D1764" s="24"/>
      <c r="E1764" s="24"/>
      <c r="F1764" s="23"/>
    </row>
    <row r="1765" spans="1:6" x14ac:dyDescent="0.3">
      <c r="A1765" t="s">
        <v>343</v>
      </c>
      <c r="B1765" s="23" t="s">
        <v>83</v>
      </c>
      <c r="C1765" t="s">
        <v>13</v>
      </c>
      <c r="D1765" s="24"/>
      <c r="E1765" s="24"/>
      <c r="F1765" s="23"/>
    </row>
    <row r="1766" spans="1:6" x14ac:dyDescent="0.3">
      <c r="A1766" t="s">
        <v>343</v>
      </c>
      <c r="B1766" s="23" t="s">
        <v>103</v>
      </c>
      <c r="C1766" s="23" t="s">
        <v>8</v>
      </c>
      <c r="D1766" s="24"/>
      <c r="E1766" s="24"/>
      <c r="F1766" s="23"/>
    </row>
    <row r="1767" spans="1:6" x14ac:dyDescent="0.3">
      <c r="A1767" t="s">
        <v>343</v>
      </c>
      <c r="B1767" s="23" t="s">
        <v>98</v>
      </c>
      <c r="C1767" s="23" t="s">
        <v>41</v>
      </c>
      <c r="D1767" s="24"/>
      <c r="E1767" s="24"/>
      <c r="F1767" s="23"/>
    </row>
    <row r="1768" spans="1:6" x14ac:dyDescent="0.3">
      <c r="A1768" t="s">
        <v>343</v>
      </c>
      <c r="B1768" s="23" t="s">
        <v>61</v>
      </c>
      <c r="C1768" s="23" t="s">
        <v>41</v>
      </c>
      <c r="D1768" s="24"/>
      <c r="E1768" s="24"/>
      <c r="F1768" s="23"/>
    </row>
    <row r="1769" spans="1:6" x14ac:dyDescent="0.3">
      <c r="A1769" t="s">
        <v>343</v>
      </c>
      <c r="B1769" s="23" t="s">
        <v>40</v>
      </c>
      <c r="C1769" s="23" t="s">
        <v>10</v>
      </c>
      <c r="D1769" s="24"/>
      <c r="E1769" s="24"/>
      <c r="F1769" s="23"/>
    </row>
    <row r="1770" spans="1:6" x14ac:dyDescent="0.3">
      <c r="A1770" t="s">
        <v>343</v>
      </c>
      <c r="B1770" s="23" t="s">
        <v>36</v>
      </c>
      <c r="C1770" s="23" t="s">
        <v>10</v>
      </c>
      <c r="D1770" s="24"/>
      <c r="E1770" s="24"/>
      <c r="F1770" s="23"/>
    </row>
    <row r="1771" spans="1:6" x14ac:dyDescent="0.3">
      <c r="A1771" t="s">
        <v>343</v>
      </c>
      <c r="B1771" s="23" t="s">
        <v>79</v>
      </c>
      <c r="C1771" s="23" t="s">
        <v>10</v>
      </c>
      <c r="D1771" s="2"/>
      <c r="E1771" s="2"/>
    </row>
    <row r="1772" spans="1:6" x14ac:dyDescent="0.3">
      <c r="A1772" t="s">
        <v>343</v>
      </c>
      <c r="B1772" s="23" t="s">
        <v>27</v>
      </c>
      <c r="C1772" s="23" t="s">
        <v>10</v>
      </c>
      <c r="D1772" s="2"/>
      <c r="E1772" s="2"/>
    </row>
    <row r="1773" spans="1:6" x14ac:dyDescent="0.3">
      <c r="A1773" t="s">
        <v>343</v>
      </c>
      <c r="B1773" s="23" t="s">
        <v>64</v>
      </c>
      <c r="C1773" s="23" t="s">
        <v>43</v>
      </c>
      <c r="D1773" s="2"/>
      <c r="E1773" s="2"/>
    </row>
    <row r="1774" spans="1:6" x14ac:dyDescent="0.3">
      <c r="A1774" t="s">
        <v>343</v>
      </c>
      <c r="B1774" s="23" t="s">
        <v>23</v>
      </c>
      <c r="C1774" s="23" t="s">
        <v>45</v>
      </c>
      <c r="D1774" s="2"/>
      <c r="E1774" s="2"/>
    </row>
    <row r="1775" spans="1:6" x14ac:dyDescent="0.3">
      <c r="A1775" t="s">
        <v>343</v>
      </c>
      <c r="B1775" s="23" t="s">
        <v>16</v>
      </c>
      <c r="C1775" s="23" t="s">
        <v>46</v>
      </c>
      <c r="D1775" s="2"/>
      <c r="E1775" s="2"/>
    </row>
    <row r="1776" spans="1:6" x14ac:dyDescent="0.3">
      <c r="A1776" t="s">
        <v>343</v>
      </c>
      <c r="B1776" s="23" t="s">
        <v>94</v>
      </c>
      <c r="C1776" s="23" t="s">
        <v>18</v>
      </c>
      <c r="D1776" s="2"/>
      <c r="E1776" s="2"/>
    </row>
    <row r="1777" spans="1:6" x14ac:dyDescent="0.3">
      <c r="A1777" t="s">
        <v>343</v>
      </c>
      <c r="B1777" s="23" t="s">
        <v>71</v>
      </c>
      <c r="C1777" s="23" t="s">
        <v>49</v>
      </c>
      <c r="D1777" s="24"/>
      <c r="E1777" s="24"/>
      <c r="F1777" s="23"/>
    </row>
    <row r="1778" spans="1:6" x14ac:dyDescent="0.3">
      <c r="A1778" t="s">
        <v>343</v>
      </c>
      <c r="B1778" s="23" t="s">
        <v>75</v>
      </c>
      <c r="C1778" s="23" t="s">
        <v>51</v>
      </c>
      <c r="D1778" s="24"/>
      <c r="E1778" s="24"/>
      <c r="F1778" s="23"/>
    </row>
    <row r="1779" spans="1:6" x14ac:dyDescent="0.3">
      <c r="A1779" t="s">
        <v>343</v>
      </c>
      <c r="B1779" s="23" t="s">
        <v>32</v>
      </c>
      <c r="C1779" t="s">
        <v>30</v>
      </c>
      <c r="D1779" s="2"/>
      <c r="E1779" s="2"/>
    </row>
    <row r="1780" spans="1:6" x14ac:dyDescent="0.3">
      <c r="A1780" t="s">
        <v>343</v>
      </c>
      <c r="B1780" s="23" t="s">
        <v>68</v>
      </c>
      <c r="C1780" s="23" t="s">
        <v>26</v>
      </c>
      <c r="D1780" s="2">
        <v>0.66666666666666596</v>
      </c>
      <c r="E1780" s="2">
        <v>0.79166666666666496</v>
      </c>
    </row>
    <row r="1781" spans="1:6" x14ac:dyDescent="0.3">
      <c r="A1781" t="s">
        <v>343</v>
      </c>
      <c r="B1781" s="23" t="s">
        <v>68</v>
      </c>
      <c r="C1781" s="23" t="s">
        <v>26</v>
      </c>
      <c r="D1781" s="24">
        <v>0.79166666666666496</v>
      </c>
      <c r="E1781" s="24">
        <v>0.91666666666666496</v>
      </c>
    </row>
    <row r="1782" spans="1:6" x14ac:dyDescent="0.3">
      <c r="A1782" t="s">
        <v>343</v>
      </c>
      <c r="B1782" s="23" t="s">
        <v>23</v>
      </c>
      <c r="C1782" t="s">
        <v>22</v>
      </c>
      <c r="D1782" s="2">
        <v>0.54166666666666596</v>
      </c>
      <c r="E1782" s="2">
        <v>0.79166666666666496</v>
      </c>
    </row>
    <row r="1783" spans="1:6" x14ac:dyDescent="0.3">
      <c r="A1783" t="s">
        <v>343</v>
      </c>
      <c r="B1783" s="23" t="s">
        <v>23</v>
      </c>
      <c r="C1783" s="23" t="s">
        <v>53</v>
      </c>
      <c r="D1783" s="24">
        <v>0.66666666666666596</v>
      </c>
      <c r="E1783" s="24">
        <v>0.70833333333333204</v>
      </c>
      <c r="F1783" s="23" t="s">
        <v>344</v>
      </c>
    </row>
    <row r="1784" spans="1:6" x14ac:dyDescent="0.3">
      <c r="A1784" t="s">
        <v>343</v>
      </c>
      <c r="B1784" s="23" t="s">
        <v>23</v>
      </c>
      <c r="C1784" s="23" t="s">
        <v>24</v>
      </c>
      <c r="D1784" s="24">
        <v>0.47916666666666602</v>
      </c>
      <c r="E1784" s="24">
        <v>0.64583333333333204</v>
      </c>
      <c r="F1784" s="23" t="s">
        <v>345</v>
      </c>
    </row>
    <row r="1785" spans="1:6" x14ac:dyDescent="0.3">
      <c r="A1785" t="s">
        <v>343</v>
      </c>
      <c r="B1785" s="23" t="s">
        <v>16</v>
      </c>
      <c r="C1785" s="23" t="s">
        <v>26</v>
      </c>
      <c r="D1785" s="24">
        <v>0.66666666666666596</v>
      </c>
      <c r="E1785" s="24">
        <v>0.79166666666666496</v>
      </c>
      <c r="F1785" s="23"/>
    </row>
    <row r="1786" spans="1:6" x14ac:dyDescent="0.3">
      <c r="A1786" t="s">
        <v>343</v>
      </c>
      <c r="B1786" s="23" t="s">
        <v>14</v>
      </c>
      <c r="C1786" s="23" t="s">
        <v>26</v>
      </c>
      <c r="D1786" s="24">
        <v>0.79166666666666496</v>
      </c>
      <c r="E1786" s="24">
        <v>0.91666666666666496</v>
      </c>
      <c r="F1786" s="23"/>
    </row>
    <row r="1787" spans="1:6" x14ac:dyDescent="0.3">
      <c r="A1787" t="s">
        <v>343</v>
      </c>
      <c r="B1787" s="23" t="s">
        <v>16</v>
      </c>
      <c r="C1787" s="23" t="s">
        <v>26</v>
      </c>
      <c r="D1787" s="24">
        <v>0.79166666666666496</v>
      </c>
      <c r="E1787" s="24">
        <v>0.91666666666666496</v>
      </c>
      <c r="F1787" s="23"/>
    </row>
    <row r="1788" spans="1:6" x14ac:dyDescent="0.3">
      <c r="A1788" t="s">
        <v>343</v>
      </c>
      <c r="B1788" s="23" t="s">
        <v>23</v>
      </c>
      <c r="C1788" s="23" t="s">
        <v>53</v>
      </c>
      <c r="D1788" s="24">
        <v>0.58333333333333304</v>
      </c>
      <c r="E1788" s="24">
        <v>0.624999999999999</v>
      </c>
      <c r="F1788" s="23" t="s">
        <v>346</v>
      </c>
    </row>
    <row r="1789" spans="1:6" x14ac:dyDescent="0.3">
      <c r="A1789" t="s">
        <v>343</v>
      </c>
      <c r="B1789" s="23" t="s">
        <v>23</v>
      </c>
      <c r="C1789" s="23" t="s">
        <v>53</v>
      </c>
      <c r="D1789" s="24">
        <v>0.70833333333333204</v>
      </c>
      <c r="E1789" s="24">
        <v>0.749999999999999</v>
      </c>
      <c r="F1789" s="23" t="s">
        <v>347</v>
      </c>
    </row>
    <row r="1790" spans="1:6" x14ac:dyDescent="0.3">
      <c r="A1790" t="s">
        <v>348</v>
      </c>
      <c r="B1790" t="s">
        <v>75</v>
      </c>
      <c r="C1790" t="s">
        <v>13</v>
      </c>
      <c r="D1790" s="2"/>
      <c r="E1790" s="2"/>
    </row>
    <row r="1791" spans="1:6" x14ac:dyDescent="0.3">
      <c r="A1791" t="s">
        <v>348</v>
      </c>
      <c r="B1791" s="23" t="s">
        <v>64</v>
      </c>
      <c r="C1791" s="23" t="s">
        <v>15</v>
      </c>
      <c r="D1791" s="24"/>
      <c r="E1791" s="24"/>
      <c r="F1791" s="23"/>
    </row>
    <row r="1792" spans="1:6" x14ac:dyDescent="0.3">
      <c r="A1792" t="s">
        <v>348</v>
      </c>
      <c r="B1792" s="23" t="s">
        <v>52</v>
      </c>
      <c r="C1792" s="23" t="s">
        <v>8</v>
      </c>
      <c r="D1792" s="24"/>
      <c r="E1792" s="24"/>
      <c r="F1792" s="23"/>
    </row>
    <row r="1793" spans="1:6" x14ac:dyDescent="0.3">
      <c r="A1793" t="s">
        <v>348</v>
      </c>
      <c r="B1793" s="23" t="s">
        <v>112</v>
      </c>
      <c r="C1793" t="s">
        <v>13</v>
      </c>
      <c r="D1793" s="24"/>
      <c r="E1793" s="24"/>
      <c r="F1793" s="23"/>
    </row>
    <row r="1794" spans="1:6" x14ac:dyDescent="0.3">
      <c r="A1794" t="s">
        <v>348</v>
      </c>
      <c r="B1794" s="23" t="s">
        <v>149</v>
      </c>
      <c r="C1794" s="23" t="s">
        <v>8</v>
      </c>
      <c r="D1794" s="24"/>
      <c r="E1794" s="24"/>
      <c r="F1794" s="23"/>
    </row>
    <row r="1795" spans="1:6" x14ac:dyDescent="0.3">
      <c r="A1795" t="s">
        <v>348</v>
      </c>
      <c r="B1795" s="23" t="s">
        <v>83</v>
      </c>
      <c r="C1795" s="23" t="s">
        <v>41</v>
      </c>
      <c r="D1795" s="24"/>
      <c r="E1795" s="24"/>
      <c r="F1795" s="23"/>
    </row>
    <row r="1796" spans="1:6" x14ac:dyDescent="0.3">
      <c r="A1796" t="s">
        <v>348</v>
      </c>
      <c r="B1796" s="23" t="s">
        <v>103</v>
      </c>
      <c r="C1796" s="23" t="s">
        <v>41</v>
      </c>
      <c r="D1796" s="24"/>
      <c r="E1796" s="24"/>
      <c r="F1796" s="23"/>
    </row>
    <row r="1797" spans="1:6" x14ac:dyDescent="0.3">
      <c r="A1797" t="s">
        <v>348</v>
      </c>
      <c r="B1797" s="23" t="s">
        <v>40</v>
      </c>
      <c r="C1797" s="23" t="s">
        <v>10</v>
      </c>
      <c r="D1797" s="24"/>
      <c r="E1797" s="24"/>
      <c r="F1797" s="23"/>
    </row>
    <row r="1798" spans="1:6" x14ac:dyDescent="0.3">
      <c r="A1798" t="s">
        <v>348</v>
      </c>
      <c r="B1798" s="23" t="s">
        <v>36</v>
      </c>
      <c r="C1798" s="23" t="s">
        <v>10</v>
      </c>
      <c r="D1798" s="24"/>
      <c r="E1798" s="24"/>
      <c r="F1798" s="23"/>
    </row>
    <row r="1799" spans="1:6" x14ac:dyDescent="0.3">
      <c r="A1799" t="s">
        <v>348</v>
      </c>
      <c r="B1799" s="23" t="s">
        <v>79</v>
      </c>
      <c r="C1799" s="23" t="s">
        <v>10</v>
      </c>
      <c r="D1799" s="2"/>
      <c r="E1799" s="2"/>
    </row>
    <row r="1800" spans="1:6" x14ac:dyDescent="0.3">
      <c r="A1800" t="s">
        <v>348</v>
      </c>
      <c r="B1800" s="23" t="s">
        <v>27</v>
      </c>
      <c r="C1800" s="23" t="s">
        <v>10</v>
      </c>
      <c r="D1800" s="2"/>
      <c r="E1800" s="2"/>
    </row>
    <row r="1801" spans="1:6" x14ac:dyDescent="0.3">
      <c r="A1801" t="s">
        <v>348</v>
      </c>
      <c r="B1801" s="23" t="s">
        <v>84</v>
      </c>
      <c r="C1801" s="23" t="s">
        <v>43</v>
      </c>
      <c r="D1801" s="24"/>
      <c r="E1801" s="24"/>
      <c r="F1801" s="23"/>
    </row>
    <row r="1802" spans="1:6" x14ac:dyDescent="0.3">
      <c r="A1802" t="s">
        <v>348</v>
      </c>
      <c r="B1802" s="23" t="s">
        <v>66</v>
      </c>
      <c r="C1802" s="23" t="s">
        <v>45</v>
      </c>
      <c r="D1802" s="24"/>
      <c r="E1802" s="24"/>
      <c r="F1802" s="23"/>
    </row>
    <row r="1803" spans="1:6" x14ac:dyDescent="0.3">
      <c r="A1803" t="s">
        <v>348</v>
      </c>
      <c r="B1803" s="23" t="s">
        <v>68</v>
      </c>
      <c r="C1803" s="23" t="s">
        <v>46</v>
      </c>
      <c r="D1803" s="24"/>
      <c r="E1803" s="24"/>
      <c r="F1803" s="23"/>
    </row>
    <row r="1804" spans="1:6" x14ac:dyDescent="0.3">
      <c r="A1804" t="s">
        <v>348</v>
      </c>
      <c r="B1804" s="23" t="s">
        <v>72</v>
      </c>
      <c r="C1804" s="23" t="s">
        <v>18</v>
      </c>
      <c r="D1804" s="24"/>
      <c r="E1804" s="24"/>
      <c r="F1804" s="23"/>
    </row>
    <row r="1805" spans="1:6" x14ac:dyDescent="0.3">
      <c r="A1805" t="s">
        <v>348</v>
      </c>
      <c r="B1805" s="23" t="s">
        <v>71</v>
      </c>
      <c r="C1805" s="23" t="s">
        <v>49</v>
      </c>
      <c r="D1805" s="24"/>
      <c r="E1805" s="24"/>
      <c r="F1805" s="23"/>
    </row>
    <row r="1806" spans="1:6" x14ac:dyDescent="0.3">
      <c r="A1806" t="s">
        <v>348</v>
      </c>
      <c r="B1806" s="23" t="s">
        <v>73</v>
      </c>
      <c r="C1806" s="23" t="s">
        <v>51</v>
      </c>
      <c r="D1806" s="24"/>
      <c r="E1806" s="24"/>
      <c r="F1806" s="23"/>
    </row>
    <row r="1807" spans="1:6" x14ac:dyDescent="0.3">
      <c r="A1807" t="s">
        <v>348</v>
      </c>
      <c r="B1807" s="23" t="s">
        <v>214</v>
      </c>
      <c r="C1807" t="s">
        <v>24</v>
      </c>
      <c r="D1807" s="2"/>
      <c r="E1807" s="2"/>
      <c r="F1807" t="s">
        <v>349</v>
      </c>
    </row>
    <row r="1808" spans="1:6" x14ac:dyDescent="0.3">
      <c r="A1808" t="s">
        <v>348</v>
      </c>
      <c r="B1808" s="23" t="s">
        <v>71</v>
      </c>
      <c r="C1808" s="23" t="s">
        <v>30</v>
      </c>
      <c r="D1808" s="24"/>
      <c r="E1808" s="24"/>
      <c r="F1808" s="23"/>
    </row>
    <row r="1809" spans="1:6" x14ac:dyDescent="0.3">
      <c r="A1809" t="s">
        <v>348</v>
      </c>
      <c r="B1809" s="23" t="s">
        <v>37</v>
      </c>
      <c r="C1809" s="23" t="s">
        <v>55</v>
      </c>
      <c r="D1809" s="24">
        <v>0.83333333333333204</v>
      </c>
      <c r="E1809" s="24">
        <v>0.91666666666666496</v>
      </c>
      <c r="F1809" t="s">
        <v>350</v>
      </c>
    </row>
    <row r="1810" spans="1:6" x14ac:dyDescent="0.3">
      <c r="A1810" t="s">
        <v>348</v>
      </c>
      <c r="B1810" s="23" t="s">
        <v>34</v>
      </c>
      <c r="C1810" t="s">
        <v>55</v>
      </c>
      <c r="D1810" s="2">
        <v>0.29166666666666669</v>
      </c>
      <c r="E1810" s="2">
        <v>0.33333333333333298</v>
      </c>
      <c r="F1810" s="23" t="s">
        <v>351</v>
      </c>
    </row>
    <row r="1811" spans="1:6" x14ac:dyDescent="0.3">
      <c r="A1811" t="s">
        <v>348</v>
      </c>
      <c r="B1811" s="23" t="s">
        <v>94</v>
      </c>
      <c r="C1811" t="s">
        <v>26</v>
      </c>
      <c r="D1811" s="2">
        <v>0.79166666666666496</v>
      </c>
      <c r="E1811" s="2">
        <v>0.91666666666666496</v>
      </c>
    </row>
    <row r="1812" spans="1:6" x14ac:dyDescent="0.3">
      <c r="A1812" t="s">
        <v>348</v>
      </c>
      <c r="B1812" s="23" t="s">
        <v>66</v>
      </c>
      <c r="C1812" s="23" t="s">
        <v>26</v>
      </c>
      <c r="D1812" s="24">
        <v>0.79166666666666496</v>
      </c>
      <c r="E1812" s="24">
        <v>0.91666666666666496</v>
      </c>
      <c r="F1812" s="23"/>
    </row>
    <row r="1813" spans="1:6" x14ac:dyDescent="0.3">
      <c r="A1813" t="s">
        <v>348</v>
      </c>
      <c r="B1813" s="23" t="s">
        <v>47</v>
      </c>
      <c r="C1813" s="23" t="s">
        <v>53</v>
      </c>
      <c r="D1813" s="24">
        <v>0.624999999999999</v>
      </c>
      <c r="E1813" s="24">
        <v>0.749999999999999</v>
      </c>
      <c r="F1813" s="23" t="s">
        <v>352</v>
      </c>
    </row>
    <row r="1814" spans="1:6" x14ac:dyDescent="0.3">
      <c r="A1814" t="s">
        <v>348</v>
      </c>
      <c r="B1814" s="23" t="s">
        <v>29</v>
      </c>
      <c r="C1814" s="23" t="s">
        <v>26</v>
      </c>
      <c r="D1814" s="24">
        <v>0.79166666666666496</v>
      </c>
      <c r="E1814" s="24">
        <v>0.91666666666666496</v>
      </c>
      <c r="F1814" s="23"/>
    </row>
    <row r="1815" spans="1:6" x14ac:dyDescent="0.3">
      <c r="A1815" t="s">
        <v>348</v>
      </c>
      <c r="B1815" s="23" t="s">
        <v>84</v>
      </c>
      <c r="C1815" s="23" t="s">
        <v>30</v>
      </c>
      <c r="D1815" s="24"/>
      <c r="E1815" s="24"/>
      <c r="F1815" s="23"/>
    </row>
    <row r="1816" spans="1:6" x14ac:dyDescent="0.3">
      <c r="A1816" t="s">
        <v>348</v>
      </c>
      <c r="B1816" s="23" t="s">
        <v>29</v>
      </c>
      <c r="C1816" s="23" t="s">
        <v>53</v>
      </c>
      <c r="D1816" s="24">
        <v>0.66666666666666596</v>
      </c>
      <c r="E1816" s="24">
        <v>0.70833333333333204</v>
      </c>
      <c r="F1816" s="23" t="s">
        <v>353</v>
      </c>
    </row>
    <row r="1817" spans="1:6" x14ac:dyDescent="0.3">
      <c r="A1817" t="s">
        <v>348</v>
      </c>
      <c r="B1817" s="23" t="s">
        <v>20</v>
      </c>
      <c r="C1817" s="23" t="s">
        <v>53</v>
      </c>
      <c r="D1817" s="24">
        <v>0.66666666666666596</v>
      </c>
      <c r="E1817" s="24">
        <v>0.70833333333333204</v>
      </c>
      <c r="F1817" s="23" t="s">
        <v>353</v>
      </c>
    </row>
    <row r="1818" spans="1:6" x14ac:dyDescent="0.3">
      <c r="A1818" t="s">
        <v>354</v>
      </c>
      <c r="B1818" t="s">
        <v>73</v>
      </c>
      <c r="C1818" t="s">
        <v>13</v>
      </c>
      <c r="D1818" s="2"/>
      <c r="E1818" s="2"/>
    </row>
    <row r="1819" spans="1:6" x14ac:dyDescent="0.3">
      <c r="A1819" t="s">
        <v>354</v>
      </c>
      <c r="B1819" s="23" t="s">
        <v>63</v>
      </c>
      <c r="C1819" s="23" t="s">
        <v>15</v>
      </c>
      <c r="D1819" s="24"/>
      <c r="E1819" s="24"/>
      <c r="F1819" s="23"/>
    </row>
    <row r="1820" spans="1:6" x14ac:dyDescent="0.3">
      <c r="A1820" t="s">
        <v>354</v>
      </c>
      <c r="B1820" s="23" t="s">
        <v>29</v>
      </c>
      <c r="C1820" s="23" t="s">
        <v>8</v>
      </c>
      <c r="D1820" s="24"/>
      <c r="E1820" s="24"/>
      <c r="F1820" s="23"/>
    </row>
    <row r="1821" spans="1:6" x14ac:dyDescent="0.3">
      <c r="A1821" t="s">
        <v>354</v>
      </c>
      <c r="B1821" s="23" t="s">
        <v>96</v>
      </c>
      <c r="C1821" t="s">
        <v>13</v>
      </c>
      <c r="D1821" s="24"/>
      <c r="E1821" s="24"/>
      <c r="F1821" s="23"/>
    </row>
    <row r="1822" spans="1:6" x14ac:dyDescent="0.3">
      <c r="A1822" t="s">
        <v>354</v>
      </c>
      <c r="B1822" s="23" t="s">
        <v>38</v>
      </c>
      <c r="C1822" s="23" t="s">
        <v>8</v>
      </c>
      <c r="D1822" s="24"/>
      <c r="E1822" s="24"/>
      <c r="F1822" s="23"/>
    </row>
    <row r="1823" spans="1:6" x14ac:dyDescent="0.3">
      <c r="A1823" t="s">
        <v>354</v>
      </c>
      <c r="B1823" s="23" t="s">
        <v>112</v>
      </c>
      <c r="C1823" s="23" t="s">
        <v>41</v>
      </c>
      <c r="D1823" s="24"/>
      <c r="E1823" s="24"/>
      <c r="F1823" s="23"/>
    </row>
    <row r="1824" spans="1:6" x14ac:dyDescent="0.3">
      <c r="A1824" t="s">
        <v>354</v>
      </c>
      <c r="B1824" s="23" t="s">
        <v>149</v>
      </c>
      <c r="C1824" s="23" t="s">
        <v>41</v>
      </c>
      <c r="D1824" s="24"/>
      <c r="E1824" s="24"/>
      <c r="F1824" s="23"/>
    </row>
    <row r="1825" spans="1:6" x14ac:dyDescent="0.3">
      <c r="A1825" t="s">
        <v>354</v>
      </c>
      <c r="B1825" s="23" t="s">
        <v>40</v>
      </c>
      <c r="C1825" s="23" t="s">
        <v>10</v>
      </c>
      <c r="D1825" s="24"/>
      <c r="E1825" s="24"/>
      <c r="F1825" s="23"/>
    </row>
    <row r="1826" spans="1:6" x14ac:dyDescent="0.3">
      <c r="A1826" t="s">
        <v>354</v>
      </c>
      <c r="B1826" s="23" t="s">
        <v>36</v>
      </c>
      <c r="C1826" s="23" t="s">
        <v>10</v>
      </c>
      <c r="D1826" s="24"/>
      <c r="E1826" s="24"/>
      <c r="F1826" s="23"/>
    </row>
    <row r="1827" spans="1:6" x14ac:dyDescent="0.3">
      <c r="A1827" t="s">
        <v>354</v>
      </c>
      <c r="B1827" s="23" t="s">
        <v>79</v>
      </c>
      <c r="C1827" s="23" t="s">
        <v>10</v>
      </c>
      <c r="D1827" s="2"/>
      <c r="E1827" s="2"/>
    </row>
    <row r="1828" spans="1:6" x14ac:dyDescent="0.3">
      <c r="A1828" t="s">
        <v>354</v>
      </c>
      <c r="B1828" s="23" t="s">
        <v>27</v>
      </c>
      <c r="C1828" s="23" t="s">
        <v>10</v>
      </c>
      <c r="D1828" s="2"/>
      <c r="E1828" s="2"/>
    </row>
    <row r="1829" spans="1:6" x14ac:dyDescent="0.3">
      <c r="A1829" t="s">
        <v>354</v>
      </c>
      <c r="B1829" s="23" t="s">
        <v>84</v>
      </c>
      <c r="C1829" s="23" t="s">
        <v>43</v>
      </c>
      <c r="D1829" s="24"/>
      <c r="E1829" s="24"/>
      <c r="F1829" s="23"/>
    </row>
    <row r="1830" spans="1:6" x14ac:dyDescent="0.3">
      <c r="A1830" t="s">
        <v>354</v>
      </c>
      <c r="B1830" s="23" t="s">
        <v>52</v>
      </c>
      <c r="C1830" s="23" t="s">
        <v>45</v>
      </c>
      <c r="D1830" s="24"/>
      <c r="E1830" s="24"/>
      <c r="F1830" s="23"/>
    </row>
    <row r="1831" spans="1:6" x14ac:dyDescent="0.3">
      <c r="A1831" t="s">
        <v>354</v>
      </c>
      <c r="B1831" s="23" t="s">
        <v>14</v>
      </c>
      <c r="C1831" s="23" t="s">
        <v>46</v>
      </c>
      <c r="D1831" s="24"/>
      <c r="E1831" s="24"/>
      <c r="F1831" s="23"/>
    </row>
    <row r="1832" spans="1:6" x14ac:dyDescent="0.3">
      <c r="A1832" t="s">
        <v>354</v>
      </c>
      <c r="B1832" s="23" t="s">
        <v>32</v>
      </c>
      <c r="C1832" s="23" t="s">
        <v>18</v>
      </c>
      <c r="D1832" s="24"/>
      <c r="E1832" s="24"/>
      <c r="F1832" s="23"/>
    </row>
    <row r="1833" spans="1:6" x14ac:dyDescent="0.3">
      <c r="A1833" t="s">
        <v>354</v>
      </c>
      <c r="B1833" s="23" t="s">
        <v>71</v>
      </c>
      <c r="C1833" s="23" t="s">
        <v>49</v>
      </c>
      <c r="D1833" s="24"/>
      <c r="E1833" s="24"/>
      <c r="F1833" s="23"/>
    </row>
    <row r="1834" spans="1:6" x14ac:dyDescent="0.3">
      <c r="A1834" t="s">
        <v>354</v>
      </c>
      <c r="B1834" s="23" t="s">
        <v>34</v>
      </c>
      <c r="C1834" s="23" t="s">
        <v>51</v>
      </c>
      <c r="D1834" s="24"/>
      <c r="E1834" s="24"/>
      <c r="F1834" s="23"/>
    </row>
    <row r="1835" spans="1:6" x14ac:dyDescent="0.3">
      <c r="A1835" t="s">
        <v>354</v>
      </c>
      <c r="B1835" s="23" t="s">
        <v>23</v>
      </c>
      <c r="C1835" t="s">
        <v>30</v>
      </c>
      <c r="D1835" s="2"/>
      <c r="E1835" s="2"/>
    </row>
    <row r="1836" spans="1:6" x14ac:dyDescent="0.3">
      <c r="A1836" t="s">
        <v>354</v>
      </c>
      <c r="B1836" s="23" t="s">
        <v>32</v>
      </c>
      <c r="C1836" t="s">
        <v>30</v>
      </c>
      <c r="D1836" s="2"/>
      <c r="E1836" s="2"/>
    </row>
    <row r="1837" spans="1:6" x14ac:dyDescent="0.3">
      <c r="A1837" t="s">
        <v>354</v>
      </c>
      <c r="B1837" s="23" t="s">
        <v>71</v>
      </c>
      <c r="C1837" s="23" t="s">
        <v>30</v>
      </c>
      <c r="D1837" s="24"/>
      <c r="E1837" s="24"/>
      <c r="F1837" s="23"/>
    </row>
    <row r="1838" spans="1:6" x14ac:dyDescent="0.3">
      <c r="A1838" t="s">
        <v>354</v>
      </c>
      <c r="B1838" s="23" t="s">
        <v>94</v>
      </c>
      <c r="C1838" s="23" t="s">
        <v>26</v>
      </c>
      <c r="D1838" s="24">
        <v>0.29166666666666669</v>
      </c>
      <c r="E1838" s="24">
        <v>0.41666666666666702</v>
      </c>
    </row>
    <row r="1839" spans="1:6" x14ac:dyDescent="0.3">
      <c r="A1839" t="s">
        <v>354</v>
      </c>
      <c r="B1839" s="23" t="s">
        <v>44</v>
      </c>
      <c r="C1839" t="s">
        <v>55</v>
      </c>
      <c r="D1839" s="2">
        <v>0.83333333333333204</v>
      </c>
      <c r="E1839" s="2">
        <v>0.91666666666666496</v>
      </c>
      <c r="F1839" t="s">
        <v>355</v>
      </c>
    </row>
    <row r="1840" spans="1:6" x14ac:dyDescent="0.3">
      <c r="A1840" t="s">
        <v>354</v>
      </c>
      <c r="B1840" s="23" t="s">
        <v>72</v>
      </c>
      <c r="C1840" s="23" t="s">
        <v>26</v>
      </c>
      <c r="D1840" s="24">
        <v>0.54166666666666596</v>
      </c>
      <c r="E1840" s="24">
        <v>0.66666666666666596</v>
      </c>
      <c r="F1840" s="23"/>
    </row>
    <row r="1841" spans="1:6" x14ac:dyDescent="0.3">
      <c r="A1841" t="s">
        <v>354</v>
      </c>
      <c r="B1841" s="23" t="s">
        <v>33</v>
      </c>
      <c r="C1841" s="23" t="s">
        <v>26</v>
      </c>
      <c r="D1841" s="24">
        <v>0.79166666666666496</v>
      </c>
      <c r="E1841" s="24">
        <v>0.91666666666666496</v>
      </c>
      <c r="F1841" s="23"/>
    </row>
    <row r="1842" spans="1:6" x14ac:dyDescent="0.3">
      <c r="A1842" t="s">
        <v>354</v>
      </c>
      <c r="B1842" s="23" t="s">
        <v>84</v>
      </c>
      <c r="C1842" s="23" t="s">
        <v>26</v>
      </c>
      <c r="D1842" s="24">
        <v>0.79166666666666496</v>
      </c>
      <c r="E1842" s="24">
        <v>0.91666666666666496</v>
      </c>
      <c r="F1842" s="23"/>
    </row>
    <row r="1843" spans="1:6" x14ac:dyDescent="0.3">
      <c r="A1843" t="s">
        <v>357</v>
      </c>
      <c r="B1843" t="s">
        <v>47</v>
      </c>
      <c r="C1843" t="s">
        <v>13</v>
      </c>
      <c r="D1843" s="2"/>
      <c r="E1843" s="2"/>
    </row>
    <row r="1844" spans="1:6" x14ac:dyDescent="0.3">
      <c r="A1844" t="s">
        <v>357</v>
      </c>
      <c r="B1844" s="23" t="s">
        <v>34</v>
      </c>
      <c r="C1844" s="23" t="s">
        <v>15</v>
      </c>
      <c r="D1844" s="24"/>
      <c r="E1844" s="24"/>
      <c r="F1844" s="23"/>
    </row>
    <row r="1845" spans="1:6" x14ac:dyDescent="0.3">
      <c r="A1845" t="s">
        <v>357</v>
      </c>
      <c r="B1845" s="23" t="s">
        <v>72</v>
      </c>
      <c r="C1845" s="23" t="s">
        <v>8</v>
      </c>
      <c r="D1845" s="24"/>
      <c r="E1845" s="24"/>
      <c r="F1845" s="23"/>
    </row>
    <row r="1846" spans="1:6" x14ac:dyDescent="0.3">
      <c r="A1846" t="s">
        <v>357</v>
      </c>
      <c r="B1846" s="23" t="s">
        <v>98</v>
      </c>
      <c r="C1846" t="s">
        <v>13</v>
      </c>
      <c r="D1846" s="24"/>
      <c r="E1846" s="24"/>
      <c r="F1846" s="23"/>
    </row>
    <row r="1847" spans="1:6" x14ac:dyDescent="0.3">
      <c r="A1847" t="s">
        <v>357</v>
      </c>
      <c r="B1847" s="23" t="s">
        <v>59</v>
      </c>
      <c r="C1847" s="23" t="s">
        <v>8</v>
      </c>
      <c r="D1847" s="24"/>
      <c r="E1847" s="24"/>
      <c r="F1847" s="23"/>
    </row>
    <row r="1848" spans="1:6" x14ac:dyDescent="0.3">
      <c r="A1848" t="s">
        <v>357</v>
      </c>
      <c r="B1848" s="23" t="s">
        <v>96</v>
      </c>
      <c r="C1848" s="23" t="s">
        <v>41</v>
      </c>
      <c r="D1848" s="24"/>
      <c r="E1848" s="24"/>
      <c r="F1848" s="23"/>
    </row>
    <row r="1849" spans="1:6" x14ac:dyDescent="0.3">
      <c r="A1849" t="s">
        <v>357</v>
      </c>
      <c r="B1849" s="23" t="s">
        <v>38</v>
      </c>
      <c r="C1849" s="23" t="s">
        <v>41</v>
      </c>
      <c r="D1849" s="24"/>
      <c r="E1849" s="24"/>
      <c r="F1849" s="23"/>
    </row>
    <row r="1850" spans="1:6" x14ac:dyDescent="0.3">
      <c r="A1850" t="s">
        <v>357</v>
      </c>
      <c r="B1850" s="23" t="s">
        <v>40</v>
      </c>
      <c r="C1850" s="23" t="s">
        <v>10</v>
      </c>
      <c r="D1850" s="24"/>
      <c r="E1850" s="24"/>
      <c r="F1850" s="23"/>
    </row>
    <row r="1851" spans="1:6" x14ac:dyDescent="0.3">
      <c r="A1851" t="s">
        <v>357</v>
      </c>
      <c r="B1851" s="23" t="s">
        <v>36</v>
      </c>
      <c r="C1851" s="23" t="s">
        <v>10</v>
      </c>
      <c r="D1851" s="24"/>
      <c r="E1851" s="24"/>
      <c r="F1851" s="23"/>
    </row>
    <row r="1852" spans="1:6" x14ac:dyDescent="0.3">
      <c r="A1852" t="s">
        <v>357</v>
      </c>
      <c r="B1852" s="23" t="s">
        <v>79</v>
      </c>
      <c r="C1852" s="23" t="s">
        <v>10</v>
      </c>
      <c r="D1852" s="2"/>
      <c r="E1852" s="2"/>
    </row>
    <row r="1853" spans="1:6" x14ac:dyDescent="0.3">
      <c r="A1853" t="s">
        <v>357</v>
      </c>
      <c r="B1853" s="23" t="s">
        <v>27</v>
      </c>
      <c r="C1853" s="23" t="s">
        <v>10</v>
      </c>
      <c r="D1853" s="2"/>
      <c r="E1853" s="2"/>
    </row>
    <row r="1854" spans="1:6" x14ac:dyDescent="0.3">
      <c r="A1854" t="s">
        <v>357</v>
      </c>
      <c r="B1854" s="23" t="s">
        <v>29</v>
      </c>
      <c r="C1854" s="23" t="s">
        <v>43</v>
      </c>
      <c r="D1854" s="24"/>
      <c r="E1854" s="24"/>
      <c r="F1854" s="23"/>
    </row>
    <row r="1855" spans="1:6" x14ac:dyDescent="0.3">
      <c r="A1855" t="s">
        <v>357</v>
      </c>
      <c r="B1855" s="23" t="s">
        <v>66</v>
      </c>
      <c r="C1855" s="23" t="s">
        <v>45</v>
      </c>
      <c r="D1855" s="24"/>
      <c r="E1855" s="24"/>
      <c r="F1855" s="23"/>
    </row>
    <row r="1856" spans="1:6" x14ac:dyDescent="0.3">
      <c r="A1856" t="s">
        <v>357</v>
      </c>
      <c r="B1856" s="23" t="s">
        <v>16</v>
      </c>
      <c r="C1856" s="23" t="s">
        <v>46</v>
      </c>
      <c r="D1856" s="24"/>
      <c r="E1856" s="24"/>
      <c r="F1856" s="23"/>
    </row>
    <row r="1857" spans="1:6" x14ac:dyDescent="0.3">
      <c r="A1857" t="s">
        <v>357</v>
      </c>
      <c r="B1857" s="23" t="s">
        <v>63</v>
      </c>
      <c r="C1857" s="23" t="s">
        <v>18</v>
      </c>
      <c r="D1857" s="24"/>
      <c r="E1857" s="24"/>
      <c r="F1857" s="23"/>
    </row>
    <row r="1858" spans="1:6" x14ac:dyDescent="0.3">
      <c r="A1858" t="s">
        <v>357</v>
      </c>
      <c r="B1858" s="23" t="s">
        <v>71</v>
      </c>
      <c r="C1858" s="23" t="s">
        <v>49</v>
      </c>
      <c r="D1858" s="24"/>
      <c r="E1858" s="24"/>
      <c r="F1858" s="23"/>
    </row>
    <row r="1859" spans="1:6" x14ac:dyDescent="0.3">
      <c r="A1859" t="s">
        <v>357</v>
      </c>
      <c r="B1859" s="23" t="s">
        <v>17</v>
      </c>
      <c r="C1859" s="23" t="s">
        <v>51</v>
      </c>
      <c r="D1859" s="24"/>
      <c r="E1859" s="24"/>
      <c r="F1859" s="23"/>
    </row>
    <row r="1860" spans="1:6" x14ac:dyDescent="0.3">
      <c r="A1860" t="s">
        <v>357</v>
      </c>
      <c r="B1860" s="23" t="s">
        <v>32</v>
      </c>
      <c r="C1860" t="s">
        <v>30</v>
      </c>
      <c r="D1860" s="2"/>
      <c r="E1860" s="2"/>
    </row>
    <row r="1861" spans="1:6" x14ac:dyDescent="0.3">
      <c r="A1861" t="s">
        <v>357</v>
      </c>
      <c r="B1861" s="23" t="s">
        <v>71</v>
      </c>
      <c r="C1861" t="s">
        <v>30</v>
      </c>
      <c r="D1861" s="2"/>
      <c r="E1861" s="2"/>
    </row>
    <row r="1862" spans="1:6" x14ac:dyDescent="0.3">
      <c r="A1862" t="s">
        <v>357</v>
      </c>
      <c r="B1862" s="23" t="s">
        <v>7</v>
      </c>
      <c r="C1862" s="23" t="s">
        <v>26</v>
      </c>
      <c r="D1862" s="24">
        <v>0.66666666666666596</v>
      </c>
      <c r="E1862" s="24">
        <v>0.79166666666666496</v>
      </c>
      <c r="F1862" s="23"/>
    </row>
    <row r="1863" spans="1:6" x14ac:dyDescent="0.3">
      <c r="A1863" t="s">
        <v>357</v>
      </c>
      <c r="B1863" s="23" t="s">
        <v>7</v>
      </c>
      <c r="C1863" t="s">
        <v>26</v>
      </c>
      <c r="D1863" s="2">
        <v>0.79166666666666496</v>
      </c>
      <c r="E1863" s="2">
        <v>0.91666666666666496</v>
      </c>
      <c r="F1863" s="23"/>
    </row>
    <row r="1864" spans="1:6" x14ac:dyDescent="0.3">
      <c r="A1864" t="s">
        <v>357</v>
      </c>
      <c r="B1864" s="23" t="s">
        <v>33</v>
      </c>
      <c r="C1864" t="s">
        <v>30</v>
      </c>
      <c r="D1864" s="2"/>
      <c r="E1864" s="2"/>
    </row>
    <row r="1865" spans="1:6" x14ac:dyDescent="0.3">
      <c r="A1865" t="s">
        <v>357</v>
      </c>
      <c r="B1865" s="23" t="s">
        <v>73</v>
      </c>
      <c r="C1865" s="23" t="s">
        <v>26</v>
      </c>
      <c r="D1865" s="24">
        <v>0.66666666666666596</v>
      </c>
      <c r="E1865" s="24">
        <v>0.79166666666666496</v>
      </c>
      <c r="F1865" s="23"/>
    </row>
    <row r="1866" spans="1:6" x14ac:dyDescent="0.3">
      <c r="A1866" t="s">
        <v>357</v>
      </c>
      <c r="B1866" s="23" t="s">
        <v>73</v>
      </c>
      <c r="C1866" s="23" t="s">
        <v>26</v>
      </c>
      <c r="D1866" s="24">
        <v>0.79166666666666496</v>
      </c>
      <c r="E1866" s="24">
        <v>0.91666666666666496</v>
      </c>
      <c r="F1866" s="23"/>
    </row>
    <row r="1867" spans="1:6" x14ac:dyDescent="0.3">
      <c r="A1867" t="s">
        <v>357</v>
      </c>
      <c r="B1867" s="23" t="s">
        <v>20</v>
      </c>
      <c r="C1867" s="23"/>
      <c r="D1867" s="24">
        <v>0.29166666666666669</v>
      </c>
      <c r="E1867" s="24">
        <v>0.79166666666666496</v>
      </c>
      <c r="F1867" s="23" t="s">
        <v>358</v>
      </c>
    </row>
    <row r="1868" spans="1:6" x14ac:dyDescent="0.3">
      <c r="A1868" t="s">
        <v>359</v>
      </c>
      <c r="B1868" t="s">
        <v>73</v>
      </c>
      <c r="C1868" t="s">
        <v>13</v>
      </c>
      <c r="D1868" s="2"/>
      <c r="E1868" s="2"/>
    </row>
    <row r="1869" spans="1:6" x14ac:dyDescent="0.3">
      <c r="A1869" t="s">
        <v>359</v>
      </c>
      <c r="B1869" t="s">
        <v>63</v>
      </c>
      <c r="C1869" t="s">
        <v>8</v>
      </c>
      <c r="D1869" s="2"/>
      <c r="E1869" s="2"/>
    </row>
    <row r="1870" spans="1:6" x14ac:dyDescent="0.3">
      <c r="A1870" t="s">
        <v>359</v>
      </c>
      <c r="B1870" s="23" t="s">
        <v>85</v>
      </c>
      <c r="C1870" s="23" t="s">
        <v>78</v>
      </c>
      <c r="D1870" s="24"/>
      <c r="E1870" s="24"/>
      <c r="F1870" s="23"/>
    </row>
    <row r="1871" spans="1:6" x14ac:dyDescent="0.3">
      <c r="A1871" t="s">
        <v>360</v>
      </c>
      <c r="B1871" t="s">
        <v>85</v>
      </c>
      <c r="C1871" t="s">
        <v>13</v>
      </c>
      <c r="D1871" s="2"/>
      <c r="E1871" s="2"/>
    </row>
    <row r="1872" spans="1:6" x14ac:dyDescent="0.3">
      <c r="A1872" t="s">
        <v>360</v>
      </c>
      <c r="B1872" s="23" t="s">
        <v>32</v>
      </c>
      <c r="C1872" s="23" t="s">
        <v>15</v>
      </c>
      <c r="D1872" s="24"/>
      <c r="E1872" s="24"/>
      <c r="F1872" s="23"/>
    </row>
    <row r="1873" spans="1:6" x14ac:dyDescent="0.3">
      <c r="A1873" t="s">
        <v>360</v>
      </c>
      <c r="B1873" s="23" t="s">
        <v>63</v>
      </c>
      <c r="C1873" s="23" t="s">
        <v>8</v>
      </c>
      <c r="D1873" s="24"/>
      <c r="E1873" s="24"/>
      <c r="F1873" s="23"/>
    </row>
    <row r="1874" spans="1:6" x14ac:dyDescent="0.3">
      <c r="A1874" t="s">
        <v>360</v>
      </c>
      <c r="B1874" s="23" t="s">
        <v>38</v>
      </c>
      <c r="C1874" t="s">
        <v>13</v>
      </c>
      <c r="D1874" s="24"/>
      <c r="E1874" s="24"/>
      <c r="F1874" s="23"/>
    </row>
    <row r="1875" spans="1:6" x14ac:dyDescent="0.3">
      <c r="A1875" t="s">
        <v>360</v>
      </c>
      <c r="B1875" s="23" t="s">
        <v>61</v>
      </c>
      <c r="C1875" s="23" t="s">
        <v>8</v>
      </c>
      <c r="D1875" s="24"/>
      <c r="E1875" s="24"/>
      <c r="F1875" s="23"/>
    </row>
    <row r="1876" spans="1:6" x14ac:dyDescent="0.3">
      <c r="A1876" t="s">
        <v>360</v>
      </c>
      <c r="B1876" s="23" t="s">
        <v>97</v>
      </c>
      <c r="C1876" s="23" t="s">
        <v>41</v>
      </c>
      <c r="D1876" s="24"/>
      <c r="E1876" s="24"/>
      <c r="F1876" s="23"/>
    </row>
    <row r="1877" spans="1:6" x14ac:dyDescent="0.3">
      <c r="A1877" t="s">
        <v>360</v>
      </c>
      <c r="B1877" s="23" t="s">
        <v>60</v>
      </c>
      <c r="C1877" s="23" t="s">
        <v>41</v>
      </c>
      <c r="D1877" s="24"/>
      <c r="E1877" s="24"/>
      <c r="F1877" s="23"/>
    </row>
    <row r="1878" spans="1:6" x14ac:dyDescent="0.3">
      <c r="A1878" t="s">
        <v>360</v>
      </c>
      <c r="B1878" s="23" t="s">
        <v>103</v>
      </c>
      <c r="C1878" s="23" t="s">
        <v>41</v>
      </c>
      <c r="D1878" s="24"/>
      <c r="E1878" s="24"/>
      <c r="F1878" s="23"/>
    </row>
    <row r="1879" spans="1:6" x14ac:dyDescent="0.3">
      <c r="A1879" t="s">
        <v>360</v>
      </c>
      <c r="B1879" s="23" t="s">
        <v>40</v>
      </c>
      <c r="C1879" s="23" t="s">
        <v>10</v>
      </c>
      <c r="D1879" s="24"/>
      <c r="E1879" s="24"/>
      <c r="F1879" s="23"/>
    </row>
    <row r="1880" spans="1:6" x14ac:dyDescent="0.3">
      <c r="A1880" t="s">
        <v>360</v>
      </c>
      <c r="B1880" s="23" t="s">
        <v>36</v>
      </c>
      <c r="C1880" s="23" t="s">
        <v>10</v>
      </c>
      <c r="D1880" s="2"/>
      <c r="E1880" s="2"/>
    </row>
    <row r="1881" spans="1:6" x14ac:dyDescent="0.3">
      <c r="A1881" t="s">
        <v>360</v>
      </c>
      <c r="B1881" s="23" t="s">
        <v>79</v>
      </c>
      <c r="C1881" s="23" t="s">
        <v>10</v>
      </c>
      <c r="D1881" s="2"/>
      <c r="E1881" s="2"/>
    </row>
    <row r="1882" spans="1:6" x14ac:dyDescent="0.3">
      <c r="A1882" t="s">
        <v>360</v>
      </c>
      <c r="B1882" s="23" t="s">
        <v>27</v>
      </c>
      <c r="C1882" s="23" t="s">
        <v>10</v>
      </c>
      <c r="D1882" s="24"/>
      <c r="E1882" s="24"/>
      <c r="F1882" s="23"/>
    </row>
    <row r="1883" spans="1:6" x14ac:dyDescent="0.3">
      <c r="A1883" t="s">
        <v>360</v>
      </c>
      <c r="B1883" s="23" t="s">
        <v>37</v>
      </c>
      <c r="C1883" s="23" t="s">
        <v>43</v>
      </c>
      <c r="D1883" s="24"/>
      <c r="E1883" s="24"/>
      <c r="F1883" s="23"/>
    </row>
    <row r="1884" spans="1:6" x14ac:dyDescent="0.3">
      <c r="A1884" t="s">
        <v>360</v>
      </c>
      <c r="B1884" s="23" t="s">
        <v>44</v>
      </c>
      <c r="C1884" s="23" t="s">
        <v>45</v>
      </c>
      <c r="D1884" s="24"/>
      <c r="E1884" s="24"/>
      <c r="F1884" s="23"/>
    </row>
    <row r="1885" spans="1:6" x14ac:dyDescent="0.3">
      <c r="A1885" t="s">
        <v>360</v>
      </c>
      <c r="B1885" s="23" t="s">
        <v>21</v>
      </c>
      <c r="C1885" s="23" t="s">
        <v>46</v>
      </c>
      <c r="D1885" s="24"/>
      <c r="E1885" s="24"/>
      <c r="F1885" s="23"/>
    </row>
    <row r="1886" spans="1:6" x14ac:dyDescent="0.3">
      <c r="A1886" t="s">
        <v>360</v>
      </c>
      <c r="B1886" s="23" t="s">
        <v>32</v>
      </c>
      <c r="C1886" s="23" t="s">
        <v>18</v>
      </c>
      <c r="D1886" s="24"/>
      <c r="E1886" s="24"/>
      <c r="F1886" s="23"/>
    </row>
    <row r="1887" spans="1:6" x14ac:dyDescent="0.3">
      <c r="A1887" t="s">
        <v>360</v>
      </c>
      <c r="B1887" s="23" t="s">
        <v>48</v>
      </c>
      <c r="C1887" s="23" t="s">
        <v>49</v>
      </c>
      <c r="D1887" s="24"/>
      <c r="E1887" s="24"/>
      <c r="F1887" s="23"/>
    </row>
    <row r="1888" spans="1:6" x14ac:dyDescent="0.3">
      <c r="A1888" t="s">
        <v>360</v>
      </c>
      <c r="B1888" s="23" t="s">
        <v>50</v>
      </c>
      <c r="C1888" s="23" t="s">
        <v>51</v>
      </c>
      <c r="D1888" s="2"/>
      <c r="E1888" s="2"/>
    </row>
    <row r="1889" spans="1:6" x14ac:dyDescent="0.3">
      <c r="A1889" t="s">
        <v>360</v>
      </c>
      <c r="B1889" s="23" t="s">
        <v>73</v>
      </c>
      <c r="C1889" t="s">
        <v>55</v>
      </c>
      <c r="D1889" s="2">
        <v>0.3125</v>
      </c>
      <c r="E1889" s="2">
        <v>0.375</v>
      </c>
      <c r="F1889" t="s">
        <v>361</v>
      </c>
    </row>
    <row r="1890" spans="1:6" x14ac:dyDescent="0.3">
      <c r="A1890" t="s">
        <v>360</v>
      </c>
      <c r="B1890" s="23" t="s">
        <v>142</v>
      </c>
      <c r="C1890" s="23" t="s">
        <v>55</v>
      </c>
      <c r="D1890" s="24">
        <v>0.3125</v>
      </c>
      <c r="E1890" s="24">
        <v>0.375</v>
      </c>
      <c r="F1890" s="23" t="s">
        <v>361</v>
      </c>
    </row>
    <row r="1891" spans="1:6" x14ac:dyDescent="0.3">
      <c r="A1891" t="s">
        <v>360</v>
      </c>
      <c r="B1891" s="23" t="s">
        <v>63</v>
      </c>
      <c r="C1891" t="s">
        <v>55</v>
      </c>
      <c r="D1891" s="2">
        <v>0.749999999999999</v>
      </c>
      <c r="E1891" s="2">
        <v>0.79166666666666496</v>
      </c>
      <c r="F1891" s="23" t="s">
        <v>362</v>
      </c>
    </row>
    <row r="1892" spans="1:6" x14ac:dyDescent="0.3">
      <c r="A1892" t="s">
        <v>360</v>
      </c>
      <c r="B1892" s="23" t="s">
        <v>17</v>
      </c>
      <c r="C1892" s="23" t="s">
        <v>30</v>
      </c>
      <c r="D1892" s="24"/>
      <c r="E1892" s="24"/>
      <c r="F1892" s="23"/>
    </row>
    <row r="1893" spans="1:6" x14ac:dyDescent="0.3">
      <c r="A1893" t="s">
        <v>360</v>
      </c>
      <c r="B1893" s="23" t="s">
        <v>50</v>
      </c>
      <c r="C1893" s="23" t="s">
        <v>30</v>
      </c>
      <c r="D1893" s="24"/>
      <c r="E1893" s="24"/>
      <c r="F1893" s="23"/>
    </row>
    <row r="1894" spans="1:6" x14ac:dyDescent="0.3">
      <c r="A1894" t="s">
        <v>372</v>
      </c>
      <c r="B1894" t="s">
        <v>72</v>
      </c>
      <c r="C1894" t="s">
        <v>13</v>
      </c>
      <c r="D1894" s="2"/>
      <c r="E1894" s="2"/>
    </row>
    <row r="1895" spans="1:6" x14ac:dyDescent="0.3">
      <c r="A1895" t="s">
        <v>372</v>
      </c>
      <c r="B1895" t="s">
        <v>94</v>
      </c>
      <c r="C1895" t="s">
        <v>8</v>
      </c>
      <c r="D1895" s="2"/>
      <c r="E1895" s="2"/>
    </row>
    <row r="1896" spans="1:6" x14ac:dyDescent="0.3">
      <c r="A1896" t="s">
        <v>372</v>
      </c>
      <c r="B1896" s="23" t="s">
        <v>17</v>
      </c>
      <c r="C1896" s="23" t="s">
        <v>78</v>
      </c>
      <c r="D1896" s="24"/>
      <c r="E1896" s="24"/>
      <c r="F1896" s="23"/>
    </row>
    <row r="1897" spans="1:6" x14ac:dyDescent="0.3">
      <c r="A1897" t="s">
        <v>372</v>
      </c>
      <c r="B1897" s="23" t="s">
        <v>98</v>
      </c>
      <c r="C1897" t="s">
        <v>13</v>
      </c>
      <c r="D1897" s="24"/>
      <c r="E1897" s="24"/>
      <c r="F1897" s="23"/>
    </row>
    <row r="1898" spans="1:6" x14ac:dyDescent="0.3">
      <c r="A1898" t="s">
        <v>372</v>
      </c>
      <c r="B1898" s="23" t="s">
        <v>149</v>
      </c>
      <c r="C1898" s="23" t="s">
        <v>8</v>
      </c>
      <c r="D1898" s="24"/>
      <c r="E1898" s="24"/>
      <c r="F1898" s="23"/>
    </row>
    <row r="1899" spans="1:6" x14ac:dyDescent="0.3">
      <c r="A1899" t="s">
        <v>372</v>
      </c>
      <c r="B1899" s="23" t="s">
        <v>9</v>
      </c>
      <c r="C1899" s="23" t="s">
        <v>78</v>
      </c>
      <c r="D1899" s="24"/>
      <c r="E1899" s="24"/>
      <c r="F1899" s="23"/>
    </row>
    <row r="1900" spans="1:6" x14ac:dyDescent="0.3">
      <c r="A1900" t="s">
        <v>374</v>
      </c>
      <c r="B1900" t="s">
        <v>142</v>
      </c>
      <c r="C1900" t="s">
        <v>13</v>
      </c>
      <c r="D1900" s="2"/>
      <c r="E1900" s="2"/>
    </row>
    <row r="1901" spans="1:6" x14ac:dyDescent="0.3">
      <c r="A1901" t="s">
        <v>374</v>
      </c>
      <c r="B1901" s="23" t="s">
        <v>44</v>
      </c>
      <c r="C1901" s="23" t="s">
        <v>15</v>
      </c>
      <c r="D1901" s="24"/>
      <c r="E1901" s="24"/>
      <c r="F1901" s="23"/>
    </row>
    <row r="1902" spans="1:6" x14ac:dyDescent="0.3">
      <c r="A1902" t="s">
        <v>374</v>
      </c>
      <c r="B1902" s="23" t="s">
        <v>94</v>
      </c>
      <c r="C1902" s="23" t="s">
        <v>8</v>
      </c>
      <c r="D1902" s="24"/>
      <c r="E1902" s="24"/>
      <c r="F1902" s="23"/>
    </row>
    <row r="1903" spans="1:6" x14ac:dyDescent="0.3">
      <c r="A1903" t="s">
        <v>374</v>
      </c>
      <c r="B1903" s="23" t="s">
        <v>112</v>
      </c>
      <c r="C1903" t="s">
        <v>13</v>
      </c>
      <c r="D1903" s="24"/>
      <c r="E1903" s="24"/>
      <c r="F1903" s="23"/>
    </row>
    <row r="1904" spans="1:6" x14ac:dyDescent="0.3">
      <c r="A1904" t="s">
        <v>374</v>
      </c>
      <c r="B1904" s="23" t="s">
        <v>62</v>
      </c>
      <c r="C1904" s="23" t="s">
        <v>8</v>
      </c>
      <c r="D1904" s="24"/>
      <c r="E1904" s="24"/>
      <c r="F1904" s="23"/>
    </row>
    <row r="1905" spans="1:6" x14ac:dyDescent="0.3">
      <c r="A1905" t="s">
        <v>374</v>
      </c>
      <c r="B1905" s="23" t="s">
        <v>38</v>
      </c>
      <c r="C1905" s="23" t="s">
        <v>41</v>
      </c>
      <c r="D1905" s="24"/>
      <c r="E1905" s="24"/>
      <c r="F1905" s="23"/>
    </row>
    <row r="1906" spans="1:6" x14ac:dyDescent="0.3">
      <c r="A1906" t="s">
        <v>374</v>
      </c>
      <c r="B1906" s="23" t="s">
        <v>61</v>
      </c>
      <c r="C1906" s="23" t="s">
        <v>41</v>
      </c>
      <c r="D1906" s="24"/>
      <c r="E1906" s="24"/>
      <c r="F1906" s="23"/>
    </row>
    <row r="1907" spans="1:6" x14ac:dyDescent="0.3">
      <c r="A1907" t="s">
        <v>374</v>
      </c>
      <c r="B1907" s="23" t="s">
        <v>40</v>
      </c>
      <c r="C1907" s="23" t="s">
        <v>10</v>
      </c>
      <c r="D1907" s="24"/>
      <c r="E1907" s="24"/>
      <c r="F1907" s="23"/>
    </row>
    <row r="1908" spans="1:6" x14ac:dyDescent="0.3">
      <c r="A1908" t="s">
        <v>374</v>
      </c>
      <c r="B1908" s="23" t="s">
        <v>36</v>
      </c>
      <c r="C1908" s="23" t="s">
        <v>10</v>
      </c>
      <c r="D1908" s="24"/>
      <c r="E1908" s="24"/>
      <c r="F1908" s="23"/>
    </row>
    <row r="1909" spans="1:6" x14ac:dyDescent="0.3">
      <c r="A1909" t="s">
        <v>374</v>
      </c>
      <c r="B1909" s="23" t="s">
        <v>79</v>
      </c>
      <c r="C1909" s="23" t="s">
        <v>10</v>
      </c>
      <c r="D1909" s="2"/>
      <c r="E1909" s="2"/>
    </row>
    <row r="1910" spans="1:6" x14ac:dyDescent="0.3">
      <c r="A1910" t="s">
        <v>374</v>
      </c>
      <c r="B1910" s="23" t="s">
        <v>27</v>
      </c>
      <c r="C1910" s="23" t="s">
        <v>10</v>
      </c>
      <c r="D1910" s="2"/>
      <c r="E1910" s="2"/>
    </row>
    <row r="1911" spans="1:6" x14ac:dyDescent="0.3">
      <c r="A1911" t="s">
        <v>374</v>
      </c>
      <c r="B1911" s="23" t="s">
        <v>33</v>
      </c>
      <c r="C1911" s="23" t="s">
        <v>43</v>
      </c>
      <c r="D1911" s="24"/>
      <c r="E1911" s="24"/>
      <c r="F1911" s="23"/>
    </row>
    <row r="1912" spans="1:6" x14ac:dyDescent="0.3">
      <c r="A1912" t="s">
        <v>374</v>
      </c>
      <c r="B1912" s="23" t="s">
        <v>23</v>
      </c>
      <c r="C1912" s="23" t="s">
        <v>45</v>
      </c>
      <c r="D1912" s="24"/>
      <c r="E1912" s="24"/>
      <c r="F1912" s="23"/>
    </row>
    <row r="1913" spans="1:6" x14ac:dyDescent="0.3">
      <c r="A1913" t="s">
        <v>374</v>
      </c>
      <c r="B1913" s="23" t="s">
        <v>16</v>
      </c>
      <c r="C1913" s="23" t="s">
        <v>46</v>
      </c>
      <c r="D1913" s="24"/>
      <c r="E1913" s="24"/>
      <c r="F1913" s="23"/>
    </row>
    <row r="1914" spans="1:6" x14ac:dyDescent="0.3">
      <c r="A1914" t="s">
        <v>374</v>
      </c>
      <c r="B1914" s="23" t="s">
        <v>63</v>
      </c>
      <c r="C1914" s="23" t="s">
        <v>18</v>
      </c>
      <c r="D1914" s="24"/>
      <c r="E1914" s="24"/>
      <c r="F1914" s="23"/>
    </row>
    <row r="1915" spans="1:6" x14ac:dyDescent="0.3">
      <c r="A1915" t="s">
        <v>374</v>
      </c>
      <c r="B1915" s="23" t="s">
        <v>48</v>
      </c>
      <c r="C1915" s="23" t="s">
        <v>49</v>
      </c>
      <c r="D1915" s="24"/>
      <c r="E1915" s="24"/>
      <c r="F1915" s="23"/>
    </row>
    <row r="1916" spans="1:6" x14ac:dyDescent="0.3">
      <c r="A1916" t="s">
        <v>374</v>
      </c>
      <c r="B1916" s="23" t="s">
        <v>75</v>
      </c>
      <c r="C1916" s="23" t="s">
        <v>51</v>
      </c>
      <c r="D1916" s="2"/>
      <c r="E1916" s="2"/>
    </row>
    <row r="1917" spans="1:6" x14ac:dyDescent="0.3">
      <c r="A1917" t="s">
        <v>374</v>
      </c>
      <c r="B1917" s="23" t="s">
        <v>75</v>
      </c>
      <c r="C1917" s="23" t="s">
        <v>26</v>
      </c>
      <c r="D1917" s="24">
        <v>0.66666666666666596</v>
      </c>
      <c r="E1917" s="24">
        <v>0.79166666666666496</v>
      </c>
      <c r="F1917" s="23"/>
    </row>
    <row r="1918" spans="1:6" x14ac:dyDescent="0.3">
      <c r="A1918" t="s">
        <v>374</v>
      </c>
      <c r="B1918" s="23" t="s">
        <v>75</v>
      </c>
      <c r="C1918" s="23" t="s">
        <v>26</v>
      </c>
      <c r="D1918" s="2">
        <v>0.79166666666666496</v>
      </c>
      <c r="E1918" s="2">
        <v>0.91666666666666496</v>
      </c>
    </row>
    <row r="1919" spans="1:6" x14ac:dyDescent="0.3">
      <c r="A1919" t="s">
        <v>374</v>
      </c>
      <c r="B1919" s="23" t="s">
        <v>23</v>
      </c>
      <c r="C1919" t="s">
        <v>22</v>
      </c>
      <c r="D1919" s="2">
        <v>0.54166666666666596</v>
      </c>
      <c r="E1919" s="2">
        <v>0.79166666666666496</v>
      </c>
      <c r="F1919" t="s">
        <v>375</v>
      </c>
    </row>
    <row r="1920" spans="1:6" x14ac:dyDescent="0.3">
      <c r="A1920" t="s">
        <v>374</v>
      </c>
      <c r="B1920" s="23" t="s">
        <v>23</v>
      </c>
      <c r="C1920" s="23" t="s">
        <v>53</v>
      </c>
      <c r="D1920" s="24">
        <v>0.58333333333333304</v>
      </c>
      <c r="E1920" s="24">
        <v>0.624999999999999</v>
      </c>
      <c r="F1920" s="23" t="s">
        <v>376</v>
      </c>
    </row>
    <row r="1921" spans="1:6" x14ac:dyDescent="0.3">
      <c r="A1921" t="s">
        <v>374</v>
      </c>
      <c r="B1921" s="23" t="s">
        <v>12</v>
      </c>
      <c r="C1921" s="23" t="s">
        <v>53</v>
      </c>
      <c r="D1921" s="24">
        <v>0.58333333333333304</v>
      </c>
      <c r="E1921" s="24">
        <v>0.624999999999999</v>
      </c>
      <c r="F1921" s="23" t="s">
        <v>376</v>
      </c>
    </row>
    <row r="1922" spans="1:6" x14ac:dyDescent="0.3">
      <c r="A1922" t="s">
        <v>374</v>
      </c>
      <c r="B1922" s="23" t="s">
        <v>73</v>
      </c>
      <c r="C1922" s="23" t="s">
        <v>55</v>
      </c>
      <c r="D1922" s="24">
        <v>0.29166666666666669</v>
      </c>
      <c r="E1922" s="24">
        <v>0.33333333333333298</v>
      </c>
      <c r="F1922" s="23" t="s">
        <v>377</v>
      </c>
    </row>
    <row r="1923" spans="1:6" x14ac:dyDescent="0.3">
      <c r="A1923" t="s">
        <v>374</v>
      </c>
      <c r="B1923" s="23" t="s">
        <v>68</v>
      </c>
      <c r="C1923" s="23" t="s">
        <v>30</v>
      </c>
      <c r="D1923" s="24"/>
      <c r="E1923" s="24"/>
      <c r="F1923" s="23"/>
    </row>
    <row r="1924" spans="1:6" x14ac:dyDescent="0.3">
      <c r="A1924" t="s">
        <v>374</v>
      </c>
      <c r="B1924" s="23" t="s">
        <v>44</v>
      </c>
      <c r="C1924" s="23" t="s">
        <v>26</v>
      </c>
      <c r="D1924" s="24">
        <v>0.41666666666666702</v>
      </c>
      <c r="E1924" s="24">
        <v>0.54166666666666596</v>
      </c>
      <c r="F1924" s="23"/>
    </row>
    <row r="1925" spans="1:6" x14ac:dyDescent="0.3">
      <c r="A1925" t="s">
        <v>374</v>
      </c>
      <c r="B1925" s="23" t="s">
        <v>66</v>
      </c>
      <c r="C1925" s="23" t="s">
        <v>26</v>
      </c>
      <c r="D1925" s="24">
        <v>0.66666666666666596</v>
      </c>
      <c r="E1925" s="24">
        <v>0.79166666666666496</v>
      </c>
      <c r="F1925" s="23"/>
    </row>
    <row r="1926" spans="1:6" x14ac:dyDescent="0.3">
      <c r="A1926" t="s">
        <v>374</v>
      </c>
      <c r="B1926" s="23" t="s">
        <v>66</v>
      </c>
      <c r="C1926" s="23" t="s">
        <v>26</v>
      </c>
      <c r="D1926" s="24">
        <v>0.79166666666666496</v>
      </c>
      <c r="E1926" s="24">
        <v>0.91666666666666496</v>
      </c>
      <c r="F1926" s="23"/>
    </row>
    <row r="1927" spans="1:6" x14ac:dyDescent="0.3">
      <c r="A1927" t="s">
        <v>374</v>
      </c>
      <c r="B1927" s="23" t="s">
        <v>64</v>
      </c>
      <c r="C1927" s="23" t="s">
        <v>55</v>
      </c>
      <c r="D1927" s="24">
        <v>0.749999999999999</v>
      </c>
      <c r="E1927" s="24">
        <v>0.79166666666666496</v>
      </c>
      <c r="F1927" s="23" t="s">
        <v>378</v>
      </c>
    </row>
    <row r="1928" spans="1:6" x14ac:dyDescent="0.3">
      <c r="A1928" t="s">
        <v>374</v>
      </c>
      <c r="B1928" s="23" t="s">
        <v>50</v>
      </c>
      <c r="C1928" s="23" t="s">
        <v>30</v>
      </c>
      <c r="D1928" s="24"/>
      <c r="E1928" s="24"/>
      <c r="F1928" s="23"/>
    </row>
    <row r="1929" spans="1:6" x14ac:dyDescent="0.3">
      <c r="A1929" t="s">
        <v>374</v>
      </c>
      <c r="B1929" s="23" t="s">
        <v>23</v>
      </c>
      <c r="C1929" s="23" t="s">
        <v>30</v>
      </c>
      <c r="D1929" s="24"/>
      <c r="E1929" s="24"/>
      <c r="F1929" s="23"/>
    </row>
    <row r="1930" spans="1:6" x14ac:dyDescent="0.3">
      <c r="A1930" t="s">
        <v>374</v>
      </c>
      <c r="B1930" s="23" t="s">
        <v>23</v>
      </c>
      <c r="C1930" s="23"/>
      <c r="D1930" s="24">
        <v>0.29166666666666669</v>
      </c>
      <c r="E1930" s="24">
        <v>0.79166666666666496</v>
      </c>
      <c r="F1930" s="23" t="s">
        <v>379</v>
      </c>
    </row>
    <row r="1931" spans="1:6" x14ac:dyDescent="0.3">
      <c r="A1931" t="s">
        <v>374</v>
      </c>
      <c r="B1931" s="23" t="s">
        <v>23</v>
      </c>
      <c r="C1931" s="23"/>
      <c r="D1931" s="24">
        <v>0.54166666666666596</v>
      </c>
      <c r="E1931" s="24">
        <v>0.79166666666666496</v>
      </c>
      <c r="F1931" s="23" t="s">
        <v>380</v>
      </c>
    </row>
    <row r="1932" spans="1:6" x14ac:dyDescent="0.3">
      <c r="A1932" t="s">
        <v>374</v>
      </c>
      <c r="B1932" s="23" t="s">
        <v>23</v>
      </c>
      <c r="C1932" s="23" t="s">
        <v>55</v>
      </c>
      <c r="D1932" s="24">
        <v>0.70833333333333204</v>
      </c>
      <c r="E1932" s="24">
        <v>0.749999999999999</v>
      </c>
      <c r="F1932" s="23" t="s">
        <v>381</v>
      </c>
    </row>
    <row r="1933" spans="1:6" x14ac:dyDescent="0.3">
      <c r="A1933" t="s">
        <v>374</v>
      </c>
      <c r="B1933" s="23" t="s">
        <v>64</v>
      </c>
      <c r="C1933" s="23" t="s">
        <v>55</v>
      </c>
      <c r="D1933" s="24">
        <v>0.70833333333333204</v>
      </c>
      <c r="E1933" s="24">
        <v>0.749999999999999</v>
      </c>
      <c r="F1933" s="23" t="s">
        <v>381</v>
      </c>
    </row>
    <row r="1934" spans="1:6" x14ac:dyDescent="0.3">
      <c r="A1934" t="s">
        <v>374</v>
      </c>
      <c r="B1934" s="23" t="s">
        <v>14</v>
      </c>
      <c r="C1934" s="23" t="s">
        <v>26</v>
      </c>
      <c r="D1934" s="24">
        <v>0.79166666666666496</v>
      </c>
      <c r="E1934" s="24">
        <v>0.91666666666666496</v>
      </c>
      <c r="F1934" s="23"/>
    </row>
    <row r="1935" spans="1:6" x14ac:dyDescent="0.3">
      <c r="A1935" t="s">
        <v>374</v>
      </c>
      <c r="B1935" s="23" t="s">
        <v>33</v>
      </c>
      <c r="C1935" s="23" t="s">
        <v>30</v>
      </c>
      <c r="D1935" s="24"/>
      <c r="E1935" s="24"/>
      <c r="F1935" s="23"/>
    </row>
    <row r="1936" spans="1:6" x14ac:dyDescent="0.3">
      <c r="A1936" t="s">
        <v>374</v>
      </c>
      <c r="B1936" s="23" t="s">
        <v>72</v>
      </c>
      <c r="C1936" s="23" t="s">
        <v>26</v>
      </c>
      <c r="D1936" s="24">
        <v>0.79166666666666496</v>
      </c>
      <c r="E1936" s="24">
        <v>0.91666666666666496</v>
      </c>
      <c r="F1936" s="23"/>
    </row>
    <row r="1937" spans="1:6" x14ac:dyDescent="0.3">
      <c r="A1937" t="s">
        <v>374</v>
      </c>
      <c r="B1937" s="23" t="s">
        <v>12</v>
      </c>
      <c r="C1937" s="23" t="s">
        <v>26</v>
      </c>
      <c r="D1937" s="24">
        <v>0.79166666666666496</v>
      </c>
      <c r="E1937" s="24">
        <v>0.91666666666666496</v>
      </c>
      <c r="F1937" s="23"/>
    </row>
    <row r="1938" spans="1:6" x14ac:dyDescent="0.3">
      <c r="A1938" t="s">
        <v>374</v>
      </c>
      <c r="B1938" s="23" t="s">
        <v>23</v>
      </c>
      <c r="C1938" s="23" t="s">
        <v>53</v>
      </c>
      <c r="D1938" s="24">
        <v>0.66666666666666596</v>
      </c>
      <c r="E1938" s="24">
        <v>0.70833333333333204</v>
      </c>
      <c r="F1938" s="23" t="s">
        <v>382</v>
      </c>
    </row>
    <row r="1939" spans="1:6" x14ac:dyDescent="0.3">
      <c r="A1939" t="s">
        <v>374</v>
      </c>
      <c r="B1939" s="23" t="s">
        <v>214</v>
      </c>
      <c r="C1939" s="23" t="s">
        <v>24</v>
      </c>
      <c r="D1939" s="24"/>
      <c r="E1939" s="24"/>
      <c r="F1939" s="23" t="s">
        <v>383</v>
      </c>
    </row>
    <row r="1940" spans="1:6" x14ac:dyDescent="0.3">
      <c r="A1940" t="s">
        <v>385</v>
      </c>
      <c r="B1940" t="s">
        <v>68</v>
      </c>
      <c r="C1940" t="s">
        <v>13</v>
      </c>
      <c r="D1940" s="2"/>
      <c r="E1940" s="2"/>
    </row>
    <row r="1941" spans="1:6" x14ac:dyDescent="0.3">
      <c r="A1941" t="s">
        <v>385</v>
      </c>
      <c r="B1941" s="23" t="s">
        <v>142</v>
      </c>
      <c r="C1941" s="23" t="s">
        <v>8</v>
      </c>
      <c r="D1941" s="24"/>
      <c r="E1941" s="24"/>
      <c r="F1941" s="23"/>
    </row>
    <row r="1942" spans="1:6" x14ac:dyDescent="0.3">
      <c r="A1942" t="s">
        <v>385</v>
      </c>
      <c r="B1942" s="23" t="s">
        <v>94</v>
      </c>
      <c r="C1942" s="23" t="s">
        <v>78</v>
      </c>
      <c r="D1942" s="24"/>
      <c r="E1942" s="24"/>
      <c r="F1942" s="23"/>
    </row>
    <row r="1943" spans="1:6" x14ac:dyDescent="0.3">
      <c r="A1943" t="s">
        <v>385</v>
      </c>
      <c r="B1943" s="23" t="s">
        <v>97</v>
      </c>
      <c r="C1943" s="23" t="s">
        <v>13</v>
      </c>
      <c r="D1943" s="24"/>
      <c r="E1943" s="24"/>
      <c r="F1943" s="23"/>
    </row>
    <row r="1944" spans="1:6" x14ac:dyDescent="0.3">
      <c r="A1944" t="s">
        <v>385</v>
      </c>
      <c r="B1944" s="23" t="s">
        <v>62</v>
      </c>
      <c r="C1944" s="23" t="s">
        <v>8</v>
      </c>
      <c r="D1944" s="24"/>
      <c r="E1944" s="24"/>
      <c r="F1944" s="23"/>
    </row>
    <row r="1945" spans="1:6" x14ac:dyDescent="0.3">
      <c r="A1945" t="s">
        <v>385</v>
      </c>
      <c r="B1945" s="23" t="s">
        <v>36</v>
      </c>
      <c r="C1945" s="23" t="s">
        <v>78</v>
      </c>
      <c r="D1945" s="24"/>
      <c r="E1945" s="24"/>
      <c r="F1945" s="23"/>
    </row>
    <row r="1946" spans="1:6" x14ac:dyDescent="0.3">
      <c r="A1946" t="s">
        <v>386</v>
      </c>
      <c r="B1946" s="23" t="s">
        <v>84</v>
      </c>
      <c r="C1946" s="23" t="s">
        <v>13</v>
      </c>
      <c r="D1946" s="24"/>
      <c r="E1946" s="24"/>
      <c r="F1946" s="23"/>
    </row>
    <row r="1947" spans="1:6" x14ac:dyDescent="0.3">
      <c r="A1947" t="s">
        <v>386</v>
      </c>
      <c r="B1947" s="23" t="s">
        <v>69</v>
      </c>
      <c r="C1947" s="23" t="s">
        <v>13</v>
      </c>
      <c r="D1947" s="24"/>
      <c r="E1947" s="24"/>
      <c r="F1947" s="23"/>
    </row>
    <row r="1948" spans="1:6" x14ac:dyDescent="0.3">
      <c r="A1948" t="s">
        <v>386</v>
      </c>
      <c r="B1948" s="23" t="s">
        <v>94</v>
      </c>
      <c r="C1948" s="23" t="s">
        <v>15</v>
      </c>
      <c r="D1948" s="24"/>
      <c r="E1948" s="24"/>
      <c r="F1948" s="23"/>
    </row>
    <row r="1949" spans="1:6" x14ac:dyDescent="0.3">
      <c r="A1949" t="s">
        <v>386</v>
      </c>
      <c r="B1949" s="23" t="s">
        <v>75</v>
      </c>
      <c r="C1949" s="23" t="s">
        <v>8</v>
      </c>
      <c r="D1949" s="24"/>
      <c r="E1949" s="24"/>
      <c r="F1949" s="23"/>
    </row>
    <row r="1950" spans="1:6" x14ac:dyDescent="0.3">
      <c r="A1950" t="s">
        <v>386</v>
      </c>
      <c r="B1950" s="23" t="s">
        <v>40</v>
      </c>
      <c r="C1950" s="23" t="s">
        <v>8</v>
      </c>
      <c r="D1950" s="24"/>
      <c r="E1950" s="24"/>
      <c r="F1950" s="23"/>
    </row>
    <row r="1951" spans="1:6" x14ac:dyDescent="0.3">
      <c r="A1951" t="s">
        <v>386</v>
      </c>
      <c r="B1951" s="23" t="s">
        <v>20</v>
      </c>
      <c r="C1951" s="23" t="s">
        <v>30</v>
      </c>
      <c r="D1951" s="24"/>
      <c r="E1951" s="24"/>
      <c r="F1951" s="23"/>
    </row>
    <row r="1952" spans="1:6" x14ac:dyDescent="0.3">
      <c r="A1952" t="s">
        <v>386</v>
      </c>
      <c r="B1952" s="23" t="s">
        <v>32</v>
      </c>
      <c r="C1952" s="23" t="s">
        <v>30</v>
      </c>
      <c r="D1952" s="24"/>
      <c r="E1952" s="24"/>
      <c r="F1952" s="23"/>
    </row>
    <row r="1953" spans="1:6" x14ac:dyDescent="0.3">
      <c r="A1953" t="s">
        <v>386</v>
      </c>
      <c r="B1953" s="23" t="s">
        <v>85</v>
      </c>
      <c r="C1953" s="23" t="s">
        <v>30</v>
      </c>
      <c r="D1953" s="24"/>
      <c r="E1953" s="24"/>
      <c r="F1953" s="23"/>
    </row>
    <row r="1954" spans="1:6" x14ac:dyDescent="0.3">
      <c r="A1954" t="s">
        <v>386</v>
      </c>
      <c r="B1954" s="23" t="s">
        <v>64</v>
      </c>
      <c r="C1954" s="23" t="s">
        <v>30</v>
      </c>
      <c r="D1954" s="24"/>
      <c r="E1954" s="24"/>
      <c r="F1954" s="23"/>
    </row>
    <row r="1955" spans="1:6" x14ac:dyDescent="0.3">
      <c r="A1955" t="s">
        <v>386</v>
      </c>
      <c r="B1955" s="23" t="s">
        <v>79</v>
      </c>
      <c r="C1955" s="23" t="s">
        <v>10</v>
      </c>
      <c r="D1955" s="24"/>
      <c r="E1955" s="24"/>
      <c r="F1955" s="23"/>
    </row>
    <row r="1956" spans="1:6" x14ac:dyDescent="0.3">
      <c r="A1956" t="s">
        <v>386</v>
      </c>
      <c r="B1956" s="23" t="s">
        <v>27</v>
      </c>
      <c r="C1956" s="23" t="s">
        <v>10</v>
      </c>
      <c r="D1956" s="24"/>
      <c r="E1956" s="24"/>
      <c r="F1956" s="23"/>
    </row>
    <row r="1957" spans="1:6" x14ac:dyDescent="0.3">
      <c r="A1957" t="s">
        <v>386</v>
      </c>
      <c r="B1957" s="23" t="s">
        <v>36</v>
      </c>
      <c r="C1957" s="23" t="s">
        <v>10</v>
      </c>
      <c r="D1957" s="24"/>
      <c r="E1957" s="24"/>
      <c r="F1957" s="23"/>
    </row>
    <row r="1958" spans="1:6" x14ac:dyDescent="0.3">
      <c r="A1958" t="s">
        <v>386</v>
      </c>
      <c r="B1958" s="23" t="s">
        <v>59</v>
      </c>
      <c r="C1958" s="23" t="s">
        <v>41</v>
      </c>
      <c r="D1958" s="24"/>
      <c r="E1958" s="24"/>
      <c r="F1958" s="23"/>
    </row>
    <row r="1959" spans="1:6" x14ac:dyDescent="0.3">
      <c r="A1959" t="s">
        <v>386</v>
      </c>
      <c r="B1959" s="23" t="s">
        <v>35</v>
      </c>
      <c r="C1959" s="23" t="s">
        <v>41</v>
      </c>
      <c r="D1959" s="24"/>
      <c r="E1959" s="24"/>
      <c r="F1959" s="23"/>
    </row>
    <row r="1960" spans="1:6" x14ac:dyDescent="0.3">
      <c r="A1960" t="s">
        <v>386</v>
      </c>
      <c r="B1960" s="23" t="s">
        <v>17</v>
      </c>
      <c r="C1960" s="23" t="s">
        <v>26</v>
      </c>
      <c r="D1960" s="24">
        <v>0.79166666666666496</v>
      </c>
      <c r="E1960" s="24">
        <v>0.98958333333333104</v>
      </c>
      <c r="F1960" s="23"/>
    </row>
    <row r="1961" spans="1:6" x14ac:dyDescent="0.3">
      <c r="A1961" t="s">
        <v>386</v>
      </c>
      <c r="B1961" s="23" t="s">
        <v>84</v>
      </c>
      <c r="C1961" s="23" t="s">
        <v>43</v>
      </c>
      <c r="D1961" s="24"/>
      <c r="E1961" s="24"/>
      <c r="F1961" s="23"/>
    </row>
    <row r="1962" spans="1:6" x14ac:dyDescent="0.3">
      <c r="A1962" t="s">
        <v>386</v>
      </c>
      <c r="B1962" s="23" t="s">
        <v>52</v>
      </c>
      <c r="C1962" s="23" t="s">
        <v>45</v>
      </c>
      <c r="D1962" s="24"/>
      <c r="E1962" s="24"/>
      <c r="F1962" s="23"/>
    </row>
    <row r="1963" spans="1:6" x14ac:dyDescent="0.3">
      <c r="A1963" t="s">
        <v>386</v>
      </c>
      <c r="B1963" s="23" t="s">
        <v>14</v>
      </c>
      <c r="C1963" s="23" t="s">
        <v>46</v>
      </c>
      <c r="D1963" s="24"/>
      <c r="E1963" s="24"/>
      <c r="F1963" s="23"/>
    </row>
    <row r="1964" spans="1:6" x14ac:dyDescent="0.3">
      <c r="A1964" t="s">
        <v>386</v>
      </c>
      <c r="B1964" s="23" t="s">
        <v>94</v>
      </c>
      <c r="C1964" s="23" t="s">
        <v>18</v>
      </c>
      <c r="D1964" s="24"/>
      <c r="E1964" s="24"/>
      <c r="F1964" s="23"/>
    </row>
    <row r="1965" spans="1:6" x14ac:dyDescent="0.3">
      <c r="A1965" t="s">
        <v>386</v>
      </c>
      <c r="B1965" s="23" t="s">
        <v>85</v>
      </c>
      <c r="C1965" s="23" t="s">
        <v>49</v>
      </c>
      <c r="D1965" s="24"/>
      <c r="E1965" s="24"/>
      <c r="F1965" s="23"/>
    </row>
    <row r="1966" spans="1:6" x14ac:dyDescent="0.3">
      <c r="A1966" t="s">
        <v>386</v>
      </c>
      <c r="B1966" s="23" t="s">
        <v>34</v>
      </c>
      <c r="C1966" s="23" t="s">
        <v>51</v>
      </c>
      <c r="D1966" s="24"/>
      <c r="E1966" s="24"/>
      <c r="F1966" s="23"/>
    </row>
    <row r="1967" spans="1:6" x14ac:dyDescent="0.3">
      <c r="A1967" t="s">
        <v>386</v>
      </c>
      <c r="B1967" s="23" t="s">
        <v>23</v>
      </c>
      <c r="C1967" s="23" t="s">
        <v>53</v>
      </c>
      <c r="D1967" s="24">
        <v>0.5</v>
      </c>
      <c r="E1967" s="24">
        <v>0.54166666666666596</v>
      </c>
      <c r="F1967" s="23" t="s">
        <v>387</v>
      </c>
    </row>
    <row r="1968" spans="1:6" x14ac:dyDescent="0.3">
      <c r="A1968" t="s">
        <v>386</v>
      </c>
      <c r="B1968" s="23" t="s">
        <v>73</v>
      </c>
      <c r="C1968" s="23" t="s">
        <v>53</v>
      </c>
      <c r="D1968" s="24">
        <v>0.5</v>
      </c>
      <c r="E1968" s="24">
        <v>0.54166666666666596</v>
      </c>
      <c r="F1968" s="23" t="s">
        <v>387</v>
      </c>
    </row>
    <row r="1969" spans="1:6" x14ac:dyDescent="0.3">
      <c r="A1969" t="s">
        <v>386</v>
      </c>
      <c r="B1969" s="23" t="s">
        <v>29</v>
      </c>
      <c r="C1969" s="23" t="s">
        <v>24</v>
      </c>
      <c r="D1969" s="24">
        <v>0.812499999999998</v>
      </c>
      <c r="E1969" s="24">
        <v>0.85416666666666496</v>
      </c>
      <c r="F1969" s="23" t="s">
        <v>388</v>
      </c>
    </row>
    <row r="1970" spans="1:6" x14ac:dyDescent="0.3">
      <c r="A1970" t="s">
        <v>386</v>
      </c>
      <c r="B1970" s="23" t="s">
        <v>34</v>
      </c>
      <c r="C1970" s="23" t="s">
        <v>55</v>
      </c>
      <c r="D1970" s="24">
        <v>0.83333333333333204</v>
      </c>
      <c r="E1970" s="24">
        <v>0.874999999999998</v>
      </c>
      <c r="F1970" s="23" t="s">
        <v>389</v>
      </c>
    </row>
    <row r="1971" spans="1:6" x14ac:dyDescent="0.3">
      <c r="A1971" t="s">
        <v>386</v>
      </c>
      <c r="B1971" s="23" t="s">
        <v>57</v>
      </c>
      <c r="C1971" s="23" t="s">
        <v>55</v>
      </c>
      <c r="D1971" s="24">
        <v>0.83333333333333204</v>
      </c>
      <c r="E1971" s="24">
        <v>0.874999999999998</v>
      </c>
      <c r="F1971" s="23" t="s">
        <v>389</v>
      </c>
    </row>
    <row r="1972" spans="1:6" x14ac:dyDescent="0.3">
      <c r="A1972" t="s">
        <v>386</v>
      </c>
      <c r="B1972" s="23" t="s">
        <v>63</v>
      </c>
      <c r="C1972" s="23" t="s">
        <v>53</v>
      </c>
      <c r="D1972" s="24">
        <v>0.79166666666666496</v>
      </c>
      <c r="E1972" s="24">
        <v>0.83333333333333204</v>
      </c>
      <c r="F1972" s="23" t="s">
        <v>390</v>
      </c>
    </row>
    <row r="1973" spans="1:6" x14ac:dyDescent="0.3">
      <c r="A1973" t="s">
        <v>386</v>
      </c>
      <c r="B1973" s="23" t="s">
        <v>29</v>
      </c>
      <c r="C1973" s="23" t="s">
        <v>24</v>
      </c>
      <c r="D1973" s="24">
        <v>0.66666666666666596</v>
      </c>
      <c r="E1973" s="24">
        <v>0.79166666666666496</v>
      </c>
      <c r="F1973" s="23" t="s">
        <v>391</v>
      </c>
    </row>
    <row r="1974" spans="1:6" x14ac:dyDescent="0.3">
      <c r="A1974" t="s">
        <v>405</v>
      </c>
      <c r="B1974" t="s">
        <v>84</v>
      </c>
      <c r="C1974" t="s">
        <v>13</v>
      </c>
      <c r="D1974" s="2"/>
      <c r="E1974" s="2"/>
    </row>
    <row r="1975" spans="1:6" x14ac:dyDescent="0.3">
      <c r="A1975" t="s">
        <v>405</v>
      </c>
      <c r="B1975" t="s">
        <v>75</v>
      </c>
      <c r="C1975" t="s">
        <v>8</v>
      </c>
      <c r="D1975" s="2"/>
      <c r="E1975" s="2"/>
    </row>
    <row r="1976" spans="1:6" x14ac:dyDescent="0.3">
      <c r="A1976" t="s">
        <v>405</v>
      </c>
      <c r="B1976" s="23" t="s">
        <v>142</v>
      </c>
      <c r="C1976" s="23" t="s">
        <v>78</v>
      </c>
      <c r="D1976" s="24"/>
      <c r="E1976" s="24"/>
      <c r="F1976" s="23"/>
    </row>
    <row r="1977" spans="1:6" x14ac:dyDescent="0.3">
      <c r="A1977" t="s">
        <v>405</v>
      </c>
      <c r="B1977" s="23" t="s">
        <v>40</v>
      </c>
      <c r="C1977" s="23" t="s">
        <v>13</v>
      </c>
      <c r="D1977" s="24"/>
      <c r="E1977" s="24"/>
      <c r="F1977" s="23"/>
    </row>
    <row r="1978" spans="1:6" x14ac:dyDescent="0.3">
      <c r="A1978" t="s">
        <v>405</v>
      </c>
      <c r="B1978" s="23" t="s">
        <v>97</v>
      </c>
      <c r="C1978" s="23" t="s">
        <v>8</v>
      </c>
      <c r="D1978" s="24"/>
      <c r="E1978" s="24"/>
      <c r="F1978" s="23"/>
    </row>
    <row r="1979" spans="1:6" x14ac:dyDescent="0.3">
      <c r="A1979" t="s">
        <v>405</v>
      </c>
      <c r="B1979" s="23" t="s">
        <v>60</v>
      </c>
      <c r="C1979" t="s">
        <v>78</v>
      </c>
      <c r="D1979" s="2"/>
      <c r="E1979" s="2"/>
    </row>
    <row r="1980" spans="1:6" x14ac:dyDescent="0.3">
      <c r="A1980" t="s">
        <v>405</v>
      </c>
      <c r="B1980" s="23" t="s">
        <v>38</v>
      </c>
      <c r="C1980" s="23" t="s">
        <v>10</v>
      </c>
      <c r="D1980" s="2"/>
      <c r="E1980" s="2"/>
    </row>
    <row r="1981" spans="1:6" x14ac:dyDescent="0.3">
      <c r="A1981" t="s">
        <v>405</v>
      </c>
      <c r="B1981" s="23" t="s">
        <v>103</v>
      </c>
      <c r="C1981" s="23" t="s">
        <v>10</v>
      </c>
      <c r="D1981" s="24"/>
      <c r="E1981" s="24"/>
      <c r="F1981" s="23"/>
    </row>
    <row r="1982" spans="1:6" x14ac:dyDescent="0.3">
      <c r="A1982" t="s">
        <v>405</v>
      </c>
      <c r="B1982" s="23" t="s">
        <v>79</v>
      </c>
      <c r="C1982" t="s">
        <v>10</v>
      </c>
      <c r="D1982" s="2"/>
      <c r="E1982" s="2"/>
    </row>
    <row r="1983" spans="1:6" x14ac:dyDescent="0.3">
      <c r="A1983" t="s">
        <v>405</v>
      </c>
      <c r="B1983" s="23" t="s">
        <v>59</v>
      </c>
      <c r="C1983" s="23" t="s">
        <v>41</v>
      </c>
      <c r="D1983" s="24"/>
      <c r="E1983" s="24"/>
      <c r="F1983" s="23"/>
    </row>
    <row r="1984" spans="1:6" x14ac:dyDescent="0.3">
      <c r="A1984" t="s">
        <v>405</v>
      </c>
      <c r="B1984" s="23" t="s">
        <v>112</v>
      </c>
      <c r="C1984" s="23" t="s">
        <v>41</v>
      </c>
      <c r="D1984" s="24"/>
      <c r="E1984" s="24"/>
      <c r="F1984" s="23"/>
    </row>
    <row r="1985" spans="1:6" x14ac:dyDescent="0.3">
      <c r="A1985" t="s">
        <v>405</v>
      </c>
      <c r="B1985" s="23" t="s">
        <v>52</v>
      </c>
      <c r="C1985" s="23" t="s">
        <v>45</v>
      </c>
      <c r="D1985" s="24"/>
      <c r="E1985" s="24"/>
      <c r="F1985" s="23"/>
    </row>
    <row r="1986" spans="1:6" x14ac:dyDescent="0.3">
      <c r="A1986" t="s">
        <v>405</v>
      </c>
      <c r="B1986" s="23" t="s">
        <v>14</v>
      </c>
      <c r="C1986" s="23" t="s">
        <v>46</v>
      </c>
      <c r="D1986" s="24"/>
      <c r="E1986" s="24"/>
      <c r="F1986" s="23"/>
    </row>
    <row r="1987" spans="1:6" x14ac:dyDescent="0.3">
      <c r="A1987" t="s">
        <v>405</v>
      </c>
      <c r="B1987" s="23" t="s">
        <v>32</v>
      </c>
      <c r="C1987" s="23" t="s">
        <v>18</v>
      </c>
      <c r="D1987" s="24"/>
      <c r="E1987" s="24"/>
      <c r="F1987" s="23"/>
    </row>
    <row r="1988" spans="1:6" x14ac:dyDescent="0.3">
      <c r="A1988" t="s">
        <v>405</v>
      </c>
      <c r="B1988" s="23" t="s">
        <v>85</v>
      </c>
      <c r="C1988" s="23" t="s">
        <v>49</v>
      </c>
      <c r="D1988" s="24"/>
      <c r="E1988" s="24"/>
      <c r="F1988" s="23"/>
    </row>
    <row r="1989" spans="1:6" x14ac:dyDescent="0.3">
      <c r="A1989" t="s">
        <v>405</v>
      </c>
      <c r="B1989" s="23" t="s">
        <v>34</v>
      </c>
      <c r="C1989" s="23" t="s">
        <v>51</v>
      </c>
      <c r="D1989" s="24"/>
      <c r="E1989" s="24"/>
      <c r="F1989" s="23"/>
    </row>
    <row r="1990" spans="1:6" x14ac:dyDescent="0.3">
      <c r="A1990" t="s">
        <v>412</v>
      </c>
      <c r="B1990" t="s">
        <v>50</v>
      </c>
      <c r="C1990" t="s">
        <v>13</v>
      </c>
      <c r="D1990" s="2"/>
      <c r="E1990" s="2"/>
    </row>
    <row r="1991" spans="1:6" x14ac:dyDescent="0.3">
      <c r="A1991" t="s">
        <v>412</v>
      </c>
      <c r="B1991" s="23" t="s">
        <v>68</v>
      </c>
      <c r="C1991" s="23" t="s">
        <v>15</v>
      </c>
      <c r="D1991" s="24"/>
      <c r="E1991" s="24"/>
      <c r="F1991" s="23"/>
    </row>
    <row r="1992" spans="1:6" x14ac:dyDescent="0.3">
      <c r="A1992" t="s">
        <v>412</v>
      </c>
      <c r="B1992" s="23" t="s">
        <v>71</v>
      </c>
      <c r="C1992" s="23" t="s">
        <v>8</v>
      </c>
      <c r="D1992" s="24"/>
      <c r="E1992" s="24"/>
      <c r="F1992" s="23"/>
    </row>
    <row r="1993" spans="1:6" x14ac:dyDescent="0.3">
      <c r="A1993" t="s">
        <v>412</v>
      </c>
      <c r="B1993" s="23" t="s">
        <v>59</v>
      </c>
      <c r="C1993" t="s">
        <v>13</v>
      </c>
      <c r="D1993" s="24"/>
      <c r="E1993" s="24"/>
      <c r="F1993" s="23"/>
    </row>
    <row r="1994" spans="1:6" x14ac:dyDescent="0.3">
      <c r="A1994" t="s">
        <v>412</v>
      </c>
      <c r="B1994" s="23" t="s">
        <v>39</v>
      </c>
      <c r="C1994" s="23" t="s">
        <v>8</v>
      </c>
      <c r="D1994" s="24"/>
      <c r="E1994" s="24"/>
      <c r="F1994" s="23"/>
    </row>
    <row r="1995" spans="1:6" x14ac:dyDescent="0.3">
      <c r="A1995" t="s">
        <v>412</v>
      </c>
      <c r="B1995" s="23" t="s">
        <v>112</v>
      </c>
      <c r="C1995" s="23" t="s">
        <v>41</v>
      </c>
      <c r="D1995" s="24"/>
      <c r="E1995" s="24"/>
      <c r="F1995" s="23"/>
    </row>
    <row r="1996" spans="1:6" x14ac:dyDescent="0.3">
      <c r="A1996" t="s">
        <v>412</v>
      </c>
      <c r="B1996" s="23" t="s">
        <v>62</v>
      </c>
      <c r="C1996" s="23" t="s">
        <v>41</v>
      </c>
      <c r="D1996" s="24"/>
      <c r="E1996" s="24"/>
      <c r="F1996" s="23"/>
    </row>
    <row r="1997" spans="1:6" x14ac:dyDescent="0.3">
      <c r="A1997" t="s">
        <v>412</v>
      </c>
      <c r="B1997" s="23" t="s">
        <v>40</v>
      </c>
      <c r="C1997" s="23" t="s">
        <v>10</v>
      </c>
      <c r="D1997" s="24"/>
      <c r="E1997" s="24"/>
      <c r="F1997" s="23"/>
    </row>
    <row r="1998" spans="1:6" x14ac:dyDescent="0.3">
      <c r="A1998" t="s">
        <v>412</v>
      </c>
      <c r="B1998" s="23" t="s">
        <v>36</v>
      </c>
      <c r="C1998" s="23" t="s">
        <v>10</v>
      </c>
      <c r="D1998" s="24"/>
      <c r="E1998" s="24"/>
      <c r="F1998" s="23"/>
    </row>
    <row r="1999" spans="1:6" x14ac:dyDescent="0.3">
      <c r="A1999" t="s">
        <v>412</v>
      </c>
      <c r="B1999" s="23" t="s">
        <v>79</v>
      </c>
      <c r="C1999" s="23" t="s">
        <v>10</v>
      </c>
      <c r="D1999" s="2"/>
      <c r="E1999" s="2"/>
    </row>
    <row r="2000" spans="1:6" x14ac:dyDescent="0.3">
      <c r="A2000" t="s">
        <v>412</v>
      </c>
      <c r="B2000" s="23" t="s">
        <v>27</v>
      </c>
      <c r="C2000" s="23" t="s">
        <v>10</v>
      </c>
      <c r="D2000" s="2"/>
      <c r="E2000" s="2"/>
    </row>
    <row r="2001" spans="1:6" x14ac:dyDescent="0.3">
      <c r="A2001" t="s">
        <v>412</v>
      </c>
      <c r="B2001" s="23" t="s">
        <v>64</v>
      </c>
      <c r="C2001" s="23" t="s">
        <v>43</v>
      </c>
      <c r="D2001" s="24"/>
      <c r="E2001" s="24"/>
      <c r="F2001" s="23"/>
    </row>
    <row r="2002" spans="1:6" x14ac:dyDescent="0.3">
      <c r="A2002" t="s">
        <v>412</v>
      </c>
      <c r="B2002" s="23" t="s">
        <v>66</v>
      </c>
      <c r="C2002" s="23" t="s">
        <v>45</v>
      </c>
      <c r="D2002" s="24"/>
      <c r="E2002" s="24"/>
      <c r="F2002" s="23"/>
    </row>
    <row r="2003" spans="1:6" x14ac:dyDescent="0.3">
      <c r="A2003" t="s">
        <v>412</v>
      </c>
      <c r="B2003" s="23" t="s">
        <v>68</v>
      </c>
      <c r="C2003" s="23" t="s">
        <v>46</v>
      </c>
      <c r="D2003" s="24"/>
      <c r="E2003" s="24"/>
      <c r="F2003" s="23"/>
    </row>
    <row r="2004" spans="1:6" x14ac:dyDescent="0.3">
      <c r="A2004" t="s">
        <v>412</v>
      </c>
      <c r="B2004" s="23" t="s">
        <v>47</v>
      </c>
      <c r="C2004" s="23" t="s">
        <v>18</v>
      </c>
      <c r="D2004" s="24"/>
      <c r="E2004" s="24"/>
      <c r="F2004" s="23"/>
    </row>
    <row r="2005" spans="1:6" x14ac:dyDescent="0.3">
      <c r="A2005" t="s">
        <v>412</v>
      </c>
      <c r="B2005" s="23" t="s">
        <v>48</v>
      </c>
      <c r="C2005" s="23" t="s">
        <v>49</v>
      </c>
      <c r="D2005" s="24"/>
      <c r="E2005" s="24"/>
      <c r="F2005" s="23"/>
    </row>
    <row r="2006" spans="1:6" x14ac:dyDescent="0.3">
      <c r="A2006" t="s">
        <v>412</v>
      </c>
      <c r="B2006" s="23" t="s">
        <v>73</v>
      </c>
      <c r="C2006" s="23" t="s">
        <v>51</v>
      </c>
      <c r="D2006" s="2"/>
      <c r="E2006" s="2"/>
    </row>
    <row r="2007" spans="1:6" x14ac:dyDescent="0.3">
      <c r="A2007" t="s">
        <v>412</v>
      </c>
      <c r="B2007" s="23" t="s">
        <v>64</v>
      </c>
      <c r="C2007" s="23" t="s">
        <v>26</v>
      </c>
      <c r="D2007" s="2">
        <v>0.66666666666666596</v>
      </c>
      <c r="E2007" s="2">
        <v>0.79166666666666496</v>
      </c>
    </row>
    <row r="2008" spans="1:6" x14ac:dyDescent="0.3">
      <c r="A2008" t="s">
        <v>412</v>
      </c>
      <c r="B2008" s="23" t="s">
        <v>75</v>
      </c>
      <c r="C2008" s="23" t="s">
        <v>124</v>
      </c>
      <c r="D2008" s="24">
        <v>0.83333333333333204</v>
      </c>
      <c r="E2008" s="24">
        <v>0.91666666666666496</v>
      </c>
      <c r="F2008" t="s">
        <v>413</v>
      </c>
    </row>
    <row r="2009" spans="1:6" x14ac:dyDescent="0.3">
      <c r="A2009" t="s">
        <v>412</v>
      </c>
      <c r="B2009" s="23" t="s">
        <v>20</v>
      </c>
      <c r="C2009" t="s">
        <v>30</v>
      </c>
      <c r="D2009" s="2"/>
      <c r="E2009" s="2"/>
      <c r="F2009" s="23"/>
    </row>
    <row r="2010" spans="1:6" x14ac:dyDescent="0.3">
      <c r="A2010" t="s">
        <v>412</v>
      </c>
      <c r="B2010" s="23" t="s">
        <v>34</v>
      </c>
      <c r="C2010" s="23" t="s">
        <v>53</v>
      </c>
      <c r="D2010" s="24">
        <v>0.33333333333333298</v>
      </c>
      <c r="E2010" s="24">
        <v>0.45833333333333298</v>
      </c>
      <c r="F2010" s="23" t="s">
        <v>414</v>
      </c>
    </row>
    <row r="2011" spans="1:6" x14ac:dyDescent="0.3">
      <c r="A2011" t="s">
        <v>412</v>
      </c>
      <c r="B2011" s="23" t="s">
        <v>66</v>
      </c>
      <c r="C2011" s="23" t="s">
        <v>53</v>
      </c>
      <c r="D2011" s="24">
        <v>0.79166666666666496</v>
      </c>
      <c r="E2011" s="24">
        <v>0.89583333333333204</v>
      </c>
      <c r="F2011" s="23" t="s">
        <v>415</v>
      </c>
    </row>
    <row r="2012" spans="1:6" x14ac:dyDescent="0.3">
      <c r="A2012" t="s">
        <v>412</v>
      </c>
      <c r="B2012" s="23" t="s">
        <v>83</v>
      </c>
      <c r="C2012" s="23" t="s">
        <v>53</v>
      </c>
      <c r="D2012" s="24">
        <v>0.79166666666666496</v>
      </c>
      <c r="E2012" s="24">
        <v>0.89583333333333204</v>
      </c>
      <c r="F2012" s="23" t="s">
        <v>415</v>
      </c>
    </row>
    <row r="2013" spans="1:6" x14ac:dyDescent="0.3">
      <c r="A2013" t="s">
        <v>412</v>
      </c>
      <c r="B2013" s="23" t="s">
        <v>52</v>
      </c>
      <c r="C2013" s="23" t="s">
        <v>26</v>
      </c>
      <c r="D2013" s="24">
        <v>0.79166666666666496</v>
      </c>
      <c r="E2013" s="24">
        <v>0.91666666666666496</v>
      </c>
      <c r="F2013" s="23"/>
    </row>
    <row r="2014" spans="1:6" x14ac:dyDescent="0.3">
      <c r="A2014" t="s">
        <v>416</v>
      </c>
      <c r="B2014" t="s">
        <v>29</v>
      </c>
      <c r="C2014" t="s">
        <v>13</v>
      </c>
      <c r="D2014" s="2"/>
      <c r="E2014" s="2"/>
    </row>
    <row r="2015" spans="1:6" x14ac:dyDescent="0.3">
      <c r="A2015" t="s">
        <v>416</v>
      </c>
      <c r="B2015" t="s">
        <v>47</v>
      </c>
      <c r="C2015" t="s">
        <v>15</v>
      </c>
      <c r="D2015" s="2"/>
      <c r="E2015" s="2"/>
    </row>
    <row r="2016" spans="1:6" x14ac:dyDescent="0.3">
      <c r="A2016" t="s">
        <v>416</v>
      </c>
      <c r="B2016" s="23" t="s">
        <v>85</v>
      </c>
      <c r="C2016" s="23" t="s">
        <v>8</v>
      </c>
      <c r="D2016" s="24"/>
      <c r="E2016" s="24"/>
      <c r="F2016" s="23"/>
    </row>
    <row r="2017" spans="1:6" x14ac:dyDescent="0.3">
      <c r="A2017" t="s">
        <v>416</v>
      </c>
      <c r="B2017" s="23" t="s">
        <v>36</v>
      </c>
      <c r="C2017" t="s">
        <v>13</v>
      </c>
      <c r="D2017" s="24"/>
      <c r="E2017" s="24"/>
      <c r="F2017" s="23"/>
    </row>
    <row r="2018" spans="1:6" x14ac:dyDescent="0.3">
      <c r="A2018" t="s">
        <v>416</v>
      </c>
      <c r="B2018" s="23" t="s">
        <v>60</v>
      </c>
      <c r="C2018" s="23" t="s">
        <v>8</v>
      </c>
      <c r="D2018" s="24"/>
      <c r="E2018" s="24"/>
      <c r="F2018" s="23"/>
    </row>
    <row r="2019" spans="1:6" x14ac:dyDescent="0.3">
      <c r="A2019" t="s">
        <v>416</v>
      </c>
      <c r="B2019" s="23" t="s">
        <v>48</v>
      </c>
      <c r="C2019" t="s">
        <v>30</v>
      </c>
      <c r="D2019" s="2"/>
      <c r="E2019" s="2"/>
    </row>
    <row r="2020" spans="1:6" x14ac:dyDescent="0.3">
      <c r="A2020" t="s">
        <v>416</v>
      </c>
      <c r="B2020" s="23" t="s">
        <v>38</v>
      </c>
      <c r="C2020" s="23" t="s">
        <v>10</v>
      </c>
      <c r="D2020" s="2"/>
      <c r="E2020" s="2"/>
    </row>
    <row r="2021" spans="1:6" x14ac:dyDescent="0.3">
      <c r="A2021" t="s">
        <v>416</v>
      </c>
      <c r="B2021" s="23" t="s">
        <v>103</v>
      </c>
      <c r="C2021" s="23" t="s">
        <v>10</v>
      </c>
      <c r="D2021" s="24"/>
      <c r="E2021" s="24"/>
      <c r="F2021" s="23"/>
    </row>
    <row r="2022" spans="1:6" x14ac:dyDescent="0.3">
      <c r="A2022" t="s">
        <v>416</v>
      </c>
      <c r="B2022" s="23" t="s">
        <v>79</v>
      </c>
      <c r="C2022" t="s">
        <v>10</v>
      </c>
      <c r="D2022" s="2"/>
      <c r="E2022" s="2"/>
    </row>
    <row r="2023" spans="1:6" x14ac:dyDescent="0.3">
      <c r="A2023" t="s">
        <v>416</v>
      </c>
      <c r="B2023" s="23" t="s">
        <v>69</v>
      </c>
      <c r="C2023" s="23" t="s">
        <v>41</v>
      </c>
      <c r="D2023" s="24"/>
      <c r="E2023" s="24"/>
      <c r="F2023" s="23"/>
    </row>
    <row r="2024" spans="1:6" x14ac:dyDescent="0.3">
      <c r="A2024" t="s">
        <v>416</v>
      </c>
      <c r="B2024" s="23" t="s">
        <v>40</v>
      </c>
      <c r="C2024" s="23" t="s">
        <v>41</v>
      </c>
      <c r="D2024" s="24"/>
      <c r="E2024" s="24"/>
      <c r="F2024" s="23"/>
    </row>
    <row r="2025" spans="1:6" x14ac:dyDescent="0.3">
      <c r="A2025" t="s">
        <v>416</v>
      </c>
      <c r="B2025" s="23" t="s">
        <v>142</v>
      </c>
      <c r="C2025" s="23" t="s">
        <v>26</v>
      </c>
      <c r="D2025" s="24">
        <v>0.29166666666666669</v>
      </c>
      <c r="E2025" s="24">
        <v>0.41666666666666702</v>
      </c>
      <c r="F2025" s="23"/>
    </row>
    <row r="2026" spans="1:6" x14ac:dyDescent="0.3">
      <c r="A2026" t="s">
        <v>416</v>
      </c>
      <c r="B2026" s="23" t="s">
        <v>84</v>
      </c>
      <c r="C2026" s="23" t="s">
        <v>26</v>
      </c>
      <c r="D2026" s="24">
        <v>0.41666666666666702</v>
      </c>
      <c r="E2026" s="24">
        <v>0.54166666666666596</v>
      </c>
      <c r="F2026" s="23"/>
    </row>
    <row r="2027" spans="1:6" x14ac:dyDescent="0.3">
      <c r="A2027" t="s">
        <v>416</v>
      </c>
      <c r="B2027" s="23" t="s">
        <v>34</v>
      </c>
      <c r="C2027" s="23" t="s">
        <v>26</v>
      </c>
      <c r="D2027" s="24">
        <v>0.66666666666666596</v>
      </c>
      <c r="E2027" s="24">
        <v>0.79166666666666496</v>
      </c>
      <c r="F2027" s="23"/>
    </row>
    <row r="2028" spans="1:6" x14ac:dyDescent="0.3">
      <c r="A2028" t="s">
        <v>416</v>
      </c>
      <c r="B2028" s="23" t="s">
        <v>34</v>
      </c>
      <c r="C2028" s="23" t="s">
        <v>26</v>
      </c>
      <c r="D2028" s="24">
        <v>0.79166666666666496</v>
      </c>
      <c r="E2028" s="24">
        <v>0.91666666666666496</v>
      </c>
      <c r="F2028" s="23"/>
    </row>
    <row r="2029" spans="1:6" x14ac:dyDescent="0.3">
      <c r="A2029" t="s">
        <v>416</v>
      </c>
      <c r="B2029" s="23" t="s">
        <v>33</v>
      </c>
      <c r="C2029" s="23" t="s">
        <v>30</v>
      </c>
      <c r="D2029" s="24"/>
      <c r="E2029" s="24"/>
      <c r="F2029" s="23"/>
    </row>
    <row r="2030" spans="1:6" x14ac:dyDescent="0.3">
      <c r="A2030" t="s">
        <v>416</v>
      </c>
      <c r="B2030" s="23" t="s">
        <v>12</v>
      </c>
      <c r="C2030" s="23" t="s">
        <v>43</v>
      </c>
      <c r="D2030" s="24"/>
      <c r="E2030" s="24"/>
      <c r="F2030" s="23"/>
    </row>
    <row r="2031" spans="1:6" x14ac:dyDescent="0.3">
      <c r="A2031" t="s">
        <v>416</v>
      </c>
      <c r="B2031" s="23" t="s">
        <v>52</v>
      </c>
      <c r="C2031" s="23" t="s">
        <v>45</v>
      </c>
      <c r="D2031" s="24"/>
      <c r="E2031" s="24"/>
      <c r="F2031" s="23"/>
    </row>
    <row r="2032" spans="1:6" x14ac:dyDescent="0.3">
      <c r="A2032" t="s">
        <v>416</v>
      </c>
      <c r="B2032" s="23" t="s">
        <v>68</v>
      </c>
      <c r="C2032" s="23" t="s">
        <v>46</v>
      </c>
      <c r="D2032" s="24"/>
      <c r="E2032" s="24"/>
      <c r="F2032" s="23"/>
    </row>
    <row r="2033" spans="1:6" x14ac:dyDescent="0.3">
      <c r="A2033" t="s">
        <v>416</v>
      </c>
      <c r="B2033" s="23" t="s">
        <v>72</v>
      </c>
      <c r="C2033" s="23" t="s">
        <v>18</v>
      </c>
      <c r="D2033" s="24"/>
      <c r="E2033" s="24"/>
      <c r="F2033" s="23"/>
    </row>
    <row r="2034" spans="1:6" x14ac:dyDescent="0.3">
      <c r="A2034" t="s">
        <v>416</v>
      </c>
      <c r="B2034" s="23" t="s">
        <v>85</v>
      </c>
      <c r="C2034" s="23" t="s">
        <v>49</v>
      </c>
      <c r="D2034" s="24"/>
      <c r="E2034" s="24"/>
      <c r="F2034" s="23"/>
    </row>
    <row r="2035" spans="1:6" x14ac:dyDescent="0.3">
      <c r="A2035" t="s">
        <v>416</v>
      </c>
      <c r="B2035" s="23" t="s">
        <v>17</v>
      </c>
      <c r="C2035" s="23" t="s">
        <v>51</v>
      </c>
      <c r="D2035" s="24"/>
      <c r="E2035" s="24"/>
      <c r="F2035" s="23"/>
    </row>
    <row r="2036" spans="1:6" x14ac:dyDescent="0.3">
      <c r="A2036" t="s">
        <v>417</v>
      </c>
      <c r="B2036" t="s">
        <v>94</v>
      </c>
      <c r="C2036" t="s">
        <v>13</v>
      </c>
      <c r="D2036" s="2"/>
      <c r="E2036" s="2"/>
    </row>
    <row r="2037" spans="1:6" x14ac:dyDescent="0.3">
      <c r="A2037" t="s">
        <v>417</v>
      </c>
      <c r="B2037" t="s">
        <v>17</v>
      </c>
      <c r="C2037" t="s">
        <v>8</v>
      </c>
      <c r="D2037" s="2"/>
      <c r="E2037" s="2"/>
    </row>
    <row r="2038" spans="1:6" x14ac:dyDescent="0.3">
      <c r="A2038" t="s">
        <v>417</v>
      </c>
      <c r="B2038" s="23" t="s">
        <v>72</v>
      </c>
      <c r="C2038" s="23" t="s">
        <v>78</v>
      </c>
      <c r="D2038" s="24"/>
      <c r="E2038" s="24"/>
      <c r="F2038" s="23"/>
    </row>
    <row r="2039" spans="1:6" x14ac:dyDescent="0.3">
      <c r="A2039" t="s">
        <v>417</v>
      </c>
      <c r="B2039" s="23" t="s">
        <v>98</v>
      </c>
      <c r="C2039" t="s">
        <v>13</v>
      </c>
      <c r="D2039" s="24"/>
      <c r="E2039" s="24"/>
      <c r="F2039" s="23"/>
    </row>
    <row r="2040" spans="1:6" x14ac:dyDescent="0.3">
      <c r="A2040" t="s">
        <v>417</v>
      </c>
      <c r="B2040" s="23" t="s">
        <v>149</v>
      </c>
      <c r="C2040" s="23" t="s">
        <v>8</v>
      </c>
      <c r="D2040" s="24"/>
      <c r="E2040" s="24"/>
      <c r="F2040" s="23"/>
    </row>
    <row r="2041" spans="1:6" x14ac:dyDescent="0.3">
      <c r="A2041" t="s">
        <v>417</v>
      </c>
      <c r="B2041" s="23" t="s">
        <v>9</v>
      </c>
      <c r="C2041" s="23" t="s">
        <v>78</v>
      </c>
      <c r="D2041" s="24"/>
      <c r="E2041" s="24"/>
      <c r="F2041" s="23"/>
    </row>
    <row r="2042" spans="1:6" x14ac:dyDescent="0.3">
      <c r="A2042" t="s">
        <v>417</v>
      </c>
      <c r="B2042" s="23" t="s">
        <v>38</v>
      </c>
      <c r="C2042" s="23" t="s">
        <v>10</v>
      </c>
      <c r="D2042" s="24"/>
      <c r="E2042" s="24"/>
      <c r="F2042" s="23"/>
    </row>
    <row r="2043" spans="1:6" x14ac:dyDescent="0.3">
      <c r="A2043" t="s">
        <v>417</v>
      </c>
      <c r="B2043" s="23" t="s">
        <v>103</v>
      </c>
      <c r="C2043" s="23" t="s">
        <v>10</v>
      </c>
      <c r="D2043" s="2"/>
      <c r="E2043" s="2"/>
    </row>
    <row r="2044" spans="1:6" x14ac:dyDescent="0.3">
      <c r="A2044" t="s">
        <v>417</v>
      </c>
      <c r="B2044" s="23" t="s">
        <v>79</v>
      </c>
      <c r="C2044" s="23" t="s">
        <v>10</v>
      </c>
      <c r="D2044" s="24"/>
      <c r="E2044" s="24"/>
      <c r="F2044" s="23"/>
    </row>
    <row r="2045" spans="1:6" x14ac:dyDescent="0.3">
      <c r="A2045" t="s">
        <v>417</v>
      </c>
      <c r="B2045" s="23" t="s">
        <v>249</v>
      </c>
      <c r="C2045" s="23" t="s">
        <v>24</v>
      </c>
      <c r="D2045" s="24"/>
      <c r="E2045" s="24"/>
      <c r="F2045" s="23" t="s">
        <v>418</v>
      </c>
    </row>
    <row r="2046" spans="1:6" x14ac:dyDescent="0.3">
      <c r="A2046" t="s">
        <v>419</v>
      </c>
      <c r="B2046" s="23" t="s">
        <v>68</v>
      </c>
      <c r="C2046" t="s">
        <v>13</v>
      </c>
      <c r="D2046" s="24"/>
      <c r="E2046" s="24"/>
      <c r="F2046" s="23"/>
    </row>
    <row r="2047" spans="1:6" x14ac:dyDescent="0.3">
      <c r="A2047" t="s">
        <v>419</v>
      </c>
      <c r="B2047" s="23" t="s">
        <v>34</v>
      </c>
      <c r="C2047" s="23" t="s">
        <v>15</v>
      </c>
      <c r="D2047" s="24"/>
      <c r="E2047" s="24"/>
      <c r="F2047" s="23"/>
    </row>
    <row r="2048" spans="1:6" x14ac:dyDescent="0.3">
      <c r="A2048" t="s">
        <v>419</v>
      </c>
      <c r="B2048" s="23" t="s">
        <v>50</v>
      </c>
      <c r="C2048" s="23" t="s">
        <v>8</v>
      </c>
      <c r="D2048" s="24"/>
      <c r="E2048" s="24"/>
      <c r="F2048" s="23"/>
    </row>
    <row r="2049" spans="1:6" x14ac:dyDescent="0.3">
      <c r="A2049" t="s">
        <v>419</v>
      </c>
      <c r="B2049" s="23" t="s">
        <v>27</v>
      </c>
      <c r="C2049" t="s">
        <v>13</v>
      </c>
      <c r="D2049" s="24"/>
      <c r="E2049" s="24"/>
      <c r="F2049" s="23"/>
    </row>
    <row r="2050" spans="1:6" x14ac:dyDescent="0.3">
      <c r="A2050" t="s">
        <v>419</v>
      </c>
      <c r="B2050" s="23" t="s">
        <v>96</v>
      </c>
      <c r="C2050" s="23" t="s">
        <v>8</v>
      </c>
      <c r="D2050" s="24"/>
      <c r="E2050" s="24"/>
      <c r="F2050" s="23"/>
    </row>
    <row r="2051" spans="1:6" x14ac:dyDescent="0.3">
      <c r="A2051" t="s">
        <v>419</v>
      </c>
      <c r="B2051" s="23" t="s">
        <v>38</v>
      </c>
      <c r="C2051" s="23" t="s">
        <v>10</v>
      </c>
      <c r="D2051" s="24"/>
      <c r="E2051" s="24"/>
      <c r="F2051" s="23"/>
    </row>
    <row r="2052" spans="1:6" x14ac:dyDescent="0.3">
      <c r="A2052" t="s">
        <v>419</v>
      </c>
      <c r="B2052" s="23" t="s">
        <v>103</v>
      </c>
      <c r="C2052" s="23" t="s">
        <v>10</v>
      </c>
      <c r="D2052" s="24"/>
      <c r="E2052" s="24"/>
      <c r="F2052" s="23"/>
    </row>
    <row r="2053" spans="1:6" x14ac:dyDescent="0.3">
      <c r="A2053" t="s">
        <v>419</v>
      </c>
      <c r="B2053" s="23" t="s">
        <v>79</v>
      </c>
      <c r="C2053" s="23" t="s">
        <v>10</v>
      </c>
      <c r="D2053" s="2"/>
      <c r="E2053" s="2"/>
    </row>
    <row r="2054" spans="1:6" x14ac:dyDescent="0.3">
      <c r="A2054" t="s">
        <v>419</v>
      </c>
      <c r="B2054" s="23" t="s">
        <v>98</v>
      </c>
      <c r="C2054" s="23" t="s">
        <v>41</v>
      </c>
      <c r="D2054" s="24"/>
      <c r="E2054" s="24"/>
      <c r="F2054" s="23"/>
    </row>
    <row r="2055" spans="1:6" x14ac:dyDescent="0.3">
      <c r="A2055" t="s">
        <v>419</v>
      </c>
      <c r="B2055" s="23" t="s">
        <v>149</v>
      </c>
      <c r="C2055" s="23" t="s">
        <v>41</v>
      </c>
      <c r="D2055" s="24"/>
      <c r="E2055" s="24"/>
      <c r="F2055" s="23"/>
    </row>
    <row r="2056" spans="1:6" x14ac:dyDescent="0.3">
      <c r="A2056" t="s">
        <v>419</v>
      </c>
      <c r="B2056" s="23" t="s">
        <v>9</v>
      </c>
      <c r="C2056" s="23" t="s">
        <v>41</v>
      </c>
      <c r="D2056" s="24"/>
      <c r="E2056" s="24"/>
      <c r="F2056" s="23"/>
    </row>
    <row r="2057" spans="1:6" x14ac:dyDescent="0.3">
      <c r="A2057" t="s">
        <v>419</v>
      </c>
      <c r="B2057" s="23" t="s">
        <v>44</v>
      </c>
      <c r="C2057" s="23" t="s">
        <v>45</v>
      </c>
      <c r="D2057" s="24"/>
      <c r="E2057" s="24"/>
      <c r="F2057" s="23"/>
    </row>
    <row r="2058" spans="1:6" x14ac:dyDescent="0.3">
      <c r="A2058" t="s">
        <v>419</v>
      </c>
      <c r="B2058" s="23" t="s">
        <v>21</v>
      </c>
      <c r="C2058" s="23" t="s">
        <v>46</v>
      </c>
      <c r="D2058" s="24"/>
      <c r="E2058" s="24"/>
      <c r="F2058" s="23"/>
    </row>
    <row r="2059" spans="1:6" x14ac:dyDescent="0.3">
      <c r="A2059" t="s">
        <v>419</v>
      </c>
      <c r="B2059" s="23" t="s">
        <v>72</v>
      </c>
      <c r="C2059" s="23" t="s">
        <v>18</v>
      </c>
      <c r="D2059" s="24"/>
      <c r="E2059" s="24"/>
      <c r="F2059" s="23"/>
    </row>
    <row r="2060" spans="1:6" x14ac:dyDescent="0.3">
      <c r="A2060" t="s">
        <v>419</v>
      </c>
      <c r="B2060" s="23" t="s">
        <v>85</v>
      </c>
      <c r="C2060" t="s">
        <v>49</v>
      </c>
      <c r="D2060" s="2"/>
      <c r="E2060" s="2"/>
    </row>
    <row r="2061" spans="1:6" x14ac:dyDescent="0.3">
      <c r="A2061" t="s">
        <v>419</v>
      </c>
      <c r="B2061" s="23" t="s">
        <v>50</v>
      </c>
      <c r="C2061" s="23" t="s">
        <v>51</v>
      </c>
      <c r="D2061" s="2"/>
      <c r="E2061" s="2"/>
    </row>
    <row r="2062" spans="1:6" x14ac:dyDescent="0.3">
      <c r="A2062" t="s">
        <v>419</v>
      </c>
      <c r="B2062" s="23" t="s">
        <v>12</v>
      </c>
      <c r="C2062" s="23" t="s">
        <v>26</v>
      </c>
      <c r="D2062" s="24">
        <v>0.79166666666666496</v>
      </c>
      <c r="E2062" s="24">
        <v>0.91666666666666496</v>
      </c>
      <c r="F2062" s="23"/>
    </row>
    <row r="2063" spans="1:6" x14ac:dyDescent="0.3">
      <c r="A2063" t="s">
        <v>419</v>
      </c>
      <c r="B2063" s="23" t="s">
        <v>142</v>
      </c>
      <c r="C2063" s="23" t="s">
        <v>43</v>
      </c>
      <c r="D2063" s="24"/>
      <c r="E2063" s="24"/>
      <c r="F2063" s="23"/>
    </row>
    <row r="2064" spans="1:6" x14ac:dyDescent="0.3">
      <c r="A2064" t="s">
        <v>419</v>
      </c>
      <c r="B2064" s="23" t="s">
        <v>50</v>
      </c>
      <c r="C2064" s="23" t="s">
        <v>53</v>
      </c>
      <c r="D2064" s="24">
        <v>0.58333333333333304</v>
      </c>
      <c r="E2064" s="24">
        <v>0.60416666666666596</v>
      </c>
      <c r="F2064" s="23" t="s">
        <v>420</v>
      </c>
    </row>
    <row r="2065" spans="1:6" x14ac:dyDescent="0.3">
      <c r="A2065" t="s">
        <v>419</v>
      </c>
      <c r="B2065" s="23" t="s">
        <v>14</v>
      </c>
      <c r="C2065" s="23" t="s">
        <v>53</v>
      </c>
      <c r="D2065" s="24">
        <v>0.58333333333333304</v>
      </c>
      <c r="E2065" s="24">
        <v>0.749999999999999</v>
      </c>
      <c r="F2065" s="23" t="s">
        <v>421</v>
      </c>
    </row>
    <row r="2066" spans="1:6" x14ac:dyDescent="0.3">
      <c r="A2066" t="s">
        <v>426</v>
      </c>
      <c r="B2066" t="s">
        <v>63</v>
      </c>
      <c r="C2066" t="s">
        <v>13</v>
      </c>
      <c r="D2066" s="2"/>
      <c r="E2066" s="2"/>
    </row>
    <row r="2067" spans="1:6" x14ac:dyDescent="0.3">
      <c r="A2067" t="s">
        <v>426</v>
      </c>
      <c r="B2067" t="s">
        <v>85</v>
      </c>
      <c r="C2067" t="s">
        <v>8</v>
      </c>
      <c r="D2067" s="2"/>
      <c r="E2067" s="2"/>
    </row>
    <row r="2068" spans="1:6" x14ac:dyDescent="0.3">
      <c r="A2068" t="s">
        <v>426</v>
      </c>
      <c r="B2068" s="23" t="s">
        <v>73</v>
      </c>
      <c r="C2068" s="23" t="s">
        <v>78</v>
      </c>
      <c r="D2068" s="24"/>
      <c r="E2068" s="24"/>
      <c r="F2068" s="23"/>
    </row>
    <row r="2069" spans="1:6" x14ac:dyDescent="0.3">
      <c r="A2069" t="s">
        <v>426</v>
      </c>
      <c r="B2069" s="23" t="s">
        <v>42</v>
      </c>
      <c r="C2069" s="23" t="s">
        <v>13</v>
      </c>
      <c r="D2069" s="24"/>
      <c r="E2069" s="24"/>
      <c r="F2069" s="23"/>
    </row>
    <row r="2070" spans="1:6" x14ac:dyDescent="0.3">
      <c r="A2070" t="s">
        <v>426</v>
      </c>
      <c r="B2070" s="23" t="s">
        <v>83</v>
      </c>
      <c r="C2070" s="23" t="s">
        <v>8</v>
      </c>
      <c r="D2070" s="24"/>
      <c r="E2070" s="24"/>
      <c r="F2070" s="23"/>
    </row>
    <row r="2071" spans="1:6" x14ac:dyDescent="0.3">
      <c r="A2071" t="s">
        <v>426</v>
      </c>
      <c r="B2071" s="23" t="s">
        <v>40</v>
      </c>
      <c r="C2071" t="s">
        <v>78</v>
      </c>
      <c r="D2071" s="2"/>
      <c r="E2071" s="2"/>
    </row>
    <row r="2072" spans="1:6" x14ac:dyDescent="0.3">
      <c r="A2072" t="s">
        <v>426</v>
      </c>
      <c r="B2072" s="23" t="s">
        <v>38</v>
      </c>
      <c r="C2072" s="23" t="s">
        <v>10</v>
      </c>
      <c r="D2072" s="2"/>
      <c r="E2072" s="2"/>
    </row>
    <row r="2073" spans="1:6" x14ac:dyDescent="0.3">
      <c r="A2073" t="s">
        <v>426</v>
      </c>
      <c r="B2073" s="23" t="s">
        <v>103</v>
      </c>
      <c r="C2073" s="23" t="s">
        <v>10</v>
      </c>
      <c r="D2073" s="24"/>
      <c r="E2073" s="24"/>
      <c r="F2073" s="23"/>
    </row>
    <row r="2074" spans="1:6" x14ac:dyDescent="0.3">
      <c r="A2074" t="s">
        <v>426</v>
      </c>
      <c r="B2074" s="23" t="s">
        <v>79</v>
      </c>
      <c r="C2074" t="s">
        <v>10</v>
      </c>
      <c r="D2074" s="2"/>
      <c r="E2074" s="2"/>
    </row>
    <row r="2075" spans="1:6" x14ac:dyDescent="0.3">
      <c r="A2075" t="s">
        <v>426</v>
      </c>
      <c r="B2075" s="23" t="s">
        <v>214</v>
      </c>
      <c r="C2075" s="23" t="s">
        <v>24</v>
      </c>
      <c r="D2075" s="24"/>
      <c r="E2075" s="24"/>
      <c r="F2075" s="23" t="s">
        <v>418</v>
      </c>
    </row>
    <row r="2076" spans="1:6" x14ac:dyDescent="0.3">
      <c r="A2076" t="s">
        <v>444</v>
      </c>
      <c r="B2076" t="s">
        <v>85</v>
      </c>
      <c r="C2076" t="s">
        <v>13</v>
      </c>
      <c r="D2076" s="2"/>
      <c r="E2076" s="2"/>
    </row>
    <row r="2077" spans="1:6" x14ac:dyDescent="0.3">
      <c r="A2077" t="s">
        <v>444</v>
      </c>
      <c r="B2077" t="s">
        <v>33</v>
      </c>
      <c r="C2077" t="s">
        <v>15</v>
      </c>
      <c r="D2077" s="2"/>
      <c r="E2077" s="2"/>
    </row>
    <row r="2078" spans="1:6" x14ac:dyDescent="0.3">
      <c r="A2078" t="s">
        <v>444</v>
      </c>
      <c r="B2078" s="23" t="s">
        <v>73</v>
      </c>
      <c r="C2078" s="23" t="s">
        <v>8</v>
      </c>
      <c r="D2078" s="24"/>
      <c r="E2078" s="24"/>
      <c r="F2078" s="23"/>
    </row>
    <row r="2079" spans="1:6" x14ac:dyDescent="0.3">
      <c r="A2079" t="s">
        <v>444</v>
      </c>
      <c r="B2079" s="23" t="s">
        <v>149</v>
      </c>
      <c r="C2079" s="23" t="s">
        <v>13</v>
      </c>
      <c r="D2079" s="24"/>
      <c r="E2079" s="24"/>
      <c r="F2079" s="23"/>
    </row>
    <row r="2080" spans="1:6" x14ac:dyDescent="0.3">
      <c r="A2080" t="s">
        <v>444</v>
      </c>
      <c r="B2080" s="23" t="s">
        <v>69</v>
      </c>
      <c r="C2080" s="23" t="s">
        <v>8</v>
      </c>
      <c r="D2080" s="24"/>
      <c r="E2080" s="24"/>
      <c r="F2080" s="23"/>
    </row>
    <row r="2081" spans="1:6" x14ac:dyDescent="0.3">
      <c r="A2081" t="s">
        <v>444</v>
      </c>
      <c r="B2081" s="23" t="s">
        <v>38</v>
      </c>
      <c r="C2081" t="s">
        <v>10</v>
      </c>
      <c r="D2081" s="2"/>
      <c r="E2081" s="2"/>
    </row>
    <row r="2082" spans="1:6" x14ac:dyDescent="0.3">
      <c r="A2082" t="s">
        <v>444</v>
      </c>
      <c r="B2082" s="23" t="s">
        <v>103</v>
      </c>
      <c r="C2082" s="23" t="s">
        <v>10</v>
      </c>
      <c r="D2082" s="2"/>
      <c r="E2082" s="2"/>
    </row>
    <row r="2083" spans="1:6" x14ac:dyDescent="0.3">
      <c r="A2083" t="s">
        <v>444</v>
      </c>
      <c r="B2083" s="23" t="s">
        <v>79</v>
      </c>
      <c r="C2083" s="23" t="s">
        <v>10</v>
      </c>
      <c r="D2083" s="24"/>
      <c r="E2083" s="24"/>
      <c r="F2083" s="23"/>
    </row>
    <row r="2084" spans="1:6" x14ac:dyDescent="0.3">
      <c r="A2084" t="s">
        <v>444</v>
      </c>
      <c r="B2084" s="23" t="s">
        <v>40</v>
      </c>
      <c r="C2084" t="s">
        <v>41</v>
      </c>
      <c r="D2084" s="2"/>
      <c r="E2084" s="2"/>
    </row>
    <row r="2085" spans="1:6" x14ac:dyDescent="0.3">
      <c r="A2085" t="s">
        <v>444</v>
      </c>
      <c r="B2085" s="23" t="s">
        <v>97</v>
      </c>
      <c r="C2085" s="23" t="s">
        <v>41</v>
      </c>
      <c r="D2085" s="24"/>
      <c r="E2085" s="24"/>
      <c r="F2085" s="23"/>
    </row>
    <row r="2086" spans="1:6" x14ac:dyDescent="0.3">
      <c r="A2086" t="s">
        <v>444</v>
      </c>
      <c r="B2086" s="23" t="s">
        <v>44</v>
      </c>
      <c r="C2086" s="23" t="s">
        <v>45</v>
      </c>
      <c r="D2086" s="24"/>
      <c r="E2086" s="24"/>
      <c r="F2086" s="23"/>
    </row>
    <row r="2087" spans="1:6" x14ac:dyDescent="0.3">
      <c r="A2087" t="s">
        <v>444</v>
      </c>
      <c r="B2087" s="23" t="s">
        <v>14</v>
      </c>
      <c r="C2087" s="23" t="s">
        <v>46</v>
      </c>
      <c r="D2087" s="24"/>
      <c r="E2087" s="24"/>
      <c r="F2087" s="23"/>
    </row>
    <row r="2088" spans="1:6" x14ac:dyDescent="0.3">
      <c r="A2088" t="s">
        <v>444</v>
      </c>
      <c r="B2088" s="23" t="s">
        <v>94</v>
      </c>
      <c r="C2088" s="23" t="s">
        <v>18</v>
      </c>
      <c r="D2088" s="24"/>
      <c r="E2088" s="24"/>
      <c r="F2088" s="23"/>
    </row>
    <row r="2089" spans="1:6" x14ac:dyDescent="0.3">
      <c r="A2089" t="s">
        <v>444</v>
      </c>
      <c r="B2089" s="23" t="s">
        <v>85</v>
      </c>
      <c r="C2089" s="23" t="s">
        <v>49</v>
      </c>
      <c r="D2089" s="24"/>
      <c r="E2089" s="24"/>
      <c r="F2089" s="23"/>
    </row>
    <row r="2090" spans="1:6" x14ac:dyDescent="0.3">
      <c r="A2090" t="s">
        <v>444</v>
      </c>
      <c r="B2090" s="23" t="s">
        <v>17</v>
      </c>
      <c r="C2090" s="23" t="s">
        <v>51</v>
      </c>
      <c r="D2090" s="24"/>
      <c r="E2090" s="24"/>
      <c r="F2090" s="23"/>
    </row>
    <row r="2091" spans="1:6" x14ac:dyDescent="0.3">
      <c r="A2091" t="s">
        <v>444</v>
      </c>
      <c r="B2091" s="23" t="s">
        <v>33</v>
      </c>
      <c r="C2091" s="23" t="s">
        <v>43</v>
      </c>
      <c r="D2091" s="24"/>
      <c r="E2091" s="24"/>
      <c r="F2091" s="23"/>
    </row>
    <row r="2092" spans="1:6" x14ac:dyDescent="0.3">
      <c r="A2092" t="s">
        <v>444</v>
      </c>
      <c r="B2092" s="23" t="s">
        <v>12</v>
      </c>
      <c r="C2092" s="23" t="s">
        <v>26</v>
      </c>
      <c r="D2092" s="24">
        <v>0.79166666666666496</v>
      </c>
      <c r="E2092" s="24">
        <v>0.98958333333333104</v>
      </c>
      <c r="F2092" s="23"/>
    </row>
    <row r="2093" spans="1:6" x14ac:dyDescent="0.3">
      <c r="A2093" t="s">
        <v>444</v>
      </c>
      <c r="B2093" s="23" t="s">
        <v>14</v>
      </c>
      <c r="C2093" s="23" t="s">
        <v>26</v>
      </c>
      <c r="D2093" s="24">
        <v>0.79166666666666496</v>
      </c>
      <c r="E2093" s="24">
        <v>0.98958333333333104</v>
      </c>
      <c r="F2093" s="23"/>
    </row>
    <row r="2094" spans="1:6" x14ac:dyDescent="0.3">
      <c r="A2094" t="s">
        <v>443</v>
      </c>
      <c r="B2094" s="23" t="s">
        <v>142</v>
      </c>
      <c r="C2094" s="23" t="s">
        <v>13</v>
      </c>
      <c r="D2094" s="24"/>
      <c r="E2094" s="24"/>
      <c r="F2094" s="23"/>
    </row>
    <row r="2095" spans="1:6" x14ac:dyDescent="0.3">
      <c r="A2095" t="s">
        <v>443</v>
      </c>
      <c r="B2095" s="23" t="s">
        <v>112</v>
      </c>
      <c r="C2095" s="23" t="s">
        <v>13</v>
      </c>
      <c r="D2095" s="24"/>
      <c r="E2095" s="24"/>
      <c r="F2095" s="23"/>
    </row>
    <row r="2096" spans="1:6" x14ac:dyDescent="0.3">
      <c r="A2096" t="s">
        <v>443</v>
      </c>
      <c r="B2096" s="23" t="s">
        <v>66</v>
      </c>
      <c r="C2096" s="23" t="s">
        <v>15</v>
      </c>
      <c r="D2096" s="24"/>
      <c r="E2096" s="24"/>
      <c r="F2096" s="23"/>
    </row>
    <row r="2097" spans="1:6" x14ac:dyDescent="0.3">
      <c r="A2097" t="s">
        <v>443</v>
      </c>
      <c r="B2097" s="23" t="s">
        <v>44</v>
      </c>
      <c r="C2097" s="23" t="s">
        <v>8</v>
      </c>
      <c r="D2097" s="24"/>
      <c r="E2097" s="24"/>
      <c r="F2097" s="23"/>
    </row>
    <row r="2098" spans="1:6" x14ac:dyDescent="0.3">
      <c r="A2098" t="s">
        <v>443</v>
      </c>
      <c r="B2098" s="23" t="s">
        <v>61</v>
      </c>
      <c r="C2098" s="23" t="s">
        <v>8</v>
      </c>
      <c r="D2098" s="24"/>
      <c r="E2098" s="24"/>
      <c r="F2098" s="23"/>
    </row>
    <row r="2099" spans="1:6" x14ac:dyDescent="0.3">
      <c r="A2099" t="s">
        <v>443</v>
      </c>
      <c r="B2099" s="23" t="s">
        <v>37</v>
      </c>
      <c r="C2099" s="23" t="s">
        <v>30</v>
      </c>
      <c r="D2099" s="24"/>
      <c r="E2099" s="24"/>
      <c r="F2099" s="23"/>
    </row>
    <row r="2100" spans="1:6" x14ac:dyDescent="0.3">
      <c r="A2100" t="s">
        <v>443</v>
      </c>
      <c r="B2100" s="23" t="s">
        <v>29</v>
      </c>
      <c r="C2100" s="23" t="s">
        <v>30</v>
      </c>
      <c r="D2100" s="24"/>
      <c r="E2100" s="24"/>
      <c r="F2100" s="23"/>
    </row>
    <row r="2101" spans="1:6" x14ac:dyDescent="0.3">
      <c r="A2101" t="s">
        <v>443</v>
      </c>
      <c r="B2101" s="23" t="s">
        <v>47</v>
      </c>
      <c r="C2101" s="23" t="s">
        <v>30</v>
      </c>
      <c r="D2101" s="24"/>
      <c r="E2101" s="24"/>
      <c r="F2101" s="23"/>
    </row>
    <row r="2102" spans="1:6" x14ac:dyDescent="0.3">
      <c r="A2102" t="s">
        <v>443</v>
      </c>
      <c r="B2102" s="23" t="s">
        <v>38</v>
      </c>
      <c r="C2102" s="23" t="s">
        <v>10</v>
      </c>
      <c r="D2102" s="24"/>
      <c r="E2102" s="24"/>
      <c r="F2102" s="23"/>
    </row>
    <row r="2103" spans="1:6" x14ac:dyDescent="0.3">
      <c r="A2103" t="s">
        <v>443</v>
      </c>
      <c r="B2103" s="23" t="s">
        <v>103</v>
      </c>
      <c r="C2103" s="23" t="s">
        <v>10</v>
      </c>
      <c r="D2103" s="24"/>
      <c r="E2103" s="24"/>
      <c r="F2103" s="23"/>
    </row>
    <row r="2104" spans="1:6" x14ac:dyDescent="0.3">
      <c r="A2104" t="s">
        <v>443</v>
      </c>
      <c r="B2104" s="23" t="s">
        <v>79</v>
      </c>
      <c r="C2104" s="23" t="s">
        <v>10</v>
      </c>
      <c r="D2104" s="24"/>
      <c r="E2104" s="24"/>
      <c r="F2104" s="23"/>
    </row>
    <row r="2105" spans="1:6" x14ac:dyDescent="0.3">
      <c r="A2105" t="s">
        <v>443</v>
      </c>
      <c r="B2105" s="23" t="s">
        <v>42</v>
      </c>
      <c r="C2105" s="23" t="s">
        <v>41</v>
      </c>
      <c r="D2105" s="24"/>
      <c r="E2105" s="24"/>
      <c r="F2105" s="23"/>
    </row>
    <row r="2106" spans="1:6" x14ac:dyDescent="0.3">
      <c r="A2106" t="s">
        <v>443</v>
      </c>
      <c r="B2106" s="23" t="s">
        <v>83</v>
      </c>
      <c r="C2106" s="23" t="s">
        <v>41</v>
      </c>
      <c r="D2106" s="24"/>
      <c r="E2106" s="24"/>
      <c r="F2106" s="23"/>
    </row>
    <row r="2107" spans="1:6" x14ac:dyDescent="0.3">
      <c r="A2107" t="s">
        <v>443</v>
      </c>
      <c r="B2107" s="23" t="s">
        <v>40</v>
      </c>
      <c r="C2107" s="23" t="s">
        <v>41</v>
      </c>
      <c r="D2107" s="24"/>
      <c r="E2107" s="24"/>
      <c r="F2107" s="23"/>
    </row>
    <row r="2108" spans="1:6" x14ac:dyDescent="0.3">
      <c r="A2108" t="s">
        <v>443</v>
      </c>
      <c r="B2108" s="23" t="s">
        <v>14</v>
      </c>
      <c r="C2108" s="23" t="s">
        <v>26</v>
      </c>
      <c r="D2108" s="24">
        <v>0.66666666666666596</v>
      </c>
      <c r="E2108" s="24">
        <v>0.79166666666666496</v>
      </c>
      <c r="F2108" s="23"/>
    </row>
    <row r="2109" spans="1:6" x14ac:dyDescent="0.3">
      <c r="A2109" t="s">
        <v>443</v>
      </c>
      <c r="B2109" s="23" t="s">
        <v>12</v>
      </c>
      <c r="C2109" s="23" t="s">
        <v>26</v>
      </c>
      <c r="D2109" s="24">
        <v>0.79166666666666496</v>
      </c>
      <c r="E2109" s="24">
        <v>0.98958333333333104</v>
      </c>
      <c r="F2109" s="23"/>
    </row>
    <row r="2110" spans="1:6" x14ac:dyDescent="0.3">
      <c r="A2110" t="s">
        <v>443</v>
      </c>
      <c r="B2110" s="23" t="s">
        <v>64</v>
      </c>
      <c r="C2110" s="23" t="s">
        <v>43</v>
      </c>
      <c r="D2110" s="24"/>
      <c r="E2110" s="24"/>
      <c r="F2110" s="23"/>
    </row>
    <row r="2111" spans="1:6" x14ac:dyDescent="0.3">
      <c r="A2111" t="s">
        <v>443</v>
      </c>
      <c r="B2111" s="23" t="s">
        <v>44</v>
      </c>
      <c r="C2111" s="23" t="s">
        <v>45</v>
      </c>
      <c r="D2111" s="24"/>
      <c r="E2111" s="24"/>
      <c r="F2111" s="23"/>
    </row>
    <row r="2112" spans="1:6" x14ac:dyDescent="0.3">
      <c r="A2112" t="s">
        <v>443</v>
      </c>
      <c r="B2112" s="23" t="s">
        <v>21</v>
      </c>
      <c r="C2112" s="23" t="s">
        <v>46</v>
      </c>
      <c r="D2112" s="24"/>
      <c r="E2112" s="24"/>
      <c r="F2112" s="23"/>
    </row>
    <row r="2113" spans="1:6" x14ac:dyDescent="0.3">
      <c r="A2113" t="s">
        <v>443</v>
      </c>
      <c r="B2113" s="23" t="s">
        <v>32</v>
      </c>
      <c r="C2113" s="23" t="s">
        <v>18</v>
      </c>
      <c r="D2113" s="24"/>
      <c r="E2113" s="24"/>
      <c r="F2113" s="23"/>
    </row>
    <row r="2114" spans="1:6" x14ac:dyDescent="0.3">
      <c r="A2114" t="s">
        <v>443</v>
      </c>
      <c r="B2114" s="23" t="s">
        <v>71</v>
      </c>
      <c r="C2114" s="23" t="s">
        <v>49</v>
      </c>
      <c r="D2114" s="24"/>
      <c r="E2114" s="24"/>
      <c r="F2114" s="23"/>
    </row>
    <row r="2115" spans="1:6" x14ac:dyDescent="0.3">
      <c r="A2115" t="s">
        <v>443</v>
      </c>
      <c r="B2115" s="23" t="s">
        <v>50</v>
      </c>
      <c r="C2115" s="23" t="s">
        <v>51</v>
      </c>
      <c r="D2115" s="24"/>
      <c r="E2115" s="24"/>
      <c r="F2115" s="23"/>
    </row>
    <row r="2116" spans="1:6" x14ac:dyDescent="0.3">
      <c r="A2116" t="s">
        <v>443</v>
      </c>
      <c r="B2116" s="23" t="s">
        <v>23</v>
      </c>
      <c r="C2116" s="23" t="s">
        <v>53</v>
      </c>
      <c r="D2116" s="24">
        <v>0.45833333333333298</v>
      </c>
      <c r="E2116" s="24">
        <v>0.5</v>
      </c>
      <c r="F2116" s="23"/>
    </row>
    <row r="2117" spans="1:6" x14ac:dyDescent="0.3">
      <c r="A2117" t="s">
        <v>430</v>
      </c>
      <c r="B2117" s="23" t="s">
        <v>47</v>
      </c>
      <c r="C2117" s="23" t="s">
        <v>13</v>
      </c>
      <c r="D2117" s="24"/>
      <c r="E2117" s="24"/>
      <c r="F2117" s="23"/>
    </row>
    <row r="2118" spans="1:6" x14ac:dyDescent="0.3">
      <c r="A2118" t="s">
        <v>430</v>
      </c>
      <c r="B2118" s="23" t="s">
        <v>72</v>
      </c>
      <c r="C2118" s="23" t="s">
        <v>15</v>
      </c>
      <c r="D2118" s="24"/>
      <c r="E2118" s="24"/>
      <c r="F2118" s="23"/>
    </row>
    <row r="2119" spans="1:6" x14ac:dyDescent="0.3">
      <c r="A2119" t="s">
        <v>430</v>
      </c>
      <c r="B2119" s="23" t="s">
        <v>63</v>
      </c>
      <c r="C2119" s="23" t="s">
        <v>8</v>
      </c>
      <c r="D2119" s="24"/>
      <c r="E2119" s="24"/>
      <c r="F2119" s="23"/>
    </row>
    <row r="2120" spans="1:6" x14ac:dyDescent="0.3">
      <c r="A2120" t="s">
        <v>430</v>
      </c>
      <c r="B2120" s="23" t="s">
        <v>109</v>
      </c>
      <c r="C2120" s="23" t="s">
        <v>13</v>
      </c>
      <c r="D2120" s="24"/>
      <c r="E2120" s="24"/>
      <c r="F2120" s="23"/>
    </row>
    <row r="2121" spans="1:6" x14ac:dyDescent="0.3">
      <c r="A2121" t="s">
        <v>430</v>
      </c>
      <c r="B2121" s="23" t="s">
        <v>36</v>
      </c>
      <c r="C2121" s="23" t="s">
        <v>8</v>
      </c>
      <c r="D2121" s="24"/>
      <c r="E2121" s="24"/>
      <c r="F2121" s="23"/>
    </row>
    <row r="2122" spans="1:6" x14ac:dyDescent="0.3">
      <c r="A2122" t="s">
        <v>430</v>
      </c>
      <c r="B2122" s="23" t="s">
        <v>23</v>
      </c>
      <c r="C2122" t="s">
        <v>22</v>
      </c>
      <c r="D2122" s="2">
        <v>0.29166666666666669</v>
      </c>
      <c r="E2122" s="2">
        <v>0.54166666666666596</v>
      </c>
    </row>
    <row r="2123" spans="1:6" x14ac:dyDescent="0.3">
      <c r="A2123" t="s">
        <v>430</v>
      </c>
      <c r="B2123" s="23" t="s">
        <v>38</v>
      </c>
      <c r="C2123" s="23" t="s">
        <v>10</v>
      </c>
      <c r="D2123" s="2"/>
      <c r="E2123" s="2"/>
    </row>
    <row r="2124" spans="1:6" x14ac:dyDescent="0.3">
      <c r="A2124" t="s">
        <v>430</v>
      </c>
      <c r="B2124" s="23" t="s">
        <v>103</v>
      </c>
      <c r="C2124" s="23" t="s">
        <v>10</v>
      </c>
      <c r="D2124" s="24"/>
      <c r="E2124" s="24"/>
      <c r="F2124" s="23"/>
    </row>
    <row r="2125" spans="1:6" x14ac:dyDescent="0.3">
      <c r="A2125" t="s">
        <v>430</v>
      </c>
      <c r="B2125" s="23" t="s">
        <v>79</v>
      </c>
      <c r="C2125" t="s">
        <v>10</v>
      </c>
      <c r="D2125" s="2"/>
      <c r="E2125" s="2"/>
    </row>
    <row r="2126" spans="1:6" x14ac:dyDescent="0.3">
      <c r="A2126" t="s">
        <v>430</v>
      </c>
      <c r="B2126" s="23" t="s">
        <v>27</v>
      </c>
      <c r="C2126" s="23" t="s">
        <v>41</v>
      </c>
      <c r="D2126" s="24"/>
      <c r="E2126" s="24"/>
      <c r="F2126" s="23"/>
    </row>
    <row r="2127" spans="1:6" x14ac:dyDescent="0.3">
      <c r="A2127" t="s">
        <v>430</v>
      </c>
      <c r="B2127" s="23" t="s">
        <v>96</v>
      </c>
      <c r="C2127" s="23" t="s">
        <v>41</v>
      </c>
      <c r="D2127" s="24"/>
      <c r="E2127" s="24"/>
      <c r="F2127" s="23"/>
    </row>
    <row r="2128" spans="1:6" x14ac:dyDescent="0.3">
      <c r="A2128" t="s">
        <v>430</v>
      </c>
      <c r="B2128" s="23" t="s">
        <v>48</v>
      </c>
      <c r="C2128" s="23" t="s">
        <v>26</v>
      </c>
      <c r="D2128" s="24">
        <v>0.66666666666666596</v>
      </c>
      <c r="E2128" s="24">
        <v>0.79166666666666496</v>
      </c>
      <c r="F2128" s="23"/>
    </row>
    <row r="2129" spans="1:6" x14ac:dyDescent="0.3">
      <c r="A2129" t="s">
        <v>430</v>
      </c>
      <c r="B2129" s="23" t="s">
        <v>48</v>
      </c>
      <c r="C2129" s="23" t="s">
        <v>26</v>
      </c>
      <c r="D2129" s="24">
        <v>0.79166666666666496</v>
      </c>
      <c r="E2129" s="24">
        <v>0.91666666666666496</v>
      </c>
      <c r="F2129" s="23"/>
    </row>
    <row r="2130" spans="1:6" x14ac:dyDescent="0.3">
      <c r="A2130" t="s">
        <v>430</v>
      </c>
      <c r="B2130" s="23" t="s">
        <v>23</v>
      </c>
      <c r="C2130" s="23" t="s">
        <v>45</v>
      </c>
      <c r="D2130" s="24"/>
      <c r="E2130" s="24"/>
      <c r="F2130" s="23"/>
    </row>
    <row r="2131" spans="1:6" x14ac:dyDescent="0.3">
      <c r="A2131" t="s">
        <v>430</v>
      </c>
      <c r="B2131" s="23" t="s">
        <v>16</v>
      </c>
      <c r="C2131" s="23" t="s">
        <v>46</v>
      </c>
      <c r="D2131" s="24"/>
      <c r="E2131" s="24"/>
      <c r="F2131" s="23"/>
    </row>
    <row r="2132" spans="1:6" x14ac:dyDescent="0.3">
      <c r="A2132" t="s">
        <v>430</v>
      </c>
      <c r="B2132" s="23" t="s">
        <v>47</v>
      </c>
      <c r="C2132" s="23" t="s">
        <v>18</v>
      </c>
      <c r="D2132" s="24"/>
      <c r="E2132" s="24"/>
      <c r="F2132" s="23"/>
    </row>
    <row r="2133" spans="1:6" x14ac:dyDescent="0.3">
      <c r="A2133" t="s">
        <v>430</v>
      </c>
      <c r="B2133" s="23" t="s">
        <v>85</v>
      </c>
      <c r="C2133" s="23" t="s">
        <v>49</v>
      </c>
      <c r="D2133" s="24"/>
      <c r="E2133" s="24"/>
      <c r="F2133" s="23"/>
    </row>
    <row r="2134" spans="1:6" x14ac:dyDescent="0.3">
      <c r="A2134" t="s">
        <v>430</v>
      </c>
      <c r="B2134" s="23" t="s">
        <v>75</v>
      </c>
      <c r="C2134" s="23" t="s">
        <v>51</v>
      </c>
      <c r="D2134" s="24"/>
      <c r="E2134" s="24"/>
      <c r="F2134" s="23"/>
    </row>
    <row r="2135" spans="1:6" x14ac:dyDescent="0.3">
      <c r="A2135" t="s">
        <v>430</v>
      </c>
      <c r="B2135" s="23" t="s">
        <v>23</v>
      </c>
      <c r="C2135" s="23" t="s">
        <v>53</v>
      </c>
      <c r="D2135" s="24">
        <v>0.33333333333333298</v>
      </c>
      <c r="E2135" s="24">
        <v>0.375</v>
      </c>
      <c r="F2135" s="23" t="s">
        <v>431</v>
      </c>
    </row>
    <row r="2136" spans="1:6" x14ac:dyDescent="0.3">
      <c r="A2136" t="s">
        <v>430</v>
      </c>
      <c r="B2136" s="23" t="s">
        <v>23</v>
      </c>
      <c r="C2136" s="23" t="s">
        <v>53</v>
      </c>
      <c r="D2136" s="24">
        <v>0.41666666666666702</v>
      </c>
      <c r="E2136" s="24">
        <v>0.45833333333333298</v>
      </c>
      <c r="F2136" s="23" t="s">
        <v>432</v>
      </c>
    </row>
    <row r="2137" spans="1:6" x14ac:dyDescent="0.3">
      <c r="A2137" t="s">
        <v>430</v>
      </c>
      <c r="B2137" s="23" t="s">
        <v>23</v>
      </c>
      <c r="C2137" s="23" t="s">
        <v>222</v>
      </c>
      <c r="D2137" s="24">
        <v>0.83333333333333204</v>
      </c>
      <c r="E2137" s="24">
        <v>0.91666666666666496</v>
      </c>
      <c r="F2137" s="23" t="s">
        <v>433</v>
      </c>
    </row>
    <row r="2138" spans="1:6" x14ac:dyDescent="0.3">
      <c r="A2138" t="s">
        <v>430</v>
      </c>
      <c r="B2138" s="23" t="s">
        <v>66</v>
      </c>
      <c r="C2138" s="23" t="s">
        <v>30</v>
      </c>
      <c r="D2138" s="24"/>
      <c r="E2138" s="24"/>
      <c r="F2138" s="23"/>
    </row>
    <row r="2139" spans="1:6" x14ac:dyDescent="0.3">
      <c r="A2139" t="s">
        <v>430</v>
      </c>
      <c r="B2139" s="23" t="s">
        <v>29</v>
      </c>
      <c r="C2139" s="23" t="s">
        <v>43</v>
      </c>
      <c r="D2139" s="24"/>
      <c r="E2139" s="24"/>
      <c r="F2139" s="23"/>
    </row>
    <row r="2140" spans="1:6" x14ac:dyDescent="0.3">
      <c r="A2140" t="s">
        <v>430</v>
      </c>
      <c r="B2140" s="23" t="s">
        <v>73</v>
      </c>
      <c r="C2140" s="23" t="s">
        <v>22</v>
      </c>
      <c r="D2140" s="24">
        <v>0.29166666666666669</v>
      </c>
      <c r="E2140" s="24">
        <v>0.54166666666666596</v>
      </c>
      <c r="F2140" s="23"/>
    </row>
    <row r="2141" spans="1:6" x14ac:dyDescent="0.3">
      <c r="A2141" t="s">
        <v>430</v>
      </c>
      <c r="B2141" s="23" t="s">
        <v>73</v>
      </c>
      <c r="C2141" s="23" t="s">
        <v>53</v>
      </c>
      <c r="D2141" s="24">
        <v>0.33333333333333298</v>
      </c>
      <c r="E2141" s="24">
        <v>0.375</v>
      </c>
      <c r="F2141" s="23" t="s">
        <v>431</v>
      </c>
    </row>
    <row r="2142" spans="1:6" x14ac:dyDescent="0.3">
      <c r="A2142" t="s">
        <v>430</v>
      </c>
      <c r="B2142" s="23" t="s">
        <v>73</v>
      </c>
      <c r="C2142" s="23" t="s">
        <v>53</v>
      </c>
      <c r="D2142" s="24">
        <v>0.41666666666666702</v>
      </c>
      <c r="E2142" s="24">
        <v>0.45833333333333298</v>
      </c>
      <c r="F2142" s="23" t="s">
        <v>432</v>
      </c>
    </row>
    <row r="2143" spans="1:6" x14ac:dyDescent="0.3">
      <c r="A2143" t="s">
        <v>430</v>
      </c>
      <c r="B2143" s="23" t="s">
        <v>73</v>
      </c>
      <c r="C2143" s="23" t="s">
        <v>53</v>
      </c>
      <c r="D2143" s="24">
        <v>0.45833333333333298</v>
      </c>
      <c r="E2143" s="24">
        <v>0.5</v>
      </c>
      <c r="F2143" s="23" t="s">
        <v>434</v>
      </c>
    </row>
    <row r="2144" spans="1:6" x14ac:dyDescent="0.3">
      <c r="A2144" t="s">
        <v>430</v>
      </c>
      <c r="B2144" s="23" t="s">
        <v>23</v>
      </c>
      <c r="C2144" s="23" t="s">
        <v>53</v>
      </c>
      <c r="D2144" s="24">
        <v>0.45833333333333298</v>
      </c>
      <c r="E2144" s="24">
        <v>0.5</v>
      </c>
      <c r="F2144" s="23" t="s">
        <v>434</v>
      </c>
    </row>
    <row r="2145" spans="1:6" x14ac:dyDescent="0.3">
      <c r="A2145" t="s">
        <v>430</v>
      </c>
      <c r="B2145" s="23" t="s">
        <v>85</v>
      </c>
      <c r="C2145" s="23" t="s">
        <v>55</v>
      </c>
      <c r="D2145" s="24">
        <v>0.29166666666666669</v>
      </c>
      <c r="E2145" s="24">
        <v>0.33333333333333298</v>
      </c>
      <c r="F2145" s="23" t="s">
        <v>435</v>
      </c>
    </row>
    <row r="2146" spans="1:6" x14ac:dyDescent="0.3">
      <c r="A2146" t="s">
        <v>430</v>
      </c>
      <c r="B2146" s="23" t="s">
        <v>73</v>
      </c>
      <c r="C2146" s="23" t="s">
        <v>124</v>
      </c>
      <c r="D2146" s="24">
        <v>0.77083333333333204</v>
      </c>
      <c r="E2146" s="24">
        <v>0.812499999999998</v>
      </c>
      <c r="F2146" s="23" t="s">
        <v>436</v>
      </c>
    </row>
    <row r="2147" spans="1:6" x14ac:dyDescent="0.3">
      <c r="A2147" t="s">
        <v>430</v>
      </c>
      <c r="B2147" s="23" t="s">
        <v>34</v>
      </c>
      <c r="C2147" s="23" t="s">
        <v>24</v>
      </c>
      <c r="D2147" s="24">
        <v>0.54166666666666596</v>
      </c>
      <c r="E2147" s="24">
        <v>0.58333333333333304</v>
      </c>
      <c r="F2147" s="23" t="s">
        <v>437</v>
      </c>
    </row>
    <row r="2148" spans="1:6" x14ac:dyDescent="0.3">
      <c r="A2148" t="s">
        <v>430</v>
      </c>
      <c r="B2148" s="23" t="s">
        <v>64</v>
      </c>
      <c r="C2148" s="23" t="s">
        <v>53</v>
      </c>
      <c r="D2148" s="24">
        <v>0.562499999999999</v>
      </c>
      <c r="E2148" s="24">
        <v>0.60416666666666596</v>
      </c>
      <c r="F2148" s="23" t="s">
        <v>438</v>
      </c>
    </row>
    <row r="2149" spans="1:6" x14ac:dyDescent="0.3">
      <c r="A2149" t="s">
        <v>430</v>
      </c>
      <c r="B2149" s="23" t="s">
        <v>29</v>
      </c>
      <c r="C2149" s="23" t="s">
        <v>26</v>
      </c>
      <c r="D2149" s="24">
        <v>0.41666666666666702</v>
      </c>
      <c r="E2149" s="24">
        <v>0.54166666666666596</v>
      </c>
      <c r="F2149" s="23"/>
    </row>
    <row r="2150" spans="1:6" x14ac:dyDescent="0.3">
      <c r="A2150" t="s">
        <v>439</v>
      </c>
      <c r="B2150" t="s">
        <v>44</v>
      </c>
      <c r="C2150" t="s">
        <v>13</v>
      </c>
      <c r="D2150" s="2"/>
      <c r="E2150" s="2"/>
    </row>
    <row r="2151" spans="1:6" x14ac:dyDescent="0.3">
      <c r="A2151" t="s">
        <v>439</v>
      </c>
      <c r="B2151" t="s">
        <v>71</v>
      </c>
      <c r="C2151" t="s">
        <v>15</v>
      </c>
      <c r="D2151" s="2"/>
      <c r="E2151" s="2"/>
    </row>
    <row r="2152" spans="1:6" x14ac:dyDescent="0.3">
      <c r="A2152" t="s">
        <v>439</v>
      </c>
      <c r="B2152" s="23" t="s">
        <v>33</v>
      </c>
      <c r="C2152" s="23" t="s">
        <v>8</v>
      </c>
      <c r="D2152" s="24"/>
      <c r="E2152" s="24"/>
      <c r="F2152" s="23"/>
    </row>
    <row r="2153" spans="1:6" x14ac:dyDescent="0.3">
      <c r="A2153" t="s">
        <v>439</v>
      </c>
      <c r="B2153" s="23" t="s">
        <v>59</v>
      </c>
      <c r="C2153" s="23" t="s">
        <v>13</v>
      </c>
      <c r="D2153" s="24"/>
      <c r="E2153" s="24"/>
      <c r="F2153" s="23"/>
    </row>
    <row r="2154" spans="1:6" x14ac:dyDescent="0.3">
      <c r="A2154" t="s">
        <v>439</v>
      </c>
      <c r="B2154" s="23" t="s">
        <v>112</v>
      </c>
      <c r="C2154" s="23" t="s">
        <v>8</v>
      </c>
      <c r="D2154" s="24"/>
      <c r="E2154" s="24"/>
      <c r="F2154" s="23"/>
    </row>
    <row r="2155" spans="1:6" x14ac:dyDescent="0.3">
      <c r="A2155" t="s">
        <v>439</v>
      </c>
      <c r="B2155" s="23" t="s">
        <v>38</v>
      </c>
      <c r="C2155" t="s">
        <v>10</v>
      </c>
      <c r="D2155" s="2"/>
      <c r="E2155" s="2"/>
    </row>
    <row r="2156" spans="1:6" x14ac:dyDescent="0.3">
      <c r="A2156" t="s">
        <v>439</v>
      </c>
      <c r="B2156" s="23" t="s">
        <v>103</v>
      </c>
      <c r="C2156" s="23" t="s">
        <v>10</v>
      </c>
      <c r="D2156" s="2"/>
      <c r="E2156" s="2"/>
    </row>
    <row r="2157" spans="1:6" x14ac:dyDescent="0.3">
      <c r="A2157" t="s">
        <v>439</v>
      </c>
      <c r="B2157" s="23" t="s">
        <v>79</v>
      </c>
      <c r="C2157" s="23" t="s">
        <v>10</v>
      </c>
      <c r="D2157" s="24"/>
      <c r="E2157" s="24"/>
      <c r="F2157" s="23"/>
    </row>
    <row r="2158" spans="1:6" x14ac:dyDescent="0.3">
      <c r="A2158" t="s">
        <v>439</v>
      </c>
      <c r="B2158" s="23" t="s">
        <v>109</v>
      </c>
      <c r="C2158" t="s">
        <v>41</v>
      </c>
      <c r="D2158" s="2"/>
      <c r="E2158" s="2"/>
    </row>
    <row r="2159" spans="1:6" x14ac:dyDescent="0.3">
      <c r="A2159" t="s">
        <v>439</v>
      </c>
      <c r="B2159" s="23" t="s">
        <v>36</v>
      </c>
      <c r="C2159" s="23" t="s">
        <v>41</v>
      </c>
      <c r="D2159" s="24"/>
      <c r="E2159" s="24"/>
      <c r="F2159" s="23"/>
    </row>
    <row r="2160" spans="1:6" x14ac:dyDescent="0.3">
      <c r="A2160" t="s">
        <v>439</v>
      </c>
      <c r="B2160" s="23" t="s">
        <v>66</v>
      </c>
      <c r="C2160" s="23" t="s">
        <v>45</v>
      </c>
      <c r="D2160" s="24"/>
      <c r="E2160" s="24"/>
      <c r="F2160" s="23"/>
    </row>
    <row r="2161" spans="1:6" x14ac:dyDescent="0.3">
      <c r="A2161" t="s">
        <v>439</v>
      </c>
      <c r="B2161" s="23" t="s">
        <v>68</v>
      </c>
      <c r="C2161" s="23" t="s">
        <v>46</v>
      </c>
      <c r="D2161" s="24"/>
      <c r="E2161" s="24"/>
      <c r="F2161" s="23"/>
    </row>
    <row r="2162" spans="1:6" x14ac:dyDescent="0.3">
      <c r="A2162" t="s">
        <v>439</v>
      </c>
      <c r="B2162" s="23" t="s">
        <v>63</v>
      </c>
      <c r="C2162" s="23" t="s">
        <v>18</v>
      </c>
      <c r="D2162" s="24"/>
      <c r="E2162" s="24"/>
      <c r="F2162" s="23"/>
    </row>
    <row r="2163" spans="1:6" x14ac:dyDescent="0.3">
      <c r="A2163" t="s">
        <v>439</v>
      </c>
      <c r="B2163" s="23" t="s">
        <v>85</v>
      </c>
      <c r="C2163" s="23" t="s">
        <v>49</v>
      </c>
      <c r="D2163" s="24"/>
      <c r="E2163" s="24"/>
      <c r="F2163" s="23"/>
    </row>
    <row r="2164" spans="1:6" x14ac:dyDescent="0.3">
      <c r="A2164" t="s">
        <v>439</v>
      </c>
      <c r="B2164" s="23" t="s">
        <v>73</v>
      </c>
      <c r="C2164" s="23" t="s">
        <v>51</v>
      </c>
      <c r="D2164" s="24"/>
      <c r="E2164" s="24"/>
      <c r="F2164" s="23"/>
    </row>
    <row r="2165" spans="1:6" x14ac:dyDescent="0.3">
      <c r="A2165" t="s">
        <v>439</v>
      </c>
      <c r="B2165" s="23" t="s">
        <v>37</v>
      </c>
      <c r="C2165" s="23" t="s">
        <v>43</v>
      </c>
      <c r="D2165" s="24"/>
      <c r="E2165" s="24"/>
      <c r="F2165" s="23"/>
    </row>
    <row r="2166" spans="1:6" x14ac:dyDescent="0.3">
      <c r="A2166" t="s">
        <v>439</v>
      </c>
      <c r="B2166" s="23" t="s">
        <v>50</v>
      </c>
      <c r="C2166" s="23" t="s">
        <v>53</v>
      </c>
      <c r="D2166" s="24">
        <v>0.39583333333333298</v>
      </c>
      <c r="E2166" s="24">
        <v>0.4375</v>
      </c>
      <c r="F2166" s="23" t="s">
        <v>440</v>
      </c>
    </row>
    <row r="2167" spans="1:6" x14ac:dyDescent="0.3">
      <c r="A2167" t="s">
        <v>439</v>
      </c>
      <c r="B2167" s="23" t="s">
        <v>23</v>
      </c>
      <c r="C2167" s="23" t="s">
        <v>53</v>
      </c>
      <c r="D2167" s="24">
        <v>0.39583333333333298</v>
      </c>
      <c r="E2167" s="24">
        <v>0.4375</v>
      </c>
      <c r="F2167" s="23" t="s">
        <v>440</v>
      </c>
    </row>
    <row r="2168" spans="1:6" x14ac:dyDescent="0.3">
      <c r="A2168" t="s">
        <v>439</v>
      </c>
      <c r="B2168" s="23" t="s">
        <v>50</v>
      </c>
      <c r="C2168" s="23" t="s">
        <v>24</v>
      </c>
      <c r="D2168" s="24">
        <v>0.70833333333333204</v>
      </c>
      <c r="E2168" s="24">
        <v>0.98958333333333104</v>
      </c>
      <c r="F2168" s="23" t="s">
        <v>441</v>
      </c>
    </row>
    <row r="2169" spans="1:6" x14ac:dyDescent="0.3">
      <c r="A2169" t="s">
        <v>439</v>
      </c>
      <c r="B2169" s="23" t="s">
        <v>73</v>
      </c>
      <c r="C2169" s="23" t="s">
        <v>53</v>
      </c>
      <c r="D2169" s="24">
        <v>0.47916666666666602</v>
      </c>
      <c r="E2169" s="24">
        <v>0.52083333333333304</v>
      </c>
      <c r="F2169" s="23" t="s">
        <v>442</v>
      </c>
    </row>
    <row r="2170" spans="1:6" x14ac:dyDescent="0.3">
      <c r="A2170" t="s">
        <v>439</v>
      </c>
      <c r="B2170" s="23" t="s">
        <v>84</v>
      </c>
      <c r="C2170" s="23" t="s">
        <v>30</v>
      </c>
      <c r="D2170" s="24"/>
      <c r="E2170" s="24"/>
      <c r="F2170" s="23"/>
    </row>
    <row r="2171" spans="1:6" x14ac:dyDescent="0.3">
      <c r="A2171" t="s">
        <v>439</v>
      </c>
      <c r="B2171" s="23" t="s">
        <v>94</v>
      </c>
      <c r="C2171" s="23" t="s">
        <v>26</v>
      </c>
      <c r="D2171" s="24">
        <v>0.66666666666666596</v>
      </c>
      <c r="E2171" s="24">
        <v>0.79166666666666496</v>
      </c>
      <c r="F2171" s="23"/>
    </row>
    <row r="2172" spans="1:6" x14ac:dyDescent="0.3">
      <c r="A2172" t="s">
        <v>439</v>
      </c>
      <c r="B2172" s="23" t="s">
        <v>63</v>
      </c>
      <c r="C2172" s="23" t="s">
        <v>53</v>
      </c>
      <c r="D2172" s="24">
        <v>0.58333333333333304</v>
      </c>
      <c r="E2172" s="24">
        <v>0.66666666666666596</v>
      </c>
      <c r="F2172" s="23" t="s">
        <v>279</v>
      </c>
    </row>
    <row r="2173" spans="1:6" x14ac:dyDescent="0.3">
      <c r="A2173" t="s">
        <v>439</v>
      </c>
      <c r="B2173" s="23" t="s">
        <v>47</v>
      </c>
      <c r="C2173" s="23" t="s">
        <v>26</v>
      </c>
      <c r="D2173" s="24">
        <v>0.66666666666666596</v>
      </c>
      <c r="E2173" s="24">
        <v>0.79166666666666496</v>
      </c>
      <c r="F2173" s="23"/>
    </row>
    <row r="2174" spans="1:6" x14ac:dyDescent="0.3">
      <c r="A2174" t="s">
        <v>439</v>
      </c>
      <c r="B2174" s="23" t="s">
        <v>23</v>
      </c>
      <c r="C2174" s="23" t="s">
        <v>24</v>
      </c>
      <c r="D2174" s="24">
        <v>0.70833333333333204</v>
      </c>
      <c r="E2174" s="24">
        <v>0.98958333333333104</v>
      </c>
      <c r="F2174" s="23" t="s">
        <v>441</v>
      </c>
    </row>
    <row r="2175" spans="1:6" x14ac:dyDescent="0.3">
      <c r="A2175" t="s">
        <v>439</v>
      </c>
      <c r="B2175" s="23" t="s">
        <v>29</v>
      </c>
      <c r="C2175" s="23" t="s">
        <v>30</v>
      </c>
      <c r="D2175" s="24"/>
      <c r="E2175" s="24"/>
      <c r="F2175" s="23"/>
    </row>
    <row r="2176" spans="1:6" x14ac:dyDescent="0.3">
      <c r="A2176" t="s">
        <v>429</v>
      </c>
      <c r="B2176" t="s">
        <v>32</v>
      </c>
      <c r="C2176" t="s">
        <v>13</v>
      </c>
      <c r="D2176" s="2"/>
      <c r="E2176" s="2"/>
    </row>
    <row r="2177" spans="1:6" x14ac:dyDescent="0.3">
      <c r="A2177" t="s">
        <v>429</v>
      </c>
      <c r="B2177" t="s">
        <v>94</v>
      </c>
      <c r="C2177" t="s">
        <v>15</v>
      </c>
      <c r="D2177" s="2"/>
      <c r="E2177" s="2"/>
    </row>
    <row r="2178" spans="1:6" x14ac:dyDescent="0.3">
      <c r="A2178" t="s">
        <v>429</v>
      </c>
      <c r="B2178" s="23" t="s">
        <v>85</v>
      </c>
      <c r="C2178" s="23" t="s">
        <v>8</v>
      </c>
      <c r="D2178" s="24"/>
      <c r="E2178" s="24"/>
      <c r="F2178" s="23"/>
    </row>
    <row r="2179" spans="1:6" x14ac:dyDescent="0.3">
      <c r="A2179" t="s">
        <v>429</v>
      </c>
      <c r="B2179" s="23" t="s">
        <v>9</v>
      </c>
      <c r="C2179" t="s">
        <v>13</v>
      </c>
      <c r="D2179" s="24"/>
      <c r="E2179" s="24"/>
      <c r="F2179" s="23"/>
    </row>
    <row r="2180" spans="1:6" x14ac:dyDescent="0.3">
      <c r="A2180" t="s">
        <v>429</v>
      </c>
      <c r="B2180" s="23" t="s">
        <v>69</v>
      </c>
      <c r="C2180" s="23" t="s">
        <v>8</v>
      </c>
      <c r="D2180" s="24"/>
      <c r="E2180" s="24"/>
      <c r="F2180" s="23"/>
    </row>
    <row r="2181" spans="1:6" x14ac:dyDescent="0.3">
      <c r="A2181" t="s">
        <v>429</v>
      </c>
      <c r="B2181" s="23" t="s">
        <v>38</v>
      </c>
      <c r="C2181" t="s">
        <v>10</v>
      </c>
      <c r="D2181" s="2"/>
      <c r="E2181" s="2"/>
    </row>
    <row r="2182" spans="1:6" x14ac:dyDescent="0.3">
      <c r="A2182" t="s">
        <v>429</v>
      </c>
      <c r="B2182" s="23" t="s">
        <v>103</v>
      </c>
      <c r="C2182" s="23" t="s">
        <v>10</v>
      </c>
      <c r="D2182" s="2"/>
      <c r="E2182" s="2"/>
    </row>
    <row r="2183" spans="1:6" x14ac:dyDescent="0.3">
      <c r="A2183" t="s">
        <v>429</v>
      </c>
      <c r="B2183" s="23" t="s">
        <v>79</v>
      </c>
      <c r="C2183" s="23" t="s">
        <v>10</v>
      </c>
      <c r="D2183" s="24"/>
      <c r="E2183" s="24"/>
      <c r="F2183" s="23"/>
    </row>
    <row r="2184" spans="1:6" x14ac:dyDescent="0.3">
      <c r="A2184" t="s">
        <v>429</v>
      </c>
      <c r="B2184" s="23" t="s">
        <v>112</v>
      </c>
      <c r="C2184" t="s">
        <v>41</v>
      </c>
      <c r="D2184" s="2"/>
      <c r="E2184" s="2"/>
    </row>
    <row r="2185" spans="1:6" x14ac:dyDescent="0.3">
      <c r="A2185" t="s">
        <v>429</v>
      </c>
      <c r="B2185" s="23" t="s">
        <v>61</v>
      </c>
      <c r="C2185" s="23" t="s">
        <v>41</v>
      </c>
      <c r="D2185" s="24"/>
      <c r="E2185" s="24"/>
      <c r="F2185" s="23"/>
    </row>
    <row r="2186" spans="1:6" x14ac:dyDescent="0.3">
      <c r="A2186" t="s">
        <v>429</v>
      </c>
      <c r="B2186" s="23" t="s">
        <v>23</v>
      </c>
      <c r="C2186" s="23" t="s">
        <v>45</v>
      </c>
      <c r="D2186" s="24"/>
      <c r="E2186" s="24"/>
      <c r="F2186" s="23"/>
    </row>
    <row r="2187" spans="1:6" x14ac:dyDescent="0.3">
      <c r="A2187" t="s">
        <v>429</v>
      </c>
      <c r="B2187" s="23" t="s">
        <v>16</v>
      </c>
      <c r="C2187" s="23" t="s">
        <v>46</v>
      </c>
      <c r="D2187" s="24"/>
      <c r="E2187" s="24"/>
      <c r="F2187" s="23"/>
    </row>
    <row r="2188" spans="1:6" x14ac:dyDescent="0.3">
      <c r="A2188" t="s">
        <v>429</v>
      </c>
      <c r="B2188" s="23" t="s">
        <v>72</v>
      </c>
      <c r="C2188" s="23" t="s">
        <v>18</v>
      </c>
      <c r="D2188" s="24"/>
      <c r="E2188" s="24"/>
      <c r="F2188" s="23"/>
    </row>
    <row r="2189" spans="1:6" x14ac:dyDescent="0.3">
      <c r="A2189" t="s">
        <v>429</v>
      </c>
      <c r="B2189" s="23" t="s">
        <v>71</v>
      </c>
      <c r="C2189" s="23" t="s">
        <v>49</v>
      </c>
      <c r="D2189" s="24"/>
      <c r="E2189" s="24"/>
      <c r="F2189" s="23"/>
    </row>
    <row r="2190" spans="1:6" x14ac:dyDescent="0.3">
      <c r="A2190" t="s">
        <v>429</v>
      </c>
      <c r="B2190" s="23" t="s">
        <v>75</v>
      </c>
      <c r="C2190" s="23" t="s">
        <v>51</v>
      </c>
      <c r="D2190" s="24"/>
      <c r="E2190" s="24"/>
      <c r="F2190" s="23"/>
    </row>
    <row r="2191" spans="1:6" x14ac:dyDescent="0.3">
      <c r="A2191" t="s">
        <v>429</v>
      </c>
      <c r="B2191" s="23" t="s">
        <v>72</v>
      </c>
      <c r="C2191" s="23" t="s">
        <v>124</v>
      </c>
      <c r="D2191" s="24">
        <v>0.83333333333333204</v>
      </c>
      <c r="E2191" s="24">
        <v>0.874999999999998</v>
      </c>
      <c r="F2191" s="23" t="s">
        <v>614</v>
      </c>
    </row>
    <row r="2192" spans="1:6" x14ac:dyDescent="0.3">
      <c r="A2192" t="s">
        <v>429</v>
      </c>
      <c r="B2192" s="23" t="s">
        <v>142</v>
      </c>
      <c r="C2192" s="23" t="s">
        <v>43</v>
      </c>
      <c r="D2192" s="24"/>
      <c r="E2192" s="24"/>
      <c r="F2192" s="23"/>
    </row>
    <row r="2193" spans="1:6" x14ac:dyDescent="0.3">
      <c r="A2193" t="s">
        <v>429</v>
      </c>
      <c r="B2193" s="23" t="s">
        <v>75</v>
      </c>
      <c r="C2193" s="23" t="s">
        <v>30</v>
      </c>
      <c r="D2193" s="24"/>
      <c r="E2193" s="24"/>
      <c r="F2193" s="23"/>
    </row>
    <row r="2194" spans="1:6" x14ac:dyDescent="0.3">
      <c r="A2194" t="s">
        <v>429</v>
      </c>
      <c r="B2194" s="23" t="s">
        <v>33</v>
      </c>
      <c r="C2194" s="23" t="s">
        <v>53</v>
      </c>
      <c r="D2194" s="24">
        <v>0.60416666666666596</v>
      </c>
      <c r="E2194" s="24">
        <v>0.64583333333333204</v>
      </c>
      <c r="F2194" s="23" t="s">
        <v>615</v>
      </c>
    </row>
    <row r="2195" spans="1:6" x14ac:dyDescent="0.3">
      <c r="A2195" t="s">
        <v>427</v>
      </c>
      <c r="B2195" t="s">
        <v>71</v>
      </c>
      <c r="C2195" t="s">
        <v>13</v>
      </c>
      <c r="D2195" s="2"/>
      <c r="E2195" s="2"/>
    </row>
    <row r="2196" spans="1:6" x14ac:dyDescent="0.3">
      <c r="A2196" t="s">
        <v>427</v>
      </c>
      <c r="B2196" t="s">
        <v>37</v>
      </c>
      <c r="C2196" t="s">
        <v>15</v>
      </c>
      <c r="D2196" s="2"/>
      <c r="E2196" s="2"/>
    </row>
    <row r="2197" spans="1:6" x14ac:dyDescent="0.3">
      <c r="A2197" t="s">
        <v>427</v>
      </c>
      <c r="B2197" s="23" t="s">
        <v>64</v>
      </c>
      <c r="C2197" s="23" t="s">
        <v>8</v>
      </c>
      <c r="D2197" s="24"/>
      <c r="E2197" s="24"/>
      <c r="F2197" s="23"/>
    </row>
    <row r="2198" spans="1:6" x14ac:dyDescent="0.3">
      <c r="A2198" t="s">
        <v>427</v>
      </c>
      <c r="B2198" s="23" t="s">
        <v>83</v>
      </c>
      <c r="C2198" t="s">
        <v>13</v>
      </c>
      <c r="D2198" s="24"/>
      <c r="E2198" s="24"/>
      <c r="F2198" s="23"/>
    </row>
    <row r="2199" spans="1:6" x14ac:dyDescent="0.3">
      <c r="A2199" t="s">
        <v>427</v>
      </c>
      <c r="B2199" s="23" t="s">
        <v>36</v>
      </c>
      <c r="C2199" s="23" t="s">
        <v>8</v>
      </c>
      <c r="D2199" s="24"/>
      <c r="E2199" s="24"/>
      <c r="F2199" s="23"/>
    </row>
    <row r="2200" spans="1:6" x14ac:dyDescent="0.3">
      <c r="A2200" t="s">
        <v>427</v>
      </c>
      <c r="B2200" s="23" t="s">
        <v>38</v>
      </c>
      <c r="C2200" t="s">
        <v>10</v>
      </c>
      <c r="D2200" s="2"/>
      <c r="E2200" s="2"/>
    </row>
    <row r="2201" spans="1:6" x14ac:dyDescent="0.3">
      <c r="A2201" t="s">
        <v>427</v>
      </c>
      <c r="B2201" s="23" t="s">
        <v>103</v>
      </c>
      <c r="C2201" s="23" t="s">
        <v>10</v>
      </c>
      <c r="D2201" s="2"/>
      <c r="E2201" s="2"/>
    </row>
    <row r="2202" spans="1:6" x14ac:dyDescent="0.3">
      <c r="A2202" t="s">
        <v>427</v>
      </c>
      <c r="B2202" s="23" t="s">
        <v>79</v>
      </c>
      <c r="C2202" s="23" t="s">
        <v>10</v>
      </c>
      <c r="D2202" s="24"/>
      <c r="E2202" s="24"/>
      <c r="F2202" s="23"/>
    </row>
    <row r="2203" spans="1:6" x14ac:dyDescent="0.3">
      <c r="A2203" t="s">
        <v>427</v>
      </c>
      <c r="B2203" s="23" t="s">
        <v>9</v>
      </c>
      <c r="C2203" t="s">
        <v>41</v>
      </c>
      <c r="D2203" s="2"/>
      <c r="E2203" s="2"/>
    </row>
    <row r="2204" spans="1:6" x14ac:dyDescent="0.3">
      <c r="A2204" t="s">
        <v>427</v>
      </c>
      <c r="B2204" s="23" t="s">
        <v>69</v>
      </c>
      <c r="C2204" s="23" t="s">
        <v>41</v>
      </c>
      <c r="D2204" s="24"/>
      <c r="E2204" s="24"/>
      <c r="F2204" s="23"/>
    </row>
    <row r="2205" spans="1:6" x14ac:dyDescent="0.3">
      <c r="A2205" t="s">
        <v>427</v>
      </c>
      <c r="B2205" s="23" t="s">
        <v>66</v>
      </c>
      <c r="C2205" s="23" t="s">
        <v>45</v>
      </c>
      <c r="D2205" s="24"/>
      <c r="E2205" s="24"/>
      <c r="F2205" s="23"/>
    </row>
    <row r="2206" spans="1:6" x14ac:dyDescent="0.3">
      <c r="A2206" t="s">
        <v>427</v>
      </c>
      <c r="B2206" s="23" t="s">
        <v>68</v>
      </c>
      <c r="C2206" s="23" t="s">
        <v>46</v>
      </c>
      <c r="D2206" s="24"/>
      <c r="E2206" s="24"/>
      <c r="F2206" s="23"/>
    </row>
    <row r="2207" spans="1:6" x14ac:dyDescent="0.3">
      <c r="A2207" t="s">
        <v>427</v>
      </c>
      <c r="B2207" s="23" t="s">
        <v>94</v>
      </c>
      <c r="C2207" s="23" t="s">
        <v>18</v>
      </c>
      <c r="D2207" s="24"/>
      <c r="E2207" s="24"/>
      <c r="F2207" s="23"/>
    </row>
    <row r="2208" spans="1:6" x14ac:dyDescent="0.3">
      <c r="A2208" t="s">
        <v>427</v>
      </c>
      <c r="B2208" s="23" t="s">
        <v>71</v>
      </c>
      <c r="C2208" s="23" t="s">
        <v>49</v>
      </c>
      <c r="D2208" s="24"/>
      <c r="E2208" s="24"/>
      <c r="F2208" s="23"/>
    </row>
    <row r="2209" spans="1:6" x14ac:dyDescent="0.3">
      <c r="A2209" t="s">
        <v>427</v>
      </c>
      <c r="B2209" s="23" t="s">
        <v>73</v>
      </c>
      <c r="C2209" s="23" t="s">
        <v>51</v>
      </c>
      <c r="D2209" s="24"/>
      <c r="E2209" s="24"/>
      <c r="F2209" s="23"/>
    </row>
    <row r="2210" spans="1:6" x14ac:dyDescent="0.3">
      <c r="A2210" t="s">
        <v>427</v>
      </c>
      <c r="B2210" s="23" t="s">
        <v>23</v>
      </c>
      <c r="C2210" s="23" t="s">
        <v>55</v>
      </c>
      <c r="D2210" s="24">
        <v>0.29166666666666669</v>
      </c>
      <c r="E2210" s="24">
        <v>0.33333333333333298</v>
      </c>
      <c r="F2210" s="23" t="s">
        <v>616</v>
      </c>
    </row>
    <row r="2211" spans="1:6" x14ac:dyDescent="0.3">
      <c r="A2211" t="s">
        <v>427</v>
      </c>
      <c r="B2211" s="23" t="s">
        <v>84</v>
      </c>
      <c r="C2211" s="23" t="s">
        <v>43</v>
      </c>
      <c r="D2211" s="24"/>
      <c r="E2211" s="24"/>
      <c r="F2211" s="23"/>
    </row>
    <row r="2212" spans="1:6" x14ac:dyDescent="0.3">
      <c r="A2212" t="s">
        <v>427</v>
      </c>
      <c r="B2212" s="23" t="s">
        <v>21</v>
      </c>
      <c r="C2212" s="23" t="s">
        <v>26</v>
      </c>
      <c r="D2212" s="24">
        <v>0.29166666666666669</v>
      </c>
      <c r="E2212" s="24">
        <v>0.41666666666666702</v>
      </c>
      <c r="F2212" s="23"/>
    </row>
    <row r="2213" spans="1:6" x14ac:dyDescent="0.3">
      <c r="A2213" t="s">
        <v>427</v>
      </c>
      <c r="B2213" s="23" t="s">
        <v>21</v>
      </c>
      <c r="C2213" s="23" t="s">
        <v>26</v>
      </c>
      <c r="D2213" s="24">
        <v>0.41666666666666702</v>
      </c>
      <c r="E2213" s="24">
        <v>0.54166666666666596</v>
      </c>
      <c r="F2213" s="23"/>
    </row>
    <row r="2214" spans="1:6" x14ac:dyDescent="0.3">
      <c r="A2214" t="s">
        <v>427</v>
      </c>
      <c r="B2214" s="23" t="s">
        <v>23</v>
      </c>
      <c r="C2214" s="23" t="s">
        <v>26</v>
      </c>
      <c r="D2214" s="24">
        <v>0.66666666666666596</v>
      </c>
      <c r="E2214" s="24">
        <v>0.79166666666666496</v>
      </c>
      <c r="F2214" s="23"/>
    </row>
    <row r="2215" spans="1:6" x14ac:dyDescent="0.3">
      <c r="A2215" t="s">
        <v>427</v>
      </c>
      <c r="B2215" s="23" t="s">
        <v>23</v>
      </c>
      <c r="C2215" s="23" t="s">
        <v>26</v>
      </c>
      <c r="D2215" s="24">
        <v>0.79166666666666496</v>
      </c>
      <c r="E2215" s="24">
        <v>0.98958333333333104</v>
      </c>
      <c r="F2215" s="23"/>
    </row>
    <row r="2216" spans="1:6" x14ac:dyDescent="0.3">
      <c r="A2216" t="s">
        <v>427</v>
      </c>
      <c r="B2216" s="23" t="s">
        <v>33</v>
      </c>
      <c r="C2216" s="23" t="s">
        <v>30</v>
      </c>
      <c r="D2216" s="24"/>
      <c r="E2216" s="24"/>
      <c r="F2216" s="23"/>
    </row>
    <row r="2217" spans="1:6" x14ac:dyDescent="0.3">
      <c r="A2217" t="s">
        <v>427</v>
      </c>
      <c r="B2217" s="23" t="s">
        <v>75</v>
      </c>
      <c r="C2217" s="23" t="s">
        <v>26</v>
      </c>
      <c r="D2217" s="24">
        <v>0.79166666666666496</v>
      </c>
      <c r="E2217" s="24">
        <v>0.98958333333333104</v>
      </c>
      <c r="F2217" s="23"/>
    </row>
    <row r="2218" spans="1:6" x14ac:dyDescent="0.3">
      <c r="A2218" t="s">
        <v>427</v>
      </c>
      <c r="B2218" s="23" t="s">
        <v>50</v>
      </c>
      <c r="C2218" s="23" t="s">
        <v>26</v>
      </c>
      <c r="D2218" s="24">
        <v>0.29166666666666669</v>
      </c>
      <c r="E2218" s="24">
        <v>0.41666666666666702</v>
      </c>
      <c r="F2218" s="23"/>
    </row>
    <row r="2219" spans="1:6" x14ac:dyDescent="0.3">
      <c r="A2219" t="s">
        <v>427</v>
      </c>
      <c r="B2219" s="23" t="s">
        <v>84</v>
      </c>
      <c r="C2219" s="23" t="s">
        <v>26</v>
      </c>
      <c r="D2219" s="24">
        <v>0.79166666666666496</v>
      </c>
      <c r="E2219" s="24">
        <v>0.98958333333333104</v>
      </c>
      <c r="F2219" s="23"/>
    </row>
    <row r="2220" spans="1:6" x14ac:dyDescent="0.3">
      <c r="A2220" t="s">
        <v>404</v>
      </c>
      <c r="B2220" t="s">
        <v>72</v>
      </c>
      <c r="C2220" t="s">
        <v>13</v>
      </c>
      <c r="D2220" s="2"/>
      <c r="E2220" s="2"/>
    </row>
    <row r="2221" spans="1:6" x14ac:dyDescent="0.3">
      <c r="A2221" t="s">
        <v>404</v>
      </c>
      <c r="B2221" t="s">
        <v>29</v>
      </c>
      <c r="C2221" t="s">
        <v>15</v>
      </c>
      <c r="D2221" s="2"/>
      <c r="E2221" s="2"/>
    </row>
    <row r="2222" spans="1:6" x14ac:dyDescent="0.3">
      <c r="A2222" t="s">
        <v>404</v>
      </c>
      <c r="B2222" s="23" t="s">
        <v>75</v>
      </c>
      <c r="C2222" s="23" t="s">
        <v>8</v>
      </c>
      <c r="D2222" s="24"/>
      <c r="E2222" s="24"/>
      <c r="F2222" s="23"/>
    </row>
    <row r="2223" spans="1:6" x14ac:dyDescent="0.3">
      <c r="A2223" t="s">
        <v>404</v>
      </c>
      <c r="B2223" s="23" t="s">
        <v>35</v>
      </c>
      <c r="C2223" t="s">
        <v>13</v>
      </c>
      <c r="D2223" s="24"/>
      <c r="E2223" s="24"/>
      <c r="F2223" s="23"/>
    </row>
    <row r="2224" spans="1:6" x14ac:dyDescent="0.3">
      <c r="A2224" t="s">
        <v>404</v>
      </c>
      <c r="B2224" s="23" t="s">
        <v>62</v>
      </c>
      <c r="C2224" s="23" t="s">
        <v>8</v>
      </c>
      <c r="D2224" s="24"/>
      <c r="E2224" s="24"/>
      <c r="F2224" s="23"/>
    </row>
    <row r="2225" spans="1:6" x14ac:dyDescent="0.3">
      <c r="A2225" t="s">
        <v>404</v>
      </c>
      <c r="B2225" s="23" t="s">
        <v>38</v>
      </c>
      <c r="C2225" t="s">
        <v>10</v>
      </c>
      <c r="D2225" s="2"/>
      <c r="E2225" s="2"/>
    </row>
    <row r="2226" spans="1:6" x14ac:dyDescent="0.3">
      <c r="A2226" t="s">
        <v>404</v>
      </c>
      <c r="B2226" s="23" t="s">
        <v>103</v>
      </c>
      <c r="C2226" s="23" t="s">
        <v>10</v>
      </c>
      <c r="D2226" s="2"/>
      <c r="E2226" s="2"/>
    </row>
    <row r="2227" spans="1:6" x14ac:dyDescent="0.3">
      <c r="A2227" t="s">
        <v>404</v>
      </c>
      <c r="B2227" s="23" t="s">
        <v>79</v>
      </c>
      <c r="C2227" s="23" t="s">
        <v>10</v>
      </c>
      <c r="D2227" s="24"/>
      <c r="E2227" s="24"/>
      <c r="F2227" s="23"/>
    </row>
    <row r="2228" spans="1:6" x14ac:dyDescent="0.3">
      <c r="A2228" t="s">
        <v>404</v>
      </c>
      <c r="B2228" s="23" t="s">
        <v>83</v>
      </c>
      <c r="C2228" t="s">
        <v>41</v>
      </c>
      <c r="D2228" s="2"/>
      <c r="E2228" s="2"/>
    </row>
    <row r="2229" spans="1:6" x14ac:dyDescent="0.3">
      <c r="A2229" t="s">
        <v>404</v>
      </c>
      <c r="B2229" s="23" t="s">
        <v>36</v>
      </c>
      <c r="C2229" s="23" t="s">
        <v>41</v>
      </c>
      <c r="D2229" s="24"/>
      <c r="E2229" s="24"/>
      <c r="F2229" s="23"/>
    </row>
    <row r="2230" spans="1:6" x14ac:dyDescent="0.3">
      <c r="A2230" t="s">
        <v>404</v>
      </c>
      <c r="B2230" s="23" t="s">
        <v>52</v>
      </c>
      <c r="C2230" s="23" t="s">
        <v>45</v>
      </c>
      <c r="D2230" s="24"/>
      <c r="E2230" s="24"/>
      <c r="F2230" s="23"/>
    </row>
    <row r="2231" spans="1:6" x14ac:dyDescent="0.3">
      <c r="A2231" t="s">
        <v>404</v>
      </c>
      <c r="B2231" s="23" t="s">
        <v>14</v>
      </c>
      <c r="C2231" s="23" t="s">
        <v>46</v>
      </c>
      <c r="D2231" s="24"/>
      <c r="E2231" s="24"/>
      <c r="F2231" s="23"/>
    </row>
    <row r="2232" spans="1:6" x14ac:dyDescent="0.3">
      <c r="A2232" t="s">
        <v>404</v>
      </c>
      <c r="B2232" s="23" t="s">
        <v>63</v>
      </c>
      <c r="C2232" s="23" t="s">
        <v>18</v>
      </c>
      <c r="D2232" s="24"/>
      <c r="E2232" s="24"/>
      <c r="F2232" s="23"/>
    </row>
    <row r="2233" spans="1:6" x14ac:dyDescent="0.3">
      <c r="A2233" t="s">
        <v>404</v>
      </c>
      <c r="B2233" s="23" t="s">
        <v>71</v>
      </c>
      <c r="C2233" s="23" t="s">
        <v>49</v>
      </c>
      <c r="D2233" s="24"/>
      <c r="E2233" s="24"/>
      <c r="F2233" s="23"/>
    </row>
    <row r="2234" spans="1:6" x14ac:dyDescent="0.3">
      <c r="A2234" t="s">
        <v>404</v>
      </c>
      <c r="B2234" s="23" t="s">
        <v>34</v>
      </c>
      <c r="C2234" s="23" t="s">
        <v>51</v>
      </c>
      <c r="D2234" s="24"/>
      <c r="E2234" s="24"/>
      <c r="F2234" s="23"/>
    </row>
    <row r="2235" spans="1:6" x14ac:dyDescent="0.3">
      <c r="A2235" t="s">
        <v>404</v>
      </c>
      <c r="B2235" s="23" t="s">
        <v>12</v>
      </c>
      <c r="C2235" s="23" t="s">
        <v>43</v>
      </c>
      <c r="D2235" s="24"/>
      <c r="E2235" s="24"/>
      <c r="F2235" s="23"/>
    </row>
    <row r="2236" spans="1:6" x14ac:dyDescent="0.3">
      <c r="A2236" t="s">
        <v>404</v>
      </c>
      <c r="B2236" s="23" t="s">
        <v>7</v>
      </c>
      <c r="C2236" s="23" t="s">
        <v>26</v>
      </c>
      <c r="D2236" s="24">
        <v>0.79166666666666496</v>
      </c>
      <c r="E2236" s="24">
        <v>0.91666666666666496</v>
      </c>
      <c r="F2236" s="23"/>
    </row>
    <row r="2237" spans="1:6" x14ac:dyDescent="0.3">
      <c r="A2237" t="s">
        <v>404</v>
      </c>
      <c r="B2237" s="23" t="s">
        <v>94</v>
      </c>
      <c r="C2237" s="23" t="s">
        <v>26</v>
      </c>
      <c r="D2237" s="24">
        <v>0.79166666666666496</v>
      </c>
      <c r="E2237" s="24">
        <v>0.91666666666666496</v>
      </c>
      <c r="F2237" s="23"/>
    </row>
    <row r="2238" spans="1:6" x14ac:dyDescent="0.3">
      <c r="A2238" t="s">
        <v>404</v>
      </c>
      <c r="B2238" s="23" t="s">
        <v>23</v>
      </c>
      <c r="C2238" s="23" t="s">
        <v>24</v>
      </c>
      <c r="D2238" s="24">
        <v>0.749999999999999</v>
      </c>
      <c r="E2238" s="24">
        <v>0.98958333333333104</v>
      </c>
      <c r="F2238" s="23" t="s">
        <v>613</v>
      </c>
    </row>
    <row r="2239" spans="1:6" x14ac:dyDescent="0.3">
      <c r="A2239" t="s">
        <v>404</v>
      </c>
      <c r="B2239" s="23" t="s">
        <v>34</v>
      </c>
      <c r="C2239" s="23" t="s">
        <v>30</v>
      </c>
      <c r="D2239" s="24"/>
      <c r="E2239" s="24"/>
      <c r="F2239" s="23"/>
    </row>
    <row r="2240" spans="1:6" x14ac:dyDescent="0.3">
      <c r="A2240" t="s">
        <v>404</v>
      </c>
      <c r="B2240" s="23" t="s">
        <v>33</v>
      </c>
      <c r="C2240" s="23" t="s">
        <v>55</v>
      </c>
      <c r="D2240" s="24">
        <v>0.83333333333333204</v>
      </c>
      <c r="E2240" s="24">
        <v>0.874999999999998</v>
      </c>
      <c r="F2240" s="23" t="s">
        <v>620</v>
      </c>
    </row>
    <row r="2241" spans="1:6" x14ac:dyDescent="0.3">
      <c r="A2241" t="s">
        <v>404</v>
      </c>
      <c r="B2241" s="23" t="s">
        <v>16</v>
      </c>
      <c r="C2241" s="23" t="s">
        <v>26</v>
      </c>
      <c r="D2241" s="24">
        <v>0.66666666666666596</v>
      </c>
      <c r="E2241" s="24">
        <v>0.79166666666666496</v>
      </c>
      <c r="F2241" s="23"/>
    </row>
    <row r="2242" spans="1:6" x14ac:dyDescent="0.3">
      <c r="A2242" t="s">
        <v>404</v>
      </c>
      <c r="B2242" s="23" t="s">
        <v>16</v>
      </c>
      <c r="C2242" s="23" t="s">
        <v>26</v>
      </c>
      <c r="D2242" s="24">
        <v>0.79166666666666496</v>
      </c>
      <c r="E2242" s="24">
        <v>0.98958333333333104</v>
      </c>
      <c r="F2242" s="23"/>
    </row>
    <row r="2243" spans="1:6" x14ac:dyDescent="0.3">
      <c r="A2243" t="s">
        <v>404</v>
      </c>
      <c r="B2243" s="23" t="s">
        <v>20</v>
      </c>
      <c r="C2243" s="23" t="s">
        <v>26</v>
      </c>
      <c r="D2243" s="24">
        <v>0.79166666666666496</v>
      </c>
      <c r="E2243" s="24">
        <v>0.98958333333333104</v>
      </c>
      <c r="F2243" s="23"/>
    </row>
    <row r="2244" spans="1:6" x14ac:dyDescent="0.3">
      <c r="A2244" t="s">
        <v>404</v>
      </c>
      <c r="B2244" s="23" t="s">
        <v>84</v>
      </c>
      <c r="C2244" s="23" t="s">
        <v>26</v>
      </c>
      <c r="D2244" s="24">
        <v>0.41666666666666702</v>
      </c>
      <c r="E2244" s="24">
        <v>0.54166666666666596</v>
      </c>
      <c r="F2244" s="23"/>
    </row>
    <row r="2245" spans="1:6" x14ac:dyDescent="0.3">
      <c r="A2245" t="s">
        <v>404</v>
      </c>
      <c r="B2245" s="23" t="s">
        <v>73</v>
      </c>
      <c r="C2245" s="23" t="s">
        <v>30</v>
      </c>
      <c r="D2245" s="24"/>
      <c r="E2245" s="24"/>
      <c r="F2245" s="23"/>
    </row>
    <row r="2246" spans="1:6" x14ac:dyDescent="0.3">
      <c r="A2246" t="s">
        <v>404</v>
      </c>
      <c r="B2246" s="23" t="s">
        <v>64</v>
      </c>
      <c r="C2246" s="23" t="s">
        <v>24</v>
      </c>
      <c r="D2246" s="24">
        <v>0.54166666666666596</v>
      </c>
      <c r="E2246" s="24">
        <v>0.624999999999999</v>
      </c>
      <c r="F2246" s="23" t="s">
        <v>621</v>
      </c>
    </row>
    <row r="2247" spans="1:6" x14ac:dyDescent="0.3">
      <c r="A2247" t="s">
        <v>407</v>
      </c>
      <c r="B2247" t="s">
        <v>71</v>
      </c>
      <c r="C2247" t="s">
        <v>13</v>
      </c>
      <c r="D2247" s="2"/>
      <c r="E2247" s="2"/>
    </row>
    <row r="2248" spans="1:6" x14ac:dyDescent="0.3">
      <c r="A2248" t="s">
        <v>407</v>
      </c>
      <c r="B2248" s="23" t="s">
        <v>72</v>
      </c>
      <c r="C2248" s="23" t="s">
        <v>8</v>
      </c>
      <c r="D2248" s="24"/>
      <c r="E2248" s="24"/>
      <c r="F2248" s="23"/>
    </row>
    <row r="2249" spans="1:6" x14ac:dyDescent="0.3">
      <c r="A2249" t="s">
        <v>407</v>
      </c>
      <c r="B2249" s="23" t="s">
        <v>32</v>
      </c>
      <c r="C2249" s="23" t="s">
        <v>78</v>
      </c>
      <c r="D2249" s="24"/>
      <c r="E2249" s="24"/>
      <c r="F2249" s="23"/>
    </row>
    <row r="2250" spans="1:6" x14ac:dyDescent="0.3">
      <c r="A2250" t="s">
        <v>407</v>
      </c>
      <c r="B2250" s="23" t="s">
        <v>109</v>
      </c>
      <c r="C2250" s="23" t="s">
        <v>13</v>
      </c>
      <c r="D2250" s="24"/>
      <c r="E2250" s="24"/>
      <c r="F2250" s="23"/>
    </row>
    <row r="2251" spans="1:6" x14ac:dyDescent="0.3">
      <c r="A2251" t="s">
        <v>407</v>
      </c>
      <c r="B2251" s="23" t="s">
        <v>59</v>
      </c>
      <c r="C2251" s="23" t="s">
        <v>8</v>
      </c>
      <c r="D2251" s="24"/>
      <c r="E2251" s="24"/>
      <c r="F2251" s="23"/>
    </row>
    <row r="2252" spans="1:6" x14ac:dyDescent="0.3">
      <c r="A2252" t="s">
        <v>407</v>
      </c>
      <c r="B2252" s="23" t="s">
        <v>27</v>
      </c>
      <c r="C2252" s="23" t="s">
        <v>78</v>
      </c>
      <c r="D2252" s="24"/>
      <c r="E2252" s="24"/>
      <c r="F2252" s="23"/>
    </row>
    <row r="2253" spans="1:6" x14ac:dyDescent="0.3">
      <c r="A2253" t="s">
        <v>407</v>
      </c>
      <c r="B2253" s="23" t="s">
        <v>38</v>
      </c>
      <c r="C2253" s="23" t="s">
        <v>10</v>
      </c>
      <c r="D2253" s="24"/>
      <c r="E2253" s="24"/>
      <c r="F2253" s="23"/>
    </row>
    <row r="2254" spans="1:6" x14ac:dyDescent="0.3">
      <c r="A2254" t="s">
        <v>407</v>
      </c>
      <c r="B2254" s="23" t="s">
        <v>103</v>
      </c>
      <c r="C2254" s="23" t="s">
        <v>10</v>
      </c>
      <c r="D2254" s="24"/>
      <c r="E2254" s="24"/>
      <c r="F2254" s="23"/>
    </row>
    <row r="2255" spans="1:6" x14ac:dyDescent="0.3">
      <c r="A2255" t="s">
        <v>407</v>
      </c>
      <c r="B2255" s="23" t="s">
        <v>79</v>
      </c>
      <c r="C2255" s="23" t="s">
        <v>10</v>
      </c>
      <c r="D2255" s="24"/>
      <c r="E2255" s="24"/>
      <c r="F2255" s="23"/>
    </row>
    <row r="2256" spans="1:6" x14ac:dyDescent="0.3">
      <c r="A2256" t="s">
        <v>407</v>
      </c>
      <c r="B2256" s="23" t="s">
        <v>112</v>
      </c>
      <c r="C2256" s="23" t="s">
        <v>10</v>
      </c>
      <c r="D2256" s="24"/>
      <c r="E2256" s="24"/>
      <c r="F2256" s="23"/>
    </row>
    <row r="2257" spans="1:6" x14ac:dyDescent="0.3">
      <c r="A2257" t="s">
        <v>407</v>
      </c>
      <c r="B2257" s="23" t="s">
        <v>12</v>
      </c>
      <c r="C2257" s="23" t="s">
        <v>24</v>
      </c>
      <c r="D2257" s="24">
        <v>0.33333333333333298</v>
      </c>
      <c r="E2257" s="24">
        <v>0.69791666666666596</v>
      </c>
      <c r="F2257" s="23" t="s">
        <v>408</v>
      </c>
    </row>
    <row r="2258" spans="1:6" x14ac:dyDescent="0.3">
      <c r="A2258" t="s">
        <v>409</v>
      </c>
      <c r="B2258" t="s">
        <v>32</v>
      </c>
      <c r="C2258" t="s">
        <v>13</v>
      </c>
      <c r="D2258" s="2"/>
      <c r="E2258" s="2"/>
    </row>
    <row r="2259" spans="1:6" x14ac:dyDescent="0.3">
      <c r="A2259" t="s">
        <v>409</v>
      </c>
      <c r="B2259" s="23" t="s">
        <v>71</v>
      </c>
      <c r="C2259" s="23" t="s">
        <v>8</v>
      </c>
      <c r="D2259" s="24"/>
      <c r="E2259" s="24"/>
      <c r="F2259" s="23"/>
    </row>
    <row r="2260" spans="1:6" x14ac:dyDescent="0.3">
      <c r="A2260" t="s">
        <v>409</v>
      </c>
      <c r="B2260" s="23" t="s">
        <v>72</v>
      </c>
      <c r="C2260" s="23" t="s">
        <v>78</v>
      </c>
      <c r="D2260" s="24"/>
      <c r="E2260" s="24"/>
      <c r="F2260" s="23"/>
    </row>
    <row r="2261" spans="1:6" x14ac:dyDescent="0.3">
      <c r="A2261" t="s">
        <v>409</v>
      </c>
      <c r="B2261" s="23" t="s">
        <v>109</v>
      </c>
      <c r="C2261" s="23" t="s">
        <v>13</v>
      </c>
      <c r="D2261" s="24"/>
      <c r="E2261" s="24"/>
      <c r="F2261" s="23"/>
    </row>
    <row r="2262" spans="1:6" x14ac:dyDescent="0.3">
      <c r="A2262" t="s">
        <v>409</v>
      </c>
      <c r="B2262" s="23" t="s">
        <v>59</v>
      </c>
      <c r="C2262" s="23" t="s">
        <v>8</v>
      </c>
      <c r="D2262" s="24"/>
      <c r="E2262" s="24"/>
      <c r="F2262" s="23"/>
    </row>
    <row r="2263" spans="1:6" x14ac:dyDescent="0.3">
      <c r="A2263" t="s">
        <v>409</v>
      </c>
      <c r="B2263" s="23" t="s">
        <v>27</v>
      </c>
      <c r="C2263" s="23" t="s">
        <v>78</v>
      </c>
      <c r="D2263" s="24"/>
      <c r="E2263" s="24"/>
      <c r="F2263" s="23"/>
    </row>
    <row r="2264" spans="1:6" x14ac:dyDescent="0.3">
      <c r="A2264" t="s">
        <v>394</v>
      </c>
      <c r="B2264" t="s">
        <v>37</v>
      </c>
      <c r="C2264" t="s">
        <v>13</v>
      </c>
      <c r="D2264" s="2"/>
      <c r="E2264" s="2"/>
    </row>
    <row r="2265" spans="1:6" x14ac:dyDescent="0.3">
      <c r="A2265" t="s">
        <v>394</v>
      </c>
      <c r="B2265" s="23" t="s">
        <v>142</v>
      </c>
      <c r="C2265" s="23" t="s">
        <v>15</v>
      </c>
      <c r="D2265" s="24"/>
      <c r="E2265" s="24"/>
      <c r="F2265" s="23"/>
    </row>
    <row r="2266" spans="1:6" x14ac:dyDescent="0.3">
      <c r="A2266" t="s">
        <v>394</v>
      </c>
      <c r="B2266" s="23" t="s">
        <v>85</v>
      </c>
      <c r="C2266" s="23" t="s">
        <v>8</v>
      </c>
      <c r="D2266" s="24"/>
      <c r="E2266" s="24"/>
      <c r="F2266" s="23"/>
    </row>
    <row r="2267" spans="1:6" x14ac:dyDescent="0.3">
      <c r="A2267" t="s">
        <v>394</v>
      </c>
      <c r="B2267" s="23" t="s">
        <v>57</v>
      </c>
      <c r="C2267" s="23" t="s">
        <v>13</v>
      </c>
      <c r="D2267" s="24"/>
      <c r="E2267" s="24"/>
      <c r="F2267" s="23"/>
    </row>
    <row r="2268" spans="1:6" x14ac:dyDescent="0.3">
      <c r="A2268" t="s">
        <v>394</v>
      </c>
      <c r="B2268" s="23" t="s">
        <v>97</v>
      </c>
      <c r="C2268" s="23" t="s">
        <v>8</v>
      </c>
      <c r="D2268" s="24"/>
      <c r="E2268" s="24"/>
      <c r="F2268" s="23"/>
    </row>
    <row r="2269" spans="1:6" x14ac:dyDescent="0.3">
      <c r="A2269" t="s">
        <v>394</v>
      </c>
      <c r="B2269" s="23" t="s">
        <v>38</v>
      </c>
      <c r="C2269" s="23" t="s">
        <v>10</v>
      </c>
      <c r="D2269" s="24"/>
      <c r="E2269" s="24"/>
      <c r="F2269" s="23"/>
    </row>
    <row r="2270" spans="1:6" x14ac:dyDescent="0.3">
      <c r="A2270" t="s">
        <v>394</v>
      </c>
      <c r="B2270" s="23" t="s">
        <v>103</v>
      </c>
      <c r="C2270" s="23" t="s">
        <v>10</v>
      </c>
      <c r="D2270" s="24"/>
      <c r="E2270" s="24"/>
      <c r="F2270" s="23"/>
    </row>
    <row r="2271" spans="1:6" x14ac:dyDescent="0.3">
      <c r="A2271" t="s">
        <v>394</v>
      </c>
      <c r="B2271" s="23" t="s">
        <v>79</v>
      </c>
      <c r="C2271" s="23" t="s">
        <v>10</v>
      </c>
      <c r="D2271" s="24"/>
      <c r="E2271" s="24"/>
      <c r="F2271" s="23"/>
    </row>
    <row r="2272" spans="1:6" x14ac:dyDescent="0.3">
      <c r="A2272" t="s">
        <v>394</v>
      </c>
      <c r="B2272" s="23" t="s">
        <v>112</v>
      </c>
      <c r="C2272" s="23" t="s">
        <v>10</v>
      </c>
      <c r="D2272" s="24"/>
      <c r="E2272" s="24"/>
      <c r="F2272" s="23"/>
    </row>
    <row r="2273" spans="1:6" x14ac:dyDescent="0.3">
      <c r="A2273" t="s">
        <v>394</v>
      </c>
      <c r="B2273" s="23" t="s">
        <v>109</v>
      </c>
      <c r="C2273" s="23" t="s">
        <v>41</v>
      </c>
      <c r="D2273" s="24"/>
      <c r="E2273" s="24"/>
      <c r="F2273" s="23"/>
    </row>
    <row r="2274" spans="1:6" x14ac:dyDescent="0.3">
      <c r="A2274" t="s">
        <v>394</v>
      </c>
      <c r="B2274" s="23" t="s">
        <v>59</v>
      </c>
      <c r="C2274" s="23" t="s">
        <v>41</v>
      </c>
      <c r="D2274" s="24"/>
      <c r="E2274" s="24"/>
      <c r="F2274" s="23"/>
    </row>
    <row r="2275" spans="1:6" x14ac:dyDescent="0.3">
      <c r="A2275" t="s">
        <v>394</v>
      </c>
      <c r="B2275" s="23" t="s">
        <v>27</v>
      </c>
      <c r="C2275" s="23" t="s">
        <v>41</v>
      </c>
      <c r="D2275" s="24"/>
      <c r="E2275" s="24"/>
      <c r="F2275" s="23"/>
    </row>
    <row r="2276" spans="1:6" x14ac:dyDescent="0.3">
      <c r="A2276" t="s">
        <v>394</v>
      </c>
      <c r="B2276" s="23" t="s">
        <v>44</v>
      </c>
      <c r="C2276" s="23" t="s">
        <v>45</v>
      </c>
      <c r="D2276" s="24"/>
      <c r="E2276" s="24"/>
      <c r="F2276" s="23"/>
    </row>
    <row r="2277" spans="1:6" x14ac:dyDescent="0.3">
      <c r="A2277" t="s">
        <v>394</v>
      </c>
      <c r="B2277" s="23" t="s">
        <v>21</v>
      </c>
      <c r="C2277" s="23" t="s">
        <v>46</v>
      </c>
      <c r="D2277" s="24"/>
      <c r="E2277" s="24"/>
      <c r="F2277" s="23"/>
    </row>
    <row r="2278" spans="1:6" x14ac:dyDescent="0.3">
      <c r="A2278" t="s">
        <v>394</v>
      </c>
      <c r="B2278" s="23" t="s">
        <v>47</v>
      </c>
      <c r="C2278" s="23" t="s">
        <v>18</v>
      </c>
      <c r="D2278" s="24"/>
      <c r="E2278" s="24"/>
      <c r="F2278" s="23"/>
    </row>
    <row r="2279" spans="1:6" x14ac:dyDescent="0.3">
      <c r="A2279" t="s">
        <v>394</v>
      </c>
      <c r="B2279" s="23" t="s">
        <v>48</v>
      </c>
      <c r="C2279" s="23" t="s">
        <v>49</v>
      </c>
      <c r="D2279" s="24"/>
      <c r="E2279" s="24"/>
      <c r="F2279" s="23"/>
    </row>
    <row r="2280" spans="1:6" x14ac:dyDescent="0.3">
      <c r="A2280" t="s">
        <v>394</v>
      </c>
      <c r="B2280" s="23" t="s">
        <v>50</v>
      </c>
      <c r="C2280" s="23" t="s">
        <v>51</v>
      </c>
      <c r="D2280" s="24"/>
      <c r="E2280" s="24"/>
      <c r="F2280" s="23"/>
    </row>
    <row r="2281" spans="1:6" x14ac:dyDescent="0.3">
      <c r="A2281" t="s">
        <v>394</v>
      </c>
      <c r="B2281" s="23" t="s">
        <v>64</v>
      </c>
      <c r="C2281" s="23" t="s">
        <v>55</v>
      </c>
      <c r="D2281" s="24">
        <v>0.29166666666666669</v>
      </c>
      <c r="E2281" s="24">
        <v>0.33333333333333298</v>
      </c>
      <c r="F2281" s="23" t="s">
        <v>617</v>
      </c>
    </row>
    <row r="2282" spans="1:6" x14ac:dyDescent="0.3">
      <c r="A2282" t="s">
        <v>394</v>
      </c>
      <c r="B2282" s="23" t="s">
        <v>63</v>
      </c>
      <c r="C2282" s="23" t="s">
        <v>55</v>
      </c>
      <c r="D2282" s="24">
        <v>0.749999999999999</v>
      </c>
      <c r="E2282" s="24">
        <v>0.79166666666666496</v>
      </c>
      <c r="F2282" s="23" t="s">
        <v>395</v>
      </c>
    </row>
    <row r="2283" spans="1:6" x14ac:dyDescent="0.3">
      <c r="A2283" t="s">
        <v>394</v>
      </c>
      <c r="B2283" s="23" t="s">
        <v>33</v>
      </c>
      <c r="C2283" s="23" t="s">
        <v>43</v>
      </c>
      <c r="D2283" s="24"/>
      <c r="E2283" s="24"/>
      <c r="F2283" s="23"/>
    </row>
    <row r="2284" spans="1:6" x14ac:dyDescent="0.3">
      <c r="A2284" t="s">
        <v>394</v>
      </c>
      <c r="B2284" s="23" t="s">
        <v>66</v>
      </c>
      <c r="C2284" s="23" t="s">
        <v>30</v>
      </c>
      <c r="D2284" s="24"/>
      <c r="E2284" s="24"/>
      <c r="F2284" s="23"/>
    </row>
    <row r="2285" spans="1:6" x14ac:dyDescent="0.3">
      <c r="A2285" t="s">
        <v>392</v>
      </c>
      <c r="B2285" s="23" t="s">
        <v>50</v>
      </c>
      <c r="C2285" s="23" t="s">
        <v>13</v>
      </c>
      <c r="D2285" s="24"/>
      <c r="E2285" s="24"/>
      <c r="F2285" s="23"/>
    </row>
    <row r="2286" spans="1:6" x14ac:dyDescent="0.3">
      <c r="A2286" t="s">
        <v>392</v>
      </c>
      <c r="B2286" s="23" t="s">
        <v>34</v>
      </c>
      <c r="C2286" s="23" t="s">
        <v>15</v>
      </c>
      <c r="D2286" s="24"/>
      <c r="E2286" s="24"/>
      <c r="F2286" s="23"/>
    </row>
    <row r="2287" spans="1:6" x14ac:dyDescent="0.3">
      <c r="A2287" t="s">
        <v>392</v>
      </c>
      <c r="B2287" s="23" t="s">
        <v>52</v>
      </c>
      <c r="C2287" s="23" t="s">
        <v>8</v>
      </c>
      <c r="D2287" s="24"/>
      <c r="E2287" s="24"/>
      <c r="F2287" s="23"/>
    </row>
    <row r="2288" spans="1:6" x14ac:dyDescent="0.3">
      <c r="A2288" t="s">
        <v>392</v>
      </c>
      <c r="B2288" s="23" t="s">
        <v>40</v>
      </c>
      <c r="C2288" s="23" t="s">
        <v>13</v>
      </c>
      <c r="D2288" s="24"/>
      <c r="E2288" s="24"/>
      <c r="F2288" s="23"/>
    </row>
    <row r="2289" spans="1:6" x14ac:dyDescent="0.3">
      <c r="A2289" t="s">
        <v>392</v>
      </c>
      <c r="B2289" s="23" t="s">
        <v>42</v>
      </c>
      <c r="C2289" s="23" t="s">
        <v>8</v>
      </c>
      <c r="D2289" s="24"/>
      <c r="E2289" s="24"/>
      <c r="F2289" s="23"/>
    </row>
    <row r="2290" spans="1:6" x14ac:dyDescent="0.3">
      <c r="A2290" t="s">
        <v>392</v>
      </c>
      <c r="B2290" s="23" t="s">
        <v>38</v>
      </c>
      <c r="C2290" s="23" t="s">
        <v>10</v>
      </c>
      <c r="D2290" s="24"/>
      <c r="E2290" s="24"/>
      <c r="F2290" s="23"/>
    </row>
    <row r="2291" spans="1:6" x14ac:dyDescent="0.3">
      <c r="A2291" t="s">
        <v>392</v>
      </c>
      <c r="B2291" s="23" t="s">
        <v>103</v>
      </c>
      <c r="C2291" s="23" t="s">
        <v>10</v>
      </c>
      <c r="D2291" s="24"/>
      <c r="E2291" s="24"/>
      <c r="F2291" s="23"/>
    </row>
    <row r="2292" spans="1:6" x14ac:dyDescent="0.3">
      <c r="A2292" t="s">
        <v>392</v>
      </c>
      <c r="B2292" s="23" t="s">
        <v>79</v>
      </c>
      <c r="C2292" s="23" t="s">
        <v>10</v>
      </c>
      <c r="D2292" s="24"/>
      <c r="E2292" s="24"/>
      <c r="F2292" s="23"/>
    </row>
    <row r="2293" spans="1:6" x14ac:dyDescent="0.3">
      <c r="A2293" t="s">
        <v>392</v>
      </c>
      <c r="B2293" s="23" t="s">
        <v>35</v>
      </c>
      <c r="C2293" s="23" t="s">
        <v>41</v>
      </c>
      <c r="D2293" s="24"/>
      <c r="E2293" s="24"/>
      <c r="F2293" s="23"/>
    </row>
    <row r="2294" spans="1:6" x14ac:dyDescent="0.3">
      <c r="A2294" t="s">
        <v>392</v>
      </c>
      <c r="B2294" s="23" t="s">
        <v>62</v>
      </c>
      <c r="C2294" s="23" t="s">
        <v>41</v>
      </c>
      <c r="D2294" s="24"/>
      <c r="E2294" s="24"/>
      <c r="F2294" s="23"/>
    </row>
    <row r="2295" spans="1:6" x14ac:dyDescent="0.3">
      <c r="A2295" t="s">
        <v>392</v>
      </c>
      <c r="B2295" s="23" t="s">
        <v>23</v>
      </c>
      <c r="C2295" s="23" t="s">
        <v>45</v>
      </c>
      <c r="D2295" s="24"/>
      <c r="E2295" s="24"/>
      <c r="F2295" s="23"/>
    </row>
    <row r="2296" spans="1:6" x14ac:dyDescent="0.3">
      <c r="A2296" t="s">
        <v>392</v>
      </c>
      <c r="B2296" s="23" t="s">
        <v>21</v>
      </c>
      <c r="C2296" s="23" t="s">
        <v>46</v>
      </c>
      <c r="D2296" s="24"/>
      <c r="E2296" s="24"/>
      <c r="F2296" s="23"/>
    </row>
    <row r="2297" spans="1:6" x14ac:dyDescent="0.3">
      <c r="A2297" t="s">
        <v>392</v>
      </c>
      <c r="B2297" s="23" t="s">
        <v>47</v>
      </c>
      <c r="C2297" s="23" t="s">
        <v>18</v>
      </c>
      <c r="D2297" s="24"/>
      <c r="E2297" s="24"/>
      <c r="F2297" s="23"/>
    </row>
    <row r="2298" spans="1:6" x14ac:dyDescent="0.3">
      <c r="A2298" t="s">
        <v>392</v>
      </c>
      <c r="B2298" s="23" t="s">
        <v>71</v>
      </c>
      <c r="C2298" s="23" t="s">
        <v>49</v>
      </c>
      <c r="D2298" s="24"/>
      <c r="E2298" s="24"/>
      <c r="F2298" s="23"/>
    </row>
    <row r="2299" spans="1:6" x14ac:dyDescent="0.3">
      <c r="A2299" t="s">
        <v>392</v>
      </c>
      <c r="B2299" s="23" t="s">
        <v>17</v>
      </c>
      <c r="C2299" s="23" t="s">
        <v>51</v>
      </c>
      <c r="D2299" s="24"/>
      <c r="E2299" s="24"/>
      <c r="F2299" s="23"/>
    </row>
    <row r="2300" spans="1:6" x14ac:dyDescent="0.3">
      <c r="A2300" t="s">
        <v>392</v>
      </c>
      <c r="B2300" s="23" t="s">
        <v>14</v>
      </c>
      <c r="C2300" s="23" t="s">
        <v>53</v>
      </c>
      <c r="D2300" s="24">
        <v>0.562499999999999</v>
      </c>
      <c r="E2300" s="24">
        <v>0.60416666666666596</v>
      </c>
      <c r="F2300" s="23" t="s">
        <v>393</v>
      </c>
    </row>
    <row r="2301" spans="1:6" x14ac:dyDescent="0.3">
      <c r="A2301" t="s">
        <v>392</v>
      </c>
      <c r="B2301" s="23" t="s">
        <v>12</v>
      </c>
      <c r="C2301" s="23" t="s">
        <v>24</v>
      </c>
      <c r="D2301" s="24">
        <v>0.54166666666666596</v>
      </c>
      <c r="E2301" s="24">
        <v>0.874999999999998</v>
      </c>
      <c r="F2301" s="23" t="s">
        <v>186</v>
      </c>
    </row>
    <row r="2302" spans="1:6" x14ac:dyDescent="0.3">
      <c r="A2302" t="s">
        <v>392</v>
      </c>
      <c r="B2302" s="23" t="s">
        <v>142</v>
      </c>
      <c r="C2302" s="23" t="s">
        <v>43</v>
      </c>
      <c r="D2302" s="24"/>
      <c r="E2302" s="24"/>
      <c r="F2302" s="23"/>
    </row>
    <row r="2303" spans="1:6" x14ac:dyDescent="0.3">
      <c r="A2303" t="s">
        <v>392</v>
      </c>
      <c r="B2303" s="23" t="s">
        <v>52</v>
      </c>
      <c r="C2303" s="23" t="s">
        <v>30</v>
      </c>
      <c r="D2303" s="24"/>
      <c r="E2303" s="24"/>
      <c r="F2303" s="23"/>
    </row>
    <row r="2304" spans="1:6" x14ac:dyDescent="0.3">
      <c r="A2304" t="s">
        <v>392</v>
      </c>
      <c r="B2304" s="23" t="s">
        <v>73</v>
      </c>
      <c r="C2304" s="23" t="s">
        <v>26</v>
      </c>
      <c r="D2304" s="24">
        <v>0.79166666666666496</v>
      </c>
      <c r="E2304" s="24">
        <v>0.98958333333333104</v>
      </c>
      <c r="F2304" s="23"/>
    </row>
    <row r="2305" spans="1:6" x14ac:dyDescent="0.3">
      <c r="A2305" t="s">
        <v>392</v>
      </c>
      <c r="B2305" s="23" t="s">
        <v>66</v>
      </c>
      <c r="C2305" s="23" t="s">
        <v>30</v>
      </c>
      <c r="D2305" s="24"/>
      <c r="E2305" s="24"/>
      <c r="F2305" s="23"/>
    </row>
    <row r="2306" spans="1:6" x14ac:dyDescent="0.3">
      <c r="A2306" t="s">
        <v>373</v>
      </c>
      <c r="B2306" t="s">
        <v>94</v>
      </c>
      <c r="C2306" t="s">
        <v>13</v>
      </c>
      <c r="D2306" s="2"/>
      <c r="E2306" s="2"/>
    </row>
    <row r="2307" spans="1:6" x14ac:dyDescent="0.3">
      <c r="A2307" t="s">
        <v>373</v>
      </c>
      <c r="B2307" s="23" t="s">
        <v>68</v>
      </c>
      <c r="C2307" s="23" t="s">
        <v>8</v>
      </c>
      <c r="D2307" s="24"/>
      <c r="E2307" s="24"/>
      <c r="F2307" s="23"/>
    </row>
    <row r="2308" spans="1:6" x14ac:dyDescent="0.3">
      <c r="A2308" t="s">
        <v>373</v>
      </c>
      <c r="B2308" s="23" t="s">
        <v>47</v>
      </c>
      <c r="C2308" s="23" t="s">
        <v>78</v>
      </c>
      <c r="D2308" s="24"/>
      <c r="E2308" s="24"/>
      <c r="F2308" s="23"/>
    </row>
    <row r="2309" spans="1:6" x14ac:dyDescent="0.3">
      <c r="A2309" t="s">
        <v>373</v>
      </c>
      <c r="B2309" s="23" t="s">
        <v>36</v>
      </c>
      <c r="C2309" s="23" t="s">
        <v>13</v>
      </c>
      <c r="D2309" s="24"/>
      <c r="E2309" s="24"/>
      <c r="F2309" s="23"/>
    </row>
    <row r="2310" spans="1:6" x14ac:dyDescent="0.3">
      <c r="A2310" t="s">
        <v>373</v>
      </c>
      <c r="B2310" s="23" t="s">
        <v>98</v>
      </c>
      <c r="C2310" s="23" t="s">
        <v>8</v>
      </c>
      <c r="D2310" s="24"/>
      <c r="E2310" s="24"/>
      <c r="F2310" s="23"/>
    </row>
    <row r="2311" spans="1:6" x14ac:dyDescent="0.3">
      <c r="A2311" t="s">
        <v>373</v>
      </c>
      <c r="B2311" s="23" t="s">
        <v>80</v>
      </c>
      <c r="C2311" s="23" t="s">
        <v>78</v>
      </c>
      <c r="D2311" s="24"/>
      <c r="E2311" s="24"/>
      <c r="F2311" s="23"/>
    </row>
    <row r="2312" spans="1:6" x14ac:dyDescent="0.3">
      <c r="A2312" t="s">
        <v>373</v>
      </c>
      <c r="B2312" s="23" t="s">
        <v>38</v>
      </c>
      <c r="C2312" s="23" t="s">
        <v>10</v>
      </c>
      <c r="D2312" s="24"/>
      <c r="E2312" s="24"/>
      <c r="F2312" s="23"/>
    </row>
    <row r="2313" spans="1:6" x14ac:dyDescent="0.3">
      <c r="A2313" t="s">
        <v>373</v>
      </c>
      <c r="B2313" s="23" t="s">
        <v>103</v>
      </c>
      <c r="C2313" s="23" t="s">
        <v>10</v>
      </c>
      <c r="D2313" s="24"/>
      <c r="E2313" s="24"/>
      <c r="F2313" s="23"/>
    </row>
    <row r="2314" spans="1:6" x14ac:dyDescent="0.3">
      <c r="A2314" t="s">
        <v>373</v>
      </c>
      <c r="B2314" s="23" t="s">
        <v>79</v>
      </c>
      <c r="C2314" s="23" t="s">
        <v>10</v>
      </c>
      <c r="D2314" s="24"/>
      <c r="E2314" s="24"/>
      <c r="F2314" s="23"/>
    </row>
    <row r="2315" spans="1:6" x14ac:dyDescent="0.3">
      <c r="A2315" t="s">
        <v>373</v>
      </c>
      <c r="B2315" s="23" t="s">
        <v>112</v>
      </c>
      <c r="C2315" s="23" t="s">
        <v>10</v>
      </c>
      <c r="D2315" s="24"/>
      <c r="E2315" s="24"/>
      <c r="F2315" s="23"/>
    </row>
    <row r="2316" spans="1:6" x14ac:dyDescent="0.3">
      <c r="A2316" t="s">
        <v>373</v>
      </c>
      <c r="B2316" s="23" t="s">
        <v>62</v>
      </c>
      <c r="C2316" s="23" t="s">
        <v>41</v>
      </c>
      <c r="D2316" s="24"/>
      <c r="E2316" s="24"/>
      <c r="F2316" s="23"/>
    </row>
    <row r="2317" spans="1:6" x14ac:dyDescent="0.3">
      <c r="A2317" t="s">
        <v>373</v>
      </c>
      <c r="B2317" s="23" t="s">
        <v>9</v>
      </c>
      <c r="C2317" s="23" t="s">
        <v>41</v>
      </c>
      <c r="D2317" s="24"/>
      <c r="E2317" s="24"/>
      <c r="F2317" s="23"/>
    </row>
    <row r="2318" spans="1:6" x14ac:dyDescent="0.3">
      <c r="A2318" t="s">
        <v>373</v>
      </c>
      <c r="B2318" s="23" t="s">
        <v>66</v>
      </c>
      <c r="C2318" s="23" t="s">
        <v>45</v>
      </c>
      <c r="D2318" s="24"/>
      <c r="E2318" s="24"/>
      <c r="F2318" s="23"/>
    </row>
    <row r="2319" spans="1:6" x14ac:dyDescent="0.3">
      <c r="A2319" t="s">
        <v>373</v>
      </c>
      <c r="B2319" s="23" t="s">
        <v>68</v>
      </c>
      <c r="C2319" s="23" t="s">
        <v>46</v>
      </c>
      <c r="D2319" s="24"/>
      <c r="E2319" s="24"/>
      <c r="F2319" s="23"/>
    </row>
    <row r="2320" spans="1:6" x14ac:dyDescent="0.3">
      <c r="A2320" t="s">
        <v>373</v>
      </c>
      <c r="B2320" s="23" t="s">
        <v>72</v>
      </c>
      <c r="C2320" s="23" t="s">
        <v>18</v>
      </c>
      <c r="D2320" s="24"/>
      <c r="E2320" s="24"/>
      <c r="F2320" s="23"/>
    </row>
    <row r="2321" spans="1:6" x14ac:dyDescent="0.3">
      <c r="A2321" t="s">
        <v>373</v>
      </c>
      <c r="B2321" s="23" t="s">
        <v>48</v>
      </c>
      <c r="C2321" s="23" t="s">
        <v>49</v>
      </c>
      <c r="D2321" s="24"/>
      <c r="E2321" s="24"/>
      <c r="F2321" s="23"/>
    </row>
    <row r="2322" spans="1:6" x14ac:dyDescent="0.3">
      <c r="A2322" t="s">
        <v>373</v>
      </c>
      <c r="B2322" s="23" t="s">
        <v>73</v>
      </c>
      <c r="C2322" s="23" t="s">
        <v>51</v>
      </c>
      <c r="D2322" s="24"/>
      <c r="E2322" s="24"/>
      <c r="F2322" s="23"/>
    </row>
    <row r="2323" spans="1:6" x14ac:dyDescent="0.3">
      <c r="A2323" t="s">
        <v>396</v>
      </c>
      <c r="B2323" t="s">
        <v>33</v>
      </c>
      <c r="C2323" t="s">
        <v>13</v>
      </c>
      <c r="D2323" s="2"/>
      <c r="E2323" s="2"/>
    </row>
    <row r="2324" spans="1:6" x14ac:dyDescent="0.3">
      <c r="A2324" t="s">
        <v>396</v>
      </c>
      <c r="B2324" s="23" t="s">
        <v>73</v>
      </c>
      <c r="C2324" s="23" t="s">
        <v>15</v>
      </c>
      <c r="D2324" s="24"/>
      <c r="E2324" s="24"/>
      <c r="F2324" s="23"/>
    </row>
    <row r="2325" spans="1:6" x14ac:dyDescent="0.3">
      <c r="A2325" t="s">
        <v>396</v>
      </c>
      <c r="B2325" s="23" t="s">
        <v>52</v>
      </c>
      <c r="C2325" s="23" t="s">
        <v>8</v>
      </c>
      <c r="D2325" s="24"/>
      <c r="E2325" s="24"/>
      <c r="F2325" s="23"/>
    </row>
    <row r="2326" spans="1:6" x14ac:dyDescent="0.3">
      <c r="A2326" t="s">
        <v>396</v>
      </c>
      <c r="B2326" s="23" t="s">
        <v>62</v>
      </c>
      <c r="C2326" s="23" t="s">
        <v>13</v>
      </c>
      <c r="D2326" s="24"/>
      <c r="E2326" s="24"/>
      <c r="F2326" s="23"/>
    </row>
    <row r="2327" spans="1:6" x14ac:dyDescent="0.3">
      <c r="A2327" t="s">
        <v>396</v>
      </c>
      <c r="B2327" s="23" t="s">
        <v>9</v>
      </c>
      <c r="C2327" s="23" t="s">
        <v>8</v>
      </c>
      <c r="D2327" s="24"/>
      <c r="E2327" s="24"/>
      <c r="F2327" s="23"/>
    </row>
    <row r="2328" spans="1:6" x14ac:dyDescent="0.3">
      <c r="A2328" t="s">
        <v>396</v>
      </c>
      <c r="B2328" s="23" t="s">
        <v>38</v>
      </c>
      <c r="C2328" s="23" t="s">
        <v>10</v>
      </c>
      <c r="D2328" s="24"/>
      <c r="E2328" s="24"/>
      <c r="F2328" s="23"/>
    </row>
    <row r="2329" spans="1:6" x14ac:dyDescent="0.3">
      <c r="A2329" t="s">
        <v>396</v>
      </c>
      <c r="B2329" s="23" t="s">
        <v>103</v>
      </c>
      <c r="C2329" s="23" t="s">
        <v>10</v>
      </c>
      <c r="D2329" s="24"/>
      <c r="E2329" s="24"/>
      <c r="F2329" s="23"/>
    </row>
    <row r="2330" spans="1:6" x14ac:dyDescent="0.3">
      <c r="A2330" t="s">
        <v>396</v>
      </c>
      <c r="B2330" s="23" t="s">
        <v>79</v>
      </c>
      <c r="C2330" s="23" t="s">
        <v>10</v>
      </c>
      <c r="D2330" s="24"/>
      <c r="E2330" s="24"/>
      <c r="F2330" s="23"/>
    </row>
    <row r="2331" spans="1:6" x14ac:dyDescent="0.3">
      <c r="A2331" t="s">
        <v>396</v>
      </c>
      <c r="B2331" s="23" t="s">
        <v>112</v>
      </c>
      <c r="C2331" s="23" t="s">
        <v>10</v>
      </c>
      <c r="D2331" s="24"/>
      <c r="E2331" s="24"/>
      <c r="F2331" s="23"/>
    </row>
    <row r="2332" spans="1:6" x14ac:dyDescent="0.3">
      <c r="A2332" t="s">
        <v>396</v>
      </c>
      <c r="B2332" s="23" t="s">
        <v>57</v>
      </c>
      <c r="C2332" s="23" t="s">
        <v>41</v>
      </c>
      <c r="D2332" s="24"/>
      <c r="E2332" s="24"/>
      <c r="F2332" s="23"/>
    </row>
    <row r="2333" spans="1:6" x14ac:dyDescent="0.3">
      <c r="A2333" t="s">
        <v>396</v>
      </c>
      <c r="B2333" s="23" t="s">
        <v>97</v>
      </c>
      <c r="C2333" s="23" t="s">
        <v>41</v>
      </c>
      <c r="D2333" s="24"/>
      <c r="E2333" s="24"/>
      <c r="F2333" s="23"/>
    </row>
    <row r="2334" spans="1:6" x14ac:dyDescent="0.3">
      <c r="A2334" t="s">
        <v>396</v>
      </c>
      <c r="B2334" s="23" t="s">
        <v>23</v>
      </c>
      <c r="C2334" s="23" t="s">
        <v>45</v>
      </c>
      <c r="D2334" s="24"/>
      <c r="E2334" s="24"/>
      <c r="F2334" s="23"/>
    </row>
    <row r="2335" spans="1:6" x14ac:dyDescent="0.3">
      <c r="A2335" t="s">
        <v>396</v>
      </c>
      <c r="B2335" s="23" t="s">
        <v>16</v>
      </c>
      <c r="C2335" s="23" t="s">
        <v>46</v>
      </c>
      <c r="D2335" s="24"/>
      <c r="E2335" s="24"/>
      <c r="F2335" s="23"/>
    </row>
    <row r="2336" spans="1:6" x14ac:dyDescent="0.3">
      <c r="A2336" t="s">
        <v>396</v>
      </c>
      <c r="B2336" s="23" t="s">
        <v>94</v>
      </c>
      <c r="C2336" s="23" t="s">
        <v>18</v>
      </c>
      <c r="D2336" s="24"/>
      <c r="E2336" s="24"/>
      <c r="F2336" s="23"/>
    </row>
    <row r="2337" spans="1:6" x14ac:dyDescent="0.3">
      <c r="A2337" t="s">
        <v>396</v>
      </c>
      <c r="B2337" s="23" t="s">
        <v>48</v>
      </c>
      <c r="C2337" s="23" t="s">
        <v>49</v>
      </c>
      <c r="D2337" s="24"/>
      <c r="E2337" s="24"/>
      <c r="F2337" s="23"/>
    </row>
    <row r="2338" spans="1:6" x14ac:dyDescent="0.3">
      <c r="A2338" t="s">
        <v>396</v>
      </c>
      <c r="B2338" s="23" t="s">
        <v>75</v>
      </c>
      <c r="C2338" s="23" t="s">
        <v>51</v>
      </c>
      <c r="D2338" s="24"/>
      <c r="E2338" s="24"/>
      <c r="F2338" s="23"/>
    </row>
    <row r="2339" spans="1:6" x14ac:dyDescent="0.3">
      <c r="A2339" t="s">
        <v>396</v>
      </c>
      <c r="B2339" s="23" t="s">
        <v>37</v>
      </c>
      <c r="C2339" s="23" t="s">
        <v>43</v>
      </c>
      <c r="D2339" s="24"/>
      <c r="E2339" s="24"/>
      <c r="F2339" s="23"/>
    </row>
    <row r="2340" spans="1:6" x14ac:dyDescent="0.3">
      <c r="A2340" t="s">
        <v>396</v>
      </c>
      <c r="B2340" s="23" t="s">
        <v>63</v>
      </c>
      <c r="C2340" s="23" t="s">
        <v>26</v>
      </c>
      <c r="D2340" s="24">
        <v>0.29166666666666669</v>
      </c>
      <c r="E2340" s="24">
        <v>0.41666666666666702</v>
      </c>
      <c r="F2340" s="23"/>
    </row>
    <row r="2341" spans="1:6" x14ac:dyDescent="0.3">
      <c r="A2341" t="s">
        <v>396</v>
      </c>
      <c r="B2341" s="23" t="s">
        <v>14</v>
      </c>
      <c r="C2341" s="23" t="s">
        <v>26</v>
      </c>
      <c r="D2341" s="24">
        <v>0.66666666666666596</v>
      </c>
      <c r="E2341" s="24">
        <v>0.79166666666666496</v>
      </c>
      <c r="F2341" s="23"/>
    </row>
    <row r="2342" spans="1:6" x14ac:dyDescent="0.3">
      <c r="A2342" t="s">
        <v>396</v>
      </c>
      <c r="B2342" s="23" t="s">
        <v>16</v>
      </c>
      <c r="C2342" s="23" t="s">
        <v>26</v>
      </c>
      <c r="D2342" s="24">
        <v>0.29166666666666669</v>
      </c>
      <c r="E2342" s="24">
        <v>0.41666666666666702</v>
      </c>
      <c r="F2342" s="23"/>
    </row>
    <row r="2343" spans="1:6" x14ac:dyDescent="0.3">
      <c r="A2343" t="s">
        <v>396</v>
      </c>
      <c r="B2343" s="23" t="s">
        <v>47</v>
      </c>
      <c r="C2343" s="23" t="s">
        <v>30</v>
      </c>
      <c r="D2343" s="24"/>
      <c r="E2343" s="24"/>
      <c r="F2343" s="23"/>
    </row>
    <row r="2344" spans="1:6" x14ac:dyDescent="0.3">
      <c r="A2344" t="s">
        <v>396</v>
      </c>
      <c r="B2344" s="23" t="s">
        <v>32</v>
      </c>
      <c r="C2344" s="23" t="s">
        <v>30</v>
      </c>
      <c r="D2344" s="24"/>
      <c r="E2344" s="24"/>
      <c r="F2344" s="23"/>
    </row>
    <row r="2345" spans="1:6" x14ac:dyDescent="0.3">
      <c r="A2345" t="s">
        <v>396</v>
      </c>
      <c r="B2345" s="23" t="s">
        <v>66</v>
      </c>
      <c r="C2345" s="23" t="s">
        <v>30</v>
      </c>
      <c r="D2345" s="24"/>
      <c r="E2345" s="24"/>
      <c r="F2345" s="23"/>
    </row>
    <row r="2346" spans="1:6" x14ac:dyDescent="0.3">
      <c r="A2346" t="s">
        <v>396</v>
      </c>
      <c r="B2346" s="23" t="s">
        <v>71</v>
      </c>
      <c r="C2346" s="23" t="s">
        <v>26</v>
      </c>
      <c r="D2346" s="24">
        <v>0.54166666666666596</v>
      </c>
      <c r="E2346" s="24">
        <v>0.66666666666666596</v>
      </c>
      <c r="F2346" s="23"/>
    </row>
    <row r="2347" spans="1:6" x14ac:dyDescent="0.3">
      <c r="A2347" t="s">
        <v>396</v>
      </c>
      <c r="B2347" s="23" t="s">
        <v>23</v>
      </c>
      <c r="C2347" s="23" t="s">
        <v>53</v>
      </c>
      <c r="D2347" s="24">
        <v>0.375</v>
      </c>
      <c r="E2347" s="24">
        <v>0.41666666666666702</v>
      </c>
      <c r="F2347" s="23" t="s">
        <v>624</v>
      </c>
    </row>
    <row r="2348" spans="1:6" x14ac:dyDescent="0.3">
      <c r="A2348" t="s">
        <v>396</v>
      </c>
      <c r="B2348" s="23" t="s">
        <v>73</v>
      </c>
      <c r="C2348" s="23" t="s">
        <v>53</v>
      </c>
      <c r="D2348" s="24">
        <v>0.375</v>
      </c>
      <c r="E2348" s="24">
        <v>0.41666666666666702</v>
      </c>
      <c r="F2348" s="23" t="s">
        <v>624</v>
      </c>
    </row>
    <row r="2349" spans="1:6" x14ac:dyDescent="0.3">
      <c r="A2349" t="s">
        <v>396</v>
      </c>
      <c r="B2349" s="23" t="s">
        <v>142</v>
      </c>
      <c r="C2349" s="23" t="s">
        <v>124</v>
      </c>
      <c r="D2349" s="24">
        <v>0.79166666666666496</v>
      </c>
      <c r="E2349" s="24">
        <v>0.83333333333333204</v>
      </c>
      <c r="F2349" s="23" t="s">
        <v>625</v>
      </c>
    </row>
    <row r="2350" spans="1:6" x14ac:dyDescent="0.3">
      <c r="A2350" t="s">
        <v>397</v>
      </c>
      <c r="B2350" t="s">
        <v>63</v>
      </c>
      <c r="C2350" t="s">
        <v>13</v>
      </c>
      <c r="D2350" s="2"/>
      <c r="E2350" s="2"/>
    </row>
    <row r="2351" spans="1:6" x14ac:dyDescent="0.3">
      <c r="A2351" t="s">
        <v>397</v>
      </c>
      <c r="B2351" s="23" t="s">
        <v>50</v>
      </c>
      <c r="C2351" s="23" t="s">
        <v>15</v>
      </c>
      <c r="D2351" s="24"/>
      <c r="E2351" s="24"/>
      <c r="F2351" s="23"/>
    </row>
    <row r="2352" spans="1:6" x14ac:dyDescent="0.3">
      <c r="A2352" t="s">
        <v>397</v>
      </c>
      <c r="B2352" s="23" t="s">
        <v>85</v>
      </c>
      <c r="C2352" s="23" t="s">
        <v>8</v>
      </c>
      <c r="D2352" s="24"/>
      <c r="E2352" s="24"/>
      <c r="F2352" s="23"/>
    </row>
    <row r="2353" spans="1:6" x14ac:dyDescent="0.3">
      <c r="A2353" t="s">
        <v>397</v>
      </c>
      <c r="B2353" s="23" t="s">
        <v>61</v>
      </c>
      <c r="C2353" s="23" t="s">
        <v>13</v>
      </c>
      <c r="D2353" s="24"/>
      <c r="E2353" s="24"/>
      <c r="F2353" s="23"/>
    </row>
    <row r="2354" spans="1:6" x14ac:dyDescent="0.3">
      <c r="A2354" t="s">
        <v>397</v>
      </c>
      <c r="B2354" s="23" t="s">
        <v>39</v>
      </c>
      <c r="C2354" s="23" t="s">
        <v>8</v>
      </c>
      <c r="D2354" s="24"/>
      <c r="E2354" s="24"/>
      <c r="F2354" s="23"/>
    </row>
    <row r="2355" spans="1:6" x14ac:dyDescent="0.3">
      <c r="A2355" t="s">
        <v>397</v>
      </c>
      <c r="B2355" s="23" t="s">
        <v>38</v>
      </c>
      <c r="C2355" s="23" t="s">
        <v>10</v>
      </c>
      <c r="D2355" s="24"/>
      <c r="E2355" s="24"/>
      <c r="F2355" s="23"/>
    </row>
    <row r="2356" spans="1:6" x14ac:dyDescent="0.3">
      <c r="A2356" t="s">
        <v>397</v>
      </c>
      <c r="B2356" s="23" t="s">
        <v>103</v>
      </c>
      <c r="C2356" s="23" t="s">
        <v>10</v>
      </c>
      <c r="D2356" s="24"/>
      <c r="E2356" s="24"/>
      <c r="F2356" s="23"/>
    </row>
    <row r="2357" spans="1:6" x14ac:dyDescent="0.3">
      <c r="A2357" t="s">
        <v>397</v>
      </c>
      <c r="B2357" s="23" t="s">
        <v>79</v>
      </c>
      <c r="C2357" s="23" t="s">
        <v>10</v>
      </c>
      <c r="D2357" s="24"/>
      <c r="E2357" s="24"/>
      <c r="F2357" s="23"/>
    </row>
    <row r="2358" spans="1:6" x14ac:dyDescent="0.3">
      <c r="A2358" t="s">
        <v>397</v>
      </c>
      <c r="B2358" s="23" t="s">
        <v>112</v>
      </c>
      <c r="C2358" s="23" t="s">
        <v>10</v>
      </c>
      <c r="D2358" s="24"/>
      <c r="E2358" s="24"/>
      <c r="F2358" s="23"/>
    </row>
    <row r="2359" spans="1:6" x14ac:dyDescent="0.3">
      <c r="A2359" t="s">
        <v>397</v>
      </c>
      <c r="B2359" s="23" t="s">
        <v>36</v>
      </c>
      <c r="C2359" s="23" t="s">
        <v>41</v>
      </c>
      <c r="D2359" s="24"/>
      <c r="E2359" s="24"/>
      <c r="F2359" s="23"/>
    </row>
    <row r="2360" spans="1:6" x14ac:dyDescent="0.3">
      <c r="A2360" t="s">
        <v>397</v>
      </c>
      <c r="B2360" s="23" t="s">
        <v>98</v>
      </c>
      <c r="C2360" s="23" t="s">
        <v>41</v>
      </c>
      <c r="D2360" s="24"/>
      <c r="E2360" s="24"/>
      <c r="F2360" s="23"/>
    </row>
    <row r="2361" spans="1:6" x14ac:dyDescent="0.3">
      <c r="A2361" t="s">
        <v>397</v>
      </c>
      <c r="B2361" s="23" t="s">
        <v>52</v>
      </c>
      <c r="C2361" s="23" t="s">
        <v>45</v>
      </c>
      <c r="D2361" s="24"/>
      <c r="E2361" s="24"/>
      <c r="F2361" s="23"/>
    </row>
    <row r="2362" spans="1:6" x14ac:dyDescent="0.3">
      <c r="A2362" t="s">
        <v>397</v>
      </c>
      <c r="B2362" s="23" t="s">
        <v>14</v>
      </c>
      <c r="C2362" s="23" t="s">
        <v>46</v>
      </c>
      <c r="D2362" s="24"/>
      <c r="E2362" s="24"/>
      <c r="F2362" s="23"/>
    </row>
    <row r="2363" spans="1:6" x14ac:dyDescent="0.3">
      <c r="A2363" t="s">
        <v>397</v>
      </c>
      <c r="B2363" s="23" t="s">
        <v>32</v>
      </c>
      <c r="C2363" s="23" t="s">
        <v>18</v>
      </c>
      <c r="D2363" s="24"/>
      <c r="E2363" s="24"/>
      <c r="F2363" s="23"/>
    </row>
    <row r="2364" spans="1:6" x14ac:dyDescent="0.3">
      <c r="A2364" t="s">
        <v>397</v>
      </c>
      <c r="B2364" s="23" t="s">
        <v>48</v>
      </c>
      <c r="C2364" s="23" t="s">
        <v>49</v>
      </c>
      <c r="D2364" s="24"/>
      <c r="E2364" s="24"/>
      <c r="F2364" s="23"/>
    </row>
    <row r="2365" spans="1:6" x14ac:dyDescent="0.3">
      <c r="A2365" t="s">
        <v>397</v>
      </c>
      <c r="B2365" s="23" t="s">
        <v>34</v>
      </c>
      <c r="C2365" s="23" t="s">
        <v>51</v>
      </c>
      <c r="D2365" s="24"/>
      <c r="E2365" s="24"/>
      <c r="F2365" s="23"/>
    </row>
    <row r="2366" spans="1:6" x14ac:dyDescent="0.3">
      <c r="A2366" t="s">
        <v>397</v>
      </c>
      <c r="B2366" s="23" t="s">
        <v>64</v>
      </c>
      <c r="C2366" s="23" t="s">
        <v>43</v>
      </c>
      <c r="D2366" s="24"/>
      <c r="E2366" s="24"/>
      <c r="F2366" s="23"/>
    </row>
    <row r="2367" spans="1:6" x14ac:dyDescent="0.3">
      <c r="A2367" t="s">
        <v>397</v>
      </c>
      <c r="B2367" s="23" t="s">
        <v>37</v>
      </c>
      <c r="C2367" s="23" t="s">
        <v>26</v>
      </c>
      <c r="D2367" s="24">
        <v>0.29166666666666669</v>
      </c>
      <c r="E2367" s="24">
        <v>0.41666666666666702</v>
      </c>
      <c r="F2367" s="23"/>
    </row>
    <row r="2368" spans="1:6" x14ac:dyDescent="0.3">
      <c r="A2368" t="s">
        <v>397</v>
      </c>
      <c r="B2368" s="23" t="s">
        <v>37</v>
      </c>
      <c r="C2368" s="23" t="s">
        <v>26</v>
      </c>
      <c r="D2368" s="24">
        <v>0.41666666666666702</v>
      </c>
      <c r="E2368" s="24">
        <v>0.54166666666666596</v>
      </c>
      <c r="F2368" s="23"/>
    </row>
    <row r="2369" spans="1:6" x14ac:dyDescent="0.3">
      <c r="A2369" t="s">
        <v>397</v>
      </c>
      <c r="B2369" s="23" t="s">
        <v>84</v>
      </c>
      <c r="C2369" s="23" t="s">
        <v>26</v>
      </c>
      <c r="D2369" s="24">
        <v>0.29166666666666669</v>
      </c>
      <c r="E2369" s="24">
        <v>0.41666666666666702</v>
      </c>
      <c r="F2369" s="23"/>
    </row>
    <row r="2370" spans="1:6" x14ac:dyDescent="0.3">
      <c r="A2370" t="s">
        <v>397</v>
      </c>
      <c r="B2370" s="23" t="s">
        <v>12</v>
      </c>
      <c r="C2370" s="23" t="s">
        <v>22</v>
      </c>
      <c r="D2370" s="24">
        <v>0.29166666666666669</v>
      </c>
      <c r="E2370" s="24">
        <v>0.5</v>
      </c>
      <c r="F2370" s="23"/>
    </row>
    <row r="2371" spans="1:6" x14ac:dyDescent="0.3">
      <c r="A2371" t="s">
        <v>397</v>
      </c>
      <c r="B2371" s="23" t="s">
        <v>71</v>
      </c>
      <c r="C2371" s="23" t="s">
        <v>26</v>
      </c>
      <c r="D2371" s="24">
        <v>0.79166666666666496</v>
      </c>
      <c r="E2371" s="24">
        <v>0.98958333333333104</v>
      </c>
      <c r="F2371" s="23"/>
    </row>
    <row r="2372" spans="1:6" x14ac:dyDescent="0.3">
      <c r="A2372" t="s">
        <v>398</v>
      </c>
      <c r="B2372" t="s">
        <v>37</v>
      </c>
      <c r="C2372" t="s">
        <v>13</v>
      </c>
      <c r="D2372" s="2"/>
      <c r="E2372" s="2"/>
    </row>
    <row r="2373" spans="1:6" x14ac:dyDescent="0.3">
      <c r="A2373" t="s">
        <v>398</v>
      </c>
      <c r="B2373" s="23" t="s">
        <v>48</v>
      </c>
      <c r="C2373" s="23" t="s">
        <v>15</v>
      </c>
      <c r="D2373" s="24"/>
      <c r="E2373" s="24"/>
      <c r="F2373" s="23"/>
    </row>
    <row r="2374" spans="1:6" x14ac:dyDescent="0.3">
      <c r="A2374" t="s">
        <v>398</v>
      </c>
      <c r="B2374" s="23" t="s">
        <v>52</v>
      </c>
      <c r="C2374" s="23" t="s">
        <v>8</v>
      </c>
      <c r="D2374" s="24"/>
      <c r="E2374" s="24"/>
      <c r="F2374" s="23"/>
    </row>
    <row r="2375" spans="1:6" x14ac:dyDescent="0.3">
      <c r="A2375" t="s">
        <v>398</v>
      </c>
      <c r="B2375" s="23" t="s">
        <v>42</v>
      </c>
      <c r="C2375" s="23" t="s">
        <v>13</v>
      </c>
      <c r="D2375" s="24"/>
      <c r="E2375" s="24"/>
      <c r="F2375" s="23"/>
    </row>
    <row r="2376" spans="1:6" x14ac:dyDescent="0.3">
      <c r="A2376" t="s">
        <v>398</v>
      </c>
      <c r="B2376" s="23" t="s">
        <v>57</v>
      </c>
      <c r="C2376" s="23" t="s">
        <v>8</v>
      </c>
      <c r="D2376" s="24"/>
      <c r="E2376" s="24"/>
      <c r="F2376" s="23"/>
    </row>
    <row r="2377" spans="1:6" x14ac:dyDescent="0.3">
      <c r="A2377" t="s">
        <v>398</v>
      </c>
      <c r="B2377" s="23" t="s">
        <v>38</v>
      </c>
      <c r="C2377" s="23" t="s">
        <v>10</v>
      </c>
      <c r="D2377" s="24"/>
      <c r="E2377" s="24"/>
      <c r="F2377" s="23"/>
    </row>
    <row r="2378" spans="1:6" x14ac:dyDescent="0.3">
      <c r="A2378" t="s">
        <v>398</v>
      </c>
      <c r="B2378" s="23" t="s">
        <v>103</v>
      </c>
      <c r="C2378" s="23" t="s">
        <v>10</v>
      </c>
      <c r="D2378" s="24"/>
      <c r="E2378" s="24"/>
      <c r="F2378" s="23"/>
    </row>
    <row r="2379" spans="1:6" x14ac:dyDescent="0.3">
      <c r="A2379" t="s">
        <v>398</v>
      </c>
      <c r="B2379" s="23" t="s">
        <v>79</v>
      </c>
      <c r="C2379" s="23" t="s">
        <v>10</v>
      </c>
      <c r="D2379" s="24"/>
      <c r="E2379" s="24"/>
      <c r="F2379" s="23"/>
    </row>
    <row r="2380" spans="1:6" x14ac:dyDescent="0.3">
      <c r="A2380" t="s">
        <v>398</v>
      </c>
      <c r="B2380" s="23" t="s">
        <v>112</v>
      </c>
      <c r="C2380" s="23" t="s">
        <v>10</v>
      </c>
      <c r="D2380" s="24"/>
      <c r="E2380" s="24"/>
      <c r="F2380" s="23"/>
    </row>
    <row r="2381" spans="1:6" x14ac:dyDescent="0.3">
      <c r="A2381" t="s">
        <v>398</v>
      </c>
      <c r="B2381" s="23" t="s">
        <v>61</v>
      </c>
      <c r="C2381" s="23" t="s">
        <v>41</v>
      </c>
      <c r="D2381" s="24"/>
      <c r="E2381" s="24"/>
      <c r="F2381" s="23"/>
    </row>
    <row r="2382" spans="1:6" x14ac:dyDescent="0.3">
      <c r="A2382" t="s">
        <v>398</v>
      </c>
      <c r="B2382" s="23" t="s">
        <v>39</v>
      </c>
      <c r="C2382" s="23" t="s">
        <v>41</v>
      </c>
      <c r="D2382" s="24"/>
      <c r="E2382" s="24"/>
      <c r="F2382" s="23"/>
    </row>
    <row r="2383" spans="1:6" x14ac:dyDescent="0.3">
      <c r="A2383" t="s">
        <v>398</v>
      </c>
      <c r="B2383" s="23" t="s">
        <v>66</v>
      </c>
      <c r="C2383" s="23" t="s">
        <v>45</v>
      </c>
      <c r="D2383" s="24"/>
      <c r="E2383" s="24"/>
      <c r="F2383" s="23"/>
    </row>
    <row r="2384" spans="1:6" x14ac:dyDescent="0.3">
      <c r="A2384" t="s">
        <v>398</v>
      </c>
      <c r="B2384" s="23" t="s">
        <v>16</v>
      </c>
      <c r="C2384" s="23" t="s">
        <v>46</v>
      </c>
      <c r="D2384" s="24"/>
      <c r="E2384" s="24"/>
      <c r="F2384" s="23"/>
    </row>
    <row r="2385" spans="1:6" x14ac:dyDescent="0.3">
      <c r="A2385" t="s">
        <v>398</v>
      </c>
      <c r="B2385" s="23" t="s">
        <v>63</v>
      </c>
      <c r="C2385" s="23" t="s">
        <v>18</v>
      </c>
      <c r="D2385" s="24"/>
      <c r="E2385" s="24"/>
      <c r="F2385" s="23"/>
    </row>
    <row r="2386" spans="1:6" x14ac:dyDescent="0.3">
      <c r="A2386" t="s">
        <v>398</v>
      </c>
      <c r="B2386" s="23" t="s">
        <v>48</v>
      </c>
      <c r="C2386" s="23" t="s">
        <v>49</v>
      </c>
      <c r="D2386" s="24"/>
      <c r="E2386" s="24"/>
      <c r="F2386" s="23"/>
    </row>
    <row r="2387" spans="1:6" x14ac:dyDescent="0.3">
      <c r="A2387" t="s">
        <v>398</v>
      </c>
      <c r="B2387" s="23" t="s">
        <v>17</v>
      </c>
      <c r="C2387" s="23" t="s">
        <v>51</v>
      </c>
      <c r="D2387" s="24"/>
      <c r="E2387" s="24"/>
      <c r="F2387" s="23"/>
    </row>
    <row r="2388" spans="1:6" x14ac:dyDescent="0.3">
      <c r="A2388" t="s">
        <v>398</v>
      </c>
      <c r="B2388" s="23" t="s">
        <v>142</v>
      </c>
      <c r="C2388" s="23" t="s">
        <v>43</v>
      </c>
      <c r="D2388" s="24"/>
      <c r="E2388" s="24"/>
      <c r="F2388" s="23"/>
    </row>
    <row r="2389" spans="1:6" x14ac:dyDescent="0.3">
      <c r="A2389" t="s">
        <v>398</v>
      </c>
      <c r="B2389" s="23" t="s">
        <v>33</v>
      </c>
      <c r="C2389" s="23" t="s">
        <v>24</v>
      </c>
      <c r="D2389" s="24"/>
      <c r="E2389" s="24"/>
      <c r="F2389" s="23" t="s">
        <v>630</v>
      </c>
    </row>
    <row r="2390" spans="1:6" x14ac:dyDescent="0.3">
      <c r="A2390" t="s">
        <v>398</v>
      </c>
      <c r="B2390" s="23" t="s">
        <v>66</v>
      </c>
      <c r="C2390" s="23" t="s">
        <v>24</v>
      </c>
      <c r="D2390" s="24"/>
      <c r="E2390" s="24"/>
      <c r="F2390" s="23" t="s">
        <v>630</v>
      </c>
    </row>
    <row r="2391" spans="1:6" x14ac:dyDescent="0.3">
      <c r="A2391" t="s">
        <v>398</v>
      </c>
      <c r="B2391" s="23" t="s">
        <v>47</v>
      </c>
      <c r="C2391" s="23" t="s">
        <v>24</v>
      </c>
      <c r="D2391" s="24">
        <v>0.70833333333333204</v>
      </c>
      <c r="E2391" s="24">
        <v>0.98958333333333104</v>
      </c>
      <c r="F2391" s="23" t="s">
        <v>631</v>
      </c>
    </row>
    <row r="2392" spans="1:6" x14ac:dyDescent="0.3">
      <c r="A2392" t="s">
        <v>398</v>
      </c>
      <c r="B2392" s="23" t="s">
        <v>33</v>
      </c>
      <c r="C2392" s="23" t="s">
        <v>24</v>
      </c>
      <c r="D2392" s="24">
        <v>0.70833333333333204</v>
      </c>
      <c r="E2392" s="24">
        <v>0.98958333333333104</v>
      </c>
      <c r="F2392" s="23" t="s">
        <v>631</v>
      </c>
    </row>
    <row r="2393" spans="1:6" x14ac:dyDescent="0.3">
      <c r="A2393" t="s">
        <v>398</v>
      </c>
      <c r="B2393" s="23" t="s">
        <v>23</v>
      </c>
      <c r="C2393" s="23" t="s">
        <v>24</v>
      </c>
      <c r="D2393" s="24">
        <v>0.70833333333333204</v>
      </c>
      <c r="E2393" s="24">
        <v>0.98958333333333104</v>
      </c>
      <c r="F2393" s="23" t="s">
        <v>631</v>
      </c>
    </row>
    <row r="2394" spans="1:6" x14ac:dyDescent="0.3">
      <c r="A2394" t="s">
        <v>398</v>
      </c>
      <c r="B2394" s="23" t="s">
        <v>59</v>
      </c>
      <c r="C2394" s="23" t="s">
        <v>24</v>
      </c>
      <c r="D2394" s="24"/>
      <c r="E2394" s="24"/>
      <c r="F2394" s="23" t="s">
        <v>632</v>
      </c>
    </row>
    <row r="2395" spans="1:6" x14ac:dyDescent="0.3">
      <c r="A2395" t="s">
        <v>398</v>
      </c>
      <c r="B2395" s="23" t="s">
        <v>60</v>
      </c>
      <c r="C2395" s="23" t="s">
        <v>24</v>
      </c>
      <c r="D2395" s="24"/>
      <c r="E2395" s="24"/>
      <c r="F2395" s="23" t="s">
        <v>632</v>
      </c>
    </row>
    <row r="2396" spans="1:6" x14ac:dyDescent="0.3">
      <c r="A2396" t="s">
        <v>398</v>
      </c>
      <c r="B2396" s="23" t="s">
        <v>109</v>
      </c>
      <c r="C2396" s="23" t="s">
        <v>24</v>
      </c>
      <c r="D2396" s="24"/>
      <c r="E2396" s="24"/>
      <c r="F2396" s="23" t="s">
        <v>632</v>
      </c>
    </row>
    <row r="2397" spans="1:6" x14ac:dyDescent="0.3">
      <c r="A2397" t="s">
        <v>398</v>
      </c>
      <c r="B2397" s="23" t="s">
        <v>9</v>
      </c>
      <c r="C2397" s="23" t="s">
        <v>24</v>
      </c>
      <c r="D2397" s="24"/>
      <c r="E2397" s="24"/>
      <c r="F2397" s="23" t="s">
        <v>632</v>
      </c>
    </row>
    <row r="2398" spans="1:6" x14ac:dyDescent="0.3">
      <c r="A2398" t="s">
        <v>398</v>
      </c>
      <c r="B2398" s="23" t="s">
        <v>98</v>
      </c>
      <c r="C2398" s="23" t="s">
        <v>24</v>
      </c>
      <c r="D2398" s="24"/>
      <c r="E2398" s="24"/>
      <c r="F2398" s="23" t="s">
        <v>632</v>
      </c>
    </row>
    <row r="2399" spans="1:6" x14ac:dyDescent="0.3">
      <c r="A2399" t="s">
        <v>398</v>
      </c>
      <c r="B2399" s="23" t="s">
        <v>149</v>
      </c>
      <c r="C2399" s="23" t="s">
        <v>24</v>
      </c>
      <c r="D2399" s="24"/>
      <c r="E2399" s="24"/>
      <c r="F2399" s="23" t="s">
        <v>632</v>
      </c>
    </row>
    <row r="2400" spans="1:6" x14ac:dyDescent="0.3">
      <c r="A2400" t="s">
        <v>398</v>
      </c>
      <c r="B2400" s="23" t="s">
        <v>96</v>
      </c>
      <c r="C2400" s="23" t="s">
        <v>24</v>
      </c>
      <c r="D2400" s="24"/>
      <c r="E2400" s="24"/>
      <c r="F2400" s="23" t="s">
        <v>632</v>
      </c>
    </row>
    <row r="2401" spans="1:6" x14ac:dyDescent="0.3">
      <c r="A2401" t="s">
        <v>398</v>
      </c>
      <c r="B2401" s="23" t="s">
        <v>40</v>
      </c>
      <c r="C2401" s="23" t="s">
        <v>24</v>
      </c>
      <c r="D2401" s="24"/>
      <c r="E2401" s="24"/>
      <c r="F2401" s="23" t="s">
        <v>633</v>
      </c>
    </row>
    <row r="2402" spans="1:6" x14ac:dyDescent="0.3">
      <c r="A2402" t="s">
        <v>398</v>
      </c>
      <c r="B2402" s="23" t="s">
        <v>61</v>
      </c>
      <c r="C2402" s="23" t="s">
        <v>24</v>
      </c>
      <c r="D2402" s="24"/>
      <c r="E2402" s="24"/>
      <c r="F2402" s="23" t="s">
        <v>633</v>
      </c>
    </row>
    <row r="2403" spans="1:6" x14ac:dyDescent="0.3">
      <c r="A2403" t="s">
        <v>398</v>
      </c>
      <c r="B2403" s="23" t="s">
        <v>80</v>
      </c>
      <c r="C2403" s="23" t="s">
        <v>24</v>
      </c>
      <c r="D2403" s="24"/>
      <c r="E2403" s="24"/>
      <c r="F2403" s="23" t="s">
        <v>633</v>
      </c>
    </row>
    <row r="2404" spans="1:6" x14ac:dyDescent="0.3">
      <c r="A2404" t="s">
        <v>398</v>
      </c>
      <c r="B2404" s="23" t="s">
        <v>39</v>
      </c>
      <c r="C2404" s="23" t="s">
        <v>24</v>
      </c>
      <c r="D2404" s="24"/>
      <c r="E2404" s="24"/>
      <c r="F2404" s="23" t="s">
        <v>633</v>
      </c>
    </row>
    <row r="2405" spans="1:6" x14ac:dyDescent="0.3">
      <c r="A2405" t="s">
        <v>398</v>
      </c>
      <c r="B2405" s="23" t="s">
        <v>112</v>
      </c>
      <c r="C2405" s="23" t="s">
        <v>24</v>
      </c>
      <c r="D2405" s="24"/>
      <c r="E2405" s="24"/>
      <c r="F2405" s="23" t="s">
        <v>633</v>
      </c>
    </row>
    <row r="2406" spans="1:6" x14ac:dyDescent="0.3">
      <c r="A2406" t="s">
        <v>398</v>
      </c>
      <c r="B2406" s="23" t="s">
        <v>27</v>
      </c>
      <c r="C2406" s="23" t="s">
        <v>24</v>
      </c>
      <c r="D2406" s="24"/>
      <c r="E2406" s="24"/>
      <c r="F2406" s="23" t="s">
        <v>633</v>
      </c>
    </row>
    <row r="2407" spans="1:6" x14ac:dyDescent="0.3">
      <c r="A2407" t="s">
        <v>384</v>
      </c>
      <c r="B2407" t="s">
        <v>142</v>
      </c>
      <c r="C2407" t="s">
        <v>13</v>
      </c>
      <c r="D2407" s="2"/>
      <c r="E2407" s="2"/>
    </row>
    <row r="2408" spans="1:6" x14ac:dyDescent="0.3">
      <c r="A2408" t="s">
        <v>384</v>
      </c>
      <c r="B2408" s="23" t="s">
        <v>94</v>
      </c>
      <c r="C2408" s="23" t="s">
        <v>8</v>
      </c>
      <c r="D2408" s="24"/>
      <c r="E2408" s="24"/>
      <c r="F2408" s="23"/>
    </row>
    <row r="2409" spans="1:6" x14ac:dyDescent="0.3">
      <c r="A2409" t="s">
        <v>384</v>
      </c>
      <c r="B2409" s="23" t="s">
        <v>68</v>
      </c>
      <c r="C2409" s="23" t="s">
        <v>78</v>
      </c>
      <c r="D2409" s="24"/>
      <c r="E2409" s="24"/>
      <c r="F2409" s="23"/>
    </row>
    <row r="2410" spans="1:6" x14ac:dyDescent="0.3">
      <c r="A2410" t="s">
        <v>384</v>
      </c>
      <c r="B2410" s="23" t="s">
        <v>97</v>
      </c>
      <c r="C2410" s="23" t="s">
        <v>13</v>
      </c>
      <c r="D2410" s="24"/>
      <c r="E2410" s="24"/>
      <c r="F2410" s="23"/>
    </row>
    <row r="2411" spans="1:6" x14ac:dyDescent="0.3">
      <c r="A2411" t="s">
        <v>384</v>
      </c>
      <c r="B2411" s="23" t="s">
        <v>62</v>
      </c>
      <c r="C2411" s="23" t="s">
        <v>8</v>
      </c>
      <c r="D2411" s="24"/>
      <c r="E2411" s="24"/>
      <c r="F2411" s="23"/>
    </row>
    <row r="2412" spans="1:6" x14ac:dyDescent="0.3">
      <c r="A2412" t="s">
        <v>384</v>
      </c>
      <c r="B2412" s="23" t="s">
        <v>36</v>
      </c>
      <c r="C2412" s="23" t="s">
        <v>78</v>
      </c>
      <c r="D2412" s="24"/>
      <c r="E2412" s="24"/>
      <c r="F2412" s="23"/>
    </row>
    <row r="2413" spans="1:6" x14ac:dyDescent="0.3">
      <c r="A2413" t="s">
        <v>384</v>
      </c>
      <c r="B2413" s="23" t="s">
        <v>38</v>
      </c>
      <c r="C2413" s="23" t="s">
        <v>10</v>
      </c>
      <c r="D2413" s="24"/>
      <c r="E2413" s="24"/>
      <c r="F2413" s="23"/>
    </row>
    <row r="2414" spans="1:6" x14ac:dyDescent="0.3">
      <c r="A2414" t="s">
        <v>384</v>
      </c>
      <c r="B2414" s="23" t="s">
        <v>103</v>
      </c>
      <c r="C2414" s="23" t="s">
        <v>10</v>
      </c>
      <c r="D2414" s="24"/>
      <c r="E2414" s="24"/>
      <c r="F2414" s="23"/>
    </row>
    <row r="2415" spans="1:6" x14ac:dyDescent="0.3">
      <c r="A2415" t="s">
        <v>384</v>
      </c>
      <c r="B2415" s="23" t="s">
        <v>79</v>
      </c>
      <c r="C2415" s="23" t="s">
        <v>10</v>
      </c>
      <c r="D2415" s="24"/>
      <c r="E2415" s="24"/>
      <c r="F2415" s="23"/>
    </row>
    <row r="2416" spans="1:6" x14ac:dyDescent="0.3">
      <c r="A2416" t="s">
        <v>384</v>
      </c>
      <c r="B2416" s="23" t="s">
        <v>112</v>
      </c>
      <c r="C2416" s="23" t="s">
        <v>10</v>
      </c>
      <c r="D2416" s="24"/>
      <c r="E2416" s="24"/>
      <c r="F2416" s="23"/>
    </row>
    <row r="2417" spans="1:6" x14ac:dyDescent="0.3">
      <c r="A2417" t="s">
        <v>384</v>
      </c>
      <c r="B2417" s="23" t="s">
        <v>33</v>
      </c>
      <c r="C2417" s="23" t="s">
        <v>24</v>
      </c>
      <c r="D2417" s="24"/>
      <c r="E2417" s="24"/>
      <c r="F2417" s="23" t="s">
        <v>629</v>
      </c>
    </row>
    <row r="2418" spans="1:6" x14ac:dyDescent="0.3">
      <c r="A2418" t="s">
        <v>384</v>
      </c>
      <c r="B2418" s="23" t="s">
        <v>50</v>
      </c>
      <c r="C2418" s="23" t="s">
        <v>24</v>
      </c>
      <c r="D2418" s="24"/>
      <c r="E2418" s="24"/>
      <c r="F2418" s="23" t="s">
        <v>629</v>
      </c>
    </row>
    <row r="2419" spans="1:6" x14ac:dyDescent="0.3">
      <c r="A2419" t="s">
        <v>384</v>
      </c>
      <c r="B2419" s="23" t="s">
        <v>84</v>
      </c>
      <c r="C2419" s="23" t="s">
        <v>24</v>
      </c>
      <c r="D2419" s="24"/>
      <c r="E2419" s="24"/>
      <c r="F2419" s="23" t="s">
        <v>629</v>
      </c>
    </row>
    <row r="2420" spans="1:6" x14ac:dyDescent="0.3">
      <c r="A2420" t="s">
        <v>384</v>
      </c>
      <c r="B2420" s="23" t="s">
        <v>73</v>
      </c>
      <c r="C2420" s="23" t="s">
        <v>24</v>
      </c>
      <c r="D2420" s="24"/>
      <c r="E2420" s="24"/>
      <c r="F2420" s="23" t="s">
        <v>629</v>
      </c>
    </row>
    <row r="2421" spans="1:6" x14ac:dyDescent="0.3">
      <c r="A2421" t="s">
        <v>384</v>
      </c>
      <c r="B2421" s="23" t="s">
        <v>23</v>
      </c>
      <c r="C2421" s="23" t="s">
        <v>24</v>
      </c>
      <c r="D2421" s="24"/>
      <c r="E2421" s="24"/>
      <c r="F2421" s="23" t="s">
        <v>634</v>
      </c>
    </row>
    <row r="2422" spans="1:6" x14ac:dyDescent="0.3">
      <c r="A2422" t="s">
        <v>384</v>
      </c>
      <c r="B2422" s="23" t="s">
        <v>34</v>
      </c>
      <c r="C2422" s="23" t="s">
        <v>24</v>
      </c>
      <c r="D2422" s="24"/>
      <c r="E2422" s="24"/>
      <c r="F2422" s="23" t="s">
        <v>634</v>
      </c>
    </row>
    <row r="2423" spans="1:6" x14ac:dyDescent="0.3">
      <c r="A2423" t="s">
        <v>384</v>
      </c>
      <c r="B2423" s="23" t="s">
        <v>47</v>
      </c>
      <c r="C2423" s="23" t="s">
        <v>24</v>
      </c>
      <c r="D2423" s="24"/>
      <c r="E2423" s="24"/>
      <c r="F2423" s="23" t="s">
        <v>634</v>
      </c>
    </row>
    <row r="2424" spans="1:6" x14ac:dyDescent="0.3">
      <c r="A2424" t="s">
        <v>399</v>
      </c>
      <c r="B2424" t="s">
        <v>66</v>
      </c>
      <c r="C2424" t="s">
        <v>13</v>
      </c>
      <c r="D2424" s="2"/>
      <c r="E2424" s="2"/>
    </row>
    <row r="2425" spans="1:6" x14ac:dyDescent="0.3">
      <c r="A2425" t="s">
        <v>399</v>
      </c>
      <c r="B2425" s="23" t="s">
        <v>63</v>
      </c>
      <c r="C2425" s="23" t="s">
        <v>15</v>
      </c>
      <c r="D2425" s="24"/>
      <c r="E2425" s="24"/>
      <c r="F2425" s="23"/>
    </row>
    <row r="2426" spans="1:6" x14ac:dyDescent="0.3">
      <c r="A2426" t="s">
        <v>399</v>
      </c>
      <c r="B2426" s="23" t="s">
        <v>32</v>
      </c>
      <c r="C2426" s="23" t="s">
        <v>8</v>
      </c>
      <c r="D2426" s="24"/>
      <c r="E2426" s="24"/>
      <c r="F2426" s="23"/>
    </row>
    <row r="2427" spans="1:6" x14ac:dyDescent="0.3">
      <c r="A2427" t="s">
        <v>399</v>
      </c>
      <c r="B2427" s="23" t="s">
        <v>69</v>
      </c>
      <c r="C2427" s="23" t="s">
        <v>13</v>
      </c>
      <c r="D2427" s="24"/>
      <c r="E2427" s="24"/>
      <c r="F2427" s="23"/>
    </row>
    <row r="2428" spans="1:6" x14ac:dyDescent="0.3">
      <c r="A2428" t="s">
        <v>399</v>
      </c>
      <c r="B2428" s="23" t="s">
        <v>59</v>
      </c>
      <c r="C2428" s="23" t="s">
        <v>8</v>
      </c>
      <c r="D2428" s="24"/>
      <c r="E2428" s="24"/>
      <c r="F2428" s="23"/>
    </row>
    <row r="2429" spans="1:6" x14ac:dyDescent="0.3">
      <c r="A2429" t="s">
        <v>399</v>
      </c>
      <c r="B2429" s="23" t="s">
        <v>17</v>
      </c>
      <c r="C2429" s="23" t="s">
        <v>30</v>
      </c>
      <c r="D2429" s="24"/>
      <c r="E2429" s="24"/>
      <c r="F2429" s="23"/>
    </row>
    <row r="2430" spans="1:6" x14ac:dyDescent="0.3">
      <c r="A2430" t="s">
        <v>399</v>
      </c>
      <c r="B2430" s="23" t="s">
        <v>38</v>
      </c>
      <c r="C2430" s="23" t="s">
        <v>10</v>
      </c>
      <c r="D2430" s="24"/>
      <c r="E2430" s="24"/>
      <c r="F2430" s="23"/>
    </row>
    <row r="2431" spans="1:6" x14ac:dyDescent="0.3">
      <c r="A2431" t="s">
        <v>399</v>
      </c>
      <c r="B2431" s="23" t="s">
        <v>103</v>
      </c>
      <c r="C2431" s="23" t="s">
        <v>10</v>
      </c>
      <c r="D2431" s="24"/>
      <c r="E2431" s="24"/>
      <c r="F2431" s="23"/>
    </row>
    <row r="2432" spans="1:6" x14ac:dyDescent="0.3">
      <c r="A2432" t="s">
        <v>399</v>
      </c>
      <c r="B2432" s="23" t="s">
        <v>79</v>
      </c>
      <c r="C2432" s="23" t="s">
        <v>10</v>
      </c>
      <c r="D2432" s="24"/>
      <c r="E2432" s="24"/>
      <c r="F2432" s="23"/>
    </row>
    <row r="2433" spans="1:6" x14ac:dyDescent="0.3">
      <c r="A2433" t="s">
        <v>399</v>
      </c>
      <c r="B2433" s="23" t="s">
        <v>112</v>
      </c>
      <c r="C2433" s="23" t="s">
        <v>10</v>
      </c>
      <c r="D2433" s="24"/>
      <c r="E2433" s="24"/>
      <c r="F2433" s="23"/>
    </row>
    <row r="2434" spans="1:6" x14ac:dyDescent="0.3">
      <c r="A2434" t="s">
        <v>399</v>
      </c>
      <c r="B2434" s="23" t="s">
        <v>97</v>
      </c>
      <c r="C2434" s="23" t="s">
        <v>41</v>
      </c>
      <c r="D2434" s="24"/>
      <c r="E2434" s="24"/>
      <c r="F2434" s="23"/>
    </row>
    <row r="2435" spans="1:6" x14ac:dyDescent="0.3">
      <c r="A2435" t="s">
        <v>399</v>
      </c>
      <c r="B2435" s="23" t="s">
        <v>62</v>
      </c>
      <c r="C2435" s="23" t="s">
        <v>41</v>
      </c>
      <c r="D2435" s="24"/>
      <c r="E2435" s="24"/>
      <c r="F2435" s="23"/>
    </row>
    <row r="2436" spans="1:6" x14ac:dyDescent="0.3">
      <c r="A2436" t="s">
        <v>399</v>
      </c>
      <c r="B2436" s="23" t="s">
        <v>36</v>
      </c>
      <c r="C2436" s="23" t="s">
        <v>41</v>
      </c>
      <c r="D2436" s="24"/>
      <c r="E2436" s="24"/>
      <c r="F2436" s="23"/>
    </row>
    <row r="2437" spans="1:6" x14ac:dyDescent="0.3">
      <c r="A2437" t="s">
        <v>399</v>
      </c>
      <c r="B2437" s="23" t="s">
        <v>44</v>
      </c>
      <c r="C2437" s="23" t="s">
        <v>45</v>
      </c>
      <c r="D2437" s="24"/>
      <c r="E2437" s="24"/>
      <c r="F2437" s="23"/>
    </row>
    <row r="2438" spans="1:6" x14ac:dyDescent="0.3">
      <c r="A2438" t="s">
        <v>399</v>
      </c>
      <c r="B2438" s="23" t="s">
        <v>21</v>
      </c>
      <c r="C2438" s="23" t="s">
        <v>46</v>
      </c>
      <c r="D2438" s="24"/>
      <c r="E2438" s="24"/>
      <c r="F2438" s="23"/>
    </row>
    <row r="2439" spans="1:6" x14ac:dyDescent="0.3">
      <c r="A2439" t="s">
        <v>399</v>
      </c>
      <c r="B2439" s="23" t="s">
        <v>32</v>
      </c>
      <c r="C2439" s="23" t="s">
        <v>18</v>
      </c>
      <c r="D2439" s="24"/>
      <c r="E2439" s="24"/>
      <c r="F2439" s="23"/>
    </row>
    <row r="2440" spans="1:6" x14ac:dyDescent="0.3">
      <c r="A2440" t="s">
        <v>399</v>
      </c>
      <c r="B2440" s="23" t="s">
        <v>85</v>
      </c>
      <c r="C2440" s="23" t="s">
        <v>49</v>
      </c>
      <c r="D2440" s="24"/>
      <c r="E2440" s="24"/>
      <c r="F2440" s="23"/>
    </row>
    <row r="2441" spans="1:6" x14ac:dyDescent="0.3">
      <c r="A2441" t="s">
        <v>399</v>
      </c>
      <c r="B2441" s="23" t="s">
        <v>50</v>
      </c>
      <c r="C2441" s="23" t="s">
        <v>51</v>
      </c>
      <c r="D2441" s="2"/>
      <c r="E2441" s="2"/>
    </row>
    <row r="2442" spans="1:6" x14ac:dyDescent="0.3">
      <c r="A2442" t="s">
        <v>399</v>
      </c>
      <c r="B2442" s="23" t="s">
        <v>63</v>
      </c>
      <c r="C2442" s="23" t="s">
        <v>55</v>
      </c>
      <c r="D2442" s="24">
        <v>0.749999999999999</v>
      </c>
      <c r="E2442" s="24">
        <v>0.79166666666666496</v>
      </c>
      <c r="F2442" s="23" t="s">
        <v>400</v>
      </c>
    </row>
    <row r="2443" spans="1:6" x14ac:dyDescent="0.3">
      <c r="A2443" t="s">
        <v>399</v>
      </c>
      <c r="B2443" s="23" t="s">
        <v>84</v>
      </c>
      <c r="C2443" s="23" t="s">
        <v>43</v>
      </c>
      <c r="D2443" s="24"/>
      <c r="E2443" s="24"/>
      <c r="F2443" s="23"/>
    </row>
    <row r="2444" spans="1:6" x14ac:dyDescent="0.3">
      <c r="A2444" t="s">
        <v>399</v>
      </c>
      <c r="B2444" s="23" t="s">
        <v>84</v>
      </c>
      <c r="C2444" s="23" t="s">
        <v>26</v>
      </c>
      <c r="D2444" s="24">
        <v>0.79166666666666496</v>
      </c>
      <c r="E2444" s="24">
        <v>0.98958333333333104</v>
      </c>
      <c r="F2444" s="23"/>
    </row>
    <row r="2445" spans="1:6" x14ac:dyDescent="0.3">
      <c r="A2445" t="s">
        <v>399</v>
      </c>
      <c r="B2445" s="23" t="s">
        <v>17</v>
      </c>
      <c r="C2445" s="23" t="s">
        <v>30</v>
      </c>
      <c r="D2445" s="24"/>
      <c r="E2445" s="24"/>
      <c r="F2445" s="23"/>
    </row>
    <row r="2446" spans="1:6" x14ac:dyDescent="0.3">
      <c r="A2446" t="s">
        <v>399</v>
      </c>
      <c r="B2446" s="23" t="s">
        <v>85</v>
      </c>
      <c r="C2446" s="23" t="s">
        <v>30</v>
      </c>
      <c r="D2446" s="24"/>
      <c r="E2446" s="24"/>
      <c r="F2446" s="23"/>
    </row>
    <row r="2447" spans="1:6" x14ac:dyDescent="0.3">
      <c r="A2447" t="s">
        <v>401</v>
      </c>
      <c r="B2447" t="s">
        <v>48</v>
      </c>
      <c r="C2447" t="s">
        <v>13</v>
      </c>
      <c r="D2447" s="2"/>
      <c r="E2447" s="2"/>
    </row>
    <row r="2448" spans="1:6" x14ac:dyDescent="0.3">
      <c r="A2448" t="s">
        <v>401</v>
      </c>
      <c r="B2448" s="23" t="s">
        <v>52</v>
      </c>
      <c r="C2448" s="23" t="s">
        <v>15</v>
      </c>
      <c r="D2448" s="24"/>
      <c r="E2448" s="24"/>
      <c r="F2448" s="23"/>
    </row>
    <row r="2449" spans="1:6" x14ac:dyDescent="0.3">
      <c r="A2449" t="s">
        <v>401</v>
      </c>
      <c r="B2449" s="23" t="s">
        <v>68</v>
      </c>
      <c r="C2449" s="23" t="s">
        <v>8</v>
      </c>
      <c r="D2449" s="24"/>
      <c r="E2449" s="24"/>
      <c r="F2449" s="23"/>
    </row>
    <row r="2450" spans="1:6" x14ac:dyDescent="0.3">
      <c r="A2450" t="s">
        <v>401</v>
      </c>
      <c r="B2450" s="23" t="s">
        <v>23</v>
      </c>
      <c r="C2450" s="23" t="s">
        <v>45</v>
      </c>
      <c r="D2450" s="24"/>
      <c r="E2450" s="24"/>
      <c r="F2450" s="23"/>
    </row>
    <row r="2451" spans="1:6" x14ac:dyDescent="0.3">
      <c r="A2451" t="s">
        <v>401</v>
      </c>
      <c r="B2451" s="23" t="s">
        <v>16</v>
      </c>
      <c r="C2451" s="23" t="s">
        <v>46</v>
      </c>
      <c r="D2451" s="24"/>
      <c r="E2451" s="24"/>
      <c r="F2451" s="23"/>
    </row>
    <row r="2452" spans="1:6" x14ac:dyDescent="0.3">
      <c r="A2452" t="s">
        <v>401</v>
      </c>
      <c r="B2452" s="23" t="s">
        <v>63</v>
      </c>
      <c r="C2452" s="23" t="s">
        <v>18</v>
      </c>
      <c r="D2452" s="24"/>
      <c r="E2452" s="24"/>
      <c r="F2452" s="23"/>
    </row>
    <row r="2453" spans="1:6" x14ac:dyDescent="0.3">
      <c r="A2453" t="s">
        <v>401</v>
      </c>
      <c r="B2453" s="23" t="s">
        <v>85</v>
      </c>
      <c r="C2453" s="23" t="s">
        <v>49</v>
      </c>
      <c r="D2453" s="24"/>
      <c r="E2453" s="24"/>
      <c r="F2453" s="23"/>
    </row>
    <row r="2454" spans="1:6" x14ac:dyDescent="0.3">
      <c r="A2454" t="s">
        <v>401</v>
      </c>
      <c r="B2454" s="23" t="s">
        <v>75</v>
      </c>
      <c r="C2454" s="23" t="s">
        <v>51</v>
      </c>
      <c r="D2454" s="24"/>
      <c r="E2454" s="24"/>
      <c r="F2454" s="23"/>
    </row>
    <row r="2455" spans="1:6" x14ac:dyDescent="0.3">
      <c r="A2455" t="s">
        <v>401</v>
      </c>
      <c r="B2455" s="23" t="s">
        <v>12</v>
      </c>
      <c r="C2455" s="23" t="s">
        <v>43</v>
      </c>
      <c r="D2455" s="24"/>
      <c r="E2455" s="24"/>
      <c r="F2455" s="23"/>
    </row>
    <row r="2456" spans="1:6" x14ac:dyDescent="0.3">
      <c r="A2456" t="s">
        <v>401</v>
      </c>
      <c r="B2456" s="23" t="s">
        <v>63</v>
      </c>
      <c r="C2456" s="23" t="s">
        <v>53</v>
      </c>
      <c r="D2456" s="24">
        <v>0.79166666666666496</v>
      </c>
      <c r="E2456" s="24">
        <v>0.83333333333333204</v>
      </c>
      <c r="F2456" s="23" t="s">
        <v>622</v>
      </c>
    </row>
    <row r="2457" spans="1:6" x14ac:dyDescent="0.3">
      <c r="A2457" t="s">
        <v>401</v>
      </c>
      <c r="B2457" s="23" t="s">
        <v>72</v>
      </c>
      <c r="C2457" s="23" t="s">
        <v>26</v>
      </c>
      <c r="D2457" s="24">
        <v>0.41666666666666702</v>
      </c>
      <c r="E2457" s="24">
        <v>0.54166666666666596</v>
      </c>
      <c r="F2457" s="23"/>
    </row>
    <row r="2458" spans="1:6" x14ac:dyDescent="0.3">
      <c r="A2458" t="s">
        <v>406</v>
      </c>
      <c r="B2458" t="s">
        <v>94</v>
      </c>
      <c r="C2458" t="s">
        <v>13</v>
      </c>
      <c r="D2458" s="2"/>
      <c r="E2458" s="2"/>
    </row>
    <row r="2459" spans="1:6" x14ac:dyDescent="0.3">
      <c r="A2459" t="s">
        <v>406</v>
      </c>
      <c r="B2459" s="23" t="s">
        <v>64</v>
      </c>
      <c r="C2459" s="23" t="s">
        <v>15</v>
      </c>
      <c r="D2459" s="24"/>
      <c r="E2459" s="24"/>
      <c r="F2459" s="23"/>
    </row>
    <row r="2460" spans="1:6" x14ac:dyDescent="0.3">
      <c r="A2460" t="s">
        <v>406</v>
      </c>
      <c r="B2460" s="23" t="s">
        <v>33</v>
      </c>
      <c r="C2460" s="23" t="s">
        <v>8</v>
      </c>
      <c r="D2460" s="24"/>
      <c r="E2460" s="24"/>
      <c r="F2460" s="23"/>
    </row>
    <row r="2461" spans="1:6" x14ac:dyDescent="0.3">
      <c r="A2461" t="s">
        <v>406</v>
      </c>
      <c r="B2461" s="23" t="s">
        <v>66</v>
      </c>
      <c r="C2461" s="23" t="s">
        <v>45</v>
      </c>
      <c r="D2461" s="24"/>
      <c r="E2461" s="24"/>
      <c r="F2461" s="23"/>
    </row>
    <row r="2462" spans="1:6" x14ac:dyDescent="0.3">
      <c r="A2462" t="s">
        <v>406</v>
      </c>
      <c r="B2462" s="23" t="s">
        <v>68</v>
      </c>
      <c r="C2462" s="23" t="s">
        <v>46</v>
      </c>
      <c r="D2462" s="24"/>
      <c r="E2462" s="24"/>
      <c r="F2462" s="23"/>
    </row>
    <row r="2463" spans="1:6" x14ac:dyDescent="0.3">
      <c r="A2463" t="s">
        <v>406</v>
      </c>
      <c r="B2463" s="23" t="s">
        <v>47</v>
      </c>
      <c r="C2463" s="23" t="s">
        <v>18</v>
      </c>
      <c r="D2463" s="24"/>
      <c r="E2463" s="24"/>
      <c r="F2463" s="23"/>
    </row>
    <row r="2464" spans="1:6" x14ac:dyDescent="0.3">
      <c r="A2464" t="s">
        <v>406</v>
      </c>
      <c r="B2464" s="23" t="s">
        <v>85</v>
      </c>
      <c r="C2464" s="23" t="s">
        <v>49</v>
      </c>
      <c r="D2464" s="24"/>
      <c r="E2464" s="24"/>
      <c r="F2464" s="23"/>
    </row>
    <row r="2465" spans="1:6" x14ac:dyDescent="0.3">
      <c r="A2465" t="s">
        <v>406</v>
      </c>
      <c r="B2465" s="23" t="s">
        <v>73</v>
      </c>
      <c r="C2465" s="23" t="s">
        <v>51</v>
      </c>
      <c r="D2465" s="24"/>
      <c r="E2465" s="24"/>
      <c r="F2465" s="23"/>
    </row>
    <row r="2466" spans="1:6" x14ac:dyDescent="0.3">
      <c r="A2466" t="s">
        <v>406</v>
      </c>
      <c r="B2466" s="23" t="s">
        <v>29</v>
      </c>
      <c r="C2466" s="23" t="s">
        <v>43</v>
      </c>
      <c r="D2466" s="24"/>
      <c r="E2466" s="24"/>
      <c r="F2466" s="23"/>
    </row>
    <row r="2467" spans="1:6" x14ac:dyDescent="0.3">
      <c r="A2467" t="s">
        <v>406</v>
      </c>
      <c r="B2467" s="23" t="s">
        <v>68</v>
      </c>
      <c r="C2467" s="23" t="s">
        <v>26</v>
      </c>
      <c r="D2467" s="24">
        <v>0.66666666666666596</v>
      </c>
      <c r="E2467" s="24">
        <v>0.79166666666666496</v>
      </c>
      <c r="F2467" s="23"/>
    </row>
    <row r="2468" spans="1:6" x14ac:dyDescent="0.3">
      <c r="A2468" t="s">
        <v>406</v>
      </c>
      <c r="B2468" s="23" t="s">
        <v>68</v>
      </c>
      <c r="C2468" s="23" t="s">
        <v>26</v>
      </c>
      <c r="D2468" s="24">
        <v>0.79166666666666496</v>
      </c>
      <c r="E2468" s="24">
        <v>0.98958333333333104</v>
      </c>
      <c r="F2468" s="23"/>
    </row>
    <row r="2469" spans="1:6" x14ac:dyDescent="0.3">
      <c r="A2469" t="s">
        <v>406</v>
      </c>
      <c r="B2469" s="23" t="s">
        <v>23</v>
      </c>
      <c r="C2469" s="23" t="s">
        <v>53</v>
      </c>
      <c r="D2469" s="24">
        <v>0.70833333333333204</v>
      </c>
      <c r="E2469" s="24">
        <v>0.98958333333333104</v>
      </c>
      <c r="F2469" s="23" t="s">
        <v>623</v>
      </c>
    </row>
    <row r="2470" spans="1:6" x14ac:dyDescent="0.3">
      <c r="A2470" t="s">
        <v>406</v>
      </c>
      <c r="B2470" s="23" t="s">
        <v>23</v>
      </c>
      <c r="C2470" s="23" t="s">
        <v>55</v>
      </c>
      <c r="D2470" s="24">
        <v>0.79166666666666496</v>
      </c>
      <c r="E2470" s="24">
        <v>0.91666666666666496</v>
      </c>
      <c r="F2470" s="23" t="s">
        <v>626</v>
      </c>
    </row>
    <row r="2471" spans="1:6" x14ac:dyDescent="0.3">
      <c r="A2471" t="s">
        <v>406</v>
      </c>
      <c r="B2471" s="23" t="s">
        <v>142</v>
      </c>
      <c r="C2471" s="23" t="s">
        <v>55</v>
      </c>
      <c r="D2471" s="24">
        <v>0.29166666666666669</v>
      </c>
      <c r="E2471" s="24">
        <v>0.33333333333333298</v>
      </c>
      <c r="F2471" s="23" t="s">
        <v>627</v>
      </c>
    </row>
    <row r="2472" spans="1:6" x14ac:dyDescent="0.3">
      <c r="A2472" t="s">
        <v>406</v>
      </c>
      <c r="B2472" s="23" t="s">
        <v>21</v>
      </c>
      <c r="C2472" s="23" t="s">
        <v>26</v>
      </c>
      <c r="D2472" s="24">
        <v>0.29166666666666669</v>
      </c>
      <c r="E2472" s="24">
        <v>0.41666666666666702</v>
      </c>
      <c r="F2472" s="23"/>
    </row>
    <row r="2473" spans="1:6" x14ac:dyDescent="0.3">
      <c r="A2473" t="s">
        <v>406</v>
      </c>
      <c r="B2473" s="23" t="s">
        <v>21</v>
      </c>
      <c r="C2473" s="23" t="s">
        <v>26</v>
      </c>
      <c r="D2473" s="24">
        <v>0.41666666666666702</v>
      </c>
      <c r="E2473" s="24">
        <v>0.54166666666666596</v>
      </c>
      <c r="F2473" s="23"/>
    </row>
    <row r="2474" spans="1:6" x14ac:dyDescent="0.3">
      <c r="A2474" t="s">
        <v>406</v>
      </c>
      <c r="B2474" s="23" t="s">
        <v>34</v>
      </c>
      <c r="C2474" s="23" t="s">
        <v>26</v>
      </c>
      <c r="D2474" s="24">
        <v>0.66666666666666596</v>
      </c>
      <c r="E2474" s="24">
        <v>0.79166666666666496</v>
      </c>
      <c r="F2474" s="23"/>
    </row>
    <row r="2475" spans="1:6" x14ac:dyDescent="0.3">
      <c r="A2475" t="s">
        <v>406</v>
      </c>
      <c r="B2475" s="23" t="s">
        <v>34</v>
      </c>
      <c r="C2475" s="23" t="s">
        <v>26</v>
      </c>
      <c r="D2475" s="2">
        <v>0.79166666666666496</v>
      </c>
      <c r="E2475" s="2">
        <v>0.98958333333333104</v>
      </c>
    </row>
    <row r="2476" spans="1:6" x14ac:dyDescent="0.3">
      <c r="A2476" t="s">
        <v>406</v>
      </c>
      <c r="B2476" s="23" t="s">
        <v>14</v>
      </c>
      <c r="C2476" s="23" t="s">
        <v>26</v>
      </c>
      <c r="D2476" s="24">
        <v>0.79166666666666496</v>
      </c>
      <c r="E2476" s="24">
        <v>0.98958333333333104</v>
      </c>
      <c r="F2476" s="23"/>
    </row>
    <row r="2477" spans="1:6" x14ac:dyDescent="0.3">
      <c r="A2477" t="s">
        <v>406</v>
      </c>
      <c r="B2477" s="23" t="s">
        <v>29</v>
      </c>
      <c r="C2477" s="23" t="s">
        <v>26</v>
      </c>
      <c r="D2477" s="24">
        <v>0.54166666666666596</v>
      </c>
      <c r="E2477" s="24">
        <v>0.66666666666666596</v>
      </c>
      <c r="F2477" s="23"/>
    </row>
    <row r="2478" spans="1:6" x14ac:dyDescent="0.3">
      <c r="A2478" t="s">
        <v>402</v>
      </c>
      <c r="B2478" t="s">
        <v>32</v>
      </c>
      <c r="C2478" t="s">
        <v>13</v>
      </c>
      <c r="D2478" s="2"/>
      <c r="E2478" s="2"/>
    </row>
    <row r="2479" spans="1:6" x14ac:dyDescent="0.3">
      <c r="A2479" t="s">
        <v>402</v>
      </c>
      <c r="B2479" s="23" t="s">
        <v>73</v>
      </c>
      <c r="C2479" s="23" t="s">
        <v>15</v>
      </c>
      <c r="D2479" s="24"/>
      <c r="E2479" s="24"/>
      <c r="F2479" s="23"/>
    </row>
    <row r="2480" spans="1:6" x14ac:dyDescent="0.3">
      <c r="A2480" t="s">
        <v>402</v>
      </c>
      <c r="B2480" s="23" t="s">
        <v>71</v>
      </c>
      <c r="C2480" s="23" t="s">
        <v>8</v>
      </c>
      <c r="D2480" s="24"/>
      <c r="E2480" s="24"/>
      <c r="F2480" s="23"/>
    </row>
    <row r="2481" spans="1:6" x14ac:dyDescent="0.3">
      <c r="A2481" t="s">
        <v>402</v>
      </c>
      <c r="B2481" s="23" t="s">
        <v>52</v>
      </c>
      <c r="C2481" s="23" t="s">
        <v>45</v>
      </c>
      <c r="D2481" s="24"/>
      <c r="E2481" s="24"/>
      <c r="F2481" s="23"/>
    </row>
    <row r="2482" spans="1:6" x14ac:dyDescent="0.3">
      <c r="A2482" t="s">
        <v>402</v>
      </c>
      <c r="B2482" s="23" t="s">
        <v>14</v>
      </c>
      <c r="C2482" s="23" t="s">
        <v>46</v>
      </c>
      <c r="D2482" s="24"/>
      <c r="E2482" s="24"/>
      <c r="F2482" s="23"/>
    </row>
    <row r="2483" spans="1:6" x14ac:dyDescent="0.3">
      <c r="A2483" t="s">
        <v>402</v>
      </c>
      <c r="B2483" s="23" t="s">
        <v>94</v>
      </c>
      <c r="C2483" s="23" t="s">
        <v>18</v>
      </c>
      <c r="D2483" s="24"/>
      <c r="E2483" s="24"/>
      <c r="F2483" s="23"/>
    </row>
    <row r="2484" spans="1:6" x14ac:dyDescent="0.3">
      <c r="A2484" t="s">
        <v>402</v>
      </c>
      <c r="B2484" s="23" t="s">
        <v>85</v>
      </c>
      <c r="C2484" s="23" t="s">
        <v>49</v>
      </c>
      <c r="D2484" s="24"/>
      <c r="E2484" s="24"/>
      <c r="F2484" s="23"/>
    </row>
    <row r="2485" spans="1:6" x14ac:dyDescent="0.3">
      <c r="A2485" t="s">
        <v>402</v>
      </c>
      <c r="B2485" s="23" t="s">
        <v>34</v>
      </c>
      <c r="C2485" s="23" t="s">
        <v>51</v>
      </c>
      <c r="D2485" s="24"/>
      <c r="E2485" s="24"/>
      <c r="F2485" s="23"/>
    </row>
    <row r="2486" spans="1:6" x14ac:dyDescent="0.3">
      <c r="A2486" t="s">
        <v>402</v>
      </c>
      <c r="B2486" s="23" t="s">
        <v>37</v>
      </c>
      <c r="C2486" s="23" t="s">
        <v>43</v>
      </c>
      <c r="D2486" s="24"/>
      <c r="E2486" s="24"/>
      <c r="F2486" s="23"/>
    </row>
    <row r="2487" spans="1:6" x14ac:dyDescent="0.3">
      <c r="A2487" t="s">
        <v>402</v>
      </c>
      <c r="B2487" s="23" t="s">
        <v>84</v>
      </c>
      <c r="C2487" s="23" t="s">
        <v>53</v>
      </c>
      <c r="D2487" s="24">
        <v>0.72916666666666496</v>
      </c>
      <c r="E2487" s="24">
        <v>0.77083333333333204</v>
      </c>
      <c r="F2487" s="23"/>
    </row>
    <row r="2488" spans="1:6" x14ac:dyDescent="0.3">
      <c r="A2488" t="s">
        <v>402</v>
      </c>
      <c r="B2488" s="23" t="s">
        <v>34</v>
      </c>
      <c r="C2488" s="23" t="s">
        <v>53</v>
      </c>
      <c r="D2488" s="24">
        <v>0.72916666666666496</v>
      </c>
      <c r="E2488" s="24">
        <v>0.77083333333333204</v>
      </c>
      <c r="F2488" s="23"/>
    </row>
    <row r="2489" spans="1:6" x14ac:dyDescent="0.3">
      <c r="A2489" t="s">
        <v>402</v>
      </c>
      <c r="B2489" s="23" t="s">
        <v>50</v>
      </c>
      <c r="C2489" s="23" t="s">
        <v>53</v>
      </c>
      <c r="D2489" s="24">
        <v>0.72916666666666496</v>
      </c>
      <c r="E2489" s="24">
        <v>0.77083333333333204</v>
      </c>
      <c r="F2489" s="23"/>
    </row>
    <row r="2490" spans="1:6" x14ac:dyDescent="0.3">
      <c r="A2490" t="s">
        <v>403</v>
      </c>
      <c r="B2490" t="s">
        <v>33</v>
      </c>
      <c r="C2490" t="s">
        <v>13</v>
      </c>
      <c r="D2490" s="2"/>
      <c r="E2490" s="2"/>
    </row>
    <row r="2491" spans="1:6" x14ac:dyDescent="0.3">
      <c r="A2491" t="s">
        <v>403</v>
      </c>
      <c r="B2491" s="23" t="s">
        <v>85</v>
      </c>
      <c r="C2491" s="23" t="s">
        <v>15</v>
      </c>
      <c r="D2491" s="24"/>
      <c r="E2491" s="24"/>
      <c r="F2491" s="23"/>
    </row>
    <row r="2492" spans="1:6" x14ac:dyDescent="0.3">
      <c r="A2492" t="s">
        <v>403</v>
      </c>
      <c r="B2492" s="23" t="s">
        <v>29</v>
      </c>
      <c r="C2492" s="23" t="s">
        <v>8</v>
      </c>
      <c r="D2492" s="24"/>
      <c r="E2492" s="24"/>
      <c r="F2492" s="23"/>
    </row>
    <row r="2493" spans="1:6" x14ac:dyDescent="0.3">
      <c r="A2493" t="s">
        <v>403</v>
      </c>
      <c r="B2493" s="23" t="s">
        <v>52</v>
      </c>
      <c r="C2493" s="23" t="s">
        <v>45</v>
      </c>
      <c r="D2493" s="24"/>
      <c r="E2493" s="24"/>
      <c r="F2493" s="23"/>
    </row>
    <row r="2494" spans="1:6" x14ac:dyDescent="0.3">
      <c r="A2494" t="s">
        <v>403</v>
      </c>
      <c r="B2494" s="23" t="s">
        <v>68</v>
      </c>
      <c r="C2494" s="23" t="s">
        <v>46</v>
      </c>
      <c r="D2494" s="24"/>
      <c r="E2494" s="24"/>
      <c r="F2494" s="23"/>
    </row>
    <row r="2495" spans="1:6" x14ac:dyDescent="0.3">
      <c r="A2495" t="s">
        <v>403</v>
      </c>
      <c r="B2495" s="23" t="s">
        <v>72</v>
      </c>
      <c r="C2495" s="23" t="s">
        <v>18</v>
      </c>
      <c r="D2495" s="24"/>
      <c r="E2495" s="24"/>
      <c r="F2495" s="23"/>
    </row>
    <row r="2496" spans="1:6" x14ac:dyDescent="0.3">
      <c r="A2496" t="s">
        <v>403</v>
      </c>
      <c r="B2496" s="23" t="s">
        <v>85</v>
      </c>
      <c r="C2496" s="23" t="s">
        <v>49</v>
      </c>
      <c r="D2496" s="24"/>
      <c r="E2496" s="24"/>
      <c r="F2496" s="23"/>
    </row>
    <row r="2497" spans="1:6" x14ac:dyDescent="0.3">
      <c r="A2497" t="s">
        <v>403</v>
      </c>
      <c r="B2497" s="23" t="s">
        <v>17</v>
      </c>
      <c r="C2497" s="23" t="s">
        <v>51</v>
      </c>
      <c r="D2497" s="24"/>
      <c r="E2497" s="24"/>
      <c r="F2497" s="23"/>
    </row>
    <row r="2498" spans="1:6" x14ac:dyDescent="0.3">
      <c r="A2498" t="s">
        <v>403</v>
      </c>
      <c r="B2498" s="23" t="s">
        <v>33</v>
      </c>
      <c r="C2498" s="23" t="s">
        <v>43</v>
      </c>
      <c r="D2498" s="24"/>
      <c r="E2498" s="24"/>
      <c r="F2498" s="23"/>
    </row>
    <row r="2499" spans="1:6" x14ac:dyDescent="0.3">
      <c r="A2499" t="s">
        <v>403</v>
      </c>
      <c r="B2499" s="23" t="s">
        <v>71</v>
      </c>
      <c r="C2499" s="23" t="s">
        <v>26</v>
      </c>
      <c r="D2499" s="24">
        <v>0.66666666666666596</v>
      </c>
      <c r="E2499" s="24">
        <v>0.79166666666666496</v>
      </c>
      <c r="F2499" s="23"/>
    </row>
    <row r="2500" spans="1:6" x14ac:dyDescent="0.3">
      <c r="A2500" t="s">
        <v>403</v>
      </c>
      <c r="B2500" s="23" t="s">
        <v>23</v>
      </c>
      <c r="C2500" s="23" t="s">
        <v>24</v>
      </c>
      <c r="D2500" s="24">
        <v>0.70833333333333204</v>
      </c>
      <c r="E2500" s="24">
        <v>0.98958333333333104</v>
      </c>
      <c r="F2500" s="23" t="s">
        <v>635</v>
      </c>
    </row>
    <row r="2501" spans="1:6" x14ac:dyDescent="0.3">
      <c r="A2501" t="s">
        <v>403</v>
      </c>
      <c r="B2501" s="23" t="s">
        <v>47</v>
      </c>
      <c r="C2501" s="23" t="s">
        <v>24</v>
      </c>
      <c r="D2501" s="24">
        <v>0.70833333333333204</v>
      </c>
      <c r="E2501" s="24">
        <v>0.98958333333333104</v>
      </c>
      <c r="F2501" s="23" t="s">
        <v>635</v>
      </c>
    </row>
    <row r="2502" spans="1:6" x14ac:dyDescent="0.3">
      <c r="A2502" t="s">
        <v>403</v>
      </c>
      <c r="B2502" s="23" t="s">
        <v>84</v>
      </c>
      <c r="C2502" s="23" t="s">
        <v>26</v>
      </c>
      <c r="D2502" s="24">
        <v>0.54166666666666596</v>
      </c>
      <c r="E2502" s="24">
        <v>0.66666666666666596</v>
      </c>
      <c r="F2502" s="23"/>
    </row>
    <row r="2503" spans="1:6" x14ac:dyDescent="0.3">
      <c r="A2503" t="s">
        <v>403</v>
      </c>
      <c r="B2503" s="23" t="s">
        <v>34</v>
      </c>
      <c r="C2503" s="23" t="s">
        <v>26</v>
      </c>
      <c r="D2503" s="24">
        <v>0.66666666666666596</v>
      </c>
      <c r="E2503" s="24">
        <v>0.79166666666666496</v>
      </c>
      <c r="F2503" s="23"/>
    </row>
    <row r="2504" spans="1:6" x14ac:dyDescent="0.3">
      <c r="A2504" t="s">
        <v>403</v>
      </c>
      <c r="B2504" s="23" t="s">
        <v>34</v>
      </c>
      <c r="C2504" s="23" t="s">
        <v>26</v>
      </c>
      <c r="D2504" s="24">
        <v>0.79166666666666496</v>
      </c>
      <c r="E2504" s="24">
        <v>0.98958333333333104</v>
      </c>
      <c r="F2504" s="23"/>
    </row>
    <row r="2505" spans="1:6" x14ac:dyDescent="0.3">
      <c r="A2505" t="s">
        <v>403</v>
      </c>
      <c r="B2505" s="23" t="s">
        <v>23</v>
      </c>
      <c r="C2505" s="23" t="s">
        <v>53</v>
      </c>
      <c r="D2505" s="24">
        <v>0.45833333333333298</v>
      </c>
      <c r="E2505" s="24">
        <v>0.54166666666666596</v>
      </c>
      <c r="F2505" s="23" t="s">
        <v>641</v>
      </c>
    </row>
    <row r="2506" spans="1:6" x14ac:dyDescent="0.3">
      <c r="A2506" t="s">
        <v>403</v>
      </c>
      <c r="B2506" s="23" t="s">
        <v>50</v>
      </c>
      <c r="C2506" s="23" t="s">
        <v>26</v>
      </c>
      <c r="D2506" s="24">
        <v>0.29166666666666669</v>
      </c>
      <c r="E2506" s="24">
        <v>0.41666666666666702</v>
      </c>
      <c r="F2506" s="23"/>
    </row>
    <row r="2507" spans="1:6" x14ac:dyDescent="0.3">
      <c r="A2507" t="s">
        <v>403</v>
      </c>
      <c r="B2507" s="23" t="s">
        <v>66</v>
      </c>
      <c r="C2507" s="23" t="s">
        <v>26</v>
      </c>
      <c r="D2507" s="24">
        <v>0.29166666666666669</v>
      </c>
      <c r="E2507" s="24">
        <v>0.41666666666666702</v>
      </c>
      <c r="F2507" s="23"/>
    </row>
    <row r="2508" spans="1:6" x14ac:dyDescent="0.3">
      <c r="A2508" t="s">
        <v>403</v>
      </c>
      <c r="B2508" s="23" t="s">
        <v>66</v>
      </c>
      <c r="C2508" s="23" t="s">
        <v>26</v>
      </c>
      <c r="D2508" s="24">
        <v>0.41666666666666702</v>
      </c>
      <c r="E2508" s="24">
        <v>0.54166666666666596</v>
      </c>
      <c r="F2508" s="23"/>
    </row>
    <row r="2509" spans="1:6" x14ac:dyDescent="0.3">
      <c r="A2509" t="s">
        <v>356</v>
      </c>
      <c r="B2509" t="s">
        <v>50</v>
      </c>
      <c r="C2509" t="s">
        <v>13</v>
      </c>
      <c r="D2509" s="2"/>
      <c r="E2509" s="2"/>
    </row>
    <row r="2510" spans="1:6" x14ac:dyDescent="0.3">
      <c r="A2510" t="s">
        <v>356</v>
      </c>
      <c r="B2510" s="23" t="s">
        <v>44</v>
      </c>
      <c r="C2510" s="23" t="s">
        <v>15</v>
      </c>
      <c r="D2510" s="24"/>
      <c r="E2510" s="24"/>
      <c r="F2510" s="23"/>
    </row>
    <row r="2511" spans="1:6" x14ac:dyDescent="0.3">
      <c r="A2511" t="s">
        <v>356</v>
      </c>
      <c r="B2511" s="23" t="s">
        <v>72</v>
      </c>
      <c r="C2511" s="23" t="s">
        <v>8</v>
      </c>
      <c r="D2511" s="24"/>
      <c r="E2511" s="24"/>
      <c r="F2511" s="23"/>
    </row>
    <row r="2512" spans="1:6" x14ac:dyDescent="0.3">
      <c r="A2512" t="s">
        <v>356</v>
      </c>
      <c r="B2512" s="23" t="s">
        <v>61</v>
      </c>
      <c r="C2512" s="23" t="s">
        <v>13</v>
      </c>
      <c r="D2512" s="24"/>
      <c r="E2512" s="24"/>
      <c r="F2512" s="23"/>
    </row>
    <row r="2513" spans="1:6" x14ac:dyDescent="0.3">
      <c r="A2513" t="s">
        <v>356</v>
      </c>
      <c r="B2513" s="23" t="s">
        <v>112</v>
      </c>
      <c r="C2513" s="23" t="s">
        <v>8</v>
      </c>
      <c r="D2513" s="24"/>
      <c r="E2513" s="24"/>
      <c r="F2513" s="23"/>
    </row>
    <row r="2514" spans="1:6" x14ac:dyDescent="0.3">
      <c r="A2514" t="s">
        <v>356</v>
      </c>
      <c r="B2514" s="23" t="s">
        <v>27</v>
      </c>
      <c r="C2514" s="23" t="s">
        <v>10</v>
      </c>
      <c r="D2514" s="24"/>
      <c r="E2514" s="24"/>
      <c r="F2514" s="23"/>
    </row>
    <row r="2515" spans="1:6" x14ac:dyDescent="0.3">
      <c r="A2515" t="s">
        <v>356</v>
      </c>
      <c r="B2515" s="23" t="s">
        <v>35</v>
      </c>
      <c r="C2515" s="23" t="s">
        <v>10</v>
      </c>
      <c r="D2515" s="24"/>
      <c r="E2515" s="24"/>
      <c r="F2515" s="23"/>
    </row>
    <row r="2516" spans="1:6" x14ac:dyDescent="0.3">
      <c r="A2516" t="s">
        <v>356</v>
      </c>
      <c r="B2516" s="23" t="s">
        <v>9</v>
      </c>
      <c r="C2516" s="23" t="s">
        <v>10</v>
      </c>
      <c r="D2516" s="24"/>
      <c r="E2516" s="24"/>
      <c r="F2516" s="23"/>
    </row>
    <row r="2517" spans="1:6" x14ac:dyDescent="0.3">
      <c r="A2517" t="s">
        <v>356</v>
      </c>
      <c r="B2517" s="23" t="s">
        <v>83</v>
      </c>
      <c r="C2517" s="23" t="s">
        <v>41</v>
      </c>
      <c r="D2517" s="24"/>
      <c r="E2517" s="24"/>
      <c r="F2517" s="23"/>
    </row>
    <row r="2518" spans="1:6" x14ac:dyDescent="0.3">
      <c r="A2518" t="s">
        <v>356</v>
      </c>
      <c r="B2518" s="23" t="s">
        <v>39</v>
      </c>
      <c r="C2518" s="23" t="s">
        <v>41</v>
      </c>
      <c r="D2518" s="24"/>
      <c r="E2518" s="24"/>
      <c r="F2518" s="23"/>
    </row>
    <row r="2519" spans="1:6" x14ac:dyDescent="0.3">
      <c r="A2519" t="s">
        <v>356</v>
      </c>
      <c r="B2519" s="23" t="s">
        <v>94</v>
      </c>
      <c r="C2519" s="23" t="s">
        <v>26</v>
      </c>
      <c r="D2519" s="24">
        <v>0.41666666666666702</v>
      </c>
      <c r="E2519" s="24">
        <v>0.54166666666666596</v>
      </c>
      <c r="F2519" s="23"/>
    </row>
    <row r="2520" spans="1:6" x14ac:dyDescent="0.3">
      <c r="A2520" t="s">
        <v>356</v>
      </c>
      <c r="B2520" s="23" t="s">
        <v>84</v>
      </c>
      <c r="C2520" s="23" t="s">
        <v>43</v>
      </c>
      <c r="D2520" s="24"/>
      <c r="E2520" s="24"/>
      <c r="F2520" s="23"/>
    </row>
    <row r="2521" spans="1:6" x14ac:dyDescent="0.3">
      <c r="A2521" t="s">
        <v>356</v>
      </c>
      <c r="B2521" s="23" t="s">
        <v>66</v>
      </c>
      <c r="C2521" s="23" t="s">
        <v>45</v>
      </c>
      <c r="D2521" s="24"/>
      <c r="E2521" s="24"/>
      <c r="F2521" s="23"/>
    </row>
    <row r="2522" spans="1:6" x14ac:dyDescent="0.3">
      <c r="A2522" t="s">
        <v>356</v>
      </c>
      <c r="B2522" s="23" t="s">
        <v>68</v>
      </c>
      <c r="C2522" s="23" t="s">
        <v>46</v>
      </c>
      <c r="D2522" s="24"/>
      <c r="E2522" s="24"/>
      <c r="F2522" s="23"/>
    </row>
    <row r="2523" spans="1:6" x14ac:dyDescent="0.3">
      <c r="A2523" t="s">
        <v>356</v>
      </c>
      <c r="B2523" s="23" t="s">
        <v>94</v>
      </c>
      <c r="C2523" s="23" t="s">
        <v>18</v>
      </c>
      <c r="D2523" s="24"/>
      <c r="E2523" s="24"/>
      <c r="F2523" s="23"/>
    </row>
    <row r="2524" spans="1:6" x14ac:dyDescent="0.3">
      <c r="A2524" t="s">
        <v>356</v>
      </c>
      <c r="B2524" s="23" t="s">
        <v>48</v>
      </c>
      <c r="C2524" s="23" t="s">
        <v>49</v>
      </c>
      <c r="D2524" s="24"/>
      <c r="E2524" s="24"/>
      <c r="F2524" s="23"/>
    </row>
    <row r="2525" spans="1:6" x14ac:dyDescent="0.3">
      <c r="A2525" t="s">
        <v>356</v>
      </c>
      <c r="B2525" s="23" t="s">
        <v>73</v>
      </c>
      <c r="C2525" s="23" t="s">
        <v>51</v>
      </c>
      <c r="D2525" s="24"/>
      <c r="E2525" s="24"/>
      <c r="F2525" s="23"/>
    </row>
    <row r="2526" spans="1:6" x14ac:dyDescent="0.3">
      <c r="A2526" t="s">
        <v>356</v>
      </c>
      <c r="B2526" s="23" t="s">
        <v>47</v>
      </c>
      <c r="C2526" s="23"/>
      <c r="D2526" s="24">
        <v>0.29166666666666669</v>
      </c>
      <c r="E2526" s="24">
        <v>0.79166666666666496</v>
      </c>
      <c r="F2526" s="23" t="s">
        <v>655</v>
      </c>
    </row>
    <row r="2527" spans="1:6" x14ac:dyDescent="0.3">
      <c r="A2527" t="s">
        <v>410</v>
      </c>
      <c r="B2527" t="s">
        <v>44</v>
      </c>
      <c r="C2527" t="s">
        <v>13</v>
      </c>
      <c r="D2527" s="2"/>
      <c r="E2527" s="2"/>
    </row>
    <row r="2528" spans="1:6" x14ac:dyDescent="0.3">
      <c r="A2528" t="s">
        <v>410</v>
      </c>
      <c r="B2528" s="23" t="s">
        <v>84</v>
      </c>
      <c r="C2528" s="23" t="s">
        <v>15</v>
      </c>
      <c r="D2528" s="24"/>
      <c r="E2528" s="24"/>
      <c r="F2528" s="23"/>
    </row>
    <row r="2529" spans="1:6" x14ac:dyDescent="0.3">
      <c r="A2529" t="s">
        <v>410</v>
      </c>
      <c r="B2529" s="23" t="s">
        <v>50</v>
      </c>
      <c r="C2529" s="23" t="s">
        <v>8</v>
      </c>
      <c r="D2529" s="24"/>
      <c r="E2529" s="24"/>
      <c r="F2529" s="23"/>
    </row>
    <row r="2530" spans="1:6" x14ac:dyDescent="0.3">
      <c r="A2530" t="s">
        <v>410</v>
      </c>
      <c r="B2530" s="23" t="s">
        <v>40</v>
      </c>
      <c r="C2530" s="23" t="s">
        <v>13</v>
      </c>
      <c r="D2530" s="24"/>
      <c r="E2530" s="24"/>
      <c r="F2530" s="23"/>
    </row>
    <row r="2531" spans="1:6" x14ac:dyDescent="0.3">
      <c r="A2531" t="s">
        <v>410</v>
      </c>
      <c r="B2531" s="23" t="s">
        <v>61</v>
      </c>
      <c r="C2531" s="23" t="s">
        <v>8</v>
      </c>
      <c r="D2531" s="24"/>
      <c r="E2531" s="24"/>
      <c r="F2531" s="23"/>
    </row>
    <row r="2532" spans="1:6" x14ac:dyDescent="0.3">
      <c r="A2532" t="s">
        <v>410</v>
      </c>
      <c r="B2532" s="23" t="s">
        <v>69</v>
      </c>
      <c r="C2532" s="23" t="s">
        <v>78</v>
      </c>
      <c r="D2532" s="24"/>
      <c r="E2532" s="24"/>
      <c r="F2532" s="23"/>
    </row>
    <row r="2533" spans="1:6" x14ac:dyDescent="0.3">
      <c r="A2533" t="s">
        <v>411</v>
      </c>
      <c r="B2533" t="s">
        <v>50</v>
      </c>
      <c r="C2533" t="s">
        <v>13</v>
      </c>
      <c r="D2533" s="2"/>
      <c r="E2533" s="2"/>
    </row>
    <row r="2534" spans="1:6" x14ac:dyDescent="0.3">
      <c r="A2534" t="s">
        <v>411</v>
      </c>
      <c r="B2534" s="23" t="s">
        <v>44</v>
      </c>
      <c r="C2534" s="23" t="s">
        <v>8</v>
      </c>
      <c r="D2534" s="24"/>
      <c r="E2534" s="24"/>
      <c r="F2534" s="23"/>
    </row>
    <row r="2535" spans="1:6" x14ac:dyDescent="0.3">
      <c r="A2535" t="s">
        <v>411</v>
      </c>
      <c r="B2535" s="23" t="s">
        <v>84</v>
      </c>
      <c r="C2535" s="23" t="s">
        <v>78</v>
      </c>
      <c r="D2535" s="24"/>
      <c r="E2535" s="24"/>
      <c r="F2535" s="23"/>
    </row>
    <row r="2536" spans="1:6" x14ac:dyDescent="0.3">
      <c r="A2536" t="s">
        <v>411</v>
      </c>
      <c r="B2536" s="23" t="s">
        <v>40</v>
      </c>
      <c r="C2536" s="23" t="s">
        <v>13</v>
      </c>
      <c r="D2536" s="24"/>
      <c r="E2536" s="24"/>
      <c r="F2536" s="23"/>
    </row>
    <row r="2537" spans="1:6" x14ac:dyDescent="0.3">
      <c r="A2537" t="s">
        <v>411</v>
      </c>
      <c r="B2537" s="23" t="s">
        <v>61</v>
      </c>
      <c r="C2537" s="23" t="s">
        <v>8</v>
      </c>
      <c r="D2537" s="24"/>
      <c r="E2537" s="24"/>
      <c r="F2537" s="23"/>
    </row>
    <row r="2538" spans="1:6" x14ac:dyDescent="0.3">
      <c r="A2538" t="s">
        <v>411</v>
      </c>
      <c r="B2538" s="23" t="s">
        <v>69</v>
      </c>
      <c r="C2538" s="23" t="s">
        <v>78</v>
      </c>
      <c r="D2538" s="24"/>
      <c r="E2538" s="24"/>
      <c r="F2538" s="23"/>
    </row>
    <row r="2539" spans="1:6" x14ac:dyDescent="0.3">
      <c r="A2539" t="s">
        <v>370</v>
      </c>
      <c r="B2539" t="s">
        <v>47</v>
      </c>
      <c r="C2539" t="s">
        <v>13</v>
      </c>
      <c r="D2539" s="2"/>
      <c r="E2539" s="2"/>
    </row>
    <row r="2540" spans="1:6" x14ac:dyDescent="0.3">
      <c r="A2540" t="s">
        <v>370</v>
      </c>
      <c r="B2540" s="23" t="s">
        <v>32</v>
      </c>
      <c r="C2540" s="23" t="s">
        <v>15</v>
      </c>
      <c r="D2540" s="24"/>
      <c r="E2540" s="24"/>
      <c r="F2540" s="23"/>
    </row>
    <row r="2541" spans="1:6" x14ac:dyDescent="0.3">
      <c r="A2541" t="s">
        <v>370</v>
      </c>
      <c r="B2541" s="23" t="s">
        <v>29</v>
      </c>
      <c r="C2541" s="23" t="s">
        <v>8</v>
      </c>
      <c r="D2541" s="24"/>
      <c r="E2541" s="24"/>
      <c r="F2541" s="23"/>
    </row>
    <row r="2542" spans="1:6" x14ac:dyDescent="0.3">
      <c r="A2542" t="s">
        <v>370</v>
      </c>
      <c r="B2542" s="23" t="s">
        <v>103</v>
      </c>
      <c r="C2542" s="23" t="s">
        <v>13</v>
      </c>
      <c r="D2542" s="24"/>
      <c r="E2542" s="24"/>
      <c r="F2542" s="23"/>
    </row>
    <row r="2543" spans="1:6" x14ac:dyDescent="0.3">
      <c r="A2543" t="s">
        <v>370</v>
      </c>
      <c r="B2543" s="23" t="s">
        <v>83</v>
      </c>
      <c r="C2543" s="23" t="s">
        <v>8</v>
      </c>
      <c r="D2543" s="24"/>
      <c r="E2543" s="24"/>
      <c r="F2543" s="23"/>
    </row>
    <row r="2544" spans="1:6" x14ac:dyDescent="0.3">
      <c r="A2544" t="s">
        <v>370</v>
      </c>
      <c r="B2544" s="23" t="s">
        <v>27</v>
      </c>
      <c r="C2544" s="23" t="s">
        <v>10</v>
      </c>
      <c r="D2544" s="24"/>
      <c r="E2544" s="24"/>
      <c r="F2544" s="23"/>
    </row>
    <row r="2545" spans="1:6" x14ac:dyDescent="0.3">
      <c r="A2545" t="s">
        <v>370</v>
      </c>
      <c r="B2545" s="23" t="s">
        <v>35</v>
      </c>
      <c r="C2545" s="23" t="s">
        <v>10</v>
      </c>
      <c r="D2545" s="24"/>
      <c r="E2545" s="24"/>
      <c r="F2545" s="23"/>
    </row>
    <row r="2546" spans="1:6" x14ac:dyDescent="0.3">
      <c r="A2546" t="s">
        <v>370</v>
      </c>
      <c r="B2546" s="23" t="s">
        <v>9</v>
      </c>
      <c r="C2546" s="23" t="s">
        <v>10</v>
      </c>
      <c r="D2546" s="24"/>
      <c r="E2546" s="24"/>
      <c r="F2546" s="23"/>
    </row>
    <row r="2547" spans="1:6" x14ac:dyDescent="0.3">
      <c r="A2547" t="s">
        <v>370</v>
      </c>
      <c r="B2547" s="23" t="s">
        <v>40</v>
      </c>
      <c r="C2547" s="23" t="s">
        <v>41</v>
      </c>
      <c r="D2547" s="24"/>
      <c r="E2547" s="24"/>
      <c r="F2547" s="23"/>
    </row>
    <row r="2548" spans="1:6" x14ac:dyDescent="0.3">
      <c r="A2548" t="s">
        <v>370</v>
      </c>
      <c r="B2548" s="23" t="s">
        <v>61</v>
      </c>
      <c r="C2548" s="23" t="s">
        <v>41</v>
      </c>
      <c r="D2548" s="24"/>
      <c r="E2548" s="24"/>
      <c r="F2548" s="23"/>
    </row>
    <row r="2549" spans="1:6" x14ac:dyDescent="0.3">
      <c r="A2549" t="s">
        <v>370</v>
      </c>
      <c r="B2549" s="23" t="s">
        <v>69</v>
      </c>
      <c r="C2549" s="23" t="s">
        <v>41</v>
      </c>
      <c r="D2549" s="24"/>
      <c r="E2549" s="24"/>
      <c r="F2549" s="23"/>
    </row>
    <row r="2550" spans="1:6" x14ac:dyDescent="0.3">
      <c r="A2550" t="s">
        <v>370</v>
      </c>
      <c r="B2550" s="23" t="s">
        <v>71</v>
      </c>
      <c r="C2550" s="23" t="s">
        <v>26</v>
      </c>
      <c r="D2550" s="24">
        <v>0.29166666666666669</v>
      </c>
      <c r="E2550" s="24">
        <v>0.41666666666666702</v>
      </c>
      <c r="F2550" s="23"/>
    </row>
    <row r="2551" spans="1:6" x14ac:dyDescent="0.3">
      <c r="A2551" t="s">
        <v>370</v>
      </c>
      <c r="B2551" s="23" t="s">
        <v>37</v>
      </c>
      <c r="C2551" s="23" t="s">
        <v>26</v>
      </c>
      <c r="D2551" s="24">
        <v>0.41666666666666702</v>
      </c>
      <c r="E2551" s="24">
        <v>0.54166666666666596</v>
      </c>
      <c r="F2551" s="23"/>
    </row>
    <row r="2552" spans="1:6" x14ac:dyDescent="0.3">
      <c r="A2552" t="s">
        <v>370</v>
      </c>
      <c r="B2552" s="23" t="s">
        <v>142</v>
      </c>
      <c r="C2552" s="23" t="s">
        <v>26</v>
      </c>
      <c r="D2552" s="24">
        <v>0.66666666666666596</v>
      </c>
      <c r="E2552" s="24">
        <v>0.79166666666666496</v>
      </c>
      <c r="F2552" s="23"/>
    </row>
    <row r="2553" spans="1:6" x14ac:dyDescent="0.3">
      <c r="A2553" t="s">
        <v>370</v>
      </c>
      <c r="B2553" s="23" t="s">
        <v>64</v>
      </c>
      <c r="C2553" s="23" t="s">
        <v>43</v>
      </c>
      <c r="D2553" s="24"/>
      <c r="E2553" s="24"/>
      <c r="F2553" s="23"/>
    </row>
    <row r="2554" spans="1:6" x14ac:dyDescent="0.3">
      <c r="A2554" t="s">
        <v>370</v>
      </c>
      <c r="B2554" s="23" t="s">
        <v>44</v>
      </c>
      <c r="C2554" s="23" t="s">
        <v>45</v>
      </c>
      <c r="D2554" s="24"/>
      <c r="E2554" s="24"/>
      <c r="F2554" s="23"/>
    </row>
    <row r="2555" spans="1:6" x14ac:dyDescent="0.3">
      <c r="A2555" t="s">
        <v>370</v>
      </c>
      <c r="B2555" s="23" t="s">
        <v>21</v>
      </c>
      <c r="C2555" s="23" t="s">
        <v>46</v>
      </c>
      <c r="D2555" s="24"/>
      <c r="E2555" s="24"/>
      <c r="F2555" s="23"/>
    </row>
    <row r="2556" spans="1:6" x14ac:dyDescent="0.3">
      <c r="A2556" t="s">
        <v>370</v>
      </c>
      <c r="B2556" s="23" t="s">
        <v>72</v>
      </c>
      <c r="C2556" s="23" t="s">
        <v>18</v>
      </c>
      <c r="D2556" s="24"/>
      <c r="E2556" s="24"/>
      <c r="F2556" s="23"/>
    </row>
    <row r="2557" spans="1:6" x14ac:dyDescent="0.3">
      <c r="A2557" t="s">
        <v>370</v>
      </c>
      <c r="B2557" s="23" t="s">
        <v>71</v>
      </c>
      <c r="C2557" s="23" t="s">
        <v>49</v>
      </c>
      <c r="D2557" s="24"/>
      <c r="E2557" s="24"/>
      <c r="F2557" s="23"/>
    </row>
    <row r="2558" spans="1:6" x14ac:dyDescent="0.3">
      <c r="A2558" t="s">
        <v>370</v>
      </c>
      <c r="B2558" s="23" t="s">
        <v>50</v>
      </c>
      <c r="C2558" s="23" t="s">
        <v>51</v>
      </c>
      <c r="D2558" s="24"/>
      <c r="E2558" s="24"/>
      <c r="F2558" s="23"/>
    </row>
    <row r="2559" spans="1:6" x14ac:dyDescent="0.3">
      <c r="A2559" t="s">
        <v>370</v>
      </c>
      <c r="B2559" s="23" t="s">
        <v>20</v>
      </c>
      <c r="C2559" s="23" t="s">
        <v>24</v>
      </c>
      <c r="D2559" s="24">
        <v>0.29166666666666669</v>
      </c>
      <c r="E2559" s="24">
        <v>0.79166666666666496</v>
      </c>
      <c r="F2559" s="23" t="s">
        <v>643</v>
      </c>
    </row>
    <row r="2560" spans="1:6" x14ac:dyDescent="0.3">
      <c r="A2560" t="s">
        <v>370</v>
      </c>
      <c r="B2560" s="23" t="s">
        <v>63</v>
      </c>
      <c r="C2560" s="23" t="s">
        <v>24</v>
      </c>
      <c r="D2560" s="24">
        <v>0.33333333333333298</v>
      </c>
      <c r="E2560" s="24">
        <v>0.41666666666666702</v>
      </c>
      <c r="F2560" s="23" t="s">
        <v>644</v>
      </c>
    </row>
    <row r="2561" spans="1:6" x14ac:dyDescent="0.3">
      <c r="A2561" t="s">
        <v>370</v>
      </c>
      <c r="B2561" s="23" t="s">
        <v>14</v>
      </c>
      <c r="C2561" s="23" t="s">
        <v>53</v>
      </c>
      <c r="D2561" s="24">
        <v>0.79166666666666496</v>
      </c>
      <c r="E2561" s="24">
        <v>0.83333333333333204</v>
      </c>
      <c r="F2561" s="23" t="s">
        <v>645</v>
      </c>
    </row>
    <row r="2562" spans="1:6" x14ac:dyDescent="0.3">
      <c r="A2562" t="s">
        <v>370</v>
      </c>
      <c r="B2562" s="23" t="s">
        <v>63</v>
      </c>
      <c r="C2562" s="23" t="s">
        <v>55</v>
      </c>
      <c r="D2562" s="24">
        <v>0.749999999999999</v>
      </c>
      <c r="E2562" s="24">
        <v>0.79166666666666496</v>
      </c>
      <c r="F2562" s="23" t="s">
        <v>646</v>
      </c>
    </row>
    <row r="2563" spans="1:6" x14ac:dyDescent="0.3">
      <c r="A2563" t="s">
        <v>370</v>
      </c>
      <c r="B2563" s="23" t="s">
        <v>71</v>
      </c>
      <c r="C2563" s="23" t="s">
        <v>55</v>
      </c>
      <c r="D2563" s="24">
        <v>0.83333333333333204</v>
      </c>
      <c r="E2563" s="24">
        <v>0.874999999999998</v>
      </c>
      <c r="F2563" s="23" t="s">
        <v>647</v>
      </c>
    </row>
    <row r="2564" spans="1:6" x14ac:dyDescent="0.3">
      <c r="A2564" t="s">
        <v>370</v>
      </c>
      <c r="B2564" s="23" t="s">
        <v>214</v>
      </c>
      <c r="C2564" s="23" t="s">
        <v>24</v>
      </c>
      <c r="D2564" s="24"/>
      <c r="E2564" s="24"/>
      <c r="F2564" s="23" t="s">
        <v>365</v>
      </c>
    </row>
    <row r="2565" spans="1:6" x14ac:dyDescent="0.3">
      <c r="A2565" t="s">
        <v>370</v>
      </c>
      <c r="B2565" s="23" t="s">
        <v>72</v>
      </c>
      <c r="C2565" s="23" t="s">
        <v>26</v>
      </c>
      <c r="D2565" s="24">
        <v>0.41666666666666702</v>
      </c>
      <c r="E2565" s="24">
        <v>0.54166666666666596</v>
      </c>
      <c r="F2565" s="23"/>
    </row>
    <row r="2566" spans="1:6" x14ac:dyDescent="0.3">
      <c r="A2566" t="s">
        <v>370</v>
      </c>
      <c r="B2566" s="23" t="s">
        <v>33</v>
      </c>
      <c r="C2566" s="23" t="s">
        <v>26</v>
      </c>
      <c r="D2566" s="24">
        <v>0.79166666666666496</v>
      </c>
      <c r="E2566" s="24">
        <v>0.98958333333333104</v>
      </c>
      <c r="F2566" s="23"/>
    </row>
    <row r="2567" spans="1:6" x14ac:dyDescent="0.3">
      <c r="A2567" t="s">
        <v>370</v>
      </c>
      <c r="B2567" s="23" t="s">
        <v>73</v>
      </c>
      <c r="C2567" s="23" t="s">
        <v>24</v>
      </c>
      <c r="D2567" s="24">
        <v>0.79166666666666496</v>
      </c>
      <c r="E2567" s="24">
        <v>0.98958333333333104</v>
      </c>
      <c r="F2567" s="23" t="s">
        <v>676</v>
      </c>
    </row>
    <row r="2568" spans="1:6" x14ac:dyDescent="0.3">
      <c r="A2568" t="s">
        <v>370</v>
      </c>
      <c r="B2568" s="23" t="s">
        <v>103</v>
      </c>
      <c r="C2568" s="23" t="s">
        <v>24</v>
      </c>
      <c r="D2568" s="24">
        <v>0.687499999999999</v>
      </c>
      <c r="E2568" s="24">
        <v>0.72916666666666496</v>
      </c>
      <c r="F2568" s="23" t="s">
        <v>420</v>
      </c>
    </row>
    <row r="2569" spans="1:6" x14ac:dyDescent="0.3">
      <c r="A2569" t="s">
        <v>370</v>
      </c>
      <c r="B2569" s="23" t="s">
        <v>40</v>
      </c>
      <c r="C2569" s="23" t="s">
        <v>24</v>
      </c>
      <c r="D2569" s="24">
        <v>0.687499999999999</v>
      </c>
      <c r="E2569" s="24">
        <v>0.72916666666666496</v>
      </c>
      <c r="F2569" s="23" t="s">
        <v>420</v>
      </c>
    </row>
    <row r="2570" spans="1:6" x14ac:dyDescent="0.3">
      <c r="A2570" t="s">
        <v>422</v>
      </c>
      <c r="B2570" s="23" t="s">
        <v>142</v>
      </c>
      <c r="C2570" s="23" t="s">
        <v>13</v>
      </c>
      <c r="D2570" s="24"/>
      <c r="E2570" s="24"/>
      <c r="F2570" s="23"/>
    </row>
    <row r="2571" spans="1:6" x14ac:dyDescent="0.3">
      <c r="A2571" t="s">
        <v>422</v>
      </c>
      <c r="B2571" s="23" t="s">
        <v>37</v>
      </c>
      <c r="C2571" s="23" t="s">
        <v>15</v>
      </c>
      <c r="D2571" s="24"/>
      <c r="E2571" s="24"/>
      <c r="F2571" s="23"/>
    </row>
    <row r="2572" spans="1:6" x14ac:dyDescent="0.3">
      <c r="A2572" t="s">
        <v>422</v>
      </c>
      <c r="B2572" s="23" t="s">
        <v>33</v>
      </c>
      <c r="C2572" s="23" t="s">
        <v>8</v>
      </c>
      <c r="D2572" s="24"/>
      <c r="E2572" s="24"/>
      <c r="F2572" s="23"/>
    </row>
    <row r="2573" spans="1:6" x14ac:dyDescent="0.3">
      <c r="A2573" t="s">
        <v>422</v>
      </c>
      <c r="B2573" s="23" t="s">
        <v>80</v>
      </c>
      <c r="C2573" s="23" t="s">
        <v>13</v>
      </c>
      <c r="D2573" s="24"/>
      <c r="E2573" s="24"/>
      <c r="F2573" s="23"/>
    </row>
    <row r="2574" spans="1:6" x14ac:dyDescent="0.3">
      <c r="A2574" t="s">
        <v>422</v>
      </c>
      <c r="B2574" s="23" t="s">
        <v>79</v>
      </c>
      <c r="C2574" s="23" t="s">
        <v>8</v>
      </c>
      <c r="D2574" s="24"/>
      <c r="E2574" s="24"/>
      <c r="F2574" s="23"/>
    </row>
    <row r="2575" spans="1:6" x14ac:dyDescent="0.3">
      <c r="A2575" t="s">
        <v>422</v>
      </c>
      <c r="B2575" s="23" t="s">
        <v>27</v>
      </c>
      <c r="C2575" s="23" t="s">
        <v>10</v>
      </c>
      <c r="D2575" s="24"/>
      <c r="E2575" s="24"/>
      <c r="F2575" s="23"/>
    </row>
    <row r="2576" spans="1:6" x14ac:dyDescent="0.3">
      <c r="A2576" t="s">
        <v>422</v>
      </c>
      <c r="B2576" s="23" t="s">
        <v>35</v>
      </c>
      <c r="C2576" s="23" t="s">
        <v>10</v>
      </c>
      <c r="D2576" s="24"/>
      <c r="E2576" s="24"/>
      <c r="F2576" s="23"/>
    </row>
    <row r="2577" spans="1:6" x14ac:dyDescent="0.3">
      <c r="A2577" t="s">
        <v>422</v>
      </c>
      <c r="B2577" s="23" t="s">
        <v>9</v>
      </c>
      <c r="C2577" s="23" t="s">
        <v>10</v>
      </c>
      <c r="D2577" s="24"/>
      <c r="E2577" s="24"/>
      <c r="F2577" s="23"/>
    </row>
    <row r="2578" spans="1:6" x14ac:dyDescent="0.3">
      <c r="A2578" t="s">
        <v>422</v>
      </c>
      <c r="B2578" s="23" t="s">
        <v>103</v>
      </c>
      <c r="C2578" s="23" t="s">
        <v>41</v>
      </c>
      <c r="D2578" s="24"/>
      <c r="E2578" s="24"/>
      <c r="F2578" s="23"/>
    </row>
    <row r="2579" spans="1:6" x14ac:dyDescent="0.3">
      <c r="A2579" t="s">
        <v>422</v>
      </c>
      <c r="B2579" s="23" t="s">
        <v>83</v>
      </c>
      <c r="C2579" s="23" t="s">
        <v>41</v>
      </c>
      <c r="D2579" s="24"/>
      <c r="E2579" s="24"/>
      <c r="F2579" s="23"/>
    </row>
    <row r="2580" spans="1:6" x14ac:dyDescent="0.3">
      <c r="A2580" t="s">
        <v>422</v>
      </c>
      <c r="B2580" s="23" t="s">
        <v>48</v>
      </c>
      <c r="C2580" s="23" t="s">
        <v>26</v>
      </c>
      <c r="D2580" s="24">
        <v>0.66666666666666596</v>
      </c>
      <c r="E2580" s="24">
        <v>0.79166666666666496</v>
      </c>
      <c r="F2580" s="23"/>
    </row>
    <row r="2581" spans="1:6" x14ac:dyDescent="0.3">
      <c r="A2581" t="s">
        <v>422</v>
      </c>
      <c r="B2581" s="23" t="s">
        <v>48</v>
      </c>
      <c r="C2581" s="23" t="s">
        <v>26</v>
      </c>
      <c r="D2581" s="24">
        <v>0.79166666666666496</v>
      </c>
      <c r="E2581" s="24">
        <v>0.91666666666666496</v>
      </c>
      <c r="F2581" s="23"/>
    </row>
    <row r="2582" spans="1:6" x14ac:dyDescent="0.3">
      <c r="A2582" t="s">
        <v>422</v>
      </c>
      <c r="B2582" s="23" t="s">
        <v>12</v>
      </c>
      <c r="C2582" s="23" t="s">
        <v>43</v>
      </c>
      <c r="D2582" s="24"/>
      <c r="E2582" s="24"/>
      <c r="F2582" s="23"/>
    </row>
    <row r="2583" spans="1:6" x14ac:dyDescent="0.3">
      <c r="A2583" t="s">
        <v>422</v>
      </c>
      <c r="B2583" s="23" t="s">
        <v>66</v>
      </c>
      <c r="C2583" s="23" t="s">
        <v>45</v>
      </c>
      <c r="D2583" s="24"/>
      <c r="E2583" s="24"/>
      <c r="F2583" s="23"/>
    </row>
    <row r="2584" spans="1:6" x14ac:dyDescent="0.3">
      <c r="A2584" t="s">
        <v>422</v>
      </c>
      <c r="B2584" s="23" t="s">
        <v>16</v>
      </c>
      <c r="C2584" s="23" t="s">
        <v>46</v>
      </c>
      <c r="D2584" s="24"/>
      <c r="E2584" s="24"/>
      <c r="F2584" s="23"/>
    </row>
    <row r="2585" spans="1:6" x14ac:dyDescent="0.3">
      <c r="A2585" t="s">
        <v>422</v>
      </c>
      <c r="B2585" s="23" t="s">
        <v>47</v>
      </c>
      <c r="C2585" s="23" t="s">
        <v>18</v>
      </c>
      <c r="D2585" s="24"/>
      <c r="E2585" s="24"/>
      <c r="F2585" s="23"/>
    </row>
    <row r="2586" spans="1:6" x14ac:dyDescent="0.3">
      <c r="A2586" t="s">
        <v>422</v>
      </c>
      <c r="B2586" s="23" t="s">
        <v>71</v>
      </c>
      <c r="C2586" s="23" t="s">
        <v>49</v>
      </c>
      <c r="D2586" s="24"/>
      <c r="E2586" s="24"/>
      <c r="F2586" s="23"/>
    </row>
    <row r="2587" spans="1:6" x14ac:dyDescent="0.3">
      <c r="A2587" t="s">
        <v>422</v>
      </c>
      <c r="B2587" s="23" t="s">
        <v>75</v>
      </c>
      <c r="C2587" s="23" t="s">
        <v>51</v>
      </c>
      <c r="D2587" s="24"/>
      <c r="E2587" s="24"/>
      <c r="F2587" s="23"/>
    </row>
    <row r="2588" spans="1:6" x14ac:dyDescent="0.3">
      <c r="A2588" t="s">
        <v>422</v>
      </c>
      <c r="B2588" s="23" t="s">
        <v>25</v>
      </c>
      <c r="C2588" s="23" t="s">
        <v>124</v>
      </c>
      <c r="D2588" s="24">
        <v>0.79166666666666496</v>
      </c>
      <c r="E2588" s="24">
        <v>0.91666666666666496</v>
      </c>
      <c r="F2588" s="23" t="s">
        <v>650</v>
      </c>
    </row>
    <row r="2589" spans="1:6" x14ac:dyDescent="0.3">
      <c r="A2589" t="s">
        <v>422</v>
      </c>
      <c r="B2589" s="23" t="s">
        <v>12</v>
      </c>
      <c r="C2589" s="23" t="s">
        <v>222</v>
      </c>
      <c r="D2589" s="24">
        <v>0.83333333333333204</v>
      </c>
      <c r="E2589" s="24">
        <v>0.91666666666666496</v>
      </c>
      <c r="F2589" s="23" t="s">
        <v>223</v>
      </c>
    </row>
    <row r="2590" spans="1:6" x14ac:dyDescent="0.3">
      <c r="A2590" t="s">
        <v>422</v>
      </c>
      <c r="B2590" s="23" t="s">
        <v>23</v>
      </c>
      <c r="C2590" s="23" t="s">
        <v>24</v>
      </c>
      <c r="D2590" s="24">
        <v>0.5</v>
      </c>
      <c r="E2590" s="24">
        <v>0.79166666666666496</v>
      </c>
      <c r="F2590" s="23" t="s">
        <v>648</v>
      </c>
    </row>
    <row r="2591" spans="1:6" x14ac:dyDescent="0.3">
      <c r="A2591" t="s">
        <v>422</v>
      </c>
      <c r="B2591" s="23" t="s">
        <v>50</v>
      </c>
      <c r="C2591" s="23" t="s">
        <v>55</v>
      </c>
      <c r="D2591" s="24">
        <v>0.29166666666666669</v>
      </c>
      <c r="E2591" s="24">
        <v>0.33333333333333298</v>
      </c>
      <c r="F2591" s="23" t="s">
        <v>649</v>
      </c>
    </row>
    <row r="2592" spans="1:6" x14ac:dyDescent="0.3">
      <c r="A2592" t="s">
        <v>422</v>
      </c>
      <c r="B2592" s="23" t="s">
        <v>73</v>
      </c>
      <c r="C2592" s="23" t="s">
        <v>24</v>
      </c>
      <c r="D2592" s="24">
        <v>0.79166666666666496</v>
      </c>
      <c r="E2592" s="24">
        <v>0.98958333333333104</v>
      </c>
      <c r="F2592" s="23" t="s">
        <v>672</v>
      </c>
    </row>
    <row r="2593" spans="1:6" x14ac:dyDescent="0.3">
      <c r="A2593" t="s">
        <v>422</v>
      </c>
      <c r="B2593" s="23" t="s">
        <v>47</v>
      </c>
      <c r="C2593" s="23" t="s">
        <v>53</v>
      </c>
      <c r="D2593" s="24">
        <v>0.66666666666666596</v>
      </c>
      <c r="E2593" s="24">
        <v>0.749999999999999</v>
      </c>
      <c r="F2593" s="23" t="s">
        <v>53</v>
      </c>
    </row>
    <row r="2594" spans="1:6" x14ac:dyDescent="0.3">
      <c r="A2594" t="s">
        <v>422</v>
      </c>
      <c r="B2594" s="23" t="s">
        <v>47</v>
      </c>
      <c r="C2594" s="23" t="s">
        <v>24</v>
      </c>
      <c r="D2594" s="24">
        <v>0.79166666666666496</v>
      </c>
      <c r="E2594" s="24">
        <v>0.98958333333333104</v>
      </c>
      <c r="F2594" s="23" t="s">
        <v>673</v>
      </c>
    </row>
    <row r="2595" spans="1:6" x14ac:dyDescent="0.3">
      <c r="A2595" t="s">
        <v>423</v>
      </c>
      <c r="B2595" t="s">
        <v>73</v>
      </c>
      <c r="C2595" t="s">
        <v>13</v>
      </c>
      <c r="D2595" s="2"/>
      <c r="E2595" s="2"/>
    </row>
    <row r="2596" spans="1:6" x14ac:dyDescent="0.3">
      <c r="A2596" t="s">
        <v>423</v>
      </c>
      <c r="B2596" s="23" t="s">
        <v>64</v>
      </c>
      <c r="C2596" s="23" t="s">
        <v>15</v>
      </c>
      <c r="D2596" s="24"/>
      <c r="E2596" s="24"/>
      <c r="F2596" s="23"/>
    </row>
    <row r="2597" spans="1:6" x14ac:dyDescent="0.3">
      <c r="A2597" t="s">
        <v>423</v>
      </c>
      <c r="B2597" s="23" t="s">
        <v>29</v>
      </c>
      <c r="C2597" s="23" t="s">
        <v>8</v>
      </c>
      <c r="D2597" s="24"/>
      <c r="E2597" s="24"/>
      <c r="F2597" s="23"/>
    </row>
    <row r="2598" spans="1:6" x14ac:dyDescent="0.3">
      <c r="A2598" t="s">
        <v>423</v>
      </c>
      <c r="B2598" s="23" t="s">
        <v>40</v>
      </c>
      <c r="C2598" s="23" t="s">
        <v>13</v>
      </c>
      <c r="D2598" s="24"/>
      <c r="E2598" s="24"/>
      <c r="F2598" s="23"/>
    </row>
    <row r="2599" spans="1:6" x14ac:dyDescent="0.3">
      <c r="A2599" t="s">
        <v>423</v>
      </c>
      <c r="B2599" s="23" t="s">
        <v>98</v>
      </c>
      <c r="C2599" s="23" t="s">
        <v>8</v>
      </c>
      <c r="D2599" s="24"/>
      <c r="E2599" s="24"/>
      <c r="F2599" s="23"/>
    </row>
    <row r="2600" spans="1:6" x14ac:dyDescent="0.3">
      <c r="A2600" t="s">
        <v>423</v>
      </c>
      <c r="B2600" s="23" t="s">
        <v>27</v>
      </c>
      <c r="C2600" s="23" t="s">
        <v>10</v>
      </c>
      <c r="D2600" s="24"/>
      <c r="E2600" s="24"/>
      <c r="F2600" s="23"/>
    </row>
    <row r="2601" spans="1:6" x14ac:dyDescent="0.3">
      <c r="A2601" t="s">
        <v>423</v>
      </c>
      <c r="B2601" s="23" t="s">
        <v>35</v>
      </c>
      <c r="C2601" s="23" t="s">
        <v>10</v>
      </c>
      <c r="D2601" s="24"/>
      <c r="E2601" s="24"/>
      <c r="F2601" s="23"/>
    </row>
    <row r="2602" spans="1:6" x14ac:dyDescent="0.3">
      <c r="A2602" t="s">
        <v>423</v>
      </c>
      <c r="B2602" s="23" t="s">
        <v>9</v>
      </c>
      <c r="C2602" s="23" t="s">
        <v>10</v>
      </c>
      <c r="D2602" s="24"/>
      <c r="E2602" s="24"/>
      <c r="F2602" s="23"/>
    </row>
    <row r="2603" spans="1:6" x14ac:dyDescent="0.3">
      <c r="A2603" t="s">
        <v>423</v>
      </c>
      <c r="B2603" s="23" t="s">
        <v>80</v>
      </c>
      <c r="C2603" s="23" t="s">
        <v>41</v>
      </c>
      <c r="D2603" s="24"/>
      <c r="E2603" s="24"/>
      <c r="F2603" s="23"/>
    </row>
    <row r="2604" spans="1:6" x14ac:dyDescent="0.3">
      <c r="A2604" t="s">
        <v>423</v>
      </c>
      <c r="B2604" s="23" t="s">
        <v>79</v>
      </c>
      <c r="C2604" s="23" t="s">
        <v>41</v>
      </c>
      <c r="D2604" s="24"/>
      <c r="E2604" s="24"/>
      <c r="F2604" s="23"/>
    </row>
    <row r="2605" spans="1:6" x14ac:dyDescent="0.3">
      <c r="A2605" t="s">
        <v>423</v>
      </c>
      <c r="B2605" s="23" t="s">
        <v>48</v>
      </c>
      <c r="C2605" s="23" t="s">
        <v>26</v>
      </c>
      <c r="D2605" s="24">
        <v>0.29166666666666669</v>
      </c>
      <c r="E2605" s="24">
        <v>0.41666666666666702</v>
      </c>
      <c r="F2605" s="23"/>
    </row>
    <row r="2606" spans="1:6" x14ac:dyDescent="0.3">
      <c r="A2606" t="s">
        <v>423</v>
      </c>
      <c r="B2606" s="23" t="s">
        <v>16</v>
      </c>
      <c r="C2606" s="23" t="s">
        <v>26</v>
      </c>
      <c r="D2606" s="24">
        <v>0.66666666666666596</v>
      </c>
      <c r="E2606" s="24">
        <v>0.79166666666666496</v>
      </c>
      <c r="F2606" s="23"/>
    </row>
    <row r="2607" spans="1:6" x14ac:dyDescent="0.3">
      <c r="A2607" t="s">
        <v>423</v>
      </c>
      <c r="B2607" s="23" t="s">
        <v>68</v>
      </c>
      <c r="C2607" s="23" t="s">
        <v>26</v>
      </c>
      <c r="D2607" s="24">
        <v>0.66666666666666596</v>
      </c>
      <c r="E2607" s="24">
        <v>0.79166666666666496</v>
      </c>
      <c r="F2607" s="23"/>
    </row>
    <row r="2608" spans="1:6" x14ac:dyDescent="0.3">
      <c r="A2608" t="s">
        <v>423</v>
      </c>
      <c r="B2608" s="23" t="s">
        <v>16</v>
      </c>
      <c r="C2608" s="23" t="s">
        <v>26</v>
      </c>
      <c r="D2608" s="24">
        <v>0.79166666666666496</v>
      </c>
      <c r="E2608" s="24">
        <v>0.91666666666666496</v>
      </c>
      <c r="F2608" s="23"/>
    </row>
    <row r="2609" spans="1:6" x14ac:dyDescent="0.3">
      <c r="A2609" t="s">
        <v>423</v>
      </c>
      <c r="B2609" s="23" t="s">
        <v>68</v>
      </c>
      <c r="C2609" s="23" t="s">
        <v>26</v>
      </c>
      <c r="D2609" s="24">
        <v>0.79166666666666496</v>
      </c>
      <c r="E2609" s="24">
        <v>0.91666666666666496</v>
      </c>
      <c r="F2609" s="23"/>
    </row>
    <row r="2610" spans="1:6" x14ac:dyDescent="0.3">
      <c r="A2610" t="s">
        <v>423</v>
      </c>
      <c r="B2610" s="23" t="s">
        <v>50</v>
      </c>
      <c r="C2610" s="23" t="s">
        <v>26</v>
      </c>
      <c r="D2610" s="24">
        <v>0.79166666666666496</v>
      </c>
      <c r="E2610" s="24">
        <v>0.91666666666666496</v>
      </c>
      <c r="F2610" s="23"/>
    </row>
    <row r="2611" spans="1:6" x14ac:dyDescent="0.3">
      <c r="A2611" t="s">
        <v>423</v>
      </c>
      <c r="B2611" s="23" t="s">
        <v>142</v>
      </c>
      <c r="C2611" s="23" t="s">
        <v>43</v>
      </c>
      <c r="D2611" s="24"/>
      <c r="E2611" s="24"/>
      <c r="F2611" s="23"/>
    </row>
    <row r="2612" spans="1:6" x14ac:dyDescent="0.3">
      <c r="A2612" t="s">
        <v>423</v>
      </c>
      <c r="B2612" s="23" t="s">
        <v>66</v>
      </c>
      <c r="C2612" s="23" t="s">
        <v>45</v>
      </c>
      <c r="D2612" s="24"/>
      <c r="E2612" s="24"/>
      <c r="F2612" s="23"/>
    </row>
    <row r="2613" spans="1:6" x14ac:dyDescent="0.3">
      <c r="A2613" t="s">
        <v>423</v>
      </c>
      <c r="B2613" s="23" t="s">
        <v>68</v>
      </c>
      <c r="C2613" s="23" t="s">
        <v>46</v>
      </c>
      <c r="D2613" s="24"/>
      <c r="E2613" s="24"/>
      <c r="F2613" s="23"/>
    </row>
    <row r="2614" spans="1:6" x14ac:dyDescent="0.3">
      <c r="A2614" t="s">
        <v>423</v>
      </c>
      <c r="B2614" s="23" t="s">
        <v>63</v>
      </c>
      <c r="C2614" s="23" t="s">
        <v>18</v>
      </c>
      <c r="D2614" s="24"/>
      <c r="E2614" s="24"/>
      <c r="F2614" s="23"/>
    </row>
    <row r="2615" spans="1:6" x14ac:dyDescent="0.3">
      <c r="A2615" t="s">
        <v>423</v>
      </c>
      <c r="B2615" s="23" t="s">
        <v>71</v>
      </c>
      <c r="C2615" s="23" t="s">
        <v>49</v>
      </c>
      <c r="D2615" s="24"/>
      <c r="E2615" s="24"/>
      <c r="F2615" s="23"/>
    </row>
    <row r="2616" spans="1:6" x14ac:dyDescent="0.3">
      <c r="A2616" t="s">
        <v>423</v>
      </c>
      <c r="B2616" s="23" t="s">
        <v>73</v>
      </c>
      <c r="C2616" s="23" t="s">
        <v>51</v>
      </c>
      <c r="D2616" s="24"/>
      <c r="E2616" s="24"/>
      <c r="F2616" s="23"/>
    </row>
    <row r="2617" spans="1:6" x14ac:dyDescent="0.3">
      <c r="A2617" t="s">
        <v>423</v>
      </c>
      <c r="B2617" s="23" t="s">
        <v>23</v>
      </c>
      <c r="C2617" s="23" t="s">
        <v>24</v>
      </c>
      <c r="D2617" s="24">
        <v>0.29166666666666669</v>
      </c>
      <c r="E2617" s="24">
        <v>0.79166666666666496</v>
      </c>
      <c r="F2617" s="23" t="s">
        <v>648</v>
      </c>
    </row>
    <row r="2618" spans="1:6" x14ac:dyDescent="0.3">
      <c r="A2618" t="s">
        <v>423</v>
      </c>
      <c r="B2618" s="23" t="s">
        <v>32</v>
      </c>
      <c r="C2618" s="23" t="s">
        <v>55</v>
      </c>
      <c r="D2618" s="24">
        <v>0.29166666666666669</v>
      </c>
      <c r="E2618" s="24">
        <v>0.33333333333333298</v>
      </c>
      <c r="F2618" s="23" t="s">
        <v>651</v>
      </c>
    </row>
    <row r="2619" spans="1:6" x14ac:dyDescent="0.3">
      <c r="A2619" t="s">
        <v>423</v>
      </c>
      <c r="B2619" s="23" t="s">
        <v>63</v>
      </c>
      <c r="C2619" s="23" t="s">
        <v>53</v>
      </c>
      <c r="D2619" s="24">
        <v>0.58333333333333304</v>
      </c>
      <c r="E2619" s="24">
        <v>0.66666666666666596</v>
      </c>
      <c r="F2619" s="23" t="s">
        <v>279</v>
      </c>
    </row>
    <row r="2620" spans="1:6" x14ac:dyDescent="0.3">
      <c r="A2620" t="s">
        <v>423</v>
      </c>
      <c r="B2620" s="23" t="s">
        <v>66</v>
      </c>
      <c r="C2620" s="23" t="s">
        <v>26</v>
      </c>
      <c r="D2620" s="24">
        <v>0.79166666666666496</v>
      </c>
      <c r="E2620" s="24">
        <v>0.98958333333333104</v>
      </c>
      <c r="F2620" s="23"/>
    </row>
    <row r="2621" spans="1:6" x14ac:dyDescent="0.3">
      <c r="A2621" t="s">
        <v>423</v>
      </c>
      <c r="B2621" s="23" t="s">
        <v>12</v>
      </c>
      <c r="C2621" s="23" t="s">
        <v>26</v>
      </c>
      <c r="D2621" s="24">
        <v>0.79166666666666496</v>
      </c>
      <c r="E2621" s="24">
        <v>0.98958333333333104</v>
      </c>
      <c r="F2621" s="23"/>
    </row>
    <row r="2622" spans="1:6" x14ac:dyDescent="0.3">
      <c r="A2622" t="s">
        <v>423</v>
      </c>
      <c r="B2622" s="23" t="s">
        <v>47</v>
      </c>
      <c r="C2622" s="23" t="s">
        <v>24</v>
      </c>
      <c r="D2622" s="24">
        <v>0.29166666666666669</v>
      </c>
      <c r="E2622" s="24">
        <v>0.98958333333333104</v>
      </c>
      <c r="F2622" s="23" t="s">
        <v>677</v>
      </c>
    </row>
    <row r="2623" spans="1:6" x14ac:dyDescent="0.3">
      <c r="A2623" t="s">
        <v>424</v>
      </c>
      <c r="B2623" s="23" t="s">
        <v>33</v>
      </c>
      <c r="C2623" s="23" t="s">
        <v>13</v>
      </c>
      <c r="D2623" s="24"/>
      <c r="E2623" s="24"/>
      <c r="F2623" s="23"/>
    </row>
    <row r="2624" spans="1:6" x14ac:dyDescent="0.3">
      <c r="A2624" t="s">
        <v>424</v>
      </c>
      <c r="B2624" s="23" t="s">
        <v>39</v>
      </c>
      <c r="C2624" s="23" t="s">
        <v>13</v>
      </c>
      <c r="D2624" s="24"/>
      <c r="E2624" s="24"/>
      <c r="F2624" s="23"/>
    </row>
    <row r="2625" spans="1:6" x14ac:dyDescent="0.3">
      <c r="A2625" t="s">
        <v>424</v>
      </c>
      <c r="B2625" s="23" t="s">
        <v>142</v>
      </c>
      <c r="C2625" s="23" t="s">
        <v>15</v>
      </c>
      <c r="D2625" s="24"/>
      <c r="E2625" s="24"/>
      <c r="F2625" s="23"/>
    </row>
    <row r="2626" spans="1:6" x14ac:dyDescent="0.3">
      <c r="A2626" t="s">
        <v>424</v>
      </c>
      <c r="B2626" s="23" t="s">
        <v>50</v>
      </c>
      <c r="C2626" s="23" t="s">
        <v>8</v>
      </c>
      <c r="D2626" s="24"/>
      <c r="E2626" s="24"/>
      <c r="F2626" s="23"/>
    </row>
    <row r="2627" spans="1:6" x14ac:dyDescent="0.3">
      <c r="A2627" t="s">
        <v>424</v>
      </c>
      <c r="B2627" s="23" t="s">
        <v>59</v>
      </c>
      <c r="C2627" s="23" t="s">
        <v>8</v>
      </c>
      <c r="D2627" s="24"/>
      <c r="E2627" s="24"/>
      <c r="F2627" s="23"/>
    </row>
    <row r="2628" spans="1:6" x14ac:dyDescent="0.3">
      <c r="A2628" t="s">
        <v>424</v>
      </c>
      <c r="B2628" s="23" t="s">
        <v>27</v>
      </c>
      <c r="C2628" s="23" t="s">
        <v>10</v>
      </c>
      <c r="D2628" s="24"/>
      <c r="E2628" s="24"/>
      <c r="F2628" s="23"/>
    </row>
    <row r="2629" spans="1:6" x14ac:dyDescent="0.3">
      <c r="A2629" t="s">
        <v>424</v>
      </c>
      <c r="B2629" s="23" t="s">
        <v>35</v>
      </c>
      <c r="C2629" s="23" t="s">
        <v>10</v>
      </c>
      <c r="D2629" s="24"/>
      <c r="E2629" s="24"/>
      <c r="F2629" s="23"/>
    </row>
    <row r="2630" spans="1:6" x14ac:dyDescent="0.3">
      <c r="A2630" t="s">
        <v>424</v>
      </c>
      <c r="B2630" s="23" t="s">
        <v>9</v>
      </c>
      <c r="C2630" s="23" t="s">
        <v>10</v>
      </c>
      <c r="D2630" s="24"/>
      <c r="E2630" s="24"/>
      <c r="F2630" s="23"/>
    </row>
    <row r="2631" spans="1:6" x14ac:dyDescent="0.3">
      <c r="A2631" t="s">
        <v>424</v>
      </c>
      <c r="B2631" s="23" t="s">
        <v>149</v>
      </c>
      <c r="C2631" s="23" t="s">
        <v>41</v>
      </c>
      <c r="D2631" s="24"/>
      <c r="E2631" s="24"/>
      <c r="F2631" s="23"/>
    </row>
    <row r="2632" spans="1:6" x14ac:dyDescent="0.3">
      <c r="A2632" t="s">
        <v>424</v>
      </c>
      <c r="B2632" s="23" t="s">
        <v>109</v>
      </c>
      <c r="C2632" s="23" t="s">
        <v>41</v>
      </c>
      <c r="D2632" s="24"/>
      <c r="E2632" s="24"/>
      <c r="F2632" s="23"/>
    </row>
    <row r="2633" spans="1:6" x14ac:dyDescent="0.3">
      <c r="A2633" t="s">
        <v>424</v>
      </c>
      <c r="B2633" s="23" t="s">
        <v>68</v>
      </c>
      <c r="C2633" s="23" t="s">
        <v>26</v>
      </c>
      <c r="D2633" s="24">
        <v>0.29166666666666669</v>
      </c>
      <c r="E2633" s="24">
        <v>0.41666666666666702</v>
      </c>
      <c r="F2633" s="23"/>
    </row>
    <row r="2634" spans="1:6" x14ac:dyDescent="0.3">
      <c r="A2634" t="s">
        <v>424</v>
      </c>
      <c r="B2634" s="23" t="s">
        <v>34</v>
      </c>
      <c r="C2634" s="23" t="s">
        <v>26</v>
      </c>
      <c r="D2634" s="24">
        <v>0.66666666666666596</v>
      </c>
      <c r="E2634" s="24">
        <v>0.79166666666666496</v>
      </c>
      <c r="F2634" s="23"/>
    </row>
    <row r="2635" spans="1:6" x14ac:dyDescent="0.3">
      <c r="A2635" t="s">
        <v>424</v>
      </c>
      <c r="B2635" s="23" t="s">
        <v>34</v>
      </c>
      <c r="C2635" s="23" t="s">
        <v>26</v>
      </c>
      <c r="D2635" s="24">
        <v>0.79166666666666496</v>
      </c>
      <c r="E2635" s="24">
        <v>0.98958333333333104</v>
      </c>
      <c r="F2635" s="23"/>
    </row>
    <row r="2636" spans="1:6" x14ac:dyDescent="0.3">
      <c r="A2636" t="s">
        <v>424</v>
      </c>
      <c r="B2636" s="23" t="s">
        <v>71</v>
      </c>
      <c r="C2636" s="23" t="s">
        <v>26</v>
      </c>
      <c r="D2636" s="24">
        <v>0.79166666666666496</v>
      </c>
      <c r="E2636" s="24">
        <v>0.98958333333333104</v>
      </c>
      <c r="F2636" s="23"/>
    </row>
    <row r="2637" spans="1:6" x14ac:dyDescent="0.3">
      <c r="A2637" t="s">
        <v>424</v>
      </c>
      <c r="B2637" s="23" t="s">
        <v>29</v>
      </c>
      <c r="C2637" s="23" t="s">
        <v>43</v>
      </c>
      <c r="D2637" s="24"/>
      <c r="E2637" s="24"/>
      <c r="F2637" s="23"/>
    </row>
    <row r="2638" spans="1:6" x14ac:dyDescent="0.3">
      <c r="A2638" t="s">
        <v>424</v>
      </c>
      <c r="B2638" s="23" t="s">
        <v>52</v>
      </c>
      <c r="C2638" s="23" t="s">
        <v>45</v>
      </c>
      <c r="D2638" s="24"/>
      <c r="E2638" s="24"/>
      <c r="F2638" s="23"/>
    </row>
    <row r="2639" spans="1:6" x14ac:dyDescent="0.3">
      <c r="A2639" t="s">
        <v>424</v>
      </c>
      <c r="B2639" s="23" t="s">
        <v>14</v>
      </c>
      <c r="C2639" s="23" t="s">
        <v>46</v>
      </c>
      <c r="D2639" s="24"/>
      <c r="E2639" s="24"/>
      <c r="F2639" s="23"/>
    </row>
    <row r="2640" spans="1:6" x14ac:dyDescent="0.3">
      <c r="A2640" t="s">
        <v>424</v>
      </c>
      <c r="B2640" s="23" t="s">
        <v>32</v>
      </c>
      <c r="C2640" s="23" t="s">
        <v>18</v>
      </c>
      <c r="D2640" s="24"/>
      <c r="E2640" s="24"/>
      <c r="F2640" s="23"/>
    </row>
    <row r="2641" spans="1:6" x14ac:dyDescent="0.3">
      <c r="A2641" t="s">
        <v>424</v>
      </c>
      <c r="B2641" s="23" t="s">
        <v>71</v>
      </c>
      <c r="C2641" s="23" t="s">
        <v>49</v>
      </c>
      <c r="D2641" s="24"/>
      <c r="E2641" s="24"/>
      <c r="F2641" s="23"/>
    </row>
    <row r="2642" spans="1:6" x14ac:dyDescent="0.3">
      <c r="A2642" t="s">
        <v>424</v>
      </c>
      <c r="B2642" s="23" t="s">
        <v>34</v>
      </c>
      <c r="C2642" s="23" t="s">
        <v>51</v>
      </c>
      <c r="D2642" s="24"/>
      <c r="E2642" s="24"/>
      <c r="F2642" s="23"/>
    </row>
    <row r="2643" spans="1:6" x14ac:dyDescent="0.3">
      <c r="A2643" t="s">
        <v>424</v>
      </c>
      <c r="B2643" s="23" t="s">
        <v>23</v>
      </c>
      <c r="C2643" s="23" t="s">
        <v>24</v>
      </c>
      <c r="D2643" s="24"/>
      <c r="E2643" s="24"/>
      <c r="F2643" s="23" t="s">
        <v>674</v>
      </c>
    </row>
    <row r="2644" spans="1:6" x14ac:dyDescent="0.3">
      <c r="A2644" t="s">
        <v>424</v>
      </c>
      <c r="B2644" s="23" t="s">
        <v>66</v>
      </c>
      <c r="C2644" s="23" t="s">
        <v>55</v>
      </c>
      <c r="D2644" s="24">
        <v>0.83333333333333204</v>
      </c>
      <c r="E2644" s="24">
        <v>0.874999999999998</v>
      </c>
      <c r="F2644" s="23" t="s">
        <v>675</v>
      </c>
    </row>
    <row r="2645" spans="1:6" x14ac:dyDescent="0.3">
      <c r="A2645" t="s">
        <v>424</v>
      </c>
      <c r="B2645" s="23" t="s">
        <v>83</v>
      </c>
      <c r="C2645" s="23" t="s">
        <v>55</v>
      </c>
      <c r="D2645" s="24">
        <v>0.83333333333333204</v>
      </c>
      <c r="E2645" s="24">
        <v>0.874999999999998</v>
      </c>
      <c r="F2645" s="23" t="s">
        <v>675</v>
      </c>
    </row>
    <row r="2646" spans="1:6" x14ac:dyDescent="0.3">
      <c r="A2646" t="s">
        <v>424</v>
      </c>
      <c r="B2646" s="23" t="s">
        <v>12</v>
      </c>
      <c r="C2646" s="23" t="s">
        <v>22</v>
      </c>
      <c r="D2646" s="24">
        <v>0.29166666666666669</v>
      </c>
      <c r="E2646" s="24">
        <v>0.54166666666666596</v>
      </c>
      <c r="F2646" s="23" t="s">
        <v>678</v>
      </c>
    </row>
    <row r="2647" spans="1:6" x14ac:dyDescent="0.3">
      <c r="A2647" t="s">
        <v>653</v>
      </c>
      <c r="B2647" t="s">
        <v>72</v>
      </c>
      <c r="C2647" t="s">
        <v>13</v>
      </c>
      <c r="D2647" s="2"/>
      <c r="E2647" s="2"/>
    </row>
    <row r="2648" spans="1:6" x14ac:dyDescent="0.3">
      <c r="A2648" t="s">
        <v>653</v>
      </c>
      <c r="B2648" s="23" t="s">
        <v>37</v>
      </c>
      <c r="C2648" s="23" t="s">
        <v>8</v>
      </c>
      <c r="D2648" s="24"/>
      <c r="E2648" s="24"/>
      <c r="F2648" s="23"/>
    </row>
    <row r="2649" spans="1:6" x14ac:dyDescent="0.3">
      <c r="A2649" t="s">
        <v>653</v>
      </c>
      <c r="B2649" s="23" t="s">
        <v>21</v>
      </c>
      <c r="C2649" s="23" t="s">
        <v>78</v>
      </c>
      <c r="D2649" s="24"/>
      <c r="E2649" s="24"/>
      <c r="F2649" s="23"/>
    </row>
    <row r="2650" spans="1:6" x14ac:dyDescent="0.3">
      <c r="A2650" t="s">
        <v>653</v>
      </c>
      <c r="B2650" s="23" t="s">
        <v>60</v>
      </c>
      <c r="C2650" s="23" t="s">
        <v>13</v>
      </c>
      <c r="D2650" s="24"/>
      <c r="E2650" s="24"/>
      <c r="F2650" s="23"/>
    </row>
    <row r="2651" spans="1:6" x14ac:dyDescent="0.3">
      <c r="A2651" t="s">
        <v>653</v>
      </c>
      <c r="B2651" s="23" t="s">
        <v>79</v>
      </c>
      <c r="C2651" s="23" t="s">
        <v>8</v>
      </c>
      <c r="D2651" s="24"/>
      <c r="E2651" s="24"/>
      <c r="F2651" s="23"/>
    </row>
    <row r="2652" spans="1:6" x14ac:dyDescent="0.3">
      <c r="A2652" t="s">
        <v>653</v>
      </c>
      <c r="B2652" s="23" t="s">
        <v>112</v>
      </c>
      <c r="C2652" s="23" t="s">
        <v>78</v>
      </c>
      <c r="D2652" s="24"/>
      <c r="E2652" s="24"/>
      <c r="F2652" s="23"/>
    </row>
    <row r="2653" spans="1:6" x14ac:dyDescent="0.3">
      <c r="A2653" t="s">
        <v>652</v>
      </c>
      <c r="B2653" t="s">
        <v>37</v>
      </c>
      <c r="C2653" t="s">
        <v>13</v>
      </c>
      <c r="D2653" s="2"/>
      <c r="E2653" s="2"/>
    </row>
    <row r="2654" spans="1:6" x14ac:dyDescent="0.3">
      <c r="A2654" t="s">
        <v>652</v>
      </c>
      <c r="B2654" s="23" t="s">
        <v>21</v>
      </c>
      <c r="C2654" s="23" t="s">
        <v>8</v>
      </c>
      <c r="D2654" s="24"/>
      <c r="E2654" s="24"/>
      <c r="F2654" s="23"/>
    </row>
    <row r="2655" spans="1:6" x14ac:dyDescent="0.3">
      <c r="A2655" t="s">
        <v>652</v>
      </c>
      <c r="B2655" s="23" t="s">
        <v>72</v>
      </c>
      <c r="C2655" s="23" t="s">
        <v>78</v>
      </c>
      <c r="D2655" s="24"/>
      <c r="E2655" s="24"/>
      <c r="F2655" s="23"/>
    </row>
    <row r="2656" spans="1:6" x14ac:dyDescent="0.3">
      <c r="A2656" t="s">
        <v>652</v>
      </c>
      <c r="B2656" s="23" t="s">
        <v>60</v>
      </c>
      <c r="C2656" s="23" t="s">
        <v>13</v>
      </c>
      <c r="D2656" s="24"/>
      <c r="E2656" s="24"/>
      <c r="F2656" s="23"/>
    </row>
    <row r="2657" spans="1:6" x14ac:dyDescent="0.3">
      <c r="A2657" t="s">
        <v>652</v>
      </c>
      <c r="B2657" s="23" t="s">
        <v>79</v>
      </c>
      <c r="C2657" s="23" t="s">
        <v>8</v>
      </c>
      <c r="D2657" s="24"/>
      <c r="E2657" s="24"/>
      <c r="F2657" s="23"/>
    </row>
    <row r="2658" spans="1:6" x14ac:dyDescent="0.3">
      <c r="A2658" t="s">
        <v>652</v>
      </c>
      <c r="B2658" s="23" t="s">
        <v>112</v>
      </c>
      <c r="C2658" s="23" t="s">
        <v>78</v>
      </c>
      <c r="D2658" s="24"/>
      <c r="E2658" s="24"/>
      <c r="F2658" s="23"/>
    </row>
    <row r="2659" spans="1:6" x14ac:dyDescent="0.3">
      <c r="A2659" t="s">
        <v>652</v>
      </c>
      <c r="B2659" s="23" t="s">
        <v>35</v>
      </c>
      <c r="C2659" s="23" t="s">
        <v>10</v>
      </c>
      <c r="D2659" s="24"/>
      <c r="E2659" s="24"/>
      <c r="F2659" s="23"/>
    </row>
    <row r="2660" spans="1:6" x14ac:dyDescent="0.3">
      <c r="A2660" t="s">
        <v>652</v>
      </c>
      <c r="B2660" s="23" t="s">
        <v>9</v>
      </c>
      <c r="C2660" s="23" t="s">
        <v>10</v>
      </c>
      <c r="D2660" s="24"/>
      <c r="E2660" s="24"/>
      <c r="F2660" s="23"/>
    </row>
    <row r="2661" spans="1:6" x14ac:dyDescent="0.3">
      <c r="A2661" t="s">
        <v>652</v>
      </c>
      <c r="B2661" s="23" t="s">
        <v>27</v>
      </c>
      <c r="C2661" s="23" t="s">
        <v>10</v>
      </c>
      <c r="D2661" s="24"/>
      <c r="E2661" s="24"/>
      <c r="F2661" s="23"/>
    </row>
    <row r="2662" spans="1:6" x14ac:dyDescent="0.3">
      <c r="A2662" t="s">
        <v>652</v>
      </c>
      <c r="B2662" s="23" t="s">
        <v>249</v>
      </c>
      <c r="C2662" s="23" t="s">
        <v>24</v>
      </c>
      <c r="D2662" s="24"/>
      <c r="E2662" s="24"/>
      <c r="F2662" s="23" t="s">
        <v>291</v>
      </c>
    </row>
    <row r="2663" spans="1:6" x14ac:dyDescent="0.3">
      <c r="A2663" t="s">
        <v>656</v>
      </c>
      <c r="B2663" t="s">
        <v>71</v>
      </c>
      <c r="C2663" t="s">
        <v>13</v>
      </c>
      <c r="D2663" s="2"/>
      <c r="E2663" s="2"/>
    </row>
    <row r="2664" spans="1:6" x14ac:dyDescent="0.3">
      <c r="A2664" t="s">
        <v>656</v>
      </c>
      <c r="B2664" s="23" t="s">
        <v>75</v>
      </c>
      <c r="C2664" s="23" t="s">
        <v>8</v>
      </c>
      <c r="D2664" s="24"/>
      <c r="E2664" s="24"/>
      <c r="F2664" s="23"/>
    </row>
    <row r="2665" spans="1:6" x14ac:dyDescent="0.3">
      <c r="A2665" t="s">
        <v>656</v>
      </c>
      <c r="B2665" s="23" t="s">
        <v>34</v>
      </c>
      <c r="C2665" s="23" t="s">
        <v>78</v>
      </c>
      <c r="D2665" s="24"/>
      <c r="E2665" s="24"/>
      <c r="F2665" s="23"/>
    </row>
    <row r="2666" spans="1:6" x14ac:dyDescent="0.3">
      <c r="A2666" t="s">
        <v>656</v>
      </c>
      <c r="B2666" s="23" t="s">
        <v>69</v>
      </c>
      <c r="C2666" s="23" t="s">
        <v>13</v>
      </c>
      <c r="D2666" s="24"/>
      <c r="E2666" s="24"/>
      <c r="F2666" s="23"/>
    </row>
    <row r="2667" spans="1:6" x14ac:dyDescent="0.3">
      <c r="A2667" t="s">
        <v>656</v>
      </c>
      <c r="B2667" s="23" t="s">
        <v>36</v>
      </c>
      <c r="C2667" s="23" t="s">
        <v>8</v>
      </c>
      <c r="D2667" s="24"/>
      <c r="E2667" s="24"/>
      <c r="F2667" s="23"/>
    </row>
    <row r="2668" spans="1:6" x14ac:dyDescent="0.3">
      <c r="A2668" t="s">
        <v>656</v>
      </c>
      <c r="B2668" s="23" t="s">
        <v>96</v>
      </c>
      <c r="C2668" s="23" t="s">
        <v>78</v>
      </c>
      <c r="D2668" s="24"/>
      <c r="E2668" s="24"/>
      <c r="F2668" s="23"/>
    </row>
    <row r="2669" spans="1:6" x14ac:dyDescent="0.3">
      <c r="A2669" t="s">
        <v>656</v>
      </c>
      <c r="B2669" s="23" t="s">
        <v>27</v>
      </c>
      <c r="C2669" s="23" t="s">
        <v>10</v>
      </c>
      <c r="D2669" s="24"/>
      <c r="E2669" s="24"/>
      <c r="F2669" s="23"/>
    </row>
    <row r="2670" spans="1:6" x14ac:dyDescent="0.3">
      <c r="A2670" t="s">
        <v>656</v>
      </c>
      <c r="B2670" s="23" t="s">
        <v>35</v>
      </c>
      <c r="C2670" s="23" t="s">
        <v>10</v>
      </c>
      <c r="D2670" s="24"/>
      <c r="E2670" s="24"/>
      <c r="F2670" s="23"/>
    </row>
    <row r="2671" spans="1:6" x14ac:dyDescent="0.3">
      <c r="A2671" t="s">
        <v>656</v>
      </c>
      <c r="B2671" s="23" t="s">
        <v>9</v>
      </c>
      <c r="C2671" s="23" t="s">
        <v>10</v>
      </c>
      <c r="D2671" s="24"/>
      <c r="E2671" s="24"/>
      <c r="F2671" s="23"/>
    </row>
    <row r="2672" spans="1:6" x14ac:dyDescent="0.3">
      <c r="A2672" t="s">
        <v>656</v>
      </c>
      <c r="B2672" s="23" t="s">
        <v>52</v>
      </c>
      <c r="C2672" s="23" t="s">
        <v>45</v>
      </c>
      <c r="D2672" s="24"/>
      <c r="E2672" s="24"/>
      <c r="F2672" s="23"/>
    </row>
    <row r="2673" spans="1:6" x14ac:dyDescent="0.3">
      <c r="A2673" t="s">
        <v>656</v>
      </c>
      <c r="B2673" s="23" t="s">
        <v>14</v>
      </c>
      <c r="C2673" s="23" t="s">
        <v>46</v>
      </c>
      <c r="D2673" s="24"/>
      <c r="E2673" s="24"/>
      <c r="F2673" s="23"/>
    </row>
    <row r="2674" spans="1:6" x14ac:dyDescent="0.3">
      <c r="A2674" t="s">
        <v>656</v>
      </c>
      <c r="B2674" s="23" t="s">
        <v>63</v>
      </c>
      <c r="C2674" s="23" t="s">
        <v>18</v>
      </c>
      <c r="D2674" s="24"/>
      <c r="E2674" s="24"/>
      <c r="F2674" s="23"/>
    </row>
    <row r="2675" spans="1:6" x14ac:dyDescent="0.3">
      <c r="A2675" t="s">
        <v>656</v>
      </c>
      <c r="B2675" s="23" t="s">
        <v>48</v>
      </c>
      <c r="C2675" s="23" t="s">
        <v>49</v>
      </c>
      <c r="D2675" s="24"/>
      <c r="E2675" s="24"/>
      <c r="F2675" s="23"/>
    </row>
    <row r="2676" spans="1:6" x14ac:dyDescent="0.3">
      <c r="A2676" t="s">
        <v>656</v>
      </c>
      <c r="B2676" s="23" t="s">
        <v>34</v>
      </c>
      <c r="C2676" s="23" t="s">
        <v>51</v>
      </c>
      <c r="D2676" s="24"/>
      <c r="E2676" s="24"/>
      <c r="F2676" s="23"/>
    </row>
    <row r="2677" spans="1:6" x14ac:dyDescent="0.3">
      <c r="A2677" t="s">
        <v>656</v>
      </c>
      <c r="B2677" s="23" t="s">
        <v>47</v>
      </c>
      <c r="C2677" s="23"/>
      <c r="D2677" s="24"/>
      <c r="E2677" s="24"/>
      <c r="F2677" s="23" t="s">
        <v>685</v>
      </c>
    </row>
    <row r="2678" spans="1:6" x14ac:dyDescent="0.3">
      <c r="A2678" t="s">
        <v>656</v>
      </c>
      <c r="B2678" s="23" t="s">
        <v>16</v>
      </c>
      <c r="C2678" s="23"/>
      <c r="D2678" s="24"/>
      <c r="E2678" s="24"/>
      <c r="F2678" s="23" t="s">
        <v>685</v>
      </c>
    </row>
    <row r="2679" spans="1:6" x14ac:dyDescent="0.3">
      <c r="A2679" t="s">
        <v>656</v>
      </c>
      <c r="B2679" s="23" t="s">
        <v>64</v>
      </c>
      <c r="C2679" s="23"/>
      <c r="D2679" s="24"/>
      <c r="E2679" s="24"/>
      <c r="F2679" s="23" t="s">
        <v>685</v>
      </c>
    </row>
    <row r="2680" spans="1:6" x14ac:dyDescent="0.3">
      <c r="A2680" t="s">
        <v>656</v>
      </c>
      <c r="B2680" s="23" t="s">
        <v>66</v>
      </c>
      <c r="C2680" s="23"/>
      <c r="D2680" s="24"/>
      <c r="E2680" s="24"/>
      <c r="F2680" s="23" t="s">
        <v>685</v>
      </c>
    </row>
    <row r="2681" spans="1:6" x14ac:dyDescent="0.3">
      <c r="A2681" t="s">
        <v>656</v>
      </c>
      <c r="B2681" s="23" t="s">
        <v>12</v>
      </c>
      <c r="C2681" s="23"/>
      <c r="D2681" s="24"/>
      <c r="E2681" s="24"/>
      <c r="F2681" s="23" t="s">
        <v>685</v>
      </c>
    </row>
    <row r="2682" spans="1:6" x14ac:dyDescent="0.3">
      <c r="A2682" t="s">
        <v>657</v>
      </c>
      <c r="B2682" t="s">
        <v>48</v>
      </c>
      <c r="C2682" t="s">
        <v>13</v>
      </c>
      <c r="D2682" s="2"/>
      <c r="E2682" s="2"/>
    </row>
    <row r="2683" spans="1:6" x14ac:dyDescent="0.3">
      <c r="A2683" t="s">
        <v>657</v>
      </c>
      <c r="B2683" s="23" t="s">
        <v>33</v>
      </c>
      <c r="C2683" s="23" t="s">
        <v>15</v>
      </c>
      <c r="D2683" s="24"/>
      <c r="E2683" s="24"/>
      <c r="F2683" s="23"/>
    </row>
    <row r="2684" spans="1:6" x14ac:dyDescent="0.3">
      <c r="A2684" t="s">
        <v>657</v>
      </c>
      <c r="B2684" s="23" t="s">
        <v>94</v>
      </c>
      <c r="C2684" s="23" t="s">
        <v>8</v>
      </c>
      <c r="D2684" s="24"/>
      <c r="E2684" s="24"/>
      <c r="F2684" s="23"/>
    </row>
    <row r="2685" spans="1:6" x14ac:dyDescent="0.3">
      <c r="A2685" t="s">
        <v>657</v>
      </c>
      <c r="B2685" s="23" t="s">
        <v>80</v>
      </c>
      <c r="C2685" s="23" t="s">
        <v>13</v>
      </c>
      <c r="D2685" s="24"/>
      <c r="E2685" s="24"/>
      <c r="F2685" s="23"/>
    </row>
    <row r="2686" spans="1:6" x14ac:dyDescent="0.3">
      <c r="A2686" t="s">
        <v>657</v>
      </c>
      <c r="B2686" s="23" t="s">
        <v>79</v>
      </c>
      <c r="C2686" s="23" t="s">
        <v>8</v>
      </c>
      <c r="D2686" s="24"/>
      <c r="E2686" s="24"/>
      <c r="F2686" s="23"/>
    </row>
    <row r="2687" spans="1:6" x14ac:dyDescent="0.3">
      <c r="A2687" t="s">
        <v>657</v>
      </c>
      <c r="B2687" s="23" t="s">
        <v>27</v>
      </c>
      <c r="C2687" s="23" t="s">
        <v>10</v>
      </c>
      <c r="D2687" s="24"/>
      <c r="E2687" s="24"/>
      <c r="F2687" s="23"/>
    </row>
    <row r="2688" spans="1:6" x14ac:dyDescent="0.3">
      <c r="A2688" t="s">
        <v>657</v>
      </c>
      <c r="B2688" s="23" t="s">
        <v>35</v>
      </c>
      <c r="C2688" s="23" t="s">
        <v>10</v>
      </c>
      <c r="D2688" s="24"/>
      <c r="E2688" s="24"/>
      <c r="F2688" s="23"/>
    </row>
    <row r="2689" spans="1:6" x14ac:dyDescent="0.3">
      <c r="A2689" t="s">
        <v>657</v>
      </c>
      <c r="B2689" s="23" t="s">
        <v>9</v>
      </c>
      <c r="C2689" s="23" t="s">
        <v>10</v>
      </c>
      <c r="D2689" s="24"/>
      <c r="E2689" s="24"/>
      <c r="F2689" s="23"/>
    </row>
    <row r="2690" spans="1:6" x14ac:dyDescent="0.3">
      <c r="A2690" t="s">
        <v>657</v>
      </c>
      <c r="B2690" s="23" t="s">
        <v>69</v>
      </c>
      <c r="C2690" s="23" t="s">
        <v>41</v>
      </c>
      <c r="D2690" s="24"/>
      <c r="E2690" s="24"/>
      <c r="F2690" s="23"/>
    </row>
    <row r="2691" spans="1:6" x14ac:dyDescent="0.3">
      <c r="A2691" t="s">
        <v>657</v>
      </c>
      <c r="B2691" s="23" t="s">
        <v>36</v>
      </c>
      <c r="C2691" s="23" t="s">
        <v>41</v>
      </c>
      <c r="D2691" s="24"/>
      <c r="E2691" s="24"/>
      <c r="F2691" s="23"/>
    </row>
    <row r="2692" spans="1:6" x14ac:dyDescent="0.3">
      <c r="A2692" t="s">
        <v>657</v>
      </c>
      <c r="B2692" s="23" t="s">
        <v>37</v>
      </c>
      <c r="C2692" s="23" t="s">
        <v>43</v>
      </c>
      <c r="D2692" s="24"/>
      <c r="E2692" s="24"/>
      <c r="F2692" s="23"/>
    </row>
    <row r="2693" spans="1:6" x14ac:dyDescent="0.3">
      <c r="A2693" t="s">
        <v>657</v>
      </c>
      <c r="B2693" s="23" t="s">
        <v>23</v>
      </c>
      <c r="C2693" s="23" t="s">
        <v>45</v>
      </c>
      <c r="D2693" s="24"/>
      <c r="E2693" s="24"/>
      <c r="F2693" s="23"/>
    </row>
    <row r="2694" spans="1:6" x14ac:dyDescent="0.3">
      <c r="A2694" t="s">
        <v>657</v>
      </c>
      <c r="B2694" s="23" t="s">
        <v>21</v>
      </c>
      <c r="C2694" s="23" t="s">
        <v>46</v>
      </c>
      <c r="D2694" s="24"/>
      <c r="E2694" s="24"/>
      <c r="F2694" s="23"/>
    </row>
    <row r="2695" spans="1:6" x14ac:dyDescent="0.3">
      <c r="A2695" t="s">
        <v>657</v>
      </c>
      <c r="B2695" s="23" t="s">
        <v>47</v>
      </c>
      <c r="C2695" s="23" t="s">
        <v>18</v>
      </c>
      <c r="D2695" s="24"/>
      <c r="E2695" s="24"/>
      <c r="F2695" s="23"/>
    </row>
    <row r="2696" spans="1:6" x14ac:dyDescent="0.3">
      <c r="A2696" t="s">
        <v>657</v>
      </c>
      <c r="B2696" s="23" t="s">
        <v>48</v>
      </c>
      <c r="C2696" s="23" t="s">
        <v>49</v>
      </c>
      <c r="D2696" s="24"/>
      <c r="E2696" s="24"/>
      <c r="F2696" s="23"/>
    </row>
    <row r="2697" spans="1:6" x14ac:dyDescent="0.3">
      <c r="A2697" t="s">
        <v>657</v>
      </c>
      <c r="B2697" s="23" t="s">
        <v>17</v>
      </c>
      <c r="C2697" s="23" t="s">
        <v>51</v>
      </c>
      <c r="D2697" s="24"/>
      <c r="E2697" s="24"/>
      <c r="F2697" s="23"/>
    </row>
    <row r="2698" spans="1:6" x14ac:dyDescent="0.3">
      <c r="A2698" t="s">
        <v>657</v>
      </c>
      <c r="B2698" s="23" t="s">
        <v>47</v>
      </c>
      <c r="C2698" s="23"/>
      <c r="D2698" s="24"/>
      <c r="E2698" s="24"/>
      <c r="F2698" s="23" t="s">
        <v>685</v>
      </c>
    </row>
    <row r="2699" spans="1:6" x14ac:dyDescent="0.3">
      <c r="A2699" t="s">
        <v>657</v>
      </c>
      <c r="B2699" s="23" t="s">
        <v>16</v>
      </c>
      <c r="C2699" s="23"/>
      <c r="D2699" s="24"/>
      <c r="E2699" s="24"/>
      <c r="F2699" s="23" t="s">
        <v>685</v>
      </c>
    </row>
    <row r="2700" spans="1:6" x14ac:dyDescent="0.3">
      <c r="A2700" t="s">
        <v>657</v>
      </c>
      <c r="B2700" s="23" t="s">
        <v>64</v>
      </c>
      <c r="C2700" s="23"/>
      <c r="D2700" s="24"/>
      <c r="E2700" s="24"/>
      <c r="F2700" s="23" t="s">
        <v>685</v>
      </c>
    </row>
    <row r="2701" spans="1:6" x14ac:dyDescent="0.3">
      <c r="A2701" t="s">
        <v>657</v>
      </c>
      <c r="B2701" s="23" t="s">
        <v>66</v>
      </c>
      <c r="C2701" s="23"/>
      <c r="D2701" s="24"/>
      <c r="E2701" s="24"/>
      <c r="F2701" s="23" t="s">
        <v>685</v>
      </c>
    </row>
    <row r="2702" spans="1:6" x14ac:dyDescent="0.3">
      <c r="A2702" t="s">
        <v>657</v>
      </c>
      <c r="B2702" s="23" t="s">
        <v>12</v>
      </c>
      <c r="C2702" s="23"/>
      <c r="D2702" s="24"/>
      <c r="E2702" s="24"/>
      <c r="F2702" s="23" t="s">
        <v>685</v>
      </c>
    </row>
    <row r="2703" spans="1:6" x14ac:dyDescent="0.3">
      <c r="A2703" t="s">
        <v>660</v>
      </c>
      <c r="B2703" t="s">
        <v>29</v>
      </c>
      <c r="C2703" t="s">
        <v>13</v>
      </c>
      <c r="D2703" s="2"/>
      <c r="E2703" s="2"/>
    </row>
    <row r="2704" spans="1:6" x14ac:dyDescent="0.3">
      <c r="A2704" t="s">
        <v>660</v>
      </c>
      <c r="B2704" s="23" t="s">
        <v>48</v>
      </c>
      <c r="C2704" s="23" t="s">
        <v>15</v>
      </c>
      <c r="D2704" s="24"/>
      <c r="E2704" s="24"/>
      <c r="F2704" s="23"/>
    </row>
    <row r="2705" spans="1:6" x14ac:dyDescent="0.3">
      <c r="A2705" t="s">
        <v>660</v>
      </c>
      <c r="B2705" s="23" t="s">
        <v>71</v>
      </c>
      <c r="C2705" s="23" t="s">
        <v>8</v>
      </c>
      <c r="D2705" s="24"/>
      <c r="E2705" s="24"/>
      <c r="F2705" s="23"/>
    </row>
    <row r="2706" spans="1:6" x14ac:dyDescent="0.3">
      <c r="A2706" t="s">
        <v>660</v>
      </c>
      <c r="B2706" s="23" t="s">
        <v>64</v>
      </c>
      <c r="C2706" s="23" t="s">
        <v>43</v>
      </c>
      <c r="D2706" s="24"/>
      <c r="E2706" s="24"/>
      <c r="F2706" s="23"/>
    </row>
    <row r="2707" spans="1:6" x14ac:dyDescent="0.3">
      <c r="A2707" t="s">
        <v>660</v>
      </c>
      <c r="B2707" s="23" t="s">
        <v>44</v>
      </c>
      <c r="C2707" s="23" t="s">
        <v>45</v>
      </c>
      <c r="D2707" s="24"/>
      <c r="E2707" s="24"/>
      <c r="F2707" s="23"/>
    </row>
    <row r="2708" spans="1:6" x14ac:dyDescent="0.3">
      <c r="A2708" t="s">
        <v>660</v>
      </c>
      <c r="B2708" s="23" t="s">
        <v>21</v>
      </c>
      <c r="C2708" s="23" t="s">
        <v>46</v>
      </c>
      <c r="D2708" s="24"/>
      <c r="E2708" s="24"/>
      <c r="F2708" s="23"/>
    </row>
    <row r="2709" spans="1:6" x14ac:dyDescent="0.3">
      <c r="A2709" t="s">
        <v>660</v>
      </c>
      <c r="B2709" s="23" t="s">
        <v>47</v>
      </c>
      <c r="C2709" s="23" t="s">
        <v>18</v>
      </c>
      <c r="D2709" s="24"/>
      <c r="E2709" s="24"/>
      <c r="F2709" s="23"/>
    </row>
    <row r="2710" spans="1:6" x14ac:dyDescent="0.3">
      <c r="A2710" t="s">
        <v>660</v>
      </c>
      <c r="B2710" s="23" t="s">
        <v>85</v>
      </c>
      <c r="C2710" s="23" t="s">
        <v>49</v>
      </c>
      <c r="D2710" s="24"/>
      <c r="E2710" s="24"/>
      <c r="F2710" s="23"/>
    </row>
    <row r="2711" spans="1:6" x14ac:dyDescent="0.3">
      <c r="A2711" t="s">
        <v>660</v>
      </c>
      <c r="B2711" s="23" t="s">
        <v>50</v>
      </c>
      <c r="C2711" s="23" t="s">
        <v>51</v>
      </c>
      <c r="D2711" s="24"/>
      <c r="E2711" s="24"/>
      <c r="F2711" s="23"/>
    </row>
    <row r="2712" spans="1:6" x14ac:dyDescent="0.3">
      <c r="A2712" t="s">
        <v>660</v>
      </c>
      <c r="B2712" s="23" t="s">
        <v>84</v>
      </c>
      <c r="C2712" s="23" t="s">
        <v>30</v>
      </c>
      <c r="D2712" s="24"/>
      <c r="E2712" s="24"/>
      <c r="F2712" s="23"/>
    </row>
    <row r="2713" spans="1:6" x14ac:dyDescent="0.3">
      <c r="A2713" t="s">
        <v>660</v>
      </c>
      <c r="B2713" s="23" t="s">
        <v>17</v>
      </c>
      <c r="C2713" s="23" t="s">
        <v>26</v>
      </c>
      <c r="D2713" s="24">
        <v>0.66666666666666596</v>
      </c>
      <c r="E2713" s="24">
        <v>0.79166666666666496</v>
      </c>
      <c r="F2713" s="23"/>
    </row>
    <row r="2714" spans="1:6" x14ac:dyDescent="0.3">
      <c r="A2714" t="s">
        <v>660</v>
      </c>
      <c r="B2714" s="23" t="s">
        <v>17</v>
      </c>
      <c r="C2714" s="23" t="s">
        <v>26</v>
      </c>
      <c r="D2714" s="24">
        <v>0.79166666666666496</v>
      </c>
      <c r="E2714" s="24">
        <v>0.98958333333333104</v>
      </c>
      <c r="F2714" s="23"/>
    </row>
    <row r="2715" spans="1:6" x14ac:dyDescent="0.3">
      <c r="A2715" t="s">
        <v>660</v>
      </c>
      <c r="B2715" s="23" t="s">
        <v>80</v>
      </c>
      <c r="C2715" s="23" t="s">
        <v>13</v>
      </c>
      <c r="D2715" s="24"/>
      <c r="E2715" s="24"/>
      <c r="F2715" s="23"/>
    </row>
    <row r="2716" spans="1:6" x14ac:dyDescent="0.3">
      <c r="A2716" t="s">
        <v>660</v>
      </c>
      <c r="B2716" s="23" t="s">
        <v>103</v>
      </c>
      <c r="C2716" s="23" t="s">
        <v>8</v>
      </c>
      <c r="D2716" s="24"/>
      <c r="E2716" s="24"/>
      <c r="F2716" s="23"/>
    </row>
    <row r="2717" spans="1:6" x14ac:dyDescent="0.3">
      <c r="A2717" t="s">
        <v>660</v>
      </c>
      <c r="B2717" s="23" t="s">
        <v>27</v>
      </c>
      <c r="C2717" s="23" t="s">
        <v>10</v>
      </c>
      <c r="D2717" s="24"/>
      <c r="E2717" s="24"/>
      <c r="F2717" s="23"/>
    </row>
    <row r="2718" spans="1:6" x14ac:dyDescent="0.3">
      <c r="A2718" t="s">
        <v>660</v>
      </c>
      <c r="B2718" s="23" t="s">
        <v>9</v>
      </c>
      <c r="C2718" s="23" t="s">
        <v>10</v>
      </c>
      <c r="D2718" s="24"/>
      <c r="E2718" s="24"/>
      <c r="F2718" s="23"/>
    </row>
    <row r="2719" spans="1:6" x14ac:dyDescent="0.3">
      <c r="A2719" t="s">
        <v>660</v>
      </c>
      <c r="B2719" s="23" t="s">
        <v>57</v>
      </c>
      <c r="C2719" s="23" t="s">
        <v>41</v>
      </c>
      <c r="D2719" s="24"/>
      <c r="E2719" s="24"/>
      <c r="F2719" s="23"/>
    </row>
    <row r="2720" spans="1:6" x14ac:dyDescent="0.3">
      <c r="A2720" t="s">
        <v>660</v>
      </c>
      <c r="B2720" s="23" t="s">
        <v>38</v>
      </c>
      <c r="C2720" s="23" t="s">
        <v>41</v>
      </c>
      <c r="D2720" s="24"/>
      <c r="E2720" s="24"/>
      <c r="F2720" s="23"/>
    </row>
    <row r="2721" spans="1:6" x14ac:dyDescent="0.3">
      <c r="A2721" t="s">
        <v>660</v>
      </c>
      <c r="B2721" s="23" t="s">
        <v>39</v>
      </c>
      <c r="C2721" s="23" t="s">
        <v>41</v>
      </c>
      <c r="D2721" s="24"/>
      <c r="E2721" s="24"/>
      <c r="F2721" s="23"/>
    </row>
    <row r="2722" spans="1:6" x14ac:dyDescent="0.3">
      <c r="A2722" t="s">
        <v>660</v>
      </c>
      <c r="B2722" s="23" t="s">
        <v>64</v>
      </c>
      <c r="C2722" s="23" t="s">
        <v>55</v>
      </c>
      <c r="D2722" s="24">
        <v>0.29166666666666669</v>
      </c>
      <c r="E2722" s="24">
        <v>0.33333333333333298</v>
      </c>
      <c r="F2722" s="23" t="s">
        <v>691</v>
      </c>
    </row>
    <row r="2723" spans="1:6" x14ac:dyDescent="0.3">
      <c r="A2723" t="s">
        <v>664</v>
      </c>
      <c r="B2723" t="s">
        <v>73</v>
      </c>
      <c r="C2723" t="s">
        <v>13</v>
      </c>
      <c r="D2723" s="2"/>
      <c r="E2723" s="2"/>
    </row>
    <row r="2724" spans="1:6" x14ac:dyDescent="0.3">
      <c r="A2724" t="s">
        <v>664</v>
      </c>
      <c r="B2724" s="23" t="s">
        <v>68</v>
      </c>
      <c r="C2724" s="23" t="s">
        <v>8</v>
      </c>
      <c r="D2724" s="24"/>
      <c r="E2724" s="24"/>
    </row>
    <row r="2725" spans="1:6" x14ac:dyDescent="0.3">
      <c r="A2725" t="s">
        <v>664</v>
      </c>
      <c r="B2725" s="23" t="s">
        <v>85</v>
      </c>
      <c r="C2725" s="23" t="s">
        <v>78</v>
      </c>
      <c r="D2725" s="24"/>
      <c r="E2725" s="24"/>
      <c r="F2725" s="23"/>
    </row>
    <row r="2726" spans="1:6" x14ac:dyDescent="0.3">
      <c r="A2726" t="s">
        <v>664</v>
      </c>
      <c r="B2726" s="23" t="s">
        <v>34</v>
      </c>
      <c r="C2726" s="23" t="s">
        <v>24</v>
      </c>
      <c r="D2726" s="24"/>
      <c r="E2726" s="24"/>
      <c r="F2726" s="23" t="s">
        <v>683</v>
      </c>
    </row>
    <row r="2727" spans="1:6" x14ac:dyDescent="0.3">
      <c r="A2727" t="s">
        <v>664</v>
      </c>
      <c r="B2727" s="23" t="s">
        <v>80</v>
      </c>
      <c r="C2727" s="23" t="s">
        <v>13</v>
      </c>
      <c r="D2727" s="24"/>
      <c r="E2727" s="24"/>
      <c r="F2727" s="23"/>
    </row>
    <row r="2728" spans="1:6" x14ac:dyDescent="0.3">
      <c r="A2728" t="s">
        <v>664</v>
      </c>
      <c r="B2728" s="23" t="s">
        <v>35</v>
      </c>
      <c r="C2728" s="23" t="s">
        <v>8</v>
      </c>
      <c r="D2728" s="24"/>
      <c r="E2728" s="24"/>
      <c r="F2728" s="23"/>
    </row>
    <row r="2729" spans="1:6" x14ac:dyDescent="0.3">
      <c r="A2729" t="s">
        <v>664</v>
      </c>
      <c r="B2729" s="23" t="s">
        <v>40</v>
      </c>
      <c r="C2729" s="23" t="s">
        <v>78</v>
      </c>
      <c r="D2729" s="24"/>
      <c r="E2729" s="24"/>
      <c r="F2729" s="23"/>
    </row>
    <row r="2730" spans="1:6" x14ac:dyDescent="0.3">
      <c r="A2730" t="s">
        <v>639</v>
      </c>
      <c r="B2730" t="s">
        <v>68</v>
      </c>
      <c r="C2730" t="s">
        <v>13</v>
      </c>
      <c r="D2730" s="2"/>
      <c r="E2730" s="2"/>
    </row>
    <row r="2731" spans="1:6" x14ac:dyDescent="0.3">
      <c r="A2731" t="s">
        <v>639</v>
      </c>
      <c r="B2731" s="23" t="s">
        <v>85</v>
      </c>
      <c r="C2731" s="23" t="s">
        <v>8</v>
      </c>
      <c r="D2731" s="24"/>
      <c r="E2731" s="24"/>
    </row>
    <row r="2732" spans="1:6" x14ac:dyDescent="0.3">
      <c r="A2732" t="s">
        <v>639</v>
      </c>
      <c r="B2732" s="23" t="s">
        <v>73</v>
      </c>
      <c r="C2732" s="23" t="s">
        <v>78</v>
      </c>
      <c r="D2732" s="24"/>
      <c r="E2732" s="24"/>
      <c r="F2732" s="23"/>
    </row>
    <row r="2733" spans="1:6" x14ac:dyDescent="0.3">
      <c r="A2733" t="s">
        <v>639</v>
      </c>
      <c r="B2733" s="23" t="s">
        <v>23</v>
      </c>
      <c r="C2733" s="23" t="s">
        <v>24</v>
      </c>
      <c r="D2733" s="24"/>
      <c r="E2733" s="24"/>
      <c r="F2733" s="23" t="s">
        <v>693</v>
      </c>
    </row>
    <row r="2734" spans="1:6" x14ac:dyDescent="0.3">
      <c r="A2734" t="s">
        <v>639</v>
      </c>
      <c r="B2734" s="23" t="s">
        <v>34</v>
      </c>
      <c r="C2734" s="23" t="s">
        <v>24</v>
      </c>
      <c r="D2734" s="24"/>
      <c r="E2734" s="24"/>
      <c r="F2734" s="23" t="s">
        <v>683</v>
      </c>
    </row>
    <row r="2735" spans="1:6" x14ac:dyDescent="0.3">
      <c r="A2735" t="s">
        <v>639</v>
      </c>
      <c r="B2735" s="23" t="s">
        <v>80</v>
      </c>
      <c r="C2735" s="23" t="s">
        <v>13</v>
      </c>
      <c r="D2735" s="24"/>
      <c r="E2735" s="24"/>
      <c r="F2735" s="23"/>
    </row>
    <row r="2736" spans="1:6" x14ac:dyDescent="0.3">
      <c r="A2736" t="s">
        <v>639</v>
      </c>
      <c r="B2736" s="23" t="s">
        <v>35</v>
      </c>
      <c r="C2736" s="23" t="s">
        <v>8</v>
      </c>
      <c r="D2736" s="24"/>
      <c r="E2736" s="24"/>
      <c r="F2736" s="23"/>
    </row>
    <row r="2737" spans="1:6" x14ac:dyDescent="0.3">
      <c r="A2737" t="s">
        <v>639</v>
      </c>
      <c r="B2737" s="23" t="s">
        <v>40</v>
      </c>
      <c r="C2737" s="23" t="s">
        <v>78</v>
      </c>
      <c r="D2737" s="24"/>
      <c r="E2737" s="24"/>
      <c r="F2737" s="23"/>
    </row>
    <row r="2738" spans="1:6" x14ac:dyDescent="0.3">
      <c r="A2738" t="s">
        <v>639</v>
      </c>
      <c r="B2738" s="23" t="s">
        <v>27</v>
      </c>
      <c r="C2738" s="23" t="s">
        <v>10</v>
      </c>
      <c r="D2738" s="24"/>
      <c r="E2738" s="24"/>
      <c r="F2738" s="23"/>
    </row>
    <row r="2739" spans="1:6" x14ac:dyDescent="0.3">
      <c r="A2739" t="s">
        <v>639</v>
      </c>
      <c r="B2739" s="23" t="s">
        <v>9</v>
      </c>
      <c r="C2739" s="23" t="s">
        <v>10</v>
      </c>
      <c r="D2739" s="24"/>
      <c r="E2739" s="24"/>
      <c r="F2739" s="23"/>
    </row>
    <row r="2740" spans="1:6" x14ac:dyDescent="0.3">
      <c r="A2740" t="s">
        <v>669</v>
      </c>
      <c r="B2740" t="s">
        <v>48</v>
      </c>
      <c r="C2740" t="s">
        <v>13</v>
      </c>
      <c r="D2740" s="2"/>
      <c r="E2740" s="2"/>
    </row>
    <row r="2741" spans="1:6" x14ac:dyDescent="0.3">
      <c r="A2741" t="s">
        <v>669</v>
      </c>
      <c r="B2741" s="23" t="s">
        <v>66</v>
      </c>
      <c r="C2741" s="23" t="s">
        <v>8</v>
      </c>
      <c r="D2741" s="24"/>
      <c r="E2741" s="24"/>
      <c r="F2741" s="23"/>
    </row>
    <row r="2742" spans="1:6" x14ac:dyDescent="0.3">
      <c r="A2742" t="s">
        <v>669</v>
      </c>
      <c r="B2742" s="23" t="s">
        <v>21</v>
      </c>
      <c r="C2742" s="23" t="s">
        <v>78</v>
      </c>
      <c r="D2742" s="24"/>
      <c r="E2742" s="24"/>
      <c r="F2742" s="23"/>
    </row>
    <row r="2743" spans="1:6" x14ac:dyDescent="0.3">
      <c r="A2743" t="s">
        <v>669</v>
      </c>
      <c r="B2743" s="23" t="s">
        <v>69</v>
      </c>
      <c r="C2743" s="23" t="s">
        <v>13</v>
      </c>
      <c r="D2743" s="24"/>
      <c r="E2743" s="24"/>
      <c r="F2743" s="23"/>
    </row>
    <row r="2744" spans="1:6" x14ac:dyDescent="0.3">
      <c r="A2744" t="s">
        <v>669</v>
      </c>
      <c r="B2744" s="23" t="s">
        <v>96</v>
      </c>
      <c r="C2744" s="23" t="s">
        <v>8</v>
      </c>
      <c r="D2744" s="24"/>
      <c r="E2744" s="24"/>
      <c r="F2744" s="23"/>
    </row>
    <row r="2745" spans="1:6" x14ac:dyDescent="0.3">
      <c r="A2745" t="s">
        <v>669</v>
      </c>
      <c r="B2745" s="23" t="s">
        <v>103</v>
      </c>
      <c r="C2745" s="23" t="s">
        <v>78</v>
      </c>
      <c r="D2745" s="24"/>
      <c r="E2745" s="24"/>
      <c r="F2745" s="23"/>
    </row>
    <row r="2746" spans="1:6" x14ac:dyDescent="0.3">
      <c r="A2746" t="s">
        <v>668</v>
      </c>
      <c r="B2746" t="s">
        <v>66</v>
      </c>
      <c r="C2746" t="s">
        <v>13</v>
      </c>
      <c r="D2746" s="2"/>
      <c r="E2746" s="2"/>
    </row>
    <row r="2747" spans="1:6" x14ac:dyDescent="0.3">
      <c r="A2747" t="s">
        <v>668</v>
      </c>
      <c r="B2747" s="23" t="s">
        <v>21</v>
      </c>
      <c r="C2747" s="23" t="s">
        <v>8</v>
      </c>
      <c r="D2747" s="24"/>
      <c r="E2747" s="24"/>
      <c r="F2747" s="23"/>
    </row>
    <row r="2748" spans="1:6" x14ac:dyDescent="0.3">
      <c r="A2748" t="s">
        <v>668</v>
      </c>
      <c r="B2748" s="23" t="s">
        <v>48</v>
      </c>
      <c r="C2748" s="23" t="s">
        <v>78</v>
      </c>
      <c r="D2748" s="24"/>
      <c r="E2748" s="24"/>
      <c r="F2748" s="23"/>
    </row>
    <row r="2749" spans="1:6" x14ac:dyDescent="0.3">
      <c r="A2749" t="s">
        <v>668</v>
      </c>
      <c r="B2749" s="23" t="s">
        <v>23</v>
      </c>
      <c r="C2749" s="23" t="s">
        <v>53</v>
      </c>
      <c r="D2749" s="24">
        <v>0.29166666666666669</v>
      </c>
      <c r="E2749" s="24">
        <v>0.98958333333333104</v>
      </c>
      <c r="F2749" s="23" t="s">
        <v>699</v>
      </c>
    </row>
    <row r="2750" spans="1:6" x14ac:dyDescent="0.3">
      <c r="A2750" t="s">
        <v>668</v>
      </c>
      <c r="B2750" s="23" t="s">
        <v>69</v>
      </c>
      <c r="C2750" s="23" t="s">
        <v>24</v>
      </c>
      <c r="D2750" s="24">
        <v>0.29166666666666669</v>
      </c>
      <c r="E2750" s="24">
        <v>0.98958333333333104</v>
      </c>
      <c r="F2750" s="23" t="s">
        <v>699</v>
      </c>
    </row>
    <row r="2751" spans="1:6" x14ac:dyDescent="0.3">
      <c r="A2751" t="s">
        <v>668</v>
      </c>
      <c r="B2751" s="23" t="s">
        <v>39</v>
      </c>
      <c r="C2751" s="23" t="s">
        <v>24</v>
      </c>
      <c r="D2751" s="24">
        <v>0.29166666666666669</v>
      </c>
      <c r="E2751" s="24">
        <v>0.98958333333333104</v>
      </c>
      <c r="F2751" s="23" t="s">
        <v>699</v>
      </c>
    </row>
    <row r="2752" spans="1:6" x14ac:dyDescent="0.3">
      <c r="A2752" t="s">
        <v>668</v>
      </c>
      <c r="B2752" s="23" t="s">
        <v>69</v>
      </c>
      <c r="C2752" s="23" t="s">
        <v>13</v>
      </c>
      <c r="D2752" s="24"/>
      <c r="E2752" s="24"/>
      <c r="F2752" s="23"/>
    </row>
    <row r="2753" spans="1:6" x14ac:dyDescent="0.3">
      <c r="A2753" t="s">
        <v>668</v>
      </c>
      <c r="B2753" s="23" t="s">
        <v>96</v>
      </c>
      <c r="C2753" s="23" t="s">
        <v>8</v>
      </c>
      <c r="D2753" s="24"/>
      <c r="E2753" s="24"/>
      <c r="F2753" s="23"/>
    </row>
    <row r="2754" spans="1:6" x14ac:dyDescent="0.3">
      <c r="A2754" t="s">
        <v>668</v>
      </c>
      <c r="B2754" s="23" t="s">
        <v>103</v>
      </c>
      <c r="C2754" s="23" t="s">
        <v>78</v>
      </c>
      <c r="D2754" s="24"/>
      <c r="E2754" s="24"/>
      <c r="F2754" s="23"/>
    </row>
    <row r="2755" spans="1:6" x14ac:dyDescent="0.3">
      <c r="A2755" t="s">
        <v>640</v>
      </c>
      <c r="B2755" t="s">
        <v>37</v>
      </c>
      <c r="C2755" t="s">
        <v>13</v>
      </c>
      <c r="D2755" s="2"/>
      <c r="E2755" s="2"/>
    </row>
    <row r="2756" spans="1:6" x14ac:dyDescent="0.3">
      <c r="A2756" t="s">
        <v>640</v>
      </c>
      <c r="B2756" s="23" t="s">
        <v>62</v>
      </c>
      <c r="C2756" s="23" t="s">
        <v>13</v>
      </c>
      <c r="D2756" s="24"/>
      <c r="E2756" s="24"/>
      <c r="F2756" s="23"/>
    </row>
    <row r="2757" spans="1:6" x14ac:dyDescent="0.3">
      <c r="A2757" t="s">
        <v>640</v>
      </c>
      <c r="B2757" s="23" t="s">
        <v>71</v>
      </c>
      <c r="C2757" s="23" t="s">
        <v>15</v>
      </c>
      <c r="D2757" s="24"/>
      <c r="E2757" s="24"/>
      <c r="F2757" s="23"/>
    </row>
    <row r="2758" spans="1:6" x14ac:dyDescent="0.3">
      <c r="A2758" t="s">
        <v>640</v>
      </c>
      <c r="B2758" s="23" t="s">
        <v>48</v>
      </c>
      <c r="C2758" s="23" t="s">
        <v>8</v>
      </c>
      <c r="D2758" s="24"/>
      <c r="E2758" s="24"/>
      <c r="F2758" s="23"/>
    </row>
    <row r="2759" spans="1:6" x14ac:dyDescent="0.3">
      <c r="A2759" t="s">
        <v>640</v>
      </c>
      <c r="B2759" s="23" t="s">
        <v>38</v>
      </c>
      <c r="C2759" s="23" t="s">
        <v>8</v>
      </c>
      <c r="D2759" s="24"/>
      <c r="E2759" s="24"/>
      <c r="F2759" s="23"/>
    </row>
    <row r="2760" spans="1:6" x14ac:dyDescent="0.3">
      <c r="A2760" t="s">
        <v>640</v>
      </c>
      <c r="B2760" s="23" t="s">
        <v>17</v>
      </c>
      <c r="C2760" s="23" t="s">
        <v>30</v>
      </c>
      <c r="D2760" s="24"/>
      <c r="E2760" s="24"/>
      <c r="F2760" s="23"/>
    </row>
    <row r="2761" spans="1:6" x14ac:dyDescent="0.3">
      <c r="A2761" t="s">
        <v>640</v>
      </c>
      <c r="B2761" s="23" t="s">
        <v>23</v>
      </c>
      <c r="C2761" s="23" t="s">
        <v>22</v>
      </c>
      <c r="D2761" s="24">
        <v>0.54166666666666596</v>
      </c>
      <c r="E2761" s="24">
        <v>0.79166666666666496</v>
      </c>
      <c r="F2761" s="23"/>
    </row>
    <row r="2762" spans="1:6" x14ac:dyDescent="0.3">
      <c r="A2762" t="s">
        <v>640</v>
      </c>
      <c r="B2762" s="23" t="s">
        <v>27</v>
      </c>
      <c r="C2762" s="23" t="s">
        <v>10</v>
      </c>
      <c r="D2762" s="24"/>
      <c r="E2762" s="24"/>
      <c r="F2762" s="23"/>
    </row>
    <row r="2763" spans="1:6" x14ac:dyDescent="0.3">
      <c r="A2763" t="s">
        <v>640</v>
      </c>
      <c r="B2763" s="23" t="s">
        <v>9</v>
      </c>
      <c r="C2763" s="23" t="s">
        <v>10</v>
      </c>
      <c r="D2763" s="24"/>
      <c r="E2763" s="24"/>
      <c r="F2763" s="23"/>
    </row>
    <row r="2764" spans="1:6" x14ac:dyDescent="0.3">
      <c r="A2764" t="s">
        <v>640</v>
      </c>
      <c r="B2764" s="23" t="s">
        <v>103</v>
      </c>
      <c r="C2764" s="23" t="s">
        <v>41</v>
      </c>
      <c r="D2764" s="24"/>
      <c r="E2764" s="24"/>
      <c r="F2764" s="23"/>
    </row>
    <row r="2765" spans="1:6" x14ac:dyDescent="0.3">
      <c r="A2765" t="s">
        <v>640</v>
      </c>
      <c r="B2765" s="23" t="s">
        <v>96</v>
      </c>
      <c r="C2765" s="23" t="s">
        <v>41</v>
      </c>
      <c r="D2765" s="24"/>
      <c r="E2765" s="24"/>
      <c r="F2765" s="23"/>
    </row>
    <row r="2766" spans="1:6" x14ac:dyDescent="0.3">
      <c r="A2766" t="s">
        <v>640</v>
      </c>
      <c r="B2766" s="23" t="s">
        <v>75</v>
      </c>
      <c r="C2766" s="23" t="s">
        <v>26</v>
      </c>
      <c r="D2766" s="24"/>
      <c r="E2766" s="24"/>
      <c r="F2766" s="23"/>
    </row>
    <row r="2767" spans="1:6" x14ac:dyDescent="0.3">
      <c r="A2767" t="s">
        <v>640</v>
      </c>
      <c r="B2767" s="23" t="s">
        <v>75</v>
      </c>
      <c r="C2767" s="23" t="s">
        <v>26</v>
      </c>
      <c r="D2767" s="24"/>
      <c r="E2767" s="24"/>
      <c r="F2767" s="23"/>
    </row>
    <row r="2768" spans="1:6" x14ac:dyDescent="0.3">
      <c r="A2768" t="s">
        <v>640</v>
      </c>
      <c r="B2768" s="23" t="s">
        <v>16</v>
      </c>
      <c r="C2768" s="23" t="s">
        <v>26</v>
      </c>
      <c r="D2768" s="24"/>
      <c r="E2768" s="24"/>
      <c r="F2768" s="23"/>
    </row>
    <row r="2769" spans="1:6" x14ac:dyDescent="0.3">
      <c r="A2769" t="s">
        <v>640</v>
      </c>
      <c r="B2769" s="23" t="s">
        <v>16</v>
      </c>
      <c r="C2769" s="23" t="s">
        <v>26</v>
      </c>
      <c r="D2769" s="24"/>
      <c r="E2769" s="24"/>
      <c r="F2769" s="23"/>
    </row>
    <row r="2770" spans="1:6" x14ac:dyDescent="0.3">
      <c r="A2770" t="s">
        <v>640</v>
      </c>
      <c r="B2770" s="23" t="s">
        <v>37</v>
      </c>
      <c r="C2770" s="23" t="s">
        <v>43</v>
      </c>
      <c r="D2770" s="24"/>
      <c r="E2770" s="24"/>
      <c r="F2770" s="23"/>
    </row>
    <row r="2771" spans="1:6" x14ac:dyDescent="0.3">
      <c r="A2771" t="s">
        <v>640</v>
      </c>
      <c r="B2771" s="23" t="s">
        <v>23</v>
      </c>
      <c r="C2771" s="23" t="s">
        <v>45</v>
      </c>
      <c r="D2771" s="24"/>
      <c r="E2771" s="24"/>
      <c r="F2771" s="23"/>
    </row>
    <row r="2772" spans="1:6" x14ac:dyDescent="0.3">
      <c r="A2772" t="s">
        <v>640</v>
      </c>
      <c r="B2772" s="23" t="s">
        <v>16</v>
      </c>
      <c r="C2772" s="23" t="s">
        <v>46</v>
      </c>
      <c r="D2772" s="24"/>
      <c r="E2772" s="24"/>
      <c r="F2772" s="23"/>
    </row>
    <row r="2773" spans="1:6" x14ac:dyDescent="0.3">
      <c r="A2773" t="s">
        <v>640</v>
      </c>
      <c r="B2773" s="23" t="s">
        <v>63</v>
      </c>
      <c r="C2773" s="23" t="s">
        <v>18</v>
      </c>
      <c r="D2773" s="24"/>
      <c r="E2773" s="24"/>
      <c r="F2773" s="23"/>
    </row>
    <row r="2774" spans="1:6" x14ac:dyDescent="0.3">
      <c r="A2774" t="s">
        <v>640</v>
      </c>
      <c r="B2774" s="23" t="s">
        <v>71</v>
      </c>
      <c r="C2774" s="23" t="s">
        <v>49</v>
      </c>
      <c r="D2774" s="24"/>
      <c r="E2774" s="24"/>
      <c r="F2774" s="23"/>
    </row>
    <row r="2775" spans="1:6" x14ac:dyDescent="0.3">
      <c r="A2775" t="s">
        <v>640</v>
      </c>
      <c r="B2775" s="23" t="s">
        <v>75</v>
      </c>
      <c r="C2775" s="23" t="s">
        <v>51</v>
      </c>
      <c r="D2775" s="24"/>
      <c r="E2775" s="24"/>
      <c r="F2775" s="23"/>
    </row>
    <row r="2776" spans="1:6" x14ac:dyDescent="0.3">
      <c r="A2776" t="s">
        <v>640</v>
      </c>
      <c r="B2776" s="23" t="s">
        <v>33</v>
      </c>
      <c r="C2776" s="23" t="s">
        <v>124</v>
      </c>
      <c r="D2776" s="24">
        <v>0.79166666666666496</v>
      </c>
      <c r="E2776" s="24">
        <v>0.91666666666666496</v>
      </c>
      <c r="F2776" s="23" t="s">
        <v>700</v>
      </c>
    </row>
    <row r="2777" spans="1:6" x14ac:dyDescent="0.3">
      <c r="A2777" t="s">
        <v>640</v>
      </c>
      <c r="B2777" s="23" t="s">
        <v>23</v>
      </c>
      <c r="C2777" s="23" t="s">
        <v>53</v>
      </c>
      <c r="D2777" s="24">
        <v>0.58333333333333304</v>
      </c>
      <c r="E2777" s="24">
        <v>0.66666666666666596</v>
      </c>
      <c r="F2777" s="23" t="s">
        <v>701</v>
      </c>
    </row>
    <row r="2778" spans="1:6" x14ac:dyDescent="0.3">
      <c r="A2778" t="s">
        <v>640</v>
      </c>
      <c r="B2778" s="23" t="s">
        <v>12</v>
      </c>
      <c r="C2778" s="23" t="s">
        <v>53</v>
      </c>
      <c r="D2778" s="24">
        <v>0.58333333333333304</v>
      </c>
      <c r="E2778" s="24">
        <v>0.66666666666666596</v>
      </c>
      <c r="F2778" s="23" t="s">
        <v>701</v>
      </c>
    </row>
    <row r="2779" spans="1:6" x14ac:dyDescent="0.3">
      <c r="A2779" t="s">
        <v>640</v>
      </c>
      <c r="B2779" s="23" t="s">
        <v>64</v>
      </c>
      <c r="C2779" s="23" t="s">
        <v>53</v>
      </c>
      <c r="D2779" s="24">
        <v>0.749999999999999</v>
      </c>
      <c r="E2779" s="24">
        <v>0.79166666666666496</v>
      </c>
      <c r="F2779" s="23" t="s">
        <v>415</v>
      </c>
    </row>
    <row r="2780" spans="1:6" x14ac:dyDescent="0.3">
      <c r="A2780" t="s">
        <v>640</v>
      </c>
      <c r="B2780" s="23" t="s">
        <v>80</v>
      </c>
      <c r="C2780" s="23" t="s">
        <v>53</v>
      </c>
      <c r="D2780" s="24">
        <v>0.749999999999999</v>
      </c>
      <c r="E2780" s="24">
        <v>0.79166666666666496</v>
      </c>
      <c r="F2780" s="23" t="s">
        <v>415</v>
      </c>
    </row>
    <row r="2781" spans="1:6" x14ac:dyDescent="0.3">
      <c r="A2781" t="s">
        <v>640</v>
      </c>
      <c r="B2781" s="23" t="s">
        <v>12</v>
      </c>
      <c r="C2781" s="23" t="s">
        <v>53</v>
      </c>
      <c r="D2781" s="24">
        <v>0.66666666666666596</v>
      </c>
      <c r="E2781" s="24">
        <v>0.749999999999999</v>
      </c>
      <c r="F2781" s="23" t="s">
        <v>702</v>
      </c>
    </row>
    <row r="2782" spans="1:6" x14ac:dyDescent="0.3">
      <c r="A2782" t="s">
        <v>640</v>
      </c>
      <c r="B2782" s="23" t="s">
        <v>23</v>
      </c>
      <c r="C2782" s="23" t="s">
        <v>53</v>
      </c>
      <c r="D2782" s="24">
        <v>0.66666666666666596</v>
      </c>
      <c r="E2782" s="24">
        <v>0.749999999999999</v>
      </c>
      <c r="F2782" s="23" t="s">
        <v>702</v>
      </c>
    </row>
    <row r="2783" spans="1:6" x14ac:dyDescent="0.3">
      <c r="A2783" t="s">
        <v>640</v>
      </c>
      <c r="B2783" s="23" t="s">
        <v>50</v>
      </c>
      <c r="C2783" s="23" t="s">
        <v>53</v>
      </c>
      <c r="D2783" s="24">
        <v>0.41666666666666702</v>
      </c>
      <c r="E2783" s="24">
        <v>0.45833333333333298</v>
      </c>
      <c r="F2783" s="23" t="s">
        <v>703</v>
      </c>
    </row>
    <row r="2784" spans="1:6" x14ac:dyDescent="0.3">
      <c r="A2784" t="s">
        <v>640</v>
      </c>
      <c r="B2784" s="23" t="s">
        <v>73</v>
      </c>
      <c r="C2784" s="23" t="s">
        <v>24</v>
      </c>
      <c r="D2784" s="24">
        <v>0.72916666666666496</v>
      </c>
      <c r="E2784" s="24">
        <v>0.91666666666666496</v>
      </c>
      <c r="F2784" s="23" t="s">
        <v>704</v>
      </c>
    </row>
    <row r="2785" spans="1:6" x14ac:dyDescent="0.3">
      <c r="A2785" t="s">
        <v>425</v>
      </c>
      <c r="B2785" t="s">
        <v>34</v>
      </c>
      <c r="C2785" t="s">
        <v>13</v>
      </c>
      <c r="D2785" s="2"/>
      <c r="E2785" s="2"/>
    </row>
    <row r="2786" spans="1:6" x14ac:dyDescent="0.3">
      <c r="A2786" t="s">
        <v>425</v>
      </c>
      <c r="B2786" s="23" t="s">
        <v>33</v>
      </c>
      <c r="C2786" s="23" t="s">
        <v>15</v>
      </c>
      <c r="D2786" s="24"/>
      <c r="E2786" s="24"/>
      <c r="F2786" s="23"/>
    </row>
    <row r="2787" spans="1:6" x14ac:dyDescent="0.3">
      <c r="A2787" t="s">
        <v>425</v>
      </c>
      <c r="B2787" s="23" t="s">
        <v>63</v>
      </c>
      <c r="C2787" s="23" t="s">
        <v>8</v>
      </c>
      <c r="D2787" s="24"/>
      <c r="E2787" s="24"/>
      <c r="F2787" s="23"/>
    </row>
    <row r="2788" spans="1:6" x14ac:dyDescent="0.3">
      <c r="A2788" t="s">
        <v>425</v>
      </c>
      <c r="B2788" s="23" t="s">
        <v>149</v>
      </c>
      <c r="C2788" s="23" t="s">
        <v>13</v>
      </c>
      <c r="D2788" s="24"/>
      <c r="E2788" s="24"/>
      <c r="F2788" s="23"/>
    </row>
    <row r="2789" spans="1:6" x14ac:dyDescent="0.3">
      <c r="A2789" t="s">
        <v>425</v>
      </c>
      <c r="B2789" s="23" t="s">
        <v>109</v>
      </c>
      <c r="C2789" s="23" t="s">
        <v>8</v>
      </c>
      <c r="D2789" s="24"/>
      <c r="E2789" s="24"/>
      <c r="F2789" s="23"/>
    </row>
    <row r="2790" spans="1:6" x14ac:dyDescent="0.3">
      <c r="A2790" t="s">
        <v>425</v>
      </c>
      <c r="B2790" s="23" t="s">
        <v>27</v>
      </c>
      <c r="C2790" s="23" t="s">
        <v>10</v>
      </c>
      <c r="D2790" s="24"/>
      <c r="E2790" s="24"/>
      <c r="F2790" s="23"/>
    </row>
    <row r="2791" spans="1:6" x14ac:dyDescent="0.3">
      <c r="A2791" t="s">
        <v>425</v>
      </c>
      <c r="B2791" s="23" t="s">
        <v>35</v>
      </c>
      <c r="C2791" s="23" t="s">
        <v>10</v>
      </c>
      <c r="D2791" s="24"/>
      <c r="E2791" s="24"/>
      <c r="F2791" s="23"/>
    </row>
    <row r="2792" spans="1:6" x14ac:dyDescent="0.3">
      <c r="A2792" t="s">
        <v>425</v>
      </c>
      <c r="B2792" s="23" t="s">
        <v>9</v>
      </c>
      <c r="C2792" s="23" t="s">
        <v>10</v>
      </c>
      <c r="D2792" s="24"/>
      <c r="E2792" s="24"/>
      <c r="F2792" s="23"/>
    </row>
    <row r="2793" spans="1:6" x14ac:dyDescent="0.3">
      <c r="A2793" t="s">
        <v>425</v>
      </c>
      <c r="B2793" s="23" t="s">
        <v>39</v>
      </c>
      <c r="C2793" s="23" t="s">
        <v>41</v>
      </c>
      <c r="D2793" s="24"/>
      <c r="E2793" s="24"/>
      <c r="F2793" s="23"/>
    </row>
    <row r="2794" spans="1:6" x14ac:dyDescent="0.3">
      <c r="A2794" t="s">
        <v>425</v>
      </c>
      <c r="B2794" s="23" t="s">
        <v>59</v>
      </c>
      <c r="C2794" s="23" t="s">
        <v>41</v>
      </c>
      <c r="D2794" s="24"/>
      <c r="E2794" s="24"/>
      <c r="F2794" s="23"/>
    </row>
    <row r="2795" spans="1:6" x14ac:dyDescent="0.3">
      <c r="A2795" t="s">
        <v>425</v>
      </c>
      <c r="B2795" s="23" t="s">
        <v>66</v>
      </c>
      <c r="C2795" s="23" t="s">
        <v>26</v>
      </c>
      <c r="D2795" s="24">
        <v>0.66666666666666596</v>
      </c>
      <c r="E2795" s="24">
        <v>0.79166666666666496</v>
      </c>
      <c r="F2795" s="23"/>
    </row>
    <row r="2796" spans="1:6" x14ac:dyDescent="0.3">
      <c r="A2796" t="s">
        <v>425</v>
      </c>
      <c r="B2796" s="23" t="s">
        <v>66</v>
      </c>
      <c r="C2796" s="23" t="s">
        <v>26</v>
      </c>
      <c r="D2796" s="24">
        <v>0.79166666666666496</v>
      </c>
      <c r="E2796" s="24">
        <v>0.91666666666666496</v>
      </c>
      <c r="F2796" s="23"/>
    </row>
    <row r="2797" spans="1:6" x14ac:dyDescent="0.3">
      <c r="A2797" t="s">
        <v>425</v>
      </c>
      <c r="B2797" s="23" t="s">
        <v>84</v>
      </c>
      <c r="C2797" s="23" t="s">
        <v>43</v>
      </c>
      <c r="D2797" s="24"/>
      <c r="E2797" s="24"/>
      <c r="F2797" s="23"/>
    </row>
    <row r="2798" spans="1:6" x14ac:dyDescent="0.3">
      <c r="A2798" t="s">
        <v>425</v>
      </c>
      <c r="B2798" s="23" t="s">
        <v>44</v>
      </c>
      <c r="C2798" s="23" t="s">
        <v>45</v>
      </c>
      <c r="D2798" s="24"/>
      <c r="E2798" s="24"/>
      <c r="F2798" s="23"/>
    </row>
    <row r="2799" spans="1:6" x14ac:dyDescent="0.3">
      <c r="A2799" t="s">
        <v>425</v>
      </c>
      <c r="B2799" s="23" t="s">
        <v>14</v>
      </c>
      <c r="C2799" s="23" t="s">
        <v>46</v>
      </c>
      <c r="D2799" s="24"/>
      <c r="E2799" s="24"/>
      <c r="F2799" s="23"/>
    </row>
    <row r="2800" spans="1:6" x14ac:dyDescent="0.3">
      <c r="A2800" t="s">
        <v>425</v>
      </c>
      <c r="B2800" s="23" t="s">
        <v>94</v>
      </c>
      <c r="C2800" s="23" t="s">
        <v>18</v>
      </c>
      <c r="D2800" s="24"/>
      <c r="E2800" s="24"/>
      <c r="F2800" s="23"/>
    </row>
    <row r="2801" spans="1:6" x14ac:dyDescent="0.3">
      <c r="A2801" t="s">
        <v>425</v>
      </c>
      <c r="B2801" s="23" t="s">
        <v>71</v>
      </c>
      <c r="C2801" s="23" t="s">
        <v>49</v>
      </c>
      <c r="D2801" s="24"/>
      <c r="E2801" s="24"/>
      <c r="F2801" s="23"/>
    </row>
    <row r="2802" spans="1:6" x14ac:dyDescent="0.3">
      <c r="A2802" t="s">
        <v>425</v>
      </c>
      <c r="B2802" s="23" t="s">
        <v>17</v>
      </c>
      <c r="C2802" s="23" t="s">
        <v>51</v>
      </c>
      <c r="D2802" s="24"/>
      <c r="E2802" s="24"/>
      <c r="F2802" s="23"/>
    </row>
    <row r="2803" spans="1:6" x14ac:dyDescent="0.3">
      <c r="A2803" t="s">
        <v>425</v>
      </c>
      <c r="B2803" s="23" t="s">
        <v>23</v>
      </c>
      <c r="C2803" s="23" t="s">
        <v>24</v>
      </c>
      <c r="D2803" s="24">
        <v>0.29166666666666669</v>
      </c>
      <c r="E2803" s="24">
        <v>0.98958333333333104</v>
      </c>
      <c r="F2803" s="23" t="s">
        <v>680</v>
      </c>
    </row>
    <row r="2804" spans="1:6" x14ac:dyDescent="0.3">
      <c r="A2804" t="s">
        <v>425</v>
      </c>
      <c r="B2804" s="23" t="s">
        <v>52</v>
      </c>
      <c r="C2804" s="23" t="s">
        <v>24</v>
      </c>
      <c r="D2804" s="24"/>
      <c r="E2804" s="24"/>
      <c r="F2804" s="23" t="s">
        <v>284</v>
      </c>
    </row>
    <row r="2805" spans="1:6" x14ac:dyDescent="0.3">
      <c r="A2805" t="s">
        <v>425</v>
      </c>
      <c r="B2805" s="23" t="s">
        <v>29</v>
      </c>
      <c r="C2805" s="23" t="s">
        <v>24</v>
      </c>
      <c r="D2805" s="24"/>
      <c r="E2805" s="24"/>
      <c r="F2805" s="23" t="s">
        <v>284</v>
      </c>
    </row>
    <row r="2806" spans="1:6" x14ac:dyDescent="0.3">
      <c r="A2806" t="s">
        <v>425</v>
      </c>
      <c r="B2806" s="23" t="s">
        <v>142</v>
      </c>
      <c r="C2806" s="23" t="s">
        <v>24</v>
      </c>
      <c r="D2806" s="24"/>
      <c r="E2806" s="24"/>
      <c r="F2806" s="23" t="s">
        <v>284</v>
      </c>
    </row>
    <row r="2807" spans="1:6" x14ac:dyDescent="0.3">
      <c r="A2807" t="s">
        <v>425</v>
      </c>
      <c r="B2807" s="23" t="s">
        <v>73</v>
      </c>
      <c r="C2807" s="23" t="s">
        <v>24</v>
      </c>
      <c r="D2807" s="24"/>
      <c r="E2807" s="24"/>
      <c r="F2807" s="23" t="s">
        <v>284</v>
      </c>
    </row>
    <row r="2808" spans="1:6" x14ac:dyDescent="0.3">
      <c r="A2808" t="s">
        <v>425</v>
      </c>
      <c r="B2808" s="23" t="s">
        <v>71</v>
      </c>
      <c r="C2808" s="23" t="s">
        <v>26</v>
      </c>
      <c r="D2808" s="24">
        <v>0.54166666666666596</v>
      </c>
      <c r="E2808" s="24">
        <v>0.66666666666666596</v>
      </c>
      <c r="F2808" s="23"/>
    </row>
    <row r="2809" spans="1:6" x14ac:dyDescent="0.3">
      <c r="A2809" t="s">
        <v>425</v>
      </c>
      <c r="B2809" s="23" t="s">
        <v>71</v>
      </c>
      <c r="C2809" s="23" t="s">
        <v>26</v>
      </c>
      <c r="D2809" s="24">
        <v>0.66666666666666596</v>
      </c>
      <c r="E2809" s="24">
        <v>0.79166666666666496</v>
      </c>
      <c r="F2809" s="23"/>
    </row>
    <row r="2810" spans="1:6" x14ac:dyDescent="0.3">
      <c r="A2810" t="s">
        <v>425</v>
      </c>
      <c r="B2810" s="23" t="s">
        <v>73</v>
      </c>
      <c r="C2810" s="23" t="s">
        <v>53</v>
      </c>
      <c r="D2810" s="24">
        <v>0.70833333333333204</v>
      </c>
      <c r="E2810" s="24">
        <v>0.749999999999999</v>
      </c>
      <c r="F2810" s="23" t="s">
        <v>705</v>
      </c>
    </row>
    <row r="2811" spans="1:6" x14ac:dyDescent="0.3">
      <c r="A2811" t="s">
        <v>425</v>
      </c>
      <c r="B2811" s="23" t="s">
        <v>50</v>
      </c>
      <c r="C2811" s="23" t="s">
        <v>53</v>
      </c>
      <c r="D2811" s="24">
        <v>0.70833333333333204</v>
      </c>
      <c r="E2811" s="24">
        <v>0.749999999999999</v>
      </c>
      <c r="F2811" s="23" t="s">
        <v>705</v>
      </c>
    </row>
    <row r="2812" spans="1:6" x14ac:dyDescent="0.3">
      <c r="A2812" t="s">
        <v>654</v>
      </c>
      <c r="B2812" t="s">
        <v>48</v>
      </c>
      <c r="C2812" t="s">
        <v>13</v>
      </c>
      <c r="D2812" s="2"/>
      <c r="E2812" s="2"/>
    </row>
    <row r="2813" spans="1:6" x14ac:dyDescent="0.3">
      <c r="A2813" t="s">
        <v>654</v>
      </c>
      <c r="B2813" s="23" t="s">
        <v>47</v>
      </c>
      <c r="C2813" s="23" t="s">
        <v>15</v>
      </c>
      <c r="D2813" s="24"/>
      <c r="E2813" s="24"/>
      <c r="F2813" s="23"/>
    </row>
    <row r="2814" spans="1:6" x14ac:dyDescent="0.3">
      <c r="A2814" t="s">
        <v>654</v>
      </c>
      <c r="B2814" s="23" t="s">
        <v>44</v>
      </c>
      <c r="C2814" s="23" t="s">
        <v>8</v>
      </c>
      <c r="D2814" s="24"/>
      <c r="E2814" s="24"/>
      <c r="F2814" s="23"/>
    </row>
    <row r="2815" spans="1:6" x14ac:dyDescent="0.3">
      <c r="A2815" t="s">
        <v>654</v>
      </c>
      <c r="B2815" s="23" t="s">
        <v>98</v>
      </c>
      <c r="C2815" s="23" t="s">
        <v>13</v>
      </c>
      <c r="D2815" s="24"/>
      <c r="E2815" s="24"/>
      <c r="F2815" s="23"/>
    </row>
    <row r="2816" spans="1:6" x14ac:dyDescent="0.3">
      <c r="A2816" t="s">
        <v>654</v>
      </c>
      <c r="B2816" s="23" t="s">
        <v>40</v>
      </c>
      <c r="C2816" s="23" t="s">
        <v>8</v>
      </c>
      <c r="D2816" s="24"/>
      <c r="E2816" s="24"/>
      <c r="F2816" s="23"/>
    </row>
    <row r="2817" spans="1:6" x14ac:dyDescent="0.3">
      <c r="A2817" t="s">
        <v>654</v>
      </c>
      <c r="B2817" s="23" t="s">
        <v>27</v>
      </c>
      <c r="C2817" s="23" t="s">
        <v>10</v>
      </c>
      <c r="D2817" s="24"/>
      <c r="E2817" s="24"/>
      <c r="F2817" s="23"/>
    </row>
    <row r="2818" spans="1:6" x14ac:dyDescent="0.3">
      <c r="A2818" t="s">
        <v>654</v>
      </c>
      <c r="B2818" s="23" t="s">
        <v>35</v>
      </c>
      <c r="C2818" s="23" t="s">
        <v>10</v>
      </c>
      <c r="D2818" s="24"/>
      <c r="E2818" s="24"/>
      <c r="F2818" s="23"/>
    </row>
    <row r="2819" spans="1:6" x14ac:dyDescent="0.3">
      <c r="A2819" t="s">
        <v>654</v>
      </c>
      <c r="B2819" s="23" t="s">
        <v>9</v>
      </c>
      <c r="C2819" s="23" t="s">
        <v>10</v>
      </c>
      <c r="D2819" s="24"/>
      <c r="E2819" s="24"/>
      <c r="F2819" s="23"/>
    </row>
    <row r="2820" spans="1:6" x14ac:dyDescent="0.3">
      <c r="A2820" t="s">
        <v>654</v>
      </c>
      <c r="B2820" s="23" t="s">
        <v>60</v>
      </c>
      <c r="C2820" s="23" t="s">
        <v>41</v>
      </c>
      <c r="D2820" s="24"/>
      <c r="E2820" s="24"/>
      <c r="F2820" s="23"/>
    </row>
    <row r="2821" spans="1:6" x14ac:dyDescent="0.3">
      <c r="A2821" t="s">
        <v>654</v>
      </c>
      <c r="B2821" s="23" t="s">
        <v>79</v>
      </c>
      <c r="C2821" s="23" t="s">
        <v>41</v>
      </c>
      <c r="D2821" s="24"/>
      <c r="E2821" s="24"/>
      <c r="F2821" s="23"/>
    </row>
    <row r="2822" spans="1:6" x14ac:dyDescent="0.3">
      <c r="A2822" t="s">
        <v>654</v>
      </c>
      <c r="B2822" s="23" t="s">
        <v>112</v>
      </c>
      <c r="C2822" s="23" t="s">
        <v>41</v>
      </c>
      <c r="D2822" s="24"/>
      <c r="E2822" s="24"/>
      <c r="F2822" s="23"/>
    </row>
    <row r="2823" spans="1:6" x14ac:dyDescent="0.3">
      <c r="A2823" t="s">
        <v>654</v>
      </c>
      <c r="B2823" s="23" t="s">
        <v>37</v>
      </c>
      <c r="C2823" s="23" t="s">
        <v>43</v>
      </c>
      <c r="D2823" s="24"/>
      <c r="E2823" s="24"/>
      <c r="F2823" s="23"/>
    </row>
    <row r="2824" spans="1:6" x14ac:dyDescent="0.3">
      <c r="A2824" t="s">
        <v>654</v>
      </c>
      <c r="B2824" s="23" t="s">
        <v>44</v>
      </c>
      <c r="C2824" s="23" t="s">
        <v>45</v>
      </c>
      <c r="D2824" s="24"/>
      <c r="E2824" s="24"/>
      <c r="F2824" s="23"/>
    </row>
    <row r="2825" spans="1:6" x14ac:dyDescent="0.3">
      <c r="A2825" t="s">
        <v>654</v>
      </c>
      <c r="B2825" s="23" t="s">
        <v>21</v>
      </c>
      <c r="C2825" s="23" t="s">
        <v>46</v>
      </c>
      <c r="D2825" s="24"/>
      <c r="E2825" s="24"/>
      <c r="F2825" s="23"/>
    </row>
    <row r="2826" spans="1:6" x14ac:dyDescent="0.3">
      <c r="A2826" t="s">
        <v>654</v>
      </c>
      <c r="B2826" s="23" t="s">
        <v>32</v>
      </c>
      <c r="C2826" s="23" t="s">
        <v>18</v>
      </c>
      <c r="D2826" s="24"/>
      <c r="E2826" s="24"/>
      <c r="F2826" s="23"/>
    </row>
    <row r="2827" spans="1:6" x14ac:dyDescent="0.3">
      <c r="A2827" t="s">
        <v>654</v>
      </c>
      <c r="B2827" s="23" t="s">
        <v>48</v>
      </c>
      <c r="C2827" s="23" t="s">
        <v>49</v>
      </c>
      <c r="D2827" s="24"/>
      <c r="E2827" s="24"/>
      <c r="F2827" s="23"/>
    </row>
    <row r="2828" spans="1:6" x14ac:dyDescent="0.3">
      <c r="A2828" t="s">
        <v>654</v>
      </c>
      <c r="B2828" s="23" t="s">
        <v>50</v>
      </c>
      <c r="C2828" s="23" t="s">
        <v>51</v>
      </c>
      <c r="D2828" s="24"/>
      <c r="E2828" s="24"/>
      <c r="F2828" s="23"/>
    </row>
    <row r="2829" spans="1:6" x14ac:dyDescent="0.3">
      <c r="A2829" t="s">
        <v>654</v>
      </c>
      <c r="B2829" s="23" t="s">
        <v>17</v>
      </c>
      <c r="C2829" s="23" t="s">
        <v>55</v>
      </c>
      <c r="D2829" s="24">
        <v>0.29166666666666669</v>
      </c>
      <c r="E2829" s="24">
        <v>0.33333333333333298</v>
      </c>
      <c r="F2829" s="23" t="s">
        <v>706</v>
      </c>
    </row>
    <row r="2830" spans="1:6" x14ac:dyDescent="0.3">
      <c r="A2830" t="s">
        <v>642</v>
      </c>
      <c r="B2830" t="s">
        <v>63</v>
      </c>
      <c r="C2830" t="s">
        <v>13</v>
      </c>
      <c r="D2830" s="2"/>
      <c r="E2830" s="2"/>
    </row>
    <row r="2831" spans="1:6" x14ac:dyDescent="0.3">
      <c r="A2831" t="s">
        <v>642</v>
      </c>
      <c r="B2831" s="23" t="s">
        <v>85</v>
      </c>
      <c r="C2831" s="23" t="s">
        <v>15</v>
      </c>
      <c r="D2831" s="24"/>
      <c r="E2831" s="24"/>
    </row>
    <row r="2832" spans="1:6" x14ac:dyDescent="0.3">
      <c r="A2832" t="s">
        <v>642</v>
      </c>
      <c r="B2832" s="23" t="s">
        <v>37</v>
      </c>
      <c r="C2832" s="23" t="s">
        <v>8</v>
      </c>
      <c r="D2832" s="24"/>
      <c r="E2832" s="24"/>
      <c r="F2832" s="23"/>
    </row>
    <row r="2833" spans="1:6" x14ac:dyDescent="0.3">
      <c r="A2833" t="s">
        <v>642</v>
      </c>
      <c r="B2833" s="23" t="s">
        <v>83</v>
      </c>
      <c r="C2833" s="23" t="s">
        <v>13</v>
      </c>
      <c r="D2833" s="24"/>
      <c r="E2833" s="24"/>
      <c r="F2833" s="23"/>
    </row>
    <row r="2834" spans="1:6" x14ac:dyDescent="0.3">
      <c r="A2834" t="s">
        <v>642</v>
      </c>
      <c r="B2834" s="23" t="s">
        <v>39</v>
      </c>
      <c r="C2834" s="23" t="s">
        <v>8</v>
      </c>
      <c r="D2834" s="24"/>
      <c r="E2834" s="24"/>
      <c r="F2834" s="23"/>
    </row>
    <row r="2835" spans="1:6" x14ac:dyDescent="0.3">
      <c r="A2835" t="s">
        <v>642</v>
      </c>
      <c r="B2835" s="23" t="s">
        <v>27</v>
      </c>
      <c r="C2835" s="23" t="s">
        <v>10</v>
      </c>
      <c r="D2835" s="24"/>
      <c r="E2835" s="24"/>
      <c r="F2835" s="23"/>
    </row>
    <row r="2836" spans="1:6" x14ac:dyDescent="0.3">
      <c r="A2836" t="s">
        <v>642</v>
      </c>
      <c r="B2836" s="23" t="s">
        <v>35</v>
      </c>
      <c r="C2836" s="23" t="s">
        <v>10</v>
      </c>
      <c r="D2836" s="24"/>
      <c r="E2836" s="24"/>
      <c r="F2836" s="23"/>
    </row>
    <row r="2837" spans="1:6" x14ac:dyDescent="0.3">
      <c r="A2837" t="s">
        <v>642</v>
      </c>
      <c r="B2837" s="23" t="s">
        <v>9</v>
      </c>
      <c r="C2837" s="23" t="s">
        <v>10</v>
      </c>
      <c r="D2837" s="24"/>
      <c r="E2837" s="24"/>
      <c r="F2837" s="23"/>
    </row>
    <row r="2838" spans="1:6" x14ac:dyDescent="0.3">
      <c r="A2838" t="s">
        <v>642</v>
      </c>
      <c r="B2838" s="23" t="s">
        <v>98</v>
      </c>
      <c r="C2838" s="23" t="s">
        <v>41</v>
      </c>
      <c r="D2838" s="24"/>
      <c r="E2838" s="24"/>
      <c r="F2838" s="23"/>
    </row>
    <row r="2839" spans="1:6" x14ac:dyDescent="0.3">
      <c r="A2839" t="s">
        <v>642</v>
      </c>
      <c r="B2839" s="23" t="s">
        <v>40</v>
      </c>
      <c r="C2839" s="23" t="s">
        <v>41</v>
      </c>
      <c r="D2839" s="24"/>
      <c r="E2839" s="24"/>
      <c r="F2839" s="23"/>
    </row>
    <row r="2840" spans="1:6" x14ac:dyDescent="0.3">
      <c r="A2840" t="s">
        <v>642</v>
      </c>
      <c r="B2840" s="23" t="s">
        <v>33</v>
      </c>
      <c r="C2840" s="23" t="s">
        <v>43</v>
      </c>
      <c r="D2840" s="24"/>
      <c r="E2840" s="24"/>
      <c r="F2840" s="23"/>
    </row>
    <row r="2841" spans="1:6" x14ac:dyDescent="0.3">
      <c r="A2841" t="s">
        <v>642</v>
      </c>
      <c r="B2841" s="23" t="s">
        <v>23</v>
      </c>
      <c r="C2841" s="23" t="s">
        <v>45</v>
      </c>
      <c r="D2841" s="24"/>
      <c r="E2841" s="24"/>
      <c r="F2841" s="23"/>
    </row>
    <row r="2842" spans="1:6" x14ac:dyDescent="0.3">
      <c r="A2842" t="s">
        <v>642</v>
      </c>
      <c r="B2842" s="23" t="s">
        <v>16</v>
      </c>
      <c r="C2842" s="23" t="s">
        <v>46</v>
      </c>
      <c r="D2842" s="24"/>
      <c r="E2842" s="24"/>
      <c r="F2842" s="23"/>
    </row>
    <row r="2843" spans="1:6" x14ac:dyDescent="0.3">
      <c r="A2843" t="s">
        <v>642</v>
      </c>
      <c r="B2843" s="23" t="s">
        <v>72</v>
      </c>
      <c r="C2843" s="23" t="s">
        <v>18</v>
      </c>
      <c r="D2843" s="24"/>
      <c r="E2843" s="24"/>
      <c r="F2843" s="23"/>
    </row>
    <row r="2844" spans="1:6" x14ac:dyDescent="0.3">
      <c r="A2844" t="s">
        <v>642</v>
      </c>
      <c r="B2844" s="23" t="s">
        <v>48</v>
      </c>
      <c r="C2844" s="23" t="s">
        <v>49</v>
      </c>
      <c r="D2844" s="24"/>
      <c r="E2844" s="24"/>
      <c r="F2844" s="23"/>
    </row>
    <row r="2845" spans="1:6" x14ac:dyDescent="0.3">
      <c r="A2845" t="s">
        <v>642</v>
      </c>
      <c r="B2845" s="23" t="s">
        <v>75</v>
      </c>
      <c r="C2845" s="23" t="s">
        <v>51</v>
      </c>
      <c r="D2845" s="24"/>
      <c r="E2845" s="24"/>
      <c r="F2845" s="23"/>
    </row>
    <row r="2846" spans="1:6" x14ac:dyDescent="0.3">
      <c r="A2846" t="s">
        <v>642</v>
      </c>
      <c r="B2846" s="23" t="s">
        <v>32</v>
      </c>
      <c r="C2846" s="23" t="s">
        <v>26</v>
      </c>
      <c r="D2846" s="24">
        <v>0.29166666666666669</v>
      </c>
      <c r="E2846" s="24">
        <v>0.41666666666666702</v>
      </c>
      <c r="F2846" s="23"/>
    </row>
    <row r="2847" spans="1:6" x14ac:dyDescent="0.3">
      <c r="A2847" t="s">
        <v>642</v>
      </c>
      <c r="B2847" s="23" t="s">
        <v>23</v>
      </c>
      <c r="C2847" s="23" t="s">
        <v>22</v>
      </c>
      <c r="D2847" s="24">
        <v>0.54166666666666596</v>
      </c>
      <c r="E2847" s="24">
        <v>0.79166666666666496</v>
      </c>
      <c r="F2847" s="23" t="s">
        <v>682</v>
      </c>
    </row>
    <row r="2848" spans="1:6" x14ac:dyDescent="0.3">
      <c r="A2848" t="s">
        <v>642</v>
      </c>
      <c r="B2848" s="23" t="s">
        <v>66</v>
      </c>
      <c r="C2848" s="23" t="s">
        <v>26</v>
      </c>
      <c r="D2848" s="24">
        <v>0.66666666666666596</v>
      </c>
      <c r="E2848" s="24">
        <v>0.79166666666666496</v>
      </c>
      <c r="F2848" s="23"/>
    </row>
    <row r="2849" spans="1:6" x14ac:dyDescent="0.3">
      <c r="A2849" t="s">
        <v>642</v>
      </c>
      <c r="B2849" s="23" t="s">
        <v>7</v>
      </c>
      <c r="C2849" s="23" t="s">
        <v>26</v>
      </c>
      <c r="D2849" s="24">
        <v>0.79166666666666496</v>
      </c>
      <c r="E2849" s="24">
        <v>0.98958333333333104</v>
      </c>
      <c r="F2849" s="23"/>
    </row>
    <row r="2850" spans="1:6" x14ac:dyDescent="0.3">
      <c r="A2850" t="s">
        <v>642</v>
      </c>
      <c r="B2850" s="23" t="s">
        <v>23</v>
      </c>
      <c r="C2850" s="23" t="s">
        <v>53</v>
      </c>
      <c r="D2850" s="24">
        <v>0.70833333333333204</v>
      </c>
      <c r="E2850" s="24">
        <v>0.749999999999999</v>
      </c>
      <c r="F2850" s="23" t="s">
        <v>686</v>
      </c>
    </row>
    <row r="2851" spans="1:6" x14ac:dyDescent="0.3">
      <c r="A2851" t="s">
        <v>642</v>
      </c>
      <c r="B2851" s="23" t="s">
        <v>12</v>
      </c>
      <c r="C2851" s="23" t="s">
        <v>53</v>
      </c>
      <c r="D2851" s="24">
        <v>0.70833333333333204</v>
      </c>
      <c r="E2851" s="24">
        <v>0.749999999999999</v>
      </c>
      <c r="F2851" s="23" t="s">
        <v>686</v>
      </c>
    </row>
    <row r="2852" spans="1:6" x14ac:dyDescent="0.3">
      <c r="A2852" t="s">
        <v>642</v>
      </c>
      <c r="B2852" s="23" t="s">
        <v>36</v>
      </c>
      <c r="C2852" s="23" t="s">
        <v>24</v>
      </c>
      <c r="D2852" s="24"/>
      <c r="E2852" s="24"/>
      <c r="F2852" s="23" t="s">
        <v>455</v>
      </c>
    </row>
    <row r="2853" spans="1:6" x14ac:dyDescent="0.3">
      <c r="A2853" t="s">
        <v>642</v>
      </c>
      <c r="B2853" s="23" t="s">
        <v>32</v>
      </c>
      <c r="C2853" s="23" t="s">
        <v>124</v>
      </c>
      <c r="D2853" s="24">
        <v>0.83333333333333204</v>
      </c>
      <c r="E2853" s="24">
        <v>0.91666666666666496</v>
      </c>
      <c r="F2853" s="23" t="s">
        <v>707</v>
      </c>
    </row>
    <row r="2854" spans="1:6" x14ac:dyDescent="0.3">
      <c r="A2854" t="s">
        <v>658</v>
      </c>
      <c r="B2854" t="s">
        <v>32</v>
      </c>
      <c r="C2854" t="s">
        <v>13</v>
      </c>
      <c r="D2854" s="2"/>
      <c r="E2854" s="2"/>
    </row>
    <row r="2855" spans="1:6" x14ac:dyDescent="0.3">
      <c r="A2855" t="s">
        <v>658</v>
      </c>
      <c r="B2855" s="23" t="s">
        <v>33</v>
      </c>
      <c r="C2855" s="23" t="s">
        <v>8</v>
      </c>
      <c r="D2855" s="24"/>
      <c r="E2855" s="24"/>
      <c r="F2855" s="23"/>
    </row>
    <row r="2856" spans="1:6" x14ac:dyDescent="0.3">
      <c r="A2856" t="s">
        <v>658</v>
      </c>
      <c r="B2856" s="23" t="s">
        <v>34</v>
      </c>
      <c r="C2856" s="23" t="s">
        <v>78</v>
      </c>
      <c r="D2856" s="24"/>
      <c r="E2856" s="24"/>
      <c r="F2856" s="23"/>
    </row>
    <row r="2857" spans="1:6" x14ac:dyDescent="0.3">
      <c r="A2857" t="s">
        <v>658</v>
      </c>
      <c r="B2857" s="23" t="s">
        <v>57</v>
      </c>
      <c r="C2857" s="23" t="s">
        <v>13</v>
      </c>
      <c r="D2857" s="24"/>
      <c r="E2857" s="24"/>
      <c r="F2857" s="23"/>
    </row>
    <row r="2858" spans="1:6" x14ac:dyDescent="0.3">
      <c r="A2858" t="s">
        <v>658</v>
      </c>
      <c r="B2858" s="23" t="s">
        <v>38</v>
      </c>
      <c r="C2858" s="23" t="s">
        <v>8</v>
      </c>
      <c r="D2858" s="24"/>
      <c r="E2858" s="24"/>
      <c r="F2858" s="23"/>
    </row>
    <row r="2859" spans="1:6" x14ac:dyDescent="0.3">
      <c r="A2859" t="s">
        <v>658</v>
      </c>
      <c r="B2859" s="23" t="s">
        <v>39</v>
      </c>
      <c r="C2859" s="23" t="s">
        <v>78</v>
      </c>
      <c r="D2859" s="24"/>
      <c r="E2859" s="24"/>
      <c r="F2859" s="23"/>
    </row>
    <row r="2860" spans="1:6" x14ac:dyDescent="0.3">
      <c r="A2860" t="s">
        <v>658</v>
      </c>
      <c r="B2860" s="23" t="s">
        <v>27</v>
      </c>
      <c r="C2860" s="23" t="s">
        <v>10</v>
      </c>
      <c r="D2860" s="24"/>
      <c r="E2860" s="24"/>
      <c r="F2860" s="23"/>
    </row>
    <row r="2861" spans="1:6" x14ac:dyDescent="0.3">
      <c r="A2861" t="s">
        <v>658</v>
      </c>
      <c r="B2861" s="23" t="s">
        <v>35</v>
      </c>
      <c r="C2861" s="23" t="s">
        <v>10</v>
      </c>
      <c r="D2861" s="24"/>
      <c r="E2861" s="24"/>
      <c r="F2861" s="23"/>
    </row>
    <row r="2862" spans="1:6" x14ac:dyDescent="0.3">
      <c r="A2862" t="s">
        <v>658</v>
      </c>
      <c r="B2862" s="23" t="s">
        <v>9</v>
      </c>
      <c r="C2862" s="23" t="s">
        <v>10</v>
      </c>
      <c r="D2862" s="24"/>
      <c r="E2862" s="24"/>
      <c r="F2862" s="23"/>
    </row>
    <row r="2863" spans="1:6" x14ac:dyDescent="0.3">
      <c r="A2863" t="s">
        <v>658</v>
      </c>
      <c r="B2863" s="23" t="s">
        <v>214</v>
      </c>
      <c r="C2863" s="23" t="s">
        <v>24</v>
      </c>
      <c r="D2863" s="24"/>
      <c r="E2863" s="24"/>
      <c r="F2863" s="23" t="s">
        <v>291</v>
      </c>
    </row>
    <row r="2864" spans="1:6" x14ac:dyDescent="0.3">
      <c r="A2864" t="s">
        <v>659</v>
      </c>
      <c r="B2864" t="s">
        <v>34</v>
      </c>
      <c r="C2864" t="s">
        <v>13</v>
      </c>
      <c r="D2864" s="2"/>
      <c r="E2864" s="2"/>
    </row>
    <row r="2865" spans="1:6" x14ac:dyDescent="0.3">
      <c r="A2865" t="s">
        <v>659</v>
      </c>
      <c r="B2865" s="23" t="s">
        <v>32</v>
      </c>
      <c r="C2865" s="23" t="s">
        <v>8</v>
      </c>
      <c r="D2865" s="24"/>
      <c r="E2865" s="24"/>
      <c r="F2865" s="23"/>
    </row>
    <row r="2866" spans="1:6" x14ac:dyDescent="0.3">
      <c r="A2866" t="s">
        <v>659</v>
      </c>
      <c r="B2866" s="23" t="s">
        <v>33</v>
      </c>
      <c r="C2866" s="23" t="s">
        <v>78</v>
      </c>
      <c r="D2866" s="24"/>
      <c r="E2866" s="24"/>
      <c r="F2866" s="23"/>
    </row>
    <row r="2867" spans="1:6" x14ac:dyDescent="0.3">
      <c r="A2867" t="s">
        <v>659</v>
      </c>
      <c r="B2867" s="23" t="s">
        <v>57</v>
      </c>
      <c r="C2867" s="23" t="s">
        <v>13</v>
      </c>
      <c r="D2867" s="24"/>
      <c r="E2867" s="24"/>
      <c r="F2867" s="23"/>
    </row>
    <row r="2868" spans="1:6" x14ac:dyDescent="0.3">
      <c r="A2868" t="s">
        <v>659</v>
      </c>
      <c r="B2868" s="23" t="s">
        <v>38</v>
      </c>
      <c r="C2868" s="23" t="s">
        <v>8</v>
      </c>
      <c r="D2868" s="24"/>
      <c r="E2868" s="24"/>
      <c r="F2868" s="23"/>
    </row>
    <row r="2869" spans="1:6" x14ac:dyDescent="0.3">
      <c r="A2869" t="s">
        <v>659</v>
      </c>
      <c r="B2869" s="23" t="s">
        <v>39</v>
      </c>
      <c r="C2869" s="23" t="s">
        <v>78</v>
      </c>
      <c r="D2869" s="24"/>
      <c r="E2869" s="24"/>
      <c r="F2869" s="23"/>
    </row>
    <row r="2870" spans="1:6" x14ac:dyDescent="0.3">
      <c r="A2870" t="s">
        <v>661</v>
      </c>
      <c r="B2870" t="s">
        <v>68</v>
      </c>
      <c r="C2870" t="s">
        <v>13</v>
      </c>
      <c r="D2870" s="2"/>
      <c r="E2870" s="2"/>
    </row>
    <row r="2871" spans="1:6" x14ac:dyDescent="0.3">
      <c r="A2871" t="s">
        <v>661</v>
      </c>
      <c r="B2871" s="23" t="s">
        <v>33</v>
      </c>
      <c r="C2871" s="23" t="s">
        <v>15</v>
      </c>
      <c r="D2871" s="24"/>
      <c r="E2871" s="24"/>
      <c r="F2871" s="23"/>
    </row>
    <row r="2872" spans="1:6" x14ac:dyDescent="0.3">
      <c r="A2872" t="s">
        <v>661</v>
      </c>
      <c r="B2872" s="23" t="s">
        <v>29</v>
      </c>
      <c r="C2872" s="23" t="s">
        <v>8</v>
      </c>
      <c r="D2872" s="24"/>
      <c r="E2872" s="24"/>
      <c r="F2872" s="23"/>
    </row>
    <row r="2873" spans="1:6" x14ac:dyDescent="0.3">
      <c r="A2873" t="s">
        <v>661</v>
      </c>
      <c r="B2873" s="23" t="s">
        <v>29</v>
      </c>
      <c r="C2873" s="23" t="s">
        <v>43</v>
      </c>
      <c r="D2873" s="24"/>
      <c r="E2873" s="24"/>
      <c r="F2873" s="23"/>
    </row>
    <row r="2874" spans="1:6" x14ac:dyDescent="0.3">
      <c r="A2874" t="s">
        <v>661</v>
      </c>
      <c r="B2874" s="23" t="s">
        <v>23</v>
      </c>
      <c r="C2874" s="23" t="s">
        <v>45</v>
      </c>
      <c r="D2874" s="24"/>
      <c r="E2874" s="24"/>
      <c r="F2874" s="23"/>
    </row>
    <row r="2875" spans="1:6" x14ac:dyDescent="0.3">
      <c r="A2875" t="s">
        <v>661</v>
      </c>
      <c r="B2875" s="23" t="s">
        <v>16</v>
      </c>
      <c r="C2875" s="23" t="s">
        <v>46</v>
      </c>
      <c r="D2875" s="24"/>
      <c r="E2875" s="24"/>
      <c r="F2875" s="23"/>
    </row>
    <row r="2876" spans="1:6" x14ac:dyDescent="0.3">
      <c r="A2876" t="s">
        <v>661</v>
      </c>
      <c r="B2876" s="23" t="s">
        <v>94</v>
      </c>
      <c r="C2876" s="23" t="s">
        <v>18</v>
      </c>
      <c r="D2876" s="24"/>
      <c r="E2876" s="24"/>
      <c r="F2876" s="23"/>
    </row>
    <row r="2877" spans="1:6" x14ac:dyDescent="0.3">
      <c r="A2877" t="s">
        <v>661</v>
      </c>
      <c r="B2877" s="23" t="s">
        <v>85</v>
      </c>
      <c r="C2877" s="23" t="s">
        <v>49</v>
      </c>
      <c r="D2877" s="24"/>
      <c r="E2877" s="24"/>
      <c r="F2877" s="23"/>
    </row>
    <row r="2878" spans="1:6" x14ac:dyDescent="0.3">
      <c r="A2878" t="s">
        <v>661</v>
      </c>
      <c r="B2878" s="23" t="s">
        <v>75</v>
      </c>
      <c r="C2878" s="23" t="s">
        <v>51</v>
      </c>
      <c r="D2878" s="24"/>
      <c r="E2878" s="24"/>
      <c r="F2878" s="23"/>
    </row>
    <row r="2879" spans="1:6" x14ac:dyDescent="0.3">
      <c r="A2879" t="s">
        <v>661</v>
      </c>
      <c r="B2879" s="23" t="s">
        <v>61</v>
      </c>
      <c r="C2879" s="23" t="s">
        <v>13</v>
      </c>
      <c r="D2879" s="24"/>
      <c r="E2879" s="24"/>
      <c r="F2879" s="23"/>
    </row>
    <row r="2880" spans="1:6" x14ac:dyDescent="0.3">
      <c r="A2880" t="s">
        <v>661</v>
      </c>
      <c r="B2880" s="23" t="s">
        <v>36</v>
      </c>
      <c r="C2880" s="23" t="s">
        <v>8</v>
      </c>
      <c r="D2880" s="24"/>
      <c r="E2880" s="24"/>
      <c r="F2880" s="23"/>
    </row>
    <row r="2881" spans="1:6" x14ac:dyDescent="0.3">
      <c r="A2881" t="s">
        <v>661</v>
      </c>
      <c r="B2881" s="23" t="s">
        <v>27</v>
      </c>
      <c r="C2881" s="23" t="s">
        <v>10</v>
      </c>
      <c r="D2881" s="24"/>
      <c r="E2881" s="24"/>
      <c r="F2881" s="23"/>
    </row>
    <row r="2882" spans="1:6" x14ac:dyDescent="0.3">
      <c r="A2882" t="s">
        <v>661</v>
      </c>
      <c r="B2882" s="23" t="s">
        <v>9</v>
      </c>
      <c r="C2882" s="23" t="s">
        <v>10</v>
      </c>
      <c r="D2882" s="24"/>
      <c r="E2882" s="24"/>
      <c r="F2882" s="23"/>
    </row>
    <row r="2883" spans="1:6" x14ac:dyDescent="0.3">
      <c r="A2883" t="s">
        <v>661</v>
      </c>
      <c r="B2883" s="23" t="s">
        <v>80</v>
      </c>
      <c r="C2883" s="23" t="s">
        <v>41</v>
      </c>
      <c r="D2883" s="24"/>
      <c r="E2883" s="24"/>
      <c r="F2883" s="23"/>
    </row>
    <row r="2884" spans="1:6" x14ac:dyDescent="0.3">
      <c r="A2884" t="s">
        <v>661</v>
      </c>
      <c r="B2884" s="23" t="s">
        <v>103</v>
      </c>
      <c r="C2884" s="23" t="s">
        <v>41</v>
      </c>
      <c r="D2884" s="24"/>
      <c r="E2884" s="24"/>
      <c r="F2884" s="23"/>
    </row>
    <row r="2885" spans="1:6" x14ac:dyDescent="0.3">
      <c r="A2885" t="s">
        <v>661</v>
      </c>
      <c r="B2885" s="23" t="s">
        <v>23</v>
      </c>
      <c r="C2885" s="23" t="s">
        <v>124</v>
      </c>
      <c r="D2885" s="24">
        <v>0.79166666666666496</v>
      </c>
      <c r="E2885" s="24">
        <v>0.91666666666666496</v>
      </c>
      <c r="F2885" s="23" t="s">
        <v>708</v>
      </c>
    </row>
    <row r="2886" spans="1:6" x14ac:dyDescent="0.3">
      <c r="A2886" t="s">
        <v>661</v>
      </c>
      <c r="B2886" s="23" t="s">
        <v>23</v>
      </c>
      <c r="C2886" s="23" t="s">
        <v>53</v>
      </c>
      <c r="D2886" s="24">
        <v>0.687499999999999</v>
      </c>
      <c r="E2886" s="24">
        <v>0.72916666666666496</v>
      </c>
      <c r="F2886" s="23" t="s">
        <v>440</v>
      </c>
    </row>
    <row r="2887" spans="1:6" x14ac:dyDescent="0.3">
      <c r="A2887" t="s">
        <v>661</v>
      </c>
      <c r="B2887" s="23" t="s">
        <v>12</v>
      </c>
      <c r="C2887" s="23" t="s">
        <v>53</v>
      </c>
      <c r="D2887" s="24">
        <v>0.687499999999999</v>
      </c>
      <c r="E2887" s="24">
        <v>0.72916666666666496</v>
      </c>
      <c r="F2887" s="23" t="s">
        <v>440</v>
      </c>
    </row>
    <row r="2888" spans="1:6" x14ac:dyDescent="0.3">
      <c r="A2888" t="s">
        <v>662</v>
      </c>
      <c r="B2888" t="s">
        <v>94</v>
      </c>
      <c r="C2888" t="s">
        <v>13</v>
      </c>
      <c r="D2888" s="2"/>
      <c r="E2888" s="2"/>
    </row>
    <row r="2889" spans="1:6" x14ac:dyDescent="0.3">
      <c r="A2889" t="s">
        <v>662</v>
      </c>
      <c r="B2889" s="23" t="s">
        <v>75</v>
      </c>
      <c r="C2889" s="23" t="s">
        <v>15</v>
      </c>
      <c r="D2889" s="24"/>
      <c r="E2889" s="24"/>
      <c r="F2889" s="23"/>
    </row>
    <row r="2890" spans="1:6" x14ac:dyDescent="0.3">
      <c r="A2890" t="s">
        <v>662</v>
      </c>
      <c r="B2890" s="23" t="s">
        <v>50</v>
      </c>
      <c r="C2890" s="23" t="s">
        <v>8</v>
      </c>
      <c r="D2890" s="24"/>
      <c r="E2890" s="24"/>
      <c r="F2890" s="23"/>
    </row>
    <row r="2891" spans="1:6" x14ac:dyDescent="0.3">
      <c r="A2891" t="s">
        <v>662</v>
      </c>
      <c r="B2891" s="23" t="s">
        <v>12</v>
      </c>
      <c r="C2891" s="23" t="s">
        <v>43</v>
      </c>
      <c r="D2891" s="24"/>
      <c r="E2891" s="24"/>
      <c r="F2891" s="23"/>
    </row>
    <row r="2892" spans="1:6" x14ac:dyDescent="0.3">
      <c r="A2892" t="s">
        <v>662</v>
      </c>
      <c r="B2892" s="23" t="s">
        <v>66</v>
      </c>
      <c r="C2892" s="23" t="s">
        <v>45</v>
      </c>
      <c r="D2892" s="24"/>
      <c r="E2892" s="24"/>
      <c r="F2892" s="23"/>
    </row>
    <row r="2893" spans="1:6" x14ac:dyDescent="0.3">
      <c r="A2893" t="s">
        <v>662</v>
      </c>
      <c r="B2893" s="23" t="s">
        <v>68</v>
      </c>
      <c r="C2893" s="23" t="s">
        <v>46</v>
      </c>
      <c r="D2893" s="24"/>
      <c r="E2893" s="24"/>
      <c r="F2893" s="23"/>
    </row>
    <row r="2894" spans="1:6" x14ac:dyDescent="0.3">
      <c r="A2894" t="s">
        <v>662</v>
      </c>
      <c r="B2894" s="23" t="s">
        <v>72</v>
      </c>
      <c r="C2894" s="23" t="s">
        <v>18</v>
      </c>
      <c r="D2894" s="24"/>
      <c r="E2894" s="24"/>
      <c r="F2894" s="23"/>
    </row>
    <row r="2895" spans="1:6" x14ac:dyDescent="0.3">
      <c r="A2895" t="s">
        <v>662</v>
      </c>
      <c r="B2895" s="23" t="s">
        <v>85</v>
      </c>
      <c r="C2895" s="23" t="s">
        <v>49</v>
      </c>
      <c r="D2895" s="24"/>
      <c r="E2895" s="24"/>
      <c r="F2895" s="23"/>
    </row>
    <row r="2896" spans="1:6" x14ac:dyDescent="0.3">
      <c r="A2896" t="s">
        <v>662</v>
      </c>
      <c r="B2896" s="23" t="s">
        <v>73</v>
      </c>
      <c r="C2896" s="23" t="s">
        <v>51</v>
      </c>
      <c r="D2896" s="24"/>
      <c r="E2896" s="24"/>
      <c r="F2896" s="23"/>
    </row>
    <row r="2897" spans="1:6" x14ac:dyDescent="0.3">
      <c r="A2897" t="s">
        <v>662</v>
      </c>
      <c r="B2897" s="23" t="s">
        <v>7</v>
      </c>
      <c r="C2897" s="23" t="s">
        <v>24</v>
      </c>
      <c r="D2897" s="24">
        <v>0.45833333333333298</v>
      </c>
      <c r="E2897" s="24">
        <v>0.58333333333333304</v>
      </c>
      <c r="F2897" s="23" t="s">
        <v>688</v>
      </c>
    </row>
    <row r="2898" spans="1:6" x14ac:dyDescent="0.3">
      <c r="A2898" t="s">
        <v>662</v>
      </c>
      <c r="B2898" s="23" t="s">
        <v>84</v>
      </c>
      <c r="C2898" s="23" t="s">
        <v>26</v>
      </c>
      <c r="D2898" s="24">
        <v>0.79166666666666496</v>
      </c>
      <c r="E2898" s="24">
        <v>0.98958333333333104</v>
      </c>
      <c r="F2898" s="23"/>
    </row>
    <row r="2899" spans="1:6" x14ac:dyDescent="0.3">
      <c r="A2899" t="s">
        <v>662</v>
      </c>
      <c r="B2899" s="23" t="s">
        <v>97</v>
      </c>
      <c r="C2899" s="23" t="s">
        <v>13</v>
      </c>
      <c r="D2899" s="24"/>
      <c r="E2899" s="24"/>
      <c r="F2899" s="23"/>
    </row>
    <row r="2900" spans="1:6" x14ac:dyDescent="0.3">
      <c r="A2900" t="s">
        <v>662</v>
      </c>
      <c r="B2900" s="23" t="s">
        <v>96</v>
      </c>
      <c r="C2900" s="23" t="s">
        <v>8</v>
      </c>
      <c r="D2900" s="24"/>
      <c r="E2900" s="24"/>
      <c r="F2900" s="23"/>
    </row>
    <row r="2901" spans="1:6" x14ac:dyDescent="0.3">
      <c r="A2901" t="s">
        <v>662</v>
      </c>
      <c r="B2901" s="23" t="s">
        <v>27</v>
      </c>
      <c r="C2901" s="23" t="s">
        <v>10</v>
      </c>
      <c r="D2901" s="24"/>
      <c r="E2901" s="24"/>
      <c r="F2901" s="23"/>
    </row>
    <row r="2902" spans="1:6" x14ac:dyDescent="0.3">
      <c r="A2902" t="s">
        <v>662</v>
      </c>
      <c r="B2902" s="23" t="s">
        <v>9</v>
      </c>
      <c r="C2902" s="23" t="s">
        <v>10</v>
      </c>
      <c r="D2902" s="24"/>
      <c r="E2902" s="24"/>
      <c r="F2902" s="23"/>
    </row>
    <row r="2903" spans="1:6" x14ac:dyDescent="0.3">
      <c r="A2903" t="s">
        <v>662</v>
      </c>
      <c r="B2903" s="23" t="s">
        <v>61</v>
      </c>
      <c r="C2903" s="23" t="s">
        <v>41</v>
      </c>
      <c r="D2903" s="24"/>
      <c r="E2903" s="24"/>
      <c r="F2903" s="23"/>
    </row>
    <row r="2904" spans="1:6" x14ac:dyDescent="0.3">
      <c r="A2904" t="s">
        <v>662</v>
      </c>
      <c r="B2904" s="23" t="s">
        <v>36</v>
      </c>
      <c r="C2904" s="23" t="s">
        <v>41</v>
      </c>
      <c r="D2904" s="24"/>
      <c r="E2904" s="24"/>
      <c r="F2904" s="23"/>
    </row>
    <row r="2905" spans="1:6" x14ac:dyDescent="0.3">
      <c r="A2905" t="s">
        <v>662</v>
      </c>
      <c r="B2905" s="23" t="s">
        <v>29</v>
      </c>
      <c r="C2905" s="23" t="s">
        <v>55</v>
      </c>
      <c r="D2905" s="24">
        <v>0.83333333333333204</v>
      </c>
      <c r="E2905" s="24">
        <v>0.91666666666666496</v>
      </c>
      <c r="F2905" s="23" t="s">
        <v>709</v>
      </c>
    </row>
    <row r="2906" spans="1:6" x14ac:dyDescent="0.3">
      <c r="A2906" t="s">
        <v>636</v>
      </c>
      <c r="B2906" t="s">
        <v>64</v>
      </c>
      <c r="C2906" t="s">
        <v>13</v>
      </c>
      <c r="D2906" s="2"/>
      <c r="E2906" s="2"/>
    </row>
    <row r="2907" spans="1:6" x14ac:dyDescent="0.3">
      <c r="A2907" t="s">
        <v>636</v>
      </c>
      <c r="B2907" s="23" t="s">
        <v>73</v>
      </c>
      <c r="C2907" s="23" t="s">
        <v>15</v>
      </c>
      <c r="D2907" s="24"/>
      <c r="E2907" s="24"/>
    </row>
    <row r="2908" spans="1:6" x14ac:dyDescent="0.3">
      <c r="A2908" t="s">
        <v>636</v>
      </c>
      <c r="B2908" s="23" t="s">
        <v>84</v>
      </c>
      <c r="C2908" s="23" t="s">
        <v>8</v>
      </c>
      <c r="D2908" s="24"/>
      <c r="E2908" s="24"/>
      <c r="F2908" s="23"/>
    </row>
    <row r="2909" spans="1:6" x14ac:dyDescent="0.3">
      <c r="A2909" t="s">
        <v>636</v>
      </c>
      <c r="B2909" s="23" t="s">
        <v>33</v>
      </c>
      <c r="C2909" s="23" t="s">
        <v>43</v>
      </c>
      <c r="D2909" s="24"/>
      <c r="E2909" s="24"/>
      <c r="F2909" s="23"/>
    </row>
    <row r="2910" spans="1:6" x14ac:dyDescent="0.3">
      <c r="A2910" t="s">
        <v>636</v>
      </c>
      <c r="B2910" s="23" t="s">
        <v>52</v>
      </c>
      <c r="C2910" s="23" t="s">
        <v>45</v>
      </c>
      <c r="D2910" s="24"/>
      <c r="E2910" s="24"/>
      <c r="F2910" s="23"/>
    </row>
    <row r="2911" spans="1:6" x14ac:dyDescent="0.3">
      <c r="A2911" t="s">
        <v>636</v>
      </c>
      <c r="B2911" s="23" t="s">
        <v>14</v>
      </c>
      <c r="C2911" s="23" t="s">
        <v>46</v>
      </c>
      <c r="D2911" s="24"/>
      <c r="E2911" s="24"/>
      <c r="F2911" s="23"/>
    </row>
    <row r="2912" spans="1:6" x14ac:dyDescent="0.3">
      <c r="A2912" t="s">
        <v>636</v>
      </c>
      <c r="B2912" s="23" t="s">
        <v>32</v>
      </c>
      <c r="C2912" s="23" t="s">
        <v>18</v>
      </c>
      <c r="D2912" s="24"/>
      <c r="E2912" s="24"/>
      <c r="F2912" s="23"/>
    </row>
    <row r="2913" spans="1:6" x14ac:dyDescent="0.3">
      <c r="A2913" t="s">
        <v>636</v>
      </c>
      <c r="B2913" s="23" t="s">
        <v>85</v>
      </c>
      <c r="C2913" s="23" t="s">
        <v>49</v>
      </c>
      <c r="D2913" s="24"/>
      <c r="E2913" s="24"/>
      <c r="F2913" s="23"/>
    </row>
    <row r="2914" spans="1:6" x14ac:dyDescent="0.3">
      <c r="A2914" t="s">
        <v>636</v>
      </c>
      <c r="B2914" s="23" t="s">
        <v>34</v>
      </c>
      <c r="C2914" s="23" t="s">
        <v>51</v>
      </c>
      <c r="D2914" s="24"/>
      <c r="E2914" s="24"/>
      <c r="F2914" s="23"/>
    </row>
    <row r="2915" spans="1:6" x14ac:dyDescent="0.3">
      <c r="A2915" t="s">
        <v>636</v>
      </c>
      <c r="B2915" s="23" t="s">
        <v>23</v>
      </c>
      <c r="C2915" s="23" t="s">
        <v>24</v>
      </c>
      <c r="D2915" s="24">
        <v>0.29166666666666669</v>
      </c>
      <c r="E2915" s="24">
        <v>0.79166666666666496</v>
      </c>
      <c r="F2915" s="23" t="s">
        <v>663</v>
      </c>
    </row>
    <row r="2916" spans="1:6" x14ac:dyDescent="0.3">
      <c r="A2916" t="s">
        <v>636</v>
      </c>
      <c r="B2916" s="23" t="s">
        <v>34</v>
      </c>
      <c r="C2916" s="23" t="s">
        <v>26</v>
      </c>
      <c r="D2916" s="24">
        <v>0.66666666666666596</v>
      </c>
      <c r="E2916" s="24">
        <v>0.79166666666666496</v>
      </c>
      <c r="F2916" s="23"/>
    </row>
    <row r="2917" spans="1:6" x14ac:dyDescent="0.3">
      <c r="A2917" t="s">
        <v>636</v>
      </c>
      <c r="B2917" s="23" t="s">
        <v>34</v>
      </c>
      <c r="C2917" s="23" t="s">
        <v>26</v>
      </c>
      <c r="D2917" s="24">
        <v>0.79166666666666496</v>
      </c>
      <c r="E2917" s="24">
        <v>0.98958333333333104</v>
      </c>
      <c r="F2917" s="23"/>
    </row>
    <row r="2918" spans="1:6" x14ac:dyDescent="0.3">
      <c r="A2918" t="s">
        <v>636</v>
      </c>
      <c r="B2918" s="23" t="s">
        <v>32</v>
      </c>
      <c r="C2918" s="23" t="s">
        <v>26</v>
      </c>
      <c r="D2918" s="24">
        <v>0.66666666666666596</v>
      </c>
      <c r="E2918" s="24">
        <v>0.98958333333333104</v>
      </c>
      <c r="F2918" s="23"/>
    </row>
    <row r="2919" spans="1:6" x14ac:dyDescent="0.3">
      <c r="A2919" t="s">
        <v>636</v>
      </c>
      <c r="B2919" s="23" t="s">
        <v>47</v>
      </c>
      <c r="C2919" s="23" t="s">
        <v>26</v>
      </c>
      <c r="D2919" s="24">
        <v>0.29166666666666669</v>
      </c>
      <c r="E2919" s="24">
        <v>0.41666666666666702</v>
      </c>
      <c r="F2919" s="23"/>
    </row>
    <row r="2920" spans="1:6" x14ac:dyDescent="0.3">
      <c r="A2920" t="s">
        <v>636</v>
      </c>
      <c r="B2920" s="23" t="s">
        <v>47</v>
      </c>
      <c r="C2920" s="23" t="s">
        <v>26</v>
      </c>
      <c r="D2920" s="24">
        <v>0.41666666666666702</v>
      </c>
      <c r="E2920" s="24">
        <v>0.54166666666666596</v>
      </c>
      <c r="F2920" s="23"/>
    </row>
    <row r="2921" spans="1:6" x14ac:dyDescent="0.3">
      <c r="A2921" t="s">
        <v>636</v>
      </c>
      <c r="B2921" s="23" t="s">
        <v>40</v>
      </c>
      <c r="C2921" s="23" t="s">
        <v>13</v>
      </c>
      <c r="D2921" s="24"/>
      <c r="E2921" s="24"/>
      <c r="F2921" s="23"/>
    </row>
    <row r="2922" spans="1:6" x14ac:dyDescent="0.3">
      <c r="A2922" t="s">
        <v>636</v>
      </c>
      <c r="B2922" s="23" t="s">
        <v>98</v>
      </c>
      <c r="C2922" s="23" t="s">
        <v>8</v>
      </c>
      <c r="D2922" s="24"/>
      <c r="E2922" s="24"/>
      <c r="F2922" s="23"/>
    </row>
    <row r="2923" spans="1:6" x14ac:dyDescent="0.3">
      <c r="A2923" t="s">
        <v>636</v>
      </c>
      <c r="B2923" s="23" t="s">
        <v>27</v>
      </c>
      <c r="C2923" s="23" t="s">
        <v>10</v>
      </c>
      <c r="D2923" s="24"/>
      <c r="E2923" s="24"/>
      <c r="F2923" s="23"/>
    </row>
    <row r="2924" spans="1:6" x14ac:dyDescent="0.3">
      <c r="A2924" t="s">
        <v>636</v>
      </c>
      <c r="B2924" s="23" t="s">
        <v>9</v>
      </c>
      <c r="C2924" s="23" t="s">
        <v>10</v>
      </c>
      <c r="D2924" s="24"/>
      <c r="E2924" s="24"/>
      <c r="F2924" s="23"/>
    </row>
    <row r="2925" spans="1:6" x14ac:dyDescent="0.3">
      <c r="A2925" t="s">
        <v>636</v>
      </c>
      <c r="B2925" s="23" t="s">
        <v>97</v>
      </c>
      <c r="C2925" s="23" t="s">
        <v>41</v>
      </c>
      <c r="D2925" s="24"/>
      <c r="E2925" s="24"/>
      <c r="F2925" s="23"/>
    </row>
    <row r="2926" spans="1:6" x14ac:dyDescent="0.3">
      <c r="A2926" t="s">
        <v>636</v>
      </c>
      <c r="B2926" s="23" t="s">
        <v>96</v>
      </c>
      <c r="C2926" s="23" t="s">
        <v>41</v>
      </c>
      <c r="D2926" s="24"/>
      <c r="E2926" s="24"/>
      <c r="F2926" s="23"/>
    </row>
    <row r="2927" spans="1:6" x14ac:dyDescent="0.3">
      <c r="A2927" t="s">
        <v>636</v>
      </c>
      <c r="B2927" s="23" t="s">
        <v>20</v>
      </c>
      <c r="C2927" s="23" t="s">
        <v>26</v>
      </c>
      <c r="D2927" s="24">
        <v>0.79166666666666496</v>
      </c>
      <c r="E2927" s="24">
        <v>0.91666666666666496</v>
      </c>
      <c r="F2927" s="23"/>
    </row>
    <row r="2928" spans="1:6" x14ac:dyDescent="0.3">
      <c r="A2928" t="s">
        <v>636</v>
      </c>
      <c r="B2928" s="23" t="s">
        <v>71</v>
      </c>
      <c r="C2928" s="23" t="s">
        <v>26</v>
      </c>
      <c r="D2928" s="24">
        <v>0.79166666666666496</v>
      </c>
      <c r="E2928" s="24">
        <v>0.91666666666666496</v>
      </c>
      <c r="F2928" s="23"/>
    </row>
    <row r="2929" spans="1:6" x14ac:dyDescent="0.3">
      <c r="A2929" t="s">
        <v>636</v>
      </c>
      <c r="B2929" s="23" t="s">
        <v>50</v>
      </c>
      <c r="C2929" s="23" t="s">
        <v>53</v>
      </c>
      <c r="D2929" s="24">
        <v>0.66666666666666596</v>
      </c>
      <c r="E2929" s="24">
        <v>0.91666666666666496</v>
      </c>
      <c r="F2929" s="23" t="s">
        <v>710</v>
      </c>
    </row>
    <row r="2930" spans="1:6" x14ac:dyDescent="0.3">
      <c r="A2930" t="s">
        <v>636</v>
      </c>
      <c r="B2930" s="23" t="s">
        <v>25</v>
      </c>
      <c r="C2930" s="23" t="s">
        <v>55</v>
      </c>
      <c r="D2930" s="24">
        <v>0.83333333333333204</v>
      </c>
      <c r="E2930" s="24">
        <v>0.91666666666666496</v>
      </c>
      <c r="F2930" s="23" t="s">
        <v>711</v>
      </c>
    </row>
    <row r="2931" spans="1:6" x14ac:dyDescent="0.3">
      <c r="A2931" t="s">
        <v>636</v>
      </c>
      <c r="B2931" s="23" t="s">
        <v>12</v>
      </c>
      <c r="C2931" s="23" t="s">
        <v>22</v>
      </c>
      <c r="D2931" s="24">
        <v>0.29166666666666669</v>
      </c>
      <c r="E2931" s="24">
        <v>0.5</v>
      </c>
      <c r="F2931" s="23"/>
    </row>
    <row r="2932" spans="1:6" x14ac:dyDescent="0.3">
      <c r="A2932" t="s">
        <v>363</v>
      </c>
      <c r="B2932" t="s">
        <v>33</v>
      </c>
      <c r="C2932" t="s">
        <v>13</v>
      </c>
      <c r="D2932" s="2"/>
      <c r="E2932" s="2"/>
    </row>
    <row r="2933" spans="1:6" x14ac:dyDescent="0.3">
      <c r="A2933" t="s">
        <v>363</v>
      </c>
      <c r="B2933" s="23" t="s">
        <v>84</v>
      </c>
      <c r="C2933" s="23" t="s">
        <v>15</v>
      </c>
      <c r="D2933" s="24"/>
      <c r="E2933" s="24"/>
      <c r="F2933" s="23"/>
    </row>
    <row r="2934" spans="1:6" x14ac:dyDescent="0.3">
      <c r="A2934" t="s">
        <v>363</v>
      </c>
      <c r="B2934" s="23" t="s">
        <v>47</v>
      </c>
      <c r="C2934" s="23" t="s">
        <v>8</v>
      </c>
      <c r="D2934" s="24"/>
      <c r="E2934" s="24"/>
      <c r="F2934" s="23"/>
    </row>
    <row r="2935" spans="1:6" x14ac:dyDescent="0.3">
      <c r="A2935" t="s">
        <v>363</v>
      </c>
      <c r="B2935" t="s">
        <v>59</v>
      </c>
      <c r="C2935" t="s">
        <v>13</v>
      </c>
      <c r="D2935" s="2"/>
      <c r="E2935" s="2"/>
    </row>
    <row r="2936" spans="1:6" x14ac:dyDescent="0.3">
      <c r="A2936" t="s">
        <v>363</v>
      </c>
      <c r="B2936" s="23" t="s">
        <v>39</v>
      </c>
      <c r="C2936" s="23" t="s">
        <v>8</v>
      </c>
      <c r="D2936" s="24"/>
      <c r="E2936" s="24"/>
      <c r="F2936" s="23"/>
    </row>
    <row r="2937" spans="1:6" x14ac:dyDescent="0.3">
      <c r="A2937" t="s">
        <v>363</v>
      </c>
      <c r="B2937" s="23" t="s">
        <v>27</v>
      </c>
      <c r="C2937" s="23" t="s">
        <v>10</v>
      </c>
      <c r="D2937" s="24"/>
      <c r="E2937" s="24"/>
      <c r="F2937" s="23"/>
    </row>
    <row r="2938" spans="1:6" x14ac:dyDescent="0.3">
      <c r="A2938" t="s">
        <v>363</v>
      </c>
      <c r="B2938" t="s">
        <v>9</v>
      </c>
      <c r="C2938" t="s">
        <v>10</v>
      </c>
      <c r="D2938" s="2"/>
      <c r="E2938" s="2"/>
    </row>
    <row r="2939" spans="1:6" x14ac:dyDescent="0.3">
      <c r="A2939" t="s">
        <v>363</v>
      </c>
      <c r="B2939" s="23" t="s">
        <v>40</v>
      </c>
      <c r="C2939" s="23" t="s">
        <v>41</v>
      </c>
      <c r="D2939" s="24"/>
      <c r="E2939" s="24"/>
      <c r="F2939" s="23"/>
    </row>
    <row r="2940" spans="1:6" x14ac:dyDescent="0.3">
      <c r="A2940" t="s">
        <v>363</v>
      </c>
      <c r="B2940" t="s">
        <v>98</v>
      </c>
      <c r="C2940" t="s">
        <v>41</v>
      </c>
      <c r="D2940" s="2"/>
      <c r="E2940" s="2"/>
    </row>
    <row r="2941" spans="1:6" x14ac:dyDescent="0.3">
      <c r="A2941" t="s">
        <v>363</v>
      </c>
      <c r="B2941" s="23" t="s">
        <v>94</v>
      </c>
      <c r="C2941" s="23" t="s">
        <v>26</v>
      </c>
      <c r="D2941" s="24">
        <v>0.66666666666666596</v>
      </c>
      <c r="E2941" s="24">
        <v>0.91666666666666496</v>
      </c>
      <c r="F2941" s="23"/>
    </row>
    <row r="2942" spans="1:6" x14ac:dyDescent="0.3">
      <c r="A2942" t="s">
        <v>363</v>
      </c>
      <c r="B2942" s="23" t="s">
        <v>48</v>
      </c>
      <c r="C2942" s="23" t="s">
        <v>26</v>
      </c>
      <c r="D2942" s="24">
        <v>0.66666666666666596</v>
      </c>
      <c r="E2942" s="24">
        <v>0.91666666666666496</v>
      </c>
      <c r="F2942" s="23"/>
    </row>
    <row r="2943" spans="1:6" x14ac:dyDescent="0.3">
      <c r="A2943" t="s">
        <v>363</v>
      </c>
      <c r="B2943" t="s">
        <v>16</v>
      </c>
      <c r="C2943" t="s">
        <v>26</v>
      </c>
      <c r="D2943" s="2">
        <v>0.79166666666666496</v>
      </c>
      <c r="E2943" s="2">
        <v>0.91666666666666496</v>
      </c>
    </row>
    <row r="2944" spans="1:6" x14ac:dyDescent="0.3">
      <c r="A2944" t="s">
        <v>363</v>
      </c>
      <c r="B2944" s="23" t="s">
        <v>23</v>
      </c>
      <c r="C2944" s="23" t="s">
        <v>26</v>
      </c>
      <c r="D2944" s="24">
        <v>0.79166666666666496</v>
      </c>
      <c r="E2944" s="24">
        <v>0.91666666666666496</v>
      </c>
      <c r="F2944" s="23"/>
    </row>
    <row r="2945" spans="1:6" x14ac:dyDescent="0.3">
      <c r="A2945" t="s">
        <v>363</v>
      </c>
      <c r="B2945" t="s">
        <v>14</v>
      </c>
      <c r="C2945" t="s">
        <v>26</v>
      </c>
      <c r="D2945" s="2">
        <v>0.79166666666666496</v>
      </c>
      <c r="E2945" s="2">
        <v>0.91666666666666496</v>
      </c>
    </row>
    <row r="2946" spans="1:6" x14ac:dyDescent="0.3">
      <c r="A2946" t="s">
        <v>363</v>
      </c>
      <c r="B2946" s="23" t="s">
        <v>64</v>
      </c>
      <c r="C2946" s="23" t="s">
        <v>43</v>
      </c>
      <c r="D2946" s="24"/>
      <c r="E2946" s="24"/>
      <c r="F2946" s="23"/>
    </row>
    <row r="2947" spans="1:6" x14ac:dyDescent="0.3">
      <c r="A2947" t="s">
        <v>363</v>
      </c>
      <c r="B2947" s="23" t="s">
        <v>52</v>
      </c>
      <c r="C2947" s="23" t="s">
        <v>45</v>
      </c>
      <c r="D2947" s="24"/>
      <c r="E2947" s="24"/>
      <c r="F2947" s="23"/>
    </row>
    <row r="2948" spans="1:6" x14ac:dyDescent="0.3">
      <c r="A2948" t="s">
        <v>363</v>
      </c>
      <c r="B2948" t="s">
        <v>16</v>
      </c>
      <c r="C2948" t="s">
        <v>46</v>
      </c>
      <c r="D2948" s="2"/>
      <c r="E2948" s="2"/>
    </row>
    <row r="2949" spans="1:6" x14ac:dyDescent="0.3">
      <c r="A2949" t="s">
        <v>363</v>
      </c>
      <c r="B2949" s="23" t="s">
        <v>63</v>
      </c>
      <c r="C2949" s="23" t="s">
        <v>18</v>
      </c>
      <c r="D2949" s="24"/>
      <c r="E2949" s="24"/>
      <c r="F2949" s="23"/>
    </row>
    <row r="2950" spans="1:6" x14ac:dyDescent="0.3">
      <c r="A2950" t="s">
        <v>363</v>
      </c>
      <c r="B2950" s="23" t="s">
        <v>85</v>
      </c>
      <c r="C2950" s="23" t="s">
        <v>49</v>
      </c>
      <c r="D2950" s="24"/>
      <c r="E2950" s="24"/>
      <c r="F2950" s="23"/>
    </row>
    <row r="2951" spans="1:6" x14ac:dyDescent="0.3">
      <c r="A2951" t="s">
        <v>363</v>
      </c>
      <c r="B2951" t="s">
        <v>17</v>
      </c>
      <c r="C2951" t="s">
        <v>51</v>
      </c>
      <c r="D2951" s="2"/>
      <c r="E2951" s="2"/>
    </row>
    <row r="2952" spans="1:6" x14ac:dyDescent="0.3">
      <c r="A2952" t="s">
        <v>363</v>
      </c>
      <c r="B2952" s="23" t="s">
        <v>12</v>
      </c>
      <c r="C2952" s="23" t="s">
        <v>24</v>
      </c>
      <c r="D2952" s="24">
        <v>0.749999999999999</v>
      </c>
      <c r="E2952" s="24">
        <v>0.91666666666666496</v>
      </c>
      <c r="F2952" s="23" t="s">
        <v>159</v>
      </c>
    </row>
    <row r="2953" spans="1:6" x14ac:dyDescent="0.3">
      <c r="A2953" t="s">
        <v>363</v>
      </c>
      <c r="B2953" t="s">
        <v>47</v>
      </c>
      <c r="C2953" t="s">
        <v>24</v>
      </c>
      <c r="D2953" s="2">
        <v>0.29166666666666669</v>
      </c>
      <c r="E2953" s="2">
        <v>0.5</v>
      </c>
      <c r="F2953" t="s">
        <v>712</v>
      </c>
    </row>
    <row r="2954" spans="1:6" x14ac:dyDescent="0.3">
      <c r="A2954" t="s">
        <v>363</v>
      </c>
      <c r="B2954" s="23" t="s">
        <v>73</v>
      </c>
      <c r="C2954" s="23" t="s">
        <v>53</v>
      </c>
      <c r="D2954" s="24">
        <v>0.687499999999999</v>
      </c>
      <c r="E2954" s="24">
        <v>0.72916666666666496</v>
      </c>
      <c r="F2954" s="23" t="s">
        <v>713</v>
      </c>
    </row>
    <row r="2955" spans="1:6" x14ac:dyDescent="0.3">
      <c r="A2955" t="s">
        <v>363</v>
      </c>
      <c r="B2955" t="s">
        <v>50</v>
      </c>
      <c r="C2955" t="s">
        <v>53</v>
      </c>
      <c r="D2955" s="2">
        <v>0.687499999999999</v>
      </c>
      <c r="E2955" s="2">
        <v>0.72916666666666496</v>
      </c>
      <c r="F2955" t="s">
        <v>713</v>
      </c>
    </row>
    <row r="2956" spans="1:6" x14ac:dyDescent="0.3">
      <c r="A2956" t="s">
        <v>665</v>
      </c>
      <c r="B2956" t="s">
        <v>72</v>
      </c>
      <c r="C2956" t="s">
        <v>13</v>
      </c>
      <c r="D2956" s="2"/>
      <c r="E2956" s="2"/>
    </row>
    <row r="2957" spans="1:6" x14ac:dyDescent="0.3">
      <c r="A2957" t="s">
        <v>665</v>
      </c>
      <c r="B2957" s="23" t="s">
        <v>52</v>
      </c>
      <c r="C2957" s="23" t="s">
        <v>15</v>
      </c>
      <c r="D2957" s="24"/>
      <c r="E2957" s="24"/>
    </row>
    <row r="2958" spans="1:6" x14ac:dyDescent="0.3">
      <c r="A2958" t="s">
        <v>665</v>
      </c>
      <c r="B2958" s="23" t="s">
        <v>47</v>
      </c>
      <c r="C2958" s="23" t="s">
        <v>8</v>
      </c>
      <c r="D2958" s="24"/>
      <c r="E2958" s="24"/>
      <c r="F2958" s="23"/>
    </row>
    <row r="2959" spans="1:6" x14ac:dyDescent="0.3">
      <c r="A2959" t="s">
        <v>665</v>
      </c>
      <c r="B2959" s="23" t="s">
        <v>84</v>
      </c>
      <c r="C2959" s="23" t="s">
        <v>43</v>
      </c>
      <c r="D2959" s="24"/>
      <c r="E2959" s="24"/>
      <c r="F2959" s="23"/>
    </row>
    <row r="2960" spans="1:6" x14ac:dyDescent="0.3">
      <c r="A2960" t="s">
        <v>665</v>
      </c>
      <c r="B2960" s="23" t="s">
        <v>44</v>
      </c>
      <c r="C2960" s="23" t="s">
        <v>45</v>
      </c>
      <c r="D2960" s="24"/>
      <c r="E2960" s="24"/>
      <c r="F2960" s="23"/>
    </row>
    <row r="2961" spans="1:6" x14ac:dyDescent="0.3">
      <c r="A2961" t="s">
        <v>665</v>
      </c>
      <c r="B2961" s="23" t="s">
        <v>21</v>
      </c>
      <c r="C2961" s="23" t="s">
        <v>46</v>
      </c>
      <c r="D2961" s="24"/>
      <c r="E2961" s="24"/>
      <c r="F2961" s="23"/>
    </row>
    <row r="2962" spans="1:6" x14ac:dyDescent="0.3">
      <c r="A2962" t="s">
        <v>665</v>
      </c>
      <c r="B2962" s="23" t="s">
        <v>32</v>
      </c>
      <c r="C2962" s="23" t="s">
        <v>18</v>
      </c>
      <c r="D2962" s="24"/>
      <c r="E2962" s="24"/>
      <c r="F2962" s="23"/>
    </row>
    <row r="2963" spans="1:6" x14ac:dyDescent="0.3">
      <c r="A2963" t="s">
        <v>665</v>
      </c>
      <c r="B2963" s="23" t="s">
        <v>71</v>
      </c>
      <c r="C2963" s="23" t="s">
        <v>49</v>
      </c>
      <c r="D2963" s="24"/>
      <c r="E2963" s="24"/>
      <c r="F2963" s="23"/>
    </row>
    <row r="2964" spans="1:6" x14ac:dyDescent="0.3">
      <c r="A2964" t="s">
        <v>665</v>
      </c>
      <c r="B2964" s="23" t="s">
        <v>50</v>
      </c>
      <c r="C2964" s="23" t="s">
        <v>51</v>
      </c>
      <c r="D2964" s="24"/>
      <c r="E2964" s="24"/>
      <c r="F2964" s="23"/>
    </row>
    <row r="2965" spans="1:6" x14ac:dyDescent="0.3">
      <c r="A2965" t="s">
        <v>665</v>
      </c>
      <c r="B2965" s="23" t="s">
        <v>34</v>
      </c>
      <c r="C2965" s="23" t="s">
        <v>24</v>
      </c>
      <c r="D2965" s="24"/>
      <c r="E2965" s="24"/>
      <c r="F2965" s="23" t="s">
        <v>683</v>
      </c>
    </row>
    <row r="2966" spans="1:6" x14ac:dyDescent="0.3">
      <c r="A2966" t="s">
        <v>665</v>
      </c>
      <c r="B2966" s="23" t="s">
        <v>103</v>
      </c>
      <c r="C2966" s="23" t="s">
        <v>13</v>
      </c>
      <c r="D2966" s="24"/>
      <c r="E2966" s="24"/>
      <c r="F2966" s="23"/>
    </row>
    <row r="2967" spans="1:6" x14ac:dyDescent="0.3">
      <c r="A2967" t="s">
        <v>665</v>
      </c>
      <c r="B2967" s="23" t="s">
        <v>96</v>
      </c>
      <c r="C2967" s="23" t="s">
        <v>8</v>
      </c>
      <c r="D2967" s="24"/>
      <c r="E2967" s="24"/>
      <c r="F2967" s="23"/>
    </row>
    <row r="2968" spans="1:6" x14ac:dyDescent="0.3">
      <c r="A2968" t="s">
        <v>665</v>
      </c>
      <c r="B2968" s="23" t="s">
        <v>27</v>
      </c>
      <c r="C2968" s="23" t="s">
        <v>10</v>
      </c>
      <c r="D2968" s="24"/>
      <c r="E2968" s="24"/>
      <c r="F2968" s="23"/>
    </row>
    <row r="2969" spans="1:6" x14ac:dyDescent="0.3">
      <c r="A2969" t="s">
        <v>665</v>
      </c>
      <c r="B2969" s="23" t="s">
        <v>9</v>
      </c>
      <c r="C2969" s="23" t="s">
        <v>10</v>
      </c>
      <c r="D2969" s="24"/>
      <c r="E2969" s="24"/>
      <c r="F2969" s="23"/>
    </row>
    <row r="2970" spans="1:6" x14ac:dyDescent="0.3">
      <c r="A2970" t="s">
        <v>665</v>
      </c>
      <c r="B2970" s="23" t="s">
        <v>80</v>
      </c>
      <c r="C2970" s="23" t="s">
        <v>41</v>
      </c>
      <c r="D2970" s="24"/>
      <c r="E2970" s="24"/>
      <c r="F2970" s="23"/>
    </row>
    <row r="2971" spans="1:6" x14ac:dyDescent="0.3">
      <c r="A2971" t="s">
        <v>665</v>
      </c>
      <c r="B2971" s="23" t="s">
        <v>35</v>
      </c>
      <c r="C2971" s="23" t="s">
        <v>41</v>
      </c>
      <c r="D2971" s="24"/>
      <c r="E2971" s="24"/>
      <c r="F2971" s="23"/>
    </row>
    <row r="2972" spans="1:6" x14ac:dyDescent="0.3">
      <c r="A2972" t="s">
        <v>665</v>
      </c>
      <c r="B2972" s="23" t="s">
        <v>36</v>
      </c>
      <c r="C2972" s="23" t="s">
        <v>41</v>
      </c>
      <c r="D2972" s="24"/>
      <c r="E2972" s="24"/>
      <c r="F2972" s="23"/>
    </row>
    <row r="2973" spans="1:6" x14ac:dyDescent="0.3">
      <c r="A2973" t="s">
        <v>665</v>
      </c>
      <c r="B2973" s="23" t="s">
        <v>14</v>
      </c>
      <c r="C2973" s="23" t="s">
        <v>26</v>
      </c>
      <c r="D2973" s="24">
        <v>0.66666666666666596</v>
      </c>
      <c r="E2973" s="24">
        <v>0.79166666666666496</v>
      </c>
      <c r="F2973" s="23"/>
    </row>
    <row r="2974" spans="1:6" x14ac:dyDescent="0.3">
      <c r="A2974" t="s">
        <v>665</v>
      </c>
      <c r="B2974" s="23" t="s">
        <v>14</v>
      </c>
      <c r="C2974" s="23" t="s">
        <v>26</v>
      </c>
      <c r="D2974" s="24">
        <v>0.79166666666666496</v>
      </c>
      <c r="E2974" s="24">
        <v>0.98958333333333104</v>
      </c>
      <c r="F2974" s="23"/>
    </row>
    <row r="2975" spans="1:6" x14ac:dyDescent="0.3">
      <c r="A2975" t="s">
        <v>665</v>
      </c>
      <c r="B2975" s="23" t="s">
        <v>29</v>
      </c>
      <c r="C2975" s="23" t="s">
        <v>26</v>
      </c>
      <c r="D2975" s="24">
        <v>0.79166666666666496</v>
      </c>
      <c r="E2975" s="24">
        <v>0.98958333333333104</v>
      </c>
      <c r="F2975" s="23"/>
    </row>
    <row r="2976" spans="1:6" x14ac:dyDescent="0.3">
      <c r="A2976" t="s">
        <v>665</v>
      </c>
      <c r="B2976" s="23" t="s">
        <v>84</v>
      </c>
      <c r="C2976" s="23" t="s">
        <v>26</v>
      </c>
      <c r="D2976" s="24">
        <v>0.79166666666666496</v>
      </c>
      <c r="E2976" s="24">
        <v>0.98958333333333104</v>
      </c>
      <c r="F2976" s="23"/>
    </row>
    <row r="2977" spans="1:6" x14ac:dyDescent="0.3">
      <c r="A2977" t="s">
        <v>665</v>
      </c>
      <c r="B2977" t="s">
        <v>37</v>
      </c>
      <c r="C2977" t="s">
        <v>55</v>
      </c>
      <c r="D2977" s="2">
        <v>0.29166666666666669</v>
      </c>
      <c r="E2977" s="2">
        <v>0.33333333333333298</v>
      </c>
      <c r="F2977" t="s">
        <v>714</v>
      </c>
    </row>
    <row r="2978" spans="1:6" x14ac:dyDescent="0.3">
      <c r="A2978" t="s">
        <v>666</v>
      </c>
      <c r="B2978" t="s">
        <v>33</v>
      </c>
      <c r="C2978" t="s">
        <v>13</v>
      </c>
      <c r="D2978" s="2"/>
      <c r="E2978" s="2"/>
    </row>
    <row r="2979" spans="1:6" x14ac:dyDescent="0.3">
      <c r="A2979" t="s">
        <v>666</v>
      </c>
      <c r="B2979" s="23" t="s">
        <v>57</v>
      </c>
      <c r="C2979" s="23" t="s">
        <v>13</v>
      </c>
      <c r="D2979" s="24"/>
      <c r="E2979" s="24"/>
      <c r="F2979" s="23"/>
    </row>
    <row r="2980" spans="1:6" x14ac:dyDescent="0.3">
      <c r="A2980" t="s">
        <v>666</v>
      </c>
      <c r="B2980" s="23" t="s">
        <v>68</v>
      </c>
      <c r="C2980" s="23" t="s">
        <v>15</v>
      </c>
      <c r="D2980" s="24"/>
      <c r="E2980" s="24"/>
      <c r="F2980" s="23"/>
    </row>
    <row r="2981" spans="1:6" x14ac:dyDescent="0.3">
      <c r="A2981" t="s">
        <v>666</v>
      </c>
      <c r="B2981" s="23" t="s">
        <v>64</v>
      </c>
      <c r="C2981" s="23" t="s">
        <v>8</v>
      </c>
      <c r="D2981" s="24"/>
      <c r="E2981" s="24"/>
      <c r="F2981" s="23"/>
    </row>
    <row r="2982" spans="1:6" x14ac:dyDescent="0.3">
      <c r="A2982" t="s">
        <v>666</v>
      </c>
      <c r="B2982" s="23" t="s">
        <v>40</v>
      </c>
      <c r="C2982" s="23" t="s">
        <v>8</v>
      </c>
      <c r="D2982" s="24"/>
      <c r="E2982" s="24"/>
      <c r="F2982" s="23"/>
    </row>
    <row r="2983" spans="1:6" x14ac:dyDescent="0.3">
      <c r="A2983" t="s">
        <v>666</v>
      </c>
      <c r="B2983" s="23" t="s">
        <v>20</v>
      </c>
      <c r="C2983" s="23" t="s">
        <v>30</v>
      </c>
      <c r="D2983" s="24"/>
      <c r="E2983" s="24"/>
      <c r="F2983" s="23"/>
    </row>
    <row r="2984" spans="1:6" x14ac:dyDescent="0.3">
      <c r="A2984" t="s">
        <v>666</v>
      </c>
      <c r="B2984" s="23" t="s">
        <v>27</v>
      </c>
      <c r="C2984" s="23" t="s">
        <v>10</v>
      </c>
      <c r="D2984" s="24"/>
      <c r="E2984" s="24"/>
      <c r="F2984" s="23"/>
    </row>
    <row r="2985" spans="1:6" x14ac:dyDescent="0.3">
      <c r="A2985" t="s">
        <v>666</v>
      </c>
      <c r="B2985" s="23" t="s">
        <v>9</v>
      </c>
      <c r="C2985" s="23" t="s">
        <v>10</v>
      </c>
      <c r="D2985" s="24"/>
      <c r="E2985" s="24"/>
      <c r="F2985" s="23"/>
    </row>
    <row r="2986" spans="1:6" x14ac:dyDescent="0.3">
      <c r="A2986" t="s">
        <v>666</v>
      </c>
      <c r="B2986" s="23" t="s">
        <v>62</v>
      </c>
      <c r="C2986" s="23" t="s">
        <v>41</v>
      </c>
      <c r="D2986" s="24"/>
      <c r="E2986" s="24"/>
      <c r="F2986" s="23"/>
    </row>
    <row r="2987" spans="1:6" x14ac:dyDescent="0.3">
      <c r="A2987" t="s">
        <v>666</v>
      </c>
      <c r="B2987" s="23" t="s">
        <v>38</v>
      </c>
      <c r="C2987" s="23" t="s">
        <v>41</v>
      </c>
      <c r="D2987" s="24"/>
      <c r="E2987" s="24"/>
      <c r="F2987" s="23"/>
    </row>
    <row r="2988" spans="1:6" x14ac:dyDescent="0.3">
      <c r="A2988" t="s">
        <v>666</v>
      </c>
      <c r="B2988" s="23" t="s">
        <v>85</v>
      </c>
      <c r="C2988" s="23" t="s">
        <v>26</v>
      </c>
      <c r="D2988" s="24">
        <v>0.41666666666666702</v>
      </c>
      <c r="E2988" s="24">
        <v>0.54166666666666596</v>
      </c>
      <c r="F2988" s="23"/>
    </row>
    <row r="2989" spans="1:6" x14ac:dyDescent="0.3">
      <c r="A2989" t="s">
        <v>666</v>
      </c>
      <c r="B2989" s="23" t="s">
        <v>84</v>
      </c>
      <c r="C2989" s="23" t="s">
        <v>26</v>
      </c>
      <c r="D2989" s="24">
        <v>0.79166666666666496</v>
      </c>
      <c r="E2989" s="24">
        <v>0.91666666666666496</v>
      </c>
      <c r="F2989" s="23"/>
    </row>
    <row r="2990" spans="1:6" x14ac:dyDescent="0.3">
      <c r="A2990" t="s">
        <v>666</v>
      </c>
      <c r="B2990" s="23" t="s">
        <v>29</v>
      </c>
      <c r="C2990" s="23" t="s">
        <v>43</v>
      </c>
      <c r="D2990" s="24"/>
      <c r="E2990" s="24"/>
      <c r="F2990" s="23"/>
    </row>
    <row r="2991" spans="1:6" x14ac:dyDescent="0.3">
      <c r="A2991" t="s">
        <v>666</v>
      </c>
      <c r="B2991" s="23" t="s">
        <v>66</v>
      </c>
      <c r="C2991" s="23" t="s">
        <v>45</v>
      </c>
      <c r="D2991" s="24"/>
      <c r="E2991" s="24"/>
      <c r="F2991" s="23"/>
    </row>
    <row r="2992" spans="1:6" x14ac:dyDescent="0.3">
      <c r="A2992" t="s">
        <v>666</v>
      </c>
      <c r="B2992" s="23" t="s">
        <v>68</v>
      </c>
      <c r="C2992" s="23" t="s">
        <v>46</v>
      </c>
      <c r="D2992" s="24"/>
      <c r="E2992" s="24"/>
      <c r="F2992" s="23"/>
    </row>
    <row r="2993" spans="1:6" x14ac:dyDescent="0.3">
      <c r="A2993" t="s">
        <v>666</v>
      </c>
      <c r="B2993" s="23" t="s">
        <v>47</v>
      </c>
      <c r="C2993" s="23" t="s">
        <v>18</v>
      </c>
      <c r="D2993" s="24"/>
      <c r="E2993" s="24"/>
      <c r="F2993" s="23"/>
    </row>
    <row r="2994" spans="1:6" x14ac:dyDescent="0.3">
      <c r="A2994" t="s">
        <v>666</v>
      </c>
      <c r="B2994" s="23" t="s">
        <v>71</v>
      </c>
      <c r="C2994" s="23" t="s">
        <v>49</v>
      </c>
      <c r="D2994" s="24"/>
      <c r="E2994" s="24"/>
      <c r="F2994" s="23"/>
    </row>
    <row r="2995" spans="1:6" x14ac:dyDescent="0.3">
      <c r="A2995" t="s">
        <v>666</v>
      </c>
      <c r="B2995" s="23" t="s">
        <v>73</v>
      </c>
      <c r="C2995" s="23" t="s">
        <v>51</v>
      </c>
      <c r="D2995" s="24"/>
      <c r="E2995" s="24"/>
      <c r="F2995" s="23"/>
    </row>
    <row r="2996" spans="1:6" x14ac:dyDescent="0.3">
      <c r="A2996" t="s">
        <v>666</v>
      </c>
      <c r="B2996" s="23" t="s">
        <v>73</v>
      </c>
      <c r="C2996" s="23" t="s">
        <v>55</v>
      </c>
      <c r="D2996" s="24">
        <v>0.45833333333333298</v>
      </c>
      <c r="E2996" s="24">
        <v>0.562499999999999</v>
      </c>
      <c r="F2996" s="23" t="s">
        <v>715</v>
      </c>
    </row>
    <row r="2997" spans="1:6" x14ac:dyDescent="0.3">
      <c r="A2997" t="s">
        <v>666</v>
      </c>
      <c r="B2997" s="23" t="s">
        <v>47</v>
      </c>
      <c r="C2997" s="23" t="s">
        <v>24</v>
      </c>
      <c r="D2997" s="24">
        <v>0.812499999999998</v>
      </c>
      <c r="E2997" s="24">
        <v>0.91666666666666496</v>
      </c>
      <c r="F2997" s="23" t="s">
        <v>716</v>
      </c>
    </row>
    <row r="2998" spans="1:6" x14ac:dyDescent="0.3">
      <c r="A2998" t="s">
        <v>671</v>
      </c>
      <c r="B2998" t="s">
        <v>68</v>
      </c>
      <c r="C2998" t="s">
        <v>13</v>
      </c>
      <c r="D2998" s="2"/>
      <c r="E2998" s="2"/>
    </row>
    <row r="2999" spans="1:6" x14ac:dyDescent="0.3">
      <c r="A2999" t="s">
        <v>671</v>
      </c>
      <c r="B2999" s="23" t="s">
        <v>142</v>
      </c>
      <c r="C2999" s="23" t="s">
        <v>15</v>
      </c>
      <c r="D2999" s="24"/>
      <c r="E2999" s="24"/>
      <c r="F2999" s="23"/>
    </row>
    <row r="3000" spans="1:6" x14ac:dyDescent="0.3">
      <c r="A3000" t="s">
        <v>671</v>
      </c>
      <c r="B3000" s="23" t="s">
        <v>34</v>
      </c>
      <c r="C3000" s="23" t="s">
        <v>8</v>
      </c>
      <c r="D3000" s="24"/>
      <c r="E3000" s="24"/>
      <c r="F3000" s="23"/>
    </row>
    <row r="3001" spans="1:6" x14ac:dyDescent="0.3">
      <c r="A3001" t="s">
        <v>671</v>
      </c>
      <c r="B3001" s="23" t="s">
        <v>12</v>
      </c>
      <c r="C3001" s="23" t="s">
        <v>43</v>
      </c>
      <c r="D3001" s="24"/>
      <c r="E3001" s="24"/>
      <c r="F3001" s="23"/>
    </row>
    <row r="3002" spans="1:6" x14ac:dyDescent="0.3">
      <c r="A3002" t="s">
        <v>671</v>
      </c>
      <c r="B3002" s="23" t="s">
        <v>23</v>
      </c>
      <c r="C3002" s="23" t="s">
        <v>45</v>
      </c>
      <c r="D3002" s="24"/>
      <c r="E3002" s="24"/>
      <c r="F3002" s="23"/>
    </row>
    <row r="3003" spans="1:6" x14ac:dyDescent="0.3">
      <c r="A3003" t="s">
        <v>671</v>
      </c>
      <c r="B3003" s="23" t="s">
        <v>16</v>
      </c>
      <c r="C3003" s="23" t="s">
        <v>46</v>
      </c>
      <c r="D3003" s="24"/>
      <c r="E3003" s="24"/>
      <c r="F3003" s="23"/>
    </row>
    <row r="3004" spans="1:6" x14ac:dyDescent="0.3">
      <c r="A3004" t="s">
        <v>671</v>
      </c>
      <c r="B3004" s="23" t="s">
        <v>47</v>
      </c>
      <c r="C3004" s="23" t="s">
        <v>18</v>
      </c>
      <c r="D3004" s="24"/>
      <c r="E3004" s="24"/>
      <c r="F3004" s="23"/>
    </row>
    <row r="3005" spans="1:6" x14ac:dyDescent="0.3">
      <c r="A3005" t="s">
        <v>671</v>
      </c>
      <c r="B3005" s="23" t="s">
        <v>48</v>
      </c>
      <c r="C3005" s="23" t="s">
        <v>49</v>
      </c>
      <c r="D3005" s="24"/>
      <c r="E3005" s="24"/>
      <c r="F3005" s="23"/>
    </row>
    <row r="3006" spans="1:6" x14ac:dyDescent="0.3">
      <c r="A3006" t="s">
        <v>671</v>
      </c>
      <c r="B3006" s="23" t="s">
        <v>75</v>
      </c>
      <c r="C3006" s="23" t="s">
        <v>51</v>
      </c>
      <c r="D3006" s="24"/>
      <c r="E3006" s="24"/>
      <c r="F3006" s="23"/>
    </row>
    <row r="3007" spans="1:6" x14ac:dyDescent="0.3">
      <c r="A3007" t="s">
        <v>671</v>
      </c>
      <c r="B3007" s="23" t="s">
        <v>75</v>
      </c>
      <c r="C3007" s="23" t="s">
        <v>30</v>
      </c>
      <c r="D3007" s="24"/>
      <c r="E3007" s="24"/>
      <c r="F3007" s="23"/>
    </row>
    <row r="3008" spans="1:6" x14ac:dyDescent="0.3">
      <c r="A3008" t="s">
        <v>671</v>
      </c>
      <c r="B3008" s="23" t="s">
        <v>37</v>
      </c>
      <c r="C3008" s="23" t="s">
        <v>30</v>
      </c>
      <c r="D3008" s="24"/>
      <c r="E3008" s="24"/>
      <c r="F3008" s="23"/>
    </row>
    <row r="3009" spans="1:6" x14ac:dyDescent="0.3">
      <c r="A3009" t="s">
        <v>671</v>
      </c>
      <c r="B3009" s="23" t="s">
        <v>35</v>
      </c>
      <c r="C3009" s="23" t="s">
        <v>13</v>
      </c>
      <c r="D3009" s="24"/>
      <c r="E3009" s="24"/>
      <c r="F3009" s="23"/>
    </row>
    <row r="3010" spans="1:6" x14ac:dyDescent="0.3">
      <c r="A3010" t="s">
        <v>671</v>
      </c>
      <c r="B3010" s="23" t="s">
        <v>57</v>
      </c>
      <c r="C3010" s="23" t="s">
        <v>8</v>
      </c>
      <c r="D3010" s="24"/>
      <c r="E3010" s="24"/>
      <c r="F3010" s="23"/>
    </row>
    <row r="3011" spans="1:6" x14ac:dyDescent="0.3">
      <c r="A3011" t="s">
        <v>671</v>
      </c>
      <c r="B3011" s="23" t="s">
        <v>50</v>
      </c>
      <c r="C3011" s="23" t="s">
        <v>124</v>
      </c>
      <c r="D3011" s="24">
        <v>0.83333333333333204</v>
      </c>
      <c r="E3011" s="24">
        <v>0.91666666666666496</v>
      </c>
      <c r="F3011" s="23" t="s">
        <v>695</v>
      </c>
    </row>
    <row r="3012" spans="1:6" x14ac:dyDescent="0.3">
      <c r="A3012" t="s">
        <v>671</v>
      </c>
      <c r="B3012" s="23" t="s">
        <v>84</v>
      </c>
      <c r="C3012" s="23" t="s">
        <v>26</v>
      </c>
      <c r="D3012" s="24">
        <v>0.41666666666666702</v>
      </c>
      <c r="E3012" s="24">
        <v>0.54166666666666596</v>
      </c>
      <c r="F3012" s="23"/>
    </row>
    <row r="3013" spans="1:6" x14ac:dyDescent="0.3">
      <c r="A3013" t="s">
        <v>670</v>
      </c>
      <c r="B3013" t="s">
        <v>32</v>
      </c>
      <c r="C3013" t="s">
        <v>13</v>
      </c>
      <c r="D3013" s="2"/>
      <c r="E3013" s="2"/>
    </row>
    <row r="3014" spans="1:6" x14ac:dyDescent="0.3">
      <c r="A3014" t="s">
        <v>670</v>
      </c>
      <c r="B3014" s="23" t="s">
        <v>33</v>
      </c>
      <c r="C3014" s="23" t="s">
        <v>15</v>
      </c>
      <c r="D3014" s="24"/>
      <c r="E3014" s="24"/>
      <c r="F3014" s="23"/>
    </row>
    <row r="3015" spans="1:6" x14ac:dyDescent="0.3">
      <c r="A3015" t="s">
        <v>670</v>
      </c>
      <c r="B3015" s="23" t="s">
        <v>73</v>
      </c>
      <c r="C3015" s="23" t="s">
        <v>8</v>
      </c>
      <c r="D3015" s="24"/>
      <c r="E3015" s="24"/>
      <c r="F3015" s="23"/>
    </row>
    <row r="3016" spans="1:6" x14ac:dyDescent="0.3">
      <c r="A3016" t="s">
        <v>670</v>
      </c>
      <c r="B3016" s="23" t="s">
        <v>64</v>
      </c>
      <c r="C3016" s="23" t="s">
        <v>43</v>
      </c>
      <c r="D3016" s="24"/>
      <c r="E3016" s="24"/>
      <c r="F3016" s="23"/>
    </row>
    <row r="3017" spans="1:6" x14ac:dyDescent="0.3">
      <c r="A3017" t="s">
        <v>670</v>
      </c>
      <c r="B3017" s="23" t="s">
        <v>44</v>
      </c>
      <c r="C3017" s="23" t="s">
        <v>45</v>
      </c>
      <c r="D3017" s="24"/>
      <c r="E3017" s="24"/>
      <c r="F3017" s="23"/>
    </row>
    <row r="3018" spans="1:6" x14ac:dyDescent="0.3">
      <c r="A3018" t="s">
        <v>670</v>
      </c>
      <c r="B3018" s="23" t="s">
        <v>21</v>
      </c>
      <c r="C3018" s="23" t="s">
        <v>46</v>
      </c>
      <c r="D3018" s="24"/>
      <c r="E3018" s="24"/>
      <c r="F3018" s="23"/>
    </row>
    <row r="3019" spans="1:6" x14ac:dyDescent="0.3">
      <c r="A3019" t="s">
        <v>670</v>
      </c>
      <c r="B3019" s="23" t="s">
        <v>72</v>
      </c>
      <c r="C3019" s="23" t="s">
        <v>18</v>
      </c>
      <c r="D3019" s="24"/>
      <c r="E3019" s="24"/>
      <c r="F3019" s="23"/>
    </row>
    <row r="3020" spans="1:6" x14ac:dyDescent="0.3">
      <c r="A3020" t="s">
        <v>670</v>
      </c>
      <c r="B3020" s="23" t="s">
        <v>48</v>
      </c>
      <c r="C3020" s="23" t="s">
        <v>49</v>
      </c>
      <c r="D3020" s="24"/>
      <c r="E3020" s="24"/>
      <c r="F3020" s="23"/>
    </row>
    <row r="3021" spans="1:6" x14ac:dyDescent="0.3">
      <c r="A3021" t="s">
        <v>670</v>
      </c>
      <c r="B3021" s="23" t="s">
        <v>50</v>
      </c>
      <c r="C3021" s="23" t="s">
        <v>51</v>
      </c>
      <c r="D3021" s="24"/>
      <c r="E3021" s="24"/>
      <c r="F3021" s="23"/>
    </row>
    <row r="3022" spans="1:6" x14ac:dyDescent="0.3">
      <c r="A3022" t="s">
        <v>670</v>
      </c>
      <c r="B3022" s="23" t="s">
        <v>75</v>
      </c>
      <c r="C3022" s="23" t="s">
        <v>30</v>
      </c>
      <c r="D3022" s="24"/>
      <c r="E3022" s="24"/>
      <c r="F3022" s="23"/>
    </row>
    <row r="3023" spans="1:6" x14ac:dyDescent="0.3">
      <c r="A3023" t="s">
        <v>670</v>
      </c>
      <c r="B3023" s="23" t="s">
        <v>34</v>
      </c>
      <c r="C3023" s="23" t="s">
        <v>53</v>
      </c>
      <c r="D3023" s="24">
        <v>0.72916666666666496</v>
      </c>
      <c r="E3023" s="24">
        <v>0.77083333333333204</v>
      </c>
      <c r="F3023" s="23" t="s">
        <v>65</v>
      </c>
    </row>
    <row r="3024" spans="1:6" x14ac:dyDescent="0.3">
      <c r="A3024" t="s">
        <v>670</v>
      </c>
      <c r="B3024" s="23" t="s">
        <v>84</v>
      </c>
      <c r="C3024" s="23" t="s">
        <v>53</v>
      </c>
      <c r="D3024" s="24">
        <v>0.72916666666666496</v>
      </c>
      <c r="E3024" s="24">
        <v>0.77083333333333204</v>
      </c>
      <c r="F3024" s="23" t="s">
        <v>65</v>
      </c>
    </row>
    <row r="3025" spans="1:6" x14ac:dyDescent="0.3">
      <c r="A3025" t="s">
        <v>670</v>
      </c>
      <c r="B3025" s="23" t="s">
        <v>50</v>
      </c>
      <c r="C3025" s="23" t="s">
        <v>53</v>
      </c>
      <c r="D3025" s="24">
        <v>0.72916666666666496</v>
      </c>
      <c r="E3025" s="24">
        <v>0.77083333333333204</v>
      </c>
      <c r="F3025" s="23" t="s">
        <v>65</v>
      </c>
    </row>
    <row r="3026" spans="1:6" x14ac:dyDescent="0.3">
      <c r="A3026" t="s">
        <v>670</v>
      </c>
      <c r="B3026" s="23" t="s">
        <v>36</v>
      </c>
      <c r="C3026" s="23" t="s">
        <v>13</v>
      </c>
      <c r="D3026" s="24"/>
      <c r="E3026" s="24"/>
      <c r="F3026" s="23"/>
    </row>
    <row r="3027" spans="1:6" x14ac:dyDescent="0.3">
      <c r="A3027" t="s">
        <v>670</v>
      </c>
      <c r="B3027" s="23" t="s">
        <v>80</v>
      </c>
      <c r="C3027" s="23" t="s">
        <v>8</v>
      </c>
      <c r="D3027" s="24"/>
      <c r="E3027" s="24"/>
      <c r="F3027" s="23"/>
    </row>
    <row r="3028" spans="1:6" x14ac:dyDescent="0.3">
      <c r="A3028" t="s">
        <v>670</v>
      </c>
      <c r="B3028" s="23" t="s">
        <v>25</v>
      </c>
      <c r="C3028" s="23" t="s">
        <v>55</v>
      </c>
      <c r="D3028" s="24">
        <v>0.83333333333333204</v>
      </c>
      <c r="E3028" s="24">
        <v>0.91666666666666496</v>
      </c>
      <c r="F3028" s="23" t="s">
        <v>198</v>
      </c>
    </row>
    <row r="3029" spans="1:6" x14ac:dyDescent="0.3">
      <c r="A3029" t="s">
        <v>670</v>
      </c>
      <c r="B3029" s="23" t="s">
        <v>63</v>
      </c>
      <c r="C3029" s="23" t="s">
        <v>55</v>
      </c>
      <c r="D3029" s="24">
        <v>0.749999999999999</v>
      </c>
      <c r="E3029" s="24">
        <v>0.83333333333333204</v>
      </c>
      <c r="F3029" s="23" t="s">
        <v>696</v>
      </c>
    </row>
    <row r="3030" spans="1:6" x14ac:dyDescent="0.3">
      <c r="A3030" t="s">
        <v>670</v>
      </c>
      <c r="B3030" s="23" t="s">
        <v>66</v>
      </c>
      <c r="C3030" s="23" t="s">
        <v>24</v>
      </c>
      <c r="D3030" s="24">
        <v>0.58333333333333304</v>
      </c>
      <c r="E3030" s="24">
        <v>0.624999999999999</v>
      </c>
      <c r="F3030" s="23" t="s">
        <v>697</v>
      </c>
    </row>
    <row r="3031" spans="1:6" x14ac:dyDescent="0.3">
      <c r="A3031" t="s">
        <v>670</v>
      </c>
      <c r="B3031" s="23" t="s">
        <v>85</v>
      </c>
      <c r="C3031" s="23" t="s">
        <v>26</v>
      </c>
      <c r="D3031" s="24">
        <v>0.79166666666666496</v>
      </c>
      <c r="E3031" s="24">
        <v>0.91666666666666496</v>
      </c>
      <c r="F3031" s="23"/>
    </row>
    <row r="3032" spans="1:6" x14ac:dyDescent="0.3">
      <c r="A3032" t="s">
        <v>689</v>
      </c>
      <c r="B3032" t="s">
        <v>64</v>
      </c>
      <c r="C3032" t="s">
        <v>13</v>
      </c>
      <c r="D3032" s="2"/>
      <c r="E3032" s="2"/>
    </row>
    <row r="3033" spans="1:6" x14ac:dyDescent="0.3">
      <c r="A3033" t="s">
        <v>689</v>
      </c>
      <c r="B3033" s="23" t="s">
        <v>34</v>
      </c>
      <c r="C3033" s="23" t="s">
        <v>15</v>
      </c>
      <c r="D3033" s="24"/>
      <c r="E3033" s="24"/>
      <c r="F3033" s="23"/>
    </row>
    <row r="3034" spans="1:6" x14ac:dyDescent="0.3">
      <c r="A3034" t="s">
        <v>689</v>
      </c>
      <c r="B3034" s="23" t="s">
        <v>94</v>
      </c>
      <c r="C3034" s="23" t="s">
        <v>8</v>
      </c>
      <c r="D3034" s="24"/>
      <c r="E3034" s="24"/>
      <c r="F3034" s="23"/>
    </row>
    <row r="3035" spans="1:6" x14ac:dyDescent="0.3">
      <c r="A3035" t="s">
        <v>689</v>
      </c>
      <c r="B3035" s="23" t="s">
        <v>50</v>
      </c>
      <c r="C3035" s="23" t="s">
        <v>30</v>
      </c>
      <c r="D3035" s="24"/>
      <c r="E3035" s="24"/>
      <c r="F3035" s="23"/>
    </row>
    <row r="3036" spans="1:6" x14ac:dyDescent="0.3">
      <c r="A3036" t="s">
        <v>689</v>
      </c>
      <c r="B3036" s="23" t="s">
        <v>66</v>
      </c>
      <c r="C3036" s="23" t="s">
        <v>45</v>
      </c>
      <c r="D3036" s="24"/>
      <c r="E3036" s="24"/>
      <c r="F3036" s="23"/>
    </row>
    <row r="3037" spans="1:6" x14ac:dyDescent="0.3">
      <c r="A3037" t="s">
        <v>689</v>
      </c>
      <c r="B3037" s="23" t="s">
        <v>68</v>
      </c>
      <c r="C3037" s="23" t="s">
        <v>46</v>
      </c>
      <c r="D3037" s="24"/>
      <c r="E3037" s="24"/>
      <c r="F3037" s="23"/>
    </row>
    <row r="3038" spans="1:6" x14ac:dyDescent="0.3">
      <c r="A3038" t="s">
        <v>689</v>
      </c>
      <c r="B3038" s="23" t="s">
        <v>63</v>
      </c>
      <c r="C3038" s="23" t="s">
        <v>18</v>
      </c>
      <c r="D3038" s="24"/>
      <c r="E3038" s="24"/>
      <c r="F3038" s="23"/>
    </row>
    <row r="3039" spans="1:6" x14ac:dyDescent="0.3">
      <c r="A3039" t="s">
        <v>689</v>
      </c>
      <c r="B3039" s="23" t="s">
        <v>48</v>
      </c>
      <c r="C3039" s="23" t="s">
        <v>49</v>
      </c>
      <c r="D3039" s="24"/>
      <c r="E3039" s="24"/>
      <c r="F3039" s="23"/>
    </row>
    <row r="3040" spans="1:6" x14ac:dyDescent="0.3">
      <c r="A3040" t="s">
        <v>689</v>
      </c>
      <c r="B3040" s="23" t="s">
        <v>73</v>
      </c>
      <c r="C3040" s="23" t="s">
        <v>51</v>
      </c>
      <c r="D3040" s="24"/>
      <c r="E3040" s="24"/>
      <c r="F3040" s="23"/>
    </row>
    <row r="3041" spans="1:6" x14ac:dyDescent="0.3">
      <c r="A3041" t="s">
        <v>689</v>
      </c>
      <c r="B3041" s="23" t="s">
        <v>29</v>
      </c>
      <c r="C3041" s="23" t="s">
        <v>55</v>
      </c>
      <c r="D3041" s="24">
        <v>0.29166666666666669</v>
      </c>
      <c r="E3041" s="24">
        <v>0.33333333333333298</v>
      </c>
      <c r="F3041" s="23" t="s">
        <v>717</v>
      </c>
    </row>
    <row r="3042" spans="1:6" x14ac:dyDescent="0.3">
      <c r="A3042" t="s">
        <v>718</v>
      </c>
      <c r="B3042" t="s">
        <v>84</v>
      </c>
      <c r="C3042" t="s">
        <v>13</v>
      </c>
      <c r="D3042" s="2"/>
      <c r="E3042" s="2"/>
    </row>
    <row r="3043" spans="1:6" x14ac:dyDescent="0.3">
      <c r="A3043" t="s">
        <v>718</v>
      </c>
      <c r="B3043" s="23" t="s">
        <v>33</v>
      </c>
      <c r="C3043" s="23" t="s">
        <v>8</v>
      </c>
      <c r="D3043" s="24"/>
      <c r="E3043" s="24"/>
      <c r="F3043" s="23"/>
    </row>
    <row r="3044" spans="1:6" x14ac:dyDescent="0.3">
      <c r="A3044" t="s">
        <v>718</v>
      </c>
      <c r="B3044" s="23" t="s">
        <v>64</v>
      </c>
      <c r="C3044" s="23" t="s">
        <v>78</v>
      </c>
      <c r="D3044" s="24"/>
      <c r="E3044" s="24"/>
      <c r="F3044" s="23"/>
    </row>
    <row r="3045" spans="1:6" x14ac:dyDescent="0.3">
      <c r="A3045" t="s">
        <v>718</v>
      </c>
      <c r="B3045" s="23" t="s">
        <v>52</v>
      </c>
      <c r="C3045" s="23" t="s">
        <v>45</v>
      </c>
      <c r="D3045" s="24"/>
      <c r="E3045" s="24"/>
      <c r="F3045" s="23"/>
    </row>
    <row r="3046" spans="1:6" x14ac:dyDescent="0.3">
      <c r="A3046" t="s">
        <v>718</v>
      </c>
      <c r="B3046" s="23" t="s">
        <v>14</v>
      </c>
      <c r="C3046" s="23" t="s">
        <v>46</v>
      </c>
      <c r="D3046" s="24"/>
      <c r="E3046" s="24"/>
      <c r="F3046" s="23"/>
    </row>
    <row r="3047" spans="1:6" x14ac:dyDescent="0.3">
      <c r="A3047" t="s">
        <v>718</v>
      </c>
      <c r="B3047" s="23" t="s">
        <v>32</v>
      </c>
      <c r="C3047" s="23" t="s">
        <v>18</v>
      </c>
      <c r="D3047" s="24"/>
      <c r="E3047" s="24"/>
      <c r="F3047" s="23"/>
    </row>
    <row r="3048" spans="1:6" x14ac:dyDescent="0.3">
      <c r="A3048" t="s">
        <v>718</v>
      </c>
      <c r="B3048" s="23" t="s">
        <v>48</v>
      </c>
      <c r="C3048" s="23" t="s">
        <v>49</v>
      </c>
      <c r="D3048" s="24"/>
      <c r="E3048" s="24"/>
      <c r="F3048" s="23"/>
    </row>
    <row r="3049" spans="1:6" x14ac:dyDescent="0.3">
      <c r="A3049" t="s">
        <v>718</v>
      </c>
      <c r="B3049" s="23" t="s">
        <v>34</v>
      </c>
      <c r="C3049" s="23" t="s">
        <v>51</v>
      </c>
      <c r="D3049" s="24"/>
      <c r="E3049" s="24"/>
      <c r="F3049" s="23"/>
    </row>
    <row r="3050" spans="1:6" x14ac:dyDescent="0.3">
      <c r="A3050" t="s">
        <v>690</v>
      </c>
      <c r="B3050" t="s">
        <v>73</v>
      </c>
      <c r="C3050" t="s">
        <v>13</v>
      </c>
      <c r="D3050" s="2"/>
      <c r="E3050" s="2"/>
    </row>
    <row r="3051" spans="1:6" x14ac:dyDescent="0.3">
      <c r="A3051" t="s">
        <v>690</v>
      </c>
      <c r="B3051" s="23" t="s">
        <v>34</v>
      </c>
      <c r="C3051" s="23" t="s">
        <v>15</v>
      </c>
      <c r="D3051" s="24"/>
      <c r="E3051" s="24"/>
      <c r="F3051" s="23"/>
    </row>
    <row r="3052" spans="1:6" x14ac:dyDescent="0.3">
      <c r="A3052" t="s">
        <v>690</v>
      </c>
      <c r="B3052" s="23" t="s">
        <v>29</v>
      </c>
      <c r="C3052" s="23" t="s">
        <v>8</v>
      </c>
      <c r="D3052" s="24"/>
      <c r="E3052" s="24"/>
      <c r="F3052" s="23"/>
    </row>
    <row r="3053" spans="1:6" x14ac:dyDescent="0.3">
      <c r="A3053" t="s">
        <v>690</v>
      </c>
      <c r="B3053" s="23" t="s">
        <v>68</v>
      </c>
      <c r="C3053" s="23" t="s">
        <v>30</v>
      </c>
      <c r="D3053" s="24"/>
      <c r="E3053" s="24"/>
      <c r="F3053" s="23"/>
    </row>
    <row r="3054" spans="1:6" x14ac:dyDescent="0.3">
      <c r="A3054" t="s">
        <v>690</v>
      </c>
      <c r="B3054" s="23" t="s">
        <v>44</v>
      </c>
      <c r="C3054" s="23" t="s">
        <v>45</v>
      </c>
      <c r="D3054" s="24"/>
      <c r="E3054" s="24"/>
      <c r="F3054" s="23"/>
    </row>
    <row r="3055" spans="1:6" x14ac:dyDescent="0.3">
      <c r="A3055" t="s">
        <v>690</v>
      </c>
      <c r="B3055" s="23" t="s">
        <v>14</v>
      </c>
      <c r="C3055" s="23" t="s">
        <v>46</v>
      </c>
      <c r="D3055" s="24"/>
      <c r="E3055" s="24"/>
      <c r="F3055" s="23"/>
    </row>
    <row r="3056" spans="1:6" x14ac:dyDescent="0.3">
      <c r="A3056" t="s">
        <v>690</v>
      </c>
      <c r="B3056" s="23" t="s">
        <v>94</v>
      </c>
      <c r="C3056" s="23" t="s">
        <v>18</v>
      </c>
      <c r="D3056" s="24"/>
      <c r="E3056" s="24"/>
      <c r="F3056" s="23"/>
    </row>
    <row r="3057" spans="1:6" x14ac:dyDescent="0.3">
      <c r="A3057" t="s">
        <v>690</v>
      </c>
      <c r="B3057" s="23" t="s">
        <v>48</v>
      </c>
      <c r="C3057" s="23" t="s">
        <v>49</v>
      </c>
      <c r="D3057" s="24"/>
      <c r="E3057" s="24"/>
      <c r="F3057" s="23"/>
    </row>
    <row r="3058" spans="1:6" x14ac:dyDescent="0.3">
      <c r="A3058" t="s">
        <v>690</v>
      </c>
      <c r="B3058" s="23" t="s">
        <v>17</v>
      </c>
      <c r="C3058" s="23" t="s">
        <v>51</v>
      </c>
      <c r="D3058" s="24"/>
      <c r="E3058" s="24"/>
      <c r="F3058" s="23"/>
    </row>
    <row r="3059" spans="1:6" x14ac:dyDescent="0.3">
      <c r="A3059" t="s">
        <v>719</v>
      </c>
      <c r="B3059" t="s">
        <v>71</v>
      </c>
      <c r="C3059" t="s">
        <v>13</v>
      </c>
      <c r="D3059" s="2"/>
      <c r="E3059" s="2"/>
    </row>
    <row r="3060" spans="1:6" x14ac:dyDescent="0.3">
      <c r="A3060" t="s">
        <v>719</v>
      </c>
      <c r="B3060" s="23" t="s">
        <v>37</v>
      </c>
      <c r="C3060" s="23" t="s">
        <v>8</v>
      </c>
      <c r="D3060" s="24"/>
      <c r="E3060" s="24"/>
      <c r="F3060" s="23"/>
    </row>
    <row r="3061" spans="1:6" x14ac:dyDescent="0.3">
      <c r="A3061" t="s">
        <v>719</v>
      </c>
      <c r="B3061" s="23" t="s">
        <v>32</v>
      </c>
      <c r="C3061" s="23" t="s">
        <v>78</v>
      </c>
      <c r="D3061" s="24"/>
      <c r="E3061" s="24"/>
      <c r="F3061" s="23"/>
    </row>
    <row r="3062" spans="1:6" x14ac:dyDescent="0.3">
      <c r="A3062" t="s">
        <v>720</v>
      </c>
      <c r="B3062" t="s">
        <v>32</v>
      </c>
      <c r="C3062" t="s">
        <v>13</v>
      </c>
      <c r="D3062" s="2"/>
      <c r="E3062" s="2"/>
    </row>
    <row r="3063" spans="1:6" x14ac:dyDescent="0.3">
      <c r="A3063" t="s">
        <v>720</v>
      </c>
      <c r="B3063" s="23" t="s">
        <v>71</v>
      </c>
      <c r="C3063" s="23" t="s">
        <v>8</v>
      </c>
      <c r="D3063" s="24"/>
      <c r="E3063" s="24"/>
      <c r="F3063" s="23"/>
    </row>
    <row r="3064" spans="1:6" x14ac:dyDescent="0.3">
      <c r="A3064" t="s">
        <v>720</v>
      </c>
      <c r="B3064" s="23" t="s">
        <v>37</v>
      </c>
      <c r="C3064" s="23" t="s">
        <v>78</v>
      </c>
      <c r="D3064" s="24"/>
      <c r="E3064" s="24"/>
      <c r="F3064" s="23"/>
    </row>
    <row r="3065" spans="1:6" x14ac:dyDescent="0.3">
      <c r="A3065" t="s">
        <v>428</v>
      </c>
      <c r="B3065" t="s">
        <v>34</v>
      </c>
      <c r="C3065" t="s">
        <v>13</v>
      </c>
      <c r="D3065" s="2"/>
      <c r="E3065" s="2"/>
    </row>
    <row r="3066" spans="1:6" x14ac:dyDescent="0.3">
      <c r="A3066" t="s">
        <v>428</v>
      </c>
      <c r="B3066" s="23" t="s">
        <v>72</v>
      </c>
      <c r="C3066" s="23" t="s">
        <v>15</v>
      </c>
      <c r="D3066" s="24"/>
      <c r="E3066" s="24"/>
      <c r="F3066" s="23"/>
    </row>
    <row r="3067" spans="1:6" x14ac:dyDescent="0.3">
      <c r="A3067" t="s">
        <v>428</v>
      </c>
      <c r="B3067" s="23" t="s">
        <v>47</v>
      </c>
      <c r="C3067" s="23" t="s">
        <v>8</v>
      </c>
      <c r="D3067" s="24"/>
      <c r="E3067" s="24"/>
      <c r="F3067" s="23"/>
    </row>
    <row r="3068" spans="1:6" x14ac:dyDescent="0.3">
      <c r="A3068" t="s">
        <v>428</v>
      </c>
      <c r="B3068" s="23" t="s">
        <v>84</v>
      </c>
      <c r="C3068" s="23" t="s">
        <v>30</v>
      </c>
      <c r="D3068" s="24"/>
      <c r="E3068" s="24"/>
      <c r="F3068" s="23"/>
    </row>
    <row r="3069" spans="1:6" x14ac:dyDescent="0.3">
      <c r="A3069" t="s">
        <v>428</v>
      </c>
      <c r="B3069" s="23" t="s">
        <v>64</v>
      </c>
      <c r="C3069" s="23" t="s">
        <v>30</v>
      </c>
      <c r="D3069" s="24"/>
      <c r="E3069" s="24"/>
      <c r="F3069" s="23"/>
    </row>
    <row r="3070" spans="1:6" x14ac:dyDescent="0.3">
      <c r="A3070" t="s">
        <v>428</v>
      </c>
      <c r="B3070" s="23" t="s">
        <v>142</v>
      </c>
      <c r="C3070" s="23" t="s">
        <v>26</v>
      </c>
      <c r="D3070" s="24">
        <v>0.29166666666666669</v>
      </c>
      <c r="E3070" s="24">
        <v>0.41666666666666702</v>
      </c>
      <c r="F3070" s="23"/>
    </row>
    <row r="3071" spans="1:6" x14ac:dyDescent="0.3">
      <c r="A3071" t="s">
        <v>428</v>
      </c>
      <c r="B3071" s="23" t="s">
        <v>63</v>
      </c>
      <c r="C3071" s="23" t="s">
        <v>26</v>
      </c>
      <c r="D3071" s="24">
        <v>0.41666666666666702</v>
      </c>
      <c r="E3071" s="24">
        <v>0.54166666666666596</v>
      </c>
      <c r="F3071" s="23"/>
    </row>
    <row r="3072" spans="1:6" x14ac:dyDescent="0.3">
      <c r="A3072" t="s">
        <v>428</v>
      </c>
      <c r="B3072" s="23" t="s">
        <v>68</v>
      </c>
      <c r="C3072" s="23" t="s">
        <v>55</v>
      </c>
      <c r="D3072" s="24">
        <v>0.83333333333333204</v>
      </c>
      <c r="E3072" s="24">
        <v>0.91666666666666496</v>
      </c>
      <c r="F3072" s="23" t="s">
        <v>721</v>
      </c>
    </row>
    <row r="3073" spans="1:6" x14ac:dyDescent="0.3">
      <c r="A3073" t="s">
        <v>692</v>
      </c>
      <c r="B3073" t="s">
        <v>68</v>
      </c>
      <c r="C3073" t="s">
        <v>13</v>
      </c>
      <c r="D3073" s="2"/>
      <c r="E3073" s="2"/>
    </row>
    <row r="3074" spans="1:6" x14ac:dyDescent="0.3">
      <c r="A3074" t="s">
        <v>692</v>
      </c>
      <c r="B3074" s="23" t="s">
        <v>73</v>
      </c>
      <c r="C3074" s="23" t="s">
        <v>15</v>
      </c>
      <c r="D3074" s="24"/>
      <c r="E3074" s="24"/>
      <c r="F3074" s="23"/>
    </row>
    <row r="3075" spans="1:6" x14ac:dyDescent="0.3">
      <c r="A3075" t="s">
        <v>692</v>
      </c>
      <c r="B3075" s="23" t="s">
        <v>63</v>
      </c>
      <c r="C3075" s="23" t="s">
        <v>8</v>
      </c>
      <c r="D3075" s="24"/>
      <c r="E3075" s="24"/>
      <c r="F3075" s="23"/>
    </row>
    <row r="3076" spans="1:6" x14ac:dyDescent="0.3">
      <c r="A3076" t="s">
        <v>692</v>
      </c>
      <c r="B3076" s="23" t="s">
        <v>64</v>
      </c>
      <c r="C3076" s="23" t="s">
        <v>30</v>
      </c>
      <c r="D3076" s="24"/>
      <c r="E3076" s="24"/>
      <c r="F3076" s="23"/>
    </row>
    <row r="3077" spans="1:6" x14ac:dyDescent="0.3">
      <c r="A3077" t="s">
        <v>692</v>
      </c>
      <c r="B3077" s="23" t="s">
        <v>71</v>
      </c>
      <c r="C3077" s="23" t="s">
        <v>26</v>
      </c>
      <c r="D3077" s="24">
        <v>0.54166666666666596</v>
      </c>
      <c r="E3077" s="24">
        <v>0.66666666666666596</v>
      </c>
      <c r="F3077" s="23"/>
    </row>
    <row r="3078" spans="1:6" x14ac:dyDescent="0.3">
      <c r="A3078" t="s">
        <v>694</v>
      </c>
      <c r="B3078" t="s">
        <v>72</v>
      </c>
      <c r="C3078" t="s">
        <v>13</v>
      </c>
      <c r="D3078" s="2"/>
      <c r="E3078" s="2"/>
    </row>
    <row r="3079" spans="1:6" x14ac:dyDescent="0.3">
      <c r="A3079" t="s">
        <v>694</v>
      </c>
      <c r="B3079" s="23" t="s">
        <v>66</v>
      </c>
      <c r="C3079" s="23" t="s">
        <v>15</v>
      </c>
      <c r="D3079" s="24"/>
      <c r="E3079" s="24"/>
      <c r="F3079" s="23"/>
    </row>
    <row r="3080" spans="1:6" x14ac:dyDescent="0.3">
      <c r="A3080" t="s">
        <v>694</v>
      </c>
      <c r="B3080" s="23" t="s">
        <v>84</v>
      </c>
      <c r="C3080" s="23" t="s">
        <v>8</v>
      </c>
      <c r="D3080" s="24"/>
      <c r="E3080" s="24"/>
      <c r="F3080" s="23"/>
    </row>
    <row r="3081" spans="1:6" x14ac:dyDescent="0.3">
      <c r="A3081" t="s">
        <v>694</v>
      </c>
      <c r="B3081" s="23" t="s">
        <v>64</v>
      </c>
      <c r="C3081" s="23" t="s">
        <v>30</v>
      </c>
      <c r="D3081" s="24"/>
      <c r="E3081" s="24"/>
      <c r="F3081" s="23"/>
    </row>
    <row r="3082" spans="1:6" x14ac:dyDescent="0.3">
      <c r="A3082" t="s">
        <v>694</v>
      </c>
      <c r="B3082" s="23" t="s">
        <v>48</v>
      </c>
      <c r="C3082" s="23" t="s">
        <v>55</v>
      </c>
      <c r="D3082" s="24">
        <v>0.29166666666666669</v>
      </c>
      <c r="E3082" s="24">
        <v>0.33333333333333298</v>
      </c>
      <c r="F3082" s="23" t="s">
        <v>722</v>
      </c>
    </row>
    <row r="3083" spans="1:6" x14ac:dyDescent="0.3">
      <c r="A3083" t="s">
        <v>367</v>
      </c>
      <c r="B3083" s="23" t="s">
        <v>63</v>
      </c>
      <c r="C3083" s="23" t="s">
        <v>13</v>
      </c>
      <c r="D3083" s="24"/>
      <c r="E3083" s="24"/>
      <c r="F3083" s="23"/>
    </row>
    <row r="3084" spans="1:6" x14ac:dyDescent="0.3">
      <c r="A3084" t="s">
        <v>367</v>
      </c>
      <c r="B3084" s="23" t="s">
        <v>71</v>
      </c>
      <c r="C3084" s="23" t="s">
        <v>15</v>
      </c>
      <c r="D3084" s="24"/>
      <c r="E3084" s="24"/>
      <c r="F3084" s="23"/>
    </row>
    <row r="3085" spans="1:6" x14ac:dyDescent="0.3">
      <c r="A3085" t="s">
        <v>367</v>
      </c>
      <c r="B3085" s="23" t="s">
        <v>44</v>
      </c>
      <c r="C3085" s="23" t="s">
        <v>8</v>
      </c>
      <c r="D3085" s="24"/>
      <c r="E3085" s="24"/>
      <c r="F3085" s="23"/>
    </row>
    <row r="3086" spans="1:6" x14ac:dyDescent="0.3">
      <c r="A3086" t="s">
        <v>367</v>
      </c>
      <c r="B3086" s="23" t="s">
        <v>64</v>
      </c>
      <c r="C3086" s="23" t="s">
        <v>30</v>
      </c>
      <c r="D3086" s="24"/>
      <c r="E3086" s="24"/>
      <c r="F3086" s="23"/>
    </row>
    <row r="3087" spans="1:6" x14ac:dyDescent="0.3">
      <c r="A3087" t="s">
        <v>367</v>
      </c>
      <c r="B3087" s="23" t="s">
        <v>94</v>
      </c>
      <c r="C3087" s="23" t="s">
        <v>26</v>
      </c>
      <c r="D3087" s="24">
        <v>0.29166666666666669</v>
      </c>
      <c r="E3087" s="24">
        <v>0.41666666666666702</v>
      </c>
      <c r="F3087" s="23"/>
    </row>
    <row r="3088" spans="1:6" x14ac:dyDescent="0.3">
      <c r="A3088" t="s">
        <v>367</v>
      </c>
      <c r="B3088" s="23" t="s">
        <v>48</v>
      </c>
      <c r="C3088" s="23" t="s">
        <v>24</v>
      </c>
      <c r="D3088" s="24">
        <v>0.54166666666666596</v>
      </c>
      <c r="E3088" s="24">
        <v>0.79166666666666496</v>
      </c>
      <c r="F3088" s="23" t="s">
        <v>723</v>
      </c>
    </row>
    <row r="3089" spans="1:6" x14ac:dyDescent="0.3">
      <c r="A3089" t="s">
        <v>367</v>
      </c>
      <c r="B3089" s="23" t="s">
        <v>44</v>
      </c>
      <c r="C3089" s="23" t="s">
        <v>24</v>
      </c>
      <c r="D3089" s="24">
        <v>0.54166666666666596</v>
      </c>
      <c r="E3089" s="24">
        <v>0.79166666666666496</v>
      </c>
      <c r="F3089" s="23" t="s">
        <v>723</v>
      </c>
    </row>
    <row r="3090" spans="1:6" x14ac:dyDescent="0.3">
      <c r="A3090" t="s">
        <v>364</v>
      </c>
      <c r="B3090" t="s">
        <v>44</v>
      </c>
      <c r="C3090" t="s">
        <v>24</v>
      </c>
      <c r="D3090" s="2"/>
      <c r="E3090" s="2"/>
      <c r="F3090" t="s">
        <v>365</v>
      </c>
    </row>
    <row r="3091" spans="1:6" x14ac:dyDescent="0.3">
      <c r="A3091" t="s">
        <v>364</v>
      </c>
      <c r="B3091" s="23" t="s">
        <v>64</v>
      </c>
      <c r="C3091" s="23" t="s">
        <v>24</v>
      </c>
      <c r="D3091" s="24"/>
      <c r="E3091" s="24"/>
      <c r="F3091" s="23" t="s">
        <v>366</v>
      </c>
    </row>
    <row r="3092" spans="1:6" x14ac:dyDescent="0.3">
      <c r="A3092" t="s">
        <v>364</v>
      </c>
      <c r="B3092" s="23" t="s">
        <v>75</v>
      </c>
      <c r="C3092" s="23" t="s">
        <v>13</v>
      </c>
      <c r="D3092" s="24"/>
      <c r="E3092" s="24"/>
      <c r="F3092" s="23"/>
    </row>
    <row r="3093" spans="1:6" x14ac:dyDescent="0.3">
      <c r="A3093" t="s">
        <v>364</v>
      </c>
      <c r="B3093" s="23" t="s">
        <v>52</v>
      </c>
      <c r="C3093" s="23" t="s">
        <v>15</v>
      </c>
      <c r="D3093" s="24"/>
      <c r="E3093" s="24"/>
      <c r="F3093" s="23"/>
    </row>
    <row r="3094" spans="1:6" x14ac:dyDescent="0.3">
      <c r="A3094" t="s">
        <v>364</v>
      </c>
      <c r="B3094" s="23" t="s">
        <v>34</v>
      </c>
      <c r="C3094" s="23" t="s">
        <v>8</v>
      </c>
      <c r="D3094" s="24"/>
      <c r="E3094" s="24"/>
      <c r="F3094" s="23"/>
    </row>
    <row r="3095" spans="1:6" x14ac:dyDescent="0.3">
      <c r="A3095" t="s">
        <v>724</v>
      </c>
      <c r="B3095" t="s">
        <v>68</v>
      </c>
      <c r="C3095" t="s">
        <v>13</v>
      </c>
      <c r="D3095" s="2"/>
      <c r="E3095" s="2"/>
    </row>
    <row r="3096" spans="1:6" x14ac:dyDescent="0.3">
      <c r="A3096" t="s">
        <v>724</v>
      </c>
      <c r="B3096" s="23" t="s">
        <v>48</v>
      </c>
      <c r="C3096" s="23" t="s">
        <v>8</v>
      </c>
      <c r="D3096" s="24"/>
      <c r="E3096" s="24"/>
      <c r="F3096" s="23"/>
    </row>
    <row r="3097" spans="1:6" x14ac:dyDescent="0.3">
      <c r="A3097" t="s">
        <v>724</v>
      </c>
      <c r="B3097" s="23" t="s">
        <v>73</v>
      </c>
      <c r="C3097" s="23" t="s">
        <v>78</v>
      </c>
      <c r="D3097" s="24"/>
      <c r="E3097" s="24"/>
      <c r="F3097" s="23"/>
    </row>
    <row r="3098" spans="1:6" x14ac:dyDescent="0.3">
      <c r="A3098" t="s">
        <v>725</v>
      </c>
      <c r="B3098" t="s">
        <v>73</v>
      </c>
      <c r="C3098" t="s">
        <v>13</v>
      </c>
      <c r="D3098" s="2"/>
      <c r="E3098" s="2"/>
    </row>
    <row r="3099" spans="1:6" x14ac:dyDescent="0.3">
      <c r="A3099" t="s">
        <v>725</v>
      </c>
      <c r="B3099" s="23" t="s">
        <v>68</v>
      </c>
      <c r="C3099" s="23" t="s">
        <v>8</v>
      </c>
      <c r="D3099" s="24"/>
      <c r="E3099" s="24"/>
      <c r="F3099" s="23"/>
    </row>
    <row r="3100" spans="1:6" x14ac:dyDescent="0.3">
      <c r="A3100" t="s">
        <v>725</v>
      </c>
      <c r="B3100" s="23" t="s">
        <v>48</v>
      </c>
      <c r="C3100" s="23" t="s">
        <v>78</v>
      </c>
      <c r="D3100" s="24"/>
      <c r="E3100" s="24"/>
      <c r="F3100" s="23"/>
    </row>
    <row r="3101" spans="1:6" x14ac:dyDescent="0.3">
      <c r="A3101" t="s">
        <v>726</v>
      </c>
      <c r="B3101" t="s">
        <v>66</v>
      </c>
      <c r="C3101" t="s">
        <v>13</v>
      </c>
      <c r="D3101" s="2"/>
      <c r="E3101" s="2"/>
    </row>
    <row r="3102" spans="1:6" x14ac:dyDescent="0.3">
      <c r="A3102" t="s">
        <v>726</v>
      </c>
      <c r="B3102" s="23" t="s">
        <v>142</v>
      </c>
      <c r="C3102" s="23" t="s">
        <v>15</v>
      </c>
      <c r="D3102" s="24"/>
      <c r="E3102" s="24"/>
      <c r="F3102" s="23"/>
    </row>
    <row r="3103" spans="1:6" x14ac:dyDescent="0.3">
      <c r="A3103" t="s">
        <v>726</v>
      </c>
      <c r="B3103" s="23" t="s">
        <v>71</v>
      </c>
      <c r="C3103" s="23" t="s">
        <v>8</v>
      </c>
      <c r="D3103" s="24"/>
      <c r="E3103" s="24"/>
      <c r="F3103" s="23"/>
    </row>
    <row r="3104" spans="1:6" x14ac:dyDescent="0.3">
      <c r="A3104" t="s">
        <v>726</v>
      </c>
      <c r="B3104" s="23" t="s">
        <v>71</v>
      </c>
      <c r="C3104" s="23" t="s">
        <v>26</v>
      </c>
      <c r="D3104" s="24">
        <v>0.29166666666666669</v>
      </c>
      <c r="E3104" s="24">
        <v>0.41666666666666702</v>
      </c>
      <c r="F3104" s="23"/>
    </row>
    <row r="3105" spans="1:6" x14ac:dyDescent="0.3">
      <c r="A3105" t="s">
        <v>726</v>
      </c>
      <c r="B3105" s="23" t="s">
        <v>71</v>
      </c>
      <c r="C3105" s="23" t="s">
        <v>26</v>
      </c>
      <c r="D3105" s="24">
        <v>0.41666666666666702</v>
      </c>
      <c r="E3105" s="24">
        <v>0.54166666666666596</v>
      </c>
      <c r="F3105" s="23"/>
    </row>
    <row r="3106" spans="1:6" x14ac:dyDescent="0.3">
      <c r="A3106" t="s">
        <v>727</v>
      </c>
      <c r="B3106" t="s">
        <v>32</v>
      </c>
      <c r="C3106" t="s">
        <v>13</v>
      </c>
      <c r="D3106" s="2"/>
      <c r="E3106" s="2"/>
    </row>
    <row r="3107" spans="1:6" x14ac:dyDescent="0.3">
      <c r="A3107" t="s">
        <v>727</v>
      </c>
      <c r="B3107" s="23" t="s">
        <v>68</v>
      </c>
      <c r="C3107" s="23" t="s">
        <v>15</v>
      </c>
      <c r="D3107" s="24"/>
      <c r="E3107" s="24"/>
      <c r="F3107" s="23"/>
    </row>
    <row r="3108" spans="1:6" x14ac:dyDescent="0.3">
      <c r="A3108" t="s">
        <v>727</v>
      </c>
      <c r="B3108" s="23" t="s">
        <v>72</v>
      </c>
      <c r="C3108" s="23" t="s">
        <v>8</v>
      </c>
      <c r="D3108" s="24"/>
      <c r="E3108" s="24"/>
      <c r="F3108" s="23"/>
    </row>
    <row r="3109" spans="1:6" x14ac:dyDescent="0.3">
      <c r="A3109" t="s">
        <v>728</v>
      </c>
      <c r="B3109" t="s">
        <v>29</v>
      </c>
      <c r="C3109" t="s">
        <v>13</v>
      </c>
      <c r="D3109" s="2"/>
      <c r="E3109" s="2"/>
    </row>
    <row r="3110" spans="1:6" x14ac:dyDescent="0.3">
      <c r="A3110" t="s">
        <v>728</v>
      </c>
      <c r="B3110" s="23" t="s">
        <v>37</v>
      </c>
      <c r="C3110" s="23" t="s">
        <v>8</v>
      </c>
      <c r="D3110" s="24"/>
      <c r="E3110" s="24"/>
      <c r="F3110" s="23"/>
    </row>
    <row r="3111" spans="1:6" x14ac:dyDescent="0.3">
      <c r="A3111" t="s">
        <v>728</v>
      </c>
      <c r="B3111" s="23" t="s">
        <v>94</v>
      </c>
      <c r="C3111" s="23" t="s">
        <v>78</v>
      </c>
      <c r="D3111" s="24"/>
      <c r="E3111" s="24"/>
      <c r="F3111" s="23"/>
    </row>
    <row r="3112" spans="1:6" x14ac:dyDescent="0.3">
      <c r="A3112" t="s">
        <v>729</v>
      </c>
      <c r="B3112" s="23" t="s">
        <v>12</v>
      </c>
      <c r="C3112" s="23" t="s">
        <v>13</v>
      </c>
      <c r="D3112" s="24"/>
      <c r="E3112" s="24"/>
      <c r="F3112" s="23"/>
    </row>
    <row r="3113" spans="1:6" x14ac:dyDescent="0.3">
      <c r="A3113" t="s">
        <v>729</v>
      </c>
      <c r="B3113" s="23" t="s">
        <v>50</v>
      </c>
      <c r="C3113" s="23" t="s">
        <v>8</v>
      </c>
      <c r="D3113" s="24"/>
      <c r="E3113" s="24"/>
      <c r="F3113" s="23"/>
    </row>
    <row r="3114" spans="1:6" x14ac:dyDescent="0.3">
      <c r="A3114" t="s">
        <v>729</v>
      </c>
      <c r="B3114" s="23" t="s">
        <v>52</v>
      </c>
      <c r="C3114" s="23" t="s">
        <v>78</v>
      </c>
      <c r="D3114" s="24"/>
      <c r="E3114" s="24"/>
      <c r="F3114" s="23"/>
    </row>
    <row r="3115" spans="1:6" x14ac:dyDescent="0.3">
      <c r="A3115" t="s">
        <v>681</v>
      </c>
      <c r="B3115" t="s">
        <v>52</v>
      </c>
      <c r="C3115" t="s">
        <v>13</v>
      </c>
      <c r="D3115" s="2"/>
      <c r="E3115" s="2"/>
    </row>
    <row r="3116" spans="1:6" x14ac:dyDescent="0.3">
      <c r="A3116" t="s">
        <v>681</v>
      </c>
      <c r="B3116" s="23" t="s">
        <v>32</v>
      </c>
      <c r="C3116" s="23" t="s">
        <v>8</v>
      </c>
      <c r="D3116" s="24"/>
      <c r="E3116" s="24"/>
      <c r="F3116" s="23"/>
    </row>
    <row r="3117" spans="1:6" x14ac:dyDescent="0.3">
      <c r="A3117" t="s">
        <v>681</v>
      </c>
      <c r="B3117" s="23" t="s">
        <v>12</v>
      </c>
      <c r="C3117" s="23" t="s">
        <v>78</v>
      </c>
      <c r="D3117" s="24"/>
      <c r="E3117" s="24"/>
      <c r="F3117" s="23"/>
    </row>
    <row r="3118" spans="1:6" x14ac:dyDescent="0.3">
      <c r="A3118" t="s">
        <v>730</v>
      </c>
      <c r="B3118" t="s">
        <v>85</v>
      </c>
      <c r="C3118" t="s">
        <v>13</v>
      </c>
      <c r="D3118" s="2"/>
      <c r="E3118" s="2"/>
    </row>
    <row r="3119" spans="1:6" x14ac:dyDescent="0.3">
      <c r="A3119" t="s">
        <v>730</v>
      </c>
      <c r="B3119" s="23" t="s">
        <v>32</v>
      </c>
      <c r="C3119" s="23" t="s">
        <v>15</v>
      </c>
      <c r="D3119" s="24"/>
      <c r="E3119" s="24"/>
      <c r="F3119" s="23"/>
    </row>
    <row r="3120" spans="1:6" x14ac:dyDescent="0.3">
      <c r="A3120" t="s">
        <v>730</v>
      </c>
      <c r="B3120" s="23" t="s">
        <v>142</v>
      </c>
      <c r="C3120" s="23" t="s">
        <v>8</v>
      </c>
      <c r="D3120" s="24"/>
      <c r="E3120" s="24"/>
      <c r="F3120" s="23"/>
    </row>
    <row r="3121" spans="1:6" x14ac:dyDescent="0.3">
      <c r="A3121" t="s">
        <v>731</v>
      </c>
      <c r="B3121" t="s">
        <v>94</v>
      </c>
      <c r="C3121" t="s">
        <v>13</v>
      </c>
      <c r="D3121" s="2"/>
      <c r="E3121" s="2"/>
    </row>
    <row r="3122" spans="1:6" x14ac:dyDescent="0.3">
      <c r="A3122" t="s">
        <v>731</v>
      </c>
      <c r="B3122" s="23" t="s">
        <v>44</v>
      </c>
      <c r="C3122" s="23" t="s">
        <v>15</v>
      </c>
      <c r="D3122" s="24"/>
      <c r="E3122" s="24"/>
      <c r="F3122" s="23"/>
    </row>
    <row r="3123" spans="1:6" x14ac:dyDescent="0.3">
      <c r="A3123" t="s">
        <v>731</v>
      </c>
      <c r="B3123" s="23" t="s">
        <v>71</v>
      </c>
      <c r="C3123" s="23" t="s">
        <v>8</v>
      </c>
      <c r="D3123" s="24"/>
      <c r="E3123" s="24"/>
      <c r="F3123" s="23"/>
    </row>
    <row r="3124" spans="1:6" x14ac:dyDescent="0.3">
      <c r="A3124" t="s">
        <v>732</v>
      </c>
      <c r="B3124" t="s">
        <v>73</v>
      </c>
      <c r="C3124" t="s">
        <v>13</v>
      </c>
      <c r="D3124" s="2"/>
      <c r="E3124" s="2"/>
    </row>
    <row r="3125" spans="1:6" x14ac:dyDescent="0.3">
      <c r="A3125" t="s">
        <v>732</v>
      </c>
      <c r="B3125" s="23" t="s">
        <v>47</v>
      </c>
      <c r="C3125" s="23" t="s">
        <v>15</v>
      </c>
      <c r="D3125" s="24"/>
      <c r="E3125" s="24"/>
      <c r="F3125" s="23"/>
    </row>
    <row r="3126" spans="1:6" x14ac:dyDescent="0.3">
      <c r="A3126" t="s">
        <v>732</v>
      </c>
      <c r="B3126" s="23" t="s">
        <v>64</v>
      </c>
      <c r="C3126" s="23" t="s">
        <v>8</v>
      </c>
      <c r="D3126" s="24"/>
      <c r="E3126" s="24"/>
      <c r="F3126" s="23"/>
    </row>
    <row r="3127" spans="1:6" x14ac:dyDescent="0.3">
      <c r="A3127" t="s">
        <v>733</v>
      </c>
      <c r="B3127" t="s">
        <v>142</v>
      </c>
      <c r="C3127" t="s">
        <v>13</v>
      </c>
      <c r="D3127" s="2"/>
      <c r="E3127" s="2"/>
    </row>
    <row r="3128" spans="1:6" x14ac:dyDescent="0.3">
      <c r="A3128" t="s">
        <v>733</v>
      </c>
      <c r="B3128" s="23" t="s">
        <v>85</v>
      </c>
      <c r="C3128" s="23" t="s">
        <v>15</v>
      </c>
      <c r="D3128" s="24"/>
      <c r="E3128" s="24"/>
      <c r="F3128" s="23"/>
    </row>
    <row r="3129" spans="1:6" x14ac:dyDescent="0.3">
      <c r="A3129" t="s">
        <v>733</v>
      </c>
      <c r="B3129" s="23" t="s">
        <v>71</v>
      </c>
      <c r="C3129" s="23" t="s">
        <v>8</v>
      </c>
      <c r="D3129" s="24"/>
      <c r="E3129" s="24"/>
      <c r="F3129" s="23"/>
    </row>
    <row r="3130" spans="1:6" x14ac:dyDescent="0.3">
      <c r="A3130" t="s">
        <v>687</v>
      </c>
      <c r="B3130" t="s">
        <v>48</v>
      </c>
      <c r="C3130" t="s">
        <v>26</v>
      </c>
      <c r="D3130" s="2">
        <v>0.66666666666666596</v>
      </c>
      <c r="E3130" s="2">
        <v>0.79166666666666496</v>
      </c>
    </row>
    <row r="3131" spans="1:6" x14ac:dyDescent="0.3">
      <c r="A3131" t="s">
        <v>687</v>
      </c>
      <c r="B3131" s="23" t="s">
        <v>48</v>
      </c>
      <c r="C3131" s="23" t="s">
        <v>26</v>
      </c>
      <c r="D3131" s="24">
        <v>0.79166666666666496</v>
      </c>
      <c r="E3131" s="24">
        <v>0.98958333333333104</v>
      </c>
    </row>
    <row r="3132" spans="1:6" x14ac:dyDescent="0.3">
      <c r="A3132" t="s">
        <v>687</v>
      </c>
      <c r="B3132" s="23" t="s">
        <v>66</v>
      </c>
      <c r="C3132" s="23" t="s">
        <v>13</v>
      </c>
      <c r="D3132" s="24"/>
      <c r="E3132" s="24"/>
      <c r="F3132" s="23"/>
    </row>
    <row r="3133" spans="1:6" x14ac:dyDescent="0.3">
      <c r="A3133" t="s">
        <v>687</v>
      </c>
      <c r="B3133" s="23" t="s">
        <v>85</v>
      </c>
      <c r="C3133" s="23" t="s">
        <v>15</v>
      </c>
      <c r="D3133" s="24"/>
      <c r="E3133" s="24"/>
      <c r="F3133" s="23"/>
    </row>
    <row r="3134" spans="1:6" x14ac:dyDescent="0.3">
      <c r="A3134" t="s">
        <v>687</v>
      </c>
      <c r="B3134" s="23" t="s">
        <v>37</v>
      </c>
      <c r="C3134" s="23" t="s">
        <v>8</v>
      </c>
      <c r="D3134" s="24"/>
      <c r="E3134" s="24"/>
      <c r="F3134" s="23"/>
    </row>
    <row r="3135" spans="1:6" x14ac:dyDescent="0.3">
      <c r="A3135" t="s">
        <v>734</v>
      </c>
      <c r="B3135" t="s">
        <v>75</v>
      </c>
      <c r="C3135" t="s">
        <v>13</v>
      </c>
      <c r="D3135" s="2"/>
      <c r="E3135" s="2"/>
    </row>
    <row r="3136" spans="1:6" x14ac:dyDescent="0.3">
      <c r="A3136" t="s">
        <v>734</v>
      </c>
      <c r="B3136" s="23" t="s">
        <v>94</v>
      </c>
      <c r="C3136" s="23" t="s">
        <v>8</v>
      </c>
      <c r="D3136" s="24"/>
      <c r="E3136" s="24"/>
    </row>
    <row r="3137" spans="1:6" x14ac:dyDescent="0.3">
      <c r="A3137" t="s">
        <v>734</v>
      </c>
      <c r="B3137" s="23" t="s">
        <v>44</v>
      </c>
      <c r="C3137" s="23" t="s">
        <v>78</v>
      </c>
      <c r="D3137" s="24"/>
      <c r="E3137" s="24"/>
      <c r="F3137" s="23"/>
    </row>
    <row r="3138" spans="1:6" x14ac:dyDescent="0.3">
      <c r="A3138" t="s">
        <v>735</v>
      </c>
      <c r="B3138" t="s">
        <v>44</v>
      </c>
      <c r="C3138" t="s">
        <v>13</v>
      </c>
      <c r="D3138" s="2"/>
      <c r="E3138" s="2"/>
    </row>
    <row r="3139" spans="1:6" x14ac:dyDescent="0.3">
      <c r="A3139" t="s">
        <v>735</v>
      </c>
      <c r="B3139" s="23" t="s">
        <v>75</v>
      </c>
      <c r="C3139" s="23" t="s">
        <v>8</v>
      </c>
      <c r="D3139" s="24"/>
      <c r="E3139" s="24"/>
    </row>
    <row r="3140" spans="1:6" x14ac:dyDescent="0.3">
      <c r="A3140" t="s">
        <v>735</v>
      </c>
      <c r="B3140" s="23" t="s">
        <v>94</v>
      </c>
      <c r="C3140" s="23" t="s">
        <v>78</v>
      </c>
      <c r="D3140" s="24"/>
      <c r="E3140" s="24"/>
      <c r="F3140" s="23"/>
    </row>
    <row r="3141" spans="1:6" x14ac:dyDescent="0.3">
      <c r="A3141" t="s">
        <v>737</v>
      </c>
      <c r="B3141" t="s">
        <v>52</v>
      </c>
      <c r="C3141" t="s">
        <v>13</v>
      </c>
      <c r="D3141" s="2"/>
      <c r="E3141" s="2"/>
    </row>
    <row r="3142" spans="1:6" x14ac:dyDescent="0.3">
      <c r="A3142" t="s">
        <v>737</v>
      </c>
      <c r="B3142" s="23" t="s">
        <v>48</v>
      </c>
      <c r="C3142" s="23" t="s">
        <v>15</v>
      </c>
      <c r="D3142" s="24"/>
      <c r="E3142" s="24"/>
    </row>
    <row r="3143" spans="1:6" x14ac:dyDescent="0.3">
      <c r="A3143" t="s">
        <v>737</v>
      </c>
      <c r="B3143" s="23" t="s">
        <v>32</v>
      </c>
      <c r="C3143" s="23" t="s">
        <v>8</v>
      </c>
      <c r="D3143" s="24"/>
      <c r="E3143" s="24"/>
      <c r="F3143" s="23"/>
    </row>
    <row r="3144" spans="1:6" x14ac:dyDescent="0.3">
      <c r="A3144" t="s">
        <v>737</v>
      </c>
      <c r="B3144" s="23" t="s">
        <v>66</v>
      </c>
      <c r="C3144" s="23" t="s">
        <v>24</v>
      </c>
      <c r="D3144" s="24">
        <v>0.79166666666666496</v>
      </c>
      <c r="E3144" s="24">
        <v>0.91666666666666496</v>
      </c>
      <c r="F3144" s="23" t="s">
        <v>736</v>
      </c>
    </row>
    <row r="3145" spans="1:6" x14ac:dyDescent="0.3">
      <c r="A3145" t="s">
        <v>309</v>
      </c>
      <c r="B3145" t="s">
        <v>75</v>
      </c>
      <c r="C3145" t="s">
        <v>13</v>
      </c>
      <c r="D3145" s="2"/>
      <c r="E3145" s="2"/>
    </row>
    <row r="3146" spans="1:6" x14ac:dyDescent="0.3">
      <c r="A3146" t="s">
        <v>309</v>
      </c>
      <c r="B3146" t="s">
        <v>37</v>
      </c>
      <c r="C3146" t="s">
        <v>15</v>
      </c>
      <c r="D3146" s="2"/>
      <c r="E3146" s="2"/>
    </row>
    <row r="3147" spans="1:6" x14ac:dyDescent="0.3">
      <c r="A3147" t="s">
        <v>309</v>
      </c>
      <c r="B3147" t="s">
        <v>68</v>
      </c>
      <c r="C3147" t="s">
        <v>8</v>
      </c>
      <c r="D3147" s="2"/>
      <c r="E3147" s="2"/>
    </row>
    <row r="3148" spans="1:6" x14ac:dyDescent="0.3">
      <c r="A3148" t="s">
        <v>309</v>
      </c>
      <c r="B3148" s="23" t="s">
        <v>23</v>
      </c>
      <c r="C3148" s="23" t="s">
        <v>24</v>
      </c>
      <c r="D3148" s="24">
        <v>0.29166666666666669</v>
      </c>
      <c r="E3148" s="24">
        <v>0.91666666666666496</v>
      </c>
      <c r="F3148" s="23" t="s">
        <v>310</v>
      </c>
    </row>
    <row r="3149" spans="1:6" x14ac:dyDescent="0.3">
      <c r="A3149" t="s">
        <v>311</v>
      </c>
      <c r="B3149" t="s">
        <v>44</v>
      </c>
      <c r="C3149" t="s">
        <v>13</v>
      </c>
      <c r="D3149" s="2"/>
      <c r="E3149" s="2"/>
    </row>
    <row r="3150" spans="1:6" x14ac:dyDescent="0.3">
      <c r="A3150" t="s">
        <v>311</v>
      </c>
      <c r="B3150" t="s">
        <v>64</v>
      </c>
      <c r="C3150" t="s">
        <v>15</v>
      </c>
      <c r="D3150" s="2"/>
      <c r="E3150" s="2"/>
    </row>
    <row r="3151" spans="1:6" x14ac:dyDescent="0.3">
      <c r="A3151" t="s">
        <v>311</v>
      </c>
      <c r="B3151" t="s">
        <v>94</v>
      </c>
      <c r="C3151" t="s">
        <v>8</v>
      </c>
      <c r="D3151" s="2"/>
      <c r="E3151" s="2"/>
    </row>
    <row r="3152" spans="1:6" x14ac:dyDescent="0.3">
      <c r="A3152" t="s">
        <v>311</v>
      </c>
      <c r="B3152" s="23" t="s">
        <v>23</v>
      </c>
      <c r="C3152" s="23" t="s">
        <v>24</v>
      </c>
      <c r="D3152" s="24">
        <v>0.29166666666666669</v>
      </c>
      <c r="E3152" s="24">
        <v>0.91666666666666496</v>
      </c>
      <c r="F3152" s="23" t="s">
        <v>310</v>
      </c>
    </row>
    <row r="3153" spans="1:6" x14ac:dyDescent="0.3">
      <c r="A3153" t="s">
        <v>738</v>
      </c>
      <c r="B3153" t="s">
        <v>33</v>
      </c>
      <c r="C3153" t="s">
        <v>13</v>
      </c>
      <c r="D3153" s="2"/>
      <c r="E3153" s="2"/>
    </row>
    <row r="3154" spans="1:6" x14ac:dyDescent="0.3">
      <c r="A3154" t="s">
        <v>738</v>
      </c>
      <c r="B3154" t="s">
        <v>84</v>
      </c>
      <c r="C3154" t="s">
        <v>15</v>
      </c>
      <c r="D3154" s="2"/>
      <c r="E3154" s="2"/>
    </row>
    <row r="3155" spans="1:6" x14ac:dyDescent="0.3">
      <c r="A3155" t="s">
        <v>738</v>
      </c>
      <c r="B3155" t="s">
        <v>37</v>
      </c>
      <c r="C3155" t="s">
        <v>8</v>
      </c>
      <c r="D3155" s="2"/>
      <c r="E3155" s="2"/>
    </row>
    <row r="3156" spans="1:6" x14ac:dyDescent="0.3">
      <c r="A3156" t="s">
        <v>667</v>
      </c>
      <c r="B3156" t="s">
        <v>66</v>
      </c>
      <c r="C3156" t="s">
        <v>13</v>
      </c>
      <c r="D3156" s="2"/>
      <c r="E3156" s="2"/>
    </row>
    <row r="3157" spans="1:6" x14ac:dyDescent="0.3">
      <c r="A3157" t="s">
        <v>667</v>
      </c>
      <c r="B3157" s="23" t="s">
        <v>97</v>
      </c>
      <c r="C3157" s="23" t="s">
        <v>13</v>
      </c>
      <c r="D3157" s="24"/>
      <c r="E3157" s="24"/>
      <c r="F3157" s="23"/>
    </row>
    <row r="3158" spans="1:6" x14ac:dyDescent="0.3">
      <c r="A3158" t="s">
        <v>667</v>
      </c>
      <c r="B3158" s="23" t="s">
        <v>29</v>
      </c>
      <c r="C3158" s="23" t="s">
        <v>15</v>
      </c>
      <c r="D3158" s="24"/>
      <c r="E3158" s="24"/>
      <c r="F3158" s="23"/>
    </row>
    <row r="3159" spans="1:6" x14ac:dyDescent="0.3">
      <c r="A3159" t="s">
        <v>667</v>
      </c>
      <c r="B3159" s="23" t="s">
        <v>84</v>
      </c>
      <c r="C3159" s="23" t="s">
        <v>8</v>
      </c>
      <c r="D3159" s="24"/>
      <c r="E3159" s="24"/>
      <c r="F3159" s="23"/>
    </row>
    <row r="3160" spans="1:6" x14ac:dyDescent="0.3">
      <c r="A3160" t="s">
        <v>667</v>
      </c>
      <c r="B3160" s="23" t="s">
        <v>149</v>
      </c>
      <c r="C3160" s="23" t="s">
        <v>8</v>
      </c>
      <c r="D3160" s="24"/>
      <c r="E3160" s="24"/>
      <c r="F3160" s="23"/>
    </row>
    <row r="3161" spans="1:6" x14ac:dyDescent="0.3">
      <c r="A3161" t="s">
        <v>667</v>
      </c>
      <c r="B3161" s="23" t="s">
        <v>27</v>
      </c>
      <c r="C3161" s="23" t="s">
        <v>10</v>
      </c>
      <c r="D3161" s="24"/>
      <c r="E3161" s="24"/>
      <c r="F3161" s="23"/>
    </row>
    <row r="3162" spans="1:6" x14ac:dyDescent="0.3">
      <c r="A3162" t="s">
        <v>667</v>
      </c>
      <c r="B3162" s="23" t="s">
        <v>9</v>
      </c>
      <c r="C3162" s="23" t="s">
        <v>10</v>
      </c>
      <c r="D3162" s="24"/>
      <c r="E3162" s="24"/>
      <c r="F3162" s="23"/>
    </row>
    <row r="3163" spans="1:6" x14ac:dyDescent="0.3">
      <c r="A3163" t="s">
        <v>667</v>
      </c>
      <c r="B3163" s="23" t="s">
        <v>57</v>
      </c>
      <c r="C3163" s="23" t="s">
        <v>41</v>
      </c>
      <c r="D3163" s="24"/>
      <c r="E3163" s="24"/>
      <c r="F3163" s="23"/>
    </row>
    <row r="3164" spans="1:6" x14ac:dyDescent="0.3">
      <c r="A3164" t="s">
        <v>667</v>
      </c>
      <c r="B3164" s="23" t="s">
        <v>35</v>
      </c>
      <c r="C3164" s="23" t="s">
        <v>41</v>
      </c>
      <c r="D3164" s="24"/>
      <c r="E3164" s="24"/>
      <c r="F3164" s="23"/>
    </row>
    <row r="3165" spans="1:6" x14ac:dyDescent="0.3">
      <c r="A3165" t="s">
        <v>667</v>
      </c>
      <c r="B3165" s="23" t="s">
        <v>72</v>
      </c>
      <c r="C3165" s="23" t="s">
        <v>26</v>
      </c>
      <c r="D3165" s="24">
        <v>0.41666666666666702</v>
      </c>
      <c r="E3165" s="24">
        <v>0.54166666666666596</v>
      </c>
      <c r="F3165" s="23"/>
    </row>
    <row r="3166" spans="1:6" x14ac:dyDescent="0.3">
      <c r="A3166" t="s">
        <v>667</v>
      </c>
      <c r="B3166" s="23" t="s">
        <v>33</v>
      </c>
      <c r="C3166" s="23" t="s">
        <v>43</v>
      </c>
      <c r="D3166" s="24"/>
      <c r="E3166" s="24"/>
      <c r="F3166" s="23"/>
    </row>
    <row r="3167" spans="1:6" x14ac:dyDescent="0.3">
      <c r="A3167" t="s">
        <v>667</v>
      </c>
      <c r="B3167" s="23" t="s">
        <v>52</v>
      </c>
      <c r="C3167" s="23" t="s">
        <v>45</v>
      </c>
      <c r="D3167" s="24"/>
      <c r="E3167" s="24"/>
      <c r="F3167" s="23"/>
    </row>
    <row r="3168" spans="1:6" x14ac:dyDescent="0.3">
      <c r="A3168" t="s">
        <v>667</v>
      </c>
      <c r="B3168" s="23" t="s">
        <v>14</v>
      </c>
      <c r="C3168" s="23" t="s">
        <v>46</v>
      </c>
      <c r="D3168" s="24"/>
      <c r="E3168" s="24"/>
      <c r="F3168" s="23"/>
    </row>
    <row r="3169" spans="1:6" x14ac:dyDescent="0.3">
      <c r="A3169" t="s">
        <v>667</v>
      </c>
      <c r="B3169" s="23" t="s">
        <v>94</v>
      </c>
      <c r="C3169" s="23" t="s">
        <v>18</v>
      </c>
      <c r="D3169" s="24"/>
      <c r="E3169" s="24"/>
      <c r="F3169" s="23"/>
    </row>
    <row r="3170" spans="1:6" x14ac:dyDescent="0.3">
      <c r="A3170" t="s">
        <v>667</v>
      </c>
      <c r="B3170" s="23" t="s">
        <v>71</v>
      </c>
      <c r="C3170" s="23" t="s">
        <v>49</v>
      </c>
      <c r="D3170" s="24"/>
      <c r="E3170" s="24"/>
      <c r="F3170" s="23"/>
    </row>
    <row r="3171" spans="1:6" x14ac:dyDescent="0.3">
      <c r="A3171" t="s">
        <v>667</v>
      </c>
      <c r="B3171" s="23" t="s">
        <v>34</v>
      </c>
      <c r="C3171" s="23" t="s">
        <v>51</v>
      </c>
      <c r="D3171" s="24"/>
      <c r="E3171" s="24"/>
      <c r="F3171" s="23"/>
    </row>
    <row r="3172" spans="1:6" x14ac:dyDescent="0.3">
      <c r="A3172" t="s">
        <v>667</v>
      </c>
      <c r="B3172" s="23" t="s">
        <v>72</v>
      </c>
      <c r="C3172" s="23" t="s">
        <v>24</v>
      </c>
      <c r="D3172" s="24">
        <v>0.45833333333333298</v>
      </c>
      <c r="E3172" s="24">
        <v>0.47916666666666602</v>
      </c>
      <c r="F3172" s="23" t="s">
        <v>697</v>
      </c>
    </row>
    <row r="3173" spans="1:6" x14ac:dyDescent="0.3">
      <c r="A3173" t="s">
        <v>667</v>
      </c>
      <c r="B3173" s="23" t="s">
        <v>63</v>
      </c>
      <c r="C3173" s="23" t="s">
        <v>24</v>
      </c>
      <c r="D3173" s="24">
        <v>0.47916666666666602</v>
      </c>
      <c r="E3173" s="24">
        <v>0.5</v>
      </c>
      <c r="F3173" s="23" t="s">
        <v>697</v>
      </c>
    </row>
    <row r="3174" spans="1:6" x14ac:dyDescent="0.3">
      <c r="A3174" t="s">
        <v>667</v>
      </c>
      <c r="B3174" s="23" t="s">
        <v>50</v>
      </c>
      <c r="C3174" s="23" t="s">
        <v>26</v>
      </c>
      <c r="D3174" s="24">
        <v>0.79166666666666496</v>
      </c>
      <c r="E3174" s="24">
        <v>0.98958333333333104</v>
      </c>
      <c r="F3174" s="23"/>
    </row>
    <row r="3175" spans="1:6" x14ac:dyDescent="0.3">
      <c r="A3175" t="s">
        <v>667</v>
      </c>
      <c r="B3175" s="23" t="s">
        <v>17</v>
      </c>
      <c r="C3175" s="23" t="s">
        <v>26</v>
      </c>
      <c r="D3175" s="24">
        <v>0.66666666666666596</v>
      </c>
      <c r="E3175" s="24">
        <v>0.79166666666666496</v>
      </c>
      <c r="F3175" s="23"/>
    </row>
    <row r="3176" spans="1:6" x14ac:dyDescent="0.3">
      <c r="A3176" t="s">
        <v>667</v>
      </c>
      <c r="B3176" s="23" t="s">
        <v>17</v>
      </c>
      <c r="C3176" s="23" t="s">
        <v>26</v>
      </c>
      <c r="D3176" s="24">
        <v>0.79166666666666496</v>
      </c>
      <c r="E3176" s="24">
        <v>0.98958333333333104</v>
      </c>
      <c r="F3176" s="23"/>
    </row>
    <row r="3177" spans="1:6" x14ac:dyDescent="0.3">
      <c r="A3177" t="s">
        <v>667</v>
      </c>
      <c r="B3177" t="s">
        <v>33</v>
      </c>
      <c r="C3177" t="s">
        <v>26</v>
      </c>
      <c r="D3177" s="2">
        <v>0.66666666666666596</v>
      </c>
      <c r="E3177" s="2">
        <v>0.79166666666666496</v>
      </c>
    </row>
    <row r="3178" spans="1:6" x14ac:dyDescent="0.3">
      <c r="A3178" t="s">
        <v>667</v>
      </c>
      <c r="B3178" s="23" t="s">
        <v>20</v>
      </c>
      <c r="C3178" s="23" t="s">
        <v>30</v>
      </c>
      <c r="D3178" s="24"/>
      <c r="E3178" s="24"/>
      <c r="F3178" s="23"/>
    </row>
    <row r="3179" spans="1:6" x14ac:dyDescent="0.3">
      <c r="A3179" t="s">
        <v>371</v>
      </c>
      <c r="B3179" t="s">
        <v>85</v>
      </c>
      <c r="C3179" t="s">
        <v>13</v>
      </c>
      <c r="D3179" s="2"/>
      <c r="E3179" s="2"/>
    </row>
    <row r="3180" spans="1:6" x14ac:dyDescent="0.3">
      <c r="A3180" t="s">
        <v>371</v>
      </c>
      <c r="B3180" s="23" t="s">
        <v>83</v>
      </c>
      <c r="C3180" s="23" t="s">
        <v>13</v>
      </c>
      <c r="D3180" s="24"/>
      <c r="E3180" s="24"/>
      <c r="F3180" s="23"/>
    </row>
    <row r="3181" spans="1:6" x14ac:dyDescent="0.3">
      <c r="A3181" t="s">
        <v>371</v>
      </c>
      <c r="B3181" s="23" t="s">
        <v>63</v>
      </c>
      <c r="C3181" s="23" t="s">
        <v>15</v>
      </c>
      <c r="D3181" s="24"/>
      <c r="E3181" s="24"/>
      <c r="F3181" s="23"/>
    </row>
    <row r="3182" spans="1:6" x14ac:dyDescent="0.3">
      <c r="A3182" t="s">
        <v>371</v>
      </c>
      <c r="B3182" s="23" t="s">
        <v>72</v>
      </c>
      <c r="C3182" s="23" t="s">
        <v>8</v>
      </c>
      <c r="D3182" s="24"/>
      <c r="E3182" s="24"/>
      <c r="F3182" s="23"/>
    </row>
    <row r="3183" spans="1:6" x14ac:dyDescent="0.3">
      <c r="A3183" t="s">
        <v>371</v>
      </c>
      <c r="B3183" s="23" t="s">
        <v>42</v>
      </c>
      <c r="C3183" s="23" t="s">
        <v>8</v>
      </c>
      <c r="D3183" s="24"/>
      <c r="E3183" s="24"/>
      <c r="F3183" s="23"/>
    </row>
    <row r="3184" spans="1:6" x14ac:dyDescent="0.3">
      <c r="A3184" t="s">
        <v>371</v>
      </c>
      <c r="B3184" s="23" t="s">
        <v>27</v>
      </c>
      <c r="C3184" s="23" t="s">
        <v>10</v>
      </c>
      <c r="D3184" s="24"/>
      <c r="E3184" s="24"/>
      <c r="F3184" s="23"/>
    </row>
    <row r="3185" spans="1:6" x14ac:dyDescent="0.3">
      <c r="A3185" t="s">
        <v>371</v>
      </c>
      <c r="B3185" s="23" t="s">
        <v>9</v>
      </c>
      <c r="C3185" s="23" t="s">
        <v>10</v>
      </c>
      <c r="D3185" s="24"/>
      <c r="E3185" s="24"/>
      <c r="F3185" s="23"/>
    </row>
    <row r="3186" spans="1:6" x14ac:dyDescent="0.3">
      <c r="A3186" t="s">
        <v>371</v>
      </c>
      <c r="B3186" s="23" t="s">
        <v>97</v>
      </c>
      <c r="C3186" s="23" t="s">
        <v>41</v>
      </c>
      <c r="D3186" s="24"/>
      <c r="E3186" s="24"/>
      <c r="F3186" s="23"/>
    </row>
    <row r="3187" spans="1:6" x14ac:dyDescent="0.3">
      <c r="A3187" t="s">
        <v>371</v>
      </c>
      <c r="B3187" s="23" t="s">
        <v>149</v>
      </c>
      <c r="C3187" s="23" t="s">
        <v>41</v>
      </c>
      <c r="D3187" s="24"/>
      <c r="E3187" s="24"/>
      <c r="F3187" s="23"/>
    </row>
    <row r="3188" spans="1:6" x14ac:dyDescent="0.3">
      <c r="A3188" t="s">
        <v>371</v>
      </c>
      <c r="B3188" s="23" t="s">
        <v>7</v>
      </c>
      <c r="C3188" s="23" t="s">
        <v>26</v>
      </c>
      <c r="D3188" s="24">
        <v>0.54166666666666596</v>
      </c>
      <c r="E3188" s="24">
        <v>0.66666666666666596</v>
      </c>
      <c r="F3188" s="23"/>
    </row>
    <row r="3189" spans="1:6" x14ac:dyDescent="0.3">
      <c r="A3189" t="s">
        <v>371</v>
      </c>
      <c r="B3189" s="23" t="s">
        <v>7</v>
      </c>
      <c r="C3189" s="23" t="s">
        <v>26</v>
      </c>
      <c r="D3189" s="24">
        <v>0.66666666666666596</v>
      </c>
      <c r="E3189" s="24">
        <v>0.79166666666666496</v>
      </c>
      <c r="F3189" s="23"/>
    </row>
    <row r="3190" spans="1:6" x14ac:dyDescent="0.3">
      <c r="A3190" t="s">
        <v>371</v>
      </c>
      <c r="B3190" s="23" t="s">
        <v>14</v>
      </c>
      <c r="C3190" s="23" t="s">
        <v>26</v>
      </c>
      <c r="D3190" s="24">
        <v>0.79166666666666496</v>
      </c>
      <c r="E3190" s="24">
        <v>0.83333333333333204</v>
      </c>
      <c r="F3190" s="23"/>
    </row>
    <row r="3191" spans="1:6" x14ac:dyDescent="0.3">
      <c r="A3191" t="s">
        <v>371</v>
      </c>
      <c r="B3191" s="23" t="s">
        <v>14</v>
      </c>
      <c r="C3191" s="23" t="s">
        <v>26</v>
      </c>
      <c r="D3191" s="24">
        <v>0.66666666666666596</v>
      </c>
      <c r="E3191" s="24">
        <v>0.79166666666666496</v>
      </c>
      <c r="F3191" s="23"/>
    </row>
    <row r="3192" spans="1:6" x14ac:dyDescent="0.3">
      <c r="A3192" t="s">
        <v>371</v>
      </c>
      <c r="B3192" s="23" t="s">
        <v>12</v>
      </c>
      <c r="C3192" s="23" t="s">
        <v>43</v>
      </c>
      <c r="D3192" s="24"/>
      <c r="E3192" s="24"/>
      <c r="F3192" s="23"/>
    </row>
    <row r="3193" spans="1:6" x14ac:dyDescent="0.3">
      <c r="A3193" t="s">
        <v>371</v>
      </c>
      <c r="B3193" s="23" t="s">
        <v>52</v>
      </c>
      <c r="C3193" s="23" t="s">
        <v>45</v>
      </c>
      <c r="D3193" s="24"/>
      <c r="E3193" s="24"/>
      <c r="F3193" s="23"/>
    </row>
    <row r="3194" spans="1:6" x14ac:dyDescent="0.3">
      <c r="A3194" t="s">
        <v>371</v>
      </c>
      <c r="B3194" s="23" t="s">
        <v>68</v>
      </c>
      <c r="C3194" s="23" t="s">
        <v>46</v>
      </c>
      <c r="D3194" s="24"/>
      <c r="E3194" s="24"/>
      <c r="F3194" s="23"/>
    </row>
    <row r="3195" spans="1:6" x14ac:dyDescent="0.3">
      <c r="A3195" t="s">
        <v>371</v>
      </c>
      <c r="B3195" s="23" t="s">
        <v>72</v>
      </c>
      <c r="C3195" s="23" t="s">
        <v>18</v>
      </c>
      <c r="D3195" s="24"/>
      <c r="E3195" s="24"/>
      <c r="F3195" s="23"/>
    </row>
    <row r="3196" spans="1:6" x14ac:dyDescent="0.3">
      <c r="A3196" t="s">
        <v>371</v>
      </c>
      <c r="B3196" s="23" t="s">
        <v>71</v>
      </c>
      <c r="C3196" s="23" t="s">
        <v>49</v>
      </c>
      <c r="D3196" s="24"/>
      <c r="E3196" s="24"/>
      <c r="F3196" s="23"/>
    </row>
    <row r="3197" spans="1:6" x14ac:dyDescent="0.3">
      <c r="A3197" t="s">
        <v>371</v>
      </c>
      <c r="B3197" s="23" t="s">
        <v>17</v>
      </c>
      <c r="C3197" s="23" t="s">
        <v>51</v>
      </c>
      <c r="D3197" s="24"/>
      <c r="E3197" s="24"/>
      <c r="F3197" s="23"/>
    </row>
    <row r="3198" spans="1:6" x14ac:dyDescent="0.3">
      <c r="A3198" t="s">
        <v>371</v>
      </c>
      <c r="B3198" s="23" t="s">
        <v>23</v>
      </c>
      <c r="C3198" s="23" t="s">
        <v>53</v>
      </c>
      <c r="D3198" s="24">
        <v>0.749999999999999</v>
      </c>
      <c r="E3198" s="24">
        <v>0.91666666666666496</v>
      </c>
      <c r="F3198" s="23"/>
    </row>
    <row r="3199" spans="1:6" x14ac:dyDescent="0.3">
      <c r="A3199" t="s">
        <v>371</v>
      </c>
      <c r="B3199" s="23" t="s">
        <v>12</v>
      </c>
      <c r="C3199" s="23" t="s">
        <v>22</v>
      </c>
      <c r="D3199" s="24"/>
      <c r="E3199" s="24"/>
      <c r="F3199" s="23" t="s">
        <v>678</v>
      </c>
    </row>
    <row r="3200" spans="1:6" x14ac:dyDescent="0.3">
      <c r="A3200" s="73" t="s">
        <v>369</v>
      </c>
      <c r="B3200" s="23" t="s">
        <v>142</v>
      </c>
      <c r="C3200" s="23" t="s">
        <v>13</v>
      </c>
      <c r="D3200" s="24"/>
      <c r="E3200" s="24"/>
      <c r="F3200" s="23"/>
    </row>
    <row r="3201" spans="1:6" x14ac:dyDescent="0.3">
      <c r="A3201" s="73" t="s">
        <v>369</v>
      </c>
      <c r="B3201" s="23" t="s">
        <v>48</v>
      </c>
      <c r="C3201" s="23" t="s">
        <v>15</v>
      </c>
      <c r="D3201" s="24"/>
      <c r="E3201" s="24"/>
      <c r="F3201" s="23"/>
    </row>
    <row r="3202" spans="1:6" x14ac:dyDescent="0.3">
      <c r="A3202" s="73" t="s">
        <v>369</v>
      </c>
      <c r="B3202" s="23" t="s">
        <v>33</v>
      </c>
      <c r="C3202" s="23" t="s">
        <v>8</v>
      </c>
      <c r="D3202" s="24"/>
      <c r="E3202" s="24"/>
      <c r="F3202" s="23"/>
    </row>
    <row r="3203" spans="1:6" x14ac:dyDescent="0.3">
      <c r="A3203" s="73" t="s">
        <v>369</v>
      </c>
      <c r="B3203" s="23" t="s">
        <v>66</v>
      </c>
      <c r="C3203" s="23" t="s">
        <v>26</v>
      </c>
      <c r="D3203" s="24">
        <v>0.29166666666666669</v>
      </c>
      <c r="E3203" s="24">
        <v>0.41666666666666702</v>
      </c>
      <c r="F3203" s="23"/>
    </row>
    <row r="3204" spans="1:6" x14ac:dyDescent="0.3">
      <c r="A3204" s="73" t="s">
        <v>369</v>
      </c>
      <c r="B3204" s="23" t="s">
        <v>94</v>
      </c>
      <c r="C3204" s="23" t="s">
        <v>26</v>
      </c>
      <c r="D3204" s="24">
        <v>0.66666666666666596</v>
      </c>
      <c r="E3204" s="24">
        <v>0.79166666666666496</v>
      </c>
      <c r="F3204" s="23"/>
    </row>
    <row r="3205" spans="1:6" x14ac:dyDescent="0.3">
      <c r="A3205" s="73" t="s">
        <v>369</v>
      </c>
      <c r="B3205" s="23" t="s">
        <v>94</v>
      </c>
      <c r="C3205" s="23" t="s">
        <v>26</v>
      </c>
      <c r="D3205" s="24">
        <v>0.79166666666666496</v>
      </c>
      <c r="E3205" s="24">
        <v>0.91666666666666496</v>
      </c>
      <c r="F3205" s="23"/>
    </row>
    <row r="3206" spans="1:6" x14ac:dyDescent="0.3">
      <c r="A3206" s="73" t="s">
        <v>368</v>
      </c>
      <c r="B3206" s="23" t="s">
        <v>71</v>
      </c>
      <c r="C3206" t="s">
        <v>13</v>
      </c>
      <c r="D3206" s="24"/>
      <c r="E3206" s="24"/>
      <c r="F3206" s="23"/>
    </row>
    <row r="3207" spans="1:6" x14ac:dyDescent="0.3">
      <c r="A3207" s="73" t="s">
        <v>368</v>
      </c>
      <c r="B3207" s="23" t="s">
        <v>75</v>
      </c>
      <c r="C3207" s="23" t="s">
        <v>15</v>
      </c>
      <c r="D3207" s="24"/>
      <c r="E3207" s="24"/>
      <c r="F3207" s="23"/>
    </row>
    <row r="3208" spans="1:6" x14ac:dyDescent="0.3">
      <c r="A3208" s="73" t="s">
        <v>368</v>
      </c>
      <c r="B3208" s="23" t="s">
        <v>52</v>
      </c>
      <c r="C3208" s="23" t="s">
        <v>8</v>
      </c>
      <c r="D3208" s="24"/>
      <c r="E3208" s="24"/>
      <c r="F3208" s="23"/>
    </row>
    <row r="3209" spans="1:6" x14ac:dyDescent="0.3">
      <c r="A3209" s="73" t="s">
        <v>368</v>
      </c>
      <c r="B3209" s="23" t="s">
        <v>66</v>
      </c>
      <c r="C3209" s="23" t="s">
        <v>26</v>
      </c>
      <c r="D3209" s="24">
        <v>0.66666666666666596</v>
      </c>
      <c r="E3209" s="24">
        <v>0.79166666666666496</v>
      </c>
      <c r="F3209" s="23"/>
    </row>
    <row r="3210" spans="1:6" x14ac:dyDescent="0.3">
      <c r="A3210" s="73" t="s">
        <v>368</v>
      </c>
      <c r="B3210" s="23" t="s">
        <v>66</v>
      </c>
      <c r="C3210" s="23" t="s">
        <v>26</v>
      </c>
      <c r="D3210" s="24">
        <v>0.79166666666666496</v>
      </c>
      <c r="E3210" s="24">
        <v>0.91666666666666496</v>
      </c>
      <c r="F3210" s="23"/>
    </row>
    <row r="3211" spans="1:6" x14ac:dyDescent="0.3">
      <c r="A3211" s="73" t="s">
        <v>368</v>
      </c>
      <c r="B3211" s="23" t="s">
        <v>16</v>
      </c>
      <c r="C3211" s="23" t="s">
        <v>26</v>
      </c>
      <c r="D3211" s="24">
        <v>0.66666666666666596</v>
      </c>
      <c r="E3211" s="24">
        <v>0.79166666666666496</v>
      </c>
      <c r="F3211" s="23"/>
    </row>
    <row r="3212" spans="1:6" x14ac:dyDescent="0.3">
      <c r="A3212" s="73" t="s">
        <v>368</v>
      </c>
      <c r="B3212" s="23" t="s">
        <v>16</v>
      </c>
      <c r="C3212" s="23" t="s">
        <v>26</v>
      </c>
      <c r="D3212" s="24">
        <v>0.79166666666666496</v>
      </c>
      <c r="E3212" s="24">
        <v>0.91666666666666496</v>
      </c>
      <c r="F3212" s="23"/>
    </row>
    <row r="3213" spans="1:6" x14ac:dyDescent="0.3">
      <c r="A3213" s="73" t="s">
        <v>368</v>
      </c>
      <c r="B3213" s="23" t="s">
        <v>23</v>
      </c>
      <c r="C3213" s="23" t="s">
        <v>22</v>
      </c>
      <c r="D3213" s="24"/>
      <c r="E3213" s="24"/>
      <c r="F3213" s="23" t="s">
        <v>678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6F19E1D-3AE3-4D19-9CB5-B12979530030}">
          <x14:formula1>
            <xm:f>Equipe!$A$2:$A$90</xm:f>
          </x14:formula1>
          <xm:sqref>B846 B1319:B1320 B1344:B1350 B1373 B1397:B1399 B1423:B1426 B1477:B1479 B1518:B1526 B1549:B1551 B1580:B1585 B1635:B1640 B1633 B1663 B1686:B1690 B1682:B1683 B1713 B1710 B1736:B1737 B1733:B1734 B1760:B1761 B1758 B1783:B1789 B1781 B1812:B1817 B1808:B1809 B1840:B1842 B1837:B1838 B1862 B1865:B1867 B1892:B1893 B1890 B1920:B1939 B1981 B1983:B1989 B2010:B2013 B2008 B2021 B2023:B2035 B2045 B2062:B2065 B2075 B2073 B1943:B1973 B2085:B2116 B2083 B2126:B2149 B2124 B2157 B2159:B2175 B2185:B2194 B2183 B2202 B2204:B2219 B2229:B2246 B2227 B2250:B2257 B2261:B2263 B2309:B2322 B2267:B2305 B2326:B2349 B2353:B2371 B2375:B2406 B2410:B2423 B2442:B2446 B2427:B2440 B2450:B2457 B2476:B2477 B2461:B2474 B2481:B2489 B2493:B2508 B2512:B2526 B2530:B2532 B2536:B2538 B2540:B2569 B2573:B2594 B2598:B2646 B2650:B2652 B2656:B2662 B2666:B2681 B2685:B2702 B2706:B2722 B2726:B2729 B2733:B2739 B2743:B2745 B2749:B2754 B2758:B2784 B2788:B2811 B2815:B2829 B2833:B2853 B2857:B2863 B2867:B2869 B2873:B2887 B2891:B2905 B2909:B2931 B2959:B2976 B2981:B2997 B3001:B3012 B3016:B3031 B3035:B3041 B3045:B3049 B3053:B3058 B3067:B3072 B3074:B3077 B3079:B3082 B3085:B3089 B3092:B3094 B3097 B3100 B3103:B3105 B3108 B3111 B3134 B3159:B3176 B3182:B3199 B3203:B3205 B3209:B3213</xm:sqref>
        </x14:dataValidation>
        <x14:dataValidation type="list" allowBlank="1" showInputMessage="1" showErrorMessage="1" xr:uid="{87D1EDD0-01D4-4518-9544-94A87CCC1D66}">
          <x14:formula1>
            <xm:f>Equipe!$A$2:$A$60</xm:f>
          </x14:formula1>
          <xm:sqref>B2:B845 B1400:B1422 B847:B1318 B1321:B1343 B1374:B1396 B1351:B1372 B1527:B1548 B1634 B1427:B1476 B1480:B1517 B1684:B1685 B1586:B1632 B1664:B1681 B1711:B1712 B1735 B1759 B1738:B1757 B1762:B1780 B1782 B1641:B1662 B1714:B1732 B1810:B1811 B1818:B1836 B1839 B1863:B1864 B1891 B1691:B1709 B1868:B1889 B1940:B1942 B1982 B1974:B1980 B1790:B1807 B2009 B2014:B2020 B2022 B2036:B2044 B2046:B2061 B2074 B2084 B2125 B2150:B2156 B2158 B2184 B2176:B2182 B2203 B2195:B2201 B2228 B2220:B2226 B2247:B2249 B2258:B2260 B2264:B2266 B2306:B2308 B2323:B2325 B2350:B2352 B2372:B2374 B2407:B2409 B2441 B2117:B2123 B2424:B2426 B2458:B2460 B2475 B2066:B2072 B1843:B1861 B2478:B2480 B2490:B2492 B2509:B2511 B1990:B2007 B2527:B2529 B2447:B2449 B2533:B2535 B2539 B2570:B2572 B2595:B2597 B2647:B2649 B2653:B2655 B2682:B2684 B2723:B2725 B2076:B2082 B2730:B2732 B2740:B2742 B2746:B2748 B2755:B2757 B2785:B2787 B2812:B2814 B2830:B2832 B2854:B2856 B2864:B2866 B2870:B2872 B2888:B2890 B2906:B2908 B2932:B2958 B2977:B2980 B2998:B3000 B3032:B3034 B3042:B3044 B3050:B3052 B3059:B3066 B3073 B3078 B3083:B3084 B3090:B3091 B3095:B3096 B3098:B3099 B3101:B3102 B3106:B3107 B3109:B3110 B1894:B1919 B3112:B3133 B2663:B2665 B2703:B2705 B3135:B3158 B1552:B1579 B3013:B3015 B3177:B3181 B3200:B3202 B3206:B3208</xm:sqref>
        </x14:dataValidation>
        <x14:dataValidation type="list" allowBlank="1" showInputMessage="1" showErrorMessage="1" xr:uid="{5038EB55-5C3E-4AF4-9458-D12E5ECCDC0E}">
          <x14:formula1>
            <xm:f>Opções!$D$2:$D$69</xm:f>
          </x14:formula1>
          <xm:sqref>D2:E3213</xm:sqref>
        </x14:dataValidation>
        <x14:dataValidation type="list" allowBlank="1" showInputMessage="1" showErrorMessage="1" xr:uid="{40B60FFA-CF78-4701-A87B-F62C11AED598}">
          <x14:formula1>
            <xm:f>Opções!$A$2:$A$42</xm:f>
          </x14:formula1>
          <xm:sqref>C2:C3213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7AE8A-26FB-4D60-B119-2BF57D0A5C1C}">
  <sheetPr codeName="Planilha2"/>
  <dimension ref="A1:XFC384"/>
  <sheetViews>
    <sheetView tabSelected="1" workbookViewId="0">
      <selection activeCell="E12" sqref="E12"/>
    </sheetView>
  </sheetViews>
  <sheetFormatPr defaultColWidth="0" defaultRowHeight="14.4" x14ac:dyDescent="0.3"/>
  <cols>
    <col min="1" max="1" width="9.44140625" style="11" customWidth="1"/>
    <col min="2" max="2" width="17.5546875" style="11" customWidth="1"/>
    <col min="3" max="3" width="9.44140625" style="12" customWidth="1"/>
    <col min="4" max="4" width="9.44140625" customWidth="1"/>
    <col min="5" max="5" width="21.5546875" bestFit="1" customWidth="1"/>
    <col min="6" max="6" width="10" style="2" bestFit="1" customWidth="1"/>
    <col min="7" max="7" width="9.44140625" style="2" customWidth="1"/>
    <col min="8" max="8" width="31.5546875" customWidth="1"/>
    <col min="9" max="9" width="2.44140625" style="16" hidden="1" customWidth="1"/>
    <col min="10" max="10" width="24" style="21" customWidth="1"/>
    <col min="11" max="16383" width="9.44140625" hidden="1"/>
    <col min="16384" max="16384" width="5.44140625" hidden="1"/>
  </cols>
  <sheetData>
    <row r="1" spans="1:20" x14ac:dyDescent="0.3">
      <c r="A1" s="10" t="s">
        <v>445</v>
      </c>
      <c r="D1" s="18" t="s">
        <v>446</v>
      </c>
      <c r="E1" s="4" t="s">
        <v>2</v>
      </c>
      <c r="F1" s="5" t="s">
        <v>3</v>
      </c>
      <c r="G1" s="5" t="s">
        <v>4</v>
      </c>
      <c r="H1" s="4" t="s">
        <v>5</v>
      </c>
      <c r="I1" s="19"/>
      <c r="J1" s="20" t="s">
        <v>447</v>
      </c>
      <c r="K1">
        <v>7</v>
      </c>
      <c r="L1">
        <v>10</v>
      </c>
      <c r="M1">
        <v>13</v>
      </c>
      <c r="N1">
        <v>16</v>
      </c>
      <c r="O1">
        <v>19</v>
      </c>
      <c r="P1">
        <v>24</v>
      </c>
      <c r="S1" t="s">
        <v>1</v>
      </c>
      <c r="T1" t="s">
        <v>448</v>
      </c>
    </row>
    <row r="2" spans="1:20" x14ac:dyDescent="0.3">
      <c r="B2" s="9" t="s">
        <v>449</v>
      </c>
      <c r="D2" s="23" t="s">
        <v>71</v>
      </c>
      <c r="E2" t="s">
        <v>13</v>
      </c>
      <c r="F2" s="24"/>
      <c r="G2" s="24"/>
      <c r="H2" s="23"/>
      <c r="I2"/>
      <c r="J2" s="21" t="str">
        <f t="shared" ref="J2:J18" ca="1" si="0">IF(K2="x",IF(COUNTIF(K:K,"x")&gt;2,"Aviso (primeiro período)",""),IF(L2="x",IF(COUNTIF(L:L,"x")&gt;1,"Aviso (segundo período)",""),IF(M2="x",IF(COUNTIF(M:M,"x")&gt;1,"Aviso (terceiro período)",""),IF(N2="x",IF(COUNTIF(N:N,"x")&gt;2,"Aviso (quarto período)",""),IF(O2="x",IF(COUNTIF(O:O,"x")&gt;5,"Aviso (quinto período)",""),"")))))</f>
        <v/>
      </c>
      <c r="K2" t="str" cm="1">
        <f t="array" aca="1" ref="K2" ca="1">IF(T2="Sócio",IF(COUNTIF(Opções!$H$2:$H$13,INDIRECT($P2))&gt;0,IF(AND(INDIRECT($Q2)&lt;L$1/24,INDIRECT($R2)&gt;K$1/24),"x",""),""),"")</f>
        <v/>
      </c>
      <c r="L2" t="str" cm="1">
        <f t="array" aca="1" ref="L2" ca="1">IF(T2="Sócio",IF(COUNTIF(Opções!$H$2:$H$13,INDIRECT($P2))&gt;0,IF(AND(INDIRECT($Q2)&lt;M$1/24,INDIRECT($R2)&gt;L$1/24),"x",""),""),"")</f>
        <v/>
      </c>
      <c r="M2" t="str" cm="1">
        <f t="array" aca="1" ref="M2" ca="1">IF(T2="Sócio",IF(COUNTIF(Opções!$H$2:$H$13,INDIRECT($P2))&gt;0,IF(AND(INDIRECT($Q2)&lt;N$1/24,INDIRECT($R2)&gt;M$1/24),"x",""),""),"")</f>
        <v/>
      </c>
      <c r="N2" t="str" cm="1">
        <f t="array" aca="1" ref="N2" ca="1">IF(T2="Sócio",IF(COUNTIF(Opções!$H$2:$H$13,INDIRECT($P2))&gt;0,IF(AND(INDIRECT($Q2)&lt;O$1/24,INDIRECT($R2)&gt;N$1/24),"x",""),""),"")</f>
        <v/>
      </c>
      <c r="O2" t="str" cm="1">
        <f t="array" aca="1" ref="O2" ca="1">IF(T2="Sócio",IF(COUNTIF(Opções!$H$2:$H$13,INDIRECT($P2))&gt;0,IF(AND(INDIRECT($Q2)&lt;P$1/24,INDIRECT($R2)&gt;O$1/24),"x",""),""),"")</f>
        <v/>
      </c>
      <c r="P2" t="str">
        <f>"$E"&amp;ROW(N2)</f>
        <v>$E2</v>
      </c>
      <c r="Q2" t="str">
        <f>"$F"&amp;ROW(O2)</f>
        <v>$F2</v>
      </c>
      <c r="R2" t="str">
        <f>"$G"&amp;ROW(Q2)</f>
        <v>$G2</v>
      </c>
      <c r="S2" t="str">
        <f>"$D"&amp;ROW(R2)</f>
        <v>$D2</v>
      </c>
      <c r="T2" t="str" cm="1">
        <f t="array" aca="1" ref="T2" ca="1">IFERROR(VLOOKUP(INDIRECT(S2),Equipe!A:C,3,0),"")</f>
        <v>Sócio</v>
      </c>
    </row>
    <row r="3" spans="1:20" x14ac:dyDescent="0.3">
      <c r="B3" s="25">
        <v>45246</v>
      </c>
      <c r="D3" s="23" t="s">
        <v>75</v>
      </c>
      <c r="E3" s="23" t="s">
        <v>15</v>
      </c>
      <c r="F3" s="24"/>
      <c r="G3" s="24"/>
      <c r="H3" s="23"/>
      <c r="I3"/>
      <c r="J3" s="21" t="str">
        <f t="shared" ca="1" si="0"/>
        <v/>
      </c>
      <c r="K3" t="str" cm="1">
        <f t="array" aca="1" ref="K3" ca="1">IF(T3="Sócio",IF(COUNTIF(Opções!$H$2:$H$13,INDIRECT($P3))&gt;0,IF(AND(INDIRECT($Q3)&lt;L$1/24,INDIRECT($R3)&gt;K$1/24),"x",""),""),"")</f>
        <v/>
      </c>
      <c r="L3" t="str" cm="1">
        <f t="array" aca="1" ref="L3" ca="1">IF(T3="Sócio",IF(COUNTIF(Opções!$H$2:$H$13,INDIRECT($P3))&gt;0,IF(AND(INDIRECT($Q3)&lt;M$1/24,INDIRECT($R3)&gt;L$1/24),"x",""),""),"")</f>
        <v/>
      </c>
      <c r="M3" t="str" cm="1">
        <f t="array" aca="1" ref="M3" ca="1">IF(T3="Sócio",IF(COUNTIF(Opções!$H$2:$H$13,INDIRECT($P3))&gt;0,IF(AND(INDIRECT($Q3)&lt;N$1/24,INDIRECT($R3)&gt;M$1/24),"x",""),""),"")</f>
        <v/>
      </c>
      <c r="N3" t="str" cm="1">
        <f t="array" aca="1" ref="N3" ca="1">IF(T3="Sócio",IF(COUNTIF(Opções!$H$2:$H$13,INDIRECT($P3))&gt;0,IF(AND(INDIRECT($Q3)&lt;O$1/24,INDIRECT($R3)&gt;N$1/24),"x",""),""),"")</f>
        <v/>
      </c>
      <c r="O3" t="str" cm="1">
        <f t="array" aca="1" ref="O3" ca="1">IF(T3="Sócio",IF(COUNTIF(Opções!$H$2:$H$13,INDIRECT($P3))&gt;0,IF(AND(INDIRECT($Q3)&lt;P$1/24,INDIRECT($R3)&gt;O$1/24),"x",""),""),"")</f>
        <v/>
      </c>
      <c r="P3" t="str">
        <f t="shared" ref="P3:P79" si="1">"$E"&amp;ROW(N3)</f>
        <v>$E3</v>
      </c>
      <c r="Q3" t="str">
        <f t="shared" ref="Q3:Q295" si="2">"$F"&amp;ROW(O3)</f>
        <v>$F3</v>
      </c>
      <c r="R3" t="str">
        <f t="shared" ref="R3:R295" si="3">"$G"&amp;ROW(Q3)</f>
        <v>$G3</v>
      </c>
      <c r="S3" t="str">
        <f t="shared" ref="S3:S79" si="4">"$D"&amp;ROW(R3)</f>
        <v>$D3</v>
      </c>
      <c r="T3" t="str" cm="1">
        <f t="array" aca="1" ref="T3" ca="1">IFERROR(VLOOKUP(INDIRECT(S3),Equipe!A:C,3,0),"")</f>
        <v>Sócio</v>
      </c>
    </row>
    <row r="4" spans="1:20" x14ac:dyDescent="0.3">
      <c r="D4" s="23" t="s">
        <v>52</v>
      </c>
      <c r="E4" s="23" t="s">
        <v>8</v>
      </c>
      <c r="F4" s="24"/>
      <c r="G4" s="24"/>
      <c r="H4" s="23"/>
      <c r="I4"/>
      <c r="J4" s="21" t="str">
        <f t="shared" ca="1" si="0"/>
        <v/>
      </c>
      <c r="K4" t="str" cm="1">
        <f t="array" aca="1" ref="K4" ca="1">IF(T4="Sócio",IF(COUNTIF(Opções!$H$2:$H$13,INDIRECT($P4))&gt;0,IF(AND(INDIRECT($Q4)&lt;L$1/24,INDIRECT($R4)&gt;K$1/24),"x",""),""),"")</f>
        <v/>
      </c>
      <c r="L4" t="str" cm="1">
        <f t="array" aca="1" ref="L4" ca="1">IF(T4="Sócio",IF(COUNTIF(Opções!$H$2:$H$13,INDIRECT($P4))&gt;0,IF(AND(INDIRECT($Q4)&lt;M$1/24,INDIRECT($R4)&gt;L$1/24),"x",""),""),"")</f>
        <v/>
      </c>
      <c r="M4" t="str" cm="1">
        <f t="array" aca="1" ref="M4" ca="1">IF(T4="Sócio",IF(COUNTIF(Opções!$H$2:$H$13,INDIRECT($P4))&gt;0,IF(AND(INDIRECT($Q4)&lt;N$1/24,INDIRECT($R4)&gt;M$1/24),"x",""),""),"")</f>
        <v/>
      </c>
      <c r="N4" t="str" cm="1">
        <f t="array" aca="1" ref="N4" ca="1">IF(T4="Sócio",IF(COUNTIF(Opções!$H$2:$H$13,INDIRECT($P4))&gt;0,IF(AND(INDIRECT($Q4)&lt;O$1/24,INDIRECT($R4)&gt;N$1/24),"x",""),""),"")</f>
        <v/>
      </c>
      <c r="O4" t="str" cm="1">
        <f t="array" aca="1" ref="O4" ca="1">IF(T4="Sócio",IF(COUNTIF(Opções!$H$2:$H$13,INDIRECT($P4))&gt;0,IF(AND(INDIRECT($Q4)&lt;P$1/24,INDIRECT($R4)&gt;O$1/24),"x",""),""),"")</f>
        <v/>
      </c>
      <c r="P4" t="str">
        <f t="shared" si="1"/>
        <v>$E4</v>
      </c>
      <c r="Q4" t="str">
        <f t="shared" si="2"/>
        <v>$F4</v>
      </c>
      <c r="R4" t="str">
        <f t="shared" si="3"/>
        <v>$G4</v>
      </c>
      <c r="S4" t="str">
        <f t="shared" si="4"/>
        <v>$D4</v>
      </c>
      <c r="T4" t="str" cm="1">
        <f t="array" aca="1" ref="T4" ca="1">IFERROR(VLOOKUP(INDIRECT(S4),Equipe!A:C,3,0),"")</f>
        <v>Sócio</v>
      </c>
    </row>
    <row r="5" spans="1:20" x14ac:dyDescent="0.3">
      <c r="D5" s="23" t="s">
        <v>66</v>
      </c>
      <c r="E5" s="23" t="s">
        <v>26</v>
      </c>
      <c r="F5" s="24">
        <v>0.66666666666666596</v>
      </c>
      <c r="G5" s="24">
        <v>0.79166666666666496</v>
      </c>
      <c r="H5" s="23"/>
      <c r="I5"/>
      <c r="J5" s="21" t="str">
        <f t="shared" ca="1" si="0"/>
        <v>Aviso (terceiro período)</v>
      </c>
      <c r="K5" t="str" cm="1">
        <f t="array" aca="1" ref="K5" ca="1">IF(T5="Sócio",IF(COUNTIF(Opções!$H$2:$H$13,INDIRECT($P5))&gt;0,IF(AND(INDIRECT($Q5)&lt;L$1/24,INDIRECT($R5)&gt;K$1/24),"x",""),""),"")</f>
        <v/>
      </c>
      <c r="L5" t="str" cm="1">
        <f t="array" aca="1" ref="L5" ca="1">IF(T5="Sócio",IF(COUNTIF(Opções!$H$2:$H$13,INDIRECT($P5))&gt;0,IF(AND(INDIRECT($Q5)&lt;M$1/24,INDIRECT($R5)&gt;L$1/24),"x",""),""),"")</f>
        <v/>
      </c>
      <c r="M5" t="str" cm="1">
        <f t="array" aca="1" ref="M5" ca="1">IF(T5="Sócio",IF(COUNTIF(Opções!$H$2:$H$13,INDIRECT($P5))&gt;0,IF(AND(INDIRECT($Q5)&lt;N$1/24,INDIRECT($R5)&gt;M$1/24),"x",""),""),"")</f>
        <v>x</v>
      </c>
      <c r="N5" t="str" cm="1">
        <f t="array" aca="1" ref="N5" ca="1">IF(T5="Sócio",IF(COUNTIF(Opções!$H$2:$H$13,INDIRECT($P5))&gt;0,IF(AND(INDIRECT($Q5)&lt;O$1/24,INDIRECT($R5)&gt;N$1/24),"x",""),""),"")</f>
        <v>x</v>
      </c>
      <c r="O5" t="str" cm="1">
        <f t="array" aca="1" ref="O5" ca="1">IF(T5="Sócio",IF(COUNTIF(Opções!$H$2:$H$13,INDIRECT($P5))&gt;0,IF(AND(INDIRECT($Q5)&lt;P$1/24,INDIRECT($R5)&gt;O$1/24),"x",""),""),"")</f>
        <v/>
      </c>
      <c r="P5" t="str">
        <f t="shared" si="1"/>
        <v>$E5</v>
      </c>
      <c r="Q5" t="str">
        <f t="shared" si="2"/>
        <v>$F5</v>
      </c>
      <c r="R5" t="str">
        <f t="shared" si="3"/>
        <v>$G5</v>
      </c>
      <c r="S5" t="str">
        <f t="shared" si="4"/>
        <v>$D5</v>
      </c>
      <c r="T5" t="str" cm="1">
        <f t="array" aca="1" ref="T5" ca="1">IFERROR(VLOOKUP(INDIRECT(S5),Equipe!A:C,3,0),"")</f>
        <v>Sócio</v>
      </c>
    </row>
    <row r="6" spans="1:20" x14ac:dyDescent="0.3">
      <c r="D6" s="23" t="s">
        <v>66</v>
      </c>
      <c r="E6" s="23" t="s">
        <v>26</v>
      </c>
      <c r="F6" s="24">
        <v>0.79166666666666496</v>
      </c>
      <c r="G6" s="24">
        <v>0.91666666666666496</v>
      </c>
      <c r="H6" s="23"/>
      <c r="I6"/>
      <c r="J6" s="21" t="str">
        <f t="shared" ca="1" si="0"/>
        <v>Aviso (quarto período)</v>
      </c>
      <c r="K6" t="str" cm="1">
        <f t="array" aca="1" ref="K6" ca="1">IF(T6="Sócio",IF(COUNTIF(Opções!$H$2:$H$13,INDIRECT($P6))&gt;0,IF(AND(INDIRECT($Q6)&lt;L$1/24,INDIRECT($R6)&gt;K$1/24),"x",""),""),"")</f>
        <v/>
      </c>
      <c r="L6" t="str" cm="1">
        <f t="array" aca="1" ref="L6" ca="1">IF(T6="Sócio",IF(COUNTIF(Opções!$H$2:$H$13,INDIRECT($P6))&gt;0,IF(AND(INDIRECT($Q6)&lt;M$1/24,INDIRECT($R6)&gt;L$1/24),"x",""),""),"")</f>
        <v/>
      </c>
      <c r="M6" t="str" cm="1">
        <f t="array" aca="1" ref="M6" ca="1">IF(T6="Sócio",IF(COUNTIF(Opções!$H$2:$H$13,INDIRECT($P6))&gt;0,IF(AND(INDIRECT($Q6)&lt;N$1/24,INDIRECT($R6)&gt;M$1/24),"x",""),""),"")</f>
        <v/>
      </c>
      <c r="N6" t="str" cm="1">
        <f t="array" aca="1" ref="N6" ca="1">IF(T6="Sócio",IF(COUNTIF(Opções!$H$2:$H$13,INDIRECT($P6))&gt;0,IF(AND(INDIRECT($Q6)&lt;O$1/24,INDIRECT($R6)&gt;N$1/24),"x",""),""),"")</f>
        <v>x</v>
      </c>
      <c r="O6" t="str" cm="1">
        <f t="array" aca="1" ref="O6" ca="1">IF(T6="Sócio",IF(COUNTIF(Opções!$H$2:$H$13,INDIRECT($P6))&gt;0,IF(AND(INDIRECT($Q6)&lt;P$1/24,INDIRECT($R6)&gt;O$1/24),"x",""),""),"")</f>
        <v>x</v>
      </c>
      <c r="P6" t="str">
        <f t="shared" si="1"/>
        <v>$E6</v>
      </c>
      <c r="Q6" t="str">
        <f t="shared" si="2"/>
        <v>$F6</v>
      </c>
      <c r="R6" t="str">
        <f t="shared" si="3"/>
        <v>$G6</v>
      </c>
      <c r="S6" t="str">
        <f t="shared" si="4"/>
        <v>$D6</v>
      </c>
      <c r="T6" t="str" cm="1">
        <f t="array" aca="1" ref="T6" ca="1">IFERROR(VLOOKUP(INDIRECT(S6),Equipe!A:C,3,0),"")</f>
        <v>Sócio</v>
      </c>
    </row>
    <row r="7" spans="1:20" x14ac:dyDescent="0.3">
      <c r="D7" s="23" t="s">
        <v>16</v>
      </c>
      <c r="E7" s="23" t="s">
        <v>26</v>
      </c>
      <c r="F7" s="24">
        <v>0.66666666666666596</v>
      </c>
      <c r="G7" s="24">
        <v>0.79166666666666496</v>
      </c>
      <c r="H7" s="23"/>
      <c r="I7"/>
      <c r="J7" s="21" t="str">
        <f t="shared" ca="1" si="0"/>
        <v>Aviso (terceiro período)</v>
      </c>
      <c r="K7" t="str" cm="1">
        <f t="array" aca="1" ref="K7" ca="1">IF(T7="Sócio",IF(COUNTIF(Opções!$H$2:$H$13,INDIRECT($P7))&gt;0,IF(AND(INDIRECT($Q7)&lt;L$1/24,INDIRECT($R7)&gt;K$1/24),"x",""),""),"")</f>
        <v/>
      </c>
      <c r="L7" t="str" cm="1">
        <f t="array" aca="1" ref="L7" ca="1">IF(T7="Sócio",IF(COUNTIF(Opções!$H$2:$H$13,INDIRECT($P7))&gt;0,IF(AND(INDIRECT($Q7)&lt;M$1/24,INDIRECT($R7)&gt;L$1/24),"x",""),""),"")</f>
        <v/>
      </c>
      <c r="M7" t="str" cm="1">
        <f t="array" aca="1" ref="M7" ca="1">IF(T7="Sócio",IF(COUNTIF(Opções!$H$2:$H$13,INDIRECT($P7))&gt;0,IF(AND(INDIRECT($Q7)&lt;N$1/24,INDIRECT($R7)&gt;M$1/24),"x",""),""),"")</f>
        <v>x</v>
      </c>
      <c r="N7" t="str" cm="1">
        <f t="array" aca="1" ref="N7" ca="1">IF(T7="Sócio",IF(COUNTIF(Opções!$H$2:$H$13,INDIRECT($P7))&gt;0,IF(AND(INDIRECT($Q7)&lt;O$1/24,INDIRECT($R7)&gt;N$1/24),"x",""),""),"")</f>
        <v>x</v>
      </c>
      <c r="O7" t="str" cm="1">
        <f t="array" aca="1" ref="O7" ca="1">IF(T7="Sócio",IF(COUNTIF(Opções!$H$2:$H$13,INDIRECT($P7))&gt;0,IF(AND(INDIRECT($Q7)&lt;P$1/24,INDIRECT($R7)&gt;O$1/24),"x",""),""),"")</f>
        <v/>
      </c>
      <c r="P7" t="str">
        <f t="shared" si="1"/>
        <v>$E7</v>
      </c>
      <c r="Q7" t="str">
        <f t="shared" si="2"/>
        <v>$F7</v>
      </c>
      <c r="R7" t="str">
        <f t="shared" si="3"/>
        <v>$G7</v>
      </c>
      <c r="S7" t="str">
        <f t="shared" si="4"/>
        <v>$D7</v>
      </c>
      <c r="T7" t="str" cm="1">
        <f t="array" aca="1" ref="T7" ca="1">IFERROR(VLOOKUP(INDIRECT(S7),Equipe!A:C,3,0),"")</f>
        <v>Sócio</v>
      </c>
    </row>
    <row r="8" spans="1:20" x14ac:dyDescent="0.3">
      <c r="D8" s="23" t="s">
        <v>16</v>
      </c>
      <c r="E8" s="23" t="s">
        <v>26</v>
      </c>
      <c r="F8" s="24">
        <v>0.79166666666666496</v>
      </c>
      <c r="G8" s="24">
        <v>0.91666666666666496</v>
      </c>
      <c r="H8" s="23"/>
      <c r="I8"/>
      <c r="J8" s="21" t="str">
        <f t="shared" ca="1" si="0"/>
        <v>Aviso (quarto período)</v>
      </c>
      <c r="K8" t="str" cm="1">
        <f t="array" aca="1" ref="K8" ca="1">IF(T8="Sócio",IF(COUNTIF(Opções!$H$2:$H$13,INDIRECT($P8))&gt;0,IF(AND(INDIRECT($Q8)&lt;L$1/24,INDIRECT($R8)&gt;K$1/24),"x",""),""),"")</f>
        <v/>
      </c>
      <c r="L8" t="str" cm="1">
        <f t="array" aca="1" ref="L8" ca="1">IF(T8="Sócio",IF(COUNTIF(Opções!$H$2:$H$13,INDIRECT($P8))&gt;0,IF(AND(INDIRECT($Q8)&lt;M$1/24,INDIRECT($R8)&gt;L$1/24),"x",""),""),"")</f>
        <v/>
      </c>
      <c r="M8" t="str" cm="1">
        <f t="array" aca="1" ref="M8" ca="1">IF(T8="Sócio",IF(COUNTIF(Opções!$H$2:$H$13,INDIRECT($P8))&gt;0,IF(AND(INDIRECT($Q8)&lt;N$1/24,INDIRECT($R8)&gt;M$1/24),"x",""),""),"")</f>
        <v/>
      </c>
      <c r="N8" t="str" cm="1">
        <f t="array" aca="1" ref="N8" ca="1">IF(T8="Sócio",IF(COUNTIF(Opções!$H$2:$H$13,INDIRECT($P8))&gt;0,IF(AND(INDIRECT($Q8)&lt;O$1/24,INDIRECT($R8)&gt;N$1/24),"x",""),""),"")</f>
        <v>x</v>
      </c>
      <c r="O8" t="str" cm="1">
        <f t="array" aca="1" ref="O8" ca="1">IF(T8="Sócio",IF(COUNTIF(Opções!$H$2:$H$13,INDIRECT($P8))&gt;0,IF(AND(INDIRECT($Q8)&lt;P$1/24,INDIRECT($R8)&gt;O$1/24),"x",""),""),"")</f>
        <v>x</v>
      </c>
      <c r="P8" t="str">
        <f t="shared" ref="P8:P53" si="5">"$E"&amp;ROW(N8)</f>
        <v>$E8</v>
      </c>
      <c r="Q8" t="str">
        <f t="shared" ref="Q8:Q53" si="6">"$F"&amp;ROW(O8)</f>
        <v>$F8</v>
      </c>
      <c r="R8" t="str">
        <f t="shared" ref="R8:R53" si="7">"$G"&amp;ROW(Q8)</f>
        <v>$G8</v>
      </c>
      <c r="S8" t="str">
        <f t="shared" ref="S8:S53" si="8">"$D"&amp;ROW(R8)</f>
        <v>$D8</v>
      </c>
      <c r="T8" t="str" cm="1">
        <f t="array" aca="1" ref="T8" ca="1">IFERROR(VLOOKUP(INDIRECT(S8),Equipe!A:C,3,0),"")</f>
        <v>Sócio</v>
      </c>
    </row>
    <row r="9" spans="1:20" x14ac:dyDescent="0.3">
      <c r="D9" s="23" t="s">
        <v>23</v>
      </c>
      <c r="E9" s="23" t="s">
        <v>22</v>
      </c>
      <c r="F9" s="24"/>
      <c r="G9" s="24"/>
      <c r="H9" s="23" t="s">
        <v>678</v>
      </c>
      <c r="I9"/>
      <c r="J9" s="21" t="str">
        <f t="shared" ca="1" si="0"/>
        <v/>
      </c>
      <c r="K9" t="str" cm="1">
        <f t="array" aca="1" ref="K9" ca="1">IF(T9="Sócio",IF(COUNTIF(Opções!$H$2:$H$13,INDIRECT($P9))&gt;0,IF(AND(INDIRECT($Q9)&lt;L$1/24,INDIRECT($R9)&gt;K$1/24),"x",""),""),"")</f>
        <v/>
      </c>
      <c r="L9" t="str" cm="1">
        <f t="array" aca="1" ref="L9" ca="1">IF(T9="Sócio",IF(COUNTIF(Opções!$H$2:$H$13,INDIRECT($P9))&gt;0,IF(AND(INDIRECT($Q9)&lt;M$1/24,INDIRECT($R9)&gt;L$1/24),"x",""),""),"")</f>
        <v/>
      </c>
      <c r="M9" t="str" cm="1">
        <f t="array" aca="1" ref="M9" ca="1">IF(T9="Sócio",IF(COUNTIF(Opções!$H$2:$H$13,INDIRECT($P9))&gt;0,IF(AND(INDIRECT($Q9)&lt;N$1/24,INDIRECT($R9)&gt;M$1/24),"x",""),""),"")</f>
        <v/>
      </c>
      <c r="N9" t="str" cm="1">
        <f t="array" aca="1" ref="N9" ca="1">IF(T9="Sócio",IF(COUNTIF(Opções!$H$2:$H$13,INDIRECT($P9))&gt;0,IF(AND(INDIRECT($Q9)&lt;O$1/24,INDIRECT($R9)&gt;N$1/24),"x",""),""),"")</f>
        <v/>
      </c>
      <c r="O9" t="str" cm="1">
        <f t="array" aca="1" ref="O9" ca="1">IF(T9="Sócio",IF(COUNTIF(Opções!$H$2:$H$13,INDIRECT($P9))&gt;0,IF(AND(INDIRECT($Q9)&lt;P$1/24,INDIRECT($R9)&gt;O$1/24),"x",""),""),"")</f>
        <v/>
      </c>
      <c r="P9" t="str">
        <f t="shared" si="5"/>
        <v>$E9</v>
      </c>
      <c r="Q9" t="str">
        <f t="shared" si="6"/>
        <v>$F9</v>
      </c>
      <c r="R9" t="str">
        <f t="shared" si="7"/>
        <v>$G9</v>
      </c>
      <c r="S9" t="str">
        <f t="shared" si="8"/>
        <v>$D9</v>
      </c>
      <c r="T9" t="str" cm="1">
        <f t="array" aca="1" ref="T9" ca="1">IFERROR(VLOOKUP(INDIRECT(S9),Equipe!A:C,3,0),"")</f>
        <v>Sócio</v>
      </c>
    </row>
    <row r="10" spans="1:20" x14ac:dyDescent="0.3">
      <c r="D10" s="23"/>
      <c r="E10" s="23"/>
      <c r="F10" s="24"/>
      <c r="G10" s="24"/>
      <c r="H10" s="23"/>
      <c r="I10"/>
      <c r="J10" s="21" t="str">
        <f t="shared" ca="1" si="0"/>
        <v/>
      </c>
      <c r="K10" t="str" cm="1">
        <f t="array" aca="1" ref="K10" ca="1">IF(T10="Sócio",IF(COUNTIF(Opções!$H$2:$H$13,INDIRECT($P10))&gt;0,IF(AND(INDIRECT($Q10)&lt;L$1/24,INDIRECT($R10)&gt;K$1/24),"x",""),""),"")</f>
        <v/>
      </c>
      <c r="L10" t="str" cm="1">
        <f t="array" aca="1" ref="L10" ca="1">IF(T10="Sócio",IF(COUNTIF(Opções!$H$2:$H$13,INDIRECT($P10))&gt;0,IF(AND(INDIRECT($Q10)&lt;M$1/24,INDIRECT($R10)&gt;L$1/24),"x",""),""),"")</f>
        <v/>
      </c>
      <c r="M10" t="str" cm="1">
        <f t="array" aca="1" ref="M10" ca="1">IF(T10="Sócio",IF(COUNTIF(Opções!$H$2:$H$13,INDIRECT($P10))&gt;0,IF(AND(INDIRECT($Q10)&lt;N$1/24,INDIRECT($R10)&gt;M$1/24),"x",""),""),"")</f>
        <v/>
      </c>
      <c r="N10" t="str" cm="1">
        <f t="array" aca="1" ref="N10" ca="1">IF(T10="Sócio",IF(COUNTIF(Opções!$H$2:$H$13,INDIRECT($P10))&gt;0,IF(AND(INDIRECT($Q10)&lt;O$1/24,INDIRECT($R10)&gt;N$1/24),"x",""),""),"")</f>
        <v/>
      </c>
      <c r="O10" t="str" cm="1">
        <f t="array" aca="1" ref="O10" ca="1">IF(T10="Sócio",IF(COUNTIF(Opções!$H$2:$H$13,INDIRECT($P10))&gt;0,IF(AND(INDIRECT($Q10)&lt;P$1/24,INDIRECT($R10)&gt;O$1/24),"x",""),""),"")</f>
        <v/>
      </c>
      <c r="P10" t="str">
        <f t="shared" si="5"/>
        <v>$E10</v>
      </c>
      <c r="Q10" t="str">
        <f t="shared" si="6"/>
        <v>$F10</v>
      </c>
      <c r="R10" t="str">
        <f t="shared" si="7"/>
        <v>$G10</v>
      </c>
      <c r="S10" t="str">
        <f t="shared" si="8"/>
        <v>$D10</v>
      </c>
      <c r="T10" t="str" cm="1">
        <f t="array" aca="1" ref="T10" ca="1">IFERROR(VLOOKUP(INDIRECT(S10),Equipe!A:C,3,0),"")</f>
        <v/>
      </c>
    </row>
    <row r="11" spans="1:20" x14ac:dyDescent="0.3">
      <c r="D11" s="23"/>
      <c r="E11" s="23"/>
      <c r="F11" s="24"/>
      <c r="G11" s="24"/>
      <c r="H11" s="23"/>
      <c r="I11"/>
      <c r="J11" s="21" t="str">
        <f t="shared" ca="1" si="0"/>
        <v/>
      </c>
      <c r="K11" t="str" cm="1">
        <f t="array" aca="1" ref="K11" ca="1">IF(T11="Sócio",IF(COUNTIF(Opções!$H$2:$H$13,INDIRECT($P11))&gt;0,IF(AND(INDIRECT($Q11)&lt;L$1/24,INDIRECT($R11)&gt;K$1/24),"x",""),""),"")</f>
        <v/>
      </c>
      <c r="L11" t="str" cm="1">
        <f t="array" aca="1" ref="L11" ca="1">IF(T11="Sócio",IF(COUNTIF(Opções!$H$2:$H$13,INDIRECT($P11))&gt;0,IF(AND(INDIRECT($Q11)&lt;M$1/24,INDIRECT($R11)&gt;L$1/24),"x",""),""),"")</f>
        <v/>
      </c>
      <c r="M11" t="str" cm="1">
        <f t="array" aca="1" ref="M11" ca="1">IF(T11="Sócio",IF(COUNTIF(Opções!$H$2:$H$13,INDIRECT($P11))&gt;0,IF(AND(INDIRECT($Q11)&lt;N$1/24,INDIRECT($R11)&gt;M$1/24),"x",""),""),"")</f>
        <v/>
      </c>
      <c r="N11" t="str" cm="1">
        <f t="array" aca="1" ref="N11" ca="1">IF(T11="Sócio",IF(COUNTIF(Opções!$H$2:$H$13,INDIRECT($P11))&gt;0,IF(AND(INDIRECT($Q11)&lt;O$1/24,INDIRECT($R11)&gt;N$1/24),"x",""),""),"")</f>
        <v/>
      </c>
      <c r="O11" t="str" cm="1">
        <f t="array" aca="1" ref="O11" ca="1">IF(T11="Sócio",IF(COUNTIF(Opções!$H$2:$H$13,INDIRECT($P11))&gt;0,IF(AND(INDIRECT($Q11)&lt;P$1/24,INDIRECT($R11)&gt;O$1/24),"x",""),""),"")</f>
        <v/>
      </c>
      <c r="P11" t="str">
        <f t="shared" si="5"/>
        <v>$E11</v>
      </c>
      <c r="Q11" t="str">
        <f t="shared" si="6"/>
        <v>$F11</v>
      </c>
      <c r="R11" t="str">
        <f t="shared" si="7"/>
        <v>$G11</v>
      </c>
      <c r="S11" t="str">
        <f t="shared" si="8"/>
        <v>$D11</v>
      </c>
      <c r="T11" t="str" cm="1">
        <f t="array" aca="1" ref="T11" ca="1">IFERROR(VLOOKUP(INDIRECT(S11),Equipe!A:C,3,0),"")</f>
        <v/>
      </c>
    </row>
    <row r="12" spans="1:20" x14ac:dyDescent="0.3">
      <c r="D12" s="23"/>
      <c r="E12" s="23"/>
      <c r="F12" s="24"/>
      <c r="G12" s="24"/>
      <c r="H12" s="23"/>
      <c r="I12"/>
      <c r="J12" s="21" t="str">
        <f t="shared" ca="1" si="0"/>
        <v/>
      </c>
      <c r="K12" t="str" cm="1">
        <f t="array" aca="1" ref="K12" ca="1">IF(T12="Sócio",IF(COUNTIF(Opções!$H$2:$H$13,INDIRECT($P12))&gt;0,IF(AND(INDIRECT($Q12)&lt;L$1/24,INDIRECT($R12)&gt;K$1/24),"x",""),""),"")</f>
        <v/>
      </c>
      <c r="L12" t="str" cm="1">
        <f t="array" aca="1" ref="L12" ca="1">IF(T12="Sócio",IF(COUNTIF(Opções!$H$2:$H$13,INDIRECT($P12))&gt;0,IF(AND(INDIRECT($Q12)&lt;M$1/24,INDIRECT($R12)&gt;L$1/24),"x",""),""),"")</f>
        <v/>
      </c>
      <c r="M12" t="str" cm="1">
        <f t="array" aca="1" ref="M12" ca="1">IF(T12="Sócio",IF(COUNTIF(Opções!$H$2:$H$13,INDIRECT($P12))&gt;0,IF(AND(INDIRECT($Q12)&lt;N$1/24,INDIRECT($R12)&gt;M$1/24),"x",""),""),"")</f>
        <v/>
      </c>
      <c r="N12" t="str" cm="1">
        <f t="array" aca="1" ref="N12" ca="1">IF(T12="Sócio",IF(COUNTIF(Opções!$H$2:$H$13,INDIRECT($P12))&gt;0,IF(AND(INDIRECT($Q12)&lt;O$1/24,INDIRECT($R12)&gt;N$1/24),"x",""),""),"")</f>
        <v/>
      </c>
      <c r="O12" t="str" cm="1">
        <f t="array" aca="1" ref="O12" ca="1">IF(T12="Sócio",IF(COUNTIF(Opções!$H$2:$H$13,INDIRECT($P12))&gt;0,IF(AND(INDIRECT($Q12)&lt;P$1/24,INDIRECT($R12)&gt;O$1/24),"x",""),""),"")</f>
        <v/>
      </c>
      <c r="P12" t="str">
        <f t="shared" si="5"/>
        <v>$E12</v>
      </c>
      <c r="Q12" t="str">
        <f t="shared" si="6"/>
        <v>$F12</v>
      </c>
      <c r="R12" t="str">
        <f t="shared" si="7"/>
        <v>$G12</v>
      </c>
      <c r="S12" t="str">
        <f t="shared" si="8"/>
        <v>$D12</v>
      </c>
      <c r="T12" t="str" cm="1">
        <f t="array" aca="1" ref="T12" ca="1">IFERROR(VLOOKUP(INDIRECT(S12),Equipe!A:C,3,0),"")</f>
        <v/>
      </c>
    </row>
    <row r="13" spans="1:20" x14ac:dyDescent="0.3">
      <c r="D13" s="23"/>
      <c r="E13" s="23"/>
      <c r="F13" s="24"/>
      <c r="G13" s="24"/>
      <c r="H13" s="23"/>
      <c r="I13"/>
      <c r="J13" s="21" t="str">
        <f t="shared" ca="1" si="0"/>
        <v/>
      </c>
      <c r="K13" t="str" cm="1">
        <f t="array" aca="1" ref="K13" ca="1">IF(T13="Sócio",IF(COUNTIF(Opções!$H$2:$H$13,INDIRECT($P13))&gt;0,IF(AND(INDIRECT($Q13)&lt;L$1/24,INDIRECT($R13)&gt;K$1/24),"x",""),""),"")</f>
        <v/>
      </c>
      <c r="L13" t="str" cm="1">
        <f t="array" aca="1" ref="L13" ca="1">IF(T13="Sócio",IF(COUNTIF(Opções!$H$2:$H$13,INDIRECT($P13))&gt;0,IF(AND(INDIRECT($Q13)&lt;M$1/24,INDIRECT($R13)&gt;L$1/24),"x",""),""),"")</f>
        <v/>
      </c>
      <c r="M13" t="str" cm="1">
        <f t="array" aca="1" ref="M13" ca="1">IF(T13="Sócio",IF(COUNTIF(Opções!$H$2:$H$13,INDIRECT($P13))&gt;0,IF(AND(INDIRECT($Q13)&lt;N$1/24,INDIRECT($R13)&gt;M$1/24),"x",""),""),"")</f>
        <v/>
      </c>
      <c r="N13" t="str" cm="1">
        <f t="array" aca="1" ref="N13" ca="1">IF(T13="Sócio",IF(COUNTIF(Opções!$H$2:$H$13,INDIRECT($P13))&gt;0,IF(AND(INDIRECT($Q13)&lt;O$1/24,INDIRECT($R13)&gt;N$1/24),"x",""),""),"")</f>
        <v/>
      </c>
      <c r="O13" t="str" cm="1">
        <f t="array" aca="1" ref="O13" ca="1">IF(T13="Sócio",IF(COUNTIF(Opções!$H$2:$H$13,INDIRECT($P13))&gt;0,IF(AND(INDIRECT($Q13)&lt;P$1/24,INDIRECT($R13)&gt;O$1/24),"x",""),""),"")</f>
        <v/>
      </c>
      <c r="P13" t="str">
        <f t="shared" si="5"/>
        <v>$E13</v>
      </c>
      <c r="Q13" t="str">
        <f t="shared" si="6"/>
        <v>$F13</v>
      </c>
      <c r="R13" t="str">
        <f t="shared" si="7"/>
        <v>$G13</v>
      </c>
      <c r="S13" t="str">
        <f t="shared" si="8"/>
        <v>$D13</v>
      </c>
      <c r="T13" t="str" cm="1">
        <f t="array" aca="1" ref="T13" ca="1">IFERROR(VLOOKUP(INDIRECT(S13),Equipe!A:C,3,0),"")</f>
        <v/>
      </c>
    </row>
    <row r="14" spans="1:20" x14ac:dyDescent="0.3">
      <c r="D14" s="23"/>
      <c r="E14" s="23"/>
      <c r="F14" s="24"/>
      <c r="G14" s="24"/>
      <c r="H14" s="23"/>
      <c r="I14"/>
      <c r="J14" s="21" t="str">
        <f t="shared" ca="1" si="0"/>
        <v/>
      </c>
      <c r="K14" t="str" cm="1">
        <f t="array" aca="1" ref="K14" ca="1">IF(T14="Sócio",IF(COUNTIF(Opções!$H$2:$H$13,INDIRECT($P14))&gt;0,IF(AND(INDIRECT($Q14)&lt;L$1/24,INDIRECT($R14)&gt;K$1/24),"x",""),""),"")</f>
        <v/>
      </c>
      <c r="L14" t="str" cm="1">
        <f t="array" aca="1" ref="L14" ca="1">IF(T14="Sócio",IF(COUNTIF(Opções!$H$2:$H$13,INDIRECT($P14))&gt;0,IF(AND(INDIRECT($Q14)&lt;M$1/24,INDIRECT($R14)&gt;L$1/24),"x",""),""),"")</f>
        <v/>
      </c>
      <c r="M14" t="str" cm="1">
        <f t="array" aca="1" ref="M14" ca="1">IF(T14="Sócio",IF(COUNTIF(Opções!$H$2:$H$13,INDIRECT($P14))&gt;0,IF(AND(INDIRECT($Q14)&lt;N$1/24,INDIRECT($R14)&gt;M$1/24),"x",""),""),"")</f>
        <v/>
      </c>
      <c r="N14" t="str" cm="1">
        <f t="array" aca="1" ref="N14" ca="1">IF(T14="Sócio",IF(COUNTIF(Opções!$H$2:$H$13,INDIRECT($P14))&gt;0,IF(AND(INDIRECT($Q14)&lt;O$1/24,INDIRECT($R14)&gt;N$1/24),"x",""),""),"")</f>
        <v/>
      </c>
      <c r="O14" t="str" cm="1">
        <f t="array" aca="1" ref="O14" ca="1">IF(T14="Sócio",IF(COUNTIF(Opções!$H$2:$H$13,INDIRECT($P14))&gt;0,IF(AND(INDIRECT($Q14)&lt;P$1/24,INDIRECT($R14)&gt;O$1/24),"x",""),""),"")</f>
        <v/>
      </c>
      <c r="P14" t="str">
        <f t="shared" si="5"/>
        <v>$E14</v>
      </c>
      <c r="Q14" t="str">
        <f t="shared" si="6"/>
        <v>$F14</v>
      </c>
      <c r="R14" t="str">
        <f t="shared" si="7"/>
        <v>$G14</v>
      </c>
      <c r="S14" t="str">
        <f t="shared" si="8"/>
        <v>$D14</v>
      </c>
      <c r="T14" t="str" cm="1">
        <f t="array" aca="1" ref="T14" ca="1">IFERROR(VLOOKUP(INDIRECT(S14),Equipe!A:C,3,0),"")</f>
        <v/>
      </c>
    </row>
    <row r="15" spans="1:20" x14ac:dyDescent="0.3">
      <c r="D15" s="23"/>
      <c r="E15" s="23"/>
      <c r="F15" s="24"/>
      <c r="G15" s="24"/>
      <c r="H15" s="23"/>
      <c r="I15"/>
      <c r="J15" s="21" t="str">
        <f t="shared" ca="1" si="0"/>
        <v/>
      </c>
      <c r="K15" t="str" cm="1">
        <f t="array" aca="1" ref="K15" ca="1">IF(T15="Sócio",IF(COUNTIF(Opções!$H$2:$H$13,INDIRECT($P15))&gt;0,IF(AND(INDIRECT($Q15)&lt;L$1/24,INDIRECT($R15)&gt;K$1/24),"x",""),""),"")</f>
        <v/>
      </c>
      <c r="L15" t="str" cm="1">
        <f t="array" aca="1" ref="L15" ca="1">IF(T15="Sócio",IF(COUNTIF(Opções!$H$2:$H$13,INDIRECT($P15))&gt;0,IF(AND(INDIRECT($Q15)&lt;M$1/24,INDIRECT($R15)&gt;L$1/24),"x",""),""),"")</f>
        <v/>
      </c>
      <c r="M15" t="str" cm="1">
        <f t="array" aca="1" ref="M15" ca="1">IF(T15="Sócio",IF(COUNTIF(Opções!$H$2:$H$13,INDIRECT($P15))&gt;0,IF(AND(INDIRECT($Q15)&lt;N$1/24,INDIRECT($R15)&gt;M$1/24),"x",""),""),"")</f>
        <v/>
      </c>
      <c r="N15" t="str" cm="1">
        <f t="array" aca="1" ref="N15" ca="1">IF(T15="Sócio",IF(COUNTIF(Opções!$H$2:$H$13,INDIRECT($P15))&gt;0,IF(AND(INDIRECT($Q15)&lt;O$1/24,INDIRECT($R15)&gt;N$1/24),"x",""),""),"")</f>
        <v/>
      </c>
      <c r="O15" t="str" cm="1">
        <f t="array" aca="1" ref="O15" ca="1">IF(T15="Sócio",IF(COUNTIF(Opções!$H$2:$H$13,INDIRECT($P15))&gt;0,IF(AND(INDIRECT($Q15)&lt;P$1/24,INDIRECT($R15)&gt;O$1/24),"x",""),""),"")</f>
        <v/>
      </c>
      <c r="P15" t="str">
        <f t="shared" si="5"/>
        <v>$E15</v>
      </c>
      <c r="Q15" t="str">
        <f t="shared" si="6"/>
        <v>$F15</v>
      </c>
      <c r="R15" t="str">
        <f t="shared" si="7"/>
        <v>$G15</v>
      </c>
      <c r="S15" t="str">
        <f t="shared" si="8"/>
        <v>$D15</v>
      </c>
      <c r="T15" t="str" cm="1">
        <f t="array" aca="1" ref="T15" ca="1">IFERROR(VLOOKUP(INDIRECT(S15),Equipe!A:C,3,0),"")</f>
        <v/>
      </c>
    </row>
    <row r="16" spans="1:20" x14ac:dyDescent="0.3">
      <c r="D16" s="23"/>
      <c r="E16" s="23"/>
      <c r="F16" s="24"/>
      <c r="G16" s="24"/>
      <c r="H16" s="23"/>
      <c r="I16"/>
      <c r="J16" s="21" t="str">
        <f t="shared" ca="1" si="0"/>
        <v/>
      </c>
      <c r="K16" t="str" cm="1">
        <f t="array" aca="1" ref="K16" ca="1">IF(T16="Sócio",IF(COUNTIF(Opções!$H$2:$H$13,INDIRECT($P16))&gt;0,IF(AND(INDIRECT($Q16)&lt;L$1/24,INDIRECT($R16)&gt;K$1/24),"x",""),""),"")</f>
        <v/>
      </c>
      <c r="L16" t="str" cm="1">
        <f t="array" aca="1" ref="L16" ca="1">IF(T16="Sócio",IF(COUNTIF(Opções!$H$2:$H$13,INDIRECT($P16))&gt;0,IF(AND(INDIRECT($Q16)&lt;M$1/24,INDIRECT($R16)&gt;L$1/24),"x",""),""),"")</f>
        <v/>
      </c>
      <c r="M16" t="str" cm="1">
        <f t="array" aca="1" ref="M16" ca="1">IF(T16="Sócio",IF(COUNTIF(Opções!$H$2:$H$13,INDIRECT($P16))&gt;0,IF(AND(INDIRECT($Q16)&lt;N$1/24,INDIRECT($R16)&gt;M$1/24),"x",""),""),"")</f>
        <v/>
      </c>
      <c r="N16" t="str" cm="1">
        <f t="array" aca="1" ref="N16" ca="1">IF(T16="Sócio",IF(COUNTIF(Opções!$H$2:$H$13,INDIRECT($P16))&gt;0,IF(AND(INDIRECT($Q16)&lt;O$1/24,INDIRECT($R16)&gt;N$1/24),"x",""),""),"")</f>
        <v/>
      </c>
      <c r="O16" t="str" cm="1">
        <f t="array" aca="1" ref="O16" ca="1">IF(T16="Sócio",IF(COUNTIF(Opções!$H$2:$H$13,INDIRECT($P16))&gt;0,IF(AND(INDIRECT($Q16)&lt;P$1/24,INDIRECT($R16)&gt;O$1/24),"x",""),""),"")</f>
        <v/>
      </c>
      <c r="P16" t="str">
        <f t="shared" si="5"/>
        <v>$E16</v>
      </c>
      <c r="Q16" t="str">
        <f t="shared" si="6"/>
        <v>$F16</v>
      </c>
      <c r="R16" t="str">
        <f t="shared" si="7"/>
        <v>$G16</v>
      </c>
      <c r="S16" t="str">
        <f t="shared" si="8"/>
        <v>$D16</v>
      </c>
      <c r="T16" t="str" cm="1">
        <f t="array" aca="1" ref="T16" ca="1">IFERROR(VLOOKUP(INDIRECT(S16),Equipe!A:C,3,0),"")</f>
        <v/>
      </c>
    </row>
    <row r="17" spans="4:20" x14ac:dyDescent="0.3">
      <c r="D17" s="23"/>
      <c r="E17" s="23"/>
      <c r="F17" s="24"/>
      <c r="G17" s="24"/>
      <c r="H17" s="23"/>
      <c r="I17"/>
      <c r="J17" s="21" t="str">
        <f t="shared" ca="1" si="0"/>
        <v/>
      </c>
      <c r="K17" t="str" cm="1">
        <f t="array" aca="1" ref="K17" ca="1">IF(T17="Sócio",IF(COUNTIF(Opções!$H$2:$H$13,INDIRECT($P17))&gt;0,IF(AND(INDIRECT($Q17)&lt;L$1/24,INDIRECT($R17)&gt;K$1/24),"x",""),""),"")</f>
        <v/>
      </c>
      <c r="L17" t="str" cm="1">
        <f t="array" aca="1" ref="L17" ca="1">IF(T17="Sócio",IF(COUNTIF(Opções!$H$2:$H$13,INDIRECT($P17))&gt;0,IF(AND(INDIRECT($Q17)&lt;M$1/24,INDIRECT($R17)&gt;L$1/24),"x",""),""),"")</f>
        <v/>
      </c>
      <c r="M17" t="str" cm="1">
        <f t="array" aca="1" ref="M17" ca="1">IF(T17="Sócio",IF(COUNTIF(Opções!$H$2:$H$13,INDIRECT($P17))&gt;0,IF(AND(INDIRECT($Q17)&lt;N$1/24,INDIRECT($R17)&gt;M$1/24),"x",""),""),"")</f>
        <v/>
      </c>
      <c r="N17" t="str" cm="1">
        <f t="array" aca="1" ref="N17" ca="1">IF(T17="Sócio",IF(COUNTIF(Opções!$H$2:$H$13,INDIRECT($P17))&gt;0,IF(AND(INDIRECT($Q17)&lt;O$1/24,INDIRECT($R17)&gt;N$1/24),"x",""),""),"")</f>
        <v/>
      </c>
      <c r="O17" t="str" cm="1">
        <f t="array" aca="1" ref="O17" ca="1">IF(T17="Sócio",IF(COUNTIF(Opções!$H$2:$H$13,INDIRECT($P17))&gt;0,IF(AND(INDIRECT($Q17)&lt;P$1/24,INDIRECT($R17)&gt;O$1/24),"x",""),""),"")</f>
        <v/>
      </c>
      <c r="P17" t="str">
        <f t="shared" si="5"/>
        <v>$E17</v>
      </c>
      <c r="Q17" t="str">
        <f t="shared" si="6"/>
        <v>$F17</v>
      </c>
      <c r="R17" t="str">
        <f t="shared" si="7"/>
        <v>$G17</v>
      </c>
      <c r="S17" t="str">
        <f t="shared" si="8"/>
        <v>$D17</v>
      </c>
      <c r="T17" t="str" cm="1">
        <f t="array" aca="1" ref="T17" ca="1">IFERROR(VLOOKUP(INDIRECT(S17),Equipe!A:C,3,0),"")</f>
        <v/>
      </c>
    </row>
    <row r="18" spans="4:20" x14ac:dyDescent="0.3">
      <c r="D18" s="23"/>
      <c r="E18" s="23"/>
      <c r="F18" s="24"/>
      <c r="G18" s="24"/>
      <c r="H18" s="23"/>
      <c r="I18"/>
      <c r="J18" s="21" t="str">
        <f t="shared" ca="1" si="0"/>
        <v/>
      </c>
      <c r="K18" t="str" cm="1">
        <f t="array" aca="1" ref="K18" ca="1">IF(T18="Sócio",IF(COUNTIF(Opções!$H$2:$H$13,INDIRECT($P18))&gt;0,IF(AND(INDIRECT($Q18)&lt;L$1/24,INDIRECT($R18)&gt;K$1/24),"x",""),""),"")</f>
        <v/>
      </c>
      <c r="L18" t="str" cm="1">
        <f t="array" aca="1" ref="L18" ca="1">IF(T18="Sócio",IF(COUNTIF(Opções!$H$2:$H$13,INDIRECT($P18))&gt;0,IF(AND(INDIRECT($Q18)&lt;M$1/24,INDIRECT($R18)&gt;L$1/24),"x",""),""),"")</f>
        <v/>
      </c>
      <c r="M18" t="str" cm="1">
        <f t="array" aca="1" ref="M18" ca="1">IF(T18="Sócio",IF(COUNTIF(Opções!$H$2:$H$13,INDIRECT($P18))&gt;0,IF(AND(INDIRECT($Q18)&lt;N$1/24,INDIRECT($R18)&gt;M$1/24),"x",""),""),"")</f>
        <v/>
      </c>
      <c r="N18" t="str" cm="1">
        <f t="array" aca="1" ref="N18" ca="1">IF(T18="Sócio",IF(COUNTIF(Opções!$H$2:$H$13,INDIRECT($P18))&gt;0,IF(AND(INDIRECT($Q18)&lt;O$1/24,INDIRECT($R18)&gt;N$1/24),"x",""),""),"")</f>
        <v/>
      </c>
      <c r="O18" t="str" cm="1">
        <f t="array" aca="1" ref="O18" ca="1">IF(T18="Sócio",IF(COUNTIF(Opções!$H$2:$H$13,INDIRECT($P18))&gt;0,IF(AND(INDIRECT($Q18)&lt;P$1/24,INDIRECT($R18)&gt;O$1/24),"x",""),""),"")</f>
        <v/>
      </c>
      <c r="P18" t="str">
        <f t="shared" si="5"/>
        <v>$E18</v>
      </c>
      <c r="Q18" t="str">
        <f t="shared" si="6"/>
        <v>$F18</v>
      </c>
      <c r="R18" t="str">
        <f t="shared" si="7"/>
        <v>$G18</v>
      </c>
      <c r="S18" t="str">
        <f t="shared" si="8"/>
        <v>$D18</v>
      </c>
      <c r="T18" t="str" cm="1">
        <f t="array" aca="1" ref="T18" ca="1">IFERROR(VLOOKUP(INDIRECT(S18),Equipe!A:C,3,0),"")</f>
        <v/>
      </c>
    </row>
    <row r="19" spans="4:20" x14ac:dyDescent="0.3">
      <c r="D19" s="23"/>
      <c r="E19" s="23"/>
      <c r="F19" s="24"/>
      <c r="G19" s="24"/>
      <c r="H19" s="23"/>
      <c r="I19"/>
    </row>
    <row r="20" spans="4:20" x14ac:dyDescent="0.3">
      <c r="I20"/>
    </row>
    <row r="21" spans="4:20" x14ac:dyDescent="0.3">
      <c r="D21" s="23"/>
      <c r="E21" s="23"/>
      <c r="F21" s="24"/>
      <c r="G21" s="24"/>
      <c r="H21" s="23"/>
      <c r="I21"/>
    </row>
    <row r="22" spans="4:20" x14ac:dyDescent="0.3">
      <c r="I22"/>
      <c r="J22" s="21" t="str">
        <f ca="1">IF(K22="x",IF(COUNTIF(K:K,"x")&gt;2,"Aviso (primeiro período)",""),IF(L22="x",IF(COUNTIF(L:L,"x")&gt;1,"Aviso (segundo período)",""),IF(M22="x",IF(COUNTIF(M:M,"x")&gt;1,"Aviso (terceiro período)",""),IF(N22="x",IF(COUNTIF(N:N,"x")&gt;2,"Aviso (quarto período)",""),IF(O22="x",IF(COUNTIF(O:O,"x")&gt;5,"Aviso (quinto período)",""),"")))))</f>
        <v/>
      </c>
      <c r="K22" t="str" cm="1">
        <f t="array" aca="1" ref="K22" ca="1">IF(T22="Sócio",IF(COUNTIF(Opções!$H$2:$H$13,INDIRECT($P22))&gt;0,IF(AND(INDIRECT($Q22)&lt;L$1/24,INDIRECT($R22)&gt;K$1/24),"x",""),""),"")</f>
        <v/>
      </c>
      <c r="L22" t="str" cm="1">
        <f t="array" aca="1" ref="L22" ca="1">IF(T22="Sócio",IF(COUNTIF(Opções!$H$2:$H$13,INDIRECT($P22))&gt;0,IF(AND(INDIRECT($Q22)&lt;M$1/24,INDIRECT($R22)&gt;L$1/24),"x",""),""),"")</f>
        <v/>
      </c>
      <c r="M22" t="str" cm="1">
        <f t="array" aca="1" ref="M22" ca="1">IF(T22="Sócio",IF(COUNTIF(Opções!$H$2:$H$13,INDIRECT($P22))&gt;0,IF(AND(INDIRECT($Q22)&lt;N$1/24,INDIRECT($R22)&gt;M$1/24),"x",""),""),"")</f>
        <v/>
      </c>
      <c r="N22" t="str" cm="1">
        <f t="array" aca="1" ref="N22" ca="1">IF(T22="Sócio",IF(COUNTIF(Opções!$H$2:$H$13,INDIRECT($P22))&gt;0,IF(AND(INDIRECT($Q22)&lt;O$1/24,INDIRECT($R22)&gt;N$1/24),"x",""),""),"")</f>
        <v/>
      </c>
      <c r="O22" t="str" cm="1">
        <f t="array" aca="1" ref="O22" ca="1">IF(T22="Sócio",IF(COUNTIF(Opções!$H$2:$H$13,INDIRECT($P22))&gt;0,IF(AND(INDIRECT($Q22)&lt;P$1/24,INDIRECT($R22)&gt;O$1/24),"x",""),""),"")</f>
        <v/>
      </c>
      <c r="P22" t="str">
        <f t="shared" si="5"/>
        <v>$E22</v>
      </c>
      <c r="Q22" t="str">
        <f t="shared" si="6"/>
        <v>$F22</v>
      </c>
      <c r="R22" t="str">
        <f t="shared" si="7"/>
        <v>$G22</v>
      </c>
      <c r="S22" t="str">
        <f t="shared" si="8"/>
        <v>$D22</v>
      </c>
      <c r="T22" t="str" cm="1">
        <f t="array" aca="1" ref="T22" ca="1">IFERROR(VLOOKUP(INDIRECT(S22),Equipe!A:C,3,0),"")</f>
        <v/>
      </c>
    </row>
    <row r="23" spans="4:20" x14ac:dyDescent="0.3">
      <c r="D23" s="23"/>
      <c r="E23" s="23"/>
      <c r="F23" s="24"/>
      <c r="G23" s="24"/>
      <c r="H23" s="23"/>
      <c r="I23"/>
      <c r="J23" s="21" t="str">
        <f ca="1">IF(K23="x",IF(COUNTIF(K:K,"x")&gt;2,"Aviso (primeiro período)",""),IF(L23="x",IF(COUNTIF(L:L,"x")&gt;1,"Aviso (segundo período)",""),IF(M23="x",IF(COUNTIF(M:M,"x")&gt;1,"Aviso (terceiro período)",""),IF(N23="x",IF(COUNTIF(N:N,"x")&gt;2,"Aviso (quarto período)",""),IF(O23="x",IF(COUNTIF(O:O,"x")&gt;5,"Aviso (quinto período)",""),"")))))</f>
        <v/>
      </c>
      <c r="K23" t="str" cm="1">
        <f t="array" aca="1" ref="K23" ca="1">IF(T23="Sócio",IF(COUNTIF(Opções!$H$2:$H$13,INDIRECT($P23))&gt;0,IF(AND(INDIRECT($Q23)&lt;L$1/24,INDIRECT($R23)&gt;K$1/24),"x",""),""),"")</f>
        <v/>
      </c>
      <c r="L23" t="str" cm="1">
        <f t="array" aca="1" ref="L23" ca="1">IF(T23="Sócio",IF(COUNTIF(Opções!$H$2:$H$13,INDIRECT($P23))&gt;0,IF(AND(INDIRECT($Q23)&lt;M$1/24,INDIRECT($R23)&gt;L$1/24),"x",""),""),"")</f>
        <v/>
      </c>
      <c r="M23" t="str" cm="1">
        <f t="array" aca="1" ref="M23" ca="1">IF(T23="Sócio",IF(COUNTIF(Opções!$H$2:$H$13,INDIRECT($P23))&gt;0,IF(AND(INDIRECT($Q23)&lt;N$1/24,INDIRECT($R23)&gt;M$1/24),"x",""),""),"")</f>
        <v/>
      </c>
      <c r="N23" t="str" cm="1">
        <f t="array" aca="1" ref="N23" ca="1">IF(T23="Sócio",IF(COUNTIF(Opções!$H$2:$H$13,INDIRECT($P23))&gt;0,IF(AND(INDIRECT($Q23)&lt;O$1/24,INDIRECT($R23)&gt;N$1/24),"x",""),""),"")</f>
        <v/>
      </c>
      <c r="O23" t="str" cm="1">
        <f t="array" aca="1" ref="O23" ca="1">IF(T23="Sócio",IF(COUNTIF(Opções!$H$2:$H$13,INDIRECT($P23))&gt;0,IF(AND(INDIRECT($Q23)&lt;P$1/24,INDIRECT($R23)&gt;O$1/24),"x",""),""),"")</f>
        <v/>
      </c>
      <c r="P23" t="str">
        <f t="shared" si="5"/>
        <v>$E23</v>
      </c>
      <c r="Q23" t="str">
        <f t="shared" si="6"/>
        <v>$F23</v>
      </c>
      <c r="R23" t="str">
        <f t="shared" si="7"/>
        <v>$G23</v>
      </c>
      <c r="S23" t="str">
        <f t="shared" si="8"/>
        <v>$D23</v>
      </c>
      <c r="T23" t="str" cm="1">
        <f t="array" aca="1" ref="T23" ca="1">IFERROR(VLOOKUP(INDIRECT(S23),Equipe!A:C,3,0),"")</f>
        <v/>
      </c>
    </row>
    <row r="24" spans="4:20" x14ac:dyDescent="0.3">
      <c r="I24"/>
      <c r="J24" s="21" t="str">
        <f ca="1">IF(K24="x",IF(COUNTIF(K:K,"x")&gt;2,"Aviso (primeiro período)",""),IF(L24="x",IF(COUNTIF(L:L,"x")&gt;1,"Aviso (segundo período)",""),IF(M24="x",IF(COUNTIF(M:M,"x")&gt;1,"Aviso (terceiro período)",""),IF(N24="x",IF(COUNTIF(N:N,"x")&gt;2,"Aviso (quarto período)",""),IF(O24="x",IF(COUNTIF(O:O,"x")&gt;5,"Aviso (quinto período)",""),"")))))</f>
        <v/>
      </c>
      <c r="K24" t="str" cm="1">
        <f t="array" aca="1" ref="K24" ca="1">IF(T24="Sócio",IF(COUNTIF(Opções!$H$2:$H$13,INDIRECT($P24))&gt;0,IF(AND(INDIRECT($Q24)&lt;L$1/24,INDIRECT($R24)&gt;K$1/24),"x",""),""),"")</f>
        <v/>
      </c>
      <c r="L24" t="str" cm="1">
        <f t="array" aca="1" ref="L24" ca="1">IF(T24="Sócio",IF(COUNTIF(Opções!$H$2:$H$13,INDIRECT($P24))&gt;0,IF(AND(INDIRECT($Q24)&lt;M$1/24,INDIRECT($R24)&gt;L$1/24),"x",""),""),"")</f>
        <v/>
      </c>
      <c r="M24" t="str" cm="1">
        <f t="array" aca="1" ref="M24" ca="1">IF(T24="Sócio",IF(COUNTIF(Opções!$H$2:$H$13,INDIRECT($P24))&gt;0,IF(AND(INDIRECT($Q24)&lt;N$1/24,INDIRECT($R24)&gt;M$1/24),"x",""),""),"")</f>
        <v/>
      </c>
      <c r="N24" t="str" cm="1">
        <f t="array" aca="1" ref="N24" ca="1">IF(T24="Sócio",IF(COUNTIF(Opções!$H$2:$H$13,INDIRECT($P24))&gt;0,IF(AND(INDIRECT($Q24)&lt;O$1/24,INDIRECT($R24)&gt;N$1/24),"x",""),""),"")</f>
        <v/>
      </c>
      <c r="O24" t="str" cm="1">
        <f t="array" aca="1" ref="O24" ca="1">IF(T24="Sócio",IF(COUNTIF(Opções!$H$2:$H$13,INDIRECT($P24))&gt;0,IF(AND(INDIRECT($Q24)&lt;P$1/24,INDIRECT($R24)&gt;O$1/24),"x",""),""),"")</f>
        <v/>
      </c>
      <c r="P24" t="str">
        <f t="shared" si="5"/>
        <v>$E24</v>
      </c>
      <c r="Q24" t="str">
        <f t="shared" si="6"/>
        <v>$F24</v>
      </c>
      <c r="R24" t="str">
        <f t="shared" si="7"/>
        <v>$G24</v>
      </c>
      <c r="S24" t="str">
        <f t="shared" si="8"/>
        <v>$D24</v>
      </c>
      <c r="T24" t="str" cm="1">
        <f t="array" aca="1" ref="T24" ca="1">IFERROR(VLOOKUP(INDIRECT(S24),Equipe!A:C,3,0),"")</f>
        <v/>
      </c>
    </row>
    <row r="25" spans="4:20" ht="14.25" customHeight="1" x14ac:dyDescent="0.3">
      <c r="D25" s="23"/>
      <c r="E25" s="23"/>
      <c r="F25" s="24"/>
      <c r="G25" s="24"/>
      <c r="H25" s="23"/>
      <c r="I25"/>
    </row>
    <row r="26" spans="4:20" ht="14.25" customHeight="1" x14ac:dyDescent="0.3">
      <c r="D26" s="23"/>
      <c r="E26" s="23"/>
      <c r="F26" s="24"/>
      <c r="G26" s="24"/>
      <c r="H26" s="23"/>
      <c r="I26"/>
    </row>
    <row r="27" spans="4:20" ht="14.25" customHeight="1" x14ac:dyDescent="0.3">
      <c r="I27"/>
    </row>
    <row r="28" spans="4:20" ht="14.25" customHeight="1" x14ac:dyDescent="0.3">
      <c r="D28" s="23"/>
      <c r="E28" s="23"/>
      <c r="F28" s="24"/>
      <c r="G28" s="24"/>
      <c r="H28" s="23"/>
      <c r="I28"/>
    </row>
    <row r="29" spans="4:20" x14ac:dyDescent="0.3">
      <c r="D29" s="23"/>
      <c r="E29" s="23"/>
      <c r="F29" s="24"/>
      <c r="G29" s="24"/>
      <c r="H29" s="23"/>
      <c r="I29"/>
    </row>
    <row r="30" spans="4:20" x14ac:dyDescent="0.3">
      <c r="D30" s="23"/>
      <c r="E30" s="23"/>
      <c r="F30" s="24"/>
      <c r="G30" s="24"/>
      <c r="H30" s="23"/>
      <c r="I30"/>
    </row>
    <row r="31" spans="4:20" x14ac:dyDescent="0.3">
      <c r="D31" s="23"/>
      <c r="E31" s="23"/>
      <c r="F31" s="24"/>
      <c r="G31" s="24"/>
      <c r="H31" s="23"/>
      <c r="I31"/>
    </row>
    <row r="32" spans="4:20" x14ac:dyDescent="0.3">
      <c r="D32" s="23"/>
      <c r="E32" s="23"/>
      <c r="F32" s="24"/>
      <c r="G32" s="24"/>
      <c r="H32" s="23"/>
      <c r="I32"/>
    </row>
    <row r="33" spans="4:20" x14ac:dyDescent="0.3">
      <c r="D33" s="23"/>
      <c r="E33" s="23"/>
      <c r="F33" s="24"/>
      <c r="G33" s="24"/>
      <c r="H33" s="23"/>
      <c r="I33"/>
      <c r="J33" s="21" t="str">
        <f t="shared" ref="J33:J96" ca="1" si="9">IF(K33="x",IF(COUNTIF(K:K,"x")&gt;2,"Aviso (primeiro período)",""),IF(L33="x",IF(COUNTIF(L:L,"x")&gt;1,"Aviso (segundo período)",""),IF(M33="x",IF(COUNTIF(M:M,"x")&gt;1,"Aviso (terceiro período)",""),IF(N33="x",IF(COUNTIF(N:N,"x")&gt;2,"Aviso (quarto período)",""),IF(O33="x",IF(COUNTIF(O:O,"x")&gt;5,"Aviso (quinto período)",""),"")))))</f>
        <v/>
      </c>
      <c r="K33" t="str" cm="1">
        <f t="array" aca="1" ref="K33" ca="1">IF(T33="Sócio",IF(COUNTIF(Opções!$H$2:$H$13,INDIRECT($P33))&gt;0,IF(AND(INDIRECT($Q33)&lt;L$1/24,INDIRECT($R33)&gt;K$1/24),"x",""),""),"")</f>
        <v/>
      </c>
      <c r="L33" t="str" cm="1">
        <f t="array" aca="1" ref="L33" ca="1">IF(T33="Sócio",IF(COUNTIF(Opções!$H$2:$H$13,INDIRECT($P33))&gt;0,IF(AND(INDIRECT($Q33)&lt;M$1/24,INDIRECT($R33)&gt;L$1/24),"x",""),""),"")</f>
        <v/>
      </c>
      <c r="M33" t="str" cm="1">
        <f t="array" aca="1" ref="M33" ca="1">IF(T33="Sócio",IF(COUNTIF(Opções!$H$2:$H$13,INDIRECT($P33))&gt;0,IF(AND(INDIRECT($Q33)&lt;N$1/24,INDIRECT($R33)&gt;M$1/24),"x",""),""),"")</f>
        <v/>
      </c>
      <c r="N33" t="str" cm="1">
        <f t="array" aca="1" ref="N33" ca="1">IF(T33="Sócio",IF(COUNTIF(Opções!$H$2:$H$13,INDIRECT($P33))&gt;0,IF(AND(INDIRECT($Q33)&lt;O$1/24,INDIRECT($R33)&gt;N$1/24),"x",""),""),"")</f>
        <v/>
      </c>
      <c r="O33" t="str" cm="1">
        <f t="array" aca="1" ref="O33" ca="1">IF(T33="Sócio",IF(COUNTIF(Opções!$H$2:$H$13,INDIRECT($P33))&gt;0,IF(AND(INDIRECT($Q33)&lt;P$1/24,INDIRECT($R33)&gt;O$1/24),"x",""),""),"")</f>
        <v/>
      </c>
      <c r="P33" t="str">
        <f t="shared" si="5"/>
        <v>$E33</v>
      </c>
      <c r="Q33" t="str">
        <f t="shared" si="6"/>
        <v>$F33</v>
      </c>
      <c r="R33" t="str">
        <f t="shared" si="7"/>
        <v>$G33</v>
      </c>
      <c r="S33" t="str">
        <f t="shared" si="8"/>
        <v>$D33</v>
      </c>
      <c r="T33" t="str" cm="1">
        <f t="array" aca="1" ref="T33" ca="1">IFERROR(VLOOKUP(INDIRECT(S33),Equipe!A:C,3,0),"")</f>
        <v/>
      </c>
    </row>
    <row r="34" spans="4:20" x14ac:dyDescent="0.3">
      <c r="D34" s="23"/>
      <c r="E34" s="23"/>
      <c r="F34" s="24"/>
      <c r="G34" s="24"/>
      <c r="H34" s="23"/>
      <c r="I34"/>
      <c r="J34" s="21" t="str">
        <f t="shared" ca="1" si="9"/>
        <v/>
      </c>
      <c r="K34" t="str" cm="1">
        <f t="array" aca="1" ref="K34" ca="1">IF(T34="Sócio",IF(COUNTIF(Opções!$H$2:$H$13,INDIRECT($P34))&gt;0,IF(AND(INDIRECT($Q34)&lt;L$1/24,INDIRECT($R34)&gt;K$1/24),"x",""),""),"")</f>
        <v/>
      </c>
      <c r="L34" t="str" cm="1">
        <f t="array" aca="1" ref="L34" ca="1">IF(T34="Sócio",IF(COUNTIF(Opções!$H$2:$H$13,INDIRECT($P34))&gt;0,IF(AND(INDIRECT($Q34)&lt;M$1/24,INDIRECT($R34)&gt;L$1/24),"x",""),""),"")</f>
        <v/>
      </c>
      <c r="M34" t="str" cm="1">
        <f t="array" aca="1" ref="M34" ca="1">IF(T34="Sócio",IF(COUNTIF(Opções!$H$2:$H$13,INDIRECT($P34))&gt;0,IF(AND(INDIRECT($Q34)&lt;N$1/24,INDIRECT($R34)&gt;M$1/24),"x",""),""),"")</f>
        <v/>
      </c>
      <c r="N34" t="str" cm="1">
        <f t="array" aca="1" ref="N34" ca="1">IF(T34="Sócio",IF(COUNTIF(Opções!$H$2:$H$13,INDIRECT($P34))&gt;0,IF(AND(INDIRECT($Q34)&lt;O$1/24,INDIRECT($R34)&gt;N$1/24),"x",""),""),"")</f>
        <v/>
      </c>
      <c r="O34" t="str" cm="1">
        <f t="array" aca="1" ref="O34" ca="1">IF(T34="Sócio",IF(COUNTIF(Opções!$H$2:$H$13,INDIRECT($P34))&gt;0,IF(AND(INDIRECT($Q34)&lt;P$1/24,INDIRECT($R34)&gt;O$1/24),"x",""),""),"")</f>
        <v/>
      </c>
      <c r="P34" t="str">
        <f t="shared" si="5"/>
        <v>$E34</v>
      </c>
      <c r="Q34" t="str">
        <f t="shared" si="6"/>
        <v>$F34</v>
      </c>
      <c r="R34" t="str">
        <f t="shared" si="7"/>
        <v>$G34</v>
      </c>
      <c r="S34" t="str">
        <f t="shared" si="8"/>
        <v>$D34</v>
      </c>
      <c r="T34" t="str" cm="1">
        <f t="array" aca="1" ref="T34" ca="1">IFERROR(VLOOKUP(INDIRECT(S34),Equipe!A:C,3,0),"")</f>
        <v/>
      </c>
    </row>
    <row r="35" spans="4:20" x14ac:dyDescent="0.3">
      <c r="D35" s="23"/>
      <c r="E35" s="23"/>
      <c r="F35" s="24"/>
      <c r="G35" s="24"/>
      <c r="H35" s="23"/>
      <c r="I35"/>
      <c r="J35" s="21" t="str">
        <f t="shared" ca="1" si="9"/>
        <v/>
      </c>
      <c r="K35" t="str" cm="1">
        <f t="array" aca="1" ref="K35" ca="1">IF(T35="Sócio",IF(COUNTIF(Opções!$H$2:$H$13,INDIRECT($P35))&gt;0,IF(AND(INDIRECT($Q35)&lt;L$1/24,INDIRECT($R35)&gt;K$1/24),"x",""),""),"")</f>
        <v/>
      </c>
      <c r="L35" t="str" cm="1">
        <f t="array" aca="1" ref="L35" ca="1">IF(T35="Sócio",IF(COUNTIF(Opções!$H$2:$H$13,INDIRECT($P35))&gt;0,IF(AND(INDIRECT($Q35)&lt;M$1/24,INDIRECT($R35)&gt;L$1/24),"x",""),""),"")</f>
        <v/>
      </c>
      <c r="M35" t="str" cm="1">
        <f t="array" aca="1" ref="M35" ca="1">IF(T35="Sócio",IF(COUNTIF(Opções!$H$2:$H$13,INDIRECT($P35))&gt;0,IF(AND(INDIRECT($Q35)&lt;N$1/24,INDIRECT($R35)&gt;M$1/24),"x",""),""),"")</f>
        <v/>
      </c>
      <c r="N35" t="str" cm="1">
        <f t="array" aca="1" ref="N35" ca="1">IF(T35="Sócio",IF(COUNTIF(Opções!$H$2:$H$13,INDIRECT($P35))&gt;0,IF(AND(INDIRECT($Q35)&lt;O$1/24,INDIRECT($R35)&gt;N$1/24),"x",""),""),"")</f>
        <v/>
      </c>
      <c r="O35" t="str" cm="1">
        <f t="array" aca="1" ref="O35" ca="1">IF(T35="Sócio",IF(COUNTIF(Opções!$H$2:$H$13,INDIRECT($P35))&gt;0,IF(AND(INDIRECT($Q35)&lt;P$1/24,INDIRECT($R35)&gt;O$1/24),"x",""),""),"")</f>
        <v/>
      </c>
      <c r="P35" t="str">
        <f t="shared" si="5"/>
        <v>$E35</v>
      </c>
      <c r="Q35" t="str">
        <f t="shared" si="6"/>
        <v>$F35</v>
      </c>
      <c r="R35" t="str">
        <f t="shared" si="7"/>
        <v>$G35</v>
      </c>
      <c r="S35" t="str">
        <f t="shared" si="8"/>
        <v>$D35</v>
      </c>
      <c r="T35" t="str" cm="1">
        <f t="array" aca="1" ref="T35" ca="1">IFERROR(VLOOKUP(INDIRECT(S35),Equipe!A:C,3,0),"")</f>
        <v/>
      </c>
    </row>
    <row r="36" spans="4:20" x14ac:dyDescent="0.3">
      <c r="D36" s="23"/>
      <c r="E36" s="23"/>
      <c r="F36" s="24"/>
      <c r="G36" s="24"/>
      <c r="H36" s="23"/>
      <c r="I36"/>
      <c r="J36" s="21" t="str">
        <f t="shared" ca="1" si="9"/>
        <v/>
      </c>
      <c r="K36" t="str" cm="1">
        <f t="array" aca="1" ref="K36" ca="1">IF(T36="Sócio",IF(COUNTIF(Opções!$H$2:$H$13,INDIRECT($P36))&gt;0,IF(AND(INDIRECT($Q36)&lt;L$1/24,INDIRECT($R36)&gt;K$1/24),"x",""),""),"")</f>
        <v/>
      </c>
      <c r="L36" t="str" cm="1">
        <f t="array" aca="1" ref="L36" ca="1">IF(T36="Sócio",IF(COUNTIF(Opções!$H$2:$H$13,INDIRECT($P36))&gt;0,IF(AND(INDIRECT($Q36)&lt;M$1/24,INDIRECT($R36)&gt;L$1/24),"x",""),""),"")</f>
        <v/>
      </c>
      <c r="M36" t="str" cm="1">
        <f t="array" aca="1" ref="M36" ca="1">IF(T36="Sócio",IF(COUNTIF(Opções!$H$2:$H$13,INDIRECT($P36))&gt;0,IF(AND(INDIRECT($Q36)&lt;N$1/24,INDIRECT($R36)&gt;M$1/24),"x",""),""),"")</f>
        <v/>
      </c>
      <c r="N36" t="str" cm="1">
        <f t="array" aca="1" ref="N36" ca="1">IF(T36="Sócio",IF(COUNTIF(Opções!$H$2:$H$13,INDIRECT($P36))&gt;0,IF(AND(INDIRECT($Q36)&lt;O$1/24,INDIRECT($R36)&gt;N$1/24),"x",""),""),"")</f>
        <v/>
      </c>
      <c r="O36" t="str" cm="1">
        <f t="array" aca="1" ref="O36" ca="1">IF(T36="Sócio",IF(COUNTIF(Opções!$H$2:$H$13,INDIRECT($P36))&gt;0,IF(AND(INDIRECT($Q36)&lt;P$1/24,INDIRECT($R36)&gt;O$1/24),"x",""),""),"")</f>
        <v/>
      </c>
      <c r="P36" t="str">
        <f t="shared" si="5"/>
        <v>$E36</v>
      </c>
      <c r="Q36" t="str">
        <f t="shared" si="6"/>
        <v>$F36</v>
      </c>
      <c r="R36" t="str">
        <f t="shared" si="7"/>
        <v>$G36</v>
      </c>
      <c r="S36" t="str">
        <f t="shared" si="8"/>
        <v>$D36</v>
      </c>
      <c r="T36" t="str" cm="1">
        <f t="array" aca="1" ref="T36" ca="1">IFERROR(VLOOKUP(INDIRECT(S36),Equipe!A:C,3,0),"")</f>
        <v/>
      </c>
    </row>
    <row r="37" spans="4:20" x14ac:dyDescent="0.3">
      <c r="D37" s="23"/>
      <c r="E37" s="23"/>
      <c r="F37" s="24"/>
      <c r="G37" s="24"/>
      <c r="H37" s="23"/>
      <c r="I37"/>
      <c r="J37" s="21" t="str">
        <f t="shared" ca="1" si="9"/>
        <v/>
      </c>
      <c r="K37" t="str" cm="1">
        <f t="array" aca="1" ref="K37" ca="1">IF(T37="Sócio",IF(COUNTIF(Opções!$H$2:$H$13,INDIRECT($P37))&gt;0,IF(AND(INDIRECT($Q37)&lt;L$1/24,INDIRECT($R37)&gt;K$1/24),"x",""),""),"")</f>
        <v/>
      </c>
      <c r="L37" t="str" cm="1">
        <f t="array" aca="1" ref="L37" ca="1">IF(T37="Sócio",IF(COUNTIF(Opções!$H$2:$H$13,INDIRECT($P37))&gt;0,IF(AND(INDIRECT($Q37)&lt;M$1/24,INDIRECT($R37)&gt;L$1/24),"x",""),""),"")</f>
        <v/>
      </c>
      <c r="M37" t="str" cm="1">
        <f t="array" aca="1" ref="M37" ca="1">IF(T37="Sócio",IF(COUNTIF(Opções!$H$2:$H$13,INDIRECT($P37))&gt;0,IF(AND(INDIRECT($Q37)&lt;N$1/24,INDIRECT($R37)&gt;M$1/24),"x",""),""),"")</f>
        <v/>
      </c>
      <c r="N37" t="str" cm="1">
        <f t="array" aca="1" ref="N37" ca="1">IF(T37="Sócio",IF(COUNTIF(Opções!$H$2:$H$13,INDIRECT($P37))&gt;0,IF(AND(INDIRECT($Q37)&lt;O$1/24,INDIRECT($R37)&gt;N$1/24),"x",""),""),"")</f>
        <v/>
      </c>
      <c r="O37" t="str" cm="1">
        <f t="array" aca="1" ref="O37" ca="1">IF(T37="Sócio",IF(COUNTIF(Opções!$H$2:$H$13,INDIRECT($P37))&gt;0,IF(AND(INDIRECT($Q37)&lt;P$1/24,INDIRECT($R37)&gt;O$1/24),"x",""),""),"")</f>
        <v/>
      </c>
      <c r="P37" t="str">
        <f t="shared" si="5"/>
        <v>$E37</v>
      </c>
      <c r="Q37" t="str">
        <f t="shared" si="6"/>
        <v>$F37</v>
      </c>
      <c r="R37" t="str">
        <f t="shared" si="7"/>
        <v>$G37</v>
      </c>
      <c r="S37" t="str">
        <f t="shared" si="8"/>
        <v>$D37</v>
      </c>
      <c r="T37" t="str" cm="1">
        <f t="array" aca="1" ref="T37" ca="1">IFERROR(VLOOKUP(INDIRECT(S37),Equipe!A:C,3,0),"")</f>
        <v/>
      </c>
    </row>
    <row r="38" spans="4:20" x14ac:dyDescent="0.3">
      <c r="D38" s="23"/>
      <c r="E38" s="23"/>
      <c r="F38" s="24"/>
      <c r="G38" s="24"/>
      <c r="H38" s="23"/>
      <c r="I38"/>
      <c r="J38" s="21" t="str">
        <f t="shared" ca="1" si="9"/>
        <v/>
      </c>
      <c r="K38" t="str" cm="1">
        <f t="array" aca="1" ref="K38" ca="1">IF(T38="Sócio",IF(COUNTIF(Opções!$H$2:$H$13,INDIRECT($P38))&gt;0,IF(AND(INDIRECT($Q38)&lt;L$1/24,INDIRECT($R38)&gt;K$1/24),"x",""),""),"")</f>
        <v/>
      </c>
      <c r="L38" t="str" cm="1">
        <f t="array" aca="1" ref="L38" ca="1">IF(T38="Sócio",IF(COUNTIF(Opções!$H$2:$H$13,INDIRECT($P38))&gt;0,IF(AND(INDIRECT($Q38)&lt;M$1/24,INDIRECT($R38)&gt;L$1/24),"x",""),""),"")</f>
        <v/>
      </c>
      <c r="M38" t="str" cm="1">
        <f t="array" aca="1" ref="M38" ca="1">IF(T38="Sócio",IF(COUNTIF(Opções!$H$2:$H$13,INDIRECT($P38))&gt;0,IF(AND(INDIRECT($Q38)&lt;N$1/24,INDIRECT($R38)&gt;M$1/24),"x",""),""),"")</f>
        <v/>
      </c>
      <c r="N38" t="str" cm="1">
        <f t="array" aca="1" ref="N38" ca="1">IF(T38="Sócio",IF(COUNTIF(Opções!$H$2:$H$13,INDIRECT($P38))&gt;0,IF(AND(INDIRECT($Q38)&lt;O$1/24,INDIRECT($R38)&gt;N$1/24),"x",""),""),"")</f>
        <v/>
      </c>
      <c r="O38" t="str" cm="1">
        <f t="array" aca="1" ref="O38" ca="1">IF(T38="Sócio",IF(COUNTIF(Opções!$H$2:$H$13,INDIRECT($P38))&gt;0,IF(AND(INDIRECT($Q38)&lt;P$1/24,INDIRECT($R38)&gt;O$1/24),"x",""),""),"")</f>
        <v/>
      </c>
      <c r="P38" t="str">
        <f t="shared" si="5"/>
        <v>$E38</v>
      </c>
      <c r="Q38" t="str">
        <f t="shared" si="6"/>
        <v>$F38</v>
      </c>
      <c r="R38" t="str">
        <f t="shared" si="7"/>
        <v>$G38</v>
      </c>
      <c r="S38" t="str">
        <f t="shared" si="8"/>
        <v>$D38</v>
      </c>
      <c r="T38" t="str" cm="1">
        <f t="array" aca="1" ref="T38" ca="1">IFERROR(VLOOKUP(INDIRECT(S38),Equipe!A:C,3,0),"")</f>
        <v/>
      </c>
    </row>
    <row r="39" spans="4:20" x14ac:dyDescent="0.3">
      <c r="D39" s="23"/>
      <c r="E39" s="23"/>
      <c r="F39" s="24"/>
      <c r="G39" s="24"/>
      <c r="H39" s="23"/>
      <c r="I39"/>
      <c r="J39" s="21" t="str">
        <f t="shared" ca="1" si="9"/>
        <v/>
      </c>
      <c r="K39" t="str" cm="1">
        <f t="array" aca="1" ref="K39" ca="1">IF(T39="Sócio",IF(COUNTIF(Opções!$H$2:$H$13,INDIRECT($P39))&gt;0,IF(AND(INDIRECT($Q39)&lt;L$1/24,INDIRECT($R39)&gt;K$1/24),"x",""),""),"")</f>
        <v/>
      </c>
      <c r="L39" t="str" cm="1">
        <f t="array" aca="1" ref="L39" ca="1">IF(T39="Sócio",IF(COUNTIF(Opções!$H$2:$H$13,INDIRECT($P39))&gt;0,IF(AND(INDIRECT($Q39)&lt;M$1/24,INDIRECT($R39)&gt;L$1/24),"x",""),""),"")</f>
        <v/>
      </c>
      <c r="M39" t="str" cm="1">
        <f t="array" aca="1" ref="M39" ca="1">IF(T39="Sócio",IF(COUNTIF(Opções!$H$2:$H$13,INDIRECT($P39))&gt;0,IF(AND(INDIRECT($Q39)&lt;N$1/24,INDIRECT($R39)&gt;M$1/24),"x",""),""),"")</f>
        <v/>
      </c>
      <c r="N39" t="str" cm="1">
        <f t="array" aca="1" ref="N39" ca="1">IF(T39="Sócio",IF(COUNTIF(Opções!$H$2:$H$13,INDIRECT($P39))&gt;0,IF(AND(INDIRECT($Q39)&lt;O$1/24,INDIRECT($R39)&gt;N$1/24),"x",""),""),"")</f>
        <v/>
      </c>
      <c r="O39" t="str" cm="1">
        <f t="array" aca="1" ref="O39" ca="1">IF(T39="Sócio",IF(COUNTIF(Opções!$H$2:$H$13,INDIRECT($P39))&gt;0,IF(AND(INDIRECT($Q39)&lt;P$1/24,INDIRECT($R39)&gt;O$1/24),"x",""),""),"")</f>
        <v/>
      </c>
      <c r="P39" t="str">
        <f t="shared" si="5"/>
        <v>$E39</v>
      </c>
      <c r="Q39" t="str">
        <f t="shared" si="6"/>
        <v>$F39</v>
      </c>
      <c r="R39" t="str">
        <f t="shared" si="7"/>
        <v>$G39</v>
      </c>
      <c r="S39" t="str">
        <f t="shared" si="8"/>
        <v>$D39</v>
      </c>
      <c r="T39" t="str" cm="1">
        <f t="array" aca="1" ref="T39" ca="1">IFERROR(VLOOKUP(INDIRECT(S39),Equipe!A:C,3,0),"")</f>
        <v/>
      </c>
    </row>
    <row r="40" spans="4:20" x14ac:dyDescent="0.3">
      <c r="D40" s="23"/>
      <c r="E40" s="23"/>
      <c r="F40" s="24"/>
      <c r="G40" s="24"/>
      <c r="H40" s="23"/>
      <c r="I40"/>
      <c r="J40" s="21" t="str">
        <f t="shared" ca="1" si="9"/>
        <v/>
      </c>
      <c r="K40" t="str" cm="1">
        <f t="array" aca="1" ref="K40" ca="1">IF(T40="Sócio",IF(COUNTIF(Opções!$H$2:$H$13,INDIRECT($P40))&gt;0,IF(AND(INDIRECT($Q40)&lt;L$1/24,INDIRECT($R40)&gt;K$1/24),"x",""),""),"")</f>
        <v/>
      </c>
      <c r="L40" t="str" cm="1">
        <f t="array" aca="1" ref="L40" ca="1">IF(T40="Sócio",IF(COUNTIF(Opções!$H$2:$H$13,INDIRECT($P40))&gt;0,IF(AND(INDIRECT($Q40)&lt;M$1/24,INDIRECT($R40)&gt;L$1/24),"x",""),""),"")</f>
        <v/>
      </c>
      <c r="M40" t="str" cm="1">
        <f t="array" aca="1" ref="M40" ca="1">IF(T40="Sócio",IF(COUNTIF(Opções!$H$2:$H$13,INDIRECT($P40))&gt;0,IF(AND(INDIRECT($Q40)&lt;N$1/24,INDIRECT($R40)&gt;M$1/24),"x",""),""),"")</f>
        <v/>
      </c>
      <c r="N40" t="str" cm="1">
        <f t="array" aca="1" ref="N40" ca="1">IF(T40="Sócio",IF(COUNTIF(Opções!$H$2:$H$13,INDIRECT($P40))&gt;0,IF(AND(INDIRECT($Q40)&lt;O$1/24,INDIRECT($R40)&gt;N$1/24),"x",""),""),"")</f>
        <v/>
      </c>
      <c r="O40" t="str" cm="1">
        <f t="array" aca="1" ref="O40" ca="1">IF(T40="Sócio",IF(COUNTIF(Opções!$H$2:$H$13,INDIRECT($P40))&gt;0,IF(AND(INDIRECT($Q40)&lt;P$1/24,INDIRECT($R40)&gt;O$1/24),"x",""),""),"")</f>
        <v/>
      </c>
      <c r="P40" t="str">
        <f t="shared" si="5"/>
        <v>$E40</v>
      </c>
      <c r="Q40" t="str">
        <f t="shared" si="6"/>
        <v>$F40</v>
      </c>
      <c r="R40" t="str">
        <f t="shared" si="7"/>
        <v>$G40</v>
      </c>
      <c r="S40" t="str">
        <f t="shared" si="8"/>
        <v>$D40</v>
      </c>
      <c r="T40" t="str" cm="1">
        <f t="array" aca="1" ref="T40" ca="1">IFERROR(VLOOKUP(INDIRECT(S40),Equipe!A:C,3,0),"")</f>
        <v/>
      </c>
    </row>
    <row r="41" spans="4:20" x14ac:dyDescent="0.3">
      <c r="D41" s="23"/>
      <c r="E41" s="23"/>
      <c r="F41" s="24"/>
      <c r="G41" s="24"/>
      <c r="H41" s="23"/>
      <c r="I41"/>
      <c r="J41" s="21" t="str">
        <f t="shared" ca="1" si="9"/>
        <v/>
      </c>
      <c r="K41" t="str" cm="1">
        <f t="array" aca="1" ref="K41" ca="1">IF(T41="Sócio",IF(COUNTIF(Opções!$H$2:$H$13,INDIRECT($P41))&gt;0,IF(AND(INDIRECT($Q41)&lt;L$1/24,INDIRECT($R41)&gt;K$1/24),"x",""),""),"")</f>
        <v/>
      </c>
      <c r="L41" t="str" cm="1">
        <f t="array" aca="1" ref="L41" ca="1">IF(T41="Sócio",IF(COUNTIF(Opções!$H$2:$H$13,INDIRECT($P41))&gt;0,IF(AND(INDIRECT($Q41)&lt;M$1/24,INDIRECT($R41)&gt;L$1/24),"x",""),""),"")</f>
        <v/>
      </c>
      <c r="M41" t="str" cm="1">
        <f t="array" aca="1" ref="M41" ca="1">IF(T41="Sócio",IF(COUNTIF(Opções!$H$2:$H$13,INDIRECT($P41))&gt;0,IF(AND(INDIRECT($Q41)&lt;N$1/24,INDIRECT($R41)&gt;M$1/24),"x",""),""),"")</f>
        <v/>
      </c>
      <c r="N41" t="str" cm="1">
        <f t="array" aca="1" ref="N41" ca="1">IF(T41="Sócio",IF(COUNTIF(Opções!$H$2:$H$13,INDIRECT($P41))&gt;0,IF(AND(INDIRECT($Q41)&lt;O$1/24,INDIRECT($R41)&gt;N$1/24),"x",""),""),"")</f>
        <v/>
      </c>
      <c r="O41" t="str" cm="1">
        <f t="array" aca="1" ref="O41" ca="1">IF(T41="Sócio",IF(COUNTIF(Opções!$H$2:$H$13,INDIRECT($P41))&gt;0,IF(AND(INDIRECT($Q41)&lt;P$1/24,INDIRECT($R41)&gt;O$1/24),"x",""),""),"")</f>
        <v/>
      </c>
      <c r="P41" t="str">
        <f t="shared" si="5"/>
        <v>$E41</v>
      </c>
      <c r="Q41" t="str">
        <f t="shared" si="6"/>
        <v>$F41</v>
      </c>
      <c r="R41" t="str">
        <f t="shared" si="7"/>
        <v>$G41</v>
      </c>
      <c r="S41" t="str">
        <f t="shared" si="8"/>
        <v>$D41</v>
      </c>
      <c r="T41" t="str" cm="1">
        <f t="array" aca="1" ref="T41" ca="1">IFERROR(VLOOKUP(INDIRECT(S41),Equipe!A:C,3,0),"")</f>
        <v/>
      </c>
    </row>
    <row r="42" spans="4:20" x14ac:dyDescent="0.3">
      <c r="D42" s="23"/>
      <c r="E42" s="23"/>
      <c r="F42" s="24"/>
      <c r="G42" s="24"/>
      <c r="H42" s="23"/>
      <c r="I42"/>
      <c r="J42" s="21" t="str">
        <f t="shared" ca="1" si="9"/>
        <v/>
      </c>
      <c r="K42" t="str" cm="1">
        <f t="array" aca="1" ref="K42" ca="1">IF(T42="Sócio",IF(COUNTIF(Opções!$H$2:$H$13,INDIRECT($P42))&gt;0,IF(AND(INDIRECT($Q42)&lt;L$1/24,INDIRECT($R42)&gt;K$1/24),"x",""),""),"")</f>
        <v/>
      </c>
      <c r="L42" t="str" cm="1">
        <f t="array" aca="1" ref="L42" ca="1">IF(T42="Sócio",IF(COUNTIF(Opções!$H$2:$H$13,INDIRECT($P42))&gt;0,IF(AND(INDIRECT($Q42)&lt;M$1/24,INDIRECT($R42)&gt;L$1/24),"x",""),""),"")</f>
        <v/>
      </c>
      <c r="M42" t="str" cm="1">
        <f t="array" aca="1" ref="M42" ca="1">IF(T42="Sócio",IF(COUNTIF(Opções!$H$2:$H$13,INDIRECT($P42))&gt;0,IF(AND(INDIRECT($Q42)&lt;N$1/24,INDIRECT($R42)&gt;M$1/24),"x",""),""),"")</f>
        <v/>
      </c>
      <c r="N42" t="str" cm="1">
        <f t="array" aca="1" ref="N42" ca="1">IF(T42="Sócio",IF(COUNTIF(Opções!$H$2:$H$13,INDIRECT($P42))&gt;0,IF(AND(INDIRECT($Q42)&lt;O$1/24,INDIRECT($R42)&gt;N$1/24),"x",""),""),"")</f>
        <v/>
      </c>
      <c r="O42" t="str" cm="1">
        <f t="array" aca="1" ref="O42" ca="1">IF(T42="Sócio",IF(COUNTIF(Opções!$H$2:$H$13,INDIRECT($P42))&gt;0,IF(AND(INDIRECT($Q42)&lt;P$1/24,INDIRECT($R42)&gt;O$1/24),"x",""),""),"")</f>
        <v/>
      </c>
      <c r="P42" t="str">
        <f t="shared" si="5"/>
        <v>$E42</v>
      </c>
      <c r="Q42" t="str">
        <f t="shared" si="6"/>
        <v>$F42</v>
      </c>
      <c r="R42" t="str">
        <f t="shared" si="7"/>
        <v>$G42</v>
      </c>
      <c r="S42" t="str">
        <f t="shared" si="8"/>
        <v>$D42</v>
      </c>
      <c r="T42" t="str" cm="1">
        <f t="array" aca="1" ref="T42" ca="1">IFERROR(VLOOKUP(INDIRECT(S42),Equipe!A:C,3,0),"")</f>
        <v/>
      </c>
    </row>
    <row r="43" spans="4:20" x14ac:dyDescent="0.3">
      <c r="D43" s="23"/>
      <c r="E43" s="23"/>
      <c r="F43" s="24"/>
      <c r="G43" s="24"/>
      <c r="H43" s="23"/>
      <c r="I43"/>
      <c r="J43" s="21" t="str">
        <f t="shared" ca="1" si="9"/>
        <v/>
      </c>
      <c r="K43" t="str" cm="1">
        <f t="array" aca="1" ref="K43" ca="1">IF(T43="Sócio",IF(COUNTIF(Opções!$H$2:$H$13,INDIRECT($P43))&gt;0,IF(AND(INDIRECT($Q43)&lt;L$1/24,INDIRECT($R43)&gt;K$1/24),"x",""),""),"")</f>
        <v/>
      </c>
      <c r="L43" t="str" cm="1">
        <f t="array" aca="1" ref="L43" ca="1">IF(T43="Sócio",IF(COUNTIF(Opções!$H$2:$H$13,INDIRECT($P43))&gt;0,IF(AND(INDIRECT($Q43)&lt;M$1/24,INDIRECT($R43)&gt;L$1/24),"x",""),""),"")</f>
        <v/>
      </c>
      <c r="M43" t="str" cm="1">
        <f t="array" aca="1" ref="M43" ca="1">IF(T43="Sócio",IF(COUNTIF(Opções!$H$2:$H$13,INDIRECT($P43))&gt;0,IF(AND(INDIRECT($Q43)&lt;N$1/24,INDIRECT($R43)&gt;M$1/24),"x",""),""),"")</f>
        <v/>
      </c>
      <c r="N43" t="str" cm="1">
        <f t="array" aca="1" ref="N43" ca="1">IF(T43="Sócio",IF(COUNTIF(Opções!$H$2:$H$13,INDIRECT($P43))&gt;0,IF(AND(INDIRECT($Q43)&lt;O$1/24,INDIRECT($R43)&gt;N$1/24),"x",""),""),"")</f>
        <v/>
      </c>
      <c r="O43" t="str" cm="1">
        <f t="array" aca="1" ref="O43" ca="1">IF(T43="Sócio",IF(COUNTIF(Opções!$H$2:$H$13,INDIRECT($P43))&gt;0,IF(AND(INDIRECT($Q43)&lt;P$1/24,INDIRECT($R43)&gt;O$1/24),"x",""),""),"")</f>
        <v/>
      </c>
      <c r="P43" t="str">
        <f t="shared" si="5"/>
        <v>$E43</v>
      </c>
      <c r="Q43" t="str">
        <f t="shared" si="6"/>
        <v>$F43</v>
      </c>
      <c r="R43" t="str">
        <f t="shared" si="7"/>
        <v>$G43</v>
      </c>
      <c r="S43" t="str">
        <f t="shared" si="8"/>
        <v>$D43</v>
      </c>
      <c r="T43" t="str" cm="1">
        <f t="array" aca="1" ref="T43" ca="1">IFERROR(VLOOKUP(INDIRECT(S43),Equipe!A:C,3,0),"")</f>
        <v/>
      </c>
    </row>
    <row r="44" spans="4:20" x14ac:dyDescent="0.3">
      <c r="D44" s="23"/>
      <c r="E44" s="23"/>
      <c r="F44" s="24"/>
      <c r="G44" s="24"/>
      <c r="H44" s="23"/>
      <c r="I44"/>
      <c r="J44" s="21" t="str">
        <f t="shared" ca="1" si="9"/>
        <v/>
      </c>
      <c r="K44" t="str" cm="1">
        <f t="array" aca="1" ref="K44" ca="1">IF(T44="Sócio",IF(COUNTIF(Opções!$H$2:$H$13,INDIRECT($P44))&gt;0,IF(AND(INDIRECT($Q44)&lt;L$1/24,INDIRECT($R44)&gt;K$1/24),"x",""),""),"")</f>
        <v/>
      </c>
      <c r="L44" t="str" cm="1">
        <f t="array" aca="1" ref="L44" ca="1">IF(T44="Sócio",IF(COUNTIF(Opções!$H$2:$H$13,INDIRECT($P44))&gt;0,IF(AND(INDIRECT($Q44)&lt;M$1/24,INDIRECT($R44)&gt;L$1/24),"x",""),""),"")</f>
        <v/>
      </c>
      <c r="M44" t="str" cm="1">
        <f t="array" aca="1" ref="M44" ca="1">IF(T44="Sócio",IF(COUNTIF(Opções!$H$2:$H$13,INDIRECT($P44))&gt;0,IF(AND(INDIRECT($Q44)&lt;N$1/24,INDIRECT($R44)&gt;M$1/24),"x",""),""),"")</f>
        <v/>
      </c>
      <c r="N44" t="str" cm="1">
        <f t="array" aca="1" ref="N44" ca="1">IF(T44="Sócio",IF(COUNTIF(Opções!$H$2:$H$13,INDIRECT($P44))&gt;0,IF(AND(INDIRECT($Q44)&lt;O$1/24,INDIRECT($R44)&gt;N$1/24),"x",""),""),"")</f>
        <v/>
      </c>
      <c r="O44" t="str" cm="1">
        <f t="array" aca="1" ref="O44" ca="1">IF(T44="Sócio",IF(COUNTIF(Opções!$H$2:$H$13,INDIRECT($P44))&gt;0,IF(AND(INDIRECT($Q44)&lt;P$1/24,INDIRECT($R44)&gt;O$1/24),"x",""),""),"")</f>
        <v/>
      </c>
      <c r="P44" t="str">
        <f t="shared" si="5"/>
        <v>$E44</v>
      </c>
      <c r="Q44" t="str">
        <f t="shared" si="6"/>
        <v>$F44</v>
      </c>
      <c r="R44" t="str">
        <f t="shared" si="7"/>
        <v>$G44</v>
      </c>
      <c r="S44" t="str">
        <f t="shared" si="8"/>
        <v>$D44</v>
      </c>
      <c r="T44" t="str" cm="1">
        <f t="array" aca="1" ref="T44" ca="1">IFERROR(VLOOKUP(INDIRECT(S44),Equipe!A:C,3,0),"")</f>
        <v/>
      </c>
    </row>
    <row r="45" spans="4:20" x14ac:dyDescent="0.3">
      <c r="D45" s="23"/>
      <c r="E45" s="23"/>
      <c r="F45" s="24"/>
      <c r="G45" s="24"/>
      <c r="H45" s="23"/>
      <c r="I45"/>
      <c r="J45" s="21" t="str">
        <f t="shared" ca="1" si="9"/>
        <v/>
      </c>
      <c r="K45" t="str" cm="1">
        <f t="array" aca="1" ref="K45" ca="1">IF(T45="Sócio",IF(COUNTIF(Opções!$H$2:$H$13,INDIRECT($P45))&gt;0,IF(AND(INDIRECT($Q45)&lt;L$1/24,INDIRECT($R45)&gt;K$1/24),"x",""),""),"")</f>
        <v/>
      </c>
      <c r="L45" t="str" cm="1">
        <f t="array" aca="1" ref="L45" ca="1">IF(T45="Sócio",IF(COUNTIF(Opções!$H$2:$H$13,INDIRECT($P45))&gt;0,IF(AND(INDIRECT($Q45)&lt;M$1/24,INDIRECT($R45)&gt;L$1/24),"x",""),""),"")</f>
        <v/>
      </c>
      <c r="M45" t="str" cm="1">
        <f t="array" aca="1" ref="M45" ca="1">IF(T45="Sócio",IF(COUNTIF(Opções!$H$2:$H$13,INDIRECT($P45))&gt;0,IF(AND(INDIRECT($Q45)&lt;N$1/24,INDIRECT($R45)&gt;M$1/24),"x",""),""),"")</f>
        <v/>
      </c>
      <c r="N45" t="str" cm="1">
        <f t="array" aca="1" ref="N45" ca="1">IF(T45="Sócio",IF(COUNTIF(Opções!$H$2:$H$13,INDIRECT($P45))&gt;0,IF(AND(INDIRECT($Q45)&lt;O$1/24,INDIRECT($R45)&gt;N$1/24),"x",""),""),"")</f>
        <v/>
      </c>
      <c r="O45" t="str" cm="1">
        <f t="array" aca="1" ref="O45" ca="1">IF(T45="Sócio",IF(COUNTIF(Opções!$H$2:$H$13,INDIRECT($P45))&gt;0,IF(AND(INDIRECT($Q45)&lt;P$1/24,INDIRECT($R45)&gt;O$1/24),"x",""),""),"")</f>
        <v/>
      </c>
      <c r="P45" t="str">
        <f t="shared" si="5"/>
        <v>$E45</v>
      </c>
      <c r="Q45" t="str">
        <f t="shared" si="6"/>
        <v>$F45</v>
      </c>
      <c r="R45" t="str">
        <f t="shared" si="7"/>
        <v>$G45</v>
      </c>
      <c r="S45" t="str">
        <f t="shared" si="8"/>
        <v>$D45</v>
      </c>
      <c r="T45" t="str" cm="1">
        <f t="array" aca="1" ref="T45" ca="1">IFERROR(VLOOKUP(INDIRECT(S45),Equipe!A:C,3,0),"")</f>
        <v/>
      </c>
    </row>
    <row r="46" spans="4:20" x14ac:dyDescent="0.3">
      <c r="D46" s="23"/>
      <c r="E46" s="23"/>
      <c r="F46" s="24"/>
      <c r="G46" s="24"/>
      <c r="H46" s="23"/>
      <c r="I46"/>
      <c r="J46" s="21" t="str">
        <f t="shared" ca="1" si="9"/>
        <v/>
      </c>
      <c r="K46" t="str" cm="1">
        <f t="array" aca="1" ref="K46" ca="1">IF(T46="Sócio",IF(COUNTIF(Opções!$H$2:$H$13,INDIRECT($P46))&gt;0,IF(AND(INDIRECT($Q46)&lt;L$1/24,INDIRECT($R46)&gt;K$1/24),"x",""),""),"")</f>
        <v/>
      </c>
      <c r="L46" t="str" cm="1">
        <f t="array" aca="1" ref="L46" ca="1">IF(T46="Sócio",IF(COUNTIF(Opções!$H$2:$H$13,INDIRECT($P46))&gt;0,IF(AND(INDIRECT($Q46)&lt;M$1/24,INDIRECT($R46)&gt;L$1/24),"x",""),""),"")</f>
        <v/>
      </c>
      <c r="M46" t="str" cm="1">
        <f t="array" aca="1" ref="M46" ca="1">IF(T46="Sócio",IF(COUNTIF(Opções!$H$2:$H$13,INDIRECT($P46))&gt;0,IF(AND(INDIRECT($Q46)&lt;N$1/24,INDIRECT($R46)&gt;M$1/24),"x",""),""),"")</f>
        <v/>
      </c>
      <c r="N46" t="str" cm="1">
        <f t="array" aca="1" ref="N46" ca="1">IF(T46="Sócio",IF(COUNTIF(Opções!$H$2:$H$13,INDIRECT($P46))&gt;0,IF(AND(INDIRECT($Q46)&lt;O$1/24,INDIRECT($R46)&gt;N$1/24),"x",""),""),"")</f>
        <v/>
      </c>
      <c r="O46" t="str" cm="1">
        <f t="array" aca="1" ref="O46" ca="1">IF(T46="Sócio",IF(COUNTIF(Opções!$H$2:$H$13,INDIRECT($P46))&gt;0,IF(AND(INDIRECT($Q46)&lt;P$1/24,INDIRECT($R46)&gt;O$1/24),"x",""),""),"")</f>
        <v/>
      </c>
      <c r="P46" t="str">
        <f t="shared" si="5"/>
        <v>$E46</v>
      </c>
      <c r="Q46" t="str">
        <f t="shared" si="6"/>
        <v>$F46</v>
      </c>
      <c r="R46" t="str">
        <f t="shared" si="7"/>
        <v>$G46</v>
      </c>
      <c r="S46" t="str">
        <f t="shared" si="8"/>
        <v>$D46</v>
      </c>
      <c r="T46" t="str" cm="1">
        <f t="array" aca="1" ref="T46" ca="1">IFERROR(VLOOKUP(INDIRECT(S46),Equipe!A:C,3,0),"")</f>
        <v/>
      </c>
    </row>
    <row r="47" spans="4:20" x14ac:dyDescent="0.3">
      <c r="D47" s="23"/>
      <c r="E47" s="23"/>
      <c r="F47" s="24"/>
      <c r="G47" s="24"/>
      <c r="H47" s="23"/>
      <c r="I47"/>
      <c r="J47" s="21" t="str">
        <f t="shared" ca="1" si="9"/>
        <v/>
      </c>
      <c r="K47" t="str" cm="1">
        <f t="array" aca="1" ref="K47" ca="1">IF(T47="Sócio",IF(COUNTIF(Opções!$H$2:$H$13,INDIRECT($P47))&gt;0,IF(AND(INDIRECT($Q47)&lt;L$1/24,INDIRECT($R47)&gt;K$1/24),"x",""),""),"")</f>
        <v/>
      </c>
      <c r="L47" t="str" cm="1">
        <f t="array" aca="1" ref="L47" ca="1">IF(T47="Sócio",IF(COUNTIF(Opções!$H$2:$H$13,INDIRECT($P47))&gt;0,IF(AND(INDIRECT($Q47)&lt;M$1/24,INDIRECT($R47)&gt;L$1/24),"x",""),""),"")</f>
        <v/>
      </c>
      <c r="M47" t="str" cm="1">
        <f t="array" aca="1" ref="M47" ca="1">IF(T47="Sócio",IF(COUNTIF(Opções!$H$2:$H$13,INDIRECT($P47))&gt;0,IF(AND(INDIRECT($Q47)&lt;N$1/24,INDIRECT($R47)&gt;M$1/24),"x",""),""),"")</f>
        <v/>
      </c>
      <c r="N47" t="str" cm="1">
        <f t="array" aca="1" ref="N47" ca="1">IF(T47="Sócio",IF(COUNTIF(Opções!$H$2:$H$13,INDIRECT($P47))&gt;0,IF(AND(INDIRECT($Q47)&lt;O$1/24,INDIRECT($R47)&gt;N$1/24),"x",""),""),"")</f>
        <v/>
      </c>
      <c r="O47" t="str" cm="1">
        <f t="array" aca="1" ref="O47" ca="1">IF(T47="Sócio",IF(COUNTIF(Opções!$H$2:$H$13,INDIRECT($P47))&gt;0,IF(AND(INDIRECT($Q47)&lt;P$1/24,INDIRECT($R47)&gt;O$1/24),"x",""),""),"")</f>
        <v/>
      </c>
      <c r="P47" t="str">
        <f t="shared" si="5"/>
        <v>$E47</v>
      </c>
      <c r="Q47" t="str">
        <f t="shared" si="6"/>
        <v>$F47</v>
      </c>
      <c r="R47" t="str">
        <f t="shared" si="7"/>
        <v>$G47</v>
      </c>
      <c r="S47" t="str">
        <f t="shared" si="8"/>
        <v>$D47</v>
      </c>
      <c r="T47" t="str" cm="1">
        <f t="array" aca="1" ref="T47" ca="1">IFERROR(VLOOKUP(INDIRECT(S47),Equipe!A:C,3,0),"")</f>
        <v/>
      </c>
    </row>
    <row r="48" spans="4:20" x14ac:dyDescent="0.3">
      <c r="D48" s="23"/>
      <c r="E48" s="23"/>
      <c r="F48" s="24"/>
      <c r="G48" s="24"/>
      <c r="H48" s="23"/>
      <c r="I48"/>
      <c r="J48" s="21" t="str">
        <f t="shared" ca="1" si="9"/>
        <v/>
      </c>
      <c r="K48" t="str" cm="1">
        <f t="array" aca="1" ref="K48" ca="1">IF(T48="Sócio",IF(COUNTIF(Opções!$H$2:$H$13,INDIRECT($P48))&gt;0,IF(AND(INDIRECT($Q48)&lt;L$1/24,INDIRECT($R48)&gt;K$1/24),"x",""),""),"")</f>
        <v/>
      </c>
      <c r="L48" t="str" cm="1">
        <f t="array" aca="1" ref="L48" ca="1">IF(T48="Sócio",IF(COUNTIF(Opções!$H$2:$H$13,INDIRECT($P48))&gt;0,IF(AND(INDIRECT($Q48)&lt;M$1/24,INDIRECT($R48)&gt;L$1/24),"x",""),""),"")</f>
        <v/>
      </c>
      <c r="M48" t="str" cm="1">
        <f t="array" aca="1" ref="M48" ca="1">IF(T48="Sócio",IF(COUNTIF(Opções!$H$2:$H$13,INDIRECT($P48))&gt;0,IF(AND(INDIRECT($Q48)&lt;N$1/24,INDIRECT($R48)&gt;M$1/24),"x",""),""),"")</f>
        <v/>
      </c>
      <c r="N48" t="str" cm="1">
        <f t="array" aca="1" ref="N48" ca="1">IF(T48="Sócio",IF(COUNTIF(Opções!$H$2:$H$13,INDIRECT($P48))&gt;0,IF(AND(INDIRECT($Q48)&lt;O$1/24,INDIRECT($R48)&gt;N$1/24),"x",""),""),"")</f>
        <v/>
      </c>
      <c r="O48" t="str" cm="1">
        <f t="array" aca="1" ref="O48" ca="1">IF(T48="Sócio",IF(COUNTIF(Opções!$H$2:$H$13,INDIRECT($P48))&gt;0,IF(AND(INDIRECT($Q48)&lt;P$1/24,INDIRECT($R48)&gt;O$1/24),"x",""),""),"")</f>
        <v/>
      </c>
      <c r="P48" t="str">
        <f t="shared" si="5"/>
        <v>$E48</v>
      </c>
      <c r="Q48" t="str">
        <f t="shared" si="6"/>
        <v>$F48</v>
      </c>
      <c r="R48" t="str">
        <f t="shared" si="7"/>
        <v>$G48</v>
      </c>
      <c r="S48" t="str">
        <f t="shared" si="8"/>
        <v>$D48</v>
      </c>
      <c r="T48" t="str" cm="1">
        <f t="array" aca="1" ref="T48" ca="1">IFERROR(VLOOKUP(INDIRECT(S48),Equipe!A:C,3,0),"")</f>
        <v/>
      </c>
    </row>
    <row r="49" spans="4:20" x14ac:dyDescent="0.3">
      <c r="D49" s="23"/>
      <c r="E49" s="23"/>
      <c r="F49" s="24"/>
      <c r="G49" s="24"/>
      <c r="H49" s="23"/>
      <c r="I49"/>
      <c r="J49" s="21" t="str">
        <f t="shared" ca="1" si="9"/>
        <v/>
      </c>
      <c r="K49" t="str" cm="1">
        <f t="array" aca="1" ref="K49" ca="1">IF(T49="Sócio",IF(COUNTIF(Opções!$H$2:$H$13,INDIRECT($P49))&gt;0,IF(AND(INDIRECT($Q49)&lt;L$1/24,INDIRECT($R49)&gt;K$1/24),"x",""),""),"")</f>
        <v/>
      </c>
      <c r="L49" t="str" cm="1">
        <f t="array" aca="1" ref="L49" ca="1">IF(T49="Sócio",IF(COUNTIF(Opções!$H$2:$H$13,INDIRECT($P49))&gt;0,IF(AND(INDIRECT($Q49)&lt;M$1/24,INDIRECT($R49)&gt;L$1/24),"x",""),""),"")</f>
        <v/>
      </c>
      <c r="M49" t="str" cm="1">
        <f t="array" aca="1" ref="M49" ca="1">IF(T49="Sócio",IF(COUNTIF(Opções!$H$2:$H$13,INDIRECT($P49))&gt;0,IF(AND(INDIRECT($Q49)&lt;N$1/24,INDIRECT($R49)&gt;M$1/24),"x",""),""),"")</f>
        <v/>
      </c>
      <c r="N49" t="str" cm="1">
        <f t="array" aca="1" ref="N49" ca="1">IF(T49="Sócio",IF(COUNTIF(Opções!$H$2:$H$13,INDIRECT($P49))&gt;0,IF(AND(INDIRECT($Q49)&lt;O$1/24,INDIRECT($R49)&gt;N$1/24),"x",""),""),"")</f>
        <v/>
      </c>
      <c r="O49" t="str" cm="1">
        <f t="array" aca="1" ref="O49" ca="1">IF(T49="Sócio",IF(COUNTIF(Opções!$H$2:$H$13,INDIRECT($P49))&gt;0,IF(AND(INDIRECT($Q49)&lt;P$1/24,INDIRECT($R49)&gt;O$1/24),"x",""),""),"")</f>
        <v/>
      </c>
      <c r="P49" t="str">
        <f t="shared" si="5"/>
        <v>$E49</v>
      </c>
      <c r="Q49" t="str">
        <f t="shared" si="6"/>
        <v>$F49</v>
      </c>
      <c r="R49" t="str">
        <f t="shared" si="7"/>
        <v>$G49</v>
      </c>
      <c r="S49" t="str">
        <f t="shared" si="8"/>
        <v>$D49</v>
      </c>
      <c r="T49" t="str" cm="1">
        <f t="array" aca="1" ref="T49" ca="1">IFERROR(VLOOKUP(INDIRECT(S49),Equipe!A:C,3,0),"")</f>
        <v/>
      </c>
    </row>
    <row r="50" spans="4:20" x14ac:dyDescent="0.3">
      <c r="D50" s="23"/>
      <c r="E50" s="23"/>
      <c r="F50" s="24"/>
      <c r="G50" s="24"/>
      <c r="H50" s="23"/>
      <c r="J50" s="21" t="str">
        <f t="shared" ca="1" si="9"/>
        <v/>
      </c>
      <c r="K50" t="str" cm="1">
        <f t="array" aca="1" ref="K50" ca="1">IF(T50="Sócio",IF(COUNTIF(Opções!$H$2:$H$13,INDIRECT($P50))&gt;0,IF(AND(INDIRECT($Q50)&lt;L$1/24,INDIRECT($R50)&gt;K$1/24),"x",""),""),"")</f>
        <v/>
      </c>
      <c r="L50" t="str" cm="1">
        <f t="array" aca="1" ref="L50" ca="1">IF(T50="Sócio",IF(COUNTIF(Opções!$H$2:$H$13,INDIRECT($P50))&gt;0,IF(AND(INDIRECT($Q50)&lt;M$1/24,INDIRECT($R50)&gt;L$1/24),"x",""),""),"")</f>
        <v/>
      </c>
      <c r="M50" t="str" cm="1">
        <f t="array" aca="1" ref="M50" ca="1">IF(T50="Sócio",IF(COUNTIF(Opções!$H$2:$H$13,INDIRECT($P50))&gt;0,IF(AND(INDIRECT($Q50)&lt;N$1/24,INDIRECT($R50)&gt;M$1/24),"x",""),""),"")</f>
        <v/>
      </c>
      <c r="N50" t="str" cm="1">
        <f t="array" aca="1" ref="N50" ca="1">IF(T50="Sócio",IF(COUNTIF(Opções!$H$2:$H$13,INDIRECT($P50))&gt;0,IF(AND(INDIRECT($Q50)&lt;O$1/24,INDIRECT($R50)&gt;N$1/24),"x",""),""),"")</f>
        <v/>
      </c>
      <c r="O50" t="str" cm="1">
        <f t="array" aca="1" ref="O50" ca="1">IF(T50="Sócio",IF(COUNTIF(Opções!$H$2:$H$13,INDIRECT($P50))&gt;0,IF(AND(INDIRECT($Q50)&lt;P$1/24,INDIRECT($R50)&gt;O$1/24),"x",""),""),"")</f>
        <v/>
      </c>
      <c r="P50" t="str">
        <f t="shared" si="5"/>
        <v>$E50</v>
      </c>
      <c r="Q50" t="str">
        <f t="shared" si="6"/>
        <v>$F50</v>
      </c>
      <c r="R50" t="str">
        <f t="shared" si="7"/>
        <v>$G50</v>
      </c>
      <c r="S50" t="str">
        <f t="shared" si="8"/>
        <v>$D50</v>
      </c>
      <c r="T50" t="str" cm="1">
        <f t="array" aca="1" ref="T50" ca="1">IFERROR(VLOOKUP(INDIRECT(S50),Equipe!A:C,3,0),"")</f>
        <v/>
      </c>
    </row>
    <row r="51" spans="4:20" x14ac:dyDescent="0.3">
      <c r="D51" s="23"/>
      <c r="E51" s="23"/>
      <c r="F51" s="24"/>
      <c r="G51" s="24"/>
      <c r="H51" s="23"/>
      <c r="J51" s="21" t="str">
        <f t="shared" ca="1" si="9"/>
        <v/>
      </c>
      <c r="K51" t="str" cm="1">
        <f t="array" aca="1" ref="K51" ca="1">IF(T51="Sócio",IF(COUNTIF(Opções!$H$2:$H$13,INDIRECT($P51))&gt;0,IF(AND(INDIRECT($Q51)&lt;L$1/24,INDIRECT($R51)&gt;K$1/24),"x",""),""),"")</f>
        <v/>
      </c>
      <c r="L51" t="str" cm="1">
        <f t="array" aca="1" ref="L51" ca="1">IF(T51="Sócio",IF(COUNTIF(Opções!$H$2:$H$13,INDIRECT($P51))&gt;0,IF(AND(INDIRECT($Q51)&lt;M$1/24,INDIRECT($R51)&gt;L$1/24),"x",""),""),"")</f>
        <v/>
      </c>
      <c r="M51" t="str" cm="1">
        <f t="array" aca="1" ref="M51" ca="1">IF(T51="Sócio",IF(COUNTIF(Opções!$H$2:$H$13,INDIRECT($P51))&gt;0,IF(AND(INDIRECT($Q51)&lt;N$1/24,INDIRECT($R51)&gt;M$1/24),"x",""),""),"")</f>
        <v/>
      </c>
      <c r="N51" t="str" cm="1">
        <f t="array" aca="1" ref="N51" ca="1">IF(T51="Sócio",IF(COUNTIF(Opções!$H$2:$H$13,INDIRECT($P51))&gt;0,IF(AND(INDIRECT($Q51)&lt;O$1/24,INDIRECT($R51)&gt;N$1/24),"x",""),""),"")</f>
        <v/>
      </c>
      <c r="O51" t="str" cm="1">
        <f t="array" aca="1" ref="O51" ca="1">IF(T51="Sócio",IF(COUNTIF(Opções!$H$2:$H$13,INDIRECT($P51))&gt;0,IF(AND(INDIRECT($Q51)&lt;P$1/24,INDIRECT($R51)&gt;O$1/24),"x",""),""),"")</f>
        <v/>
      </c>
      <c r="P51" t="str">
        <f t="shared" si="5"/>
        <v>$E51</v>
      </c>
      <c r="Q51" t="str">
        <f t="shared" si="6"/>
        <v>$F51</v>
      </c>
      <c r="R51" t="str">
        <f t="shared" si="7"/>
        <v>$G51</v>
      </c>
      <c r="S51" t="str">
        <f t="shared" si="8"/>
        <v>$D51</v>
      </c>
      <c r="T51" t="str" cm="1">
        <f t="array" aca="1" ref="T51" ca="1">IFERROR(VLOOKUP(INDIRECT(S51),Equipe!A:C,3,0),"")</f>
        <v/>
      </c>
    </row>
    <row r="52" spans="4:20" x14ac:dyDescent="0.3">
      <c r="D52" s="23"/>
      <c r="E52" s="23"/>
      <c r="F52" s="24"/>
      <c r="G52" s="24"/>
      <c r="H52" s="23"/>
      <c r="J52" s="21" t="str">
        <f t="shared" ca="1" si="9"/>
        <v/>
      </c>
      <c r="K52" t="str" cm="1">
        <f t="array" aca="1" ref="K52" ca="1">IF(T52="Sócio",IF(COUNTIF(Opções!$H$2:$H$13,INDIRECT($P52))&gt;0,IF(AND(INDIRECT($Q52)&lt;L$1/24,INDIRECT($R52)&gt;K$1/24),"x",""),""),"")</f>
        <v/>
      </c>
      <c r="L52" t="str" cm="1">
        <f t="array" aca="1" ref="L52" ca="1">IF(T52="Sócio",IF(COUNTIF(Opções!$H$2:$H$13,INDIRECT($P52))&gt;0,IF(AND(INDIRECT($Q52)&lt;M$1/24,INDIRECT($R52)&gt;L$1/24),"x",""),""),"")</f>
        <v/>
      </c>
      <c r="M52" t="str" cm="1">
        <f t="array" aca="1" ref="M52" ca="1">IF(T52="Sócio",IF(COUNTIF(Opções!$H$2:$H$13,INDIRECT($P52))&gt;0,IF(AND(INDIRECT($Q52)&lt;N$1/24,INDIRECT($R52)&gt;M$1/24),"x",""),""),"")</f>
        <v/>
      </c>
      <c r="N52" t="str" cm="1">
        <f t="array" aca="1" ref="N52" ca="1">IF(T52="Sócio",IF(COUNTIF(Opções!$H$2:$H$13,INDIRECT($P52))&gt;0,IF(AND(INDIRECT($Q52)&lt;O$1/24,INDIRECT($R52)&gt;N$1/24),"x",""),""),"")</f>
        <v/>
      </c>
      <c r="O52" t="str" cm="1">
        <f t="array" aca="1" ref="O52" ca="1">IF(T52="Sócio",IF(COUNTIF(Opções!$H$2:$H$13,INDIRECT($P52))&gt;0,IF(AND(INDIRECT($Q52)&lt;P$1/24,INDIRECT($R52)&gt;O$1/24),"x",""),""),"")</f>
        <v/>
      </c>
      <c r="P52" t="str">
        <f t="shared" si="5"/>
        <v>$E52</v>
      </c>
      <c r="Q52" t="str">
        <f t="shared" si="6"/>
        <v>$F52</v>
      </c>
      <c r="R52" t="str">
        <f t="shared" si="7"/>
        <v>$G52</v>
      </c>
      <c r="S52" t="str">
        <f t="shared" si="8"/>
        <v>$D52</v>
      </c>
      <c r="T52" t="str" cm="1">
        <f t="array" aca="1" ref="T52" ca="1">IFERROR(VLOOKUP(INDIRECT(S52),Equipe!A:C,3,0),"")</f>
        <v/>
      </c>
    </row>
    <row r="53" spans="4:20" x14ac:dyDescent="0.3">
      <c r="D53" s="23"/>
      <c r="E53" s="23"/>
      <c r="F53" s="24"/>
      <c r="G53" s="24"/>
      <c r="H53" s="23"/>
      <c r="J53" s="21" t="str">
        <f t="shared" ca="1" si="9"/>
        <v/>
      </c>
      <c r="K53" t="str" cm="1">
        <f t="array" aca="1" ref="K53" ca="1">IF(T53="Sócio",IF(COUNTIF(Opções!$H$2:$H$13,INDIRECT($P53))&gt;0,IF(AND(INDIRECT($Q53)&lt;L$1/24,INDIRECT($R53)&gt;K$1/24),"x",""),""),"")</f>
        <v/>
      </c>
      <c r="L53" t="str" cm="1">
        <f t="array" aca="1" ref="L53" ca="1">IF(T53="Sócio",IF(COUNTIF(Opções!$H$2:$H$13,INDIRECT($P53))&gt;0,IF(AND(INDIRECT($Q53)&lt;M$1/24,INDIRECT($R53)&gt;L$1/24),"x",""),""),"")</f>
        <v/>
      </c>
      <c r="M53" t="str" cm="1">
        <f t="array" aca="1" ref="M53" ca="1">IF(T53="Sócio",IF(COUNTIF(Opções!$H$2:$H$13,INDIRECT($P53))&gt;0,IF(AND(INDIRECT($Q53)&lt;N$1/24,INDIRECT($R53)&gt;M$1/24),"x",""),""),"")</f>
        <v/>
      </c>
      <c r="N53" t="str" cm="1">
        <f t="array" aca="1" ref="N53" ca="1">IF(T53="Sócio",IF(COUNTIF(Opções!$H$2:$H$13,INDIRECT($P53))&gt;0,IF(AND(INDIRECT($Q53)&lt;O$1/24,INDIRECT($R53)&gt;N$1/24),"x",""),""),"")</f>
        <v/>
      </c>
      <c r="O53" t="str" cm="1">
        <f t="array" aca="1" ref="O53" ca="1">IF(T53="Sócio",IF(COUNTIF(Opções!$H$2:$H$13,INDIRECT($P53))&gt;0,IF(AND(INDIRECT($Q53)&lt;P$1/24,INDIRECT($R53)&gt;O$1/24),"x",""),""),"")</f>
        <v/>
      </c>
      <c r="P53" t="str">
        <f t="shared" si="5"/>
        <v>$E53</v>
      </c>
      <c r="Q53" t="str">
        <f t="shared" si="6"/>
        <v>$F53</v>
      </c>
      <c r="R53" t="str">
        <f t="shared" si="7"/>
        <v>$G53</v>
      </c>
      <c r="S53" t="str">
        <f t="shared" si="8"/>
        <v>$D53</v>
      </c>
      <c r="T53" t="str" cm="1">
        <f t="array" aca="1" ref="T53" ca="1">IFERROR(VLOOKUP(INDIRECT(S53),Equipe!A:C,3,0),"")</f>
        <v/>
      </c>
    </row>
    <row r="54" spans="4:20" x14ac:dyDescent="0.3">
      <c r="D54" s="23"/>
      <c r="E54" s="23"/>
      <c r="F54" s="24"/>
      <c r="G54" s="24"/>
      <c r="H54" s="23"/>
      <c r="J54" s="21" t="str">
        <f t="shared" ca="1" si="9"/>
        <v/>
      </c>
      <c r="K54" t="str" cm="1">
        <f t="array" aca="1" ref="K54" ca="1">IF(T54="Sócio",IF(COUNTIF(Opções!$H$2:$H$13,INDIRECT($P54))&gt;0,IF(AND(INDIRECT($Q54)&lt;L$1/24,INDIRECT($R54)&gt;K$1/24),"x",""),""),"")</f>
        <v/>
      </c>
      <c r="L54" t="str" cm="1">
        <f t="array" aca="1" ref="L54" ca="1">IF(T54="Sócio",IF(COUNTIF(Opções!$H$2:$H$13,INDIRECT($P54))&gt;0,IF(AND(INDIRECT($Q54)&lt;M$1/24,INDIRECT($R54)&gt;L$1/24),"x",""),""),"")</f>
        <v/>
      </c>
      <c r="M54" t="str" cm="1">
        <f t="array" aca="1" ref="M54" ca="1">IF(T54="Sócio",IF(COUNTIF(Opções!$H$2:$H$13,INDIRECT($P54))&gt;0,IF(AND(INDIRECT($Q54)&lt;N$1/24,INDIRECT($R54)&gt;M$1/24),"x",""),""),"")</f>
        <v/>
      </c>
      <c r="N54" t="str" cm="1">
        <f t="array" aca="1" ref="N54" ca="1">IF(T54="Sócio",IF(COUNTIF(Opções!$H$2:$H$13,INDIRECT($P54))&gt;0,IF(AND(INDIRECT($Q54)&lt;O$1/24,INDIRECT($R54)&gt;N$1/24),"x",""),""),"")</f>
        <v/>
      </c>
      <c r="O54" t="str" cm="1">
        <f t="array" aca="1" ref="O54" ca="1">IF(T54="Sócio",IF(COUNTIF(Opções!$H$2:$H$13,INDIRECT($P54))&gt;0,IF(AND(INDIRECT($Q54)&lt;P$1/24,INDIRECT($R54)&gt;O$1/24),"x",""),""),"")</f>
        <v/>
      </c>
      <c r="P54" t="str">
        <f t="shared" si="1"/>
        <v>$E54</v>
      </c>
      <c r="Q54" t="str">
        <f t="shared" si="2"/>
        <v>$F54</v>
      </c>
      <c r="R54" t="str">
        <f t="shared" si="3"/>
        <v>$G54</v>
      </c>
      <c r="S54" t="str">
        <f t="shared" si="4"/>
        <v>$D54</v>
      </c>
      <c r="T54" t="str" cm="1">
        <f t="array" aca="1" ref="T54" ca="1">IFERROR(VLOOKUP(INDIRECT(S54),Equipe!A:C,3,0),"")</f>
        <v/>
      </c>
    </row>
    <row r="55" spans="4:20" x14ac:dyDescent="0.3">
      <c r="D55" s="23"/>
      <c r="E55" s="23"/>
      <c r="F55" s="24"/>
      <c r="G55" s="24"/>
      <c r="H55" s="23"/>
      <c r="J55" s="21" t="str">
        <f t="shared" ca="1" si="9"/>
        <v/>
      </c>
      <c r="K55" t="str" cm="1">
        <f t="array" aca="1" ref="K55" ca="1">IF(T55="Sócio",IF(COUNTIF(Opções!$H$2:$H$13,INDIRECT($P55))&gt;0,IF(AND(INDIRECT($Q55)&lt;L$1/24,INDIRECT($R55)&gt;K$1/24),"x",""),""),"")</f>
        <v/>
      </c>
      <c r="L55" t="str" cm="1">
        <f t="array" aca="1" ref="L55" ca="1">IF(T55="Sócio",IF(COUNTIF(Opções!$H$2:$H$13,INDIRECT($P55))&gt;0,IF(AND(INDIRECT($Q55)&lt;M$1/24,INDIRECT($R55)&gt;L$1/24),"x",""),""),"")</f>
        <v/>
      </c>
      <c r="M55" t="str" cm="1">
        <f t="array" aca="1" ref="M55" ca="1">IF(T55="Sócio",IF(COUNTIF(Opções!$H$2:$H$13,INDIRECT($P55))&gt;0,IF(AND(INDIRECT($Q55)&lt;N$1/24,INDIRECT($R55)&gt;M$1/24),"x",""),""),"")</f>
        <v/>
      </c>
      <c r="N55" t="str" cm="1">
        <f t="array" aca="1" ref="N55" ca="1">IF(T55="Sócio",IF(COUNTIF(Opções!$H$2:$H$13,INDIRECT($P55))&gt;0,IF(AND(INDIRECT($Q55)&lt;O$1/24,INDIRECT($R55)&gt;N$1/24),"x",""),""),"")</f>
        <v/>
      </c>
      <c r="O55" t="str" cm="1">
        <f t="array" aca="1" ref="O55" ca="1">IF(T55="Sócio",IF(COUNTIF(Opções!$H$2:$H$13,INDIRECT($P55))&gt;0,IF(AND(INDIRECT($Q55)&lt;P$1/24,INDIRECT($R55)&gt;O$1/24),"x",""),""),"")</f>
        <v/>
      </c>
      <c r="P55" t="str">
        <f t="shared" si="1"/>
        <v>$E55</v>
      </c>
      <c r="Q55" t="str">
        <f t="shared" si="2"/>
        <v>$F55</v>
      </c>
      <c r="R55" t="str">
        <f t="shared" si="3"/>
        <v>$G55</v>
      </c>
      <c r="S55" t="str">
        <f t="shared" si="4"/>
        <v>$D55</v>
      </c>
      <c r="T55" t="str" cm="1">
        <f t="array" aca="1" ref="T55" ca="1">IFERROR(VLOOKUP(INDIRECT(S55),Equipe!A:C,3,0),"")</f>
        <v/>
      </c>
    </row>
    <row r="56" spans="4:20" x14ac:dyDescent="0.3">
      <c r="D56" s="23"/>
      <c r="E56" s="23"/>
      <c r="F56" s="24"/>
      <c r="G56" s="24"/>
      <c r="H56" s="23"/>
      <c r="J56" s="21" t="str">
        <f t="shared" ca="1" si="9"/>
        <v/>
      </c>
      <c r="K56" t="str" cm="1">
        <f t="array" aca="1" ref="K56" ca="1">IF(T56="Sócio",IF(COUNTIF(Opções!$H$2:$H$13,INDIRECT($P56))&gt;0,IF(AND(INDIRECT($Q56)&lt;L$1/24,INDIRECT($R56)&gt;K$1/24),"x",""),""),"")</f>
        <v/>
      </c>
      <c r="L56" t="str" cm="1">
        <f t="array" aca="1" ref="L56" ca="1">IF(T56="Sócio",IF(COUNTIF(Opções!$H$2:$H$13,INDIRECT($P56))&gt;0,IF(AND(INDIRECT($Q56)&lt;M$1/24,INDIRECT($R56)&gt;L$1/24),"x",""),""),"")</f>
        <v/>
      </c>
      <c r="M56" t="str" cm="1">
        <f t="array" aca="1" ref="M56" ca="1">IF(T56="Sócio",IF(COUNTIF(Opções!$H$2:$H$13,INDIRECT($P56))&gt;0,IF(AND(INDIRECT($Q56)&lt;N$1/24,INDIRECT($R56)&gt;M$1/24),"x",""),""),"")</f>
        <v/>
      </c>
      <c r="N56" t="str" cm="1">
        <f t="array" aca="1" ref="N56" ca="1">IF(T56="Sócio",IF(COUNTIF(Opções!$H$2:$H$13,INDIRECT($P56))&gt;0,IF(AND(INDIRECT($Q56)&lt;O$1/24,INDIRECT($R56)&gt;N$1/24),"x",""),""),"")</f>
        <v/>
      </c>
      <c r="O56" t="str" cm="1">
        <f t="array" aca="1" ref="O56" ca="1">IF(T56="Sócio",IF(COUNTIF(Opções!$H$2:$H$13,INDIRECT($P56))&gt;0,IF(AND(INDIRECT($Q56)&lt;P$1/24,INDIRECT($R56)&gt;O$1/24),"x",""),""),"")</f>
        <v/>
      </c>
      <c r="P56" t="str">
        <f t="shared" si="1"/>
        <v>$E56</v>
      </c>
      <c r="Q56" t="str">
        <f t="shared" si="2"/>
        <v>$F56</v>
      </c>
      <c r="R56" t="str">
        <f t="shared" si="3"/>
        <v>$G56</v>
      </c>
      <c r="S56" t="str">
        <f t="shared" si="4"/>
        <v>$D56</v>
      </c>
      <c r="T56" t="str" cm="1">
        <f t="array" aca="1" ref="T56" ca="1">IFERROR(VLOOKUP(INDIRECT(S56),Equipe!A:C,3,0),"")</f>
        <v/>
      </c>
    </row>
    <row r="57" spans="4:20" x14ac:dyDescent="0.3">
      <c r="D57" s="23"/>
      <c r="E57" s="23"/>
      <c r="F57" s="24"/>
      <c r="G57" s="24"/>
      <c r="H57" s="23"/>
      <c r="J57" s="21" t="str">
        <f t="shared" ca="1" si="9"/>
        <v/>
      </c>
      <c r="K57" t="str" cm="1">
        <f t="array" aca="1" ref="K57" ca="1">IF(T57="Sócio",IF(COUNTIF(Opções!$H$2:$H$13,INDIRECT($P57))&gt;0,IF(AND(INDIRECT($Q57)&lt;L$1/24,INDIRECT($R57)&gt;K$1/24),"x",""),""),"")</f>
        <v/>
      </c>
      <c r="L57" t="str" cm="1">
        <f t="array" aca="1" ref="L57" ca="1">IF(T57="Sócio",IF(COUNTIF(Opções!$H$2:$H$13,INDIRECT($P57))&gt;0,IF(AND(INDIRECT($Q57)&lt;M$1/24,INDIRECT($R57)&gt;L$1/24),"x",""),""),"")</f>
        <v/>
      </c>
      <c r="M57" t="str" cm="1">
        <f t="array" aca="1" ref="M57" ca="1">IF(T57="Sócio",IF(COUNTIF(Opções!$H$2:$H$13,INDIRECT($P57))&gt;0,IF(AND(INDIRECT($Q57)&lt;N$1/24,INDIRECT($R57)&gt;M$1/24),"x",""),""),"")</f>
        <v/>
      </c>
      <c r="N57" t="str" cm="1">
        <f t="array" aca="1" ref="N57" ca="1">IF(T57="Sócio",IF(COUNTIF(Opções!$H$2:$H$13,INDIRECT($P57))&gt;0,IF(AND(INDIRECT($Q57)&lt;O$1/24,INDIRECT($R57)&gt;N$1/24),"x",""),""),"")</f>
        <v/>
      </c>
      <c r="O57" t="str" cm="1">
        <f t="array" aca="1" ref="O57" ca="1">IF(T57="Sócio",IF(COUNTIF(Opções!$H$2:$H$13,INDIRECT($P57))&gt;0,IF(AND(INDIRECT($Q57)&lt;P$1/24,INDIRECT($R57)&gt;O$1/24),"x",""),""),"")</f>
        <v/>
      </c>
      <c r="P57" t="str">
        <f t="shared" si="1"/>
        <v>$E57</v>
      </c>
      <c r="Q57" t="str">
        <f t="shared" si="2"/>
        <v>$F57</v>
      </c>
      <c r="R57" t="str">
        <f t="shared" si="3"/>
        <v>$G57</v>
      </c>
      <c r="S57" t="str">
        <f t="shared" si="4"/>
        <v>$D57</v>
      </c>
      <c r="T57" t="str" cm="1">
        <f t="array" aca="1" ref="T57" ca="1">IFERROR(VLOOKUP(INDIRECT(S57),Equipe!A:C,3,0),"")</f>
        <v/>
      </c>
    </row>
    <row r="58" spans="4:20" x14ac:dyDescent="0.3">
      <c r="D58" s="23"/>
      <c r="E58" s="23"/>
      <c r="F58" s="24"/>
      <c r="G58" s="24"/>
      <c r="H58" s="23"/>
      <c r="J58" s="21" t="str">
        <f t="shared" ca="1" si="9"/>
        <v/>
      </c>
      <c r="K58" t="str" cm="1">
        <f t="array" aca="1" ref="K58" ca="1">IF(T58="Sócio",IF(COUNTIF(Opções!$H$2:$H$13,INDIRECT($P58))&gt;0,IF(AND(INDIRECT($Q58)&lt;L$1/24,INDIRECT($R58)&gt;K$1/24),"x",""),""),"")</f>
        <v/>
      </c>
      <c r="L58" t="str" cm="1">
        <f t="array" aca="1" ref="L58" ca="1">IF(T58="Sócio",IF(COUNTIF(Opções!$H$2:$H$13,INDIRECT($P58))&gt;0,IF(AND(INDIRECT($Q58)&lt;M$1/24,INDIRECT($R58)&gt;L$1/24),"x",""),""),"")</f>
        <v/>
      </c>
      <c r="M58" t="str" cm="1">
        <f t="array" aca="1" ref="M58" ca="1">IF(T58="Sócio",IF(COUNTIF(Opções!$H$2:$H$13,INDIRECT($P58))&gt;0,IF(AND(INDIRECT($Q58)&lt;N$1/24,INDIRECT($R58)&gt;M$1/24),"x",""),""),"")</f>
        <v/>
      </c>
      <c r="N58" t="str" cm="1">
        <f t="array" aca="1" ref="N58" ca="1">IF(T58="Sócio",IF(COUNTIF(Opções!$H$2:$H$13,INDIRECT($P58))&gt;0,IF(AND(INDIRECT($Q58)&lt;O$1/24,INDIRECT($R58)&gt;N$1/24),"x",""),""),"")</f>
        <v/>
      </c>
      <c r="O58" t="str" cm="1">
        <f t="array" aca="1" ref="O58" ca="1">IF(T58="Sócio",IF(COUNTIF(Opções!$H$2:$H$13,INDIRECT($P58))&gt;0,IF(AND(INDIRECT($Q58)&lt;P$1/24,INDIRECT($R58)&gt;O$1/24),"x",""),""),"")</f>
        <v/>
      </c>
      <c r="P58" t="str">
        <f t="shared" si="1"/>
        <v>$E58</v>
      </c>
      <c r="Q58" t="str">
        <f t="shared" si="2"/>
        <v>$F58</v>
      </c>
      <c r="R58" t="str">
        <f t="shared" si="3"/>
        <v>$G58</v>
      </c>
      <c r="S58" t="str">
        <f t="shared" si="4"/>
        <v>$D58</v>
      </c>
      <c r="T58" t="str" cm="1">
        <f t="array" aca="1" ref="T58" ca="1">IFERROR(VLOOKUP(INDIRECT(S58),Equipe!A:C,3,0),"")</f>
        <v/>
      </c>
    </row>
    <row r="59" spans="4:20" x14ac:dyDescent="0.3">
      <c r="D59" s="23"/>
      <c r="E59" s="23"/>
      <c r="F59" s="24"/>
      <c r="G59" s="24"/>
      <c r="H59" s="23"/>
      <c r="J59" s="21" t="str">
        <f t="shared" ca="1" si="9"/>
        <v/>
      </c>
      <c r="K59" t="str" cm="1">
        <f t="array" aca="1" ref="K59" ca="1">IF(T59="Sócio",IF(COUNTIF(Opções!$H$2:$H$13,INDIRECT($P59))&gt;0,IF(AND(INDIRECT($Q59)&lt;L$1/24,INDIRECT($R59)&gt;K$1/24),"x",""),""),"")</f>
        <v/>
      </c>
      <c r="L59" t="str" cm="1">
        <f t="array" aca="1" ref="L59" ca="1">IF(T59="Sócio",IF(COUNTIF(Opções!$H$2:$H$13,INDIRECT($P59))&gt;0,IF(AND(INDIRECT($Q59)&lt;M$1/24,INDIRECT($R59)&gt;L$1/24),"x",""),""),"")</f>
        <v/>
      </c>
      <c r="M59" t="str" cm="1">
        <f t="array" aca="1" ref="M59" ca="1">IF(T59="Sócio",IF(COUNTIF(Opções!$H$2:$H$13,INDIRECT($P59))&gt;0,IF(AND(INDIRECT($Q59)&lt;N$1/24,INDIRECT($R59)&gt;M$1/24),"x",""),""),"")</f>
        <v/>
      </c>
      <c r="N59" t="str" cm="1">
        <f t="array" aca="1" ref="N59" ca="1">IF(T59="Sócio",IF(COUNTIF(Opções!$H$2:$H$13,INDIRECT($P59))&gt;0,IF(AND(INDIRECT($Q59)&lt;O$1/24,INDIRECT($R59)&gt;N$1/24),"x",""),""),"")</f>
        <v/>
      </c>
      <c r="O59" t="str" cm="1">
        <f t="array" aca="1" ref="O59" ca="1">IF(T59="Sócio",IF(COUNTIF(Opções!$H$2:$H$13,INDIRECT($P59))&gt;0,IF(AND(INDIRECT($Q59)&lt;P$1/24,INDIRECT($R59)&gt;O$1/24),"x",""),""),"")</f>
        <v/>
      </c>
      <c r="P59" t="str">
        <f t="shared" si="1"/>
        <v>$E59</v>
      </c>
      <c r="Q59" t="str">
        <f t="shared" si="2"/>
        <v>$F59</v>
      </c>
      <c r="R59" t="str">
        <f t="shared" si="3"/>
        <v>$G59</v>
      </c>
      <c r="S59" t="str">
        <f t="shared" si="4"/>
        <v>$D59</v>
      </c>
      <c r="T59" t="str" cm="1">
        <f t="array" aca="1" ref="T59" ca="1">IFERROR(VLOOKUP(INDIRECT(S59),Equipe!A:C,3,0),"")</f>
        <v/>
      </c>
    </row>
    <row r="60" spans="4:20" x14ac:dyDescent="0.3">
      <c r="D60" s="23"/>
      <c r="E60" s="23"/>
      <c r="F60" s="24"/>
      <c r="G60" s="24"/>
      <c r="H60" s="23"/>
      <c r="J60" s="21" t="str">
        <f t="shared" ca="1" si="9"/>
        <v/>
      </c>
      <c r="K60" t="str" cm="1">
        <f t="array" aca="1" ref="K60" ca="1">IF(T60="Sócio",IF(COUNTIF(Opções!$H$2:$H$13,INDIRECT($P60))&gt;0,IF(AND(INDIRECT($Q60)&lt;L$1/24,INDIRECT($R60)&gt;K$1/24),"x",""),""),"")</f>
        <v/>
      </c>
      <c r="L60" t="str" cm="1">
        <f t="array" aca="1" ref="L60" ca="1">IF(T60="Sócio",IF(COUNTIF(Opções!$H$2:$H$13,INDIRECT($P60))&gt;0,IF(AND(INDIRECT($Q60)&lt;M$1/24,INDIRECT($R60)&gt;L$1/24),"x",""),""),"")</f>
        <v/>
      </c>
      <c r="M60" t="str" cm="1">
        <f t="array" aca="1" ref="M60" ca="1">IF(T60="Sócio",IF(COUNTIF(Opções!$H$2:$H$13,INDIRECT($P60))&gt;0,IF(AND(INDIRECT($Q60)&lt;N$1/24,INDIRECT($R60)&gt;M$1/24),"x",""),""),"")</f>
        <v/>
      </c>
      <c r="N60" t="str" cm="1">
        <f t="array" aca="1" ref="N60" ca="1">IF(T60="Sócio",IF(COUNTIF(Opções!$H$2:$H$13,INDIRECT($P60))&gt;0,IF(AND(INDIRECT($Q60)&lt;O$1/24,INDIRECT($R60)&gt;N$1/24),"x",""),""),"")</f>
        <v/>
      </c>
      <c r="O60" t="str" cm="1">
        <f t="array" aca="1" ref="O60" ca="1">IF(T60="Sócio",IF(COUNTIF(Opções!$H$2:$H$13,INDIRECT($P60))&gt;0,IF(AND(INDIRECT($Q60)&lt;P$1/24,INDIRECT($R60)&gt;O$1/24),"x",""),""),"")</f>
        <v/>
      </c>
      <c r="P60" t="str">
        <f t="shared" si="1"/>
        <v>$E60</v>
      </c>
      <c r="Q60" t="str">
        <f t="shared" si="2"/>
        <v>$F60</v>
      </c>
      <c r="R60" t="str">
        <f t="shared" si="3"/>
        <v>$G60</v>
      </c>
      <c r="S60" t="str">
        <f t="shared" si="4"/>
        <v>$D60</v>
      </c>
      <c r="T60" t="str" cm="1">
        <f t="array" aca="1" ref="T60" ca="1">IFERROR(VLOOKUP(INDIRECT(S60),Equipe!A:C,3,0),"")</f>
        <v/>
      </c>
    </row>
    <row r="61" spans="4:20" x14ac:dyDescent="0.3">
      <c r="D61" s="23"/>
      <c r="E61" s="23"/>
      <c r="F61" s="24"/>
      <c r="G61" s="24"/>
      <c r="H61" s="23"/>
      <c r="J61" s="21" t="str">
        <f t="shared" ca="1" si="9"/>
        <v/>
      </c>
      <c r="K61" t="str" cm="1">
        <f t="array" aca="1" ref="K61" ca="1">IF(T61="Sócio",IF(COUNTIF(Opções!$H$2:$H$13,INDIRECT($P61))&gt;0,IF(AND(INDIRECT($Q61)&lt;L$1/24,INDIRECT($R61)&gt;K$1/24),"x",""),""),"")</f>
        <v/>
      </c>
      <c r="L61" t="str" cm="1">
        <f t="array" aca="1" ref="L61" ca="1">IF(T61="Sócio",IF(COUNTIF(Opções!$H$2:$H$13,INDIRECT($P61))&gt;0,IF(AND(INDIRECT($Q61)&lt;M$1/24,INDIRECT($R61)&gt;L$1/24),"x",""),""),"")</f>
        <v/>
      </c>
      <c r="M61" t="str" cm="1">
        <f t="array" aca="1" ref="M61" ca="1">IF(T61="Sócio",IF(COUNTIF(Opções!$H$2:$H$13,INDIRECT($P61))&gt;0,IF(AND(INDIRECT($Q61)&lt;N$1/24,INDIRECT($R61)&gt;M$1/24),"x",""),""),"")</f>
        <v/>
      </c>
      <c r="N61" t="str" cm="1">
        <f t="array" aca="1" ref="N61" ca="1">IF(T61="Sócio",IF(COUNTIF(Opções!$H$2:$H$13,INDIRECT($P61))&gt;0,IF(AND(INDIRECT($Q61)&lt;O$1/24,INDIRECT($R61)&gt;N$1/24),"x",""),""),"")</f>
        <v/>
      </c>
      <c r="O61" t="str" cm="1">
        <f t="array" aca="1" ref="O61" ca="1">IF(T61="Sócio",IF(COUNTIF(Opções!$H$2:$H$13,INDIRECT($P61))&gt;0,IF(AND(INDIRECT($Q61)&lt;P$1/24,INDIRECT($R61)&gt;O$1/24),"x",""),""),"")</f>
        <v/>
      </c>
      <c r="P61" t="str">
        <f t="shared" si="1"/>
        <v>$E61</v>
      </c>
      <c r="Q61" t="str">
        <f t="shared" si="2"/>
        <v>$F61</v>
      </c>
      <c r="R61" t="str">
        <f t="shared" si="3"/>
        <v>$G61</v>
      </c>
      <c r="S61" t="str">
        <f t="shared" si="4"/>
        <v>$D61</v>
      </c>
      <c r="T61" t="str" cm="1">
        <f t="array" aca="1" ref="T61" ca="1">IFERROR(VLOOKUP(INDIRECT(S61),Equipe!A:C,3,0),"")</f>
        <v/>
      </c>
    </row>
    <row r="62" spans="4:20" x14ac:dyDescent="0.3">
      <c r="D62" s="23"/>
      <c r="E62" s="23"/>
      <c r="F62" s="24"/>
      <c r="G62" s="24"/>
      <c r="H62" s="23"/>
      <c r="J62" s="21" t="str">
        <f t="shared" ca="1" si="9"/>
        <v/>
      </c>
      <c r="K62" t="str" cm="1">
        <f t="array" aca="1" ref="K62" ca="1">IF(T62="Sócio",IF(COUNTIF(Opções!$H$2:$H$13,INDIRECT($P62))&gt;0,IF(AND(INDIRECT($Q62)&lt;L$1/24,INDIRECT($R62)&gt;K$1/24),"x",""),""),"")</f>
        <v/>
      </c>
      <c r="L62" t="str" cm="1">
        <f t="array" aca="1" ref="L62" ca="1">IF(T62="Sócio",IF(COUNTIF(Opções!$H$2:$H$13,INDIRECT($P62))&gt;0,IF(AND(INDIRECT($Q62)&lt;M$1/24,INDIRECT($R62)&gt;L$1/24),"x",""),""),"")</f>
        <v/>
      </c>
      <c r="M62" t="str" cm="1">
        <f t="array" aca="1" ref="M62" ca="1">IF(T62="Sócio",IF(COUNTIF(Opções!$H$2:$H$13,INDIRECT($P62))&gt;0,IF(AND(INDIRECT($Q62)&lt;N$1/24,INDIRECT($R62)&gt;M$1/24),"x",""),""),"")</f>
        <v/>
      </c>
      <c r="N62" t="str" cm="1">
        <f t="array" aca="1" ref="N62" ca="1">IF(T62="Sócio",IF(COUNTIF(Opções!$H$2:$H$13,INDIRECT($P62))&gt;0,IF(AND(INDIRECT($Q62)&lt;O$1/24,INDIRECT($R62)&gt;N$1/24),"x",""),""),"")</f>
        <v/>
      </c>
      <c r="O62" t="str" cm="1">
        <f t="array" aca="1" ref="O62" ca="1">IF(T62="Sócio",IF(COUNTIF(Opções!$H$2:$H$13,INDIRECT($P62))&gt;0,IF(AND(INDIRECT($Q62)&lt;P$1/24,INDIRECT($R62)&gt;O$1/24),"x",""),""),"")</f>
        <v/>
      </c>
      <c r="P62" t="str">
        <f t="shared" si="1"/>
        <v>$E62</v>
      </c>
      <c r="Q62" t="str">
        <f t="shared" si="2"/>
        <v>$F62</v>
      </c>
      <c r="R62" t="str">
        <f t="shared" si="3"/>
        <v>$G62</v>
      </c>
      <c r="S62" t="str">
        <f t="shared" si="4"/>
        <v>$D62</v>
      </c>
      <c r="T62" t="str" cm="1">
        <f t="array" aca="1" ref="T62" ca="1">IFERROR(VLOOKUP(INDIRECT(S62),Equipe!A:C,3,0),"")</f>
        <v/>
      </c>
    </row>
    <row r="63" spans="4:20" x14ac:dyDescent="0.3">
      <c r="D63" s="23"/>
      <c r="E63" s="23"/>
      <c r="F63" s="24"/>
      <c r="G63" s="24"/>
      <c r="H63" s="23"/>
      <c r="J63" s="21" t="str">
        <f t="shared" ca="1" si="9"/>
        <v/>
      </c>
      <c r="K63" t="str" cm="1">
        <f t="array" aca="1" ref="K63" ca="1">IF(T63="Sócio",IF(COUNTIF(Opções!$H$2:$H$13,INDIRECT($P63))&gt;0,IF(AND(INDIRECT($Q63)&lt;L$1/24,INDIRECT($R63)&gt;K$1/24),"x",""),""),"")</f>
        <v/>
      </c>
      <c r="L63" t="str" cm="1">
        <f t="array" aca="1" ref="L63" ca="1">IF(T63="Sócio",IF(COUNTIF(Opções!$H$2:$H$13,INDIRECT($P63))&gt;0,IF(AND(INDIRECT($Q63)&lt;M$1/24,INDIRECT($R63)&gt;L$1/24),"x",""),""),"")</f>
        <v/>
      </c>
      <c r="M63" t="str" cm="1">
        <f t="array" aca="1" ref="M63" ca="1">IF(T63="Sócio",IF(COUNTIF(Opções!$H$2:$H$13,INDIRECT($P63))&gt;0,IF(AND(INDIRECT($Q63)&lt;N$1/24,INDIRECT($R63)&gt;M$1/24),"x",""),""),"")</f>
        <v/>
      </c>
      <c r="N63" t="str" cm="1">
        <f t="array" aca="1" ref="N63" ca="1">IF(T63="Sócio",IF(COUNTIF(Opções!$H$2:$H$13,INDIRECT($P63))&gt;0,IF(AND(INDIRECT($Q63)&lt;O$1/24,INDIRECT($R63)&gt;N$1/24),"x",""),""),"")</f>
        <v/>
      </c>
      <c r="O63" t="str" cm="1">
        <f t="array" aca="1" ref="O63" ca="1">IF(T63="Sócio",IF(COUNTIF(Opções!$H$2:$H$13,INDIRECT($P63))&gt;0,IF(AND(INDIRECT($Q63)&lt;P$1/24,INDIRECT($R63)&gt;O$1/24),"x",""),""),"")</f>
        <v/>
      </c>
      <c r="P63" t="str">
        <f t="shared" si="1"/>
        <v>$E63</v>
      </c>
      <c r="Q63" t="str">
        <f t="shared" si="2"/>
        <v>$F63</v>
      </c>
      <c r="R63" t="str">
        <f t="shared" si="3"/>
        <v>$G63</v>
      </c>
      <c r="S63" t="str">
        <f t="shared" si="4"/>
        <v>$D63</v>
      </c>
      <c r="T63" t="str" cm="1">
        <f t="array" aca="1" ref="T63" ca="1">IFERROR(VLOOKUP(INDIRECT(S63),Equipe!A:C,3,0),"")</f>
        <v/>
      </c>
    </row>
    <row r="64" spans="4:20" x14ac:dyDescent="0.3">
      <c r="D64" s="23"/>
      <c r="E64" s="23"/>
      <c r="F64" s="24"/>
      <c r="G64" s="24"/>
      <c r="H64" s="23"/>
      <c r="J64" s="21" t="str">
        <f t="shared" ca="1" si="9"/>
        <v/>
      </c>
      <c r="K64" t="str" cm="1">
        <f t="array" aca="1" ref="K64" ca="1">IF(T64="Sócio",IF(COUNTIF(Opções!$H$2:$H$13,INDIRECT($P64))&gt;0,IF(AND(INDIRECT($Q64)&lt;L$1/24,INDIRECT($R64)&gt;K$1/24),"x",""),""),"")</f>
        <v/>
      </c>
      <c r="L64" t="str" cm="1">
        <f t="array" aca="1" ref="L64" ca="1">IF(T64="Sócio",IF(COUNTIF(Opções!$H$2:$H$13,INDIRECT($P64))&gt;0,IF(AND(INDIRECT($Q64)&lt;M$1/24,INDIRECT($R64)&gt;L$1/24),"x",""),""),"")</f>
        <v/>
      </c>
      <c r="M64" t="str" cm="1">
        <f t="array" aca="1" ref="M64" ca="1">IF(T64="Sócio",IF(COUNTIF(Opções!$H$2:$H$13,INDIRECT($P64))&gt;0,IF(AND(INDIRECT($Q64)&lt;N$1/24,INDIRECT($R64)&gt;M$1/24),"x",""),""),"")</f>
        <v/>
      </c>
      <c r="N64" t="str" cm="1">
        <f t="array" aca="1" ref="N64" ca="1">IF(T64="Sócio",IF(COUNTIF(Opções!$H$2:$H$13,INDIRECT($P64))&gt;0,IF(AND(INDIRECT($Q64)&lt;O$1/24,INDIRECT($R64)&gt;N$1/24),"x",""),""),"")</f>
        <v/>
      </c>
      <c r="O64" t="str" cm="1">
        <f t="array" aca="1" ref="O64" ca="1">IF(T64="Sócio",IF(COUNTIF(Opções!$H$2:$H$13,INDIRECT($P64))&gt;0,IF(AND(INDIRECT($Q64)&lt;P$1/24,INDIRECT($R64)&gt;O$1/24),"x",""),""),"")</f>
        <v/>
      </c>
      <c r="P64" t="str">
        <f t="shared" si="1"/>
        <v>$E64</v>
      </c>
      <c r="Q64" t="str">
        <f t="shared" si="2"/>
        <v>$F64</v>
      </c>
      <c r="R64" t="str">
        <f t="shared" si="3"/>
        <v>$G64</v>
      </c>
      <c r="S64" t="str">
        <f t="shared" si="4"/>
        <v>$D64</v>
      </c>
      <c r="T64" t="str" cm="1">
        <f t="array" aca="1" ref="T64" ca="1">IFERROR(VLOOKUP(INDIRECT(S64),Equipe!A:C,3,0),"")</f>
        <v/>
      </c>
    </row>
    <row r="65" spans="4:20" x14ac:dyDescent="0.3">
      <c r="D65" s="23"/>
      <c r="E65" s="23"/>
      <c r="F65" s="24"/>
      <c r="G65" s="24"/>
      <c r="H65" s="23"/>
      <c r="J65" s="21" t="str">
        <f t="shared" ca="1" si="9"/>
        <v/>
      </c>
      <c r="K65" t="str" cm="1">
        <f t="array" aca="1" ref="K65" ca="1">IF(T65="Sócio",IF(COUNTIF(Opções!$H$2:$H$13,INDIRECT($P65))&gt;0,IF(AND(INDIRECT($Q65)&lt;L$1/24,INDIRECT($R65)&gt;K$1/24),"x",""),""),"")</f>
        <v/>
      </c>
      <c r="L65" t="str" cm="1">
        <f t="array" aca="1" ref="L65" ca="1">IF(T65="Sócio",IF(COUNTIF(Opções!$H$2:$H$13,INDIRECT($P65))&gt;0,IF(AND(INDIRECT($Q65)&lt;M$1/24,INDIRECT($R65)&gt;L$1/24),"x",""),""),"")</f>
        <v/>
      </c>
      <c r="M65" t="str" cm="1">
        <f t="array" aca="1" ref="M65" ca="1">IF(T65="Sócio",IF(COUNTIF(Opções!$H$2:$H$13,INDIRECT($P65))&gt;0,IF(AND(INDIRECT($Q65)&lt;N$1/24,INDIRECT($R65)&gt;M$1/24),"x",""),""),"")</f>
        <v/>
      </c>
      <c r="N65" t="str" cm="1">
        <f t="array" aca="1" ref="N65" ca="1">IF(T65="Sócio",IF(COUNTIF(Opções!$H$2:$H$13,INDIRECT($P65))&gt;0,IF(AND(INDIRECT($Q65)&lt;O$1/24,INDIRECT($R65)&gt;N$1/24),"x",""),""),"")</f>
        <v/>
      </c>
      <c r="O65" t="str" cm="1">
        <f t="array" aca="1" ref="O65" ca="1">IF(T65="Sócio",IF(COUNTIF(Opções!$H$2:$H$13,INDIRECT($P65))&gt;0,IF(AND(INDIRECT($Q65)&lt;P$1/24,INDIRECT($R65)&gt;O$1/24),"x",""),""),"")</f>
        <v/>
      </c>
      <c r="P65" t="str">
        <f t="shared" si="1"/>
        <v>$E65</v>
      </c>
      <c r="Q65" t="str">
        <f t="shared" si="2"/>
        <v>$F65</v>
      </c>
      <c r="R65" t="str">
        <f t="shared" si="3"/>
        <v>$G65</v>
      </c>
      <c r="S65" t="str">
        <f t="shared" si="4"/>
        <v>$D65</v>
      </c>
      <c r="T65" t="str" cm="1">
        <f t="array" aca="1" ref="T65" ca="1">IFERROR(VLOOKUP(INDIRECT(S65),Equipe!A:C,3,0),"")</f>
        <v/>
      </c>
    </row>
    <row r="66" spans="4:20" x14ac:dyDescent="0.3">
      <c r="D66" s="23"/>
      <c r="E66" s="23"/>
      <c r="F66" s="24"/>
      <c r="G66" s="24"/>
      <c r="H66" s="23"/>
      <c r="J66" s="21" t="str">
        <f t="shared" ca="1" si="9"/>
        <v/>
      </c>
      <c r="K66" t="str" cm="1">
        <f t="array" aca="1" ref="K66" ca="1">IF(T66="Sócio",IF(COUNTIF(Opções!$H$2:$H$13,INDIRECT($P66))&gt;0,IF(AND(INDIRECT($Q66)&lt;L$1/24,INDIRECT($R66)&gt;K$1/24),"x",""),""),"")</f>
        <v/>
      </c>
      <c r="L66" t="str" cm="1">
        <f t="array" aca="1" ref="L66" ca="1">IF(T66="Sócio",IF(COUNTIF(Opções!$H$2:$H$13,INDIRECT($P66))&gt;0,IF(AND(INDIRECT($Q66)&lt;M$1/24,INDIRECT($R66)&gt;L$1/24),"x",""),""),"")</f>
        <v/>
      </c>
      <c r="M66" t="str" cm="1">
        <f t="array" aca="1" ref="M66" ca="1">IF(T66="Sócio",IF(COUNTIF(Opções!$H$2:$H$13,INDIRECT($P66))&gt;0,IF(AND(INDIRECT($Q66)&lt;N$1/24,INDIRECT($R66)&gt;M$1/24),"x",""),""),"")</f>
        <v/>
      </c>
      <c r="N66" t="str" cm="1">
        <f t="array" aca="1" ref="N66" ca="1">IF(T66="Sócio",IF(COUNTIF(Opções!$H$2:$H$13,INDIRECT($P66))&gt;0,IF(AND(INDIRECT($Q66)&lt;O$1/24,INDIRECT($R66)&gt;N$1/24),"x",""),""),"")</f>
        <v/>
      </c>
      <c r="O66" t="str" cm="1">
        <f t="array" aca="1" ref="O66" ca="1">IF(T66="Sócio",IF(COUNTIF(Opções!$H$2:$H$13,INDIRECT($P66))&gt;0,IF(AND(INDIRECT($Q66)&lt;P$1/24,INDIRECT($R66)&gt;O$1/24),"x",""),""),"")</f>
        <v/>
      </c>
      <c r="P66" t="str">
        <f t="shared" si="1"/>
        <v>$E66</v>
      </c>
      <c r="Q66" t="str">
        <f t="shared" si="2"/>
        <v>$F66</v>
      </c>
      <c r="R66" t="str">
        <f t="shared" si="3"/>
        <v>$G66</v>
      </c>
      <c r="S66" t="str">
        <f t="shared" si="4"/>
        <v>$D66</v>
      </c>
      <c r="T66" t="str" cm="1">
        <f t="array" aca="1" ref="T66" ca="1">IFERROR(VLOOKUP(INDIRECT(S66),Equipe!A:C,3,0),"")</f>
        <v/>
      </c>
    </row>
    <row r="67" spans="4:20" x14ac:dyDescent="0.3">
      <c r="D67" s="23"/>
      <c r="E67" s="23"/>
      <c r="F67" s="24"/>
      <c r="G67" s="24"/>
      <c r="H67" s="23"/>
      <c r="J67" s="21" t="str">
        <f t="shared" ca="1" si="9"/>
        <v/>
      </c>
      <c r="K67" t="str" cm="1">
        <f t="array" aca="1" ref="K67" ca="1">IF(T67="Sócio",IF(COUNTIF(Opções!$H$2:$H$13,INDIRECT($P67))&gt;0,IF(AND(INDIRECT($Q67)&lt;L$1/24,INDIRECT($R67)&gt;K$1/24),"x",""),""),"")</f>
        <v/>
      </c>
      <c r="L67" t="str" cm="1">
        <f t="array" aca="1" ref="L67" ca="1">IF(T67="Sócio",IF(COUNTIF(Opções!$H$2:$H$13,INDIRECT($P67))&gt;0,IF(AND(INDIRECT($Q67)&lt;M$1/24,INDIRECT($R67)&gt;L$1/24),"x",""),""),"")</f>
        <v/>
      </c>
      <c r="M67" t="str" cm="1">
        <f t="array" aca="1" ref="M67" ca="1">IF(T67="Sócio",IF(COUNTIF(Opções!$H$2:$H$13,INDIRECT($P67))&gt;0,IF(AND(INDIRECT($Q67)&lt;N$1/24,INDIRECT($R67)&gt;M$1/24),"x",""),""),"")</f>
        <v/>
      </c>
      <c r="N67" t="str" cm="1">
        <f t="array" aca="1" ref="N67" ca="1">IF(T67="Sócio",IF(COUNTIF(Opções!$H$2:$H$13,INDIRECT($P67))&gt;0,IF(AND(INDIRECT($Q67)&lt;O$1/24,INDIRECT($R67)&gt;N$1/24),"x",""),""),"")</f>
        <v/>
      </c>
      <c r="O67" t="str" cm="1">
        <f t="array" aca="1" ref="O67" ca="1">IF(T67="Sócio",IF(COUNTIF(Opções!$H$2:$H$13,INDIRECT($P67))&gt;0,IF(AND(INDIRECT($Q67)&lt;P$1/24,INDIRECT($R67)&gt;O$1/24),"x",""),""),"")</f>
        <v/>
      </c>
      <c r="P67" t="str">
        <f t="shared" si="1"/>
        <v>$E67</v>
      </c>
      <c r="Q67" t="str">
        <f t="shared" si="2"/>
        <v>$F67</v>
      </c>
      <c r="R67" t="str">
        <f t="shared" si="3"/>
        <v>$G67</v>
      </c>
      <c r="S67" t="str">
        <f t="shared" si="4"/>
        <v>$D67</v>
      </c>
      <c r="T67" t="str" cm="1">
        <f t="array" aca="1" ref="T67" ca="1">IFERROR(VLOOKUP(INDIRECT(S67),Equipe!A:C,3,0),"")</f>
        <v/>
      </c>
    </row>
    <row r="68" spans="4:20" x14ac:dyDescent="0.3">
      <c r="D68" s="23"/>
      <c r="E68" s="23"/>
      <c r="F68" s="24"/>
      <c r="G68" s="24"/>
      <c r="H68" s="23"/>
      <c r="J68" s="21" t="str">
        <f t="shared" ca="1" si="9"/>
        <v/>
      </c>
      <c r="K68" t="str" cm="1">
        <f t="array" aca="1" ref="K68" ca="1">IF(T68="Sócio",IF(COUNTIF(Opções!$H$2:$H$13,INDIRECT($P68))&gt;0,IF(AND(INDIRECT($Q68)&lt;L$1/24,INDIRECT($R68)&gt;K$1/24),"x",""),""),"")</f>
        <v/>
      </c>
      <c r="L68" t="str" cm="1">
        <f t="array" aca="1" ref="L68" ca="1">IF(T68="Sócio",IF(COUNTIF(Opções!$H$2:$H$13,INDIRECT($P68))&gt;0,IF(AND(INDIRECT($Q68)&lt;M$1/24,INDIRECT($R68)&gt;L$1/24),"x",""),""),"")</f>
        <v/>
      </c>
      <c r="M68" t="str" cm="1">
        <f t="array" aca="1" ref="M68" ca="1">IF(T68="Sócio",IF(COUNTIF(Opções!$H$2:$H$13,INDIRECT($P68))&gt;0,IF(AND(INDIRECT($Q68)&lt;N$1/24,INDIRECT($R68)&gt;M$1/24),"x",""),""),"")</f>
        <v/>
      </c>
      <c r="N68" t="str" cm="1">
        <f t="array" aca="1" ref="N68" ca="1">IF(T68="Sócio",IF(COUNTIF(Opções!$H$2:$H$13,INDIRECT($P68))&gt;0,IF(AND(INDIRECT($Q68)&lt;O$1/24,INDIRECT($R68)&gt;N$1/24),"x",""),""),"")</f>
        <v/>
      </c>
      <c r="O68" t="str" cm="1">
        <f t="array" aca="1" ref="O68" ca="1">IF(T68="Sócio",IF(COUNTIF(Opções!$H$2:$H$13,INDIRECT($P68))&gt;0,IF(AND(INDIRECT($Q68)&lt;P$1/24,INDIRECT($R68)&gt;O$1/24),"x",""),""),"")</f>
        <v/>
      </c>
      <c r="P68" t="str">
        <f t="shared" si="1"/>
        <v>$E68</v>
      </c>
      <c r="Q68" t="str">
        <f t="shared" si="2"/>
        <v>$F68</v>
      </c>
      <c r="R68" t="str">
        <f t="shared" si="3"/>
        <v>$G68</v>
      </c>
      <c r="S68" t="str">
        <f t="shared" si="4"/>
        <v>$D68</v>
      </c>
      <c r="T68" t="str" cm="1">
        <f t="array" aca="1" ref="T68" ca="1">IFERROR(VLOOKUP(INDIRECT(S68),Equipe!A:C,3,0),"")</f>
        <v/>
      </c>
    </row>
    <row r="69" spans="4:20" x14ac:dyDescent="0.3">
      <c r="D69" s="23"/>
      <c r="E69" s="23"/>
      <c r="F69" s="24"/>
      <c r="G69" s="24"/>
      <c r="H69" s="23"/>
      <c r="J69" s="21" t="str">
        <f t="shared" ca="1" si="9"/>
        <v/>
      </c>
      <c r="K69" t="str" cm="1">
        <f t="array" aca="1" ref="K69" ca="1">IF(T69="Sócio",IF(COUNTIF(Opções!$H$2:$H$13,INDIRECT($P69))&gt;0,IF(AND(INDIRECT($Q69)&lt;L$1/24,INDIRECT($R69)&gt;K$1/24),"x",""),""),"")</f>
        <v/>
      </c>
      <c r="L69" t="str" cm="1">
        <f t="array" aca="1" ref="L69" ca="1">IF(T69="Sócio",IF(COUNTIF(Opções!$H$2:$H$13,INDIRECT($P69))&gt;0,IF(AND(INDIRECT($Q69)&lt;M$1/24,INDIRECT($R69)&gt;L$1/24),"x",""),""),"")</f>
        <v/>
      </c>
      <c r="M69" t="str" cm="1">
        <f t="array" aca="1" ref="M69" ca="1">IF(T69="Sócio",IF(COUNTIF(Opções!$H$2:$H$13,INDIRECT($P69))&gt;0,IF(AND(INDIRECT($Q69)&lt;N$1/24,INDIRECT($R69)&gt;M$1/24),"x",""),""),"")</f>
        <v/>
      </c>
      <c r="N69" t="str" cm="1">
        <f t="array" aca="1" ref="N69" ca="1">IF(T69="Sócio",IF(COUNTIF(Opções!$H$2:$H$13,INDIRECT($P69))&gt;0,IF(AND(INDIRECT($Q69)&lt;O$1/24,INDIRECT($R69)&gt;N$1/24),"x",""),""),"")</f>
        <v/>
      </c>
      <c r="O69" t="str" cm="1">
        <f t="array" aca="1" ref="O69" ca="1">IF(T69="Sócio",IF(COUNTIF(Opções!$H$2:$H$13,INDIRECT($P69))&gt;0,IF(AND(INDIRECT($Q69)&lt;P$1/24,INDIRECT($R69)&gt;O$1/24),"x",""),""),"")</f>
        <v/>
      </c>
      <c r="P69" t="str">
        <f t="shared" si="1"/>
        <v>$E69</v>
      </c>
      <c r="Q69" t="str">
        <f t="shared" si="2"/>
        <v>$F69</v>
      </c>
      <c r="R69" t="str">
        <f t="shared" si="3"/>
        <v>$G69</v>
      </c>
      <c r="S69" t="str">
        <f t="shared" si="4"/>
        <v>$D69</v>
      </c>
      <c r="T69" t="str" cm="1">
        <f t="array" aca="1" ref="T69" ca="1">IFERROR(VLOOKUP(INDIRECT(S69),Equipe!A:C,3,0),"")</f>
        <v/>
      </c>
    </row>
    <row r="70" spans="4:20" x14ac:dyDescent="0.3">
      <c r="D70" s="23"/>
      <c r="E70" s="23"/>
      <c r="F70" s="24"/>
      <c r="G70" s="24"/>
      <c r="H70" s="23"/>
      <c r="J70" s="21" t="str">
        <f t="shared" ca="1" si="9"/>
        <v/>
      </c>
      <c r="K70" t="str" cm="1">
        <f t="array" aca="1" ref="K70" ca="1">IF(T70="Sócio",IF(COUNTIF(Opções!$H$2:$H$13,INDIRECT($P70))&gt;0,IF(AND(INDIRECT($Q70)&lt;L$1/24,INDIRECT($R70)&gt;K$1/24),"x",""),""),"")</f>
        <v/>
      </c>
      <c r="L70" t="str" cm="1">
        <f t="array" aca="1" ref="L70" ca="1">IF(T70="Sócio",IF(COUNTIF(Opções!$H$2:$H$13,INDIRECT($P70))&gt;0,IF(AND(INDIRECT($Q70)&lt;M$1/24,INDIRECT($R70)&gt;L$1/24),"x",""),""),"")</f>
        <v/>
      </c>
      <c r="M70" t="str" cm="1">
        <f t="array" aca="1" ref="M70" ca="1">IF(T70="Sócio",IF(COUNTIF(Opções!$H$2:$H$13,INDIRECT($P70))&gt;0,IF(AND(INDIRECT($Q70)&lt;N$1/24,INDIRECT($R70)&gt;M$1/24),"x",""),""),"")</f>
        <v/>
      </c>
      <c r="N70" t="str" cm="1">
        <f t="array" aca="1" ref="N70" ca="1">IF(T70="Sócio",IF(COUNTIF(Opções!$H$2:$H$13,INDIRECT($P70))&gt;0,IF(AND(INDIRECT($Q70)&lt;O$1/24,INDIRECT($R70)&gt;N$1/24),"x",""),""),"")</f>
        <v/>
      </c>
      <c r="O70" t="str" cm="1">
        <f t="array" aca="1" ref="O70" ca="1">IF(T70="Sócio",IF(COUNTIF(Opções!$H$2:$H$13,INDIRECT($P70))&gt;0,IF(AND(INDIRECT($Q70)&lt;P$1/24,INDIRECT($R70)&gt;O$1/24),"x",""),""),"")</f>
        <v/>
      </c>
      <c r="P70" t="str">
        <f t="shared" si="1"/>
        <v>$E70</v>
      </c>
      <c r="Q70" t="str">
        <f t="shared" si="2"/>
        <v>$F70</v>
      </c>
      <c r="R70" t="str">
        <f t="shared" si="3"/>
        <v>$G70</v>
      </c>
      <c r="S70" t="str">
        <f t="shared" si="4"/>
        <v>$D70</v>
      </c>
      <c r="T70" t="str" cm="1">
        <f t="array" aca="1" ref="T70" ca="1">IFERROR(VLOOKUP(INDIRECT(S70),Equipe!A:C,3,0),"")</f>
        <v/>
      </c>
    </row>
    <row r="71" spans="4:20" x14ac:dyDescent="0.3">
      <c r="D71" s="23"/>
      <c r="E71" s="23"/>
      <c r="F71" s="24"/>
      <c r="G71" s="24"/>
      <c r="H71" s="23"/>
      <c r="J71" s="21" t="str">
        <f t="shared" ca="1" si="9"/>
        <v/>
      </c>
      <c r="K71" t="str" cm="1">
        <f t="array" aca="1" ref="K71" ca="1">IF(T71="Sócio",IF(COUNTIF(Opções!$H$2:$H$13,INDIRECT($P71))&gt;0,IF(AND(INDIRECT($Q71)&lt;L$1/24,INDIRECT($R71)&gt;K$1/24),"x",""),""),"")</f>
        <v/>
      </c>
      <c r="L71" t="str" cm="1">
        <f t="array" aca="1" ref="L71" ca="1">IF(T71="Sócio",IF(COUNTIF(Opções!$H$2:$H$13,INDIRECT($P71))&gt;0,IF(AND(INDIRECT($Q71)&lt;M$1/24,INDIRECT($R71)&gt;L$1/24),"x",""),""),"")</f>
        <v/>
      </c>
      <c r="M71" t="str" cm="1">
        <f t="array" aca="1" ref="M71" ca="1">IF(T71="Sócio",IF(COUNTIF(Opções!$H$2:$H$13,INDIRECT($P71))&gt;0,IF(AND(INDIRECT($Q71)&lt;N$1/24,INDIRECT($R71)&gt;M$1/24),"x",""),""),"")</f>
        <v/>
      </c>
      <c r="N71" t="str" cm="1">
        <f t="array" aca="1" ref="N71" ca="1">IF(T71="Sócio",IF(COUNTIF(Opções!$H$2:$H$13,INDIRECT($P71))&gt;0,IF(AND(INDIRECT($Q71)&lt;O$1/24,INDIRECT($R71)&gt;N$1/24),"x",""),""),"")</f>
        <v/>
      </c>
      <c r="O71" t="str" cm="1">
        <f t="array" aca="1" ref="O71" ca="1">IF(T71="Sócio",IF(COUNTIF(Opções!$H$2:$H$13,INDIRECT($P71))&gt;0,IF(AND(INDIRECT($Q71)&lt;P$1/24,INDIRECT($R71)&gt;O$1/24),"x",""),""),"")</f>
        <v/>
      </c>
      <c r="P71" t="str">
        <f t="shared" si="1"/>
        <v>$E71</v>
      </c>
      <c r="Q71" t="str">
        <f t="shared" si="2"/>
        <v>$F71</v>
      </c>
      <c r="R71" t="str">
        <f t="shared" si="3"/>
        <v>$G71</v>
      </c>
      <c r="S71" t="str">
        <f t="shared" si="4"/>
        <v>$D71</v>
      </c>
      <c r="T71" t="str" cm="1">
        <f t="array" aca="1" ref="T71" ca="1">IFERROR(VLOOKUP(INDIRECT(S71),Equipe!A:C,3,0),"")</f>
        <v/>
      </c>
    </row>
    <row r="72" spans="4:20" x14ac:dyDescent="0.3">
      <c r="D72" s="23"/>
      <c r="E72" s="23"/>
      <c r="F72" s="24"/>
      <c r="G72" s="24"/>
      <c r="H72" s="23"/>
      <c r="J72" s="21" t="str">
        <f t="shared" ca="1" si="9"/>
        <v/>
      </c>
      <c r="K72" t="str" cm="1">
        <f t="array" aca="1" ref="K72" ca="1">IF(T72="Sócio",IF(COUNTIF(Opções!$H$2:$H$13,INDIRECT($P72))&gt;0,IF(AND(INDIRECT($Q72)&lt;L$1/24,INDIRECT($R72)&gt;K$1/24),"x",""),""),"")</f>
        <v/>
      </c>
      <c r="L72" t="str" cm="1">
        <f t="array" aca="1" ref="L72" ca="1">IF(T72="Sócio",IF(COUNTIF(Opções!$H$2:$H$13,INDIRECT($P72))&gt;0,IF(AND(INDIRECT($Q72)&lt;M$1/24,INDIRECT($R72)&gt;L$1/24),"x",""),""),"")</f>
        <v/>
      </c>
      <c r="M72" t="str" cm="1">
        <f t="array" aca="1" ref="M72" ca="1">IF(T72="Sócio",IF(COUNTIF(Opções!$H$2:$H$13,INDIRECT($P72))&gt;0,IF(AND(INDIRECT($Q72)&lt;N$1/24,INDIRECT($R72)&gt;M$1/24),"x",""),""),"")</f>
        <v/>
      </c>
      <c r="N72" t="str" cm="1">
        <f t="array" aca="1" ref="N72" ca="1">IF(T72="Sócio",IF(COUNTIF(Opções!$H$2:$H$13,INDIRECT($P72))&gt;0,IF(AND(INDIRECT($Q72)&lt;O$1/24,INDIRECT($R72)&gt;N$1/24),"x",""),""),"")</f>
        <v/>
      </c>
      <c r="O72" t="str" cm="1">
        <f t="array" aca="1" ref="O72" ca="1">IF(T72="Sócio",IF(COUNTIF(Opções!$H$2:$H$13,INDIRECT($P72))&gt;0,IF(AND(INDIRECT($Q72)&lt;P$1/24,INDIRECT($R72)&gt;O$1/24),"x",""),""),"")</f>
        <v/>
      </c>
      <c r="P72" t="str">
        <f t="shared" si="1"/>
        <v>$E72</v>
      </c>
      <c r="Q72" t="str">
        <f t="shared" si="2"/>
        <v>$F72</v>
      </c>
      <c r="R72" t="str">
        <f t="shared" si="3"/>
        <v>$G72</v>
      </c>
      <c r="S72" t="str">
        <f t="shared" si="4"/>
        <v>$D72</v>
      </c>
      <c r="T72" t="str" cm="1">
        <f t="array" aca="1" ref="T72" ca="1">IFERROR(VLOOKUP(INDIRECT(S72),Equipe!A:C,3,0),"")</f>
        <v/>
      </c>
    </row>
    <row r="73" spans="4:20" x14ac:dyDescent="0.3">
      <c r="D73" s="23"/>
      <c r="E73" s="23"/>
      <c r="F73" s="24"/>
      <c r="G73" s="24"/>
      <c r="H73" s="23"/>
      <c r="J73" s="21" t="str">
        <f t="shared" ca="1" si="9"/>
        <v/>
      </c>
      <c r="K73" t="str" cm="1">
        <f t="array" aca="1" ref="K73" ca="1">IF(T73="Sócio",IF(COUNTIF(Opções!$H$2:$H$13,INDIRECT($P73))&gt;0,IF(AND(INDIRECT($Q73)&lt;L$1/24,INDIRECT($R73)&gt;K$1/24),"x",""),""),"")</f>
        <v/>
      </c>
      <c r="L73" t="str" cm="1">
        <f t="array" aca="1" ref="L73" ca="1">IF(T73="Sócio",IF(COUNTIF(Opções!$H$2:$H$13,INDIRECT($P73))&gt;0,IF(AND(INDIRECT($Q73)&lt;M$1/24,INDIRECT($R73)&gt;L$1/24),"x",""),""),"")</f>
        <v/>
      </c>
      <c r="M73" t="str" cm="1">
        <f t="array" aca="1" ref="M73" ca="1">IF(T73="Sócio",IF(COUNTIF(Opções!$H$2:$H$13,INDIRECT($P73))&gt;0,IF(AND(INDIRECT($Q73)&lt;N$1/24,INDIRECT($R73)&gt;M$1/24),"x",""),""),"")</f>
        <v/>
      </c>
      <c r="N73" t="str" cm="1">
        <f t="array" aca="1" ref="N73" ca="1">IF(T73="Sócio",IF(COUNTIF(Opções!$H$2:$H$13,INDIRECT($P73))&gt;0,IF(AND(INDIRECT($Q73)&lt;O$1/24,INDIRECT($R73)&gt;N$1/24),"x",""),""),"")</f>
        <v/>
      </c>
      <c r="O73" t="str" cm="1">
        <f t="array" aca="1" ref="O73" ca="1">IF(T73="Sócio",IF(COUNTIF(Opções!$H$2:$H$13,INDIRECT($P73))&gt;0,IF(AND(INDIRECT($Q73)&lt;P$1/24,INDIRECT($R73)&gt;O$1/24),"x",""),""),"")</f>
        <v/>
      </c>
      <c r="P73" t="str">
        <f t="shared" si="1"/>
        <v>$E73</v>
      </c>
      <c r="Q73" t="str">
        <f t="shared" si="2"/>
        <v>$F73</v>
      </c>
      <c r="R73" t="str">
        <f t="shared" si="3"/>
        <v>$G73</v>
      </c>
      <c r="S73" t="str">
        <f t="shared" si="4"/>
        <v>$D73</v>
      </c>
      <c r="T73" t="str" cm="1">
        <f t="array" aca="1" ref="T73" ca="1">IFERROR(VLOOKUP(INDIRECT(S73),Equipe!A:C,3,0),"")</f>
        <v/>
      </c>
    </row>
    <row r="74" spans="4:20" x14ac:dyDescent="0.3">
      <c r="D74" s="23"/>
      <c r="E74" s="23"/>
      <c r="F74" s="24"/>
      <c r="G74" s="24"/>
      <c r="H74" s="23"/>
      <c r="J74" s="21" t="str">
        <f t="shared" ca="1" si="9"/>
        <v/>
      </c>
      <c r="K74" t="str" cm="1">
        <f t="array" aca="1" ref="K74" ca="1">IF(T74="Sócio",IF(COUNTIF(Opções!$H$2:$H$13,INDIRECT($P74))&gt;0,IF(AND(INDIRECT($Q74)&lt;L$1/24,INDIRECT($R74)&gt;K$1/24),"x",""),""),"")</f>
        <v/>
      </c>
      <c r="L74" t="str" cm="1">
        <f t="array" aca="1" ref="L74" ca="1">IF(T74="Sócio",IF(COUNTIF(Opções!$H$2:$H$13,INDIRECT($P74))&gt;0,IF(AND(INDIRECT($Q74)&lt;M$1/24,INDIRECT($R74)&gt;L$1/24),"x",""),""),"")</f>
        <v/>
      </c>
      <c r="M74" t="str" cm="1">
        <f t="array" aca="1" ref="M74" ca="1">IF(T74="Sócio",IF(COUNTIF(Opções!$H$2:$H$13,INDIRECT($P74))&gt;0,IF(AND(INDIRECT($Q74)&lt;N$1/24,INDIRECT($R74)&gt;M$1/24),"x",""),""),"")</f>
        <v/>
      </c>
      <c r="N74" t="str" cm="1">
        <f t="array" aca="1" ref="N74" ca="1">IF(T74="Sócio",IF(COUNTIF(Opções!$H$2:$H$13,INDIRECT($P74))&gt;0,IF(AND(INDIRECT($Q74)&lt;O$1/24,INDIRECT($R74)&gt;N$1/24),"x",""),""),"")</f>
        <v/>
      </c>
      <c r="O74" t="str" cm="1">
        <f t="array" aca="1" ref="O74" ca="1">IF(T74="Sócio",IF(COUNTIF(Opções!$H$2:$H$13,INDIRECT($P74))&gt;0,IF(AND(INDIRECT($Q74)&lt;P$1/24,INDIRECT($R74)&gt;O$1/24),"x",""),""),"")</f>
        <v/>
      </c>
      <c r="P74" t="str">
        <f t="shared" si="1"/>
        <v>$E74</v>
      </c>
      <c r="Q74" t="str">
        <f t="shared" si="2"/>
        <v>$F74</v>
      </c>
      <c r="R74" t="str">
        <f t="shared" si="3"/>
        <v>$G74</v>
      </c>
      <c r="S74" t="str">
        <f t="shared" si="4"/>
        <v>$D74</v>
      </c>
      <c r="T74" t="str" cm="1">
        <f t="array" aca="1" ref="T74" ca="1">IFERROR(VLOOKUP(INDIRECT(S74),Equipe!A:C,3,0),"")</f>
        <v/>
      </c>
    </row>
    <row r="75" spans="4:20" x14ac:dyDescent="0.3">
      <c r="D75" s="23"/>
      <c r="E75" s="23"/>
      <c r="F75" s="24"/>
      <c r="G75" s="24"/>
      <c r="H75" s="23"/>
      <c r="J75" s="21" t="str">
        <f t="shared" ca="1" si="9"/>
        <v/>
      </c>
      <c r="K75" t="str" cm="1">
        <f t="array" aca="1" ref="K75" ca="1">IF(T75="Sócio",IF(COUNTIF(Opções!$H$2:$H$13,INDIRECT($P75))&gt;0,IF(AND(INDIRECT($Q75)&lt;L$1/24,INDIRECT($R75)&gt;K$1/24),"x",""),""),"")</f>
        <v/>
      </c>
      <c r="L75" t="str" cm="1">
        <f t="array" aca="1" ref="L75" ca="1">IF(T75="Sócio",IF(COUNTIF(Opções!$H$2:$H$13,INDIRECT($P75))&gt;0,IF(AND(INDIRECT($Q75)&lt;M$1/24,INDIRECT($R75)&gt;L$1/24),"x",""),""),"")</f>
        <v/>
      </c>
      <c r="M75" t="str" cm="1">
        <f t="array" aca="1" ref="M75" ca="1">IF(T75="Sócio",IF(COUNTIF(Opções!$H$2:$H$13,INDIRECT($P75))&gt;0,IF(AND(INDIRECT($Q75)&lt;N$1/24,INDIRECT($R75)&gt;M$1/24),"x",""),""),"")</f>
        <v/>
      </c>
      <c r="N75" t="str" cm="1">
        <f t="array" aca="1" ref="N75" ca="1">IF(T75="Sócio",IF(COUNTIF(Opções!$H$2:$H$13,INDIRECT($P75))&gt;0,IF(AND(INDIRECT($Q75)&lt;O$1/24,INDIRECT($R75)&gt;N$1/24),"x",""),""),"")</f>
        <v/>
      </c>
      <c r="O75" t="str" cm="1">
        <f t="array" aca="1" ref="O75" ca="1">IF(T75="Sócio",IF(COUNTIF(Opções!$H$2:$H$13,INDIRECT($P75))&gt;0,IF(AND(INDIRECT($Q75)&lt;P$1/24,INDIRECT($R75)&gt;O$1/24),"x",""),""),"")</f>
        <v/>
      </c>
      <c r="P75" t="str">
        <f t="shared" si="1"/>
        <v>$E75</v>
      </c>
      <c r="Q75" t="str">
        <f t="shared" si="2"/>
        <v>$F75</v>
      </c>
      <c r="R75" t="str">
        <f t="shared" si="3"/>
        <v>$G75</v>
      </c>
      <c r="S75" t="str">
        <f t="shared" si="4"/>
        <v>$D75</v>
      </c>
      <c r="T75" t="str" cm="1">
        <f t="array" aca="1" ref="T75" ca="1">IFERROR(VLOOKUP(INDIRECT(S75),Equipe!A:C,3,0),"")</f>
        <v/>
      </c>
    </row>
    <row r="76" spans="4:20" x14ac:dyDescent="0.3">
      <c r="D76" s="23"/>
      <c r="E76" s="23"/>
      <c r="F76" s="24"/>
      <c r="G76" s="24"/>
      <c r="H76" s="23"/>
      <c r="J76" s="21" t="str">
        <f t="shared" ca="1" si="9"/>
        <v/>
      </c>
      <c r="K76" t="str" cm="1">
        <f t="array" aca="1" ref="K76" ca="1">IF(T76="Sócio",IF(COUNTIF(Opções!$H$2:$H$13,INDIRECT($P76))&gt;0,IF(AND(INDIRECT($Q76)&lt;L$1/24,INDIRECT($R76)&gt;K$1/24),"x",""),""),"")</f>
        <v/>
      </c>
      <c r="L76" t="str" cm="1">
        <f t="array" aca="1" ref="L76" ca="1">IF(T76="Sócio",IF(COUNTIF(Opções!$H$2:$H$13,INDIRECT($P76))&gt;0,IF(AND(INDIRECT($Q76)&lt;M$1/24,INDIRECT($R76)&gt;L$1/24),"x",""),""),"")</f>
        <v/>
      </c>
      <c r="M76" t="str" cm="1">
        <f t="array" aca="1" ref="M76" ca="1">IF(T76="Sócio",IF(COUNTIF(Opções!$H$2:$H$13,INDIRECT($P76))&gt;0,IF(AND(INDIRECT($Q76)&lt;N$1/24,INDIRECT($R76)&gt;M$1/24),"x",""),""),"")</f>
        <v/>
      </c>
      <c r="N76" t="str" cm="1">
        <f t="array" aca="1" ref="N76" ca="1">IF(T76="Sócio",IF(COUNTIF(Opções!$H$2:$H$13,INDIRECT($P76))&gt;0,IF(AND(INDIRECT($Q76)&lt;O$1/24,INDIRECT($R76)&gt;N$1/24),"x",""),""),"")</f>
        <v/>
      </c>
      <c r="O76" t="str" cm="1">
        <f t="array" aca="1" ref="O76" ca="1">IF(T76="Sócio",IF(COUNTIF(Opções!$H$2:$H$13,INDIRECT($P76))&gt;0,IF(AND(INDIRECT($Q76)&lt;P$1/24,INDIRECT($R76)&gt;O$1/24),"x",""),""),"")</f>
        <v/>
      </c>
      <c r="P76" t="str">
        <f t="shared" si="1"/>
        <v>$E76</v>
      </c>
      <c r="Q76" t="str">
        <f t="shared" si="2"/>
        <v>$F76</v>
      </c>
      <c r="R76" t="str">
        <f t="shared" si="3"/>
        <v>$G76</v>
      </c>
      <c r="S76" t="str">
        <f t="shared" si="4"/>
        <v>$D76</v>
      </c>
      <c r="T76" t="str" cm="1">
        <f t="array" aca="1" ref="T76" ca="1">IFERROR(VLOOKUP(INDIRECT(S76),Equipe!A:C,3,0),"")</f>
        <v/>
      </c>
    </row>
    <row r="77" spans="4:20" x14ac:dyDescent="0.3">
      <c r="D77" s="23"/>
      <c r="E77" s="23"/>
      <c r="F77" s="24"/>
      <c r="G77" s="24"/>
      <c r="H77" s="23"/>
      <c r="J77" s="21" t="str">
        <f t="shared" ca="1" si="9"/>
        <v/>
      </c>
      <c r="K77" t="str" cm="1">
        <f t="array" aca="1" ref="K77" ca="1">IF(T77="Sócio",IF(COUNTIF(Opções!$H$2:$H$13,INDIRECT($P77))&gt;0,IF(AND(INDIRECT($Q77)&lt;L$1/24,INDIRECT($R77)&gt;K$1/24),"x",""),""),"")</f>
        <v/>
      </c>
      <c r="L77" t="str" cm="1">
        <f t="array" aca="1" ref="L77" ca="1">IF(T77="Sócio",IF(COUNTIF(Opções!$H$2:$H$13,INDIRECT($P77))&gt;0,IF(AND(INDIRECT($Q77)&lt;M$1/24,INDIRECT($R77)&gt;L$1/24),"x",""),""),"")</f>
        <v/>
      </c>
      <c r="M77" t="str" cm="1">
        <f t="array" aca="1" ref="M77" ca="1">IF(T77="Sócio",IF(COUNTIF(Opções!$H$2:$H$13,INDIRECT($P77))&gt;0,IF(AND(INDIRECT($Q77)&lt;N$1/24,INDIRECT($R77)&gt;M$1/24),"x",""),""),"")</f>
        <v/>
      </c>
      <c r="N77" t="str" cm="1">
        <f t="array" aca="1" ref="N77" ca="1">IF(T77="Sócio",IF(COUNTIF(Opções!$H$2:$H$13,INDIRECT($P77))&gt;0,IF(AND(INDIRECT($Q77)&lt;O$1/24,INDIRECT($R77)&gt;N$1/24),"x",""),""),"")</f>
        <v/>
      </c>
      <c r="O77" t="str" cm="1">
        <f t="array" aca="1" ref="O77" ca="1">IF(T77="Sócio",IF(COUNTIF(Opções!$H$2:$H$13,INDIRECT($P77))&gt;0,IF(AND(INDIRECT($Q77)&lt;P$1/24,INDIRECT($R77)&gt;O$1/24),"x",""),""),"")</f>
        <v/>
      </c>
      <c r="P77" t="str">
        <f t="shared" si="1"/>
        <v>$E77</v>
      </c>
      <c r="Q77" t="str">
        <f t="shared" si="2"/>
        <v>$F77</v>
      </c>
      <c r="R77" t="str">
        <f t="shared" si="3"/>
        <v>$G77</v>
      </c>
      <c r="S77" t="str">
        <f t="shared" si="4"/>
        <v>$D77</v>
      </c>
      <c r="T77" t="str" cm="1">
        <f t="array" aca="1" ref="T77" ca="1">IFERROR(VLOOKUP(INDIRECT(S77),Equipe!A:C,3,0),"")</f>
        <v/>
      </c>
    </row>
    <row r="78" spans="4:20" x14ac:dyDescent="0.3">
      <c r="D78" s="23"/>
      <c r="E78" s="23"/>
      <c r="F78" s="24"/>
      <c r="G78" s="24"/>
      <c r="H78" s="23"/>
      <c r="J78" s="21" t="str">
        <f t="shared" ca="1" si="9"/>
        <v/>
      </c>
      <c r="K78" t="str" cm="1">
        <f t="array" aca="1" ref="K78" ca="1">IF(T78="Sócio",IF(COUNTIF(Opções!$H$2:$H$13,INDIRECT($P78))&gt;0,IF(AND(INDIRECT($Q78)&lt;L$1/24,INDIRECT($R78)&gt;K$1/24),"x",""),""),"")</f>
        <v/>
      </c>
      <c r="L78" t="str" cm="1">
        <f t="array" aca="1" ref="L78" ca="1">IF(T78="Sócio",IF(COUNTIF(Opções!$H$2:$H$13,INDIRECT($P78))&gt;0,IF(AND(INDIRECT($Q78)&lt;M$1/24,INDIRECT($R78)&gt;L$1/24),"x",""),""),"")</f>
        <v/>
      </c>
      <c r="M78" t="str" cm="1">
        <f t="array" aca="1" ref="M78" ca="1">IF(T78="Sócio",IF(COUNTIF(Opções!$H$2:$H$13,INDIRECT($P78))&gt;0,IF(AND(INDIRECT($Q78)&lt;N$1/24,INDIRECT($R78)&gt;M$1/24),"x",""),""),"")</f>
        <v/>
      </c>
      <c r="N78" t="str" cm="1">
        <f t="array" aca="1" ref="N78" ca="1">IF(T78="Sócio",IF(COUNTIF(Opções!$H$2:$H$13,INDIRECT($P78))&gt;0,IF(AND(INDIRECT($Q78)&lt;O$1/24,INDIRECT($R78)&gt;N$1/24),"x",""),""),"")</f>
        <v/>
      </c>
      <c r="O78" t="str" cm="1">
        <f t="array" aca="1" ref="O78" ca="1">IF(T78="Sócio",IF(COUNTIF(Opções!$H$2:$H$13,INDIRECT($P78))&gt;0,IF(AND(INDIRECT($Q78)&lt;P$1/24,INDIRECT($R78)&gt;O$1/24),"x",""),""),"")</f>
        <v/>
      </c>
      <c r="P78" t="str">
        <f t="shared" si="1"/>
        <v>$E78</v>
      </c>
      <c r="Q78" t="str">
        <f t="shared" si="2"/>
        <v>$F78</v>
      </c>
      <c r="R78" t="str">
        <f t="shared" si="3"/>
        <v>$G78</v>
      </c>
      <c r="S78" t="str">
        <f t="shared" si="4"/>
        <v>$D78</v>
      </c>
      <c r="T78" t="str" cm="1">
        <f t="array" aca="1" ref="T78" ca="1">IFERROR(VLOOKUP(INDIRECT(S78),Equipe!A:C,3,0),"")</f>
        <v/>
      </c>
    </row>
    <row r="79" spans="4:20" x14ac:dyDescent="0.3">
      <c r="D79" s="23"/>
      <c r="E79" s="23"/>
      <c r="F79" s="24"/>
      <c r="G79" s="24"/>
      <c r="H79" s="23"/>
      <c r="J79" s="21" t="str">
        <f t="shared" ca="1" si="9"/>
        <v/>
      </c>
      <c r="K79" t="str" cm="1">
        <f t="array" aca="1" ref="K79" ca="1">IF(T79="Sócio",IF(COUNTIF(Opções!$H$2:$H$13,INDIRECT($P79))&gt;0,IF(AND(INDIRECT($Q79)&lt;L$1/24,INDIRECT($R79)&gt;K$1/24),"x",""),""),"")</f>
        <v/>
      </c>
      <c r="L79" t="str" cm="1">
        <f t="array" aca="1" ref="L79" ca="1">IF(T79="Sócio",IF(COUNTIF(Opções!$H$2:$H$13,INDIRECT($P79))&gt;0,IF(AND(INDIRECT($Q79)&lt;M$1/24,INDIRECT($R79)&gt;L$1/24),"x",""),""),"")</f>
        <v/>
      </c>
      <c r="M79" t="str" cm="1">
        <f t="array" aca="1" ref="M79" ca="1">IF(T79="Sócio",IF(COUNTIF(Opções!$H$2:$H$13,INDIRECT($P79))&gt;0,IF(AND(INDIRECT($Q79)&lt;N$1/24,INDIRECT($R79)&gt;M$1/24),"x",""),""),"")</f>
        <v/>
      </c>
      <c r="N79" t="str" cm="1">
        <f t="array" aca="1" ref="N79" ca="1">IF(T79="Sócio",IF(COUNTIF(Opções!$H$2:$H$13,INDIRECT($P79))&gt;0,IF(AND(INDIRECT($Q79)&lt;O$1/24,INDIRECT($R79)&gt;N$1/24),"x",""),""),"")</f>
        <v/>
      </c>
      <c r="O79" t="str" cm="1">
        <f t="array" aca="1" ref="O79" ca="1">IF(T79="Sócio",IF(COUNTIF(Opções!$H$2:$H$13,INDIRECT($P79))&gt;0,IF(AND(INDIRECT($Q79)&lt;P$1/24,INDIRECT($R79)&gt;O$1/24),"x",""),""),"")</f>
        <v/>
      </c>
      <c r="P79" t="str">
        <f t="shared" si="1"/>
        <v>$E79</v>
      </c>
      <c r="Q79" t="str">
        <f t="shared" si="2"/>
        <v>$F79</v>
      </c>
      <c r="R79" t="str">
        <f t="shared" si="3"/>
        <v>$G79</v>
      </c>
      <c r="S79" t="str">
        <f t="shared" si="4"/>
        <v>$D79</v>
      </c>
      <c r="T79" t="str" cm="1">
        <f t="array" aca="1" ref="T79" ca="1">IFERROR(VLOOKUP(INDIRECT(S79),Equipe!A:C,3,0),"")</f>
        <v/>
      </c>
    </row>
    <row r="80" spans="4:20" x14ac:dyDescent="0.3">
      <c r="D80" s="23"/>
      <c r="E80" s="23"/>
      <c r="F80" s="24"/>
      <c r="G80" s="24"/>
      <c r="H80" s="23"/>
      <c r="J80" s="21" t="str">
        <f t="shared" ca="1" si="9"/>
        <v/>
      </c>
      <c r="K80" t="str" cm="1">
        <f t="array" aca="1" ref="K80" ca="1">IF(T80="Sócio",IF(COUNTIF(Opções!$H$2:$H$13,INDIRECT($P80))&gt;0,IF(AND(INDIRECT($Q80)&lt;L$1/24,INDIRECT($R80)&gt;K$1/24),"x",""),""),"")</f>
        <v/>
      </c>
      <c r="L80" t="str" cm="1">
        <f t="array" aca="1" ref="L80" ca="1">IF(T80="Sócio",IF(COUNTIF(Opções!$H$2:$H$13,INDIRECT($P80))&gt;0,IF(AND(INDIRECT($Q80)&lt;M$1/24,INDIRECT($R80)&gt;L$1/24),"x",""),""),"")</f>
        <v/>
      </c>
      <c r="M80" t="str" cm="1">
        <f t="array" aca="1" ref="M80" ca="1">IF(T80="Sócio",IF(COUNTIF(Opções!$H$2:$H$13,INDIRECT($P80))&gt;0,IF(AND(INDIRECT($Q80)&lt;N$1/24,INDIRECT($R80)&gt;M$1/24),"x",""),""),"")</f>
        <v/>
      </c>
      <c r="N80" t="str" cm="1">
        <f t="array" aca="1" ref="N80" ca="1">IF(T80="Sócio",IF(COUNTIF(Opções!$H$2:$H$13,INDIRECT($P80))&gt;0,IF(AND(INDIRECT($Q80)&lt;O$1/24,INDIRECT($R80)&gt;N$1/24),"x",""),""),"")</f>
        <v/>
      </c>
      <c r="O80" t="str" cm="1">
        <f t="array" aca="1" ref="O80" ca="1">IF(T80="Sócio",IF(COUNTIF(Opções!$H$2:$H$13,INDIRECT($P80))&gt;0,IF(AND(INDIRECT($Q80)&lt;P$1/24,INDIRECT($R80)&gt;O$1/24),"x",""),""),"")</f>
        <v/>
      </c>
      <c r="P80" t="str">
        <f t="shared" ref="P80:P143" si="10">"$E"&amp;ROW(N80)</f>
        <v>$E80</v>
      </c>
      <c r="Q80" t="str">
        <f t="shared" si="2"/>
        <v>$F80</v>
      </c>
      <c r="R80" t="str">
        <f t="shared" si="3"/>
        <v>$G80</v>
      </c>
      <c r="S80" t="str">
        <f t="shared" ref="S80:S143" si="11">"$D"&amp;ROW(R80)</f>
        <v>$D80</v>
      </c>
      <c r="T80" t="str" cm="1">
        <f t="array" aca="1" ref="T80" ca="1">IFERROR(VLOOKUP(INDIRECT(S80),Equipe!A:C,3,0),"")</f>
        <v/>
      </c>
    </row>
    <row r="81" spans="4:20" x14ac:dyDescent="0.3">
      <c r="D81" s="23"/>
      <c r="E81" s="23"/>
      <c r="F81" s="24"/>
      <c r="G81" s="24"/>
      <c r="H81" s="23"/>
      <c r="J81" s="21" t="str">
        <f t="shared" ca="1" si="9"/>
        <v/>
      </c>
      <c r="K81" t="str" cm="1">
        <f t="array" aca="1" ref="K81" ca="1">IF(T81="Sócio",IF(COUNTIF(Opções!$H$2:$H$13,INDIRECT($P81))&gt;0,IF(AND(INDIRECT($Q81)&lt;L$1/24,INDIRECT($R81)&gt;K$1/24),"x",""),""),"")</f>
        <v/>
      </c>
      <c r="L81" t="str" cm="1">
        <f t="array" aca="1" ref="L81" ca="1">IF(T81="Sócio",IF(COUNTIF(Opções!$H$2:$H$13,INDIRECT($P81))&gt;0,IF(AND(INDIRECT($Q81)&lt;M$1/24,INDIRECT($R81)&gt;L$1/24),"x",""),""),"")</f>
        <v/>
      </c>
      <c r="M81" t="str" cm="1">
        <f t="array" aca="1" ref="M81" ca="1">IF(T81="Sócio",IF(COUNTIF(Opções!$H$2:$H$13,INDIRECT($P81))&gt;0,IF(AND(INDIRECT($Q81)&lt;N$1/24,INDIRECT($R81)&gt;M$1/24),"x",""),""),"")</f>
        <v/>
      </c>
      <c r="N81" t="str" cm="1">
        <f t="array" aca="1" ref="N81" ca="1">IF(T81="Sócio",IF(COUNTIF(Opções!$H$2:$H$13,INDIRECT($P81))&gt;0,IF(AND(INDIRECT($Q81)&lt;O$1/24,INDIRECT($R81)&gt;N$1/24),"x",""),""),"")</f>
        <v/>
      </c>
      <c r="O81" t="str" cm="1">
        <f t="array" aca="1" ref="O81" ca="1">IF(T81="Sócio",IF(COUNTIF(Opções!$H$2:$H$13,INDIRECT($P81))&gt;0,IF(AND(INDIRECT($Q81)&lt;P$1/24,INDIRECT($R81)&gt;O$1/24),"x",""),""),"")</f>
        <v/>
      </c>
      <c r="P81" t="str">
        <f t="shared" si="10"/>
        <v>$E81</v>
      </c>
      <c r="Q81" t="str">
        <f t="shared" si="2"/>
        <v>$F81</v>
      </c>
      <c r="R81" t="str">
        <f t="shared" si="3"/>
        <v>$G81</v>
      </c>
      <c r="S81" t="str">
        <f t="shared" si="11"/>
        <v>$D81</v>
      </c>
      <c r="T81" t="str" cm="1">
        <f t="array" aca="1" ref="T81" ca="1">IFERROR(VLOOKUP(INDIRECT(S81),Equipe!A:C,3,0),"")</f>
        <v/>
      </c>
    </row>
    <row r="82" spans="4:20" x14ac:dyDescent="0.3">
      <c r="D82" s="23"/>
      <c r="E82" s="23"/>
      <c r="F82" s="24"/>
      <c r="G82" s="24"/>
      <c r="H82" s="23"/>
      <c r="J82" s="21" t="str">
        <f t="shared" ca="1" si="9"/>
        <v/>
      </c>
      <c r="K82" t="str" cm="1">
        <f t="array" aca="1" ref="K82" ca="1">IF(T82="Sócio",IF(COUNTIF(Opções!$H$2:$H$13,INDIRECT($P82))&gt;0,IF(AND(INDIRECT($Q82)&lt;L$1/24,INDIRECT($R82)&gt;K$1/24),"x",""),""),"")</f>
        <v/>
      </c>
      <c r="L82" t="str" cm="1">
        <f t="array" aca="1" ref="L82" ca="1">IF(T82="Sócio",IF(COUNTIF(Opções!$H$2:$H$13,INDIRECT($P82))&gt;0,IF(AND(INDIRECT($Q82)&lt;M$1/24,INDIRECT($R82)&gt;L$1/24),"x",""),""),"")</f>
        <v/>
      </c>
      <c r="M82" t="str" cm="1">
        <f t="array" aca="1" ref="M82" ca="1">IF(T82="Sócio",IF(COUNTIF(Opções!$H$2:$H$13,INDIRECT($P82))&gt;0,IF(AND(INDIRECT($Q82)&lt;N$1/24,INDIRECT($R82)&gt;M$1/24),"x",""),""),"")</f>
        <v/>
      </c>
      <c r="N82" t="str" cm="1">
        <f t="array" aca="1" ref="N82" ca="1">IF(T82="Sócio",IF(COUNTIF(Opções!$H$2:$H$13,INDIRECT($P82))&gt;0,IF(AND(INDIRECT($Q82)&lt;O$1/24,INDIRECT($R82)&gt;N$1/24),"x",""),""),"")</f>
        <v/>
      </c>
      <c r="O82" t="str" cm="1">
        <f t="array" aca="1" ref="O82" ca="1">IF(T82="Sócio",IF(COUNTIF(Opções!$H$2:$H$13,INDIRECT($P82))&gt;0,IF(AND(INDIRECT($Q82)&lt;P$1/24,INDIRECT($R82)&gt;O$1/24),"x",""),""),"")</f>
        <v/>
      </c>
      <c r="P82" t="str">
        <f t="shared" si="10"/>
        <v>$E82</v>
      </c>
      <c r="Q82" t="str">
        <f t="shared" si="2"/>
        <v>$F82</v>
      </c>
      <c r="R82" t="str">
        <f t="shared" si="3"/>
        <v>$G82</v>
      </c>
      <c r="S82" t="str">
        <f t="shared" si="11"/>
        <v>$D82</v>
      </c>
      <c r="T82" t="str" cm="1">
        <f t="array" aca="1" ref="T82" ca="1">IFERROR(VLOOKUP(INDIRECT(S82),Equipe!A:C,3,0),"")</f>
        <v/>
      </c>
    </row>
    <row r="83" spans="4:20" x14ac:dyDescent="0.3">
      <c r="D83" s="23"/>
      <c r="E83" s="23"/>
      <c r="F83" s="24"/>
      <c r="G83" s="24"/>
      <c r="H83" s="23"/>
      <c r="J83" s="21" t="str">
        <f t="shared" ca="1" si="9"/>
        <v/>
      </c>
      <c r="K83" t="str" cm="1">
        <f t="array" aca="1" ref="K83" ca="1">IF(T83="Sócio",IF(COUNTIF(Opções!$H$2:$H$13,INDIRECT($P83))&gt;0,IF(AND(INDIRECT($Q83)&lt;L$1/24,INDIRECT($R83)&gt;K$1/24),"x",""),""),"")</f>
        <v/>
      </c>
      <c r="L83" t="str" cm="1">
        <f t="array" aca="1" ref="L83" ca="1">IF(T83="Sócio",IF(COUNTIF(Opções!$H$2:$H$13,INDIRECT($P83))&gt;0,IF(AND(INDIRECT($Q83)&lt;M$1/24,INDIRECT($R83)&gt;L$1/24),"x",""),""),"")</f>
        <v/>
      </c>
      <c r="M83" t="str" cm="1">
        <f t="array" aca="1" ref="M83" ca="1">IF(T83="Sócio",IF(COUNTIF(Opções!$H$2:$H$13,INDIRECT($P83))&gt;0,IF(AND(INDIRECT($Q83)&lt;N$1/24,INDIRECT($R83)&gt;M$1/24),"x",""),""),"")</f>
        <v/>
      </c>
      <c r="N83" t="str" cm="1">
        <f t="array" aca="1" ref="N83" ca="1">IF(T83="Sócio",IF(COUNTIF(Opções!$H$2:$H$13,INDIRECT($P83))&gt;0,IF(AND(INDIRECT($Q83)&lt;O$1/24,INDIRECT($R83)&gt;N$1/24),"x",""),""),"")</f>
        <v/>
      </c>
      <c r="O83" t="str" cm="1">
        <f t="array" aca="1" ref="O83" ca="1">IF(T83="Sócio",IF(COUNTIF(Opções!$H$2:$H$13,INDIRECT($P83))&gt;0,IF(AND(INDIRECT($Q83)&lt;P$1/24,INDIRECT($R83)&gt;O$1/24),"x",""),""),"")</f>
        <v/>
      </c>
      <c r="P83" t="str">
        <f t="shared" si="10"/>
        <v>$E83</v>
      </c>
      <c r="Q83" t="str">
        <f t="shared" si="2"/>
        <v>$F83</v>
      </c>
      <c r="R83" t="str">
        <f t="shared" si="3"/>
        <v>$G83</v>
      </c>
      <c r="S83" t="str">
        <f t="shared" si="11"/>
        <v>$D83</v>
      </c>
      <c r="T83" t="str" cm="1">
        <f t="array" aca="1" ref="T83" ca="1">IFERROR(VLOOKUP(INDIRECT(S83),Equipe!A:C,3,0),"")</f>
        <v/>
      </c>
    </row>
    <row r="84" spans="4:20" x14ac:dyDescent="0.3">
      <c r="D84" s="23"/>
      <c r="E84" s="23"/>
      <c r="F84" s="24"/>
      <c r="G84" s="24"/>
      <c r="H84" s="23"/>
      <c r="J84" s="21" t="str">
        <f t="shared" ca="1" si="9"/>
        <v/>
      </c>
      <c r="K84" t="str" cm="1">
        <f t="array" aca="1" ref="K84" ca="1">IF(T84="Sócio",IF(COUNTIF(Opções!$H$2:$H$13,INDIRECT($P84))&gt;0,IF(AND(INDIRECT($Q84)&lt;L$1/24,INDIRECT($R84)&gt;K$1/24),"x",""),""),"")</f>
        <v/>
      </c>
      <c r="L84" t="str" cm="1">
        <f t="array" aca="1" ref="L84" ca="1">IF(T84="Sócio",IF(COUNTIF(Opções!$H$2:$H$13,INDIRECT($P84))&gt;0,IF(AND(INDIRECT($Q84)&lt;M$1/24,INDIRECT($R84)&gt;L$1/24),"x",""),""),"")</f>
        <v/>
      </c>
      <c r="M84" t="str" cm="1">
        <f t="array" aca="1" ref="M84" ca="1">IF(T84="Sócio",IF(COUNTIF(Opções!$H$2:$H$13,INDIRECT($P84))&gt;0,IF(AND(INDIRECT($Q84)&lt;N$1/24,INDIRECT($R84)&gt;M$1/24),"x",""),""),"")</f>
        <v/>
      </c>
      <c r="N84" t="str" cm="1">
        <f t="array" aca="1" ref="N84" ca="1">IF(T84="Sócio",IF(COUNTIF(Opções!$H$2:$H$13,INDIRECT($P84))&gt;0,IF(AND(INDIRECT($Q84)&lt;O$1/24,INDIRECT($R84)&gt;N$1/24),"x",""),""),"")</f>
        <v/>
      </c>
      <c r="O84" t="str" cm="1">
        <f t="array" aca="1" ref="O84" ca="1">IF(T84="Sócio",IF(COUNTIF(Opções!$H$2:$H$13,INDIRECT($P84))&gt;0,IF(AND(INDIRECT($Q84)&lt;P$1/24,INDIRECT($R84)&gt;O$1/24),"x",""),""),"")</f>
        <v/>
      </c>
      <c r="P84" t="str">
        <f t="shared" si="10"/>
        <v>$E84</v>
      </c>
      <c r="Q84" t="str">
        <f t="shared" si="2"/>
        <v>$F84</v>
      </c>
      <c r="R84" t="str">
        <f t="shared" si="3"/>
        <v>$G84</v>
      </c>
      <c r="S84" t="str">
        <f t="shared" si="11"/>
        <v>$D84</v>
      </c>
      <c r="T84" t="str" cm="1">
        <f t="array" aca="1" ref="T84" ca="1">IFERROR(VLOOKUP(INDIRECT(S84),Equipe!A:C,3,0),"")</f>
        <v/>
      </c>
    </row>
    <row r="85" spans="4:20" x14ac:dyDescent="0.3">
      <c r="D85" s="23"/>
      <c r="E85" s="23"/>
      <c r="F85" s="24"/>
      <c r="G85" s="24"/>
      <c r="H85" s="23"/>
      <c r="J85" s="21" t="str">
        <f t="shared" ca="1" si="9"/>
        <v/>
      </c>
      <c r="K85" t="str" cm="1">
        <f t="array" aca="1" ref="K85" ca="1">IF(T85="Sócio",IF(COUNTIF(Opções!$H$2:$H$13,INDIRECT($P85))&gt;0,IF(AND(INDIRECT($Q85)&lt;L$1/24,INDIRECT($R85)&gt;K$1/24),"x",""),""),"")</f>
        <v/>
      </c>
      <c r="L85" t="str" cm="1">
        <f t="array" aca="1" ref="L85" ca="1">IF(T85="Sócio",IF(COUNTIF(Opções!$H$2:$H$13,INDIRECT($P85))&gt;0,IF(AND(INDIRECT($Q85)&lt;M$1/24,INDIRECT($R85)&gt;L$1/24),"x",""),""),"")</f>
        <v/>
      </c>
      <c r="M85" t="str" cm="1">
        <f t="array" aca="1" ref="M85" ca="1">IF(T85="Sócio",IF(COUNTIF(Opções!$H$2:$H$13,INDIRECT($P85))&gt;0,IF(AND(INDIRECT($Q85)&lt;N$1/24,INDIRECT($R85)&gt;M$1/24),"x",""),""),"")</f>
        <v/>
      </c>
      <c r="N85" t="str" cm="1">
        <f t="array" aca="1" ref="N85" ca="1">IF(T85="Sócio",IF(COUNTIF(Opções!$H$2:$H$13,INDIRECT($P85))&gt;0,IF(AND(INDIRECT($Q85)&lt;O$1/24,INDIRECT($R85)&gt;N$1/24),"x",""),""),"")</f>
        <v/>
      </c>
      <c r="O85" t="str" cm="1">
        <f t="array" aca="1" ref="O85" ca="1">IF(T85="Sócio",IF(COUNTIF(Opções!$H$2:$H$13,INDIRECT($P85))&gt;0,IF(AND(INDIRECT($Q85)&lt;P$1/24,INDIRECT($R85)&gt;O$1/24),"x",""),""),"")</f>
        <v/>
      </c>
      <c r="P85" t="str">
        <f t="shared" si="10"/>
        <v>$E85</v>
      </c>
      <c r="Q85" t="str">
        <f t="shared" si="2"/>
        <v>$F85</v>
      </c>
      <c r="R85" t="str">
        <f t="shared" si="3"/>
        <v>$G85</v>
      </c>
      <c r="S85" t="str">
        <f t="shared" si="11"/>
        <v>$D85</v>
      </c>
      <c r="T85" t="str" cm="1">
        <f t="array" aca="1" ref="T85" ca="1">IFERROR(VLOOKUP(INDIRECT(S85),Equipe!A:C,3,0),"")</f>
        <v/>
      </c>
    </row>
    <row r="86" spans="4:20" x14ac:dyDescent="0.3">
      <c r="D86" s="23"/>
      <c r="E86" s="23"/>
      <c r="F86" s="24"/>
      <c r="G86" s="24"/>
      <c r="H86" s="23"/>
      <c r="J86" s="21" t="str">
        <f t="shared" ca="1" si="9"/>
        <v/>
      </c>
      <c r="K86" t="str" cm="1">
        <f t="array" aca="1" ref="K86" ca="1">IF(T86="Sócio",IF(COUNTIF(Opções!$H$2:$H$13,INDIRECT($P86))&gt;0,IF(AND(INDIRECT($Q86)&lt;L$1/24,INDIRECT($R86)&gt;K$1/24),"x",""),""),"")</f>
        <v/>
      </c>
      <c r="L86" t="str" cm="1">
        <f t="array" aca="1" ref="L86" ca="1">IF(T86="Sócio",IF(COUNTIF(Opções!$H$2:$H$13,INDIRECT($P86))&gt;0,IF(AND(INDIRECT($Q86)&lt;M$1/24,INDIRECT($R86)&gt;L$1/24),"x",""),""),"")</f>
        <v/>
      </c>
      <c r="M86" t="str" cm="1">
        <f t="array" aca="1" ref="M86" ca="1">IF(T86="Sócio",IF(COUNTIF(Opções!$H$2:$H$13,INDIRECT($P86))&gt;0,IF(AND(INDIRECT($Q86)&lt;N$1/24,INDIRECT($R86)&gt;M$1/24),"x",""),""),"")</f>
        <v/>
      </c>
      <c r="N86" t="str" cm="1">
        <f t="array" aca="1" ref="N86" ca="1">IF(T86="Sócio",IF(COUNTIF(Opções!$H$2:$H$13,INDIRECT($P86))&gt;0,IF(AND(INDIRECT($Q86)&lt;O$1/24,INDIRECT($R86)&gt;N$1/24),"x",""),""),"")</f>
        <v/>
      </c>
      <c r="O86" t="str" cm="1">
        <f t="array" aca="1" ref="O86" ca="1">IF(T86="Sócio",IF(COUNTIF(Opções!$H$2:$H$13,INDIRECT($P86))&gt;0,IF(AND(INDIRECT($Q86)&lt;P$1/24,INDIRECT($R86)&gt;O$1/24),"x",""),""),"")</f>
        <v/>
      </c>
      <c r="P86" t="str">
        <f t="shared" si="10"/>
        <v>$E86</v>
      </c>
      <c r="Q86" t="str">
        <f t="shared" si="2"/>
        <v>$F86</v>
      </c>
      <c r="R86" t="str">
        <f t="shared" si="3"/>
        <v>$G86</v>
      </c>
      <c r="S86" t="str">
        <f t="shared" si="11"/>
        <v>$D86</v>
      </c>
      <c r="T86" t="str" cm="1">
        <f t="array" aca="1" ref="T86" ca="1">IFERROR(VLOOKUP(INDIRECT(S86),Equipe!A:C,3,0),"")</f>
        <v/>
      </c>
    </row>
    <row r="87" spans="4:20" x14ac:dyDescent="0.3">
      <c r="D87" s="23"/>
      <c r="E87" s="23"/>
      <c r="F87" s="24"/>
      <c r="G87" s="24"/>
      <c r="H87" s="23"/>
      <c r="J87" s="21" t="str">
        <f t="shared" ca="1" si="9"/>
        <v/>
      </c>
      <c r="K87" t="str" cm="1">
        <f t="array" aca="1" ref="K87" ca="1">IF(T87="Sócio",IF(COUNTIF(Opções!$H$2:$H$13,INDIRECT($P87))&gt;0,IF(AND(INDIRECT($Q87)&lt;L$1/24,INDIRECT($R87)&gt;K$1/24),"x",""),""),"")</f>
        <v/>
      </c>
      <c r="L87" t="str" cm="1">
        <f t="array" aca="1" ref="L87" ca="1">IF(T87="Sócio",IF(COUNTIF(Opções!$H$2:$H$13,INDIRECT($P87))&gt;0,IF(AND(INDIRECT($Q87)&lt;M$1/24,INDIRECT($R87)&gt;L$1/24),"x",""),""),"")</f>
        <v/>
      </c>
      <c r="M87" t="str" cm="1">
        <f t="array" aca="1" ref="M87" ca="1">IF(T87="Sócio",IF(COUNTIF(Opções!$H$2:$H$13,INDIRECT($P87))&gt;0,IF(AND(INDIRECT($Q87)&lt;N$1/24,INDIRECT($R87)&gt;M$1/24),"x",""),""),"")</f>
        <v/>
      </c>
      <c r="N87" t="str" cm="1">
        <f t="array" aca="1" ref="N87" ca="1">IF(T87="Sócio",IF(COUNTIF(Opções!$H$2:$H$13,INDIRECT($P87))&gt;0,IF(AND(INDIRECT($Q87)&lt;O$1/24,INDIRECT($R87)&gt;N$1/24),"x",""),""),"")</f>
        <v/>
      </c>
      <c r="O87" t="str" cm="1">
        <f t="array" aca="1" ref="O87" ca="1">IF(T87="Sócio",IF(COUNTIF(Opções!$H$2:$H$13,INDIRECT($P87))&gt;0,IF(AND(INDIRECT($Q87)&lt;P$1/24,INDIRECT($R87)&gt;O$1/24),"x",""),""),"")</f>
        <v/>
      </c>
      <c r="P87" t="str">
        <f t="shared" si="10"/>
        <v>$E87</v>
      </c>
      <c r="Q87" t="str">
        <f t="shared" si="2"/>
        <v>$F87</v>
      </c>
      <c r="R87" t="str">
        <f t="shared" si="3"/>
        <v>$G87</v>
      </c>
      <c r="S87" t="str">
        <f t="shared" si="11"/>
        <v>$D87</v>
      </c>
      <c r="T87" t="str" cm="1">
        <f t="array" aca="1" ref="T87" ca="1">IFERROR(VLOOKUP(INDIRECT(S87),Equipe!A:C,3,0),"")</f>
        <v/>
      </c>
    </row>
    <row r="88" spans="4:20" x14ac:dyDescent="0.3">
      <c r="D88" s="23"/>
      <c r="E88" s="23"/>
      <c r="F88" s="24"/>
      <c r="G88" s="24"/>
      <c r="H88" s="23"/>
      <c r="J88" s="21" t="str">
        <f t="shared" ca="1" si="9"/>
        <v/>
      </c>
      <c r="K88" t="str" cm="1">
        <f t="array" aca="1" ref="K88" ca="1">IF(T88="Sócio",IF(COUNTIF(Opções!$H$2:$H$13,INDIRECT($P88))&gt;0,IF(AND(INDIRECT($Q88)&lt;L$1/24,INDIRECT($R88)&gt;K$1/24),"x",""),""),"")</f>
        <v/>
      </c>
      <c r="L88" t="str" cm="1">
        <f t="array" aca="1" ref="L88" ca="1">IF(T88="Sócio",IF(COUNTIF(Opções!$H$2:$H$13,INDIRECT($P88))&gt;0,IF(AND(INDIRECT($Q88)&lt;M$1/24,INDIRECT($R88)&gt;L$1/24),"x",""),""),"")</f>
        <v/>
      </c>
      <c r="M88" t="str" cm="1">
        <f t="array" aca="1" ref="M88" ca="1">IF(T88="Sócio",IF(COUNTIF(Opções!$H$2:$H$13,INDIRECT($P88))&gt;0,IF(AND(INDIRECT($Q88)&lt;N$1/24,INDIRECT($R88)&gt;M$1/24),"x",""),""),"")</f>
        <v/>
      </c>
      <c r="N88" t="str" cm="1">
        <f t="array" aca="1" ref="N88" ca="1">IF(T88="Sócio",IF(COUNTIF(Opções!$H$2:$H$13,INDIRECT($P88))&gt;0,IF(AND(INDIRECT($Q88)&lt;O$1/24,INDIRECT($R88)&gt;N$1/24),"x",""),""),"")</f>
        <v/>
      </c>
      <c r="O88" t="str" cm="1">
        <f t="array" aca="1" ref="O88" ca="1">IF(T88="Sócio",IF(COUNTIF(Opções!$H$2:$H$13,INDIRECT($P88))&gt;0,IF(AND(INDIRECT($Q88)&lt;P$1/24,INDIRECT($R88)&gt;O$1/24),"x",""),""),"")</f>
        <v/>
      </c>
      <c r="P88" t="str">
        <f t="shared" si="10"/>
        <v>$E88</v>
      </c>
      <c r="Q88" t="str">
        <f t="shared" ref="Q88" si="12">"$F"&amp;ROW(O88)</f>
        <v>$F88</v>
      </c>
      <c r="R88" t="str">
        <f t="shared" ref="R88" si="13">"$G"&amp;ROW(Q88)</f>
        <v>$G88</v>
      </c>
      <c r="S88" t="str">
        <f t="shared" si="11"/>
        <v>$D88</v>
      </c>
      <c r="T88" t="str" cm="1">
        <f t="array" aca="1" ref="T88" ca="1">IFERROR(VLOOKUP(INDIRECT(S88),Equipe!A:C,3,0),"")</f>
        <v/>
      </c>
    </row>
    <row r="89" spans="4:20" x14ac:dyDescent="0.3">
      <c r="D89" s="23"/>
      <c r="E89" s="23"/>
      <c r="F89" s="24"/>
      <c r="G89" s="24"/>
      <c r="H89" s="23"/>
      <c r="J89" s="21" t="str">
        <f t="shared" ca="1" si="9"/>
        <v/>
      </c>
      <c r="K89" t="str" cm="1">
        <f t="array" aca="1" ref="K89" ca="1">IF(T89="Sócio",IF(COUNTIF(Opções!$H$2:$H$13,INDIRECT($P89))&gt;0,IF(AND(INDIRECT($Q89)&lt;L$1/24,INDIRECT($R89)&gt;K$1/24),"x",""),""),"")</f>
        <v/>
      </c>
      <c r="L89" t="str" cm="1">
        <f t="array" aca="1" ref="L89" ca="1">IF(T89="Sócio",IF(COUNTIF(Opções!$H$2:$H$13,INDIRECT($P89))&gt;0,IF(AND(INDIRECT($Q89)&lt;M$1/24,INDIRECT($R89)&gt;L$1/24),"x",""),""),"")</f>
        <v/>
      </c>
      <c r="M89" t="str" cm="1">
        <f t="array" aca="1" ref="M89" ca="1">IF(T89="Sócio",IF(COUNTIF(Opções!$H$2:$H$13,INDIRECT($P89))&gt;0,IF(AND(INDIRECT($Q89)&lt;N$1/24,INDIRECT($R89)&gt;M$1/24),"x",""),""),"")</f>
        <v/>
      </c>
      <c r="N89" t="str" cm="1">
        <f t="array" aca="1" ref="N89" ca="1">IF(T89="Sócio",IF(COUNTIF(Opções!$H$2:$H$13,INDIRECT($P89))&gt;0,IF(AND(INDIRECT($Q89)&lt;O$1/24,INDIRECT($R89)&gt;N$1/24),"x",""),""),"")</f>
        <v/>
      </c>
      <c r="O89" t="str" cm="1">
        <f t="array" aca="1" ref="O89" ca="1">IF(T89="Sócio",IF(COUNTIF(Opções!$H$2:$H$13,INDIRECT($P89))&gt;0,IF(AND(INDIRECT($Q89)&lt;P$1/24,INDIRECT($R89)&gt;O$1/24),"x",""),""),"")</f>
        <v/>
      </c>
      <c r="P89" t="str">
        <f t="shared" si="10"/>
        <v>$E89</v>
      </c>
      <c r="Q89" t="str">
        <f t="shared" si="2"/>
        <v>$F89</v>
      </c>
      <c r="R89" t="str">
        <f t="shared" si="3"/>
        <v>$G89</v>
      </c>
      <c r="S89" t="str">
        <f t="shared" si="11"/>
        <v>$D89</v>
      </c>
      <c r="T89" t="str" cm="1">
        <f t="array" aca="1" ref="T89" ca="1">IFERROR(VLOOKUP(INDIRECT(S89),Equipe!A:C,3,0),"")</f>
        <v/>
      </c>
    </row>
    <row r="90" spans="4:20" x14ac:dyDescent="0.3">
      <c r="D90" s="23"/>
      <c r="E90" s="23"/>
      <c r="F90" s="24"/>
      <c r="G90" s="24"/>
      <c r="H90" s="23"/>
      <c r="J90" s="21" t="str">
        <f t="shared" ca="1" si="9"/>
        <v/>
      </c>
      <c r="K90" t="str" cm="1">
        <f t="array" aca="1" ref="K90" ca="1">IF(T90="Sócio",IF(COUNTIF(Opções!$H$2:$H$13,INDIRECT($P90))&gt;0,IF(AND(INDIRECT($Q90)&lt;L$1/24,INDIRECT($R90)&gt;K$1/24),"x",""),""),"")</f>
        <v/>
      </c>
      <c r="L90" t="str" cm="1">
        <f t="array" aca="1" ref="L90" ca="1">IF(T90="Sócio",IF(COUNTIF(Opções!$H$2:$H$13,INDIRECT($P90))&gt;0,IF(AND(INDIRECT($Q90)&lt;M$1/24,INDIRECT($R90)&gt;L$1/24),"x",""),""),"")</f>
        <v/>
      </c>
      <c r="M90" t="str" cm="1">
        <f t="array" aca="1" ref="M90" ca="1">IF(T90="Sócio",IF(COUNTIF(Opções!$H$2:$H$13,INDIRECT($P90))&gt;0,IF(AND(INDIRECT($Q90)&lt;N$1/24,INDIRECT($R90)&gt;M$1/24),"x",""),""),"")</f>
        <v/>
      </c>
      <c r="N90" t="str" cm="1">
        <f t="array" aca="1" ref="N90" ca="1">IF(T90="Sócio",IF(COUNTIF(Opções!$H$2:$H$13,INDIRECT($P90))&gt;0,IF(AND(INDIRECT($Q90)&lt;O$1/24,INDIRECT($R90)&gt;N$1/24),"x",""),""),"")</f>
        <v/>
      </c>
      <c r="O90" t="str" cm="1">
        <f t="array" aca="1" ref="O90" ca="1">IF(T90="Sócio",IF(COUNTIF(Opções!$H$2:$H$13,INDIRECT($P90))&gt;0,IF(AND(INDIRECT($Q90)&lt;P$1/24,INDIRECT($R90)&gt;O$1/24),"x",""),""),"")</f>
        <v/>
      </c>
      <c r="P90" t="str">
        <f t="shared" si="10"/>
        <v>$E90</v>
      </c>
      <c r="Q90" t="str">
        <f t="shared" si="2"/>
        <v>$F90</v>
      </c>
      <c r="R90" t="str">
        <f t="shared" si="3"/>
        <v>$G90</v>
      </c>
      <c r="S90" t="str">
        <f t="shared" si="11"/>
        <v>$D90</v>
      </c>
      <c r="T90" t="str" cm="1">
        <f t="array" aca="1" ref="T90" ca="1">IFERROR(VLOOKUP(INDIRECT(S90),Equipe!A:C,3,0),"")</f>
        <v/>
      </c>
    </row>
    <row r="91" spans="4:20" x14ac:dyDescent="0.3">
      <c r="D91" s="23"/>
      <c r="E91" s="23"/>
      <c r="F91" s="24"/>
      <c r="G91" s="24"/>
      <c r="H91" s="23"/>
      <c r="J91" s="21" t="str">
        <f t="shared" ca="1" si="9"/>
        <v/>
      </c>
      <c r="K91" t="str" cm="1">
        <f t="array" aca="1" ref="K91" ca="1">IF(T91="Sócio",IF(COUNTIF(Opções!$H$2:$H$13,INDIRECT($P91))&gt;0,IF(AND(INDIRECT($Q91)&lt;L$1/24,INDIRECT($R91)&gt;K$1/24),"x",""),""),"")</f>
        <v/>
      </c>
      <c r="L91" t="str" cm="1">
        <f t="array" aca="1" ref="L91" ca="1">IF(T91="Sócio",IF(COUNTIF(Opções!$H$2:$H$13,INDIRECT($P91))&gt;0,IF(AND(INDIRECT($Q91)&lt;M$1/24,INDIRECT($R91)&gt;L$1/24),"x",""),""),"")</f>
        <v/>
      </c>
      <c r="M91" t="str" cm="1">
        <f t="array" aca="1" ref="M91" ca="1">IF(T91="Sócio",IF(COUNTIF(Opções!$H$2:$H$13,INDIRECT($P91))&gt;0,IF(AND(INDIRECT($Q91)&lt;N$1/24,INDIRECT($R91)&gt;M$1/24),"x",""),""),"")</f>
        <v/>
      </c>
      <c r="N91" t="str" cm="1">
        <f t="array" aca="1" ref="N91" ca="1">IF(T91="Sócio",IF(COUNTIF(Opções!$H$2:$H$13,INDIRECT($P91))&gt;0,IF(AND(INDIRECT($Q91)&lt;O$1/24,INDIRECT($R91)&gt;N$1/24),"x",""),""),"")</f>
        <v/>
      </c>
      <c r="O91" t="str" cm="1">
        <f t="array" aca="1" ref="O91" ca="1">IF(T91="Sócio",IF(COUNTIF(Opções!$H$2:$H$13,INDIRECT($P91))&gt;0,IF(AND(INDIRECT($Q91)&lt;P$1/24,INDIRECT($R91)&gt;O$1/24),"x",""),""),"")</f>
        <v/>
      </c>
      <c r="P91" t="str">
        <f t="shared" si="10"/>
        <v>$E91</v>
      </c>
      <c r="Q91" t="str">
        <f t="shared" si="2"/>
        <v>$F91</v>
      </c>
      <c r="R91" t="str">
        <f t="shared" si="3"/>
        <v>$G91</v>
      </c>
      <c r="S91" t="str">
        <f t="shared" si="11"/>
        <v>$D91</v>
      </c>
      <c r="T91" t="str" cm="1">
        <f t="array" aca="1" ref="T91" ca="1">IFERROR(VLOOKUP(INDIRECT(S91),Equipe!A:C,3,0),"")</f>
        <v/>
      </c>
    </row>
    <row r="92" spans="4:20" x14ac:dyDescent="0.3">
      <c r="D92" s="23"/>
      <c r="E92" s="23"/>
      <c r="F92" s="24"/>
      <c r="G92" s="24"/>
      <c r="H92" s="23"/>
      <c r="J92" s="21" t="str">
        <f t="shared" ca="1" si="9"/>
        <v/>
      </c>
      <c r="K92" t="str" cm="1">
        <f t="array" aca="1" ref="K92" ca="1">IF(T92="Sócio",IF(COUNTIF(Opções!$H$2:$H$13,INDIRECT($P92))&gt;0,IF(AND(INDIRECT($Q92)&lt;L$1/24,INDIRECT($R92)&gt;K$1/24),"x",""),""),"")</f>
        <v/>
      </c>
      <c r="L92" t="str" cm="1">
        <f t="array" aca="1" ref="L92" ca="1">IF(T92="Sócio",IF(COUNTIF(Opções!$H$2:$H$13,INDIRECT($P92))&gt;0,IF(AND(INDIRECT($Q92)&lt;M$1/24,INDIRECT($R92)&gt;L$1/24),"x",""),""),"")</f>
        <v/>
      </c>
      <c r="M92" t="str" cm="1">
        <f t="array" aca="1" ref="M92" ca="1">IF(T92="Sócio",IF(COUNTIF(Opções!$H$2:$H$13,INDIRECT($P92))&gt;0,IF(AND(INDIRECT($Q92)&lt;N$1/24,INDIRECT($R92)&gt;M$1/24),"x",""),""),"")</f>
        <v/>
      </c>
      <c r="N92" t="str" cm="1">
        <f t="array" aca="1" ref="N92" ca="1">IF(T92="Sócio",IF(COUNTIF(Opções!$H$2:$H$13,INDIRECT($P92))&gt;0,IF(AND(INDIRECT($Q92)&lt;O$1/24,INDIRECT($R92)&gt;N$1/24),"x",""),""),"")</f>
        <v/>
      </c>
      <c r="O92" t="str" cm="1">
        <f t="array" aca="1" ref="O92" ca="1">IF(T92="Sócio",IF(COUNTIF(Opções!$H$2:$H$13,INDIRECT($P92))&gt;0,IF(AND(INDIRECT($Q92)&lt;P$1/24,INDIRECT($R92)&gt;O$1/24),"x",""),""),"")</f>
        <v/>
      </c>
      <c r="P92" t="str">
        <f t="shared" si="10"/>
        <v>$E92</v>
      </c>
      <c r="Q92" t="str">
        <f t="shared" si="2"/>
        <v>$F92</v>
      </c>
      <c r="R92" t="str">
        <f t="shared" si="3"/>
        <v>$G92</v>
      </c>
      <c r="S92" t="str">
        <f t="shared" si="11"/>
        <v>$D92</v>
      </c>
      <c r="T92" t="str" cm="1">
        <f t="array" aca="1" ref="T92" ca="1">IFERROR(VLOOKUP(INDIRECT(S92),Equipe!A:C,3,0),"")</f>
        <v/>
      </c>
    </row>
    <row r="93" spans="4:20" x14ac:dyDescent="0.3">
      <c r="D93" s="23"/>
      <c r="E93" s="23"/>
      <c r="F93" s="24"/>
      <c r="G93" s="24"/>
      <c r="H93" s="23"/>
      <c r="J93" s="21" t="str">
        <f t="shared" ca="1" si="9"/>
        <v/>
      </c>
      <c r="K93" t="str" cm="1">
        <f t="array" aca="1" ref="K93" ca="1">IF(T93="Sócio",IF(COUNTIF(Opções!$H$2:$H$13,INDIRECT($P93))&gt;0,IF(AND(INDIRECT($Q93)&lt;L$1/24,INDIRECT($R93)&gt;K$1/24),"x",""),""),"")</f>
        <v/>
      </c>
      <c r="L93" t="str" cm="1">
        <f t="array" aca="1" ref="L93" ca="1">IF(T93="Sócio",IF(COUNTIF(Opções!$H$2:$H$13,INDIRECT($P93))&gt;0,IF(AND(INDIRECT($Q93)&lt;M$1/24,INDIRECT($R93)&gt;L$1/24),"x",""),""),"")</f>
        <v/>
      </c>
      <c r="M93" t="str" cm="1">
        <f t="array" aca="1" ref="M93" ca="1">IF(T93="Sócio",IF(COUNTIF(Opções!$H$2:$H$13,INDIRECT($P93))&gt;0,IF(AND(INDIRECT($Q93)&lt;N$1/24,INDIRECT($R93)&gt;M$1/24),"x",""),""),"")</f>
        <v/>
      </c>
      <c r="N93" t="str" cm="1">
        <f t="array" aca="1" ref="N93" ca="1">IF(T93="Sócio",IF(COUNTIF(Opções!$H$2:$H$13,INDIRECT($P93))&gt;0,IF(AND(INDIRECT($Q93)&lt;O$1/24,INDIRECT($R93)&gt;N$1/24),"x",""),""),"")</f>
        <v/>
      </c>
      <c r="O93" t="str" cm="1">
        <f t="array" aca="1" ref="O93" ca="1">IF(T93="Sócio",IF(COUNTIF(Opções!$H$2:$H$13,INDIRECT($P93))&gt;0,IF(AND(INDIRECT($Q93)&lt;P$1/24,INDIRECT($R93)&gt;O$1/24),"x",""),""),"")</f>
        <v/>
      </c>
      <c r="P93" t="str">
        <f t="shared" si="10"/>
        <v>$E93</v>
      </c>
      <c r="Q93" t="str">
        <f t="shared" ref="Q93" si="14">"$F"&amp;ROW(O93)</f>
        <v>$F93</v>
      </c>
      <c r="R93" t="str">
        <f t="shared" ref="R93" si="15">"$G"&amp;ROW(Q93)</f>
        <v>$G93</v>
      </c>
      <c r="S93" t="str">
        <f t="shared" si="11"/>
        <v>$D93</v>
      </c>
      <c r="T93" t="str" cm="1">
        <f t="array" aca="1" ref="T93" ca="1">IFERROR(VLOOKUP(INDIRECT(S93),Equipe!A:C,3,0),"")</f>
        <v/>
      </c>
    </row>
    <row r="94" spans="4:20" x14ac:dyDescent="0.3">
      <c r="D94" s="23"/>
      <c r="E94" s="23"/>
      <c r="F94" s="24"/>
      <c r="G94" s="24"/>
      <c r="H94" s="23"/>
      <c r="J94" s="21" t="str">
        <f t="shared" ca="1" si="9"/>
        <v/>
      </c>
      <c r="K94" t="str" cm="1">
        <f t="array" aca="1" ref="K94" ca="1">IF(T94="Sócio",IF(COUNTIF(Opções!$H$2:$H$13,INDIRECT($P94))&gt;0,IF(AND(INDIRECT($Q94)&lt;L$1/24,INDIRECT($R94)&gt;K$1/24),"x",""),""),"")</f>
        <v/>
      </c>
      <c r="L94" t="str" cm="1">
        <f t="array" aca="1" ref="L94" ca="1">IF(T94="Sócio",IF(COUNTIF(Opções!$H$2:$H$13,INDIRECT($P94))&gt;0,IF(AND(INDIRECT($Q94)&lt;M$1/24,INDIRECT($R94)&gt;L$1/24),"x",""),""),"")</f>
        <v/>
      </c>
      <c r="M94" t="str" cm="1">
        <f t="array" aca="1" ref="M94" ca="1">IF(T94="Sócio",IF(COUNTIF(Opções!$H$2:$H$13,INDIRECT($P94))&gt;0,IF(AND(INDIRECT($Q94)&lt;N$1/24,INDIRECT($R94)&gt;M$1/24),"x",""),""),"")</f>
        <v/>
      </c>
      <c r="N94" t="str" cm="1">
        <f t="array" aca="1" ref="N94" ca="1">IF(T94="Sócio",IF(COUNTIF(Opções!$H$2:$H$13,INDIRECT($P94))&gt;0,IF(AND(INDIRECT($Q94)&lt;O$1/24,INDIRECT($R94)&gt;N$1/24),"x",""),""),"")</f>
        <v/>
      </c>
      <c r="O94" t="str" cm="1">
        <f t="array" aca="1" ref="O94" ca="1">IF(T94="Sócio",IF(COUNTIF(Opções!$H$2:$H$13,INDIRECT($P94))&gt;0,IF(AND(INDIRECT($Q94)&lt;P$1/24,INDIRECT($R94)&gt;O$1/24),"x",""),""),"")</f>
        <v/>
      </c>
      <c r="P94" t="str">
        <f t="shared" si="10"/>
        <v>$E94</v>
      </c>
      <c r="Q94" t="str">
        <f t="shared" si="2"/>
        <v>$F94</v>
      </c>
      <c r="R94" t="str">
        <f t="shared" si="3"/>
        <v>$G94</v>
      </c>
      <c r="S94" t="str">
        <f t="shared" si="11"/>
        <v>$D94</v>
      </c>
      <c r="T94" t="str" cm="1">
        <f t="array" aca="1" ref="T94" ca="1">IFERROR(VLOOKUP(INDIRECT(S94),Equipe!A:C,3,0),"")</f>
        <v/>
      </c>
    </row>
    <row r="95" spans="4:20" x14ac:dyDescent="0.3">
      <c r="D95" s="23"/>
      <c r="E95" s="23"/>
      <c r="F95" s="24"/>
      <c r="G95" s="24"/>
      <c r="H95" s="23"/>
      <c r="J95" s="21" t="str">
        <f t="shared" ca="1" si="9"/>
        <v/>
      </c>
      <c r="K95" t="str" cm="1">
        <f t="array" aca="1" ref="K95" ca="1">IF(T95="Sócio",IF(COUNTIF(Opções!$H$2:$H$13,INDIRECT($P95))&gt;0,IF(AND(INDIRECT($Q95)&lt;L$1/24,INDIRECT($R95)&gt;K$1/24),"x",""),""),"")</f>
        <v/>
      </c>
      <c r="L95" t="str" cm="1">
        <f t="array" aca="1" ref="L95" ca="1">IF(T95="Sócio",IF(COUNTIF(Opções!$H$2:$H$13,INDIRECT($P95))&gt;0,IF(AND(INDIRECT($Q95)&lt;M$1/24,INDIRECT($R95)&gt;L$1/24),"x",""),""),"")</f>
        <v/>
      </c>
      <c r="M95" t="str" cm="1">
        <f t="array" aca="1" ref="M95" ca="1">IF(T95="Sócio",IF(COUNTIF(Opções!$H$2:$H$13,INDIRECT($P95))&gt;0,IF(AND(INDIRECT($Q95)&lt;N$1/24,INDIRECT($R95)&gt;M$1/24),"x",""),""),"")</f>
        <v/>
      </c>
      <c r="N95" t="str" cm="1">
        <f t="array" aca="1" ref="N95" ca="1">IF(T95="Sócio",IF(COUNTIF(Opções!$H$2:$H$13,INDIRECT($P95))&gt;0,IF(AND(INDIRECT($Q95)&lt;O$1/24,INDIRECT($R95)&gt;N$1/24),"x",""),""),"")</f>
        <v/>
      </c>
      <c r="O95" t="str" cm="1">
        <f t="array" aca="1" ref="O95" ca="1">IF(T95="Sócio",IF(COUNTIF(Opções!$H$2:$H$13,INDIRECT($P95))&gt;0,IF(AND(INDIRECT($Q95)&lt;P$1/24,INDIRECT($R95)&gt;O$1/24),"x",""),""),"")</f>
        <v/>
      </c>
      <c r="P95" t="str">
        <f t="shared" si="10"/>
        <v>$E95</v>
      </c>
      <c r="Q95" t="str">
        <f t="shared" si="2"/>
        <v>$F95</v>
      </c>
      <c r="R95" t="str">
        <f t="shared" si="3"/>
        <v>$G95</v>
      </c>
      <c r="S95" t="str">
        <f t="shared" si="11"/>
        <v>$D95</v>
      </c>
      <c r="T95" t="str" cm="1">
        <f t="array" aca="1" ref="T95" ca="1">IFERROR(VLOOKUP(INDIRECT(S95),Equipe!A:C,3,0),"")</f>
        <v/>
      </c>
    </row>
    <row r="96" spans="4:20" x14ac:dyDescent="0.3">
      <c r="D96" s="23"/>
      <c r="E96" s="23"/>
      <c r="F96" s="24"/>
      <c r="G96" s="24"/>
      <c r="H96" s="23"/>
      <c r="J96" s="21" t="str">
        <f t="shared" ca="1" si="9"/>
        <v/>
      </c>
      <c r="K96" t="str" cm="1">
        <f t="array" aca="1" ref="K96" ca="1">IF(T96="Sócio",IF(COUNTIF(Opções!$H$2:$H$13,INDIRECT($P96))&gt;0,IF(AND(INDIRECT($Q96)&lt;L$1/24,INDIRECT($R96)&gt;K$1/24),"x",""),""),"")</f>
        <v/>
      </c>
      <c r="L96" t="str" cm="1">
        <f t="array" aca="1" ref="L96" ca="1">IF(T96="Sócio",IF(COUNTIF(Opções!$H$2:$H$13,INDIRECT($P96))&gt;0,IF(AND(INDIRECT($Q96)&lt;M$1/24,INDIRECT($R96)&gt;L$1/24),"x",""),""),"")</f>
        <v/>
      </c>
      <c r="M96" t="str" cm="1">
        <f t="array" aca="1" ref="M96" ca="1">IF(T96="Sócio",IF(COUNTIF(Opções!$H$2:$H$13,INDIRECT($P96))&gt;0,IF(AND(INDIRECT($Q96)&lt;N$1/24,INDIRECT($R96)&gt;M$1/24),"x",""),""),"")</f>
        <v/>
      </c>
      <c r="N96" t="str" cm="1">
        <f t="array" aca="1" ref="N96" ca="1">IF(T96="Sócio",IF(COUNTIF(Opções!$H$2:$H$13,INDIRECT($P96))&gt;0,IF(AND(INDIRECT($Q96)&lt;O$1/24,INDIRECT($R96)&gt;N$1/24),"x",""),""),"")</f>
        <v/>
      </c>
      <c r="O96" t="str" cm="1">
        <f t="array" aca="1" ref="O96" ca="1">IF(T96="Sócio",IF(COUNTIF(Opções!$H$2:$H$13,INDIRECT($P96))&gt;0,IF(AND(INDIRECT($Q96)&lt;P$1/24,INDIRECT($R96)&gt;O$1/24),"x",""),""),"")</f>
        <v/>
      </c>
      <c r="P96" t="str">
        <f t="shared" si="10"/>
        <v>$E96</v>
      </c>
      <c r="Q96" t="str">
        <f t="shared" si="2"/>
        <v>$F96</v>
      </c>
      <c r="R96" t="str">
        <f t="shared" si="3"/>
        <v>$G96</v>
      </c>
      <c r="S96" t="str">
        <f t="shared" si="11"/>
        <v>$D96</v>
      </c>
      <c r="T96" t="str" cm="1">
        <f t="array" aca="1" ref="T96" ca="1">IFERROR(VLOOKUP(INDIRECT(S96),Equipe!A:C,3,0),"")</f>
        <v/>
      </c>
    </row>
    <row r="97" spans="4:20" x14ac:dyDescent="0.3">
      <c r="D97" s="23"/>
      <c r="E97" s="23"/>
      <c r="F97" s="24"/>
      <c r="G97" s="24"/>
      <c r="H97" s="23"/>
      <c r="J97" s="21" t="str">
        <f t="shared" ref="J97:J160" ca="1" si="16">IF(K97="x",IF(COUNTIF(K:K,"x")&gt;2,"Aviso (primeiro período)",""),IF(L97="x",IF(COUNTIF(L:L,"x")&gt;1,"Aviso (segundo período)",""),IF(M97="x",IF(COUNTIF(M:M,"x")&gt;1,"Aviso (terceiro período)",""),IF(N97="x",IF(COUNTIF(N:N,"x")&gt;2,"Aviso (quarto período)",""),IF(O97="x",IF(COUNTIF(O:O,"x")&gt;5,"Aviso (quinto período)",""),"")))))</f>
        <v/>
      </c>
      <c r="K97" t="str" cm="1">
        <f t="array" aca="1" ref="K97" ca="1">IF(T97="Sócio",IF(COUNTIF(Opções!$H$2:$H$13,INDIRECT($P97))&gt;0,IF(AND(INDIRECT($Q97)&lt;L$1/24,INDIRECT($R97)&gt;K$1/24),"x",""),""),"")</f>
        <v/>
      </c>
      <c r="L97" t="str" cm="1">
        <f t="array" aca="1" ref="L97" ca="1">IF(T97="Sócio",IF(COUNTIF(Opções!$H$2:$H$13,INDIRECT($P97))&gt;0,IF(AND(INDIRECT($Q97)&lt;M$1/24,INDIRECT($R97)&gt;L$1/24),"x",""),""),"")</f>
        <v/>
      </c>
      <c r="M97" t="str" cm="1">
        <f t="array" aca="1" ref="M97" ca="1">IF(T97="Sócio",IF(COUNTIF(Opções!$H$2:$H$13,INDIRECT($P97))&gt;0,IF(AND(INDIRECT($Q97)&lt;N$1/24,INDIRECT($R97)&gt;M$1/24),"x",""),""),"")</f>
        <v/>
      </c>
      <c r="N97" t="str" cm="1">
        <f t="array" aca="1" ref="N97" ca="1">IF(T97="Sócio",IF(COUNTIF(Opções!$H$2:$H$13,INDIRECT($P97))&gt;0,IF(AND(INDIRECT($Q97)&lt;O$1/24,INDIRECT($R97)&gt;N$1/24),"x",""),""),"")</f>
        <v/>
      </c>
      <c r="O97" t="str" cm="1">
        <f t="array" aca="1" ref="O97" ca="1">IF(T97="Sócio",IF(COUNTIF(Opções!$H$2:$H$13,INDIRECT($P97))&gt;0,IF(AND(INDIRECT($Q97)&lt;P$1/24,INDIRECT($R97)&gt;O$1/24),"x",""),""),"")</f>
        <v/>
      </c>
      <c r="P97" t="str">
        <f t="shared" si="10"/>
        <v>$E97</v>
      </c>
      <c r="Q97" t="str">
        <f t="shared" si="2"/>
        <v>$F97</v>
      </c>
      <c r="R97" t="str">
        <f t="shared" si="3"/>
        <v>$G97</v>
      </c>
      <c r="S97" t="str">
        <f t="shared" si="11"/>
        <v>$D97</v>
      </c>
      <c r="T97" t="str" cm="1">
        <f t="array" aca="1" ref="T97" ca="1">IFERROR(VLOOKUP(INDIRECT(S97),Equipe!A:C,3,0),"")</f>
        <v/>
      </c>
    </row>
    <row r="98" spans="4:20" x14ac:dyDescent="0.3">
      <c r="D98" s="23"/>
      <c r="E98" s="23"/>
      <c r="F98" s="24"/>
      <c r="G98" s="24"/>
      <c r="H98" s="23"/>
      <c r="J98" s="21" t="str">
        <f t="shared" ca="1" si="16"/>
        <v/>
      </c>
      <c r="K98" t="str" cm="1">
        <f t="array" aca="1" ref="K98" ca="1">IF(T98="Sócio",IF(COUNTIF(Opções!$H$2:$H$13,INDIRECT($P98))&gt;0,IF(AND(INDIRECT($Q98)&lt;L$1/24,INDIRECT($R98)&gt;K$1/24),"x",""),""),"")</f>
        <v/>
      </c>
      <c r="L98" t="str" cm="1">
        <f t="array" aca="1" ref="L98" ca="1">IF(T98="Sócio",IF(COUNTIF(Opções!$H$2:$H$13,INDIRECT($P98))&gt;0,IF(AND(INDIRECT($Q98)&lt;M$1/24,INDIRECT($R98)&gt;L$1/24),"x",""),""),"")</f>
        <v/>
      </c>
      <c r="M98" t="str" cm="1">
        <f t="array" aca="1" ref="M98" ca="1">IF(T98="Sócio",IF(COUNTIF(Opções!$H$2:$H$13,INDIRECT($P98))&gt;0,IF(AND(INDIRECT($Q98)&lt;N$1/24,INDIRECT($R98)&gt;M$1/24),"x",""),""),"")</f>
        <v/>
      </c>
      <c r="N98" t="str" cm="1">
        <f t="array" aca="1" ref="N98" ca="1">IF(T98="Sócio",IF(COUNTIF(Opções!$H$2:$H$13,INDIRECT($P98))&gt;0,IF(AND(INDIRECT($Q98)&lt;O$1/24,INDIRECT($R98)&gt;N$1/24),"x",""),""),"")</f>
        <v/>
      </c>
      <c r="O98" t="str" cm="1">
        <f t="array" aca="1" ref="O98" ca="1">IF(T98="Sócio",IF(COUNTIF(Opções!$H$2:$H$13,INDIRECT($P98))&gt;0,IF(AND(INDIRECT($Q98)&lt;P$1/24,INDIRECT($R98)&gt;O$1/24),"x",""),""),"")</f>
        <v/>
      </c>
      <c r="P98" t="str">
        <f t="shared" si="10"/>
        <v>$E98</v>
      </c>
      <c r="Q98" t="str">
        <f t="shared" si="2"/>
        <v>$F98</v>
      </c>
      <c r="R98" t="str">
        <f t="shared" si="3"/>
        <v>$G98</v>
      </c>
      <c r="S98" t="str">
        <f t="shared" si="11"/>
        <v>$D98</v>
      </c>
      <c r="T98" t="str" cm="1">
        <f t="array" aca="1" ref="T98" ca="1">IFERROR(VLOOKUP(INDIRECT(S98),Equipe!A:C,3,0),"")</f>
        <v/>
      </c>
    </row>
    <row r="99" spans="4:20" x14ac:dyDescent="0.3">
      <c r="D99" s="23"/>
      <c r="E99" s="23"/>
      <c r="F99" s="24"/>
      <c r="G99" s="24"/>
      <c r="H99" s="23"/>
      <c r="J99" s="21" t="str">
        <f t="shared" ca="1" si="16"/>
        <v/>
      </c>
      <c r="K99" t="str" cm="1">
        <f t="array" aca="1" ref="K99" ca="1">IF(T99="Sócio",IF(COUNTIF(Opções!$H$2:$H$13,INDIRECT($P99))&gt;0,IF(AND(INDIRECT($Q99)&lt;L$1/24,INDIRECT($R99)&gt;K$1/24),"x",""),""),"")</f>
        <v/>
      </c>
      <c r="L99" t="str" cm="1">
        <f t="array" aca="1" ref="L99" ca="1">IF(T99="Sócio",IF(COUNTIF(Opções!$H$2:$H$13,INDIRECT($P99))&gt;0,IF(AND(INDIRECT($Q99)&lt;M$1/24,INDIRECT($R99)&gt;L$1/24),"x",""),""),"")</f>
        <v/>
      </c>
      <c r="M99" t="str" cm="1">
        <f t="array" aca="1" ref="M99" ca="1">IF(T99="Sócio",IF(COUNTIF(Opções!$H$2:$H$13,INDIRECT($P99))&gt;0,IF(AND(INDIRECT($Q99)&lt;N$1/24,INDIRECT($R99)&gt;M$1/24),"x",""),""),"")</f>
        <v/>
      </c>
      <c r="N99" t="str" cm="1">
        <f t="array" aca="1" ref="N99" ca="1">IF(T99="Sócio",IF(COUNTIF(Opções!$H$2:$H$13,INDIRECT($P99))&gt;0,IF(AND(INDIRECT($Q99)&lt;O$1/24,INDIRECT($R99)&gt;N$1/24),"x",""),""),"")</f>
        <v/>
      </c>
      <c r="O99" t="str" cm="1">
        <f t="array" aca="1" ref="O99" ca="1">IF(T99="Sócio",IF(COUNTIF(Opções!$H$2:$H$13,INDIRECT($P99))&gt;0,IF(AND(INDIRECT($Q99)&lt;P$1/24,INDIRECT($R99)&gt;O$1/24),"x",""),""),"")</f>
        <v/>
      </c>
      <c r="P99" t="str">
        <f t="shared" si="10"/>
        <v>$E99</v>
      </c>
      <c r="Q99" t="str">
        <f t="shared" si="2"/>
        <v>$F99</v>
      </c>
      <c r="R99" t="str">
        <f t="shared" si="3"/>
        <v>$G99</v>
      </c>
      <c r="S99" t="str">
        <f t="shared" si="11"/>
        <v>$D99</v>
      </c>
      <c r="T99" t="str" cm="1">
        <f t="array" aca="1" ref="T99" ca="1">IFERROR(VLOOKUP(INDIRECT(S99),Equipe!A:C,3,0),"")</f>
        <v/>
      </c>
    </row>
    <row r="100" spans="4:20" x14ac:dyDescent="0.3">
      <c r="D100" s="23"/>
      <c r="E100" s="23"/>
      <c r="F100" s="24"/>
      <c r="G100" s="24"/>
      <c r="H100" s="23"/>
      <c r="J100" s="21" t="str">
        <f t="shared" ca="1" si="16"/>
        <v/>
      </c>
      <c r="K100" t="str" cm="1">
        <f t="array" aca="1" ref="K100" ca="1">IF(T100="Sócio",IF(COUNTIF(Opções!$H$2:$H$13,INDIRECT($P100))&gt;0,IF(AND(INDIRECT($Q100)&lt;L$1/24,INDIRECT($R100)&gt;K$1/24),"x",""),""),"")</f>
        <v/>
      </c>
      <c r="L100" t="str" cm="1">
        <f t="array" aca="1" ref="L100" ca="1">IF(T100="Sócio",IF(COUNTIF(Opções!$H$2:$H$13,INDIRECT($P100))&gt;0,IF(AND(INDIRECT($Q100)&lt;M$1/24,INDIRECT($R100)&gt;L$1/24),"x",""),""),"")</f>
        <v/>
      </c>
      <c r="M100" t="str" cm="1">
        <f t="array" aca="1" ref="M100" ca="1">IF(T100="Sócio",IF(COUNTIF(Opções!$H$2:$H$13,INDIRECT($P100))&gt;0,IF(AND(INDIRECT($Q100)&lt;N$1/24,INDIRECT($R100)&gt;M$1/24),"x",""),""),"")</f>
        <v/>
      </c>
      <c r="N100" t="str" cm="1">
        <f t="array" aca="1" ref="N100" ca="1">IF(T100="Sócio",IF(COUNTIF(Opções!$H$2:$H$13,INDIRECT($P100))&gt;0,IF(AND(INDIRECT($Q100)&lt;O$1/24,INDIRECT($R100)&gt;N$1/24),"x",""),""),"")</f>
        <v/>
      </c>
      <c r="O100" t="str" cm="1">
        <f t="array" aca="1" ref="O100" ca="1">IF(T100="Sócio",IF(COUNTIF(Opções!$H$2:$H$13,INDIRECT($P100))&gt;0,IF(AND(INDIRECT($Q100)&lt;P$1/24,INDIRECT($R100)&gt;O$1/24),"x",""),""),"")</f>
        <v/>
      </c>
      <c r="P100" t="str">
        <f t="shared" si="10"/>
        <v>$E100</v>
      </c>
      <c r="Q100" t="str">
        <f t="shared" si="2"/>
        <v>$F100</v>
      </c>
      <c r="R100" t="str">
        <f t="shared" si="3"/>
        <v>$G100</v>
      </c>
      <c r="S100" t="str">
        <f t="shared" si="11"/>
        <v>$D100</v>
      </c>
      <c r="T100" t="str" cm="1">
        <f t="array" aca="1" ref="T100" ca="1">IFERROR(VLOOKUP(INDIRECT(S100),Equipe!A:C,3,0),"")</f>
        <v/>
      </c>
    </row>
    <row r="101" spans="4:20" x14ac:dyDescent="0.3">
      <c r="D101" s="23"/>
      <c r="E101" s="23"/>
      <c r="F101" s="24"/>
      <c r="G101" s="24"/>
      <c r="H101" s="23"/>
      <c r="J101" s="21" t="str">
        <f t="shared" ca="1" si="16"/>
        <v/>
      </c>
      <c r="K101" t="str" cm="1">
        <f t="array" aca="1" ref="K101" ca="1">IF(T101="Sócio",IF(COUNTIF(Opções!$H$2:$H$13,INDIRECT($P101))&gt;0,IF(AND(INDIRECT($Q101)&lt;L$1/24,INDIRECT($R101)&gt;K$1/24),"x",""),""),"")</f>
        <v/>
      </c>
      <c r="L101" t="str" cm="1">
        <f t="array" aca="1" ref="L101" ca="1">IF(T101="Sócio",IF(COUNTIF(Opções!$H$2:$H$13,INDIRECT($P101))&gt;0,IF(AND(INDIRECT($Q101)&lt;M$1/24,INDIRECT($R101)&gt;L$1/24),"x",""),""),"")</f>
        <v/>
      </c>
      <c r="M101" t="str" cm="1">
        <f t="array" aca="1" ref="M101" ca="1">IF(T101="Sócio",IF(COUNTIF(Opções!$H$2:$H$13,INDIRECT($P101))&gt;0,IF(AND(INDIRECT($Q101)&lt;N$1/24,INDIRECT($R101)&gt;M$1/24),"x",""),""),"")</f>
        <v/>
      </c>
      <c r="N101" t="str" cm="1">
        <f t="array" aca="1" ref="N101" ca="1">IF(T101="Sócio",IF(COUNTIF(Opções!$H$2:$H$13,INDIRECT($P101))&gt;0,IF(AND(INDIRECT($Q101)&lt;O$1/24,INDIRECT($R101)&gt;N$1/24),"x",""),""),"")</f>
        <v/>
      </c>
      <c r="O101" t="str" cm="1">
        <f t="array" aca="1" ref="O101" ca="1">IF(T101="Sócio",IF(COUNTIF(Opções!$H$2:$H$13,INDIRECT($P101))&gt;0,IF(AND(INDIRECT($Q101)&lt;P$1/24,INDIRECT($R101)&gt;O$1/24),"x",""),""),"")</f>
        <v/>
      </c>
      <c r="P101" t="str">
        <f t="shared" si="10"/>
        <v>$E101</v>
      </c>
      <c r="Q101" t="str">
        <f t="shared" si="2"/>
        <v>$F101</v>
      </c>
      <c r="R101" t="str">
        <f t="shared" si="3"/>
        <v>$G101</v>
      </c>
      <c r="S101" t="str">
        <f t="shared" si="11"/>
        <v>$D101</v>
      </c>
      <c r="T101" t="str" cm="1">
        <f t="array" aca="1" ref="T101" ca="1">IFERROR(VLOOKUP(INDIRECT(S101),Equipe!A:C,3,0),"")</f>
        <v/>
      </c>
    </row>
    <row r="102" spans="4:20" x14ac:dyDescent="0.3">
      <c r="D102" s="23"/>
      <c r="E102" s="23"/>
      <c r="F102" s="24"/>
      <c r="G102" s="24"/>
      <c r="H102" s="23"/>
      <c r="J102" s="21" t="str">
        <f t="shared" ca="1" si="16"/>
        <v/>
      </c>
      <c r="K102" t="str" cm="1">
        <f t="array" aca="1" ref="K102" ca="1">IF(T102="Sócio",IF(COUNTIF(Opções!$H$2:$H$13,INDIRECT($P102))&gt;0,IF(AND(INDIRECT($Q102)&lt;L$1/24,INDIRECT($R102)&gt;K$1/24),"x",""),""),"")</f>
        <v/>
      </c>
      <c r="L102" t="str" cm="1">
        <f t="array" aca="1" ref="L102" ca="1">IF(T102="Sócio",IF(COUNTIF(Opções!$H$2:$H$13,INDIRECT($P102))&gt;0,IF(AND(INDIRECT($Q102)&lt;M$1/24,INDIRECT($R102)&gt;L$1/24),"x",""),""),"")</f>
        <v/>
      </c>
      <c r="M102" t="str" cm="1">
        <f t="array" aca="1" ref="M102" ca="1">IF(T102="Sócio",IF(COUNTIF(Opções!$H$2:$H$13,INDIRECT($P102))&gt;0,IF(AND(INDIRECT($Q102)&lt;N$1/24,INDIRECT($R102)&gt;M$1/24),"x",""),""),"")</f>
        <v/>
      </c>
      <c r="N102" t="str" cm="1">
        <f t="array" aca="1" ref="N102" ca="1">IF(T102="Sócio",IF(COUNTIF(Opções!$H$2:$H$13,INDIRECT($P102))&gt;0,IF(AND(INDIRECT($Q102)&lt;O$1/24,INDIRECT($R102)&gt;N$1/24),"x",""),""),"")</f>
        <v/>
      </c>
      <c r="O102" t="str" cm="1">
        <f t="array" aca="1" ref="O102" ca="1">IF(T102="Sócio",IF(COUNTIF(Opções!$H$2:$H$13,INDIRECT($P102))&gt;0,IF(AND(INDIRECT($Q102)&lt;P$1/24,INDIRECT($R102)&gt;O$1/24),"x",""),""),"")</f>
        <v/>
      </c>
      <c r="P102" t="str">
        <f t="shared" si="10"/>
        <v>$E102</v>
      </c>
      <c r="Q102" t="str">
        <f t="shared" si="2"/>
        <v>$F102</v>
      </c>
      <c r="R102" t="str">
        <f t="shared" si="3"/>
        <v>$G102</v>
      </c>
      <c r="S102" t="str">
        <f t="shared" si="11"/>
        <v>$D102</v>
      </c>
      <c r="T102" t="str" cm="1">
        <f t="array" aca="1" ref="T102" ca="1">IFERROR(VLOOKUP(INDIRECT(S102),Equipe!A:C,3,0),"")</f>
        <v/>
      </c>
    </row>
    <row r="103" spans="4:20" x14ac:dyDescent="0.3">
      <c r="D103" s="23"/>
      <c r="E103" s="23"/>
      <c r="F103" s="24"/>
      <c r="G103" s="24"/>
      <c r="H103" s="23"/>
      <c r="J103" s="21" t="str">
        <f t="shared" ca="1" si="16"/>
        <v/>
      </c>
      <c r="K103" t="str" cm="1">
        <f t="array" aca="1" ref="K103" ca="1">IF(T103="Sócio",IF(COUNTIF(Opções!$H$2:$H$13,INDIRECT($P103))&gt;0,IF(AND(INDIRECT($Q103)&lt;L$1/24,INDIRECT($R103)&gt;K$1/24),"x",""),""),"")</f>
        <v/>
      </c>
      <c r="L103" t="str" cm="1">
        <f t="array" aca="1" ref="L103" ca="1">IF(T103="Sócio",IF(COUNTIF(Opções!$H$2:$H$13,INDIRECT($P103))&gt;0,IF(AND(INDIRECT($Q103)&lt;M$1/24,INDIRECT($R103)&gt;L$1/24),"x",""),""),"")</f>
        <v/>
      </c>
      <c r="M103" t="str" cm="1">
        <f t="array" aca="1" ref="M103" ca="1">IF(T103="Sócio",IF(COUNTIF(Opções!$H$2:$H$13,INDIRECT($P103))&gt;0,IF(AND(INDIRECT($Q103)&lt;N$1/24,INDIRECT($R103)&gt;M$1/24),"x",""),""),"")</f>
        <v/>
      </c>
      <c r="N103" t="str" cm="1">
        <f t="array" aca="1" ref="N103" ca="1">IF(T103="Sócio",IF(COUNTIF(Opções!$H$2:$H$13,INDIRECT($P103))&gt;0,IF(AND(INDIRECT($Q103)&lt;O$1/24,INDIRECT($R103)&gt;N$1/24),"x",""),""),"")</f>
        <v/>
      </c>
      <c r="O103" t="str" cm="1">
        <f t="array" aca="1" ref="O103" ca="1">IF(T103="Sócio",IF(COUNTIF(Opções!$H$2:$H$13,INDIRECT($P103))&gt;0,IF(AND(INDIRECT($Q103)&lt;P$1/24,INDIRECT($R103)&gt;O$1/24),"x",""),""),"")</f>
        <v/>
      </c>
      <c r="P103" t="str">
        <f t="shared" si="10"/>
        <v>$E103</v>
      </c>
      <c r="Q103" t="str">
        <f t="shared" si="2"/>
        <v>$F103</v>
      </c>
      <c r="R103" t="str">
        <f t="shared" si="3"/>
        <v>$G103</v>
      </c>
      <c r="S103" t="str">
        <f t="shared" si="11"/>
        <v>$D103</v>
      </c>
      <c r="T103" t="str" cm="1">
        <f t="array" aca="1" ref="T103" ca="1">IFERROR(VLOOKUP(INDIRECT(S103),Equipe!A:C,3,0),"")</f>
        <v/>
      </c>
    </row>
    <row r="104" spans="4:20" x14ac:dyDescent="0.3">
      <c r="D104" s="23"/>
      <c r="E104" s="23"/>
      <c r="F104" s="24"/>
      <c r="G104" s="24"/>
      <c r="H104" s="23"/>
      <c r="J104" s="21" t="str">
        <f t="shared" ca="1" si="16"/>
        <v/>
      </c>
      <c r="K104" t="str" cm="1">
        <f t="array" aca="1" ref="K104" ca="1">IF(T104="Sócio",IF(COUNTIF(Opções!$H$2:$H$13,INDIRECT($P104))&gt;0,IF(AND(INDIRECT($Q104)&lt;L$1/24,INDIRECT($R104)&gt;K$1/24),"x",""),""),"")</f>
        <v/>
      </c>
      <c r="L104" t="str" cm="1">
        <f t="array" aca="1" ref="L104" ca="1">IF(T104="Sócio",IF(COUNTIF(Opções!$H$2:$H$13,INDIRECT($P104))&gt;0,IF(AND(INDIRECT($Q104)&lt;M$1/24,INDIRECT($R104)&gt;L$1/24),"x",""),""),"")</f>
        <v/>
      </c>
      <c r="M104" t="str" cm="1">
        <f t="array" aca="1" ref="M104" ca="1">IF(T104="Sócio",IF(COUNTIF(Opções!$H$2:$H$13,INDIRECT($P104))&gt;0,IF(AND(INDIRECT($Q104)&lt;N$1/24,INDIRECT($R104)&gt;M$1/24),"x",""),""),"")</f>
        <v/>
      </c>
      <c r="N104" t="str" cm="1">
        <f t="array" aca="1" ref="N104" ca="1">IF(T104="Sócio",IF(COUNTIF(Opções!$H$2:$H$13,INDIRECT($P104))&gt;0,IF(AND(INDIRECT($Q104)&lt;O$1/24,INDIRECT($R104)&gt;N$1/24),"x",""),""),"")</f>
        <v/>
      </c>
      <c r="O104" t="str" cm="1">
        <f t="array" aca="1" ref="O104" ca="1">IF(T104="Sócio",IF(COUNTIF(Opções!$H$2:$H$13,INDIRECT($P104))&gt;0,IF(AND(INDIRECT($Q104)&lt;P$1/24,INDIRECT($R104)&gt;O$1/24),"x",""),""),"")</f>
        <v/>
      </c>
      <c r="P104" t="str">
        <f t="shared" si="10"/>
        <v>$E104</v>
      </c>
      <c r="Q104" t="str">
        <f t="shared" si="2"/>
        <v>$F104</v>
      </c>
      <c r="R104" t="str">
        <f t="shared" si="3"/>
        <v>$G104</v>
      </c>
      <c r="S104" t="str">
        <f t="shared" si="11"/>
        <v>$D104</v>
      </c>
      <c r="T104" t="str" cm="1">
        <f t="array" aca="1" ref="T104" ca="1">IFERROR(VLOOKUP(INDIRECT(S104),Equipe!A:C,3,0),"")</f>
        <v/>
      </c>
    </row>
    <row r="105" spans="4:20" x14ac:dyDescent="0.3">
      <c r="D105" s="23"/>
      <c r="E105" s="23"/>
      <c r="F105" s="24"/>
      <c r="G105" s="24"/>
      <c r="H105" s="23"/>
      <c r="J105" s="21" t="str">
        <f t="shared" ca="1" si="16"/>
        <v/>
      </c>
      <c r="K105" t="str" cm="1">
        <f t="array" aca="1" ref="K105" ca="1">IF(T105="Sócio",IF(COUNTIF(Opções!$H$2:$H$13,INDIRECT($P105))&gt;0,IF(AND(INDIRECT($Q105)&lt;L$1/24,INDIRECT($R105)&gt;K$1/24),"x",""),""),"")</f>
        <v/>
      </c>
      <c r="L105" t="str" cm="1">
        <f t="array" aca="1" ref="L105" ca="1">IF(T105="Sócio",IF(COUNTIF(Opções!$H$2:$H$13,INDIRECT($P105))&gt;0,IF(AND(INDIRECT($Q105)&lt;M$1/24,INDIRECT($R105)&gt;L$1/24),"x",""),""),"")</f>
        <v/>
      </c>
      <c r="M105" t="str" cm="1">
        <f t="array" aca="1" ref="M105" ca="1">IF(T105="Sócio",IF(COUNTIF(Opções!$H$2:$H$13,INDIRECT($P105))&gt;0,IF(AND(INDIRECT($Q105)&lt;N$1/24,INDIRECT($R105)&gt;M$1/24),"x",""),""),"")</f>
        <v/>
      </c>
      <c r="N105" t="str" cm="1">
        <f t="array" aca="1" ref="N105" ca="1">IF(T105="Sócio",IF(COUNTIF(Opções!$H$2:$H$13,INDIRECT($P105))&gt;0,IF(AND(INDIRECT($Q105)&lt;O$1/24,INDIRECT($R105)&gt;N$1/24),"x",""),""),"")</f>
        <v/>
      </c>
      <c r="O105" t="str" cm="1">
        <f t="array" aca="1" ref="O105" ca="1">IF(T105="Sócio",IF(COUNTIF(Opções!$H$2:$H$13,INDIRECT($P105))&gt;0,IF(AND(INDIRECT($Q105)&lt;P$1/24,INDIRECT($R105)&gt;O$1/24),"x",""),""),"")</f>
        <v/>
      </c>
      <c r="P105" t="str">
        <f t="shared" si="10"/>
        <v>$E105</v>
      </c>
      <c r="Q105" t="str">
        <f t="shared" si="2"/>
        <v>$F105</v>
      </c>
      <c r="R105" t="str">
        <f t="shared" si="3"/>
        <v>$G105</v>
      </c>
      <c r="S105" t="str">
        <f t="shared" si="11"/>
        <v>$D105</v>
      </c>
      <c r="T105" t="str" cm="1">
        <f t="array" aca="1" ref="T105" ca="1">IFERROR(VLOOKUP(INDIRECT(S105),Equipe!A:C,3,0),"")</f>
        <v/>
      </c>
    </row>
    <row r="106" spans="4:20" x14ac:dyDescent="0.3">
      <c r="D106" s="23"/>
      <c r="E106" s="23"/>
      <c r="F106" s="24"/>
      <c r="G106" s="24"/>
      <c r="H106" s="23"/>
      <c r="J106" s="21" t="str">
        <f t="shared" ca="1" si="16"/>
        <v/>
      </c>
      <c r="K106" t="str" cm="1">
        <f t="array" aca="1" ref="K106" ca="1">IF(T106="Sócio",IF(COUNTIF(Opções!$H$2:$H$13,INDIRECT($P106))&gt;0,IF(AND(INDIRECT($Q106)&lt;L$1/24,INDIRECT($R106)&gt;K$1/24),"x",""),""),"")</f>
        <v/>
      </c>
      <c r="L106" t="str" cm="1">
        <f t="array" aca="1" ref="L106" ca="1">IF(T106="Sócio",IF(COUNTIF(Opções!$H$2:$H$13,INDIRECT($P106))&gt;0,IF(AND(INDIRECT($Q106)&lt;M$1/24,INDIRECT($R106)&gt;L$1/24),"x",""),""),"")</f>
        <v/>
      </c>
      <c r="M106" t="str" cm="1">
        <f t="array" aca="1" ref="M106" ca="1">IF(T106="Sócio",IF(COUNTIF(Opções!$H$2:$H$13,INDIRECT($P106))&gt;0,IF(AND(INDIRECT($Q106)&lt;N$1/24,INDIRECT($R106)&gt;M$1/24),"x",""),""),"")</f>
        <v/>
      </c>
      <c r="N106" t="str" cm="1">
        <f t="array" aca="1" ref="N106" ca="1">IF(T106="Sócio",IF(COUNTIF(Opções!$H$2:$H$13,INDIRECT($P106))&gt;0,IF(AND(INDIRECT($Q106)&lt;O$1/24,INDIRECT($R106)&gt;N$1/24),"x",""),""),"")</f>
        <v/>
      </c>
      <c r="O106" t="str" cm="1">
        <f t="array" aca="1" ref="O106" ca="1">IF(T106="Sócio",IF(COUNTIF(Opções!$H$2:$H$13,INDIRECT($P106))&gt;0,IF(AND(INDIRECT($Q106)&lt;P$1/24,INDIRECT($R106)&gt;O$1/24),"x",""),""),"")</f>
        <v/>
      </c>
      <c r="P106" t="str">
        <f t="shared" si="10"/>
        <v>$E106</v>
      </c>
      <c r="Q106" t="str">
        <f t="shared" ref="Q106" si="17">"$F"&amp;ROW(O106)</f>
        <v>$F106</v>
      </c>
      <c r="R106" t="str">
        <f t="shared" ref="R106" si="18">"$G"&amp;ROW(Q106)</f>
        <v>$G106</v>
      </c>
      <c r="S106" t="str">
        <f t="shared" si="11"/>
        <v>$D106</v>
      </c>
      <c r="T106" t="str" cm="1">
        <f t="array" aca="1" ref="T106" ca="1">IFERROR(VLOOKUP(INDIRECT(S106),Equipe!A:C,3,0),"")</f>
        <v/>
      </c>
    </row>
    <row r="107" spans="4:20" x14ac:dyDescent="0.3">
      <c r="D107" s="23"/>
      <c r="E107" s="23"/>
      <c r="F107" s="24"/>
      <c r="G107" s="24"/>
      <c r="H107" s="23"/>
      <c r="J107" s="21" t="str">
        <f t="shared" ca="1" si="16"/>
        <v/>
      </c>
      <c r="K107" t="str" cm="1">
        <f t="array" aca="1" ref="K107" ca="1">IF(T107="Sócio",IF(COUNTIF(Opções!$H$2:$H$13,INDIRECT($P107))&gt;0,IF(AND(INDIRECT($Q107)&lt;L$1/24,INDIRECT($R107)&gt;K$1/24),"x",""),""),"")</f>
        <v/>
      </c>
      <c r="L107" t="str" cm="1">
        <f t="array" aca="1" ref="L107" ca="1">IF(T107="Sócio",IF(COUNTIF(Opções!$H$2:$H$13,INDIRECT($P107))&gt;0,IF(AND(INDIRECT($Q107)&lt;M$1/24,INDIRECT($R107)&gt;L$1/24),"x",""),""),"")</f>
        <v/>
      </c>
      <c r="M107" t="str" cm="1">
        <f t="array" aca="1" ref="M107" ca="1">IF(T107="Sócio",IF(COUNTIF(Opções!$H$2:$H$13,INDIRECT($P107))&gt;0,IF(AND(INDIRECT($Q107)&lt;N$1/24,INDIRECT($R107)&gt;M$1/24),"x",""),""),"")</f>
        <v/>
      </c>
      <c r="N107" t="str" cm="1">
        <f t="array" aca="1" ref="N107" ca="1">IF(T107="Sócio",IF(COUNTIF(Opções!$H$2:$H$13,INDIRECT($P107))&gt;0,IF(AND(INDIRECT($Q107)&lt;O$1/24,INDIRECT($R107)&gt;N$1/24),"x",""),""),"")</f>
        <v/>
      </c>
      <c r="O107" t="str" cm="1">
        <f t="array" aca="1" ref="O107" ca="1">IF(T107="Sócio",IF(COUNTIF(Opções!$H$2:$H$13,INDIRECT($P107))&gt;0,IF(AND(INDIRECT($Q107)&lt;P$1/24,INDIRECT($R107)&gt;O$1/24),"x",""),""),"")</f>
        <v/>
      </c>
      <c r="P107" t="str">
        <f t="shared" si="10"/>
        <v>$E107</v>
      </c>
      <c r="Q107" t="str">
        <f t="shared" si="2"/>
        <v>$F107</v>
      </c>
      <c r="R107" t="str">
        <f t="shared" si="3"/>
        <v>$G107</v>
      </c>
      <c r="S107" t="str">
        <f t="shared" si="11"/>
        <v>$D107</v>
      </c>
      <c r="T107" t="str" cm="1">
        <f t="array" aca="1" ref="T107" ca="1">IFERROR(VLOOKUP(INDIRECT(S107),Equipe!A:C,3,0),"")</f>
        <v/>
      </c>
    </row>
    <row r="108" spans="4:20" x14ac:dyDescent="0.3">
      <c r="D108" s="23"/>
      <c r="E108" s="23"/>
      <c r="F108" s="24"/>
      <c r="G108" s="24"/>
      <c r="H108" s="23"/>
      <c r="J108" s="21" t="str">
        <f t="shared" ca="1" si="16"/>
        <v/>
      </c>
      <c r="K108" t="str" cm="1">
        <f t="array" aca="1" ref="K108" ca="1">IF(T108="Sócio",IF(COUNTIF(Opções!$H$2:$H$13,INDIRECT($P108))&gt;0,IF(AND(INDIRECT($Q108)&lt;L$1/24,INDIRECT($R108)&gt;K$1/24),"x",""),""),"")</f>
        <v/>
      </c>
      <c r="L108" t="str" cm="1">
        <f t="array" aca="1" ref="L108" ca="1">IF(T108="Sócio",IF(COUNTIF(Opções!$H$2:$H$13,INDIRECT($P108))&gt;0,IF(AND(INDIRECT($Q108)&lt;M$1/24,INDIRECT($R108)&gt;L$1/24),"x",""),""),"")</f>
        <v/>
      </c>
      <c r="M108" t="str" cm="1">
        <f t="array" aca="1" ref="M108" ca="1">IF(T108="Sócio",IF(COUNTIF(Opções!$H$2:$H$13,INDIRECT($P108))&gt;0,IF(AND(INDIRECT($Q108)&lt;N$1/24,INDIRECT($R108)&gt;M$1/24),"x",""),""),"")</f>
        <v/>
      </c>
      <c r="N108" t="str" cm="1">
        <f t="array" aca="1" ref="N108" ca="1">IF(T108="Sócio",IF(COUNTIF(Opções!$H$2:$H$13,INDIRECT($P108))&gt;0,IF(AND(INDIRECT($Q108)&lt;O$1/24,INDIRECT($R108)&gt;N$1/24),"x",""),""),"")</f>
        <v/>
      </c>
      <c r="O108" t="str" cm="1">
        <f t="array" aca="1" ref="O108" ca="1">IF(T108="Sócio",IF(COUNTIF(Opções!$H$2:$H$13,INDIRECT($P108))&gt;0,IF(AND(INDIRECT($Q108)&lt;P$1/24,INDIRECT($R108)&gt;O$1/24),"x",""),""),"")</f>
        <v/>
      </c>
      <c r="P108" t="str">
        <f t="shared" si="10"/>
        <v>$E108</v>
      </c>
      <c r="Q108" t="str">
        <f t="shared" si="2"/>
        <v>$F108</v>
      </c>
      <c r="R108" t="str">
        <f t="shared" si="3"/>
        <v>$G108</v>
      </c>
      <c r="S108" t="str">
        <f t="shared" si="11"/>
        <v>$D108</v>
      </c>
      <c r="T108" t="str" cm="1">
        <f t="array" aca="1" ref="T108" ca="1">IFERROR(VLOOKUP(INDIRECT(S108),Equipe!A:C,3,0),"")</f>
        <v/>
      </c>
    </row>
    <row r="109" spans="4:20" x14ac:dyDescent="0.3">
      <c r="D109" s="23"/>
      <c r="E109" s="23"/>
      <c r="F109" s="24"/>
      <c r="G109" s="24"/>
      <c r="H109" s="23"/>
      <c r="J109" s="21" t="str">
        <f t="shared" ca="1" si="16"/>
        <v/>
      </c>
      <c r="K109" t="str" cm="1">
        <f t="array" aca="1" ref="K109" ca="1">IF(T109="Sócio",IF(COUNTIF(Opções!$H$2:$H$13,INDIRECT($P109))&gt;0,IF(AND(INDIRECT($Q109)&lt;L$1/24,INDIRECT($R109)&gt;K$1/24),"x",""),""),"")</f>
        <v/>
      </c>
      <c r="L109" t="str" cm="1">
        <f t="array" aca="1" ref="L109" ca="1">IF(T109="Sócio",IF(COUNTIF(Opções!$H$2:$H$13,INDIRECT($P109))&gt;0,IF(AND(INDIRECT($Q109)&lt;M$1/24,INDIRECT($R109)&gt;L$1/24),"x",""),""),"")</f>
        <v/>
      </c>
      <c r="M109" t="str" cm="1">
        <f t="array" aca="1" ref="M109" ca="1">IF(T109="Sócio",IF(COUNTIF(Opções!$H$2:$H$13,INDIRECT($P109))&gt;0,IF(AND(INDIRECT($Q109)&lt;N$1/24,INDIRECT($R109)&gt;M$1/24),"x",""),""),"")</f>
        <v/>
      </c>
      <c r="N109" t="str" cm="1">
        <f t="array" aca="1" ref="N109" ca="1">IF(T109="Sócio",IF(COUNTIF(Opções!$H$2:$H$13,INDIRECT($P109))&gt;0,IF(AND(INDIRECT($Q109)&lt;O$1/24,INDIRECT($R109)&gt;N$1/24),"x",""),""),"")</f>
        <v/>
      </c>
      <c r="O109" t="str" cm="1">
        <f t="array" aca="1" ref="O109" ca="1">IF(T109="Sócio",IF(COUNTIF(Opções!$H$2:$H$13,INDIRECT($P109))&gt;0,IF(AND(INDIRECT($Q109)&lt;P$1/24,INDIRECT($R109)&gt;O$1/24),"x",""),""),"")</f>
        <v/>
      </c>
      <c r="P109" t="str">
        <f t="shared" si="10"/>
        <v>$E109</v>
      </c>
      <c r="Q109" t="str">
        <f t="shared" si="2"/>
        <v>$F109</v>
      </c>
      <c r="R109" t="str">
        <f t="shared" si="3"/>
        <v>$G109</v>
      </c>
      <c r="S109" t="str">
        <f t="shared" si="11"/>
        <v>$D109</v>
      </c>
      <c r="T109" t="str" cm="1">
        <f t="array" aca="1" ref="T109" ca="1">IFERROR(VLOOKUP(INDIRECT(S109),Equipe!A:C,3,0),"")</f>
        <v/>
      </c>
    </row>
    <row r="110" spans="4:20" x14ac:dyDescent="0.3">
      <c r="D110" s="23"/>
      <c r="E110" s="23"/>
      <c r="F110" s="24"/>
      <c r="G110" s="24"/>
      <c r="H110" s="23"/>
      <c r="J110" s="21" t="str">
        <f t="shared" ca="1" si="16"/>
        <v/>
      </c>
      <c r="K110" t="str" cm="1">
        <f t="array" aca="1" ref="K110" ca="1">IF(T110="Sócio",IF(COUNTIF(Opções!$H$2:$H$13,INDIRECT($P110))&gt;0,IF(AND(INDIRECT($Q110)&lt;L$1/24,INDIRECT($R110)&gt;K$1/24),"x",""),""),"")</f>
        <v/>
      </c>
      <c r="L110" t="str" cm="1">
        <f t="array" aca="1" ref="L110" ca="1">IF(T110="Sócio",IF(COUNTIF(Opções!$H$2:$H$13,INDIRECT($P110))&gt;0,IF(AND(INDIRECT($Q110)&lt;M$1/24,INDIRECT($R110)&gt;L$1/24),"x",""),""),"")</f>
        <v/>
      </c>
      <c r="M110" t="str" cm="1">
        <f t="array" aca="1" ref="M110" ca="1">IF(T110="Sócio",IF(COUNTIF(Opções!$H$2:$H$13,INDIRECT($P110))&gt;0,IF(AND(INDIRECT($Q110)&lt;N$1/24,INDIRECT($R110)&gt;M$1/24),"x",""),""),"")</f>
        <v/>
      </c>
      <c r="N110" t="str" cm="1">
        <f t="array" aca="1" ref="N110" ca="1">IF(T110="Sócio",IF(COUNTIF(Opções!$H$2:$H$13,INDIRECT($P110))&gt;0,IF(AND(INDIRECT($Q110)&lt;O$1/24,INDIRECT($R110)&gt;N$1/24),"x",""),""),"")</f>
        <v/>
      </c>
      <c r="O110" t="str" cm="1">
        <f t="array" aca="1" ref="O110" ca="1">IF(T110="Sócio",IF(COUNTIF(Opções!$H$2:$H$13,INDIRECT($P110))&gt;0,IF(AND(INDIRECT($Q110)&lt;P$1/24,INDIRECT($R110)&gt;O$1/24),"x",""),""),"")</f>
        <v/>
      </c>
      <c r="P110" t="str">
        <f t="shared" si="10"/>
        <v>$E110</v>
      </c>
      <c r="Q110" t="str">
        <f t="shared" si="2"/>
        <v>$F110</v>
      </c>
      <c r="R110" t="str">
        <f t="shared" si="3"/>
        <v>$G110</v>
      </c>
      <c r="S110" t="str">
        <f t="shared" si="11"/>
        <v>$D110</v>
      </c>
      <c r="T110" t="str" cm="1">
        <f t="array" aca="1" ref="T110" ca="1">IFERROR(VLOOKUP(INDIRECT(S110),Equipe!A:C,3,0),"")</f>
        <v/>
      </c>
    </row>
    <row r="111" spans="4:20" x14ac:dyDescent="0.3">
      <c r="D111" s="23"/>
      <c r="E111" s="23"/>
      <c r="F111" s="24"/>
      <c r="G111" s="24"/>
      <c r="H111" s="23"/>
      <c r="J111" s="21" t="str">
        <f t="shared" ca="1" si="16"/>
        <v/>
      </c>
      <c r="K111" t="str" cm="1">
        <f t="array" aca="1" ref="K111" ca="1">IF(T111="Sócio",IF(COUNTIF(Opções!$H$2:$H$13,INDIRECT($P111))&gt;0,IF(AND(INDIRECT($Q111)&lt;L$1/24,INDIRECT($R111)&gt;K$1/24),"x",""),""),"")</f>
        <v/>
      </c>
      <c r="L111" t="str" cm="1">
        <f t="array" aca="1" ref="L111" ca="1">IF(T111="Sócio",IF(COUNTIF(Opções!$H$2:$H$13,INDIRECT($P111))&gt;0,IF(AND(INDIRECT($Q111)&lt;M$1/24,INDIRECT($R111)&gt;L$1/24),"x",""),""),"")</f>
        <v/>
      </c>
      <c r="M111" t="str" cm="1">
        <f t="array" aca="1" ref="M111" ca="1">IF(T111="Sócio",IF(COUNTIF(Opções!$H$2:$H$13,INDIRECT($P111))&gt;0,IF(AND(INDIRECT($Q111)&lt;N$1/24,INDIRECT($R111)&gt;M$1/24),"x",""),""),"")</f>
        <v/>
      </c>
      <c r="N111" t="str" cm="1">
        <f t="array" aca="1" ref="N111" ca="1">IF(T111="Sócio",IF(COUNTIF(Opções!$H$2:$H$13,INDIRECT($P111))&gt;0,IF(AND(INDIRECT($Q111)&lt;O$1/24,INDIRECT($R111)&gt;N$1/24),"x",""),""),"")</f>
        <v/>
      </c>
      <c r="O111" t="str" cm="1">
        <f t="array" aca="1" ref="O111" ca="1">IF(T111="Sócio",IF(COUNTIF(Opções!$H$2:$H$13,INDIRECT($P111))&gt;0,IF(AND(INDIRECT($Q111)&lt;P$1/24,INDIRECT($R111)&gt;O$1/24),"x",""),""),"")</f>
        <v/>
      </c>
      <c r="P111" t="str">
        <f t="shared" si="10"/>
        <v>$E111</v>
      </c>
      <c r="Q111" t="str">
        <f t="shared" si="2"/>
        <v>$F111</v>
      </c>
      <c r="R111" t="str">
        <f t="shared" si="3"/>
        <v>$G111</v>
      </c>
      <c r="S111" t="str">
        <f t="shared" si="11"/>
        <v>$D111</v>
      </c>
      <c r="T111" t="str" cm="1">
        <f t="array" aca="1" ref="T111" ca="1">IFERROR(VLOOKUP(INDIRECT(S111),Equipe!A:C,3,0),"")</f>
        <v/>
      </c>
    </row>
    <row r="112" spans="4:20" x14ac:dyDescent="0.3">
      <c r="D112" s="23"/>
      <c r="E112" s="23"/>
      <c r="F112" s="24"/>
      <c r="G112" s="24"/>
      <c r="H112" s="23"/>
      <c r="J112" s="21" t="str">
        <f t="shared" ca="1" si="16"/>
        <v/>
      </c>
      <c r="K112" t="str" cm="1">
        <f t="array" aca="1" ref="K112" ca="1">IF(T112="Sócio",IF(COUNTIF(Opções!$H$2:$H$13,INDIRECT($P112))&gt;0,IF(AND(INDIRECT($Q112)&lt;L$1/24,INDIRECT($R112)&gt;K$1/24),"x",""),""),"")</f>
        <v/>
      </c>
      <c r="L112" t="str" cm="1">
        <f t="array" aca="1" ref="L112" ca="1">IF(T112="Sócio",IF(COUNTIF(Opções!$H$2:$H$13,INDIRECT($P112))&gt;0,IF(AND(INDIRECT($Q112)&lt;M$1/24,INDIRECT($R112)&gt;L$1/24),"x",""),""),"")</f>
        <v/>
      </c>
      <c r="M112" t="str" cm="1">
        <f t="array" aca="1" ref="M112" ca="1">IF(T112="Sócio",IF(COUNTIF(Opções!$H$2:$H$13,INDIRECT($P112))&gt;0,IF(AND(INDIRECT($Q112)&lt;N$1/24,INDIRECT($R112)&gt;M$1/24),"x",""),""),"")</f>
        <v/>
      </c>
      <c r="N112" t="str" cm="1">
        <f t="array" aca="1" ref="N112" ca="1">IF(T112="Sócio",IF(COUNTIF(Opções!$H$2:$H$13,INDIRECT($P112))&gt;0,IF(AND(INDIRECT($Q112)&lt;O$1/24,INDIRECT($R112)&gt;N$1/24),"x",""),""),"")</f>
        <v/>
      </c>
      <c r="O112" t="str" cm="1">
        <f t="array" aca="1" ref="O112" ca="1">IF(T112="Sócio",IF(COUNTIF(Opções!$H$2:$H$13,INDIRECT($P112))&gt;0,IF(AND(INDIRECT($Q112)&lt;P$1/24,INDIRECT($R112)&gt;O$1/24),"x",""),""),"")</f>
        <v/>
      </c>
      <c r="P112" t="str">
        <f t="shared" si="10"/>
        <v>$E112</v>
      </c>
      <c r="Q112" t="str">
        <f t="shared" si="2"/>
        <v>$F112</v>
      </c>
      <c r="R112" t="str">
        <f t="shared" si="3"/>
        <v>$G112</v>
      </c>
      <c r="S112" t="str">
        <f t="shared" si="11"/>
        <v>$D112</v>
      </c>
      <c r="T112" t="str" cm="1">
        <f t="array" aca="1" ref="T112" ca="1">IFERROR(VLOOKUP(INDIRECT(S112),Equipe!A:C,3,0),"")</f>
        <v/>
      </c>
    </row>
    <row r="113" spans="4:20" x14ac:dyDescent="0.3">
      <c r="D113" s="23"/>
      <c r="E113" s="23"/>
      <c r="F113" s="24"/>
      <c r="G113" s="24"/>
      <c r="H113" s="23"/>
      <c r="J113" s="21" t="str">
        <f t="shared" ca="1" si="16"/>
        <v/>
      </c>
      <c r="K113" t="str" cm="1">
        <f t="array" aca="1" ref="K113" ca="1">IF(T113="Sócio",IF(COUNTIF(Opções!$H$2:$H$13,INDIRECT($P113))&gt;0,IF(AND(INDIRECT($Q113)&lt;L$1/24,INDIRECT($R113)&gt;K$1/24),"x",""),""),"")</f>
        <v/>
      </c>
      <c r="L113" t="str" cm="1">
        <f t="array" aca="1" ref="L113" ca="1">IF(T113="Sócio",IF(COUNTIF(Opções!$H$2:$H$13,INDIRECT($P113))&gt;0,IF(AND(INDIRECT($Q113)&lt;M$1/24,INDIRECT($R113)&gt;L$1/24),"x",""),""),"")</f>
        <v/>
      </c>
      <c r="M113" t="str" cm="1">
        <f t="array" aca="1" ref="M113" ca="1">IF(T113="Sócio",IF(COUNTIF(Opções!$H$2:$H$13,INDIRECT($P113))&gt;0,IF(AND(INDIRECT($Q113)&lt;N$1/24,INDIRECT($R113)&gt;M$1/24),"x",""),""),"")</f>
        <v/>
      </c>
      <c r="N113" t="str" cm="1">
        <f t="array" aca="1" ref="N113" ca="1">IF(T113="Sócio",IF(COUNTIF(Opções!$H$2:$H$13,INDIRECT($P113))&gt;0,IF(AND(INDIRECT($Q113)&lt;O$1/24,INDIRECT($R113)&gt;N$1/24),"x",""),""),"")</f>
        <v/>
      </c>
      <c r="O113" t="str" cm="1">
        <f t="array" aca="1" ref="O113" ca="1">IF(T113="Sócio",IF(COUNTIF(Opções!$H$2:$H$13,INDIRECT($P113))&gt;0,IF(AND(INDIRECT($Q113)&lt;P$1/24,INDIRECT($R113)&gt;O$1/24),"x",""),""),"")</f>
        <v/>
      </c>
      <c r="P113" t="str">
        <f t="shared" si="10"/>
        <v>$E113</v>
      </c>
      <c r="Q113" t="str">
        <f t="shared" si="2"/>
        <v>$F113</v>
      </c>
      <c r="R113" t="str">
        <f t="shared" si="3"/>
        <v>$G113</v>
      </c>
      <c r="S113" t="str">
        <f t="shared" si="11"/>
        <v>$D113</v>
      </c>
      <c r="T113" t="str" cm="1">
        <f t="array" aca="1" ref="T113" ca="1">IFERROR(VLOOKUP(INDIRECT(S113),Equipe!A:C,3,0),"")</f>
        <v/>
      </c>
    </row>
    <row r="114" spans="4:20" x14ac:dyDescent="0.3">
      <c r="D114" s="23"/>
      <c r="E114" s="23"/>
      <c r="F114" s="24"/>
      <c r="G114" s="24"/>
      <c r="H114" s="23"/>
      <c r="J114" s="21" t="str">
        <f t="shared" ca="1" si="16"/>
        <v/>
      </c>
      <c r="K114" t="str" cm="1">
        <f t="array" aca="1" ref="K114" ca="1">IF(T114="Sócio",IF(COUNTIF(Opções!$H$2:$H$13,INDIRECT($P114))&gt;0,IF(AND(INDIRECT($Q114)&lt;L$1/24,INDIRECT($R114)&gt;K$1/24),"x",""),""),"")</f>
        <v/>
      </c>
      <c r="L114" t="str" cm="1">
        <f t="array" aca="1" ref="L114" ca="1">IF(T114="Sócio",IF(COUNTIF(Opções!$H$2:$H$13,INDIRECT($P114))&gt;0,IF(AND(INDIRECT($Q114)&lt;M$1/24,INDIRECT($R114)&gt;L$1/24),"x",""),""),"")</f>
        <v/>
      </c>
      <c r="M114" t="str" cm="1">
        <f t="array" aca="1" ref="M114" ca="1">IF(T114="Sócio",IF(COUNTIF(Opções!$H$2:$H$13,INDIRECT($P114))&gt;0,IF(AND(INDIRECT($Q114)&lt;N$1/24,INDIRECT($R114)&gt;M$1/24),"x",""),""),"")</f>
        <v/>
      </c>
      <c r="N114" t="str" cm="1">
        <f t="array" aca="1" ref="N114" ca="1">IF(T114="Sócio",IF(COUNTIF(Opções!$H$2:$H$13,INDIRECT($P114))&gt;0,IF(AND(INDIRECT($Q114)&lt;O$1/24,INDIRECT($R114)&gt;N$1/24),"x",""),""),"")</f>
        <v/>
      </c>
      <c r="O114" t="str" cm="1">
        <f t="array" aca="1" ref="O114" ca="1">IF(T114="Sócio",IF(COUNTIF(Opções!$H$2:$H$13,INDIRECT($P114))&gt;0,IF(AND(INDIRECT($Q114)&lt;P$1/24,INDIRECT($R114)&gt;O$1/24),"x",""),""),"")</f>
        <v/>
      </c>
      <c r="P114" t="str">
        <f t="shared" si="10"/>
        <v>$E114</v>
      </c>
      <c r="Q114" t="str">
        <f t="shared" si="2"/>
        <v>$F114</v>
      </c>
      <c r="R114" t="str">
        <f t="shared" si="3"/>
        <v>$G114</v>
      </c>
      <c r="S114" t="str">
        <f t="shared" si="11"/>
        <v>$D114</v>
      </c>
      <c r="T114" t="str" cm="1">
        <f t="array" aca="1" ref="T114" ca="1">IFERROR(VLOOKUP(INDIRECT(S114),Equipe!A:C,3,0),"")</f>
        <v/>
      </c>
    </row>
    <row r="115" spans="4:20" x14ac:dyDescent="0.3">
      <c r="D115" s="23"/>
      <c r="E115" s="23"/>
      <c r="F115" s="24"/>
      <c r="G115" s="24"/>
      <c r="H115" s="23"/>
      <c r="J115" s="21" t="str">
        <f t="shared" ca="1" si="16"/>
        <v/>
      </c>
      <c r="K115" t="str" cm="1">
        <f t="array" aca="1" ref="K115" ca="1">IF(T115="Sócio",IF(COUNTIF(Opções!$H$2:$H$13,INDIRECT($P115))&gt;0,IF(AND(INDIRECT($Q115)&lt;L$1/24,INDIRECT($R115)&gt;K$1/24),"x",""),""),"")</f>
        <v/>
      </c>
      <c r="L115" t="str" cm="1">
        <f t="array" aca="1" ref="L115" ca="1">IF(T115="Sócio",IF(COUNTIF(Opções!$H$2:$H$13,INDIRECT($P115))&gt;0,IF(AND(INDIRECT($Q115)&lt;M$1/24,INDIRECT($R115)&gt;L$1/24),"x",""),""),"")</f>
        <v/>
      </c>
      <c r="M115" t="str" cm="1">
        <f t="array" aca="1" ref="M115" ca="1">IF(T115="Sócio",IF(COUNTIF(Opções!$H$2:$H$13,INDIRECT($P115))&gt;0,IF(AND(INDIRECT($Q115)&lt;N$1/24,INDIRECT($R115)&gt;M$1/24),"x",""),""),"")</f>
        <v/>
      </c>
      <c r="N115" t="str" cm="1">
        <f t="array" aca="1" ref="N115" ca="1">IF(T115="Sócio",IF(COUNTIF(Opções!$H$2:$H$13,INDIRECT($P115))&gt;0,IF(AND(INDIRECT($Q115)&lt;O$1/24,INDIRECT($R115)&gt;N$1/24),"x",""),""),"")</f>
        <v/>
      </c>
      <c r="O115" t="str" cm="1">
        <f t="array" aca="1" ref="O115" ca="1">IF(T115="Sócio",IF(COUNTIF(Opções!$H$2:$H$13,INDIRECT($P115))&gt;0,IF(AND(INDIRECT($Q115)&lt;P$1/24,INDIRECT($R115)&gt;O$1/24),"x",""),""),"")</f>
        <v/>
      </c>
      <c r="P115" t="str">
        <f t="shared" si="10"/>
        <v>$E115</v>
      </c>
      <c r="Q115" t="str">
        <f t="shared" si="2"/>
        <v>$F115</v>
      </c>
      <c r="R115" t="str">
        <f t="shared" si="3"/>
        <v>$G115</v>
      </c>
      <c r="S115" t="str">
        <f t="shared" si="11"/>
        <v>$D115</v>
      </c>
      <c r="T115" t="str" cm="1">
        <f t="array" aca="1" ref="T115" ca="1">IFERROR(VLOOKUP(INDIRECT(S115),Equipe!A:C,3,0),"")</f>
        <v/>
      </c>
    </row>
    <row r="116" spans="4:20" x14ac:dyDescent="0.3">
      <c r="D116" s="23"/>
      <c r="E116" s="23"/>
      <c r="F116" s="24"/>
      <c r="G116" s="24"/>
      <c r="H116" s="23"/>
      <c r="J116" s="21" t="str">
        <f t="shared" ca="1" si="16"/>
        <v/>
      </c>
      <c r="K116" t="str" cm="1">
        <f t="array" aca="1" ref="K116" ca="1">IF(T116="Sócio",IF(COUNTIF(Opções!$H$2:$H$13,INDIRECT($P116))&gt;0,IF(AND(INDIRECT($Q116)&lt;L$1/24,INDIRECT($R116)&gt;K$1/24),"x",""),""),"")</f>
        <v/>
      </c>
      <c r="L116" t="str" cm="1">
        <f t="array" aca="1" ref="L116" ca="1">IF(T116="Sócio",IF(COUNTIF(Opções!$H$2:$H$13,INDIRECT($P116))&gt;0,IF(AND(INDIRECT($Q116)&lt;M$1/24,INDIRECT($R116)&gt;L$1/24),"x",""),""),"")</f>
        <v/>
      </c>
      <c r="M116" t="str" cm="1">
        <f t="array" aca="1" ref="M116" ca="1">IF(T116="Sócio",IF(COUNTIF(Opções!$H$2:$H$13,INDIRECT($P116))&gt;0,IF(AND(INDIRECT($Q116)&lt;N$1/24,INDIRECT($R116)&gt;M$1/24),"x",""),""),"")</f>
        <v/>
      </c>
      <c r="N116" t="str" cm="1">
        <f t="array" aca="1" ref="N116" ca="1">IF(T116="Sócio",IF(COUNTIF(Opções!$H$2:$H$13,INDIRECT($P116))&gt;0,IF(AND(INDIRECT($Q116)&lt;O$1/24,INDIRECT($R116)&gt;N$1/24),"x",""),""),"")</f>
        <v/>
      </c>
      <c r="O116" t="str" cm="1">
        <f t="array" aca="1" ref="O116" ca="1">IF(T116="Sócio",IF(COUNTIF(Opções!$H$2:$H$13,INDIRECT($P116))&gt;0,IF(AND(INDIRECT($Q116)&lt;P$1/24,INDIRECT($R116)&gt;O$1/24),"x",""),""),"")</f>
        <v/>
      </c>
      <c r="P116" t="str">
        <f t="shared" si="10"/>
        <v>$E116</v>
      </c>
      <c r="Q116" t="str">
        <f t="shared" ref="Q116" si="19">"$F"&amp;ROW(O116)</f>
        <v>$F116</v>
      </c>
      <c r="R116" t="str">
        <f t="shared" ref="R116" si="20">"$G"&amp;ROW(Q116)</f>
        <v>$G116</v>
      </c>
      <c r="S116" t="str">
        <f t="shared" si="11"/>
        <v>$D116</v>
      </c>
      <c r="T116" t="str" cm="1">
        <f t="array" aca="1" ref="T116" ca="1">IFERROR(VLOOKUP(INDIRECT(S116),Equipe!A:C,3,0),"")</f>
        <v/>
      </c>
    </row>
    <row r="117" spans="4:20" x14ac:dyDescent="0.3">
      <c r="D117" s="23"/>
      <c r="E117" s="23"/>
      <c r="F117" s="24"/>
      <c r="G117" s="24"/>
      <c r="H117" s="23"/>
      <c r="J117" s="21" t="str">
        <f t="shared" ca="1" si="16"/>
        <v/>
      </c>
      <c r="K117" t="str" cm="1">
        <f t="array" aca="1" ref="K117" ca="1">IF(T117="Sócio",IF(COUNTIF(Opções!$H$2:$H$13,INDIRECT($P117))&gt;0,IF(AND(INDIRECT($Q117)&lt;L$1/24,INDIRECT($R117)&gt;K$1/24),"x",""),""),"")</f>
        <v/>
      </c>
      <c r="L117" t="str" cm="1">
        <f t="array" aca="1" ref="L117" ca="1">IF(T117="Sócio",IF(COUNTIF(Opções!$H$2:$H$13,INDIRECT($P117))&gt;0,IF(AND(INDIRECT($Q117)&lt;M$1/24,INDIRECT($R117)&gt;L$1/24),"x",""),""),"")</f>
        <v/>
      </c>
      <c r="M117" t="str" cm="1">
        <f t="array" aca="1" ref="M117" ca="1">IF(T117="Sócio",IF(COUNTIF(Opções!$H$2:$H$13,INDIRECT($P117))&gt;0,IF(AND(INDIRECT($Q117)&lt;N$1/24,INDIRECT($R117)&gt;M$1/24),"x",""),""),"")</f>
        <v/>
      </c>
      <c r="N117" t="str" cm="1">
        <f t="array" aca="1" ref="N117" ca="1">IF(T117="Sócio",IF(COUNTIF(Opções!$H$2:$H$13,INDIRECT($P117))&gt;0,IF(AND(INDIRECT($Q117)&lt;O$1/24,INDIRECT($R117)&gt;N$1/24),"x",""),""),"")</f>
        <v/>
      </c>
      <c r="O117" t="str" cm="1">
        <f t="array" aca="1" ref="O117" ca="1">IF(T117="Sócio",IF(COUNTIF(Opções!$H$2:$H$13,INDIRECT($P117))&gt;0,IF(AND(INDIRECT($Q117)&lt;P$1/24,INDIRECT($R117)&gt;O$1/24),"x",""),""),"")</f>
        <v/>
      </c>
      <c r="P117" t="str">
        <f t="shared" si="10"/>
        <v>$E117</v>
      </c>
      <c r="Q117" t="str">
        <f t="shared" si="2"/>
        <v>$F117</v>
      </c>
      <c r="R117" t="str">
        <f t="shared" si="3"/>
        <v>$G117</v>
      </c>
      <c r="S117" t="str">
        <f t="shared" si="11"/>
        <v>$D117</v>
      </c>
      <c r="T117" t="str" cm="1">
        <f t="array" aca="1" ref="T117" ca="1">IFERROR(VLOOKUP(INDIRECT(S117),Equipe!A:C,3,0),"")</f>
        <v/>
      </c>
    </row>
    <row r="118" spans="4:20" x14ac:dyDescent="0.3">
      <c r="D118" s="23"/>
      <c r="E118" s="23"/>
      <c r="F118" s="24"/>
      <c r="G118" s="24"/>
      <c r="H118" s="23"/>
      <c r="J118" s="21" t="str">
        <f t="shared" ca="1" si="16"/>
        <v/>
      </c>
      <c r="K118" t="str" cm="1">
        <f t="array" aca="1" ref="K118" ca="1">IF(T118="Sócio",IF(COUNTIF(Opções!$H$2:$H$13,INDIRECT($P118))&gt;0,IF(AND(INDIRECT($Q118)&lt;L$1/24,INDIRECT($R118)&gt;K$1/24),"x",""),""),"")</f>
        <v/>
      </c>
      <c r="L118" t="str" cm="1">
        <f t="array" aca="1" ref="L118" ca="1">IF(T118="Sócio",IF(COUNTIF(Opções!$H$2:$H$13,INDIRECT($P118))&gt;0,IF(AND(INDIRECT($Q118)&lt;M$1/24,INDIRECT($R118)&gt;L$1/24),"x",""),""),"")</f>
        <v/>
      </c>
      <c r="M118" t="str" cm="1">
        <f t="array" aca="1" ref="M118" ca="1">IF(T118="Sócio",IF(COUNTIF(Opções!$H$2:$H$13,INDIRECT($P118))&gt;0,IF(AND(INDIRECT($Q118)&lt;N$1/24,INDIRECT($R118)&gt;M$1/24),"x",""),""),"")</f>
        <v/>
      </c>
      <c r="N118" t="str" cm="1">
        <f t="array" aca="1" ref="N118" ca="1">IF(T118="Sócio",IF(COUNTIF(Opções!$H$2:$H$13,INDIRECT($P118))&gt;0,IF(AND(INDIRECT($Q118)&lt;O$1/24,INDIRECT($R118)&gt;N$1/24),"x",""),""),"")</f>
        <v/>
      </c>
      <c r="O118" t="str" cm="1">
        <f t="array" aca="1" ref="O118" ca="1">IF(T118="Sócio",IF(COUNTIF(Opções!$H$2:$H$13,INDIRECT($P118))&gt;0,IF(AND(INDIRECT($Q118)&lt;P$1/24,INDIRECT($R118)&gt;O$1/24),"x",""),""),"")</f>
        <v/>
      </c>
      <c r="P118" t="str">
        <f t="shared" si="10"/>
        <v>$E118</v>
      </c>
      <c r="Q118" t="str">
        <f t="shared" si="2"/>
        <v>$F118</v>
      </c>
      <c r="R118" t="str">
        <f t="shared" si="3"/>
        <v>$G118</v>
      </c>
      <c r="S118" t="str">
        <f t="shared" si="11"/>
        <v>$D118</v>
      </c>
      <c r="T118" t="str" cm="1">
        <f t="array" aca="1" ref="T118" ca="1">IFERROR(VLOOKUP(INDIRECT(S118),Equipe!A:C,3,0),"")</f>
        <v/>
      </c>
    </row>
    <row r="119" spans="4:20" x14ac:dyDescent="0.3">
      <c r="D119" s="23"/>
      <c r="E119" s="23"/>
      <c r="F119" s="24"/>
      <c r="G119" s="24"/>
      <c r="H119" s="23"/>
      <c r="J119" s="21" t="str">
        <f t="shared" ca="1" si="16"/>
        <v/>
      </c>
      <c r="K119" t="str" cm="1">
        <f t="array" aca="1" ref="K119" ca="1">IF(T119="Sócio",IF(COUNTIF(Opções!$H$2:$H$13,INDIRECT($P119))&gt;0,IF(AND(INDIRECT($Q119)&lt;L$1/24,INDIRECT($R119)&gt;K$1/24),"x",""),""),"")</f>
        <v/>
      </c>
      <c r="L119" t="str" cm="1">
        <f t="array" aca="1" ref="L119" ca="1">IF(T119="Sócio",IF(COUNTIF(Opções!$H$2:$H$13,INDIRECT($P119))&gt;0,IF(AND(INDIRECT($Q119)&lt;M$1/24,INDIRECT($R119)&gt;L$1/24),"x",""),""),"")</f>
        <v/>
      </c>
      <c r="M119" t="str" cm="1">
        <f t="array" aca="1" ref="M119" ca="1">IF(T119="Sócio",IF(COUNTIF(Opções!$H$2:$H$13,INDIRECT($P119))&gt;0,IF(AND(INDIRECT($Q119)&lt;N$1/24,INDIRECT($R119)&gt;M$1/24),"x",""),""),"")</f>
        <v/>
      </c>
      <c r="N119" t="str" cm="1">
        <f t="array" aca="1" ref="N119" ca="1">IF(T119="Sócio",IF(COUNTIF(Opções!$H$2:$H$13,INDIRECT($P119))&gt;0,IF(AND(INDIRECT($Q119)&lt;O$1/24,INDIRECT($R119)&gt;N$1/24),"x",""),""),"")</f>
        <v/>
      </c>
      <c r="O119" t="str" cm="1">
        <f t="array" aca="1" ref="O119" ca="1">IF(T119="Sócio",IF(COUNTIF(Opções!$H$2:$H$13,INDIRECT($P119))&gt;0,IF(AND(INDIRECT($Q119)&lt;P$1/24,INDIRECT($R119)&gt;O$1/24),"x",""),""),"")</f>
        <v/>
      </c>
      <c r="P119" t="str">
        <f t="shared" si="10"/>
        <v>$E119</v>
      </c>
      <c r="Q119" t="str">
        <f t="shared" si="2"/>
        <v>$F119</v>
      </c>
      <c r="R119" t="str">
        <f t="shared" si="3"/>
        <v>$G119</v>
      </c>
      <c r="S119" t="str">
        <f t="shared" si="11"/>
        <v>$D119</v>
      </c>
      <c r="T119" t="str" cm="1">
        <f t="array" aca="1" ref="T119" ca="1">IFERROR(VLOOKUP(INDIRECT(S119),Equipe!A:C,3,0),"")</f>
        <v/>
      </c>
    </row>
    <row r="120" spans="4:20" x14ac:dyDescent="0.3">
      <c r="D120" s="23"/>
      <c r="E120" s="23"/>
      <c r="F120" s="24"/>
      <c r="G120" s="24"/>
      <c r="H120" s="23"/>
      <c r="J120" s="21" t="str">
        <f t="shared" ca="1" si="16"/>
        <v/>
      </c>
      <c r="K120" t="str" cm="1">
        <f t="array" aca="1" ref="K120" ca="1">IF(T120="Sócio",IF(COUNTIF(Opções!$H$2:$H$13,INDIRECT($P120))&gt;0,IF(AND(INDIRECT($Q120)&lt;L$1/24,INDIRECT($R120)&gt;K$1/24),"x",""),""),"")</f>
        <v/>
      </c>
      <c r="L120" t="str" cm="1">
        <f t="array" aca="1" ref="L120" ca="1">IF(T120="Sócio",IF(COUNTIF(Opções!$H$2:$H$13,INDIRECT($P120))&gt;0,IF(AND(INDIRECT($Q120)&lt;M$1/24,INDIRECT($R120)&gt;L$1/24),"x",""),""),"")</f>
        <v/>
      </c>
      <c r="M120" t="str" cm="1">
        <f t="array" aca="1" ref="M120" ca="1">IF(T120="Sócio",IF(COUNTIF(Opções!$H$2:$H$13,INDIRECT($P120))&gt;0,IF(AND(INDIRECT($Q120)&lt;N$1/24,INDIRECT($R120)&gt;M$1/24),"x",""),""),"")</f>
        <v/>
      </c>
      <c r="N120" t="str" cm="1">
        <f t="array" aca="1" ref="N120" ca="1">IF(T120="Sócio",IF(COUNTIF(Opções!$H$2:$H$13,INDIRECT($P120))&gt;0,IF(AND(INDIRECT($Q120)&lt;O$1/24,INDIRECT($R120)&gt;N$1/24),"x",""),""),"")</f>
        <v/>
      </c>
      <c r="O120" t="str" cm="1">
        <f t="array" aca="1" ref="O120" ca="1">IF(T120="Sócio",IF(COUNTIF(Opções!$H$2:$H$13,INDIRECT($P120))&gt;0,IF(AND(INDIRECT($Q120)&lt;P$1/24,INDIRECT($R120)&gt;O$1/24),"x",""),""),"")</f>
        <v/>
      </c>
      <c r="P120" t="str">
        <f t="shared" si="10"/>
        <v>$E120</v>
      </c>
      <c r="Q120" t="str">
        <f t="shared" si="2"/>
        <v>$F120</v>
      </c>
      <c r="R120" t="str">
        <f t="shared" si="3"/>
        <v>$G120</v>
      </c>
      <c r="S120" t="str">
        <f t="shared" si="11"/>
        <v>$D120</v>
      </c>
      <c r="T120" t="str" cm="1">
        <f t="array" aca="1" ref="T120" ca="1">IFERROR(VLOOKUP(INDIRECT(S120),Equipe!A:C,3,0),"")</f>
        <v/>
      </c>
    </row>
    <row r="121" spans="4:20" x14ac:dyDescent="0.3">
      <c r="D121" s="23"/>
      <c r="E121" s="23"/>
      <c r="F121" s="24"/>
      <c r="G121" s="24"/>
      <c r="H121" s="23"/>
      <c r="J121" s="21" t="str">
        <f t="shared" ca="1" si="16"/>
        <v/>
      </c>
      <c r="K121" t="str" cm="1">
        <f t="array" aca="1" ref="K121" ca="1">IF(T121="Sócio",IF(COUNTIF(Opções!$H$2:$H$13,INDIRECT($P121))&gt;0,IF(AND(INDIRECT($Q121)&lt;L$1/24,INDIRECT($R121)&gt;K$1/24),"x",""),""),"")</f>
        <v/>
      </c>
      <c r="L121" t="str" cm="1">
        <f t="array" aca="1" ref="L121" ca="1">IF(T121="Sócio",IF(COUNTIF(Opções!$H$2:$H$13,INDIRECT($P121))&gt;0,IF(AND(INDIRECT($Q121)&lt;M$1/24,INDIRECT($R121)&gt;L$1/24),"x",""),""),"")</f>
        <v/>
      </c>
      <c r="M121" t="str" cm="1">
        <f t="array" aca="1" ref="M121" ca="1">IF(T121="Sócio",IF(COUNTIF(Opções!$H$2:$H$13,INDIRECT($P121))&gt;0,IF(AND(INDIRECT($Q121)&lt;N$1/24,INDIRECT($R121)&gt;M$1/24),"x",""),""),"")</f>
        <v/>
      </c>
      <c r="N121" t="str" cm="1">
        <f t="array" aca="1" ref="N121" ca="1">IF(T121="Sócio",IF(COUNTIF(Opções!$H$2:$H$13,INDIRECT($P121))&gt;0,IF(AND(INDIRECT($Q121)&lt;O$1/24,INDIRECT($R121)&gt;N$1/24),"x",""),""),"")</f>
        <v/>
      </c>
      <c r="O121" t="str" cm="1">
        <f t="array" aca="1" ref="O121" ca="1">IF(T121="Sócio",IF(COUNTIF(Opções!$H$2:$H$13,INDIRECT($P121))&gt;0,IF(AND(INDIRECT($Q121)&lt;P$1/24,INDIRECT($R121)&gt;O$1/24),"x",""),""),"")</f>
        <v/>
      </c>
      <c r="P121" t="str">
        <f t="shared" si="10"/>
        <v>$E121</v>
      </c>
      <c r="Q121" t="str">
        <f t="shared" si="2"/>
        <v>$F121</v>
      </c>
      <c r="R121" t="str">
        <f t="shared" si="3"/>
        <v>$G121</v>
      </c>
      <c r="S121" t="str">
        <f t="shared" si="11"/>
        <v>$D121</v>
      </c>
      <c r="T121" t="str" cm="1">
        <f t="array" aca="1" ref="T121" ca="1">IFERROR(VLOOKUP(INDIRECT(S121),Equipe!A:C,3,0),"")</f>
        <v/>
      </c>
    </row>
    <row r="122" spans="4:20" x14ac:dyDescent="0.3">
      <c r="D122" s="23"/>
      <c r="E122" s="23"/>
      <c r="F122" s="24"/>
      <c r="G122" s="24"/>
      <c r="H122" s="23"/>
      <c r="J122" s="21" t="str">
        <f t="shared" ca="1" si="16"/>
        <v/>
      </c>
      <c r="K122" t="str" cm="1">
        <f t="array" aca="1" ref="K122" ca="1">IF(T122="Sócio",IF(COUNTIF(Opções!$H$2:$H$13,INDIRECT($P122))&gt;0,IF(AND(INDIRECT($Q122)&lt;L$1/24,INDIRECT($R122)&gt;K$1/24),"x",""),""),"")</f>
        <v/>
      </c>
      <c r="L122" t="str" cm="1">
        <f t="array" aca="1" ref="L122" ca="1">IF(T122="Sócio",IF(COUNTIF(Opções!$H$2:$H$13,INDIRECT($P122))&gt;0,IF(AND(INDIRECT($Q122)&lt;M$1/24,INDIRECT($R122)&gt;L$1/24),"x",""),""),"")</f>
        <v/>
      </c>
      <c r="M122" t="str" cm="1">
        <f t="array" aca="1" ref="M122" ca="1">IF(T122="Sócio",IF(COUNTIF(Opções!$H$2:$H$13,INDIRECT($P122))&gt;0,IF(AND(INDIRECT($Q122)&lt;N$1/24,INDIRECT($R122)&gt;M$1/24),"x",""),""),"")</f>
        <v/>
      </c>
      <c r="N122" t="str" cm="1">
        <f t="array" aca="1" ref="N122" ca="1">IF(T122="Sócio",IF(COUNTIF(Opções!$H$2:$H$13,INDIRECT($P122))&gt;0,IF(AND(INDIRECT($Q122)&lt;O$1/24,INDIRECT($R122)&gt;N$1/24),"x",""),""),"")</f>
        <v/>
      </c>
      <c r="O122" t="str" cm="1">
        <f t="array" aca="1" ref="O122" ca="1">IF(T122="Sócio",IF(COUNTIF(Opções!$H$2:$H$13,INDIRECT($P122))&gt;0,IF(AND(INDIRECT($Q122)&lt;P$1/24,INDIRECT($R122)&gt;O$1/24),"x",""),""),"")</f>
        <v/>
      </c>
      <c r="P122" t="str">
        <f t="shared" si="10"/>
        <v>$E122</v>
      </c>
      <c r="Q122" t="str">
        <f t="shared" si="2"/>
        <v>$F122</v>
      </c>
      <c r="R122" t="str">
        <f t="shared" si="3"/>
        <v>$G122</v>
      </c>
      <c r="S122" t="str">
        <f t="shared" si="11"/>
        <v>$D122</v>
      </c>
      <c r="T122" t="str" cm="1">
        <f t="array" aca="1" ref="T122" ca="1">IFERROR(VLOOKUP(INDIRECT(S122),Equipe!A:C,3,0),"")</f>
        <v/>
      </c>
    </row>
    <row r="123" spans="4:20" x14ac:dyDescent="0.3">
      <c r="D123" s="23"/>
      <c r="E123" s="23"/>
      <c r="F123" s="24"/>
      <c r="G123" s="24"/>
      <c r="H123" s="23"/>
      <c r="J123" s="21" t="str">
        <f t="shared" ca="1" si="16"/>
        <v/>
      </c>
      <c r="K123" t="str" cm="1">
        <f t="array" aca="1" ref="K123" ca="1">IF(T123="Sócio",IF(COUNTIF(Opções!$H$2:$H$13,INDIRECT($P123))&gt;0,IF(AND(INDIRECT($Q123)&lt;L$1/24,INDIRECT($R123)&gt;K$1/24),"x",""),""),"")</f>
        <v/>
      </c>
      <c r="L123" t="str" cm="1">
        <f t="array" aca="1" ref="L123" ca="1">IF(T123="Sócio",IF(COUNTIF(Opções!$H$2:$H$13,INDIRECT($P123))&gt;0,IF(AND(INDIRECT($Q123)&lt;M$1/24,INDIRECT($R123)&gt;L$1/24),"x",""),""),"")</f>
        <v/>
      </c>
      <c r="M123" t="str" cm="1">
        <f t="array" aca="1" ref="M123" ca="1">IF(T123="Sócio",IF(COUNTIF(Opções!$H$2:$H$13,INDIRECT($P123))&gt;0,IF(AND(INDIRECT($Q123)&lt;N$1/24,INDIRECT($R123)&gt;M$1/24),"x",""),""),"")</f>
        <v/>
      </c>
      <c r="N123" t="str" cm="1">
        <f t="array" aca="1" ref="N123" ca="1">IF(T123="Sócio",IF(COUNTIF(Opções!$H$2:$H$13,INDIRECT($P123))&gt;0,IF(AND(INDIRECT($Q123)&lt;O$1/24,INDIRECT($R123)&gt;N$1/24),"x",""),""),"")</f>
        <v/>
      </c>
      <c r="O123" t="str" cm="1">
        <f t="array" aca="1" ref="O123" ca="1">IF(T123="Sócio",IF(COUNTIF(Opções!$H$2:$H$13,INDIRECT($P123))&gt;0,IF(AND(INDIRECT($Q123)&lt;P$1/24,INDIRECT($R123)&gt;O$1/24),"x",""),""),"")</f>
        <v/>
      </c>
      <c r="P123" t="str">
        <f t="shared" si="10"/>
        <v>$E123</v>
      </c>
      <c r="Q123" t="str">
        <f t="shared" si="2"/>
        <v>$F123</v>
      </c>
      <c r="R123" t="str">
        <f t="shared" si="3"/>
        <v>$G123</v>
      </c>
      <c r="S123" t="str">
        <f t="shared" si="11"/>
        <v>$D123</v>
      </c>
      <c r="T123" t="str" cm="1">
        <f t="array" aca="1" ref="T123" ca="1">IFERROR(VLOOKUP(INDIRECT(S123),Equipe!A:C,3,0),"")</f>
        <v/>
      </c>
    </row>
    <row r="124" spans="4:20" x14ac:dyDescent="0.3">
      <c r="D124" s="23"/>
      <c r="E124" s="23"/>
      <c r="F124" s="24"/>
      <c r="G124" s="24"/>
      <c r="H124" s="23"/>
      <c r="J124" s="21" t="str">
        <f t="shared" ca="1" si="16"/>
        <v/>
      </c>
      <c r="K124" t="str" cm="1">
        <f t="array" aca="1" ref="K124" ca="1">IF(T124="Sócio",IF(COUNTIF(Opções!$H$2:$H$13,INDIRECT($P124))&gt;0,IF(AND(INDIRECT($Q124)&lt;L$1/24,INDIRECT($R124)&gt;K$1/24),"x",""),""),"")</f>
        <v/>
      </c>
      <c r="L124" t="str" cm="1">
        <f t="array" aca="1" ref="L124" ca="1">IF(T124="Sócio",IF(COUNTIF(Opções!$H$2:$H$13,INDIRECT($P124))&gt;0,IF(AND(INDIRECT($Q124)&lt;M$1/24,INDIRECT($R124)&gt;L$1/24),"x",""),""),"")</f>
        <v/>
      </c>
      <c r="M124" t="str" cm="1">
        <f t="array" aca="1" ref="M124" ca="1">IF(T124="Sócio",IF(COUNTIF(Opções!$H$2:$H$13,INDIRECT($P124))&gt;0,IF(AND(INDIRECT($Q124)&lt;N$1/24,INDIRECT($R124)&gt;M$1/24),"x",""),""),"")</f>
        <v/>
      </c>
      <c r="N124" t="str" cm="1">
        <f t="array" aca="1" ref="N124" ca="1">IF(T124="Sócio",IF(COUNTIF(Opções!$H$2:$H$13,INDIRECT($P124))&gt;0,IF(AND(INDIRECT($Q124)&lt;O$1/24,INDIRECT($R124)&gt;N$1/24),"x",""),""),"")</f>
        <v/>
      </c>
      <c r="O124" t="str" cm="1">
        <f t="array" aca="1" ref="O124" ca="1">IF(T124="Sócio",IF(COUNTIF(Opções!$H$2:$H$13,INDIRECT($P124))&gt;0,IF(AND(INDIRECT($Q124)&lt;P$1/24,INDIRECT($R124)&gt;O$1/24),"x",""),""),"")</f>
        <v/>
      </c>
      <c r="P124" t="str">
        <f t="shared" si="10"/>
        <v>$E124</v>
      </c>
      <c r="Q124" t="str">
        <f t="shared" si="2"/>
        <v>$F124</v>
      </c>
      <c r="R124" t="str">
        <f t="shared" si="3"/>
        <v>$G124</v>
      </c>
      <c r="S124" t="str">
        <f t="shared" si="11"/>
        <v>$D124</v>
      </c>
      <c r="T124" t="str" cm="1">
        <f t="array" aca="1" ref="T124" ca="1">IFERROR(VLOOKUP(INDIRECT(S124),Equipe!A:C,3,0),"")</f>
        <v/>
      </c>
    </row>
    <row r="125" spans="4:20" x14ac:dyDescent="0.3">
      <c r="D125" s="23"/>
      <c r="E125" s="23"/>
      <c r="F125" s="24"/>
      <c r="G125" s="24"/>
      <c r="H125" s="23"/>
      <c r="J125" s="21" t="str">
        <f t="shared" ca="1" si="16"/>
        <v/>
      </c>
      <c r="K125" t="str" cm="1">
        <f t="array" aca="1" ref="K125" ca="1">IF(T125="Sócio",IF(COUNTIF(Opções!$H$2:$H$13,INDIRECT($P125))&gt;0,IF(AND(INDIRECT($Q125)&lt;L$1/24,INDIRECT($R125)&gt;K$1/24),"x",""),""),"")</f>
        <v/>
      </c>
      <c r="L125" t="str" cm="1">
        <f t="array" aca="1" ref="L125" ca="1">IF(T125="Sócio",IF(COUNTIF(Opções!$H$2:$H$13,INDIRECT($P125))&gt;0,IF(AND(INDIRECT($Q125)&lt;M$1/24,INDIRECT($R125)&gt;L$1/24),"x",""),""),"")</f>
        <v/>
      </c>
      <c r="M125" t="str" cm="1">
        <f t="array" aca="1" ref="M125" ca="1">IF(T125="Sócio",IF(COUNTIF(Opções!$H$2:$H$13,INDIRECT($P125))&gt;0,IF(AND(INDIRECT($Q125)&lt;N$1/24,INDIRECT($R125)&gt;M$1/24),"x",""),""),"")</f>
        <v/>
      </c>
      <c r="N125" t="str" cm="1">
        <f t="array" aca="1" ref="N125" ca="1">IF(T125="Sócio",IF(COUNTIF(Opções!$H$2:$H$13,INDIRECT($P125))&gt;0,IF(AND(INDIRECT($Q125)&lt;O$1/24,INDIRECT($R125)&gt;N$1/24),"x",""),""),"")</f>
        <v/>
      </c>
      <c r="O125" t="str" cm="1">
        <f t="array" aca="1" ref="O125" ca="1">IF(T125="Sócio",IF(COUNTIF(Opções!$H$2:$H$13,INDIRECT($P125))&gt;0,IF(AND(INDIRECT($Q125)&lt;P$1/24,INDIRECT($R125)&gt;O$1/24),"x",""),""),"")</f>
        <v/>
      </c>
      <c r="P125" t="str">
        <f t="shared" si="10"/>
        <v>$E125</v>
      </c>
      <c r="Q125" t="str">
        <f t="shared" si="2"/>
        <v>$F125</v>
      </c>
      <c r="R125" t="str">
        <f t="shared" si="3"/>
        <v>$G125</v>
      </c>
      <c r="S125" t="str">
        <f t="shared" si="11"/>
        <v>$D125</v>
      </c>
      <c r="T125" t="str" cm="1">
        <f t="array" aca="1" ref="T125" ca="1">IFERROR(VLOOKUP(INDIRECT(S125),Equipe!A:C,3,0),"")</f>
        <v/>
      </c>
    </row>
    <row r="126" spans="4:20" x14ac:dyDescent="0.3">
      <c r="D126" s="23"/>
      <c r="E126" s="23"/>
      <c r="F126" s="24"/>
      <c r="G126" s="24"/>
      <c r="H126" s="23"/>
      <c r="J126" s="21" t="str">
        <f t="shared" ca="1" si="16"/>
        <v/>
      </c>
      <c r="K126" t="str" cm="1">
        <f t="array" aca="1" ref="K126" ca="1">IF(T126="Sócio",IF(COUNTIF(Opções!$H$2:$H$13,INDIRECT($P126))&gt;0,IF(AND(INDIRECT($Q126)&lt;L$1/24,INDIRECT($R126)&gt;K$1/24),"x",""),""),"")</f>
        <v/>
      </c>
      <c r="L126" t="str" cm="1">
        <f t="array" aca="1" ref="L126" ca="1">IF(T126="Sócio",IF(COUNTIF(Opções!$H$2:$H$13,INDIRECT($P126))&gt;0,IF(AND(INDIRECT($Q126)&lt;M$1/24,INDIRECT($R126)&gt;L$1/24),"x",""),""),"")</f>
        <v/>
      </c>
      <c r="M126" t="str" cm="1">
        <f t="array" aca="1" ref="M126" ca="1">IF(T126="Sócio",IF(COUNTIF(Opções!$H$2:$H$13,INDIRECT($P126))&gt;0,IF(AND(INDIRECT($Q126)&lt;N$1/24,INDIRECT($R126)&gt;M$1/24),"x",""),""),"")</f>
        <v/>
      </c>
      <c r="N126" t="str" cm="1">
        <f t="array" aca="1" ref="N126" ca="1">IF(T126="Sócio",IF(COUNTIF(Opções!$H$2:$H$13,INDIRECT($P126))&gt;0,IF(AND(INDIRECT($Q126)&lt;O$1/24,INDIRECT($R126)&gt;N$1/24),"x",""),""),"")</f>
        <v/>
      </c>
      <c r="O126" t="str" cm="1">
        <f t="array" aca="1" ref="O126" ca="1">IF(T126="Sócio",IF(COUNTIF(Opções!$H$2:$H$13,INDIRECT($P126))&gt;0,IF(AND(INDIRECT($Q126)&lt;P$1/24,INDIRECT($R126)&gt;O$1/24),"x",""),""),"")</f>
        <v/>
      </c>
      <c r="P126" t="str">
        <f t="shared" si="10"/>
        <v>$E126</v>
      </c>
      <c r="Q126" t="str">
        <f t="shared" si="2"/>
        <v>$F126</v>
      </c>
      <c r="R126" t="str">
        <f t="shared" si="3"/>
        <v>$G126</v>
      </c>
      <c r="S126" t="str">
        <f t="shared" si="11"/>
        <v>$D126</v>
      </c>
      <c r="T126" t="str" cm="1">
        <f t="array" aca="1" ref="T126" ca="1">IFERROR(VLOOKUP(INDIRECT(S126),Equipe!A:C,3,0),"")</f>
        <v/>
      </c>
    </row>
    <row r="127" spans="4:20" x14ac:dyDescent="0.3">
      <c r="D127" s="23"/>
      <c r="E127" s="23"/>
      <c r="F127" s="24"/>
      <c r="G127" s="24"/>
      <c r="H127" s="23"/>
      <c r="J127" s="21" t="str">
        <f t="shared" ca="1" si="16"/>
        <v/>
      </c>
      <c r="K127" t="str" cm="1">
        <f t="array" aca="1" ref="K127" ca="1">IF(T127="Sócio",IF(COUNTIF(Opções!$H$2:$H$13,INDIRECT($P127))&gt;0,IF(AND(INDIRECT($Q127)&lt;L$1/24,INDIRECT($R127)&gt;K$1/24),"x",""),""),"")</f>
        <v/>
      </c>
      <c r="L127" t="str" cm="1">
        <f t="array" aca="1" ref="L127" ca="1">IF(T127="Sócio",IF(COUNTIF(Opções!$H$2:$H$13,INDIRECT($P127))&gt;0,IF(AND(INDIRECT($Q127)&lt;M$1/24,INDIRECT($R127)&gt;L$1/24),"x",""),""),"")</f>
        <v/>
      </c>
      <c r="M127" t="str" cm="1">
        <f t="array" aca="1" ref="M127" ca="1">IF(T127="Sócio",IF(COUNTIF(Opções!$H$2:$H$13,INDIRECT($P127))&gt;0,IF(AND(INDIRECT($Q127)&lt;N$1/24,INDIRECT($R127)&gt;M$1/24),"x",""),""),"")</f>
        <v/>
      </c>
      <c r="N127" t="str" cm="1">
        <f t="array" aca="1" ref="N127" ca="1">IF(T127="Sócio",IF(COUNTIF(Opções!$H$2:$H$13,INDIRECT($P127))&gt;0,IF(AND(INDIRECT($Q127)&lt;O$1/24,INDIRECT($R127)&gt;N$1/24),"x",""),""),"")</f>
        <v/>
      </c>
      <c r="O127" t="str" cm="1">
        <f t="array" aca="1" ref="O127" ca="1">IF(T127="Sócio",IF(COUNTIF(Opções!$H$2:$H$13,INDIRECT($P127))&gt;0,IF(AND(INDIRECT($Q127)&lt;P$1/24,INDIRECT($R127)&gt;O$1/24),"x",""),""),"")</f>
        <v/>
      </c>
      <c r="P127" t="str">
        <f t="shared" si="10"/>
        <v>$E127</v>
      </c>
      <c r="Q127" t="str">
        <f t="shared" ref="Q127" si="21">"$F"&amp;ROW(O127)</f>
        <v>$F127</v>
      </c>
      <c r="R127" t="str">
        <f t="shared" ref="R127" si="22">"$G"&amp;ROW(Q127)</f>
        <v>$G127</v>
      </c>
      <c r="S127" t="str">
        <f t="shared" si="11"/>
        <v>$D127</v>
      </c>
      <c r="T127" t="str" cm="1">
        <f t="array" aca="1" ref="T127" ca="1">IFERROR(VLOOKUP(INDIRECT(S127),Equipe!A:C,3,0),"")</f>
        <v/>
      </c>
    </row>
    <row r="128" spans="4:20" x14ac:dyDescent="0.3">
      <c r="D128" s="23"/>
      <c r="E128" s="23"/>
      <c r="F128" s="24"/>
      <c r="G128" s="24"/>
      <c r="H128" s="23"/>
      <c r="J128" s="21" t="str">
        <f t="shared" ca="1" si="16"/>
        <v/>
      </c>
      <c r="K128" t="str" cm="1">
        <f t="array" aca="1" ref="K128" ca="1">IF(T128="Sócio",IF(COUNTIF(Opções!$H$2:$H$13,INDIRECT($P128))&gt;0,IF(AND(INDIRECT($Q128)&lt;L$1/24,INDIRECT($R128)&gt;K$1/24),"x",""),""),"")</f>
        <v/>
      </c>
      <c r="L128" t="str" cm="1">
        <f t="array" aca="1" ref="L128" ca="1">IF(T128="Sócio",IF(COUNTIF(Opções!$H$2:$H$13,INDIRECT($P128))&gt;0,IF(AND(INDIRECT($Q128)&lt;M$1/24,INDIRECT($R128)&gt;L$1/24),"x",""),""),"")</f>
        <v/>
      </c>
      <c r="M128" t="str" cm="1">
        <f t="array" aca="1" ref="M128" ca="1">IF(T128="Sócio",IF(COUNTIF(Opções!$H$2:$H$13,INDIRECT($P128))&gt;0,IF(AND(INDIRECT($Q128)&lt;N$1/24,INDIRECT($R128)&gt;M$1/24),"x",""),""),"")</f>
        <v/>
      </c>
      <c r="N128" t="str" cm="1">
        <f t="array" aca="1" ref="N128" ca="1">IF(T128="Sócio",IF(COUNTIF(Opções!$H$2:$H$13,INDIRECT($P128))&gt;0,IF(AND(INDIRECT($Q128)&lt;O$1/24,INDIRECT($R128)&gt;N$1/24),"x",""),""),"")</f>
        <v/>
      </c>
      <c r="O128" t="str" cm="1">
        <f t="array" aca="1" ref="O128" ca="1">IF(T128="Sócio",IF(COUNTIF(Opções!$H$2:$H$13,INDIRECT($P128))&gt;0,IF(AND(INDIRECT($Q128)&lt;P$1/24,INDIRECT($R128)&gt;O$1/24),"x",""),""),"")</f>
        <v/>
      </c>
      <c r="P128" t="str">
        <f t="shared" si="10"/>
        <v>$E128</v>
      </c>
      <c r="Q128" t="str">
        <f t="shared" si="2"/>
        <v>$F128</v>
      </c>
      <c r="R128" t="str">
        <f t="shared" si="3"/>
        <v>$G128</v>
      </c>
      <c r="S128" t="str">
        <f t="shared" si="11"/>
        <v>$D128</v>
      </c>
      <c r="T128" t="str" cm="1">
        <f t="array" aca="1" ref="T128" ca="1">IFERROR(VLOOKUP(INDIRECT(S128),Equipe!A:C,3,0),"")</f>
        <v/>
      </c>
    </row>
    <row r="129" spans="4:20" x14ac:dyDescent="0.3">
      <c r="D129" s="23"/>
      <c r="E129" s="23"/>
      <c r="F129" s="24"/>
      <c r="G129" s="24"/>
      <c r="H129" s="23"/>
      <c r="J129" s="21" t="str">
        <f t="shared" ca="1" si="16"/>
        <v/>
      </c>
      <c r="K129" t="str" cm="1">
        <f t="array" aca="1" ref="K129" ca="1">IF(T129="Sócio",IF(COUNTIF(Opções!$H$2:$H$13,INDIRECT($P129))&gt;0,IF(AND(INDIRECT($Q129)&lt;L$1/24,INDIRECT($R129)&gt;K$1/24),"x",""),""),"")</f>
        <v/>
      </c>
      <c r="L129" t="str" cm="1">
        <f t="array" aca="1" ref="L129" ca="1">IF(T129="Sócio",IF(COUNTIF(Opções!$H$2:$H$13,INDIRECT($P129))&gt;0,IF(AND(INDIRECT($Q129)&lt;M$1/24,INDIRECT($R129)&gt;L$1/24),"x",""),""),"")</f>
        <v/>
      </c>
      <c r="M129" t="str" cm="1">
        <f t="array" aca="1" ref="M129" ca="1">IF(T129="Sócio",IF(COUNTIF(Opções!$H$2:$H$13,INDIRECT($P129))&gt;0,IF(AND(INDIRECT($Q129)&lt;N$1/24,INDIRECT($R129)&gt;M$1/24),"x",""),""),"")</f>
        <v/>
      </c>
      <c r="N129" t="str" cm="1">
        <f t="array" aca="1" ref="N129" ca="1">IF(T129="Sócio",IF(COUNTIF(Opções!$H$2:$H$13,INDIRECT($P129))&gt;0,IF(AND(INDIRECT($Q129)&lt;O$1/24,INDIRECT($R129)&gt;N$1/24),"x",""),""),"")</f>
        <v/>
      </c>
      <c r="O129" t="str" cm="1">
        <f t="array" aca="1" ref="O129" ca="1">IF(T129="Sócio",IF(COUNTIF(Opções!$H$2:$H$13,INDIRECT($P129))&gt;0,IF(AND(INDIRECT($Q129)&lt;P$1/24,INDIRECT($R129)&gt;O$1/24),"x",""),""),"")</f>
        <v/>
      </c>
      <c r="P129" t="str">
        <f t="shared" si="10"/>
        <v>$E129</v>
      </c>
      <c r="Q129" t="str">
        <f t="shared" si="2"/>
        <v>$F129</v>
      </c>
      <c r="R129" t="str">
        <f t="shared" si="3"/>
        <v>$G129</v>
      </c>
      <c r="S129" t="str">
        <f t="shared" si="11"/>
        <v>$D129</v>
      </c>
      <c r="T129" t="str" cm="1">
        <f t="array" aca="1" ref="T129" ca="1">IFERROR(VLOOKUP(INDIRECT(S129),Equipe!A:C,3,0),"")</f>
        <v/>
      </c>
    </row>
    <row r="130" spans="4:20" x14ac:dyDescent="0.3">
      <c r="D130" s="23"/>
      <c r="E130" s="23"/>
      <c r="F130" s="24"/>
      <c r="G130" s="24"/>
      <c r="H130" s="23"/>
      <c r="J130" s="21" t="str">
        <f t="shared" ca="1" si="16"/>
        <v/>
      </c>
      <c r="K130" t="str" cm="1">
        <f t="array" aca="1" ref="K130" ca="1">IF(T130="Sócio",IF(COUNTIF(Opções!$H$2:$H$13,INDIRECT($P130))&gt;0,IF(AND(INDIRECT($Q130)&lt;L$1/24,INDIRECT($R130)&gt;K$1/24),"x",""),""),"")</f>
        <v/>
      </c>
      <c r="L130" t="str" cm="1">
        <f t="array" aca="1" ref="L130" ca="1">IF(T130="Sócio",IF(COUNTIF(Opções!$H$2:$H$13,INDIRECT($P130))&gt;0,IF(AND(INDIRECT($Q130)&lt;M$1/24,INDIRECT($R130)&gt;L$1/24),"x",""),""),"")</f>
        <v/>
      </c>
      <c r="M130" t="str" cm="1">
        <f t="array" aca="1" ref="M130" ca="1">IF(T130="Sócio",IF(COUNTIF(Opções!$H$2:$H$13,INDIRECT($P130))&gt;0,IF(AND(INDIRECT($Q130)&lt;N$1/24,INDIRECT($R130)&gt;M$1/24),"x",""),""),"")</f>
        <v/>
      </c>
      <c r="N130" t="str" cm="1">
        <f t="array" aca="1" ref="N130" ca="1">IF(T130="Sócio",IF(COUNTIF(Opções!$H$2:$H$13,INDIRECT($P130))&gt;0,IF(AND(INDIRECT($Q130)&lt;O$1/24,INDIRECT($R130)&gt;N$1/24),"x",""),""),"")</f>
        <v/>
      </c>
      <c r="O130" t="str" cm="1">
        <f t="array" aca="1" ref="O130" ca="1">IF(T130="Sócio",IF(COUNTIF(Opções!$H$2:$H$13,INDIRECT($P130))&gt;0,IF(AND(INDIRECT($Q130)&lt;P$1/24,INDIRECT($R130)&gt;O$1/24),"x",""),""),"")</f>
        <v/>
      </c>
      <c r="P130" t="str">
        <f t="shared" si="10"/>
        <v>$E130</v>
      </c>
      <c r="Q130" t="str">
        <f t="shared" si="2"/>
        <v>$F130</v>
      </c>
      <c r="R130" t="str">
        <f t="shared" si="3"/>
        <v>$G130</v>
      </c>
      <c r="S130" t="str">
        <f t="shared" si="11"/>
        <v>$D130</v>
      </c>
      <c r="T130" t="str" cm="1">
        <f t="array" aca="1" ref="T130" ca="1">IFERROR(VLOOKUP(INDIRECT(S130),Equipe!A:C,3,0),"")</f>
        <v/>
      </c>
    </row>
    <row r="131" spans="4:20" x14ac:dyDescent="0.3">
      <c r="D131" s="23"/>
      <c r="E131" s="23"/>
      <c r="F131" s="24"/>
      <c r="G131" s="24"/>
      <c r="H131" s="23"/>
      <c r="J131" s="21" t="str">
        <f t="shared" ca="1" si="16"/>
        <v/>
      </c>
      <c r="K131" t="str" cm="1">
        <f t="array" aca="1" ref="K131" ca="1">IF(T131="Sócio",IF(COUNTIF(Opções!$H$2:$H$13,INDIRECT($P131))&gt;0,IF(AND(INDIRECT($Q131)&lt;L$1/24,INDIRECT($R131)&gt;K$1/24),"x",""),""),"")</f>
        <v/>
      </c>
      <c r="L131" t="str" cm="1">
        <f t="array" aca="1" ref="L131" ca="1">IF(T131="Sócio",IF(COUNTIF(Opções!$H$2:$H$13,INDIRECT($P131))&gt;0,IF(AND(INDIRECT($Q131)&lt;M$1/24,INDIRECT($R131)&gt;L$1/24),"x",""),""),"")</f>
        <v/>
      </c>
      <c r="M131" t="str" cm="1">
        <f t="array" aca="1" ref="M131" ca="1">IF(T131="Sócio",IF(COUNTIF(Opções!$H$2:$H$13,INDIRECT($P131))&gt;0,IF(AND(INDIRECT($Q131)&lt;N$1/24,INDIRECT($R131)&gt;M$1/24),"x",""),""),"")</f>
        <v/>
      </c>
      <c r="N131" t="str" cm="1">
        <f t="array" aca="1" ref="N131" ca="1">IF(T131="Sócio",IF(COUNTIF(Opções!$H$2:$H$13,INDIRECT($P131))&gt;0,IF(AND(INDIRECT($Q131)&lt;O$1/24,INDIRECT($R131)&gt;N$1/24),"x",""),""),"")</f>
        <v/>
      </c>
      <c r="O131" t="str" cm="1">
        <f t="array" aca="1" ref="O131" ca="1">IF(T131="Sócio",IF(COUNTIF(Opções!$H$2:$H$13,INDIRECT($P131))&gt;0,IF(AND(INDIRECT($Q131)&lt;P$1/24,INDIRECT($R131)&gt;O$1/24),"x",""),""),"")</f>
        <v/>
      </c>
      <c r="P131" t="str">
        <f t="shared" si="10"/>
        <v>$E131</v>
      </c>
      <c r="Q131" t="str">
        <f t="shared" si="2"/>
        <v>$F131</v>
      </c>
      <c r="R131" t="str">
        <f t="shared" si="3"/>
        <v>$G131</v>
      </c>
      <c r="S131" t="str">
        <f t="shared" si="11"/>
        <v>$D131</v>
      </c>
      <c r="T131" t="str" cm="1">
        <f t="array" aca="1" ref="T131" ca="1">IFERROR(VLOOKUP(INDIRECT(S131),Equipe!A:C,3,0),"")</f>
        <v/>
      </c>
    </row>
    <row r="132" spans="4:20" x14ac:dyDescent="0.3">
      <c r="D132" s="23"/>
      <c r="E132" s="23"/>
      <c r="F132" s="24"/>
      <c r="G132" s="24"/>
      <c r="H132" s="23"/>
      <c r="J132" s="21" t="str">
        <f t="shared" ca="1" si="16"/>
        <v/>
      </c>
      <c r="K132" t="str" cm="1">
        <f t="array" aca="1" ref="K132" ca="1">IF(T132="Sócio",IF(COUNTIF(Opções!$H$2:$H$13,INDIRECT($P132))&gt;0,IF(AND(INDIRECT($Q132)&lt;L$1/24,INDIRECT($R132)&gt;K$1/24),"x",""),""),"")</f>
        <v/>
      </c>
      <c r="L132" t="str" cm="1">
        <f t="array" aca="1" ref="L132" ca="1">IF(T132="Sócio",IF(COUNTIF(Opções!$H$2:$H$13,INDIRECT($P132))&gt;0,IF(AND(INDIRECT($Q132)&lt;M$1/24,INDIRECT($R132)&gt;L$1/24),"x",""),""),"")</f>
        <v/>
      </c>
      <c r="M132" t="str" cm="1">
        <f t="array" aca="1" ref="M132" ca="1">IF(T132="Sócio",IF(COUNTIF(Opções!$H$2:$H$13,INDIRECT($P132))&gt;0,IF(AND(INDIRECT($Q132)&lt;N$1/24,INDIRECT($R132)&gt;M$1/24),"x",""),""),"")</f>
        <v/>
      </c>
      <c r="N132" t="str" cm="1">
        <f t="array" aca="1" ref="N132" ca="1">IF(T132="Sócio",IF(COUNTIF(Opções!$H$2:$H$13,INDIRECT($P132))&gt;0,IF(AND(INDIRECT($Q132)&lt;O$1/24,INDIRECT($R132)&gt;N$1/24),"x",""),""),"")</f>
        <v/>
      </c>
      <c r="O132" t="str" cm="1">
        <f t="array" aca="1" ref="O132" ca="1">IF(T132="Sócio",IF(COUNTIF(Opções!$H$2:$H$13,INDIRECT($P132))&gt;0,IF(AND(INDIRECT($Q132)&lt;P$1/24,INDIRECT($R132)&gt;O$1/24),"x",""),""),"")</f>
        <v/>
      </c>
      <c r="P132" t="str">
        <f t="shared" si="10"/>
        <v>$E132</v>
      </c>
      <c r="Q132" t="str">
        <f t="shared" ref="Q132" si="23">"$F"&amp;ROW(O132)</f>
        <v>$F132</v>
      </c>
      <c r="R132" t="str">
        <f t="shared" ref="R132" si="24">"$G"&amp;ROW(Q132)</f>
        <v>$G132</v>
      </c>
      <c r="S132" t="str">
        <f t="shared" si="11"/>
        <v>$D132</v>
      </c>
      <c r="T132" t="str" cm="1">
        <f t="array" aca="1" ref="T132" ca="1">IFERROR(VLOOKUP(INDIRECT(S132),Equipe!A:C,3,0),"")</f>
        <v/>
      </c>
    </row>
    <row r="133" spans="4:20" x14ac:dyDescent="0.3">
      <c r="D133" s="23"/>
      <c r="E133" s="23"/>
      <c r="F133" s="24"/>
      <c r="G133" s="24"/>
      <c r="H133" s="23"/>
      <c r="J133" s="21" t="str">
        <f t="shared" ca="1" si="16"/>
        <v/>
      </c>
      <c r="K133" t="str" cm="1">
        <f t="array" aca="1" ref="K133" ca="1">IF(T133="Sócio",IF(COUNTIF(Opções!$H$2:$H$13,INDIRECT($P133))&gt;0,IF(AND(INDIRECT($Q133)&lt;L$1/24,INDIRECT($R133)&gt;K$1/24),"x",""),""),"")</f>
        <v/>
      </c>
      <c r="L133" t="str" cm="1">
        <f t="array" aca="1" ref="L133" ca="1">IF(T133="Sócio",IF(COUNTIF(Opções!$H$2:$H$13,INDIRECT($P133))&gt;0,IF(AND(INDIRECT($Q133)&lt;M$1/24,INDIRECT($R133)&gt;L$1/24),"x",""),""),"")</f>
        <v/>
      </c>
      <c r="M133" t="str" cm="1">
        <f t="array" aca="1" ref="M133" ca="1">IF(T133="Sócio",IF(COUNTIF(Opções!$H$2:$H$13,INDIRECT($P133))&gt;0,IF(AND(INDIRECT($Q133)&lt;N$1/24,INDIRECT($R133)&gt;M$1/24),"x",""),""),"")</f>
        <v/>
      </c>
      <c r="N133" t="str" cm="1">
        <f t="array" aca="1" ref="N133" ca="1">IF(T133="Sócio",IF(COUNTIF(Opções!$H$2:$H$13,INDIRECT($P133))&gt;0,IF(AND(INDIRECT($Q133)&lt;O$1/24,INDIRECT($R133)&gt;N$1/24),"x",""),""),"")</f>
        <v/>
      </c>
      <c r="O133" t="str" cm="1">
        <f t="array" aca="1" ref="O133" ca="1">IF(T133="Sócio",IF(COUNTIF(Opções!$H$2:$H$13,INDIRECT($P133))&gt;0,IF(AND(INDIRECT($Q133)&lt;P$1/24,INDIRECT($R133)&gt;O$1/24),"x",""),""),"")</f>
        <v/>
      </c>
      <c r="P133" t="str">
        <f t="shared" si="10"/>
        <v>$E133</v>
      </c>
      <c r="Q133" t="str">
        <f t="shared" si="2"/>
        <v>$F133</v>
      </c>
      <c r="R133" t="str">
        <f t="shared" si="3"/>
        <v>$G133</v>
      </c>
      <c r="S133" t="str">
        <f t="shared" si="11"/>
        <v>$D133</v>
      </c>
      <c r="T133" t="str" cm="1">
        <f t="array" aca="1" ref="T133" ca="1">IFERROR(VLOOKUP(INDIRECT(S133),Equipe!A:C,3,0),"")</f>
        <v/>
      </c>
    </row>
    <row r="134" spans="4:20" x14ac:dyDescent="0.3">
      <c r="D134" s="23"/>
      <c r="E134" s="23"/>
      <c r="F134" s="24"/>
      <c r="G134" s="24"/>
      <c r="H134" s="23"/>
      <c r="J134" s="21" t="str">
        <f t="shared" ca="1" si="16"/>
        <v/>
      </c>
      <c r="K134" t="str" cm="1">
        <f t="array" aca="1" ref="K134" ca="1">IF(T134="Sócio",IF(COUNTIF(Opções!$H$2:$H$13,INDIRECT($P134))&gt;0,IF(AND(INDIRECT($Q134)&lt;L$1/24,INDIRECT($R134)&gt;K$1/24),"x",""),""),"")</f>
        <v/>
      </c>
      <c r="L134" t="str" cm="1">
        <f t="array" aca="1" ref="L134" ca="1">IF(T134="Sócio",IF(COUNTIF(Opções!$H$2:$H$13,INDIRECT($P134))&gt;0,IF(AND(INDIRECT($Q134)&lt;M$1/24,INDIRECT($R134)&gt;L$1/24),"x",""),""),"")</f>
        <v/>
      </c>
      <c r="M134" t="str" cm="1">
        <f t="array" aca="1" ref="M134" ca="1">IF(T134="Sócio",IF(COUNTIF(Opções!$H$2:$H$13,INDIRECT($P134))&gt;0,IF(AND(INDIRECT($Q134)&lt;N$1/24,INDIRECT($R134)&gt;M$1/24),"x",""),""),"")</f>
        <v/>
      </c>
      <c r="N134" t="str" cm="1">
        <f t="array" aca="1" ref="N134" ca="1">IF(T134="Sócio",IF(COUNTIF(Opções!$H$2:$H$13,INDIRECT($P134))&gt;0,IF(AND(INDIRECT($Q134)&lt;O$1/24,INDIRECT($R134)&gt;N$1/24),"x",""),""),"")</f>
        <v/>
      </c>
      <c r="O134" t="str" cm="1">
        <f t="array" aca="1" ref="O134" ca="1">IF(T134="Sócio",IF(COUNTIF(Opções!$H$2:$H$13,INDIRECT($P134))&gt;0,IF(AND(INDIRECT($Q134)&lt;P$1/24,INDIRECT($R134)&gt;O$1/24),"x",""),""),"")</f>
        <v/>
      </c>
      <c r="P134" t="str">
        <f t="shared" si="10"/>
        <v>$E134</v>
      </c>
      <c r="Q134" t="str">
        <f t="shared" si="2"/>
        <v>$F134</v>
      </c>
      <c r="R134" t="str">
        <f t="shared" si="3"/>
        <v>$G134</v>
      </c>
      <c r="S134" t="str">
        <f t="shared" si="11"/>
        <v>$D134</v>
      </c>
      <c r="T134" t="str" cm="1">
        <f t="array" aca="1" ref="T134" ca="1">IFERROR(VLOOKUP(INDIRECT(S134),Equipe!A:C,3,0),"")</f>
        <v/>
      </c>
    </row>
    <row r="135" spans="4:20" x14ac:dyDescent="0.3">
      <c r="D135" s="23"/>
      <c r="E135" s="23"/>
      <c r="F135" s="24"/>
      <c r="G135" s="24"/>
      <c r="H135" s="23"/>
      <c r="J135" s="21" t="str">
        <f t="shared" ca="1" si="16"/>
        <v/>
      </c>
      <c r="K135" t="str" cm="1">
        <f t="array" aca="1" ref="K135" ca="1">IF(T135="Sócio",IF(COUNTIF(Opções!$H$2:$H$13,INDIRECT($P135))&gt;0,IF(AND(INDIRECT($Q135)&lt;L$1/24,INDIRECT($R135)&gt;K$1/24),"x",""),""),"")</f>
        <v/>
      </c>
      <c r="L135" t="str" cm="1">
        <f t="array" aca="1" ref="L135" ca="1">IF(T135="Sócio",IF(COUNTIF(Opções!$H$2:$H$13,INDIRECT($P135))&gt;0,IF(AND(INDIRECT($Q135)&lt;M$1/24,INDIRECT($R135)&gt;L$1/24),"x",""),""),"")</f>
        <v/>
      </c>
      <c r="M135" t="str" cm="1">
        <f t="array" aca="1" ref="M135" ca="1">IF(T135="Sócio",IF(COUNTIF(Opções!$H$2:$H$13,INDIRECT($P135))&gt;0,IF(AND(INDIRECT($Q135)&lt;N$1/24,INDIRECT($R135)&gt;M$1/24),"x",""),""),"")</f>
        <v/>
      </c>
      <c r="N135" t="str" cm="1">
        <f t="array" aca="1" ref="N135" ca="1">IF(T135="Sócio",IF(COUNTIF(Opções!$H$2:$H$13,INDIRECT($P135))&gt;0,IF(AND(INDIRECT($Q135)&lt;O$1/24,INDIRECT($R135)&gt;N$1/24),"x",""),""),"")</f>
        <v/>
      </c>
      <c r="O135" t="str" cm="1">
        <f t="array" aca="1" ref="O135" ca="1">IF(T135="Sócio",IF(COUNTIF(Opções!$H$2:$H$13,INDIRECT($P135))&gt;0,IF(AND(INDIRECT($Q135)&lt;P$1/24,INDIRECT($R135)&gt;O$1/24),"x",""),""),"")</f>
        <v/>
      </c>
      <c r="P135" t="str">
        <f t="shared" si="10"/>
        <v>$E135</v>
      </c>
      <c r="Q135" t="str">
        <f t="shared" si="2"/>
        <v>$F135</v>
      </c>
      <c r="R135" t="str">
        <f t="shared" si="3"/>
        <v>$G135</v>
      </c>
      <c r="S135" t="str">
        <f t="shared" si="11"/>
        <v>$D135</v>
      </c>
      <c r="T135" t="str" cm="1">
        <f t="array" aca="1" ref="T135" ca="1">IFERROR(VLOOKUP(INDIRECT(S135),Equipe!A:C,3,0),"")</f>
        <v/>
      </c>
    </row>
    <row r="136" spans="4:20" x14ac:dyDescent="0.3">
      <c r="D136" s="23"/>
      <c r="E136" s="23"/>
      <c r="F136" s="24"/>
      <c r="G136" s="24"/>
      <c r="H136" s="23"/>
      <c r="J136" s="21" t="str">
        <f t="shared" ca="1" si="16"/>
        <v/>
      </c>
      <c r="K136" t="str" cm="1">
        <f t="array" aca="1" ref="K136" ca="1">IF(T136="Sócio",IF(COUNTIF(Opções!$H$2:$H$13,INDIRECT($P136))&gt;0,IF(AND(INDIRECT($Q136)&lt;L$1/24,INDIRECT($R136)&gt;K$1/24),"x",""),""),"")</f>
        <v/>
      </c>
      <c r="L136" t="str" cm="1">
        <f t="array" aca="1" ref="L136" ca="1">IF(T136="Sócio",IF(COUNTIF(Opções!$H$2:$H$13,INDIRECT($P136))&gt;0,IF(AND(INDIRECT($Q136)&lt;M$1/24,INDIRECT($R136)&gt;L$1/24),"x",""),""),"")</f>
        <v/>
      </c>
      <c r="M136" t="str" cm="1">
        <f t="array" aca="1" ref="M136" ca="1">IF(T136="Sócio",IF(COUNTIF(Opções!$H$2:$H$13,INDIRECT($P136))&gt;0,IF(AND(INDIRECT($Q136)&lt;N$1/24,INDIRECT($R136)&gt;M$1/24),"x",""),""),"")</f>
        <v/>
      </c>
      <c r="N136" t="str" cm="1">
        <f t="array" aca="1" ref="N136" ca="1">IF(T136="Sócio",IF(COUNTIF(Opções!$H$2:$H$13,INDIRECT($P136))&gt;0,IF(AND(INDIRECT($Q136)&lt;O$1/24,INDIRECT($R136)&gt;N$1/24),"x",""),""),"")</f>
        <v/>
      </c>
      <c r="O136" t="str" cm="1">
        <f t="array" aca="1" ref="O136" ca="1">IF(T136="Sócio",IF(COUNTIF(Opções!$H$2:$H$13,INDIRECT($P136))&gt;0,IF(AND(INDIRECT($Q136)&lt;P$1/24,INDIRECT($R136)&gt;O$1/24),"x",""),""),"")</f>
        <v/>
      </c>
      <c r="P136" t="str">
        <f t="shared" si="10"/>
        <v>$E136</v>
      </c>
      <c r="Q136" t="str">
        <f t="shared" si="2"/>
        <v>$F136</v>
      </c>
      <c r="R136" t="str">
        <f t="shared" si="3"/>
        <v>$G136</v>
      </c>
      <c r="S136" t="str">
        <f t="shared" si="11"/>
        <v>$D136</v>
      </c>
      <c r="T136" t="str" cm="1">
        <f t="array" aca="1" ref="T136" ca="1">IFERROR(VLOOKUP(INDIRECT(S136),Equipe!A:C,3,0),"")</f>
        <v/>
      </c>
    </row>
    <row r="137" spans="4:20" x14ac:dyDescent="0.3">
      <c r="D137" s="23"/>
      <c r="E137" s="23"/>
      <c r="F137" s="24"/>
      <c r="G137" s="24"/>
      <c r="H137" s="23"/>
      <c r="J137" s="21" t="str">
        <f t="shared" ca="1" si="16"/>
        <v/>
      </c>
      <c r="K137" t="str" cm="1">
        <f t="array" aca="1" ref="K137" ca="1">IF(T137="Sócio",IF(COUNTIF(Opções!$H$2:$H$13,INDIRECT($P137))&gt;0,IF(AND(INDIRECT($Q137)&lt;L$1/24,INDIRECT($R137)&gt;K$1/24),"x",""),""),"")</f>
        <v/>
      </c>
      <c r="L137" t="str" cm="1">
        <f t="array" aca="1" ref="L137" ca="1">IF(T137="Sócio",IF(COUNTIF(Opções!$H$2:$H$13,INDIRECT($P137))&gt;0,IF(AND(INDIRECT($Q137)&lt;M$1/24,INDIRECT($R137)&gt;L$1/24),"x",""),""),"")</f>
        <v/>
      </c>
      <c r="M137" t="str" cm="1">
        <f t="array" aca="1" ref="M137" ca="1">IF(T137="Sócio",IF(COUNTIF(Opções!$H$2:$H$13,INDIRECT($P137))&gt;0,IF(AND(INDIRECT($Q137)&lt;N$1/24,INDIRECT($R137)&gt;M$1/24),"x",""),""),"")</f>
        <v/>
      </c>
      <c r="N137" t="str" cm="1">
        <f t="array" aca="1" ref="N137" ca="1">IF(T137="Sócio",IF(COUNTIF(Opções!$H$2:$H$13,INDIRECT($P137))&gt;0,IF(AND(INDIRECT($Q137)&lt;O$1/24,INDIRECT($R137)&gt;N$1/24),"x",""),""),"")</f>
        <v/>
      </c>
      <c r="O137" t="str" cm="1">
        <f t="array" aca="1" ref="O137" ca="1">IF(T137="Sócio",IF(COUNTIF(Opções!$H$2:$H$13,INDIRECT($P137))&gt;0,IF(AND(INDIRECT($Q137)&lt;P$1/24,INDIRECT($R137)&gt;O$1/24),"x",""),""),"")</f>
        <v/>
      </c>
      <c r="P137" t="str">
        <f t="shared" si="10"/>
        <v>$E137</v>
      </c>
      <c r="Q137" t="str">
        <f t="shared" si="2"/>
        <v>$F137</v>
      </c>
      <c r="R137" t="str">
        <f t="shared" si="3"/>
        <v>$G137</v>
      </c>
      <c r="S137" t="str">
        <f t="shared" si="11"/>
        <v>$D137</v>
      </c>
      <c r="T137" t="str" cm="1">
        <f t="array" aca="1" ref="T137" ca="1">IFERROR(VLOOKUP(INDIRECT(S137),Equipe!A:C,3,0),"")</f>
        <v/>
      </c>
    </row>
    <row r="138" spans="4:20" x14ac:dyDescent="0.3">
      <c r="D138" s="23"/>
      <c r="E138" s="23"/>
      <c r="F138" s="24"/>
      <c r="G138" s="24"/>
      <c r="H138" s="23"/>
      <c r="J138" s="21" t="str">
        <f t="shared" ca="1" si="16"/>
        <v/>
      </c>
      <c r="K138" t="str" cm="1">
        <f t="array" aca="1" ref="K138" ca="1">IF(T138="Sócio",IF(COUNTIF(Opções!$H$2:$H$13,INDIRECT($P138))&gt;0,IF(AND(INDIRECT($Q138)&lt;L$1/24,INDIRECT($R138)&gt;K$1/24),"x",""),""),"")</f>
        <v/>
      </c>
      <c r="L138" t="str" cm="1">
        <f t="array" aca="1" ref="L138" ca="1">IF(T138="Sócio",IF(COUNTIF(Opções!$H$2:$H$13,INDIRECT($P138))&gt;0,IF(AND(INDIRECT($Q138)&lt;M$1/24,INDIRECT($R138)&gt;L$1/24),"x",""),""),"")</f>
        <v/>
      </c>
      <c r="M138" t="str" cm="1">
        <f t="array" aca="1" ref="M138" ca="1">IF(T138="Sócio",IF(COUNTIF(Opções!$H$2:$H$13,INDIRECT($P138))&gt;0,IF(AND(INDIRECT($Q138)&lt;N$1/24,INDIRECT($R138)&gt;M$1/24),"x",""),""),"")</f>
        <v/>
      </c>
      <c r="N138" t="str" cm="1">
        <f t="array" aca="1" ref="N138" ca="1">IF(T138="Sócio",IF(COUNTIF(Opções!$H$2:$H$13,INDIRECT($P138))&gt;0,IF(AND(INDIRECT($Q138)&lt;O$1/24,INDIRECT($R138)&gt;N$1/24),"x",""),""),"")</f>
        <v/>
      </c>
      <c r="O138" t="str" cm="1">
        <f t="array" aca="1" ref="O138" ca="1">IF(T138="Sócio",IF(COUNTIF(Opções!$H$2:$H$13,INDIRECT($P138))&gt;0,IF(AND(INDIRECT($Q138)&lt;P$1/24,INDIRECT($R138)&gt;O$1/24),"x",""),""),"")</f>
        <v/>
      </c>
      <c r="P138" t="str">
        <f t="shared" si="10"/>
        <v>$E138</v>
      </c>
      <c r="Q138" t="str">
        <f t="shared" si="2"/>
        <v>$F138</v>
      </c>
      <c r="R138" t="str">
        <f t="shared" si="3"/>
        <v>$G138</v>
      </c>
      <c r="S138" t="str">
        <f t="shared" si="11"/>
        <v>$D138</v>
      </c>
      <c r="T138" t="str" cm="1">
        <f t="array" aca="1" ref="T138" ca="1">IFERROR(VLOOKUP(INDIRECT(S138),Equipe!A:C,3,0),"")</f>
        <v/>
      </c>
    </row>
    <row r="139" spans="4:20" x14ac:dyDescent="0.3">
      <c r="D139" s="23"/>
      <c r="E139" s="23"/>
      <c r="F139" s="24"/>
      <c r="G139" s="24"/>
      <c r="H139" s="23"/>
      <c r="J139" s="21" t="str">
        <f t="shared" ca="1" si="16"/>
        <v/>
      </c>
      <c r="K139" t="str" cm="1">
        <f t="array" aca="1" ref="K139" ca="1">IF(T139="Sócio",IF(COUNTIF(Opções!$H$2:$H$13,INDIRECT($P139))&gt;0,IF(AND(INDIRECT($Q139)&lt;L$1/24,INDIRECT($R139)&gt;K$1/24),"x",""),""),"")</f>
        <v/>
      </c>
      <c r="L139" t="str" cm="1">
        <f t="array" aca="1" ref="L139" ca="1">IF(T139="Sócio",IF(COUNTIF(Opções!$H$2:$H$13,INDIRECT($P139))&gt;0,IF(AND(INDIRECT($Q139)&lt;M$1/24,INDIRECT($R139)&gt;L$1/24),"x",""),""),"")</f>
        <v/>
      </c>
      <c r="M139" t="str" cm="1">
        <f t="array" aca="1" ref="M139" ca="1">IF(T139="Sócio",IF(COUNTIF(Opções!$H$2:$H$13,INDIRECT($P139))&gt;0,IF(AND(INDIRECT($Q139)&lt;N$1/24,INDIRECT($R139)&gt;M$1/24),"x",""),""),"")</f>
        <v/>
      </c>
      <c r="N139" t="str" cm="1">
        <f t="array" aca="1" ref="N139" ca="1">IF(T139="Sócio",IF(COUNTIF(Opções!$H$2:$H$13,INDIRECT($P139))&gt;0,IF(AND(INDIRECT($Q139)&lt;O$1/24,INDIRECT($R139)&gt;N$1/24),"x",""),""),"")</f>
        <v/>
      </c>
      <c r="O139" t="str" cm="1">
        <f t="array" aca="1" ref="O139" ca="1">IF(T139="Sócio",IF(COUNTIF(Opções!$H$2:$H$13,INDIRECT($P139))&gt;0,IF(AND(INDIRECT($Q139)&lt;P$1/24,INDIRECT($R139)&gt;O$1/24),"x",""),""),"")</f>
        <v/>
      </c>
      <c r="P139" t="str">
        <f t="shared" si="10"/>
        <v>$E139</v>
      </c>
      <c r="Q139" t="str">
        <f t="shared" si="2"/>
        <v>$F139</v>
      </c>
      <c r="R139" t="str">
        <f t="shared" si="3"/>
        <v>$G139</v>
      </c>
      <c r="S139" t="str">
        <f t="shared" si="11"/>
        <v>$D139</v>
      </c>
      <c r="T139" t="str" cm="1">
        <f t="array" aca="1" ref="T139" ca="1">IFERROR(VLOOKUP(INDIRECT(S139),Equipe!A:C,3,0),"")</f>
        <v/>
      </c>
    </row>
    <row r="140" spans="4:20" x14ac:dyDescent="0.3">
      <c r="D140" s="23"/>
      <c r="E140" s="23"/>
      <c r="F140" s="24"/>
      <c r="G140" s="24"/>
      <c r="H140" s="23"/>
      <c r="J140" s="21" t="str">
        <f t="shared" ca="1" si="16"/>
        <v/>
      </c>
      <c r="K140" t="str" cm="1">
        <f t="array" aca="1" ref="K140" ca="1">IF(T140="Sócio",IF(COUNTIF(Opções!$H$2:$H$13,INDIRECT($P140))&gt;0,IF(AND(INDIRECT($Q140)&lt;L$1/24,INDIRECT($R140)&gt;K$1/24),"x",""),""),"")</f>
        <v/>
      </c>
      <c r="L140" t="str" cm="1">
        <f t="array" aca="1" ref="L140" ca="1">IF(T140="Sócio",IF(COUNTIF(Opções!$H$2:$H$13,INDIRECT($P140))&gt;0,IF(AND(INDIRECT($Q140)&lt;M$1/24,INDIRECT($R140)&gt;L$1/24),"x",""),""),"")</f>
        <v/>
      </c>
      <c r="M140" t="str" cm="1">
        <f t="array" aca="1" ref="M140" ca="1">IF(T140="Sócio",IF(COUNTIF(Opções!$H$2:$H$13,INDIRECT($P140))&gt;0,IF(AND(INDIRECT($Q140)&lt;N$1/24,INDIRECT($R140)&gt;M$1/24),"x",""),""),"")</f>
        <v/>
      </c>
      <c r="N140" t="str" cm="1">
        <f t="array" aca="1" ref="N140" ca="1">IF(T140="Sócio",IF(COUNTIF(Opções!$H$2:$H$13,INDIRECT($P140))&gt;0,IF(AND(INDIRECT($Q140)&lt;O$1/24,INDIRECT($R140)&gt;N$1/24),"x",""),""),"")</f>
        <v/>
      </c>
      <c r="O140" t="str" cm="1">
        <f t="array" aca="1" ref="O140" ca="1">IF(T140="Sócio",IF(COUNTIF(Opções!$H$2:$H$13,INDIRECT($P140))&gt;0,IF(AND(INDIRECT($Q140)&lt;P$1/24,INDIRECT($R140)&gt;O$1/24),"x",""),""),"")</f>
        <v/>
      </c>
      <c r="P140" t="str">
        <f t="shared" si="10"/>
        <v>$E140</v>
      </c>
      <c r="Q140" t="str">
        <f t="shared" si="2"/>
        <v>$F140</v>
      </c>
      <c r="R140" t="str">
        <f t="shared" si="3"/>
        <v>$G140</v>
      </c>
      <c r="S140" t="str">
        <f t="shared" si="11"/>
        <v>$D140</v>
      </c>
      <c r="T140" t="str" cm="1">
        <f t="array" aca="1" ref="T140" ca="1">IFERROR(VLOOKUP(INDIRECT(S140),Equipe!A:C,3,0),"")</f>
        <v/>
      </c>
    </row>
    <row r="141" spans="4:20" x14ac:dyDescent="0.3">
      <c r="D141" s="23"/>
      <c r="E141" s="23"/>
      <c r="F141" s="24"/>
      <c r="G141" s="24"/>
      <c r="H141" s="23"/>
      <c r="J141" s="21" t="str">
        <f t="shared" ca="1" si="16"/>
        <v/>
      </c>
      <c r="K141" t="str" cm="1">
        <f t="array" aca="1" ref="K141" ca="1">IF(T141="Sócio",IF(COUNTIF(Opções!$H$2:$H$13,INDIRECT($P141))&gt;0,IF(AND(INDIRECT($Q141)&lt;L$1/24,INDIRECT($R141)&gt;K$1/24),"x",""),""),"")</f>
        <v/>
      </c>
      <c r="L141" t="str" cm="1">
        <f t="array" aca="1" ref="L141" ca="1">IF(T141="Sócio",IF(COUNTIF(Opções!$H$2:$H$13,INDIRECT($P141))&gt;0,IF(AND(INDIRECT($Q141)&lt;M$1/24,INDIRECT($R141)&gt;L$1/24),"x",""),""),"")</f>
        <v/>
      </c>
      <c r="M141" t="str" cm="1">
        <f t="array" aca="1" ref="M141" ca="1">IF(T141="Sócio",IF(COUNTIF(Opções!$H$2:$H$13,INDIRECT($P141))&gt;0,IF(AND(INDIRECT($Q141)&lt;N$1/24,INDIRECT($R141)&gt;M$1/24),"x",""),""),"")</f>
        <v/>
      </c>
      <c r="N141" t="str" cm="1">
        <f t="array" aca="1" ref="N141" ca="1">IF(T141="Sócio",IF(COUNTIF(Opções!$H$2:$H$13,INDIRECT($P141))&gt;0,IF(AND(INDIRECT($Q141)&lt;O$1/24,INDIRECT($R141)&gt;N$1/24),"x",""),""),"")</f>
        <v/>
      </c>
      <c r="O141" t="str" cm="1">
        <f t="array" aca="1" ref="O141" ca="1">IF(T141="Sócio",IF(COUNTIF(Opções!$H$2:$H$13,INDIRECT($P141))&gt;0,IF(AND(INDIRECT($Q141)&lt;P$1/24,INDIRECT($R141)&gt;O$1/24),"x",""),""),"")</f>
        <v/>
      </c>
      <c r="P141" t="str">
        <f t="shared" si="10"/>
        <v>$E141</v>
      </c>
      <c r="Q141" t="str">
        <f t="shared" si="2"/>
        <v>$F141</v>
      </c>
      <c r="R141" t="str">
        <f t="shared" si="3"/>
        <v>$G141</v>
      </c>
      <c r="S141" t="str">
        <f t="shared" si="11"/>
        <v>$D141</v>
      </c>
      <c r="T141" t="str" cm="1">
        <f t="array" aca="1" ref="T141" ca="1">IFERROR(VLOOKUP(INDIRECT(S141),Equipe!A:C,3,0),"")</f>
        <v/>
      </c>
    </row>
    <row r="142" spans="4:20" x14ac:dyDescent="0.3">
      <c r="D142" s="23"/>
      <c r="E142" s="23"/>
      <c r="F142" s="24"/>
      <c r="G142" s="24"/>
      <c r="H142" s="23"/>
      <c r="J142" s="21" t="str">
        <f t="shared" ca="1" si="16"/>
        <v/>
      </c>
      <c r="K142" t="str" cm="1">
        <f t="array" aca="1" ref="K142" ca="1">IF(T142="Sócio",IF(COUNTIF(Opções!$H$2:$H$13,INDIRECT($P142))&gt;0,IF(AND(INDIRECT($Q142)&lt;L$1/24,INDIRECT($R142)&gt;K$1/24),"x",""),""),"")</f>
        <v/>
      </c>
      <c r="L142" t="str" cm="1">
        <f t="array" aca="1" ref="L142" ca="1">IF(T142="Sócio",IF(COUNTIF(Opções!$H$2:$H$13,INDIRECT($P142))&gt;0,IF(AND(INDIRECT($Q142)&lt;M$1/24,INDIRECT($R142)&gt;L$1/24),"x",""),""),"")</f>
        <v/>
      </c>
      <c r="M142" t="str" cm="1">
        <f t="array" aca="1" ref="M142" ca="1">IF(T142="Sócio",IF(COUNTIF(Opções!$H$2:$H$13,INDIRECT($P142))&gt;0,IF(AND(INDIRECT($Q142)&lt;N$1/24,INDIRECT($R142)&gt;M$1/24),"x",""),""),"")</f>
        <v/>
      </c>
      <c r="N142" t="str" cm="1">
        <f t="array" aca="1" ref="N142" ca="1">IF(T142="Sócio",IF(COUNTIF(Opções!$H$2:$H$13,INDIRECT($P142))&gt;0,IF(AND(INDIRECT($Q142)&lt;O$1/24,INDIRECT($R142)&gt;N$1/24),"x",""),""),"")</f>
        <v/>
      </c>
      <c r="O142" t="str" cm="1">
        <f t="array" aca="1" ref="O142" ca="1">IF(T142="Sócio",IF(COUNTIF(Opções!$H$2:$H$13,INDIRECT($P142))&gt;0,IF(AND(INDIRECT($Q142)&lt;P$1/24,INDIRECT($R142)&gt;O$1/24),"x",""),""),"")</f>
        <v/>
      </c>
      <c r="P142" t="str">
        <f t="shared" si="10"/>
        <v>$E142</v>
      </c>
      <c r="Q142" t="str">
        <f t="shared" si="2"/>
        <v>$F142</v>
      </c>
      <c r="R142" t="str">
        <f t="shared" si="3"/>
        <v>$G142</v>
      </c>
      <c r="S142" t="str">
        <f t="shared" si="11"/>
        <v>$D142</v>
      </c>
      <c r="T142" t="str" cm="1">
        <f t="array" aca="1" ref="T142" ca="1">IFERROR(VLOOKUP(INDIRECT(S142),Equipe!A:C,3,0),"")</f>
        <v/>
      </c>
    </row>
    <row r="143" spans="4:20" x14ac:dyDescent="0.3">
      <c r="D143" s="23"/>
      <c r="E143" s="23"/>
      <c r="F143" s="24"/>
      <c r="G143" s="24"/>
      <c r="H143" s="23"/>
      <c r="J143" s="21" t="str">
        <f t="shared" ca="1" si="16"/>
        <v/>
      </c>
      <c r="K143" t="str" cm="1">
        <f t="array" aca="1" ref="K143" ca="1">IF(T143="Sócio",IF(COUNTIF(Opções!$H$2:$H$13,INDIRECT($P143))&gt;0,IF(AND(INDIRECT($Q143)&lt;L$1/24,INDIRECT($R143)&gt;K$1/24),"x",""),""),"")</f>
        <v/>
      </c>
      <c r="L143" t="str" cm="1">
        <f t="array" aca="1" ref="L143" ca="1">IF(T143="Sócio",IF(COUNTIF(Opções!$H$2:$H$13,INDIRECT($P143))&gt;0,IF(AND(INDIRECT($Q143)&lt;M$1/24,INDIRECT($R143)&gt;L$1/24),"x",""),""),"")</f>
        <v/>
      </c>
      <c r="M143" t="str" cm="1">
        <f t="array" aca="1" ref="M143" ca="1">IF(T143="Sócio",IF(COUNTIF(Opções!$H$2:$H$13,INDIRECT($P143))&gt;0,IF(AND(INDIRECT($Q143)&lt;N$1/24,INDIRECT($R143)&gt;M$1/24),"x",""),""),"")</f>
        <v/>
      </c>
      <c r="N143" t="str" cm="1">
        <f t="array" aca="1" ref="N143" ca="1">IF(T143="Sócio",IF(COUNTIF(Opções!$H$2:$H$13,INDIRECT($P143))&gt;0,IF(AND(INDIRECT($Q143)&lt;O$1/24,INDIRECT($R143)&gt;N$1/24),"x",""),""),"")</f>
        <v/>
      </c>
      <c r="O143" t="str" cm="1">
        <f t="array" aca="1" ref="O143" ca="1">IF(T143="Sócio",IF(COUNTIF(Opções!$H$2:$H$13,INDIRECT($P143))&gt;0,IF(AND(INDIRECT($Q143)&lt;P$1/24,INDIRECT($R143)&gt;O$1/24),"x",""),""),"")</f>
        <v/>
      </c>
      <c r="P143" t="str">
        <f t="shared" si="10"/>
        <v>$E143</v>
      </c>
      <c r="Q143" t="str">
        <f t="shared" si="2"/>
        <v>$F143</v>
      </c>
      <c r="R143" t="str">
        <f t="shared" si="3"/>
        <v>$G143</v>
      </c>
      <c r="S143" t="str">
        <f t="shared" si="11"/>
        <v>$D143</v>
      </c>
      <c r="T143" t="str" cm="1">
        <f t="array" aca="1" ref="T143" ca="1">IFERROR(VLOOKUP(INDIRECT(S143),Equipe!A:C,3,0),"")</f>
        <v/>
      </c>
    </row>
    <row r="144" spans="4:20" x14ac:dyDescent="0.3">
      <c r="D144" s="23"/>
      <c r="E144" s="23"/>
      <c r="F144" s="24"/>
      <c r="G144" s="24"/>
      <c r="H144" s="23"/>
      <c r="J144" s="21" t="str">
        <f t="shared" ca="1" si="16"/>
        <v/>
      </c>
      <c r="K144" t="str" cm="1">
        <f t="array" aca="1" ref="K144" ca="1">IF(T144="Sócio",IF(COUNTIF(Opções!$H$2:$H$13,INDIRECT($P144))&gt;0,IF(AND(INDIRECT($Q144)&lt;L$1/24,INDIRECT($R144)&gt;K$1/24),"x",""),""),"")</f>
        <v/>
      </c>
      <c r="L144" t="str" cm="1">
        <f t="array" aca="1" ref="L144" ca="1">IF(T144="Sócio",IF(COUNTIF(Opções!$H$2:$H$13,INDIRECT($P144))&gt;0,IF(AND(INDIRECT($Q144)&lt;M$1/24,INDIRECT($R144)&gt;L$1/24),"x",""),""),"")</f>
        <v/>
      </c>
      <c r="M144" t="str" cm="1">
        <f t="array" aca="1" ref="M144" ca="1">IF(T144="Sócio",IF(COUNTIF(Opções!$H$2:$H$13,INDIRECT($P144))&gt;0,IF(AND(INDIRECT($Q144)&lt;N$1/24,INDIRECT($R144)&gt;M$1/24),"x",""),""),"")</f>
        <v/>
      </c>
      <c r="N144" t="str" cm="1">
        <f t="array" aca="1" ref="N144" ca="1">IF(T144="Sócio",IF(COUNTIF(Opções!$H$2:$H$13,INDIRECT($P144))&gt;0,IF(AND(INDIRECT($Q144)&lt;O$1/24,INDIRECT($R144)&gt;N$1/24),"x",""),""),"")</f>
        <v/>
      </c>
      <c r="O144" t="str" cm="1">
        <f t="array" aca="1" ref="O144" ca="1">IF(T144="Sócio",IF(COUNTIF(Opções!$H$2:$H$13,INDIRECT($P144))&gt;0,IF(AND(INDIRECT($Q144)&lt;P$1/24,INDIRECT($R144)&gt;O$1/24),"x",""),""),"")</f>
        <v/>
      </c>
      <c r="P144" t="str">
        <f t="shared" ref="P144:P207" si="25">"$E"&amp;ROW(N144)</f>
        <v>$E144</v>
      </c>
      <c r="Q144" t="str">
        <f t="shared" si="2"/>
        <v>$F144</v>
      </c>
      <c r="R144" t="str">
        <f t="shared" si="3"/>
        <v>$G144</v>
      </c>
      <c r="S144" t="str">
        <f t="shared" ref="S144:S207" si="26">"$D"&amp;ROW(R144)</f>
        <v>$D144</v>
      </c>
      <c r="T144" t="str" cm="1">
        <f t="array" aca="1" ref="T144" ca="1">IFERROR(VLOOKUP(INDIRECT(S144),Equipe!A:C,3,0),"")</f>
        <v/>
      </c>
    </row>
    <row r="145" spans="4:20" x14ac:dyDescent="0.3">
      <c r="D145" s="23"/>
      <c r="E145" s="23"/>
      <c r="F145" s="24"/>
      <c r="G145" s="24"/>
      <c r="H145" s="23"/>
      <c r="J145" s="21" t="str">
        <f t="shared" ca="1" si="16"/>
        <v/>
      </c>
      <c r="K145" t="str" cm="1">
        <f t="array" aca="1" ref="K145" ca="1">IF(T145="Sócio",IF(COUNTIF(Opções!$H$2:$H$13,INDIRECT($P145))&gt;0,IF(AND(INDIRECT($Q145)&lt;L$1/24,INDIRECT($R145)&gt;K$1/24),"x",""),""),"")</f>
        <v/>
      </c>
      <c r="L145" t="str" cm="1">
        <f t="array" aca="1" ref="L145" ca="1">IF(T145="Sócio",IF(COUNTIF(Opções!$H$2:$H$13,INDIRECT($P145))&gt;0,IF(AND(INDIRECT($Q145)&lt;M$1/24,INDIRECT($R145)&gt;L$1/24),"x",""),""),"")</f>
        <v/>
      </c>
      <c r="M145" t="str" cm="1">
        <f t="array" aca="1" ref="M145" ca="1">IF(T145="Sócio",IF(COUNTIF(Opções!$H$2:$H$13,INDIRECT($P145))&gt;0,IF(AND(INDIRECT($Q145)&lt;N$1/24,INDIRECT($R145)&gt;M$1/24),"x",""),""),"")</f>
        <v/>
      </c>
      <c r="N145" t="str" cm="1">
        <f t="array" aca="1" ref="N145" ca="1">IF(T145="Sócio",IF(COUNTIF(Opções!$H$2:$H$13,INDIRECT($P145))&gt;0,IF(AND(INDIRECT($Q145)&lt;O$1/24,INDIRECT($R145)&gt;N$1/24),"x",""),""),"")</f>
        <v/>
      </c>
      <c r="O145" t="str" cm="1">
        <f t="array" aca="1" ref="O145" ca="1">IF(T145="Sócio",IF(COUNTIF(Opções!$H$2:$H$13,INDIRECT($P145))&gt;0,IF(AND(INDIRECT($Q145)&lt;P$1/24,INDIRECT($R145)&gt;O$1/24),"x",""),""),"")</f>
        <v/>
      </c>
      <c r="P145" t="str">
        <f t="shared" si="25"/>
        <v>$E145</v>
      </c>
      <c r="Q145" t="str">
        <f t="shared" ref="Q145" si="27">"$F"&amp;ROW(O145)</f>
        <v>$F145</v>
      </c>
      <c r="R145" t="str">
        <f t="shared" ref="R145" si="28">"$G"&amp;ROW(Q145)</f>
        <v>$G145</v>
      </c>
      <c r="S145" t="str">
        <f t="shared" si="26"/>
        <v>$D145</v>
      </c>
      <c r="T145" t="str" cm="1">
        <f t="array" aca="1" ref="T145" ca="1">IFERROR(VLOOKUP(INDIRECT(S145),Equipe!A:C,3,0),"")</f>
        <v/>
      </c>
    </row>
    <row r="146" spans="4:20" x14ac:dyDescent="0.3">
      <c r="D146" s="23"/>
      <c r="E146" s="23"/>
      <c r="F146" s="24"/>
      <c r="G146" s="24"/>
      <c r="H146" s="23"/>
      <c r="J146" s="21" t="str">
        <f t="shared" ca="1" si="16"/>
        <v/>
      </c>
      <c r="K146" t="str" cm="1">
        <f t="array" aca="1" ref="K146" ca="1">IF(T146="Sócio",IF(COUNTIF(Opções!$H$2:$H$13,INDIRECT($P146))&gt;0,IF(AND(INDIRECT($Q146)&lt;L$1/24,INDIRECT($R146)&gt;K$1/24),"x",""),""),"")</f>
        <v/>
      </c>
      <c r="L146" t="str" cm="1">
        <f t="array" aca="1" ref="L146" ca="1">IF(T146="Sócio",IF(COUNTIF(Opções!$H$2:$H$13,INDIRECT($P146))&gt;0,IF(AND(INDIRECT($Q146)&lt;M$1/24,INDIRECT($R146)&gt;L$1/24),"x",""),""),"")</f>
        <v/>
      </c>
      <c r="M146" t="str" cm="1">
        <f t="array" aca="1" ref="M146" ca="1">IF(T146="Sócio",IF(COUNTIF(Opções!$H$2:$H$13,INDIRECT($P146))&gt;0,IF(AND(INDIRECT($Q146)&lt;N$1/24,INDIRECT($R146)&gt;M$1/24),"x",""),""),"")</f>
        <v/>
      </c>
      <c r="N146" t="str" cm="1">
        <f t="array" aca="1" ref="N146" ca="1">IF(T146="Sócio",IF(COUNTIF(Opções!$H$2:$H$13,INDIRECT($P146))&gt;0,IF(AND(INDIRECT($Q146)&lt;O$1/24,INDIRECT($R146)&gt;N$1/24),"x",""),""),"")</f>
        <v/>
      </c>
      <c r="O146" t="str" cm="1">
        <f t="array" aca="1" ref="O146" ca="1">IF(T146="Sócio",IF(COUNTIF(Opções!$H$2:$H$13,INDIRECT($P146))&gt;0,IF(AND(INDIRECT($Q146)&lt;P$1/24,INDIRECT($R146)&gt;O$1/24),"x",""),""),"")</f>
        <v/>
      </c>
      <c r="P146" t="str">
        <f t="shared" si="25"/>
        <v>$E146</v>
      </c>
      <c r="Q146" t="str">
        <f t="shared" si="2"/>
        <v>$F146</v>
      </c>
      <c r="R146" t="str">
        <f t="shared" si="3"/>
        <v>$G146</v>
      </c>
      <c r="S146" t="str">
        <f t="shared" si="26"/>
        <v>$D146</v>
      </c>
      <c r="T146" t="str" cm="1">
        <f t="array" aca="1" ref="T146" ca="1">IFERROR(VLOOKUP(INDIRECT(S146),Equipe!A:C,3,0),"")</f>
        <v/>
      </c>
    </row>
    <row r="147" spans="4:20" x14ac:dyDescent="0.3">
      <c r="D147" s="23"/>
      <c r="E147" s="23"/>
      <c r="F147" s="24"/>
      <c r="G147" s="24"/>
      <c r="H147" s="23"/>
      <c r="J147" s="21" t="str">
        <f t="shared" ca="1" si="16"/>
        <v/>
      </c>
      <c r="K147" t="str" cm="1">
        <f t="array" aca="1" ref="K147" ca="1">IF(T147="Sócio",IF(COUNTIF(Opções!$H$2:$H$13,INDIRECT($P147))&gt;0,IF(AND(INDIRECT($Q147)&lt;L$1/24,INDIRECT($R147)&gt;K$1/24),"x",""),""),"")</f>
        <v/>
      </c>
      <c r="L147" t="str" cm="1">
        <f t="array" aca="1" ref="L147" ca="1">IF(T147="Sócio",IF(COUNTIF(Opções!$H$2:$H$13,INDIRECT($P147))&gt;0,IF(AND(INDIRECT($Q147)&lt;M$1/24,INDIRECT($R147)&gt;L$1/24),"x",""),""),"")</f>
        <v/>
      </c>
      <c r="M147" t="str" cm="1">
        <f t="array" aca="1" ref="M147" ca="1">IF(T147="Sócio",IF(COUNTIF(Opções!$H$2:$H$13,INDIRECT($P147))&gt;0,IF(AND(INDIRECT($Q147)&lt;N$1/24,INDIRECT($R147)&gt;M$1/24),"x",""),""),"")</f>
        <v/>
      </c>
      <c r="N147" t="str" cm="1">
        <f t="array" aca="1" ref="N147" ca="1">IF(T147="Sócio",IF(COUNTIF(Opções!$H$2:$H$13,INDIRECT($P147))&gt;0,IF(AND(INDIRECT($Q147)&lt;O$1/24,INDIRECT($R147)&gt;N$1/24),"x",""),""),"")</f>
        <v/>
      </c>
      <c r="O147" t="str" cm="1">
        <f t="array" aca="1" ref="O147" ca="1">IF(T147="Sócio",IF(COUNTIF(Opções!$H$2:$H$13,INDIRECT($P147))&gt;0,IF(AND(INDIRECT($Q147)&lt;P$1/24,INDIRECT($R147)&gt;O$1/24),"x",""),""),"")</f>
        <v/>
      </c>
      <c r="P147" t="str">
        <f t="shared" si="25"/>
        <v>$E147</v>
      </c>
      <c r="Q147" t="str">
        <f t="shared" si="2"/>
        <v>$F147</v>
      </c>
      <c r="R147" t="str">
        <f t="shared" si="3"/>
        <v>$G147</v>
      </c>
      <c r="S147" t="str">
        <f t="shared" si="26"/>
        <v>$D147</v>
      </c>
      <c r="T147" t="str" cm="1">
        <f t="array" aca="1" ref="T147" ca="1">IFERROR(VLOOKUP(INDIRECT(S147),Equipe!A:C,3,0),"")</f>
        <v/>
      </c>
    </row>
    <row r="148" spans="4:20" x14ac:dyDescent="0.3">
      <c r="D148" s="23"/>
      <c r="E148" s="23"/>
      <c r="F148" s="24"/>
      <c r="G148" s="24"/>
      <c r="H148" s="23"/>
      <c r="J148" s="21" t="str">
        <f t="shared" ca="1" si="16"/>
        <v/>
      </c>
      <c r="K148" t="str" cm="1">
        <f t="array" aca="1" ref="K148" ca="1">IF(T148="Sócio",IF(COUNTIF(Opções!$H$2:$H$13,INDIRECT($P148))&gt;0,IF(AND(INDIRECT($Q148)&lt;L$1/24,INDIRECT($R148)&gt;K$1/24),"x",""),""),"")</f>
        <v/>
      </c>
      <c r="L148" t="str" cm="1">
        <f t="array" aca="1" ref="L148" ca="1">IF(T148="Sócio",IF(COUNTIF(Opções!$H$2:$H$13,INDIRECT($P148))&gt;0,IF(AND(INDIRECT($Q148)&lt;M$1/24,INDIRECT($R148)&gt;L$1/24),"x",""),""),"")</f>
        <v/>
      </c>
      <c r="M148" t="str" cm="1">
        <f t="array" aca="1" ref="M148" ca="1">IF(T148="Sócio",IF(COUNTIF(Opções!$H$2:$H$13,INDIRECT($P148))&gt;0,IF(AND(INDIRECT($Q148)&lt;N$1/24,INDIRECT($R148)&gt;M$1/24),"x",""),""),"")</f>
        <v/>
      </c>
      <c r="N148" t="str" cm="1">
        <f t="array" aca="1" ref="N148" ca="1">IF(T148="Sócio",IF(COUNTIF(Opções!$H$2:$H$13,INDIRECT($P148))&gt;0,IF(AND(INDIRECT($Q148)&lt;O$1/24,INDIRECT($R148)&gt;N$1/24),"x",""),""),"")</f>
        <v/>
      </c>
      <c r="O148" t="str" cm="1">
        <f t="array" aca="1" ref="O148" ca="1">IF(T148="Sócio",IF(COUNTIF(Opções!$H$2:$H$13,INDIRECT($P148))&gt;0,IF(AND(INDIRECT($Q148)&lt;P$1/24,INDIRECT($R148)&gt;O$1/24),"x",""),""),"")</f>
        <v/>
      </c>
      <c r="P148" t="str">
        <f t="shared" si="25"/>
        <v>$E148</v>
      </c>
      <c r="Q148" t="str">
        <f t="shared" si="2"/>
        <v>$F148</v>
      </c>
      <c r="R148" t="str">
        <f t="shared" si="3"/>
        <v>$G148</v>
      </c>
      <c r="S148" t="str">
        <f t="shared" si="26"/>
        <v>$D148</v>
      </c>
      <c r="T148" t="str" cm="1">
        <f t="array" aca="1" ref="T148" ca="1">IFERROR(VLOOKUP(INDIRECT(S148),Equipe!A:C,3,0),"")</f>
        <v/>
      </c>
    </row>
    <row r="149" spans="4:20" x14ac:dyDescent="0.3">
      <c r="D149" s="23"/>
      <c r="E149" s="23"/>
      <c r="F149" s="24"/>
      <c r="G149" s="24"/>
      <c r="H149" s="23"/>
      <c r="J149" s="21" t="str">
        <f t="shared" ca="1" si="16"/>
        <v/>
      </c>
      <c r="K149" t="str" cm="1">
        <f t="array" aca="1" ref="K149" ca="1">IF(T149="Sócio",IF(COUNTIF(Opções!$H$2:$H$13,INDIRECT($P149))&gt;0,IF(AND(INDIRECT($Q149)&lt;L$1/24,INDIRECT($R149)&gt;K$1/24),"x",""),""),"")</f>
        <v/>
      </c>
      <c r="L149" t="str" cm="1">
        <f t="array" aca="1" ref="L149" ca="1">IF(T149="Sócio",IF(COUNTIF(Opções!$H$2:$H$13,INDIRECT($P149))&gt;0,IF(AND(INDIRECT($Q149)&lt;M$1/24,INDIRECT($R149)&gt;L$1/24),"x",""),""),"")</f>
        <v/>
      </c>
      <c r="M149" t="str" cm="1">
        <f t="array" aca="1" ref="M149" ca="1">IF(T149="Sócio",IF(COUNTIF(Opções!$H$2:$H$13,INDIRECT($P149))&gt;0,IF(AND(INDIRECT($Q149)&lt;N$1/24,INDIRECT($R149)&gt;M$1/24),"x",""),""),"")</f>
        <v/>
      </c>
      <c r="N149" t="str" cm="1">
        <f t="array" aca="1" ref="N149" ca="1">IF(T149="Sócio",IF(COUNTIF(Opções!$H$2:$H$13,INDIRECT($P149))&gt;0,IF(AND(INDIRECT($Q149)&lt;O$1/24,INDIRECT($R149)&gt;N$1/24),"x",""),""),"")</f>
        <v/>
      </c>
      <c r="O149" t="str" cm="1">
        <f t="array" aca="1" ref="O149" ca="1">IF(T149="Sócio",IF(COUNTIF(Opções!$H$2:$H$13,INDIRECT($P149))&gt;0,IF(AND(INDIRECT($Q149)&lt;P$1/24,INDIRECT($R149)&gt;O$1/24),"x",""),""),"")</f>
        <v/>
      </c>
      <c r="P149" t="str">
        <f t="shared" si="25"/>
        <v>$E149</v>
      </c>
      <c r="Q149" t="str">
        <f t="shared" si="2"/>
        <v>$F149</v>
      </c>
      <c r="R149" t="str">
        <f t="shared" si="3"/>
        <v>$G149</v>
      </c>
      <c r="S149" t="str">
        <f t="shared" si="26"/>
        <v>$D149</v>
      </c>
      <c r="T149" t="str" cm="1">
        <f t="array" aca="1" ref="T149" ca="1">IFERROR(VLOOKUP(INDIRECT(S149),Equipe!A:C,3,0),"")</f>
        <v/>
      </c>
    </row>
    <row r="150" spans="4:20" x14ac:dyDescent="0.3">
      <c r="D150" s="23"/>
      <c r="E150" s="23"/>
      <c r="F150" s="24"/>
      <c r="G150" s="24"/>
      <c r="H150" s="23"/>
      <c r="J150" s="21" t="str">
        <f t="shared" ca="1" si="16"/>
        <v/>
      </c>
      <c r="K150" t="str" cm="1">
        <f t="array" aca="1" ref="K150" ca="1">IF(T150="Sócio",IF(COUNTIF(Opções!$H$2:$H$13,INDIRECT($P150))&gt;0,IF(AND(INDIRECT($Q150)&lt;L$1/24,INDIRECT($R150)&gt;K$1/24),"x",""),""),"")</f>
        <v/>
      </c>
      <c r="L150" t="str" cm="1">
        <f t="array" aca="1" ref="L150" ca="1">IF(T150="Sócio",IF(COUNTIF(Opções!$H$2:$H$13,INDIRECT($P150))&gt;0,IF(AND(INDIRECT($Q150)&lt;M$1/24,INDIRECT($R150)&gt;L$1/24),"x",""),""),"")</f>
        <v/>
      </c>
      <c r="M150" t="str" cm="1">
        <f t="array" aca="1" ref="M150" ca="1">IF(T150="Sócio",IF(COUNTIF(Opções!$H$2:$H$13,INDIRECT($P150))&gt;0,IF(AND(INDIRECT($Q150)&lt;N$1/24,INDIRECT($R150)&gt;M$1/24),"x",""),""),"")</f>
        <v/>
      </c>
      <c r="N150" t="str" cm="1">
        <f t="array" aca="1" ref="N150" ca="1">IF(T150="Sócio",IF(COUNTIF(Opções!$H$2:$H$13,INDIRECT($P150))&gt;0,IF(AND(INDIRECT($Q150)&lt;O$1/24,INDIRECT($R150)&gt;N$1/24),"x",""),""),"")</f>
        <v/>
      </c>
      <c r="O150" t="str" cm="1">
        <f t="array" aca="1" ref="O150" ca="1">IF(T150="Sócio",IF(COUNTIF(Opções!$H$2:$H$13,INDIRECT($P150))&gt;0,IF(AND(INDIRECT($Q150)&lt;P$1/24,INDIRECT($R150)&gt;O$1/24),"x",""),""),"")</f>
        <v/>
      </c>
      <c r="P150" t="str">
        <f t="shared" si="25"/>
        <v>$E150</v>
      </c>
      <c r="Q150" t="str">
        <f t="shared" si="2"/>
        <v>$F150</v>
      </c>
      <c r="R150" t="str">
        <f t="shared" si="3"/>
        <v>$G150</v>
      </c>
      <c r="S150" t="str">
        <f t="shared" si="26"/>
        <v>$D150</v>
      </c>
      <c r="T150" t="str" cm="1">
        <f t="array" aca="1" ref="T150" ca="1">IFERROR(VLOOKUP(INDIRECT(S150),Equipe!A:C,3,0),"")</f>
        <v/>
      </c>
    </row>
    <row r="151" spans="4:20" x14ac:dyDescent="0.3">
      <c r="D151" s="23"/>
      <c r="E151" s="23"/>
      <c r="F151" s="24"/>
      <c r="G151" s="24"/>
      <c r="H151" s="23"/>
      <c r="J151" s="21" t="str">
        <f t="shared" ca="1" si="16"/>
        <v/>
      </c>
      <c r="K151" t="str" cm="1">
        <f t="array" aca="1" ref="K151" ca="1">IF(T151="Sócio",IF(COUNTIF(Opções!$H$2:$H$13,INDIRECT($P151))&gt;0,IF(AND(INDIRECT($Q151)&lt;L$1/24,INDIRECT($R151)&gt;K$1/24),"x",""),""),"")</f>
        <v/>
      </c>
      <c r="L151" t="str" cm="1">
        <f t="array" aca="1" ref="L151" ca="1">IF(T151="Sócio",IF(COUNTIF(Opções!$H$2:$H$13,INDIRECT($P151))&gt;0,IF(AND(INDIRECT($Q151)&lt;M$1/24,INDIRECT($R151)&gt;L$1/24),"x",""),""),"")</f>
        <v/>
      </c>
      <c r="M151" t="str" cm="1">
        <f t="array" aca="1" ref="M151" ca="1">IF(T151="Sócio",IF(COUNTIF(Opções!$H$2:$H$13,INDIRECT($P151))&gt;0,IF(AND(INDIRECT($Q151)&lt;N$1/24,INDIRECT($R151)&gt;M$1/24),"x",""),""),"")</f>
        <v/>
      </c>
      <c r="N151" t="str" cm="1">
        <f t="array" aca="1" ref="N151" ca="1">IF(T151="Sócio",IF(COUNTIF(Opções!$H$2:$H$13,INDIRECT($P151))&gt;0,IF(AND(INDIRECT($Q151)&lt;O$1/24,INDIRECT($R151)&gt;N$1/24),"x",""),""),"")</f>
        <v/>
      </c>
      <c r="O151" t="str" cm="1">
        <f t="array" aca="1" ref="O151" ca="1">IF(T151="Sócio",IF(COUNTIF(Opções!$H$2:$H$13,INDIRECT($P151))&gt;0,IF(AND(INDIRECT($Q151)&lt;P$1/24,INDIRECT($R151)&gt;O$1/24),"x",""),""),"")</f>
        <v/>
      </c>
      <c r="P151" t="str">
        <f t="shared" si="25"/>
        <v>$E151</v>
      </c>
      <c r="Q151" t="str">
        <f t="shared" si="2"/>
        <v>$F151</v>
      </c>
      <c r="R151" t="str">
        <f t="shared" si="3"/>
        <v>$G151</v>
      </c>
      <c r="S151" t="str">
        <f t="shared" si="26"/>
        <v>$D151</v>
      </c>
      <c r="T151" t="str" cm="1">
        <f t="array" aca="1" ref="T151" ca="1">IFERROR(VLOOKUP(INDIRECT(S151),Equipe!A:C,3,0),"")</f>
        <v/>
      </c>
    </row>
    <row r="152" spans="4:20" x14ac:dyDescent="0.3">
      <c r="D152" s="23"/>
      <c r="E152" s="23"/>
      <c r="F152" s="24"/>
      <c r="G152" s="24"/>
      <c r="H152" s="23"/>
      <c r="J152" s="21" t="str">
        <f t="shared" ca="1" si="16"/>
        <v/>
      </c>
      <c r="K152" t="str" cm="1">
        <f t="array" aca="1" ref="K152" ca="1">IF(T152="Sócio",IF(COUNTIF(Opções!$H$2:$H$13,INDIRECT($P152))&gt;0,IF(AND(INDIRECT($Q152)&lt;L$1/24,INDIRECT($R152)&gt;K$1/24),"x",""),""),"")</f>
        <v/>
      </c>
      <c r="L152" t="str" cm="1">
        <f t="array" aca="1" ref="L152" ca="1">IF(T152="Sócio",IF(COUNTIF(Opções!$H$2:$H$13,INDIRECT($P152))&gt;0,IF(AND(INDIRECT($Q152)&lt;M$1/24,INDIRECT($R152)&gt;L$1/24),"x",""),""),"")</f>
        <v/>
      </c>
      <c r="M152" t="str" cm="1">
        <f t="array" aca="1" ref="M152" ca="1">IF(T152="Sócio",IF(COUNTIF(Opções!$H$2:$H$13,INDIRECT($P152))&gt;0,IF(AND(INDIRECT($Q152)&lt;N$1/24,INDIRECT($R152)&gt;M$1/24),"x",""),""),"")</f>
        <v/>
      </c>
      <c r="N152" t="str" cm="1">
        <f t="array" aca="1" ref="N152" ca="1">IF(T152="Sócio",IF(COUNTIF(Opções!$H$2:$H$13,INDIRECT($P152))&gt;0,IF(AND(INDIRECT($Q152)&lt;O$1/24,INDIRECT($R152)&gt;N$1/24),"x",""),""),"")</f>
        <v/>
      </c>
      <c r="O152" t="str" cm="1">
        <f t="array" aca="1" ref="O152" ca="1">IF(T152="Sócio",IF(COUNTIF(Opções!$H$2:$H$13,INDIRECT($P152))&gt;0,IF(AND(INDIRECT($Q152)&lt;P$1/24,INDIRECT($R152)&gt;O$1/24),"x",""),""),"")</f>
        <v/>
      </c>
      <c r="P152" t="str">
        <f t="shared" si="25"/>
        <v>$E152</v>
      </c>
      <c r="Q152" t="str">
        <f t="shared" si="2"/>
        <v>$F152</v>
      </c>
      <c r="R152" t="str">
        <f t="shared" si="3"/>
        <v>$G152</v>
      </c>
      <c r="S152" t="str">
        <f t="shared" si="26"/>
        <v>$D152</v>
      </c>
      <c r="T152" t="str" cm="1">
        <f t="array" aca="1" ref="T152" ca="1">IFERROR(VLOOKUP(INDIRECT(S152),Equipe!A:C,3,0),"")</f>
        <v/>
      </c>
    </row>
    <row r="153" spans="4:20" x14ac:dyDescent="0.3">
      <c r="D153" s="23"/>
      <c r="E153" s="23"/>
      <c r="F153" s="24"/>
      <c r="G153" s="24"/>
      <c r="H153" s="23"/>
      <c r="J153" s="21" t="str">
        <f t="shared" ca="1" si="16"/>
        <v/>
      </c>
      <c r="K153" t="str" cm="1">
        <f t="array" aca="1" ref="K153" ca="1">IF(T153="Sócio",IF(COUNTIF(Opções!$H$2:$H$13,INDIRECT($P153))&gt;0,IF(AND(INDIRECT($Q153)&lt;L$1/24,INDIRECT($R153)&gt;K$1/24),"x",""),""),"")</f>
        <v/>
      </c>
      <c r="L153" t="str" cm="1">
        <f t="array" aca="1" ref="L153" ca="1">IF(T153="Sócio",IF(COUNTIF(Opções!$H$2:$H$13,INDIRECT($P153))&gt;0,IF(AND(INDIRECT($Q153)&lt;M$1/24,INDIRECT($R153)&gt;L$1/24),"x",""),""),"")</f>
        <v/>
      </c>
      <c r="M153" t="str" cm="1">
        <f t="array" aca="1" ref="M153" ca="1">IF(T153="Sócio",IF(COUNTIF(Opções!$H$2:$H$13,INDIRECT($P153))&gt;0,IF(AND(INDIRECT($Q153)&lt;N$1/24,INDIRECT($R153)&gt;M$1/24),"x",""),""),"")</f>
        <v/>
      </c>
      <c r="N153" t="str" cm="1">
        <f t="array" aca="1" ref="N153" ca="1">IF(T153="Sócio",IF(COUNTIF(Opções!$H$2:$H$13,INDIRECT($P153))&gt;0,IF(AND(INDIRECT($Q153)&lt;O$1/24,INDIRECT($R153)&gt;N$1/24),"x",""),""),"")</f>
        <v/>
      </c>
      <c r="O153" t="str" cm="1">
        <f t="array" aca="1" ref="O153" ca="1">IF(T153="Sócio",IF(COUNTIF(Opções!$H$2:$H$13,INDIRECT($P153))&gt;0,IF(AND(INDIRECT($Q153)&lt;P$1/24,INDIRECT($R153)&gt;O$1/24),"x",""),""),"")</f>
        <v/>
      </c>
      <c r="P153" t="str">
        <f t="shared" si="25"/>
        <v>$E153</v>
      </c>
      <c r="Q153" t="str">
        <f t="shared" si="2"/>
        <v>$F153</v>
      </c>
      <c r="R153" t="str">
        <f t="shared" si="3"/>
        <v>$G153</v>
      </c>
      <c r="S153" t="str">
        <f t="shared" si="26"/>
        <v>$D153</v>
      </c>
      <c r="T153" t="str" cm="1">
        <f t="array" aca="1" ref="T153" ca="1">IFERROR(VLOOKUP(INDIRECT(S153),Equipe!A:C,3,0),"")</f>
        <v/>
      </c>
    </row>
    <row r="154" spans="4:20" x14ac:dyDescent="0.3">
      <c r="D154" s="23"/>
      <c r="E154" s="23"/>
      <c r="F154" s="24"/>
      <c r="G154" s="24"/>
      <c r="H154" s="23"/>
      <c r="J154" s="21" t="str">
        <f t="shared" ca="1" si="16"/>
        <v/>
      </c>
      <c r="K154" t="str" cm="1">
        <f t="array" aca="1" ref="K154" ca="1">IF(T154="Sócio",IF(COUNTIF(Opções!$H$2:$H$13,INDIRECT($P154))&gt;0,IF(AND(INDIRECT($Q154)&lt;L$1/24,INDIRECT($R154)&gt;K$1/24),"x",""),""),"")</f>
        <v/>
      </c>
      <c r="L154" t="str" cm="1">
        <f t="array" aca="1" ref="L154" ca="1">IF(T154="Sócio",IF(COUNTIF(Opções!$H$2:$H$13,INDIRECT($P154))&gt;0,IF(AND(INDIRECT($Q154)&lt;M$1/24,INDIRECT($R154)&gt;L$1/24),"x",""),""),"")</f>
        <v/>
      </c>
      <c r="M154" t="str" cm="1">
        <f t="array" aca="1" ref="M154" ca="1">IF(T154="Sócio",IF(COUNTIF(Opções!$H$2:$H$13,INDIRECT($P154))&gt;0,IF(AND(INDIRECT($Q154)&lt;N$1/24,INDIRECT($R154)&gt;M$1/24),"x",""),""),"")</f>
        <v/>
      </c>
      <c r="N154" t="str" cm="1">
        <f t="array" aca="1" ref="N154" ca="1">IF(T154="Sócio",IF(COUNTIF(Opções!$H$2:$H$13,INDIRECT($P154))&gt;0,IF(AND(INDIRECT($Q154)&lt;O$1/24,INDIRECT($R154)&gt;N$1/24),"x",""),""),"")</f>
        <v/>
      </c>
      <c r="O154" t="str" cm="1">
        <f t="array" aca="1" ref="O154" ca="1">IF(T154="Sócio",IF(COUNTIF(Opções!$H$2:$H$13,INDIRECT($P154))&gt;0,IF(AND(INDIRECT($Q154)&lt;P$1/24,INDIRECT($R154)&gt;O$1/24),"x",""),""),"")</f>
        <v/>
      </c>
      <c r="P154" t="str">
        <f t="shared" si="25"/>
        <v>$E154</v>
      </c>
      <c r="Q154" t="str">
        <f t="shared" si="2"/>
        <v>$F154</v>
      </c>
      <c r="R154" t="str">
        <f t="shared" si="3"/>
        <v>$G154</v>
      </c>
      <c r="S154" t="str">
        <f t="shared" si="26"/>
        <v>$D154</v>
      </c>
      <c r="T154" t="str" cm="1">
        <f t="array" aca="1" ref="T154" ca="1">IFERROR(VLOOKUP(INDIRECT(S154),Equipe!A:C,3,0),"")</f>
        <v/>
      </c>
    </row>
    <row r="155" spans="4:20" x14ac:dyDescent="0.3">
      <c r="D155" s="23"/>
      <c r="E155" s="23"/>
      <c r="F155" s="24"/>
      <c r="G155" s="24"/>
      <c r="H155" s="23"/>
      <c r="J155" s="21" t="str">
        <f t="shared" ca="1" si="16"/>
        <v/>
      </c>
      <c r="K155" t="str" cm="1">
        <f t="array" aca="1" ref="K155" ca="1">IF(T155="Sócio",IF(COUNTIF(Opções!$H$2:$H$13,INDIRECT($P155))&gt;0,IF(AND(INDIRECT($Q155)&lt;L$1/24,INDIRECT($R155)&gt;K$1/24),"x",""),""),"")</f>
        <v/>
      </c>
      <c r="L155" t="str" cm="1">
        <f t="array" aca="1" ref="L155" ca="1">IF(T155="Sócio",IF(COUNTIF(Opções!$H$2:$H$13,INDIRECT($P155))&gt;0,IF(AND(INDIRECT($Q155)&lt;M$1/24,INDIRECT($R155)&gt;L$1/24),"x",""),""),"")</f>
        <v/>
      </c>
      <c r="M155" t="str" cm="1">
        <f t="array" aca="1" ref="M155" ca="1">IF(T155="Sócio",IF(COUNTIF(Opções!$H$2:$H$13,INDIRECT($P155))&gt;0,IF(AND(INDIRECT($Q155)&lt;N$1/24,INDIRECT($R155)&gt;M$1/24),"x",""),""),"")</f>
        <v/>
      </c>
      <c r="N155" t="str" cm="1">
        <f t="array" aca="1" ref="N155" ca="1">IF(T155="Sócio",IF(COUNTIF(Opções!$H$2:$H$13,INDIRECT($P155))&gt;0,IF(AND(INDIRECT($Q155)&lt;O$1/24,INDIRECT($R155)&gt;N$1/24),"x",""),""),"")</f>
        <v/>
      </c>
      <c r="O155" t="str" cm="1">
        <f t="array" aca="1" ref="O155" ca="1">IF(T155="Sócio",IF(COUNTIF(Opções!$H$2:$H$13,INDIRECT($P155))&gt;0,IF(AND(INDIRECT($Q155)&lt;P$1/24,INDIRECT($R155)&gt;O$1/24),"x",""),""),"")</f>
        <v/>
      </c>
      <c r="P155" t="str">
        <f t="shared" si="25"/>
        <v>$E155</v>
      </c>
      <c r="Q155" t="str">
        <f t="shared" ref="Q155" si="29">"$F"&amp;ROW(O155)</f>
        <v>$F155</v>
      </c>
      <c r="R155" t="str">
        <f t="shared" ref="R155" si="30">"$G"&amp;ROW(Q155)</f>
        <v>$G155</v>
      </c>
      <c r="S155" t="str">
        <f t="shared" si="26"/>
        <v>$D155</v>
      </c>
      <c r="T155" t="str" cm="1">
        <f t="array" aca="1" ref="T155" ca="1">IFERROR(VLOOKUP(INDIRECT(S155),Equipe!A:C,3,0),"")</f>
        <v/>
      </c>
    </row>
    <row r="156" spans="4:20" x14ac:dyDescent="0.3">
      <c r="D156" s="23"/>
      <c r="E156" s="23"/>
      <c r="F156" s="24"/>
      <c r="G156" s="24"/>
      <c r="H156" s="23"/>
      <c r="J156" s="21" t="str">
        <f t="shared" ca="1" si="16"/>
        <v/>
      </c>
      <c r="K156" t="str" cm="1">
        <f t="array" aca="1" ref="K156" ca="1">IF(T156="Sócio",IF(COUNTIF(Opções!$H$2:$H$13,INDIRECT($P156))&gt;0,IF(AND(INDIRECT($Q156)&lt;L$1/24,INDIRECT($R156)&gt;K$1/24),"x",""),""),"")</f>
        <v/>
      </c>
      <c r="L156" t="str" cm="1">
        <f t="array" aca="1" ref="L156" ca="1">IF(T156="Sócio",IF(COUNTIF(Opções!$H$2:$H$13,INDIRECT($P156))&gt;0,IF(AND(INDIRECT($Q156)&lt;M$1/24,INDIRECT($R156)&gt;L$1/24),"x",""),""),"")</f>
        <v/>
      </c>
      <c r="M156" t="str" cm="1">
        <f t="array" aca="1" ref="M156" ca="1">IF(T156="Sócio",IF(COUNTIF(Opções!$H$2:$H$13,INDIRECT($P156))&gt;0,IF(AND(INDIRECT($Q156)&lt;N$1/24,INDIRECT($R156)&gt;M$1/24),"x",""),""),"")</f>
        <v/>
      </c>
      <c r="N156" t="str" cm="1">
        <f t="array" aca="1" ref="N156" ca="1">IF(T156="Sócio",IF(COUNTIF(Opções!$H$2:$H$13,INDIRECT($P156))&gt;0,IF(AND(INDIRECT($Q156)&lt;O$1/24,INDIRECT($R156)&gt;N$1/24),"x",""),""),"")</f>
        <v/>
      </c>
      <c r="O156" t="str" cm="1">
        <f t="array" aca="1" ref="O156" ca="1">IF(T156="Sócio",IF(COUNTIF(Opções!$H$2:$H$13,INDIRECT($P156))&gt;0,IF(AND(INDIRECT($Q156)&lt;P$1/24,INDIRECT($R156)&gt;O$1/24),"x",""),""),"")</f>
        <v/>
      </c>
      <c r="P156" t="str">
        <f t="shared" si="25"/>
        <v>$E156</v>
      </c>
      <c r="Q156" t="str">
        <f t="shared" si="2"/>
        <v>$F156</v>
      </c>
      <c r="R156" t="str">
        <f t="shared" si="3"/>
        <v>$G156</v>
      </c>
      <c r="S156" t="str">
        <f t="shared" si="26"/>
        <v>$D156</v>
      </c>
      <c r="T156" t="str" cm="1">
        <f t="array" aca="1" ref="T156" ca="1">IFERROR(VLOOKUP(INDIRECT(S156),Equipe!A:C,3,0),"")</f>
        <v/>
      </c>
    </row>
    <row r="157" spans="4:20" x14ac:dyDescent="0.3">
      <c r="D157" s="23"/>
      <c r="E157" s="23"/>
      <c r="F157" s="24"/>
      <c r="G157" s="24"/>
      <c r="H157" s="23"/>
      <c r="J157" s="21" t="str">
        <f t="shared" ca="1" si="16"/>
        <v/>
      </c>
      <c r="K157" t="str" cm="1">
        <f t="array" aca="1" ref="K157" ca="1">IF(T157="Sócio",IF(COUNTIF(Opções!$H$2:$H$13,INDIRECT($P157))&gt;0,IF(AND(INDIRECT($Q157)&lt;L$1/24,INDIRECT($R157)&gt;K$1/24),"x",""),""),"")</f>
        <v/>
      </c>
      <c r="L157" t="str" cm="1">
        <f t="array" aca="1" ref="L157" ca="1">IF(T157="Sócio",IF(COUNTIF(Opções!$H$2:$H$13,INDIRECT($P157))&gt;0,IF(AND(INDIRECT($Q157)&lt;M$1/24,INDIRECT($R157)&gt;L$1/24),"x",""),""),"")</f>
        <v/>
      </c>
      <c r="M157" t="str" cm="1">
        <f t="array" aca="1" ref="M157" ca="1">IF(T157="Sócio",IF(COUNTIF(Opções!$H$2:$H$13,INDIRECT($P157))&gt;0,IF(AND(INDIRECT($Q157)&lt;N$1/24,INDIRECT($R157)&gt;M$1/24),"x",""),""),"")</f>
        <v/>
      </c>
      <c r="N157" t="str" cm="1">
        <f t="array" aca="1" ref="N157" ca="1">IF(T157="Sócio",IF(COUNTIF(Opções!$H$2:$H$13,INDIRECT($P157))&gt;0,IF(AND(INDIRECT($Q157)&lt;O$1/24,INDIRECT($R157)&gt;N$1/24),"x",""),""),"")</f>
        <v/>
      </c>
      <c r="O157" t="str" cm="1">
        <f t="array" aca="1" ref="O157" ca="1">IF(T157="Sócio",IF(COUNTIF(Opções!$H$2:$H$13,INDIRECT($P157))&gt;0,IF(AND(INDIRECT($Q157)&lt;P$1/24,INDIRECT($R157)&gt;O$1/24),"x",""),""),"")</f>
        <v/>
      </c>
      <c r="P157" t="str">
        <f t="shared" si="25"/>
        <v>$E157</v>
      </c>
      <c r="Q157" t="str">
        <f t="shared" si="2"/>
        <v>$F157</v>
      </c>
      <c r="R157" t="str">
        <f t="shared" si="3"/>
        <v>$G157</v>
      </c>
      <c r="S157" t="str">
        <f t="shared" si="26"/>
        <v>$D157</v>
      </c>
      <c r="T157" t="str" cm="1">
        <f t="array" aca="1" ref="T157" ca="1">IFERROR(VLOOKUP(INDIRECT(S157),Equipe!A:C,3,0),"")</f>
        <v/>
      </c>
    </row>
    <row r="158" spans="4:20" x14ac:dyDescent="0.3">
      <c r="D158" s="23"/>
      <c r="E158" s="23"/>
      <c r="F158" s="24"/>
      <c r="G158" s="24"/>
      <c r="H158" s="23"/>
      <c r="J158" s="21" t="str">
        <f t="shared" ca="1" si="16"/>
        <v/>
      </c>
      <c r="K158" t="str" cm="1">
        <f t="array" aca="1" ref="K158" ca="1">IF(T158="Sócio",IF(COUNTIF(Opções!$H$2:$H$13,INDIRECT($P158))&gt;0,IF(AND(INDIRECT($Q158)&lt;L$1/24,INDIRECT($R158)&gt;K$1/24),"x",""),""),"")</f>
        <v/>
      </c>
      <c r="L158" t="str" cm="1">
        <f t="array" aca="1" ref="L158" ca="1">IF(T158="Sócio",IF(COUNTIF(Opções!$H$2:$H$13,INDIRECT($P158))&gt;0,IF(AND(INDIRECT($Q158)&lt;M$1/24,INDIRECT($R158)&gt;L$1/24),"x",""),""),"")</f>
        <v/>
      </c>
      <c r="M158" t="str" cm="1">
        <f t="array" aca="1" ref="M158" ca="1">IF(T158="Sócio",IF(COUNTIF(Opções!$H$2:$H$13,INDIRECT($P158))&gt;0,IF(AND(INDIRECT($Q158)&lt;N$1/24,INDIRECT($R158)&gt;M$1/24),"x",""),""),"")</f>
        <v/>
      </c>
      <c r="N158" t="str" cm="1">
        <f t="array" aca="1" ref="N158" ca="1">IF(T158="Sócio",IF(COUNTIF(Opções!$H$2:$H$13,INDIRECT($P158))&gt;0,IF(AND(INDIRECT($Q158)&lt;O$1/24,INDIRECT($R158)&gt;N$1/24),"x",""),""),"")</f>
        <v/>
      </c>
      <c r="O158" t="str" cm="1">
        <f t="array" aca="1" ref="O158" ca="1">IF(T158="Sócio",IF(COUNTIF(Opções!$H$2:$H$13,INDIRECT($P158))&gt;0,IF(AND(INDIRECT($Q158)&lt;P$1/24,INDIRECT($R158)&gt;O$1/24),"x",""),""),"")</f>
        <v/>
      </c>
      <c r="P158" t="str">
        <f t="shared" si="25"/>
        <v>$E158</v>
      </c>
      <c r="Q158" t="str">
        <f t="shared" si="2"/>
        <v>$F158</v>
      </c>
      <c r="R158" t="str">
        <f t="shared" si="3"/>
        <v>$G158</v>
      </c>
      <c r="S158" t="str">
        <f t="shared" si="26"/>
        <v>$D158</v>
      </c>
      <c r="T158" t="str" cm="1">
        <f t="array" aca="1" ref="T158" ca="1">IFERROR(VLOOKUP(INDIRECT(S158),Equipe!A:C,3,0),"")</f>
        <v/>
      </c>
    </row>
    <row r="159" spans="4:20" x14ac:dyDescent="0.3">
      <c r="D159" s="23"/>
      <c r="E159" s="23"/>
      <c r="F159" s="24"/>
      <c r="G159" s="24"/>
      <c r="H159" s="23"/>
      <c r="J159" s="21" t="str">
        <f t="shared" ca="1" si="16"/>
        <v/>
      </c>
      <c r="K159" t="str" cm="1">
        <f t="array" aca="1" ref="K159" ca="1">IF(T159="Sócio",IF(COUNTIF(Opções!$H$2:$H$13,INDIRECT($P159))&gt;0,IF(AND(INDIRECT($Q159)&lt;L$1/24,INDIRECT($R159)&gt;K$1/24),"x",""),""),"")</f>
        <v/>
      </c>
      <c r="L159" t="str" cm="1">
        <f t="array" aca="1" ref="L159" ca="1">IF(T159="Sócio",IF(COUNTIF(Opções!$H$2:$H$13,INDIRECT($P159))&gt;0,IF(AND(INDIRECT($Q159)&lt;M$1/24,INDIRECT($R159)&gt;L$1/24),"x",""),""),"")</f>
        <v/>
      </c>
      <c r="M159" t="str" cm="1">
        <f t="array" aca="1" ref="M159" ca="1">IF(T159="Sócio",IF(COUNTIF(Opções!$H$2:$H$13,INDIRECT($P159))&gt;0,IF(AND(INDIRECT($Q159)&lt;N$1/24,INDIRECT($R159)&gt;M$1/24),"x",""),""),"")</f>
        <v/>
      </c>
      <c r="N159" t="str" cm="1">
        <f t="array" aca="1" ref="N159" ca="1">IF(T159="Sócio",IF(COUNTIF(Opções!$H$2:$H$13,INDIRECT($P159))&gt;0,IF(AND(INDIRECT($Q159)&lt;O$1/24,INDIRECT($R159)&gt;N$1/24),"x",""),""),"")</f>
        <v/>
      </c>
      <c r="O159" t="str" cm="1">
        <f t="array" aca="1" ref="O159" ca="1">IF(T159="Sócio",IF(COUNTIF(Opções!$H$2:$H$13,INDIRECT($P159))&gt;0,IF(AND(INDIRECT($Q159)&lt;P$1/24,INDIRECT($R159)&gt;O$1/24),"x",""),""),"")</f>
        <v/>
      </c>
      <c r="P159" t="str">
        <f t="shared" si="25"/>
        <v>$E159</v>
      </c>
      <c r="Q159" t="str">
        <f t="shared" si="2"/>
        <v>$F159</v>
      </c>
      <c r="R159" t="str">
        <f t="shared" si="3"/>
        <v>$G159</v>
      </c>
      <c r="S159" t="str">
        <f t="shared" si="26"/>
        <v>$D159</v>
      </c>
      <c r="T159" t="str" cm="1">
        <f t="array" aca="1" ref="T159" ca="1">IFERROR(VLOOKUP(INDIRECT(S159),Equipe!A:C,3,0),"")</f>
        <v/>
      </c>
    </row>
    <row r="160" spans="4:20" x14ac:dyDescent="0.3">
      <c r="D160" s="23"/>
      <c r="E160" s="23"/>
      <c r="F160" s="24"/>
      <c r="G160" s="24"/>
      <c r="H160" s="23"/>
      <c r="J160" s="21" t="str">
        <f t="shared" ca="1" si="16"/>
        <v/>
      </c>
      <c r="K160" t="str" cm="1">
        <f t="array" aca="1" ref="K160" ca="1">IF(T160="Sócio",IF(COUNTIF(Opções!$H$2:$H$13,INDIRECT($P160))&gt;0,IF(AND(INDIRECT($Q160)&lt;L$1/24,INDIRECT($R160)&gt;K$1/24),"x",""),""),"")</f>
        <v/>
      </c>
      <c r="L160" t="str" cm="1">
        <f t="array" aca="1" ref="L160" ca="1">IF(T160="Sócio",IF(COUNTIF(Opções!$H$2:$H$13,INDIRECT($P160))&gt;0,IF(AND(INDIRECT($Q160)&lt;M$1/24,INDIRECT($R160)&gt;L$1/24),"x",""),""),"")</f>
        <v/>
      </c>
      <c r="M160" t="str" cm="1">
        <f t="array" aca="1" ref="M160" ca="1">IF(T160="Sócio",IF(COUNTIF(Opções!$H$2:$H$13,INDIRECT($P160))&gt;0,IF(AND(INDIRECT($Q160)&lt;N$1/24,INDIRECT($R160)&gt;M$1/24),"x",""),""),"")</f>
        <v/>
      </c>
      <c r="N160" t="str" cm="1">
        <f t="array" aca="1" ref="N160" ca="1">IF(T160="Sócio",IF(COUNTIF(Opções!$H$2:$H$13,INDIRECT($P160))&gt;0,IF(AND(INDIRECT($Q160)&lt;O$1/24,INDIRECT($R160)&gt;N$1/24),"x",""),""),"")</f>
        <v/>
      </c>
      <c r="O160" t="str" cm="1">
        <f t="array" aca="1" ref="O160" ca="1">IF(T160="Sócio",IF(COUNTIF(Opções!$H$2:$H$13,INDIRECT($P160))&gt;0,IF(AND(INDIRECT($Q160)&lt;P$1/24,INDIRECT($R160)&gt;O$1/24),"x",""),""),"")</f>
        <v/>
      </c>
      <c r="P160" t="str">
        <f t="shared" si="25"/>
        <v>$E160</v>
      </c>
      <c r="Q160" t="str">
        <f t="shared" si="2"/>
        <v>$F160</v>
      </c>
      <c r="R160" t="str">
        <f t="shared" si="3"/>
        <v>$G160</v>
      </c>
      <c r="S160" t="str">
        <f t="shared" si="26"/>
        <v>$D160</v>
      </c>
      <c r="T160" t="str" cm="1">
        <f t="array" aca="1" ref="T160" ca="1">IFERROR(VLOOKUP(INDIRECT(S160),Equipe!A:C,3,0),"")</f>
        <v/>
      </c>
    </row>
    <row r="161" spans="4:20" x14ac:dyDescent="0.3">
      <c r="D161" s="23"/>
      <c r="E161" s="23"/>
      <c r="F161" s="24"/>
      <c r="G161" s="24"/>
      <c r="H161" s="23"/>
      <c r="J161" s="21" t="str">
        <f t="shared" ref="J161:J224" ca="1" si="31">IF(K161="x",IF(COUNTIF(K:K,"x")&gt;2,"Aviso (primeiro período)",""),IF(L161="x",IF(COUNTIF(L:L,"x")&gt;1,"Aviso (segundo período)",""),IF(M161="x",IF(COUNTIF(M:M,"x")&gt;1,"Aviso (terceiro período)",""),IF(N161="x",IF(COUNTIF(N:N,"x")&gt;2,"Aviso (quarto período)",""),IF(O161="x",IF(COUNTIF(O:O,"x")&gt;5,"Aviso (quinto período)",""),"")))))</f>
        <v/>
      </c>
      <c r="K161" t="str" cm="1">
        <f t="array" aca="1" ref="K161" ca="1">IF(T161="Sócio",IF(COUNTIF(Opções!$H$2:$H$13,INDIRECT($P161))&gt;0,IF(AND(INDIRECT($Q161)&lt;L$1/24,INDIRECT($R161)&gt;K$1/24),"x",""),""),"")</f>
        <v/>
      </c>
      <c r="L161" t="str" cm="1">
        <f t="array" aca="1" ref="L161" ca="1">IF(T161="Sócio",IF(COUNTIF(Opções!$H$2:$H$13,INDIRECT($P161))&gt;0,IF(AND(INDIRECT($Q161)&lt;M$1/24,INDIRECT($R161)&gt;L$1/24),"x",""),""),"")</f>
        <v/>
      </c>
      <c r="M161" t="str" cm="1">
        <f t="array" aca="1" ref="M161" ca="1">IF(T161="Sócio",IF(COUNTIF(Opções!$H$2:$H$13,INDIRECT($P161))&gt;0,IF(AND(INDIRECT($Q161)&lt;N$1/24,INDIRECT($R161)&gt;M$1/24),"x",""),""),"")</f>
        <v/>
      </c>
      <c r="N161" t="str" cm="1">
        <f t="array" aca="1" ref="N161" ca="1">IF(T161="Sócio",IF(COUNTIF(Opções!$H$2:$H$13,INDIRECT($P161))&gt;0,IF(AND(INDIRECT($Q161)&lt;O$1/24,INDIRECT($R161)&gt;N$1/24),"x",""),""),"")</f>
        <v/>
      </c>
      <c r="O161" t="str" cm="1">
        <f t="array" aca="1" ref="O161" ca="1">IF(T161="Sócio",IF(COUNTIF(Opções!$H$2:$H$13,INDIRECT($P161))&gt;0,IF(AND(INDIRECT($Q161)&lt;P$1/24,INDIRECT($R161)&gt;O$1/24),"x",""),""),"")</f>
        <v/>
      </c>
      <c r="P161" t="str">
        <f t="shared" si="25"/>
        <v>$E161</v>
      </c>
      <c r="Q161" t="str">
        <f t="shared" si="2"/>
        <v>$F161</v>
      </c>
      <c r="R161" t="str">
        <f t="shared" si="3"/>
        <v>$G161</v>
      </c>
      <c r="S161" t="str">
        <f t="shared" si="26"/>
        <v>$D161</v>
      </c>
      <c r="T161" t="str" cm="1">
        <f t="array" aca="1" ref="T161" ca="1">IFERROR(VLOOKUP(INDIRECT(S161),Equipe!A:C,3,0),"")</f>
        <v/>
      </c>
    </row>
    <row r="162" spans="4:20" x14ac:dyDescent="0.3">
      <c r="D162" s="23"/>
      <c r="E162" s="23"/>
      <c r="F162" s="24"/>
      <c r="G162" s="24"/>
      <c r="H162" s="23"/>
      <c r="J162" s="21" t="str">
        <f t="shared" ca="1" si="31"/>
        <v/>
      </c>
      <c r="K162" t="str" cm="1">
        <f t="array" aca="1" ref="K162" ca="1">IF(T162="Sócio",IF(COUNTIF(Opções!$H$2:$H$13,INDIRECT($P162))&gt;0,IF(AND(INDIRECT($Q162)&lt;L$1/24,INDIRECT($R162)&gt;K$1/24),"x",""),""),"")</f>
        <v/>
      </c>
      <c r="L162" t="str" cm="1">
        <f t="array" aca="1" ref="L162" ca="1">IF(T162="Sócio",IF(COUNTIF(Opções!$H$2:$H$13,INDIRECT($P162))&gt;0,IF(AND(INDIRECT($Q162)&lt;M$1/24,INDIRECT($R162)&gt;L$1/24),"x",""),""),"")</f>
        <v/>
      </c>
      <c r="M162" t="str" cm="1">
        <f t="array" aca="1" ref="M162" ca="1">IF(T162="Sócio",IF(COUNTIF(Opções!$H$2:$H$13,INDIRECT($P162))&gt;0,IF(AND(INDIRECT($Q162)&lt;N$1/24,INDIRECT($R162)&gt;M$1/24),"x",""),""),"")</f>
        <v/>
      </c>
      <c r="N162" t="str" cm="1">
        <f t="array" aca="1" ref="N162" ca="1">IF(T162="Sócio",IF(COUNTIF(Opções!$H$2:$H$13,INDIRECT($P162))&gt;0,IF(AND(INDIRECT($Q162)&lt;O$1/24,INDIRECT($R162)&gt;N$1/24),"x",""),""),"")</f>
        <v/>
      </c>
      <c r="O162" t="str" cm="1">
        <f t="array" aca="1" ref="O162" ca="1">IF(T162="Sócio",IF(COUNTIF(Opções!$H$2:$H$13,INDIRECT($P162))&gt;0,IF(AND(INDIRECT($Q162)&lt;P$1/24,INDIRECT($R162)&gt;O$1/24),"x",""),""),"")</f>
        <v/>
      </c>
      <c r="P162" t="str">
        <f t="shared" si="25"/>
        <v>$E162</v>
      </c>
      <c r="Q162" t="str">
        <f t="shared" si="2"/>
        <v>$F162</v>
      </c>
      <c r="R162" t="str">
        <f t="shared" si="3"/>
        <v>$G162</v>
      </c>
      <c r="S162" t="str">
        <f t="shared" si="26"/>
        <v>$D162</v>
      </c>
      <c r="T162" t="str" cm="1">
        <f t="array" aca="1" ref="T162" ca="1">IFERROR(VLOOKUP(INDIRECT(S162),Equipe!A:C,3,0),"")</f>
        <v/>
      </c>
    </row>
    <row r="163" spans="4:20" x14ac:dyDescent="0.3">
      <c r="D163" s="23"/>
      <c r="E163" s="23"/>
      <c r="F163" s="24"/>
      <c r="G163" s="24"/>
      <c r="H163" s="23"/>
      <c r="J163" s="21" t="str">
        <f t="shared" ca="1" si="31"/>
        <v/>
      </c>
      <c r="K163" t="str" cm="1">
        <f t="array" aca="1" ref="K163" ca="1">IF(T163="Sócio",IF(COUNTIF(Opções!$H$2:$H$13,INDIRECT($P163))&gt;0,IF(AND(INDIRECT($Q163)&lt;L$1/24,INDIRECT($R163)&gt;K$1/24),"x",""),""),"")</f>
        <v/>
      </c>
      <c r="L163" t="str" cm="1">
        <f t="array" aca="1" ref="L163" ca="1">IF(T163="Sócio",IF(COUNTIF(Opções!$H$2:$H$13,INDIRECT($P163))&gt;0,IF(AND(INDIRECT($Q163)&lt;M$1/24,INDIRECT($R163)&gt;L$1/24),"x",""),""),"")</f>
        <v/>
      </c>
      <c r="M163" t="str" cm="1">
        <f t="array" aca="1" ref="M163" ca="1">IF(T163="Sócio",IF(COUNTIF(Opções!$H$2:$H$13,INDIRECT($P163))&gt;0,IF(AND(INDIRECT($Q163)&lt;N$1/24,INDIRECT($R163)&gt;M$1/24),"x",""),""),"")</f>
        <v/>
      </c>
      <c r="N163" t="str" cm="1">
        <f t="array" aca="1" ref="N163" ca="1">IF(T163="Sócio",IF(COUNTIF(Opções!$H$2:$H$13,INDIRECT($P163))&gt;0,IF(AND(INDIRECT($Q163)&lt;O$1/24,INDIRECT($R163)&gt;N$1/24),"x",""),""),"")</f>
        <v/>
      </c>
      <c r="O163" t="str" cm="1">
        <f t="array" aca="1" ref="O163" ca="1">IF(T163="Sócio",IF(COUNTIF(Opções!$H$2:$H$13,INDIRECT($P163))&gt;0,IF(AND(INDIRECT($Q163)&lt;P$1/24,INDIRECT($R163)&gt;O$1/24),"x",""),""),"")</f>
        <v/>
      </c>
      <c r="P163" t="str">
        <f t="shared" si="25"/>
        <v>$E163</v>
      </c>
      <c r="Q163" t="str">
        <f t="shared" si="2"/>
        <v>$F163</v>
      </c>
      <c r="R163" t="str">
        <f t="shared" si="3"/>
        <v>$G163</v>
      </c>
      <c r="S163" t="str">
        <f t="shared" si="26"/>
        <v>$D163</v>
      </c>
      <c r="T163" t="str" cm="1">
        <f t="array" aca="1" ref="T163" ca="1">IFERROR(VLOOKUP(INDIRECT(S163),Equipe!A:C,3,0),"")</f>
        <v/>
      </c>
    </row>
    <row r="164" spans="4:20" x14ac:dyDescent="0.3">
      <c r="D164" s="23"/>
      <c r="E164" s="23"/>
      <c r="F164" s="24"/>
      <c r="G164" s="24"/>
      <c r="H164" s="23"/>
      <c r="J164" s="21" t="str">
        <f t="shared" ca="1" si="31"/>
        <v/>
      </c>
      <c r="K164" t="str" cm="1">
        <f t="array" aca="1" ref="K164" ca="1">IF(T164="Sócio",IF(COUNTIF(Opções!$H$2:$H$13,INDIRECT($P164))&gt;0,IF(AND(INDIRECT($Q164)&lt;L$1/24,INDIRECT($R164)&gt;K$1/24),"x",""),""),"")</f>
        <v/>
      </c>
      <c r="L164" t="str" cm="1">
        <f t="array" aca="1" ref="L164" ca="1">IF(T164="Sócio",IF(COUNTIF(Opções!$H$2:$H$13,INDIRECT($P164))&gt;0,IF(AND(INDIRECT($Q164)&lt;M$1/24,INDIRECT($R164)&gt;L$1/24),"x",""),""),"")</f>
        <v/>
      </c>
      <c r="M164" t="str" cm="1">
        <f t="array" aca="1" ref="M164" ca="1">IF(T164="Sócio",IF(COUNTIF(Opções!$H$2:$H$13,INDIRECT($P164))&gt;0,IF(AND(INDIRECT($Q164)&lt;N$1/24,INDIRECT($R164)&gt;M$1/24),"x",""),""),"")</f>
        <v/>
      </c>
      <c r="N164" t="str" cm="1">
        <f t="array" aca="1" ref="N164" ca="1">IF(T164="Sócio",IF(COUNTIF(Opções!$H$2:$H$13,INDIRECT($P164))&gt;0,IF(AND(INDIRECT($Q164)&lt;O$1/24,INDIRECT($R164)&gt;N$1/24),"x",""),""),"")</f>
        <v/>
      </c>
      <c r="O164" t="str" cm="1">
        <f t="array" aca="1" ref="O164" ca="1">IF(T164="Sócio",IF(COUNTIF(Opções!$H$2:$H$13,INDIRECT($P164))&gt;0,IF(AND(INDIRECT($Q164)&lt;P$1/24,INDIRECT($R164)&gt;O$1/24),"x",""),""),"")</f>
        <v/>
      </c>
      <c r="P164" t="str">
        <f t="shared" si="25"/>
        <v>$E164</v>
      </c>
      <c r="Q164" t="str">
        <f t="shared" si="2"/>
        <v>$F164</v>
      </c>
      <c r="R164" t="str">
        <f t="shared" si="3"/>
        <v>$G164</v>
      </c>
      <c r="S164" t="str">
        <f t="shared" si="26"/>
        <v>$D164</v>
      </c>
      <c r="T164" t="str" cm="1">
        <f t="array" aca="1" ref="T164" ca="1">IFERROR(VLOOKUP(INDIRECT(S164),Equipe!A:C,3,0),"")</f>
        <v/>
      </c>
    </row>
    <row r="165" spans="4:20" x14ac:dyDescent="0.3">
      <c r="D165" s="23"/>
      <c r="E165" s="23"/>
      <c r="F165" s="24"/>
      <c r="G165" s="24"/>
      <c r="H165" s="23"/>
      <c r="J165" s="21" t="str">
        <f t="shared" ca="1" si="31"/>
        <v/>
      </c>
      <c r="K165" t="str" cm="1">
        <f t="array" aca="1" ref="K165" ca="1">IF(T165="Sócio",IF(COUNTIF(Opções!$H$2:$H$13,INDIRECT($P165))&gt;0,IF(AND(INDIRECT($Q165)&lt;L$1/24,INDIRECT($R165)&gt;K$1/24),"x",""),""),"")</f>
        <v/>
      </c>
      <c r="L165" t="str" cm="1">
        <f t="array" aca="1" ref="L165" ca="1">IF(T165="Sócio",IF(COUNTIF(Opções!$H$2:$H$13,INDIRECT($P165))&gt;0,IF(AND(INDIRECT($Q165)&lt;M$1/24,INDIRECT($R165)&gt;L$1/24),"x",""),""),"")</f>
        <v/>
      </c>
      <c r="M165" t="str" cm="1">
        <f t="array" aca="1" ref="M165" ca="1">IF(T165="Sócio",IF(COUNTIF(Opções!$H$2:$H$13,INDIRECT($P165))&gt;0,IF(AND(INDIRECT($Q165)&lt;N$1/24,INDIRECT($R165)&gt;M$1/24),"x",""),""),"")</f>
        <v/>
      </c>
      <c r="N165" t="str" cm="1">
        <f t="array" aca="1" ref="N165" ca="1">IF(T165="Sócio",IF(COUNTIF(Opções!$H$2:$H$13,INDIRECT($P165))&gt;0,IF(AND(INDIRECT($Q165)&lt;O$1/24,INDIRECT($R165)&gt;N$1/24),"x",""),""),"")</f>
        <v/>
      </c>
      <c r="O165" t="str" cm="1">
        <f t="array" aca="1" ref="O165" ca="1">IF(T165="Sócio",IF(COUNTIF(Opções!$H$2:$H$13,INDIRECT($P165))&gt;0,IF(AND(INDIRECT($Q165)&lt;P$1/24,INDIRECT($R165)&gt;O$1/24),"x",""),""),"")</f>
        <v/>
      </c>
      <c r="P165" t="str">
        <f t="shared" si="25"/>
        <v>$E165</v>
      </c>
      <c r="Q165" t="str">
        <f t="shared" si="2"/>
        <v>$F165</v>
      </c>
      <c r="R165" t="str">
        <f t="shared" si="3"/>
        <v>$G165</v>
      </c>
      <c r="S165" t="str">
        <f t="shared" si="26"/>
        <v>$D165</v>
      </c>
      <c r="T165" t="str" cm="1">
        <f t="array" aca="1" ref="T165" ca="1">IFERROR(VLOOKUP(INDIRECT(S165),Equipe!A:C,3,0),"")</f>
        <v/>
      </c>
    </row>
    <row r="166" spans="4:20" x14ac:dyDescent="0.3">
      <c r="D166" s="23"/>
      <c r="E166" s="23"/>
      <c r="F166" s="24"/>
      <c r="G166" s="24"/>
      <c r="H166" s="23"/>
      <c r="J166" s="21" t="str">
        <f t="shared" ca="1" si="31"/>
        <v/>
      </c>
      <c r="K166" t="str" cm="1">
        <f t="array" aca="1" ref="K166" ca="1">IF(T166="Sócio",IF(COUNTIF(Opções!$H$2:$H$13,INDIRECT($P166))&gt;0,IF(AND(INDIRECT($Q166)&lt;L$1/24,INDIRECT($R166)&gt;K$1/24),"x",""),""),"")</f>
        <v/>
      </c>
      <c r="L166" t="str" cm="1">
        <f t="array" aca="1" ref="L166" ca="1">IF(T166="Sócio",IF(COUNTIF(Opções!$H$2:$H$13,INDIRECT($P166))&gt;0,IF(AND(INDIRECT($Q166)&lt;M$1/24,INDIRECT($R166)&gt;L$1/24),"x",""),""),"")</f>
        <v/>
      </c>
      <c r="M166" t="str" cm="1">
        <f t="array" aca="1" ref="M166" ca="1">IF(T166="Sócio",IF(COUNTIF(Opções!$H$2:$H$13,INDIRECT($P166))&gt;0,IF(AND(INDIRECT($Q166)&lt;N$1/24,INDIRECT($R166)&gt;M$1/24),"x",""),""),"")</f>
        <v/>
      </c>
      <c r="N166" t="str" cm="1">
        <f t="array" aca="1" ref="N166" ca="1">IF(T166="Sócio",IF(COUNTIF(Opções!$H$2:$H$13,INDIRECT($P166))&gt;0,IF(AND(INDIRECT($Q166)&lt;O$1/24,INDIRECT($R166)&gt;N$1/24),"x",""),""),"")</f>
        <v/>
      </c>
      <c r="O166" t="str" cm="1">
        <f t="array" aca="1" ref="O166" ca="1">IF(T166="Sócio",IF(COUNTIF(Opções!$H$2:$H$13,INDIRECT($P166))&gt;0,IF(AND(INDIRECT($Q166)&lt;P$1/24,INDIRECT($R166)&gt;O$1/24),"x",""),""),"")</f>
        <v/>
      </c>
      <c r="P166" t="str">
        <f t="shared" si="25"/>
        <v>$E166</v>
      </c>
      <c r="Q166" t="str">
        <f t="shared" ref="Q166" si="32">"$F"&amp;ROW(O166)</f>
        <v>$F166</v>
      </c>
      <c r="R166" t="str">
        <f t="shared" ref="R166" si="33">"$G"&amp;ROW(Q166)</f>
        <v>$G166</v>
      </c>
      <c r="S166" t="str">
        <f t="shared" si="26"/>
        <v>$D166</v>
      </c>
      <c r="T166" t="str" cm="1">
        <f t="array" aca="1" ref="T166" ca="1">IFERROR(VLOOKUP(INDIRECT(S166),Equipe!A:C,3,0),"")</f>
        <v/>
      </c>
    </row>
    <row r="167" spans="4:20" x14ac:dyDescent="0.3">
      <c r="D167" s="23"/>
      <c r="E167" s="23"/>
      <c r="F167" s="24"/>
      <c r="G167" s="24"/>
      <c r="H167" s="23"/>
      <c r="J167" s="21" t="str">
        <f t="shared" ca="1" si="31"/>
        <v/>
      </c>
      <c r="K167" t="str" cm="1">
        <f t="array" aca="1" ref="K167" ca="1">IF(T167="Sócio",IF(COUNTIF(Opções!$H$2:$H$13,INDIRECT($P167))&gt;0,IF(AND(INDIRECT($Q167)&lt;L$1/24,INDIRECT($R167)&gt;K$1/24),"x",""),""),"")</f>
        <v/>
      </c>
      <c r="L167" t="str" cm="1">
        <f t="array" aca="1" ref="L167" ca="1">IF(T167="Sócio",IF(COUNTIF(Opções!$H$2:$H$13,INDIRECT($P167))&gt;0,IF(AND(INDIRECT($Q167)&lt;M$1/24,INDIRECT($R167)&gt;L$1/24),"x",""),""),"")</f>
        <v/>
      </c>
      <c r="M167" t="str" cm="1">
        <f t="array" aca="1" ref="M167" ca="1">IF(T167="Sócio",IF(COUNTIF(Opções!$H$2:$H$13,INDIRECT($P167))&gt;0,IF(AND(INDIRECT($Q167)&lt;N$1/24,INDIRECT($R167)&gt;M$1/24),"x",""),""),"")</f>
        <v/>
      </c>
      <c r="N167" t="str" cm="1">
        <f t="array" aca="1" ref="N167" ca="1">IF(T167="Sócio",IF(COUNTIF(Opções!$H$2:$H$13,INDIRECT($P167))&gt;0,IF(AND(INDIRECT($Q167)&lt;O$1/24,INDIRECT($R167)&gt;N$1/24),"x",""),""),"")</f>
        <v/>
      </c>
      <c r="O167" t="str" cm="1">
        <f t="array" aca="1" ref="O167" ca="1">IF(T167="Sócio",IF(COUNTIF(Opções!$H$2:$H$13,INDIRECT($P167))&gt;0,IF(AND(INDIRECT($Q167)&lt;P$1/24,INDIRECT($R167)&gt;O$1/24),"x",""),""),"")</f>
        <v/>
      </c>
      <c r="P167" t="str">
        <f t="shared" si="25"/>
        <v>$E167</v>
      </c>
      <c r="Q167" t="str">
        <f t="shared" si="2"/>
        <v>$F167</v>
      </c>
      <c r="R167" t="str">
        <f t="shared" si="3"/>
        <v>$G167</v>
      </c>
      <c r="S167" t="str">
        <f t="shared" si="26"/>
        <v>$D167</v>
      </c>
      <c r="T167" t="str" cm="1">
        <f t="array" aca="1" ref="T167" ca="1">IFERROR(VLOOKUP(INDIRECT(S167),Equipe!A:C,3,0),"")</f>
        <v/>
      </c>
    </row>
    <row r="168" spans="4:20" x14ac:dyDescent="0.3">
      <c r="D168" s="23"/>
      <c r="E168" s="23"/>
      <c r="F168" s="24"/>
      <c r="G168" s="24"/>
      <c r="H168" s="23"/>
      <c r="J168" s="21" t="str">
        <f t="shared" ca="1" si="31"/>
        <v/>
      </c>
      <c r="K168" t="str" cm="1">
        <f t="array" aca="1" ref="K168" ca="1">IF(T168="Sócio",IF(COUNTIF(Opções!$H$2:$H$13,INDIRECT($P168))&gt;0,IF(AND(INDIRECT($Q168)&lt;L$1/24,INDIRECT($R168)&gt;K$1/24),"x",""),""),"")</f>
        <v/>
      </c>
      <c r="L168" t="str" cm="1">
        <f t="array" aca="1" ref="L168" ca="1">IF(T168="Sócio",IF(COUNTIF(Opções!$H$2:$H$13,INDIRECT($P168))&gt;0,IF(AND(INDIRECT($Q168)&lt;M$1/24,INDIRECT($R168)&gt;L$1/24),"x",""),""),"")</f>
        <v/>
      </c>
      <c r="M168" t="str" cm="1">
        <f t="array" aca="1" ref="M168" ca="1">IF(T168="Sócio",IF(COUNTIF(Opções!$H$2:$H$13,INDIRECT($P168))&gt;0,IF(AND(INDIRECT($Q168)&lt;N$1/24,INDIRECT($R168)&gt;M$1/24),"x",""),""),"")</f>
        <v/>
      </c>
      <c r="N168" t="str" cm="1">
        <f t="array" aca="1" ref="N168" ca="1">IF(T168="Sócio",IF(COUNTIF(Opções!$H$2:$H$13,INDIRECT($P168))&gt;0,IF(AND(INDIRECT($Q168)&lt;O$1/24,INDIRECT($R168)&gt;N$1/24),"x",""),""),"")</f>
        <v/>
      </c>
      <c r="O168" t="str" cm="1">
        <f t="array" aca="1" ref="O168" ca="1">IF(T168="Sócio",IF(COUNTIF(Opções!$H$2:$H$13,INDIRECT($P168))&gt;0,IF(AND(INDIRECT($Q168)&lt;P$1/24,INDIRECT($R168)&gt;O$1/24),"x",""),""),"")</f>
        <v/>
      </c>
      <c r="P168" t="str">
        <f t="shared" si="25"/>
        <v>$E168</v>
      </c>
      <c r="Q168" t="str">
        <f t="shared" si="2"/>
        <v>$F168</v>
      </c>
      <c r="R168" t="str">
        <f t="shared" si="3"/>
        <v>$G168</v>
      </c>
      <c r="S168" t="str">
        <f t="shared" si="26"/>
        <v>$D168</v>
      </c>
      <c r="T168" t="str" cm="1">
        <f t="array" aca="1" ref="T168" ca="1">IFERROR(VLOOKUP(INDIRECT(S168),Equipe!A:C,3,0),"")</f>
        <v/>
      </c>
    </row>
    <row r="169" spans="4:20" x14ac:dyDescent="0.3">
      <c r="D169" s="23"/>
      <c r="E169" s="23"/>
      <c r="F169" s="24"/>
      <c r="G169" s="24"/>
      <c r="H169" s="23"/>
      <c r="J169" s="21" t="str">
        <f t="shared" ca="1" si="31"/>
        <v/>
      </c>
      <c r="K169" t="str" cm="1">
        <f t="array" aca="1" ref="K169" ca="1">IF(T169="Sócio",IF(COUNTIF(Opções!$H$2:$H$13,INDIRECT($P169))&gt;0,IF(AND(INDIRECT($Q169)&lt;L$1/24,INDIRECT($R169)&gt;K$1/24),"x",""),""),"")</f>
        <v/>
      </c>
      <c r="L169" t="str" cm="1">
        <f t="array" aca="1" ref="L169" ca="1">IF(T169="Sócio",IF(COUNTIF(Opções!$H$2:$H$13,INDIRECT($P169))&gt;0,IF(AND(INDIRECT($Q169)&lt;M$1/24,INDIRECT($R169)&gt;L$1/24),"x",""),""),"")</f>
        <v/>
      </c>
      <c r="M169" t="str" cm="1">
        <f t="array" aca="1" ref="M169" ca="1">IF(T169="Sócio",IF(COUNTIF(Opções!$H$2:$H$13,INDIRECT($P169))&gt;0,IF(AND(INDIRECT($Q169)&lt;N$1/24,INDIRECT($R169)&gt;M$1/24),"x",""),""),"")</f>
        <v/>
      </c>
      <c r="N169" t="str" cm="1">
        <f t="array" aca="1" ref="N169" ca="1">IF(T169="Sócio",IF(COUNTIF(Opções!$H$2:$H$13,INDIRECT($P169))&gt;0,IF(AND(INDIRECT($Q169)&lt;O$1/24,INDIRECT($R169)&gt;N$1/24),"x",""),""),"")</f>
        <v/>
      </c>
      <c r="O169" t="str" cm="1">
        <f t="array" aca="1" ref="O169" ca="1">IF(T169="Sócio",IF(COUNTIF(Opções!$H$2:$H$13,INDIRECT($P169))&gt;0,IF(AND(INDIRECT($Q169)&lt;P$1/24,INDIRECT($R169)&gt;O$1/24),"x",""),""),"")</f>
        <v/>
      </c>
      <c r="P169" t="str">
        <f t="shared" si="25"/>
        <v>$E169</v>
      </c>
      <c r="Q169" t="str">
        <f t="shared" si="2"/>
        <v>$F169</v>
      </c>
      <c r="R169" t="str">
        <f t="shared" si="3"/>
        <v>$G169</v>
      </c>
      <c r="S169" t="str">
        <f t="shared" si="26"/>
        <v>$D169</v>
      </c>
      <c r="T169" t="str" cm="1">
        <f t="array" aca="1" ref="T169" ca="1">IFERROR(VLOOKUP(INDIRECT(S169),Equipe!A:C,3,0),"")</f>
        <v/>
      </c>
    </row>
    <row r="170" spans="4:20" x14ac:dyDescent="0.3">
      <c r="D170" s="23"/>
      <c r="E170" s="23"/>
      <c r="F170" s="24"/>
      <c r="G170" s="24"/>
      <c r="H170" s="23"/>
      <c r="J170" s="21" t="str">
        <f t="shared" ca="1" si="31"/>
        <v/>
      </c>
      <c r="K170" t="str" cm="1">
        <f t="array" aca="1" ref="K170" ca="1">IF(T170="Sócio",IF(COUNTIF(Opções!$H$2:$H$13,INDIRECT($P170))&gt;0,IF(AND(INDIRECT($Q170)&lt;L$1/24,INDIRECT($R170)&gt;K$1/24),"x",""),""),"")</f>
        <v/>
      </c>
      <c r="L170" t="str" cm="1">
        <f t="array" aca="1" ref="L170" ca="1">IF(T170="Sócio",IF(COUNTIF(Opções!$H$2:$H$13,INDIRECT($P170))&gt;0,IF(AND(INDIRECT($Q170)&lt;M$1/24,INDIRECT($R170)&gt;L$1/24),"x",""),""),"")</f>
        <v/>
      </c>
      <c r="M170" t="str" cm="1">
        <f t="array" aca="1" ref="M170" ca="1">IF(T170="Sócio",IF(COUNTIF(Opções!$H$2:$H$13,INDIRECT($P170))&gt;0,IF(AND(INDIRECT($Q170)&lt;N$1/24,INDIRECT($R170)&gt;M$1/24),"x",""),""),"")</f>
        <v/>
      </c>
      <c r="N170" t="str" cm="1">
        <f t="array" aca="1" ref="N170" ca="1">IF(T170="Sócio",IF(COUNTIF(Opções!$H$2:$H$13,INDIRECT($P170))&gt;0,IF(AND(INDIRECT($Q170)&lt;O$1/24,INDIRECT($R170)&gt;N$1/24),"x",""),""),"")</f>
        <v/>
      </c>
      <c r="O170" t="str" cm="1">
        <f t="array" aca="1" ref="O170" ca="1">IF(T170="Sócio",IF(COUNTIF(Opções!$H$2:$H$13,INDIRECT($P170))&gt;0,IF(AND(INDIRECT($Q170)&lt;P$1/24,INDIRECT($R170)&gt;O$1/24),"x",""),""),"")</f>
        <v/>
      </c>
      <c r="P170" t="str">
        <f t="shared" si="25"/>
        <v>$E170</v>
      </c>
      <c r="Q170" t="str">
        <f t="shared" si="2"/>
        <v>$F170</v>
      </c>
      <c r="R170" t="str">
        <f t="shared" si="3"/>
        <v>$G170</v>
      </c>
      <c r="S170" t="str">
        <f t="shared" si="26"/>
        <v>$D170</v>
      </c>
      <c r="T170" t="str" cm="1">
        <f t="array" aca="1" ref="T170" ca="1">IFERROR(VLOOKUP(INDIRECT(S170),Equipe!A:C,3,0),"")</f>
        <v/>
      </c>
    </row>
    <row r="171" spans="4:20" x14ac:dyDescent="0.3">
      <c r="D171" s="23"/>
      <c r="E171" s="23"/>
      <c r="F171" s="24"/>
      <c r="G171" s="24"/>
      <c r="H171" s="23"/>
      <c r="J171" s="21" t="str">
        <f t="shared" ca="1" si="31"/>
        <v/>
      </c>
      <c r="K171" t="str" cm="1">
        <f t="array" aca="1" ref="K171" ca="1">IF(T171="Sócio",IF(COUNTIF(Opções!$H$2:$H$13,INDIRECT($P171))&gt;0,IF(AND(INDIRECT($Q171)&lt;L$1/24,INDIRECT($R171)&gt;K$1/24),"x",""),""),"")</f>
        <v/>
      </c>
      <c r="L171" t="str" cm="1">
        <f t="array" aca="1" ref="L171" ca="1">IF(T171="Sócio",IF(COUNTIF(Opções!$H$2:$H$13,INDIRECT($P171))&gt;0,IF(AND(INDIRECT($Q171)&lt;M$1/24,INDIRECT($R171)&gt;L$1/24),"x",""),""),"")</f>
        <v/>
      </c>
      <c r="M171" t="str" cm="1">
        <f t="array" aca="1" ref="M171" ca="1">IF(T171="Sócio",IF(COUNTIF(Opções!$H$2:$H$13,INDIRECT($P171))&gt;0,IF(AND(INDIRECT($Q171)&lt;N$1/24,INDIRECT($R171)&gt;M$1/24),"x",""),""),"")</f>
        <v/>
      </c>
      <c r="N171" t="str" cm="1">
        <f t="array" aca="1" ref="N171" ca="1">IF(T171="Sócio",IF(COUNTIF(Opções!$H$2:$H$13,INDIRECT($P171))&gt;0,IF(AND(INDIRECT($Q171)&lt;O$1/24,INDIRECT($R171)&gt;N$1/24),"x",""),""),"")</f>
        <v/>
      </c>
      <c r="O171" t="str" cm="1">
        <f t="array" aca="1" ref="O171" ca="1">IF(T171="Sócio",IF(COUNTIF(Opções!$H$2:$H$13,INDIRECT($P171))&gt;0,IF(AND(INDIRECT($Q171)&lt;P$1/24,INDIRECT($R171)&gt;O$1/24),"x",""),""),"")</f>
        <v/>
      </c>
      <c r="P171" t="str">
        <f t="shared" si="25"/>
        <v>$E171</v>
      </c>
      <c r="Q171" t="str">
        <f t="shared" ref="Q171" si="34">"$F"&amp;ROW(O171)</f>
        <v>$F171</v>
      </c>
      <c r="R171" t="str">
        <f t="shared" ref="R171" si="35">"$G"&amp;ROW(Q171)</f>
        <v>$G171</v>
      </c>
      <c r="S171" t="str">
        <f t="shared" si="26"/>
        <v>$D171</v>
      </c>
      <c r="T171" t="str" cm="1">
        <f t="array" aca="1" ref="T171" ca="1">IFERROR(VLOOKUP(INDIRECT(S171),Equipe!A:C,3,0),"")</f>
        <v/>
      </c>
    </row>
    <row r="172" spans="4:20" x14ac:dyDescent="0.3">
      <c r="D172" s="23"/>
      <c r="E172" s="23"/>
      <c r="F172" s="24"/>
      <c r="G172" s="24"/>
      <c r="H172" s="23"/>
      <c r="J172" s="21" t="str">
        <f t="shared" ca="1" si="31"/>
        <v/>
      </c>
      <c r="K172" t="str" cm="1">
        <f t="array" aca="1" ref="K172" ca="1">IF(T172="Sócio",IF(COUNTIF(Opções!$H$2:$H$13,INDIRECT($P172))&gt;0,IF(AND(INDIRECT($Q172)&lt;L$1/24,INDIRECT($R172)&gt;K$1/24),"x",""),""),"")</f>
        <v/>
      </c>
      <c r="L172" t="str" cm="1">
        <f t="array" aca="1" ref="L172" ca="1">IF(T172="Sócio",IF(COUNTIF(Opções!$H$2:$H$13,INDIRECT($P172))&gt;0,IF(AND(INDIRECT($Q172)&lt;M$1/24,INDIRECT($R172)&gt;L$1/24),"x",""),""),"")</f>
        <v/>
      </c>
      <c r="M172" t="str" cm="1">
        <f t="array" aca="1" ref="M172" ca="1">IF(T172="Sócio",IF(COUNTIF(Opções!$H$2:$H$13,INDIRECT($P172))&gt;0,IF(AND(INDIRECT($Q172)&lt;N$1/24,INDIRECT($R172)&gt;M$1/24),"x",""),""),"")</f>
        <v/>
      </c>
      <c r="N172" t="str" cm="1">
        <f t="array" aca="1" ref="N172" ca="1">IF(T172="Sócio",IF(COUNTIF(Opções!$H$2:$H$13,INDIRECT($P172))&gt;0,IF(AND(INDIRECT($Q172)&lt;O$1/24,INDIRECT($R172)&gt;N$1/24),"x",""),""),"")</f>
        <v/>
      </c>
      <c r="O172" t="str" cm="1">
        <f t="array" aca="1" ref="O172" ca="1">IF(T172="Sócio",IF(COUNTIF(Opções!$H$2:$H$13,INDIRECT($P172))&gt;0,IF(AND(INDIRECT($Q172)&lt;P$1/24,INDIRECT($R172)&gt;O$1/24),"x",""),""),"")</f>
        <v/>
      </c>
      <c r="P172" t="str">
        <f t="shared" si="25"/>
        <v>$E172</v>
      </c>
      <c r="Q172" t="str">
        <f t="shared" si="2"/>
        <v>$F172</v>
      </c>
      <c r="R172" t="str">
        <f t="shared" si="3"/>
        <v>$G172</v>
      </c>
      <c r="S172" t="str">
        <f t="shared" si="26"/>
        <v>$D172</v>
      </c>
      <c r="T172" t="str" cm="1">
        <f t="array" aca="1" ref="T172" ca="1">IFERROR(VLOOKUP(INDIRECT(S172),Equipe!A:C,3,0),"")</f>
        <v/>
      </c>
    </row>
    <row r="173" spans="4:20" x14ac:dyDescent="0.3">
      <c r="D173" s="23"/>
      <c r="E173" s="23"/>
      <c r="F173" s="24"/>
      <c r="G173" s="24"/>
      <c r="H173" s="23"/>
      <c r="J173" s="21" t="str">
        <f t="shared" ca="1" si="31"/>
        <v/>
      </c>
      <c r="K173" t="str" cm="1">
        <f t="array" aca="1" ref="K173" ca="1">IF(T173="Sócio",IF(COUNTIF(Opções!$H$2:$H$13,INDIRECT($P173))&gt;0,IF(AND(INDIRECT($Q173)&lt;L$1/24,INDIRECT($R173)&gt;K$1/24),"x",""),""),"")</f>
        <v/>
      </c>
      <c r="L173" t="str" cm="1">
        <f t="array" aca="1" ref="L173" ca="1">IF(T173="Sócio",IF(COUNTIF(Opções!$H$2:$H$13,INDIRECT($P173))&gt;0,IF(AND(INDIRECT($Q173)&lt;M$1/24,INDIRECT($R173)&gt;L$1/24),"x",""),""),"")</f>
        <v/>
      </c>
      <c r="M173" t="str" cm="1">
        <f t="array" aca="1" ref="M173" ca="1">IF(T173="Sócio",IF(COUNTIF(Opções!$H$2:$H$13,INDIRECT($P173))&gt;0,IF(AND(INDIRECT($Q173)&lt;N$1/24,INDIRECT($R173)&gt;M$1/24),"x",""),""),"")</f>
        <v/>
      </c>
      <c r="N173" t="str" cm="1">
        <f t="array" aca="1" ref="N173" ca="1">IF(T173="Sócio",IF(COUNTIF(Opções!$H$2:$H$13,INDIRECT($P173))&gt;0,IF(AND(INDIRECT($Q173)&lt;O$1/24,INDIRECT($R173)&gt;N$1/24),"x",""),""),"")</f>
        <v/>
      </c>
      <c r="O173" t="str" cm="1">
        <f t="array" aca="1" ref="O173" ca="1">IF(T173="Sócio",IF(COUNTIF(Opções!$H$2:$H$13,INDIRECT($P173))&gt;0,IF(AND(INDIRECT($Q173)&lt;P$1/24,INDIRECT($R173)&gt;O$1/24),"x",""),""),"")</f>
        <v/>
      </c>
      <c r="P173" t="str">
        <f t="shared" si="25"/>
        <v>$E173</v>
      </c>
      <c r="Q173" t="str">
        <f t="shared" si="2"/>
        <v>$F173</v>
      </c>
      <c r="R173" t="str">
        <f t="shared" si="3"/>
        <v>$G173</v>
      </c>
      <c r="S173" t="str">
        <f t="shared" si="26"/>
        <v>$D173</v>
      </c>
      <c r="T173" t="str" cm="1">
        <f t="array" aca="1" ref="T173" ca="1">IFERROR(VLOOKUP(INDIRECT(S173),Equipe!A:C,3,0),"")</f>
        <v/>
      </c>
    </row>
    <row r="174" spans="4:20" x14ac:dyDescent="0.3">
      <c r="D174" s="23"/>
      <c r="E174" s="23"/>
      <c r="F174" s="24"/>
      <c r="G174" s="24"/>
      <c r="H174" s="23"/>
      <c r="J174" s="21" t="str">
        <f t="shared" ca="1" si="31"/>
        <v/>
      </c>
      <c r="K174" t="str" cm="1">
        <f t="array" aca="1" ref="K174" ca="1">IF(T174="Sócio",IF(COUNTIF(Opções!$H$2:$H$13,INDIRECT($P174))&gt;0,IF(AND(INDIRECT($Q174)&lt;L$1/24,INDIRECT($R174)&gt;K$1/24),"x",""),""),"")</f>
        <v/>
      </c>
      <c r="L174" t="str" cm="1">
        <f t="array" aca="1" ref="L174" ca="1">IF(T174="Sócio",IF(COUNTIF(Opções!$H$2:$H$13,INDIRECT($P174))&gt;0,IF(AND(INDIRECT($Q174)&lt;M$1/24,INDIRECT($R174)&gt;L$1/24),"x",""),""),"")</f>
        <v/>
      </c>
      <c r="M174" t="str" cm="1">
        <f t="array" aca="1" ref="M174" ca="1">IF(T174="Sócio",IF(COUNTIF(Opções!$H$2:$H$13,INDIRECT($P174))&gt;0,IF(AND(INDIRECT($Q174)&lt;N$1/24,INDIRECT($R174)&gt;M$1/24),"x",""),""),"")</f>
        <v/>
      </c>
      <c r="N174" t="str" cm="1">
        <f t="array" aca="1" ref="N174" ca="1">IF(T174="Sócio",IF(COUNTIF(Opções!$H$2:$H$13,INDIRECT($P174))&gt;0,IF(AND(INDIRECT($Q174)&lt;O$1/24,INDIRECT($R174)&gt;N$1/24),"x",""),""),"")</f>
        <v/>
      </c>
      <c r="O174" t="str" cm="1">
        <f t="array" aca="1" ref="O174" ca="1">IF(T174="Sócio",IF(COUNTIF(Opções!$H$2:$H$13,INDIRECT($P174))&gt;0,IF(AND(INDIRECT($Q174)&lt;P$1/24,INDIRECT($R174)&gt;O$1/24),"x",""),""),"")</f>
        <v/>
      </c>
      <c r="P174" t="str">
        <f t="shared" si="25"/>
        <v>$E174</v>
      </c>
      <c r="Q174" t="str">
        <f t="shared" si="2"/>
        <v>$F174</v>
      </c>
      <c r="R174" t="str">
        <f t="shared" si="3"/>
        <v>$G174</v>
      </c>
      <c r="S174" t="str">
        <f t="shared" si="26"/>
        <v>$D174</v>
      </c>
      <c r="T174" t="str" cm="1">
        <f t="array" aca="1" ref="T174" ca="1">IFERROR(VLOOKUP(INDIRECT(S174),Equipe!A:C,3,0),"")</f>
        <v/>
      </c>
    </row>
    <row r="175" spans="4:20" x14ac:dyDescent="0.3">
      <c r="D175" s="23"/>
      <c r="E175" s="23"/>
      <c r="F175" s="24"/>
      <c r="G175" s="24"/>
      <c r="H175" s="23"/>
      <c r="J175" s="21" t="str">
        <f t="shared" ca="1" si="31"/>
        <v/>
      </c>
      <c r="K175" t="str" cm="1">
        <f t="array" aca="1" ref="K175" ca="1">IF(T175="Sócio",IF(COUNTIF(Opções!$H$2:$H$13,INDIRECT($P175))&gt;0,IF(AND(INDIRECT($Q175)&lt;L$1/24,INDIRECT($R175)&gt;K$1/24),"x",""),""),"")</f>
        <v/>
      </c>
      <c r="L175" t="str" cm="1">
        <f t="array" aca="1" ref="L175" ca="1">IF(T175="Sócio",IF(COUNTIF(Opções!$H$2:$H$13,INDIRECT($P175))&gt;0,IF(AND(INDIRECT($Q175)&lt;M$1/24,INDIRECT($R175)&gt;L$1/24),"x",""),""),"")</f>
        <v/>
      </c>
      <c r="M175" t="str" cm="1">
        <f t="array" aca="1" ref="M175" ca="1">IF(T175="Sócio",IF(COUNTIF(Opções!$H$2:$H$13,INDIRECT($P175))&gt;0,IF(AND(INDIRECT($Q175)&lt;N$1/24,INDIRECT($R175)&gt;M$1/24),"x",""),""),"")</f>
        <v/>
      </c>
      <c r="N175" t="str" cm="1">
        <f t="array" aca="1" ref="N175" ca="1">IF(T175="Sócio",IF(COUNTIF(Opções!$H$2:$H$13,INDIRECT($P175))&gt;0,IF(AND(INDIRECT($Q175)&lt;O$1/24,INDIRECT($R175)&gt;N$1/24),"x",""),""),"")</f>
        <v/>
      </c>
      <c r="O175" t="str" cm="1">
        <f t="array" aca="1" ref="O175" ca="1">IF(T175="Sócio",IF(COUNTIF(Opções!$H$2:$H$13,INDIRECT($P175))&gt;0,IF(AND(INDIRECT($Q175)&lt;P$1/24,INDIRECT($R175)&gt;O$1/24),"x",""),""),"")</f>
        <v/>
      </c>
      <c r="P175" t="str">
        <f t="shared" si="25"/>
        <v>$E175</v>
      </c>
      <c r="Q175" t="str">
        <f t="shared" si="2"/>
        <v>$F175</v>
      </c>
      <c r="R175" t="str">
        <f t="shared" si="3"/>
        <v>$G175</v>
      </c>
      <c r="S175" t="str">
        <f t="shared" si="26"/>
        <v>$D175</v>
      </c>
      <c r="T175" t="str" cm="1">
        <f t="array" aca="1" ref="T175" ca="1">IFERROR(VLOOKUP(INDIRECT(S175),Equipe!A:C,3,0),"")</f>
        <v/>
      </c>
    </row>
    <row r="176" spans="4:20" x14ac:dyDescent="0.3">
      <c r="D176" s="23"/>
      <c r="E176" s="23"/>
      <c r="F176" s="24"/>
      <c r="G176" s="24"/>
      <c r="H176" s="23"/>
      <c r="J176" s="21" t="str">
        <f t="shared" ca="1" si="31"/>
        <v/>
      </c>
      <c r="K176" t="str" cm="1">
        <f t="array" aca="1" ref="K176" ca="1">IF(T176="Sócio",IF(COUNTIF(Opções!$H$2:$H$13,INDIRECT($P176))&gt;0,IF(AND(INDIRECT($Q176)&lt;L$1/24,INDIRECT($R176)&gt;K$1/24),"x",""),""),"")</f>
        <v/>
      </c>
      <c r="L176" t="str" cm="1">
        <f t="array" aca="1" ref="L176" ca="1">IF(T176="Sócio",IF(COUNTIF(Opções!$H$2:$H$13,INDIRECT($P176))&gt;0,IF(AND(INDIRECT($Q176)&lt;M$1/24,INDIRECT($R176)&gt;L$1/24),"x",""),""),"")</f>
        <v/>
      </c>
      <c r="M176" t="str" cm="1">
        <f t="array" aca="1" ref="M176" ca="1">IF(T176="Sócio",IF(COUNTIF(Opções!$H$2:$H$13,INDIRECT($P176))&gt;0,IF(AND(INDIRECT($Q176)&lt;N$1/24,INDIRECT($R176)&gt;M$1/24),"x",""),""),"")</f>
        <v/>
      </c>
      <c r="N176" t="str" cm="1">
        <f t="array" aca="1" ref="N176" ca="1">IF(T176="Sócio",IF(COUNTIF(Opções!$H$2:$H$13,INDIRECT($P176))&gt;0,IF(AND(INDIRECT($Q176)&lt;O$1/24,INDIRECT($R176)&gt;N$1/24),"x",""),""),"")</f>
        <v/>
      </c>
      <c r="O176" t="str" cm="1">
        <f t="array" aca="1" ref="O176" ca="1">IF(T176="Sócio",IF(COUNTIF(Opções!$H$2:$H$13,INDIRECT($P176))&gt;0,IF(AND(INDIRECT($Q176)&lt;P$1/24,INDIRECT($R176)&gt;O$1/24),"x",""),""),"")</f>
        <v/>
      </c>
      <c r="P176" t="str">
        <f t="shared" si="25"/>
        <v>$E176</v>
      </c>
      <c r="Q176" t="str">
        <f t="shared" si="2"/>
        <v>$F176</v>
      </c>
      <c r="R176" t="str">
        <f t="shared" si="3"/>
        <v>$G176</v>
      </c>
      <c r="S176" t="str">
        <f t="shared" si="26"/>
        <v>$D176</v>
      </c>
      <c r="T176" t="str" cm="1">
        <f t="array" aca="1" ref="T176" ca="1">IFERROR(VLOOKUP(INDIRECT(S176),Equipe!A:C,3,0),"")</f>
        <v/>
      </c>
    </row>
    <row r="177" spans="4:20" x14ac:dyDescent="0.3">
      <c r="D177" s="23"/>
      <c r="E177" s="23"/>
      <c r="F177" s="24"/>
      <c r="G177" s="24"/>
      <c r="H177" s="23"/>
      <c r="J177" s="21" t="str">
        <f t="shared" ca="1" si="31"/>
        <v/>
      </c>
      <c r="K177" t="str" cm="1">
        <f t="array" aca="1" ref="K177" ca="1">IF(T177="Sócio",IF(COUNTIF(Opções!$H$2:$H$13,INDIRECT($P177))&gt;0,IF(AND(INDIRECT($Q177)&lt;L$1/24,INDIRECT($R177)&gt;K$1/24),"x",""),""),"")</f>
        <v/>
      </c>
      <c r="L177" t="str" cm="1">
        <f t="array" aca="1" ref="L177" ca="1">IF(T177="Sócio",IF(COUNTIF(Opções!$H$2:$H$13,INDIRECT($P177))&gt;0,IF(AND(INDIRECT($Q177)&lt;M$1/24,INDIRECT($R177)&gt;L$1/24),"x",""),""),"")</f>
        <v/>
      </c>
      <c r="M177" t="str" cm="1">
        <f t="array" aca="1" ref="M177" ca="1">IF(T177="Sócio",IF(COUNTIF(Opções!$H$2:$H$13,INDIRECT($P177))&gt;0,IF(AND(INDIRECT($Q177)&lt;N$1/24,INDIRECT($R177)&gt;M$1/24),"x",""),""),"")</f>
        <v/>
      </c>
      <c r="N177" t="str" cm="1">
        <f t="array" aca="1" ref="N177" ca="1">IF(T177="Sócio",IF(COUNTIF(Opções!$H$2:$H$13,INDIRECT($P177))&gt;0,IF(AND(INDIRECT($Q177)&lt;O$1/24,INDIRECT($R177)&gt;N$1/24),"x",""),""),"")</f>
        <v/>
      </c>
      <c r="O177" t="str" cm="1">
        <f t="array" aca="1" ref="O177" ca="1">IF(T177="Sócio",IF(COUNTIF(Opções!$H$2:$H$13,INDIRECT($P177))&gt;0,IF(AND(INDIRECT($Q177)&lt;P$1/24,INDIRECT($R177)&gt;O$1/24),"x",""),""),"")</f>
        <v/>
      </c>
      <c r="P177" t="str">
        <f t="shared" si="25"/>
        <v>$E177</v>
      </c>
      <c r="Q177" t="str">
        <f t="shared" si="2"/>
        <v>$F177</v>
      </c>
      <c r="R177" t="str">
        <f t="shared" si="3"/>
        <v>$G177</v>
      </c>
      <c r="S177" t="str">
        <f t="shared" si="26"/>
        <v>$D177</v>
      </c>
      <c r="T177" t="str" cm="1">
        <f t="array" aca="1" ref="T177" ca="1">IFERROR(VLOOKUP(INDIRECT(S177),Equipe!A:C,3,0),"")</f>
        <v/>
      </c>
    </row>
    <row r="178" spans="4:20" x14ac:dyDescent="0.3">
      <c r="D178" s="23"/>
      <c r="E178" s="23"/>
      <c r="F178" s="24"/>
      <c r="G178" s="24"/>
      <c r="H178" s="23"/>
      <c r="J178" s="21" t="str">
        <f t="shared" ca="1" si="31"/>
        <v/>
      </c>
      <c r="K178" t="str" cm="1">
        <f t="array" aca="1" ref="K178" ca="1">IF(T178="Sócio",IF(COUNTIF(Opções!$H$2:$H$13,INDIRECT($P178))&gt;0,IF(AND(INDIRECT($Q178)&lt;L$1/24,INDIRECT($R178)&gt;K$1/24),"x",""),""),"")</f>
        <v/>
      </c>
      <c r="L178" t="str" cm="1">
        <f t="array" aca="1" ref="L178" ca="1">IF(T178="Sócio",IF(COUNTIF(Opções!$H$2:$H$13,INDIRECT($P178))&gt;0,IF(AND(INDIRECT($Q178)&lt;M$1/24,INDIRECT($R178)&gt;L$1/24),"x",""),""),"")</f>
        <v/>
      </c>
      <c r="M178" t="str" cm="1">
        <f t="array" aca="1" ref="M178" ca="1">IF(T178="Sócio",IF(COUNTIF(Opções!$H$2:$H$13,INDIRECT($P178))&gt;0,IF(AND(INDIRECT($Q178)&lt;N$1/24,INDIRECT($R178)&gt;M$1/24),"x",""),""),"")</f>
        <v/>
      </c>
      <c r="N178" t="str" cm="1">
        <f t="array" aca="1" ref="N178" ca="1">IF(T178="Sócio",IF(COUNTIF(Opções!$H$2:$H$13,INDIRECT($P178))&gt;0,IF(AND(INDIRECT($Q178)&lt;O$1/24,INDIRECT($R178)&gt;N$1/24),"x",""),""),"")</f>
        <v/>
      </c>
      <c r="O178" t="str" cm="1">
        <f t="array" aca="1" ref="O178" ca="1">IF(T178="Sócio",IF(COUNTIF(Opções!$H$2:$H$13,INDIRECT($P178))&gt;0,IF(AND(INDIRECT($Q178)&lt;P$1/24,INDIRECT($R178)&gt;O$1/24),"x",""),""),"")</f>
        <v/>
      </c>
      <c r="P178" t="str">
        <f t="shared" si="25"/>
        <v>$E178</v>
      </c>
      <c r="Q178" t="str">
        <f t="shared" si="2"/>
        <v>$F178</v>
      </c>
      <c r="R178" t="str">
        <f t="shared" si="3"/>
        <v>$G178</v>
      </c>
      <c r="S178" t="str">
        <f t="shared" si="26"/>
        <v>$D178</v>
      </c>
      <c r="T178" t="str" cm="1">
        <f t="array" aca="1" ref="T178" ca="1">IFERROR(VLOOKUP(INDIRECT(S178),Equipe!A:C,3,0),"")</f>
        <v/>
      </c>
    </row>
    <row r="179" spans="4:20" x14ac:dyDescent="0.3">
      <c r="D179" s="23"/>
      <c r="E179" s="23"/>
      <c r="F179" s="24"/>
      <c r="G179" s="24"/>
      <c r="H179" s="23"/>
      <c r="J179" s="21" t="str">
        <f t="shared" ca="1" si="31"/>
        <v/>
      </c>
      <c r="K179" t="str" cm="1">
        <f t="array" aca="1" ref="K179" ca="1">IF(T179="Sócio",IF(COUNTIF(Opções!$H$2:$H$13,INDIRECT($P179))&gt;0,IF(AND(INDIRECT($Q179)&lt;L$1/24,INDIRECT($R179)&gt;K$1/24),"x",""),""),"")</f>
        <v/>
      </c>
      <c r="L179" t="str" cm="1">
        <f t="array" aca="1" ref="L179" ca="1">IF(T179="Sócio",IF(COUNTIF(Opções!$H$2:$H$13,INDIRECT($P179))&gt;0,IF(AND(INDIRECT($Q179)&lt;M$1/24,INDIRECT($R179)&gt;L$1/24),"x",""),""),"")</f>
        <v/>
      </c>
      <c r="M179" t="str" cm="1">
        <f t="array" aca="1" ref="M179" ca="1">IF(T179="Sócio",IF(COUNTIF(Opções!$H$2:$H$13,INDIRECT($P179))&gt;0,IF(AND(INDIRECT($Q179)&lt;N$1/24,INDIRECT($R179)&gt;M$1/24),"x",""),""),"")</f>
        <v/>
      </c>
      <c r="N179" t="str" cm="1">
        <f t="array" aca="1" ref="N179" ca="1">IF(T179="Sócio",IF(COUNTIF(Opções!$H$2:$H$13,INDIRECT($P179))&gt;0,IF(AND(INDIRECT($Q179)&lt;O$1/24,INDIRECT($R179)&gt;N$1/24),"x",""),""),"")</f>
        <v/>
      </c>
      <c r="O179" t="str" cm="1">
        <f t="array" aca="1" ref="O179" ca="1">IF(T179="Sócio",IF(COUNTIF(Opções!$H$2:$H$13,INDIRECT($P179))&gt;0,IF(AND(INDIRECT($Q179)&lt;P$1/24,INDIRECT($R179)&gt;O$1/24),"x",""),""),"")</f>
        <v/>
      </c>
      <c r="P179" t="str">
        <f t="shared" si="25"/>
        <v>$E179</v>
      </c>
      <c r="Q179" t="str">
        <f t="shared" si="2"/>
        <v>$F179</v>
      </c>
      <c r="R179" t="str">
        <f t="shared" si="3"/>
        <v>$G179</v>
      </c>
      <c r="S179" t="str">
        <f t="shared" si="26"/>
        <v>$D179</v>
      </c>
      <c r="T179" t="str" cm="1">
        <f t="array" aca="1" ref="T179" ca="1">IFERROR(VLOOKUP(INDIRECT(S179),Equipe!A:C,3,0),"")</f>
        <v/>
      </c>
    </row>
    <row r="180" spans="4:20" x14ac:dyDescent="0.3">
      <c r="D180" s="23"/>
      <c r="E180" s="23"/>
      <c r="F180" s="24"/>
      <c r="G180" s="24"/>
      <c r="H180" s="23"/>
      <c r="J180" s="21" t="str">
        <f t="shared" ca="1" si="31"/>
        <v/>
      </c>
      <c r="K180" t="str" cm="1">
        <f t="array" aca="1" ref="K180" ca="1">IF(T180="Sócio",IF(COUNTIF(Opções!$H$2:$H$13,INDIRECT($P180))&gt;0,IF(AND(INDIRECT($Q180)&lt;L$1/24,INDIRECT($R180)&gt;K$1/24),"x",""),""),"")</f>
        <v/>
      </c>
      <c r="L180" t="str" cm="1">
        <f t="array" aca="1" ref="L180" ca="1">IF(T180="Sócio",IF(COUNTIF(Opções!$H$2:$H$13,INDIRECT($P180))&gt;0,IF(AND(INDIRECT($Q180)&lt;M$1/24,INDIRECT($R180)&gt;L$1/24),"x",""),""),"")</f>
        <v/>
      </c>
      <c r="M180" t="str" cm="1">
        <f t="array" aca="1" ref="M180" ca="1">IF(T180="Sócio",IF(COUNTIF(Opções!$H$2:$H$13,INDIRECT($P180))&gt;0,IF(AND(INDIRECT($Q180)&lt;N$1/24,INDIRECT($R180)&gt;M$1/24),"x",""),""),"")</f>
        <v/>
      </c>
      <c r="N180" t="str" cm="1">
        <f t="array" aca="1" ref="N180" ca="1">IF(T180="Sócio",IF(COUNTIF(Opções!$H$2:$H$13,INDIRECT($P180))&gt;0,IF(AND(INDIRECT($Q180)&lt;O$1/24,INDIRECT($R180)&gt;N$1/24),"x",""),""),"")</f>
        <v/>
      </c>
      <c r="O180" t="str" cm="1">
        <f t="array" aca="1" ref="O180" ca="1">IF(T180="Sócio",IF(COUNTIF(Opções!$H$2:$H$13,INDIRECT($P180))&gt;0,IF(AND(INDIRECT($Q180)&lt;P$1/24,INDIRECT($R180)&gt;O$1/24),"x",""),""),"")</f>
        <v/>
      </c>
      <c r="P180" t="str">
        <f t="shared" si="25"/>
        <v>$E180</v>
      </c>
      <c r="Q180" t="str">
        <f t="shared" si="2"/>
        <v>$F180</v>
      </c>
      <c r="R180" t="str">
        <f t="shared" si="3"/>
        <v>$G180</v>
      </c>
      <c r="S180" t="str">
        <f t="shared" si="26"/>
        <v>$D180</v>
      </c>
      <c r="T180" t="str" cm="1">
        <f t="array" aca="1" ref="T180" ca="1">IFERROR(VLOOKUP(INDIRECT(S180),Equipe!A:C,3,0),"")</f>
        <v/>
      </c>
    </row>
    <row r="181" spans="4:20" x14ac:dyDescent="0.3">
      <c r="D181" s="23"/>
      <c r="E181" s="23"/>
      <c r="F181" s="24"/>
      <c r="G181" s="24"/>
      <c r="H181" s="23"/>
      <c r="J181" s="21" t="str">
        <f t="shared" ca="1" si="31"/>
        <v/>
      </c>
      <c r="K181" t="str" cm="1">
        <f t="array" aca="1" ref="K181" ca="1">IF(T181="Sócio",IF(COUNTIF(Opções!$H$2:$H$13,INDIRECT($P181))&gt;0,IF(AND(INDIRECT($Q181)&lt;L$1/24,INDIRECT($R181)&gt;K$1/24),"x",""),""),"")</f>
        <v/>
      </c>
      <c r="L181" t="str" cm="1">
        <f t="array" aca="1" ref="L181" ca="1">IF(T181="Sócio",IF(COUNTIF(Opções!$H$2:$H$13,INDIRECT($P181))&gt;0,IF(AND(INDIRECT($Q181)&lt;M$1/24,INDIRECT($R181)&gt;L$1/24),"x",""),""),"")</f>
        <v/>
      </c>
      <c r="M181" t="str" cm="1">
        <f t="array" aca="1" ref="M181" ca="1">IF(T181="Sócio",IF(COUNTIF(Opções!$H$2:$H$13,INDIRECT($P181))&gt;0,IF(AND(INDIRECT($Q181)&lt;N$1/24,INDIRECT($R181)&gt;M$1/24),"x",""),""),"")</f>
        <v/>
      </c>
      <c r="N181" t="str" cm="1">
        <f t="array" aca="1" ref="N181" ca="1">IF(T181="Sócio",IF(COUNTIF(Opções!$H$2:$H$13,INDIRECT($P181))&gt;0,IF(AND(INDIRECT($Q181)&lt;O$1/24,INDIRECT($R181)&gt;N$1/24),"x",""),""),"")</f>
        <v/>
      </c>
      <c r="O181" t="str" cm="1">
        <f t="array" aca="1" ref="O181" ca="1">IF(T181="Sócio",IF(COUNTIF(Opções!$H$2:$H$13,INDIRECT($P181))&gt;0,IF(AND(INDIRECT($Q181)&lt;P$1/24,INDIRECT($R181)&gt;O$1/24),"x",""),""),"")</f>
        <v/>
      </c>
      <c r="P181" t="str">
        <f t="shared" si="25"/>
        <v>$E181</v>
      </c>
      <c r="Q181" t="str">
        <f t="shared" si="2"/>
        <v>$F181</v>
      </c>
      <c r="R181" t="str">
        <f t="shared" si="3"/>
        <v>$G181</v>
      </c>
      <c r="S181" t="str">
        <f t="shared" si="26"/>
        <v>$D181</v>
      </c>
      <c r="T181" t="str" cm="1">
        <f t="array" aca="1" ref="T181" ca="1">IFERROR(VLOOKUP(INDIRECT(S181),Equipe!A:C,3,0),"")</f>
        <v/>
      </c>
    </row>
    <row r="182" spans="4:20" x14ac:dyDescent="0.3">
      <c r="D182" s="23"/>
      <c r="E182" s="23"/>
      <c r="F182" s="24"/>
      <c r="G182" s="24"/>
      <c r="H182" s="23"/>
      <c r="J182" s="21" t="str">
        <f t="shared" ca="1" si="31"/>
        <v/>
      </c>
      <c r="K182" t="str" cm="1">
        <f t="array" aca="1" ref="K182" ca="1">IF(T182="Sócio",IF(COUNTIF(Opções!$H$2:$H$13,INDIRECT($P182))&gt;0,IF(AND(INDIRECT($Q182)&lt;L$1/24,INDIRECT($R182)&gt;K$1/24),"x",""),""),"")</f>
        <v/>
      </c>
      <c r="L182" t="str" cm="1">
        <f t="array" aca="1" ref="L182" ca="1">IF(T182="Sócio",IF(COUNTIF(Opções!$H$2:$H$13,INDIRECT($P182))&gt;0,IF(AND(INDIRECT($Q182)&lt;M$1/24,INDIRECT($R182)&gt;L$1/24),"x",""),""),"")</f>
        <v/>
      </c>
      <c r="M182" t="str" cm="1">
        <f t="array" aca="1" ref="M182" ca="1">IF(T182="Sócio",IF(COUNTIF(Opções!$H$2:$H$13,INDIRECT($P182))&gt;0,IF(AND(INDIRECT($Q182)&lt;N$1/24,INDIRECT($R182)&gt;M$1/24),"x",""),""),"")</f>
        <v/>
      </c>
      <c r="N182" t="str" cm="1">
        <f t="array" aca="1" ref="N182" ca="1">IF(T182="Sócio",IF(COUNTIF(Opções!$H$2:$H$13,INDIRECT($P182))&gt;0,IF(AND(INDIRECT($Q182)&lt;O$1/24,INDIRECT($R182)&gt;N$1/24),"x",""),""),"")</f>
        <v/>
      </c>
      <c r="O182" t="str" cm="1">
        <f t="array" aca="1" ref="O182" ca="1">IF(T182="Sócio",IF(COUNTIF(Opções!$H$2:$H$13,INDIRECT($P182))&gt;0,IF(AND(INDIRECT($Q182)&lt;P$1/24,INDIRECT($R182)&gt;O$1/24),"x",""),""),"")</f>
        <v/>
      </c>
      <c r="P182" t="str">
        <f t="shared" si="25"/>
        <v>$E182</v>
      </c>
      <c r="Q182" t="str">
        <f t="shared" si="2"/>
        <v>$F182</v>
      </c>
      <c r="R182" t="str">
        <f t="shared" si="3"/>
        <v>$G182</v>
      </c>
      <c r="S182" t="str">
        <f t="shared" si="26"/>
        <v>$D182</v>
      </c>
      <c r="T182" t="str" cm="1">
        <f t="array" aca="1" ref="T182" ca="1">IFERROR(VLOOKUP(INDIRECT(S182),Equipe!A:C,3,0),"")</f>
        <v/>
      </c>
    </row>
    <row r="183" spans="4:20" x14ac:dyDescent="0.3">
      <c r="D183" s="23"/>
      <c r="E183" s="23"/>
      <c r="F183" s="24"/>
      <c r="G183" s="24"/>
      <c r="H183" s="23"/>
      <c r="J183" s="21" t="str">
        <f t="shared" ca="1" si="31"/>
        <v/>
      </c>
      <c r="K183" t="str" cm="1">
        <f t="array" aca="1" ref="K183" ca="1">IF(T183="Sócio",IF(COUNTIF(Opções!$H$2:$H$13,INDIRECT($P183))&gt;0,IF(AND(INDIRECT($Q183)&lt;L$1/24,INDIRECT($R183)&gt;K$1/24),"x",""),""),"")</f>
        <v/>
      </c>
      <c r="L183" t="str" cm="1">
        <f t="array" aca="1" ref="L183" ca="1">IF(T183="Sócio",IF(COUNTIF(Opções!$H$2:$H$13,INDIRECT($P183))&gt;0,IF(AND(INDIRECT($Q183)&lt;M$1/24,INDIRECT($R183)&gt;L$1/24),"x",""),""),"")</f>
        <v/>
      </c>
      <c r="M183" t="str" cm="1">
        <f t="array" aca="1" ref="M183" ca="1">IF(T183="Sócio",IF(COUNTIF(Opções!$H$2:$H$13,INDIRECT($P183))&gt;0,IF(AND(INDIRECT($Q183)&lt;N$1/24,INDIRECT($R183)&gt;M$1/24),"x",""),""),"")</f>
        <v/>
      </c>
      <c r="N183" t="str" cm="1">
        <f t="array" aca="1" ref="N183" ca="1">IF(T183="Sócio",IF(COUNTIF(Opções!$H$2:$H$13,INDIRECT($P183))&gt;0,IF(AND(INDIRECT($Q183)&lt;O$1/24,INDIRECT($R183)&gt;N$1/24),"x",""),""),"")</f>
        <v/>
      </c>
      <c r="O183" t="str" cm="1">
        <f t="array" aca="1" ref="O183" ca="1">IF(T183="Sócio",IF(COUNTIF(Opções!$H$2:$H$13,INDIRECT($P183))&gt;0,IF(AND(INDIRECT($Q183)&lt;P$1/24,INDIRECT($R183)&gt;O$1/24),"x",""),""),"")</f>
        <v/>
      </c>
      <c r="P183" t="str">
        <f t="shared" si="25"/>
        <v>$E183</v>
      </c>
      <c r="Q183" t="str">
        <f t="shared" si="2"/>
        <v>$F183</v>
      </c>
      <c r="R183" t="str">
        <f t="shared" si="3"/>
        <v>$G183</v>
      </c>
      <c r="S183" t="str">
        <f t="shared" si="26"/>
        <v>$D183</v>
      </c>
      <c r="T183" t="str" cm="1">
        <f t="array" aca="1" ref="T183" ca="1">IFERROR(VLOOKUP(INDIRECT(S183),Equipe!A:C,3,0),"")</f>
        <v/>
      </c>
    </row>
    <row r="184" spans="4:20" x14ac:dyDescent="0.3">
      <c r="D184" s="23"/>
      <c r="E184" s="23"/>
      <c r="F184" s="24"/>
      <c r="G184" s="24"/>
      <c r="H184" s="23"/>
      <c r="J184" s="21" t="str">
        <f t="shared" ca="1" si="31"/>
        <v/>
      </c>
      <c r="K184" t="str" cm="1">
        <f t="array" aca="1" ref="K184" ca="1">IF(T184="Sócio",IF(COUNTIF(Opções!$H$2:$H$13,INDIRECT($P184))&gt;0,IF(AND(INDIRECT($Q184)&lt;L$1/24,INDIRECT($R184)&gt;K$1/24),"x",""),""),"")</f>
        <v/>
      </c>
      <c r="L184" t="str" cm="1">
        <f t="array" aca="1" ref="L184" ca="1">IF(T184="Sócio",IF(COUNTIF(Opções!$H$2:$H$13,INDIRECT($P184))&gt;0,IF(AND(INDIRECT($Q184)&lt;M$1/24,INDIRECT($R184)&gt;L$1/24),"x",""),""),"")</f>
        <v/>
      </c>
      <c r="M184" t="str" cm="1">
        <f t="array" aca="1" ref="M184" ca="1">IF(T184="Sócio",IF(COUNTIF(Opções!$H$2:$H$13,INDIRECT($P184))&gt;0,IF(AND(INDIRECT($Q184)&lt;N$1/24,INDIRECT($R184)&gt;M$1/24),"x",""),""),"")</f>
        <v/>
      </c>
      <c r="N184" t="str" cm="1">
        <f t="array" aca="1" ref="N184" ca="1">IF(T184="Sócio",IF(COUNTIF(Opções!$H$2:$H$13,INDIRECT($P184))&gt;0,IF(AND(INDIRECT($Q184)&lt;O$1/24,INDIRECT($R184)&gt;N$1/24),"x",""),""),"")</f>
        <v/>
      </c>
      <c r="O184" t="str" cm="1">
        <f t="array" aca="1" ref="O184" ca="1">IF(T184="Sócio",IF(COUNTIF(Opções!$H$2:$H$13,INDIRECT($P184))&gt;0,IF(AND(INDIRECT($Q184)&lt;P$1/24,INDIRECT($R184)&gt;O$1/24),"x",""),""),"")</f>
        <v/>
      </c>
      <c r="P184" t="str">
        <f t="shared" si="25"/>
        <v>$E184</v>
      </c>
      <c r="Q184" t="str">
        <f t="shared" ref="Q184" si="36">"$F"&amp;ROW(O184)</f>
        <v>$F184</v>
      </c>
      <c r="R184" t="str">
        <f t="shared" ref="R184" si="37">"$G"&amp;ROW(Q184)</f>
        <v>$G184</v>
      </c>
      <c r="S184" t="str">
        <f t="shared" si="26"/>
        <v>$D184</v>
      </c>
      <c r="T184" t="str" cm="1">
        <f t="array" aca="1" ref="T184" ca="1">IFERROR(VLOOKUP(INDIRECT(S184),Equipe!A:C,3,0),"")</f>
        <v/>
      </c>
    </row>
    <row r="185" spans="4:20" x14ac:dyDescent="0.3">
      <c r="D185" s="23"/>
      <c r="E185" s="23"/>
      <c r="F185" s="24"/>
      <c r="G185" s="24"/>
      <c r="H185" s="23"/>
      <c r="J185" s="21" t="str">
        <f t="shared" ca="1" si="31"/>
        <v/>
      </c>
      <c r="K185" t="str" cm="1">
        <f t="array" aca="1" ref="K185" ca="1">IF(T185="Sócio",IF(COUNTIF(Opções!$H$2:$H$13,INDIRECT($P185))&gt;0,IF(AND(INDIRECT($Q185)&lt;L$1/24,INDIRECT($R185)&gt;K$1/24),"x",""),""),"")</f>
        <v/>
      </c>
      <c r="L185" t="str" cm="1">
        <f t="array" aca="1" ref="L185" ca="1">IF(T185="Sócio",IF(COUNTIF(Opções!$H$2:$H$13,INDIRECT($P185))&gt;0,IF(AND(INDIRECT($Q185)&lt;M$1/24,INDIRECT($R185)&gt;L$1/24),"x",""),""),"")</f>
        <v/>
      </c>
      <c r="M185" t="str" cm="1">
        <f t="array" aca="1" ref="M185" ca="1">IF(T185="Sócio",IF(COUNTIF(Opções!$H$2:$H$13,INDIRECT($P185))&gt;0,IF(AND(INDIRECT($Q185)&lt;N$1/24,INDIRECT($R185)&gt;M$1/24),"x",""),""),"")</f>
        <v/>
      </c>
      <c r="N185" t="str" cm="1">
        <f t="array" aca="1" ref="N185" ca="1">IF(T185="Sócio",IF(COUNTIF(Opções!$H$2:$H$13,INDIRECT($P185))&gt;0,IF(AND(INDIRECT($Q185)&lt;O$1/24,INDIRECT($R185)&gt;N$1/24),"x",""),""),"")</f>
        <v/>
      </c>
      <c r="O185" t="str" cm="1">
        <f t="array" aca="1" ref="O185" ca="1">IF(T185="Sócio",IF(COUNTIF(Opções!$H$2:$H$13,INDIRECT($P185))&gt;0,IF(AND(INDIRECT($Q185)&lt;P$1/24,INDIRECT($R185)&gt;O$1/24),"x",""),""),"")</f>
        <v/>
      </c>
      <c r="P185" t="str">
        <f t="shared" si="25"/>
        <v>$E185</v>
      </c>
      <c r="Q185" t="str">
        <f t="shared" si="2"/>
        <v>$F185</v>
      </c>
      <c r="R185" t="str">
        <f t="shared" si="3"/>
        <v>$G185</v>
      </c>
      <c r="S185" t="str">
        <f t="shared" si="26"/>
        <v>$D185</v>
      </c>
      <c r="T185" t="str" cm="1">
        <f t="array" aca="1" ref="T185" ca="1">IFERROR(VLOOKUP(INDIRECT(S185),Equipe!A:C,3,0),"")</f>
        <v/>
      </c>
    </row>
    <row r="186" spans="4:20" x14ac:dyDescent="0.3">
      <c r="D186" s="23"/>
      <c r="E186" s="23"/>
      <c r="F186" s="24"/>
      <c r="G186" s="24"/>
      <c r="H186" s="23"/>
      <c r="J186" s="21" t="str">
        <f t="shared" ca="1" si="31"/>
        <v/>
      </c>
      <c r="K186" t="str" cm="1">
        <f t="array" aca="1" ref="K186" ca="1">IF(T186="Sócio",IF(COUNTIF(Opções!$H$2:$H$13,INDIRECT($P186))&gt;0,IF(AND(INDIRECT($Q186)&lt;L$1/24,INDIRECT($R186)&gt;K$1/24),"x",""),""),"")</f>
        <v/>
      </c>
      <c r="L186" t="str" cm="1">
        <f t="array" aca="1" ref="L186" ca="1">IF(T186="Sócio",IF(COUNTIF(Opções!$H$2:$H$13,INDIRECT($P186))&gt;0,IF(AND(INDIRECT($Q186)&lt;M$1/24,INDIRECT($R186)&gt;L$1/24),"x",""),""),"")</f>
        <v/>
      </c>
      <c r="M186" t="str" cm="1">
        <f t="array" aca="1" ref="M186" ca="1">IF(T186="Sócio",IF(COUNTIF(Opções!$H$2:$H$13,INDIRECT($P186))&gt;0,IF(AND(INDIRECT($Q186)&lt;N$1/24,INDIRECT($R186)&gt;M$1/24),"x",""),""),"")</f>
        <v/>
      </c>
      <c r="N186" t="str" cm="1">
        <f t="array" aca="1" ref="N186" ca="1">IF(T186="Sócio",IF(COUNTIF(Opções!$H$2:$H$13,INDIRECT($P186))&gt;0,IF(AND(INDIRECT($Q186)&lt;O$1/24,INDIRECT($R186)&gt;N$1/24),"x",""),""),"")</f>
        <v/>
      </c>
      <c r="O186" t="str" cm="1">
        <f t="array" aca="1" ref="O186" ca="1">IF(T186="Sócio",IF(COUNTIF(Opções!$H$2:$H$13,INDIRECT($P186))&gt;0,IF(AND(INDIRECT($Q186)&lt;P$1/24,INDIRECT($R186)&gt;O$1/24),"x",""),""),"")</f>
        <v/>
      </c>
      <c r="P186" t="str">
        <f t="shared" si="25"/>
        <v>$E186</v>
      </c>
      <c r="Q186" t="str">
        <f t="shared" si="2"/>
        <v>$F186</v>
      </c>
      <c r="R186" t="str">
        <f t="shared" si="3"/>
        <v>$G186</v>
      </c>
      <c r="S186" t="str">
        <f t="shared" si="26"/>
        <v>$D186</v>
      </c>
      <c r="T186" t="str" cm="1">
        <f t="array" aca="1" ref="T186" ca="1">IFERROR(VLOOKUP(INDIRECT(S186),Equipe!A:C,3,0),"")</f>
        <v/>
      </c>
    </row>
    <row r="187" spans="4:20" x14ac:dyDescent="0.3">
      <c r="D187" s="23"/>
      <c r="E187" s="23"/>
      <c r="F187" s="24"/>
      <c r="G187" s="24"/>
      <c r="H187" s="23"/>
      <c r="J187" s="21" t="str">
        <f t="shared" ca="1" si="31"/>
        <v/>
      </c>
      <c r="K187" t="str" cm="1">
        <f t="array" aca="1" ref="K187" ca="1">IF(T187="Sócio",IF(COUNTIF(Opções!$H$2:$H$13,INDIRECT($P187))&gt;0,IF(AND(INDIRECT($Q187)&lt;L$1/24,INDIRECT($R187)&gt;K$1/24),"x",""),""),"")</f>
        <v/>
      </c>
      <c r="L187" t="str" cm="1">
        <f t="array" aca="1" ref="L187" ca="1">IF(T187="Sócio",IF(COUNTIF(Opções!$H$2:$H$13,INDIRECT($P187))&gt;0,IF(AND(INDIRECT($Q187)&lt;M$1/24,INDIRECT($R187)&gt;L$1/24),"x",""),""),"")</f>
        <v/>
      </c>
      <c r="M187" t="str" cm="1">
        <f t="array" aca="1" ref="M187" ca="1">IF(T187="Sócio",IF(COUNTIF(Opções!$H$2:$H$13,INDIRECT($P187))&gt;0,IF(AND(INDIRECT($Q187)&lt;N$1/24,INDIRECT($R187)&gt;M$1/24),"x",""),""),"")</f>
        <v/>
      </c>
      <c r="N187" t="str" cm="1">
        <f t="array" aca="1" ref="N187" ca="1">IF(T187="Sócio",IF(COUNTIF(Opções!$H$2:$H$13,INDIRECT($P187))&gt;0,IF(AND(INDIRECT($Q187)&lt;O$1/24,INDIRECT($R187)&gt;N$1/24),"x",""),""),"")</f>
        <v/>
      </c>
      <c r="O187" t="str" cm="1">
        <f t="array" aca="1" ref="O187" ca="1">IF(T187="Sócio",IF(COUNTIF(Opções!$H$2:$H$13,INDIRECT($P187))&gt;0,IF(AND(INDIRECT($Q187)&lt;P$1/24,INDIRECT($R187)&gt;O$1/24),"x",""),""),"")</f>
        <v/>
      </c>
      <c r="P187" t="str">
        <f t="shared" si="25"/>
        <v>$E187</v>
      </c>
      <c r="Q187" t="str">
        <f t="shared" si="2"/>
        <v>$F187</v>
      </c>
      <c r="R187" t="str">
        <f t="shared" si="3"/>
        <v>$G187</v>
      </c>
      <c r="S187" t="str">
        <f t="shared" si="26"/>
        <v>$D187</v>
      </c>
      <c r="T187" t="str" cm="1">
        <f t="array" aca="1" ref="T187" ca="1">IFERROR(VLOOKUP(INDIRECT(S187),Equipe!A:C,3,0),"")</f>
        <v/>
      </c>
    </row>
    <row r="188" spans="4:20" x14ac:dyDescent="0.3">
      <c r="D188" s="23"/>
      <c r="E188" s="23"/>
      <c r="F188" s="24"/>
      <c r="G188" s="24"/>
      <c r="H188" s="23"/>
      <c r="J188" s="21" t="str">
        <f t="shared" ca="1" si="31"/>
        <v/>
      </c>
      <c r="K188" t="str" cm="1">
        <f t="array" aca="1" ref="K188" ca="1">IF(T188="Sócio",IF(COUNTIF(Opções!$H$2:$H$13,INDIRECT($P188))&gt;0,IF(AND(INDIRECT($Q188)&lt;L$1/24,INDIRECT($R188)&gt;K$1/24),"x",""),""),"")</f>
        <v/>
      </c>
      <c r="L188" t="str" cm="1">
        <f t="array" aca="1" ref="L188" ca="1">IF(T188="Sócio",IF(COUNTIF(Opções!$H$2:$H$13,INDIRECT($P188))&gt;0,IF(AND(INDIRECT($Q188)&lt;M$1/24,INDIRECT($R188)&gt;L$1/24),"x",""),""),"")</f>
        <v/>
      </c>
      <c r="M188" t="str" cm="1">
        <f t="array" aca="1" ref="M188" ca="1">IF(T188="Sócio",IF(COUNTIF(Opções!$H$2:$H$13,INDIRECT($P188))&gt;0,IF(AND(INDIRECT($Q188)&lt;N$1/24,INDIRECT($R188)&gt;M$1/24),"x",""),""),"")</f>
        <v/>
      </c>
      <c r="N188" t="str" cm="1">
        <f t="array" aca="1" ref="N188" ca="1">IF(T188="Sócio",IF(COUNTIF(Opções!$H$2:$H$13,INDIRECT($P188))&gt;0,IF(AND(INDIRECT($Q188)&lt;O$1/24,INDIRECT($R188)&gt;N$1/24),"x",""),""),"")</f>
        <v/>
      </c>
      <c r="O188" t="str" cm="1">
        <f t="array" aca="1" ref="O188" ca="1">IF(T188="Sócio",IF(COUNTIF(Opções!$H$2:$H$13,INDIRECT($P188))&gt;0,IF(AND(INDIRECT($Q188)&lt;P$1/24,INDIRECT($R188)&gt;O$1/24),"x",""),""),"")</f>
        <v/>
      </c>
      <c r="P188" t="str">
        <f t="shared" si="25"/>
        <v>$E188</v>
      </c>
      <c r="Q188" t="str">
        <f t="shared" si="2"/>
        <v>$F188</v>
      </c>
      <c r="R188" t="str">
        <f t="shared" si="3"/>
        <v>$G188</v>
      </c>
      <c r="S188" t="str">
        <f t="shared" si="26"/>
        <v>$D188</v>
      </c>
      <c r="T188" t="str" cm="1">
        <f t="array" aca="1" ref="T188" ca="1">IFERROR(VLOOKUP(INDIRECT(S188),Equipe!A:C,3,0),"")</f>
        <v/>
      </c>
    </row>
    <row r="189" spans="4:20" x14ac:dyDescent="0.3">
      <c r="D189" s="23"/>
      <c r="E189" s="23"/>
      <c r="F189" s="24"/>
      <c r="G189" s="24"/>
      <c r="H189" s="23"/>
      <c r="J189" s="21" t="str">
        <f t="shared" ca="1" si="31"/>
        <v/>
      </c>
      <c r="K189" t="str" cm="1">
        <f t="array" aca="1" ref="K189" ca="1">IF(T189="Sócio",IF(COUNTIF(Opções!$H$2:$H$13,INDIRECT($P189))&gt;0,IF(AND(INDIRECT($Q189)&lt;L$1/24,INDIRECT($R189)&gt;K$1/24),"x",""),""),"")</f>
        <v/>
      </c>
      <c r="L189" t="str" cm="1">
        <f t="array" aca="1" ref="L189" ca="1">IF(T189="Sócio",IF(COUNTIF(Opções!$H$2:$H$13,INDIRECT($P189))&gt;0,IF(AND(INDIRECT($Q189)&lt;M$1/24,INDIRECT($R189)&gt;L$1/24),"x",""),""),"")</f>
        <v/>
      </c>
      <c r="M189" t="str" cm="1">
        <f t="array" aca="1" ref="M189" ca="1">IF(T189="Sócio",IF(COUNTIF(Opções!$H$2:$H$13,INDIRECT($P189))&gt;0,IF(AND(INDIRECT($Q189)&lt;N$1/24,INDIRECT($R189)&gt;M$1/24),"x",""),""),"")</f>
        <v/>
      </c>
      <c r="N189" t="str" cm="1">
        <f t="array" aca="1" ref="N189" ca="1">IF(T189="Sócio",IF(COUNTIF(Opções!$H$2:$H$13,INDIRECT($P189))&gt;0,IF(AND(INDIRECT($Q189)&lt;O$1/24,INDIRECT($R189)&gt;N$1/24),"x",""),""),"")</f>
        <v/>
      </c>
      <c r="O189" t="str" cm="1">
        <f t="array" aca="1" ref="O189" ca="1">IF(T189="Sócio",IF(COUNTIF(Opções!$H$2:$H$13,INDIRECT($P189))&gt;0,IF(AND(INDIRECT($Q189)&lt;P$1/24,INDIRECT($R189)&gt;O$1/24),"x",""),""),"")</f>
        <v/>
      </c>
      <c r="P189" t="str">
        <f t="shared" si="25"/>
        <v>$E189</v>
      </c>
      <c r="Q189" t="str">
        <f t="shared" si="2"/>
        <v>$F189</v>
      </c>
      <c r="R189" t="str">
        <f t="shared" si="3"/>
        <v>$G189</v>
      </c>
      <c r="S189" t="str">
        <f t="shared" si="26"/>
        <v>$D189</v>
      </c>
      <c r="T189" t="str" cm="1">
        <f t="array" aca="1" ref="T189" ca="1">IFERROR(VLOOKUP(INDIRECT(S189),Equipe!A:C,3,0),"")</f>
        <v/>
      </c>
    </row>
    <row r="190" spans="4:20" x14ac:dyDescent="0.3">
      <c r="D190" s="23"/>
      <c r="E190" s="23"/>
      <c r="F190" s="24"/>
      <c r="G190" s="24"/>
      <c r="H190" s="23"/>
      <c r="J190" s="21" t="str">
        <f t="shared" ca="1" si="31"/>
        <v/>
      </c>
      <c r="K190" t="str" cm="1">
        <f t="array" aca="1" ref="K190" ca="1">IF(T190="Sócio",IF(COUNTIF(Opções!$H$2:$H$13,INDIRECT($P190))&gt;0,IF(AND(INDIRECT($Q190)&lt;L$1/24,INDIRECT($R190)&gt;K$1/24),"x",""),""),"")</f>
        <v/>
      </c>
      <c r="L190" t="str" cm="1">
        <f t="array" aca="1" ref="L190" ca="1">IF(T190="Sócio",IF(COUNTIF(Opções!$H$2:$H$13,INDIRECT($P190))&gt;0,IF(AND(INDIRECT($Q190)&lt;M$1/24,INDIRECT($R190)&gt;L$1/24),"x",""),""),"")</f>
        <v/>
      </c>
      <c r="M190" t="str" cm="1">
        <f t="array" aca="1" ref="M190" ca="1">IF(T190="Sócio",IF(COUNTIF(Opções!$H$2:$H$13,INDIRECT($P190))&gt;0,IF(AND(INDIRECT($Q190)&lt;N$1/24,INDIRECT($R190)&gt;M$1/24),"x",""),""),"")</f>
        <v/>
      </c>
      <c r="N190" t="str" cm="1">
        <f t="array" aca="1" ref="N190" ca="1">IF(T190="Sócio",IF(COUNTIF(Opções!$H$2:$H$13,INDIRECT($P190))&gt;0,IF(AND(INDIRECT($Q190)&lt;O$1/24,INDIRECT($R190)&gt;N$1/24),"x",""),""),"")</f>
        <v/>
      </c>
      <c r="O190" t="str" cm="1">
        <f t="array" aca="1" ref="O190" ca="1">IF(T190="Sócio",IF(COUNTIF(Opções!$H$2:$H$13,INDIRECT($P190))&gt;0,IF(AND(INDIRECT($Q190)&lt;P$1/24,INDIRECT($R190)&gt;O$1/24),"x",""),""),"")</f>
        <v/>
      </c>
      <c r="P190" t="str">
        <f t="shared" si="25"/>
        <v>$E190</v>
      </c>
      <c r="Q190" t="str">
        <f t="shared" si="2"/>
        <v>$F190</v>
      </c>
      <c r="R190" t="str">
        <f t="shared" si="3"/>
        <v>$G190</v>
      </c>
      <c r="S190" t="str">
        <f t="shared" si="26"/>
        <v>$D190</v>
      </c>
      <c r="T190" t="str" cm="1">
        <f t="array" aca="1" ref="T190" ca="1">IFERROR(VLOOKUP(INDIRECT(S190),Equipe!A:C,3,0),"")</f>
        <v/>
      </c>
    </row>
    <row r="191" spans="4:20" x14ac:dyDescent="0.3">
      <c r="D191" s="23"/>
      <c r="E191" s="23"/>
      <c r="F191" s="24"/>
      <c r="G191" s="24"/>
      <c r="H191" s="23"/>
      <c r="J191" s="21" t="str">
        <f t="shared" ca="1" si="31"/>
        <v/>
      </c>
      <c r="K191" t="str" cm="1">
        <f t="array" aca="1" ref="K191" ca="1">IF(T191="Sócio",IF(COUNTIF(Opções!$H$2:$H$13,INDIRECT($P191))&gt;0,IF(AND(INDIRECT($Q191)&lt;L$1/24,INDIRECT($R191)&gt;K$1/24),"x",""),""),"")</f>
        <v/>
      </c>
      <c r="L191" t="str" cm="1">
        <f t="array" aca="1" ref="L191" ca="1">IF(T191="Sócio",IF(COUNTIF(Opções!$H$2:$H$13,INDIRECT($P191))&gt;0,IF(AND(INDIRECT($Q191)&lt;M$1/24,INDIRECT($R191)&gt;L$1/24),"x",""),""),"")</f>
        <v/>
      </c>
      <c r="M191" t="str" cm="1">
        <f t="array" aca="1" ref="M191" ca="1">IF(T191="Sócio",IF(COUNTIF(Opções!$H$2:$H$13,INDIRECT($P191))&gt;0,IF(AND(INDIRECT($Q191)&lt;N$1/24,INDIRECT($R191)&gt;M$1/24),"x",""),""),"")</f>
        <v/>
      </c>
      <c r="N191" t="str" cm="1">
        <f t="array" aca="1" ref="N191" ca="1">IF(T191="Sócio",IF(COUNTIF(Opções!$H$2:$H$13,INDIRECT($P191))&gt;0,IF(AND(INDIRECT($Q191)&lt;O$1/24,INDIRECT($R191)&gt;N$1/24),"x",""),""),"")</f>
        <v/>
      </c>
      <c r="O191" t="str" cm="1">
        <f t="array" aca="1" ref="O191" ca="1">IF(T191="Sócio",IF(COUNTIF(Opções!$H$2:$H$13,INDIRECT($P191))&gt;0,IF(AND(INDIRECT($Q191)&lt;P$1/24,INDIRECT($R191)&gt;O$1/24),"x",""),""),"")</f>
        <v/>
      </c>
      <c r="P191" t="str">
        <f t="shared" si="25"/>
        <v>$E191</v>
      </c>
      <c r="Q191" t="str">
        <f t="shared" si="2"/>
        <v>$F191</v>
      </c>
      <c r="R191" t="str">
        <f t="shared" si="3"/>
        <v>$G191</v>
      </c>
      <c r="S191" t="str">
        <f t="shared" si="26"/>
        <v>$D191</v>
      </c>
      <c r="T191" t="str" cm="1">
        <f t="array" aca="1" ref="T191" ca="1">IFERROR(VLOOKUP(INDIRECT(S191),Equipe!A:C,3,0),"")</f>
        <v/>
      </c>
    </row>
    <row r="192" spans="4:20" x14ac:dyDescent="0.3">
      <c r="D192" s="23"/>
      <c r="E192" s="23"/>
      <c r="F192" s="24"/>
      <c r="G192" s="24"/>
      <c r="H192" s="23"/>
      <c r="J192" s="21" t="str">
        <f t="shared" ca="1" si="31"/>
        <v/>
      </c>
      <c r="K192" t="str" cm="1">
        <f t="array" aca="1" ref="K192" ca="1">IF(T192="Sócio",IF(COUNTIF(Opções!$H$2:$H$13,INDIRECT($P192))&gt;0,IF(AND(INDIRECT($Q192)&lt;L$1/24,INDIRECT($R192)&gt;K$1/24),"x",""),""),"")</f>
        <v/>
      </c>
      <c r="L192" t="str" cm="1">
        <f t="array" aca="1" ref="L192" ca="1">IF(T192="Sócio",IF(COUNTIF(Opções!$H$2:$H$13,INDIRECT($P192))&gt;0,IF(AND(INDIRECT($Q192)&lt;M$1/24,INDIRECT($R192)&gt;L$1/24),"x",""),""),"")</f>
        <v/>
      </c>
      <c r="M192" t="str" cm="1">
        <f t="array" aca="1" ref="M192" ca="1">IF(T192="Sócio",IF(COUNTIF(Opções!$H$2:$H$13,INDIRECT($P192))&gt;0,IF(AND(INDIRECT($Q192)&lt;N$1/24,INDIRECT($R192)&gt;M$1/24),"x",""),""),"")</f>
        <v/>
      </c>
      <c r="N192" t="str" cm="1">
        <f t="array" aca="1" ref="N192" ca="1">IF(T192="Sócio",IF(COUNTIF(Opções!$H$2:$H$13,INDIRECT($P192))&gt;0,IF(AND(INDIRECT($Q192)&lt;O$1/24,INDIRECT($R192)&gt;N$1/24),"x",""),""),"")</f>
        <v/>
      </c>
      <c r="O192" t="str" cm="1">
        <f t="array" aca="1" ref="O192" ca="1">IF(T192="Sócio",IF(COUNTIF(Opções!$H$2:$H$13,INDIRECT($P192))&gt;0,IF(AND(INDIRECT($Q192)&lt;P$1/24,INDIRECT($R192)&gt;O$1/24),"x",""),""),"")</f>
        <v/>
      </c>
      <c r="P192" t="str">
        <f t="shared" si="25"/>
        <v>$E192</v>
      </c>
      <c r="Q192" t="str">
        <f t="shared" si="2"/>
        <v>$F192</v>
      </c>
      <c r="R192" t="str">
        <f t="shared" si="3"/>
        <v>$G192</v>
      </c>
      <c r="S192" t="str">
        <f t="shared" si="26"/>
        <v>$D192</v>
      </c>
      <c r="T192" t="str" cm="1">
        <f t="array" aca="1" ref="T192" ca="1">IFERROR(VLOOKUP(INDIRECT(S192),Equipe!A:C,3,0),"")</f>
        <v/>
      </c>
    </row>
    <row r="193" spans="4:20" x14ac:dyDescent="0.3">
      <c r="D193" s="23"/>
      <c r="E193" s="23"/>
      <c r="F193" s="24"/>
      <c r="G193" s="24"/>
      <c r="H193" s="23"/>
      <c r="J193" s="21" t="str">
        <f t="shared" ca="1" si="31"/>
        <v/>
      </c>
      <c r="K193" t="str" cm="1">
        <f t="array" aca="1" ref="K193" ca="1">IF(T193="Sócio",IF(COUNTIF(Opções!$H$2:$H$13,INDIRECT($P193))&gt;0,IF(AND(INDIRECT($Q193)&lt;L$1/24,INDIRECT($R193)&gt;K$1/24),"x",""),""),"")</f>
        <v/>
      </c>
      <c r="L193" t="str" cm="1">
        <f t="array" aca="1" ref="L193" ca="1">IF(T193="Sócio",IF(COUNTIF(Opções!$H$2:$H$13,INDIRECT($P193))&gt;0,IF(AND(INDIRECT($Q193)&lt;M$1/24,INDIRECT($R193)&gt;L$1/24),"x",""),""),"")</f>
        <v/>
      </c>
      <c r="M193" t="str" cm="1">
        <f t="array" aca="1" ref="M193" ca="1">IF(T193="Sócio",IF(COUNTIF(Opções!$H$2:$H$13,INDIRECT($P193))&gt;0,IF(AND(INDIRECT($Q193)&lt;N$1/24,INDIRECT($R193)&gt;M$1/24),"x",""),""),"")</f>
        <v/>
      </c>
      <c r="N193" t="str" cm="1">
        <f t="array" aca="1" ref="N193" ca="1">IF(T193="Sócio",IF(COUNTIF(Opções!$H$2:$H$13,INDIRECT($P193))&gt;0,IF(AND(INDIRECT($Q193)&lt;O$1/24,INDIRECT($R193)&gt;N$1/24),"x",""),""),"")</f>
        <v/>
      </c>
      <c r="O193" t="str" cm="1">
        <f t="array" aca="1" ref="O193" ca="1">IF(T193="Sócio",IF(COUNTIF(Opções!$H$2:$H$13,INDIRECT($P193))&gt;0,IF(AND(INDIRECT($Q193)&lt;P$1/24,INDIRECT($R193)&gt;O$1/24),"x",""),""),"")</f>
        <v/>
      </c>
      <c r="P193" t="str">
        <f t="shared" si="25"/>
        <v>$E193</v>
      </c>
      <c r="Q193" t="str">
        <f t="shared" si="2"/>
        <v>$F193</v>
      </c>
      <c r="R193" t="str">
        <f t="shared" si="3"/>
        <v>$G193</v>
      </c>
      <c r="S193" t="str">
        <f t="shared" si="26"/>
        <v>$D193</v>
      </c>
      <c r="T193" t="str" cm="1">
        <f t="array" aca="1" ref="T193" ca="1">IFERROR(VLOOKUP(INDIRECT(S193),Equipe!A:C,3,0),"")</f>
        <v/>
      </c>
    </row>
    <row r="194" spans="4:20" x14ac:dyDescent="0.3">
      <c r="D194" s="23"/>
      <c r="E194" s="23"/>
      <c r="F194" s="24"/>
      <c r="G194" s="24"/>
      <c r="H194" s="23"/>
      <c r="J194" s="21" t="str">
        <f t="shared" ca="1" si="31"/>
        <v/>
      </c>
      <c r="K194" t="str" cm="1">
        <f t="array" aca="1" ref="K194" ca="1">IF(T194="Sócio",IF(COUNTIF(Opções!$H$2:$H$13,INDIRECT($P194))&gt;0,IF(AND(INDIRECT($Q194)&lt;L$1/24,INDIRECT($R194)&gt;K$1/24),"x",""),""),"")</f>
        <v/>
      </c>
      <c r="L194" t="str" cm="1">
        <f t="array" aca="1" ref="L194" ca="1">IF(T194="Sócio",IF(COUNTIF(Opções!$H$2:$H$13,INDIRECT($P194))&gt;0,IF(AND(INDIRECT($Q194)&lt;M$1/24,INDIRECT($R194)&gt;L$1/24),"x",""),""),"")</f>
        <v/>
      </c>
      <c r="M194" t="str" cm="1">
        <f t="array" aca="1" ref="M194" ca="1">IF(T194="Sócio",IF(COUNTIF(Opções!$H$2:$H$13,INDIRECT($P194))&gt;0,IF(AND(INDIRECT($Q194)&lt;N$1/24,INDIRECT($R194)&gt;M$1/24),"x",""),""),"")</f>
        <v/>
      </c>
      <c r="N194" t="str" cm="1">
        <f t="array" aca="1" ref="N194" ca="1">IF(T194="Sócio",IF(COUNTIF(Opções!$H$2:$H$13,INDIRECT($P194))&gt;0,IF(AND(INDIRECT($Q194)&lt;O$1/24,INDIRECT($R194)&gt;N$1/24),"x",""),""),"")</f>
        <v/>
      </c>
      <c r="O194" t="str" cm="1">
        <f t="array" aca="1" ref="O194" ca="1">IF(T194="Sócio",IF(COUNTIF(Opções!$H$2:$H$13,INDIRECT($P194))&gt;0,IF(AND(INDIRECT($Q194)&lt;P$1/24,INDIRECT($R194)&gt;O$1/24),"x",""),""),"")</f>
        <v/>
      </c>
      <c r="P194" t="str">
        <f t="shared" si="25"/>
        <v>$E194</v>
      </c>
      <c r="Q194" t="str">
        <f t="shared" ref="Q194" si="38">"$F"&amp;ROW(O194)</f>
        <v>$F194</v>
      </c>
      <c r="R194" t="str">
        <f t="shared" ref="R194" si="39">"$G"&amp;ROW(Q194)</f>
        <v>$G194</v>
      </c>
      <c r="S194" t="str">
        <f t="shared" si="26"/>
        <v>$D194</v>
      </c>
      <c r="T194" t="str" cm="1">
        <f t="array" aca="1" ref="T194" ca="1">IFERROR(VLOOKUP(INDIRECT(S194),Equipe!A:C,3,0),"")</f>
        <v/>
      </c>
    </row>
    <row r="195" spans="4:20" x14ac:dyDescent="0.3">
      <c r="D195" s="23"/>
      <c r="E195" s="23"/>
      <c r="F195" s="24"/>
      <c r="G195" s="24"/>
      <c r="H195" s="23"/>
      <c r="J195" s="21" t="str">
        <f t="shared" ca="1" si="31"/>
        <v/>
      </c>
      <c r="K195" t="str" cm="1">
        <f t="array" aca="1" ref="K195" ca="1">IF(T195="Sócio",IF(COUNTIF(Opções!$H$2:$H$13,INDIRECT($P195))&gt;0,IF(AND(INDIRECT($Q195)&lt;L$1/24,INDIRECT($R195)&gt;K$1/24),"x",""),""),"")</f>
        <v/>
      </c>
      <c r="L195" t="str" cm="1">
        <f t="array" aca="1" ref="L195" ca="1">IF(T195="Sócio",IF(COUNTIF(Opções!$H$2:$H$13,INDIRECT($P195))&gt;0,IF(AND(INDIRECT($Q195)&lt;M$1/24,INDIRECT($R195)&gt;L$1/24),"x",""),""),"")</f>
        <v/>
      </c>
      <c r="M195" t="str" cm="1">
        <f t="array" aca="1" ref="M195" ca="1">IF(T195="Sócio",IF(COUNTIF(Opções!$H$2:$H$13,INDIRECT($P195))&gt;0,IF(AND(INDIRECT($Q195)&lt;N$1/24,INDIRECT($R195)&gt;M$1/24),"x",""),""),"")</f>
        <v/>
      </c>
      <c r="N195" t="str" cm="1">
        <f t="array" aca="1" ref="N195" ca="1">IF(T195="Sócio",IF(COUNTIF(Opções!$H$2:$H$13,INDIRECT($P195))&gt;0,IF(AND(INDIRECT($Q195)&lt;O$1/24,INDIRECT($R195)&gt;N$1/24),"x",""),""),"")</f>
        <v/>
      </c>
      <c r="O195" t="str" cm="1">
        <f t="array" aca="1" ref="O195" ca="1">IF(T195="Sócio",IF(COUNTIF(Opções!$H$2:$H$13,INDIRECT($P195))&gt;0,IF(AND(INDIRECT($Q195)&lt;P$1/24,INDIRECT($R195)&gt;O$1/24),"x",""),""),"")</f>
        <v/>
      </c>
      <c r="P195" t="str">
        <f t="shared" si="25"/>
        <v>$E195</v>
      </c>
      <c r="Q195" t="str">
        <f t="shared" si="2"/>
        <v>$F195</v>
      </c>
      <c r="R195" t="str">
        <f t="shared" si="3"/>
        <v>$G195</v>
      </c>
      <c r="S195" t="str">
        <f t="shared" si="26"/>
        <v>$D195</v>
      </c>
      <c r="T195" t="str" cm="1">
        <f t="array" aca="1" ref="T195" ca="1">IFERROR(VLOOKUP(INDIRECT(S195),Equipe!A:C,3,0),"")</f>
        <v/>
      </c>
    </row>
    <row r="196" spans="4:20" x14ac:dyDescent="0.3">
      <c r="D196" s="23"/>
      <c r="E196" s="23"/>
      <c r="F196" s="24"/>
      <c r="G196" s="24"/>
      <c r="H196" s="23"/>
      <c r="J196" s="21" t="str">
        <f t="shared" ca="1" si="31"/>
        <v/>
      </c>
      <c r="K196" t="str" cm="1">
        <f t="array" aca="1" ref="K196" ca="1">IF(T196="Sócio",IF(COUNTIF(Opções!$H$2:$H$13,INDIRECT($P196))&gt;0,IF(AND(INDIRECT($Q196)&lt;L$1/24,INDIRECT($R196)&gt;K$1/24),"x",""),""),"")</f>
        <v/>
      </c>
      <c r="L196" t="str" cm="1">
        <f t="array" aca="1" ref="L196" ca="1">IF(T196="Sócio",IF(COUNTIF(Opções!$H$2:$H$13,INDIRECT($P196))&gt;0,IF(AND(INDIRECT($Q196)&lt;M$1/24,INDIRECT($R196)&gt;L$1/24),"x",""),""),"")</f>
        <v/>
      </c>
      <c r="M196" t="str" cm="1">
        <f t="array" aca="1" ref="M196" ca="1">IF(T196="Sócio",IF(COUNTIF(Opções!$H$2:$H$13,INDIRECT($P196))&gt;0,IF(AND(INDIRECT($Q196)&lt;N$1/24,INDIRECT($R196)&gt;M$1/24),"x",""),""),"")</f>
        <v/>
      </c>
      <c r="N196" t="str" cm="1">
        <f t="array" aca="1" ref="N196" ca="1">IF(T196="Sócio",IF(COUNTIF(Opções!$H$2:$H$13,INDIRECT($P196))&gt;0,IF(AND(INDIRECT($Q196)&lt;O$1/24,INDIRECT($R196)&gt;N$1/24),"x",""),""),"")</f>
        <v/>
      </c>
      <c r="O196" t="str" cm="1">
        <f t="array" aca="1" ref="O196" ca="1">IF(T196="Sócio",IF(COUNTIF(Opções!$H$2:$H$13,INDIRECT($P196))&gt;0,IF(AND(INDIRECT($Q196)&lt;P$1/24,INDIRECT($R196)&gt;O$1/24),"x",""),""),"")</f>
        <v/>
      </c>
      <c r="P196" t="str">
        <f t="shared" si="25"/>
        <v>$E196</v>
      </c>
      <c r="Q196" t="str">
        <f t="shared" si="2"/>
        <v>$F196</v>
      </c>
      <c r="R196" t="str">
        <f t="shared" si="3"/>
        <v>$G196</v>
      </c>
      <c r="S196" t="str">
        <f t="shared" si="26"/>
        <v>$D196</v>
      </c>
      <c r="T196" t="str" cm="1">
        <f t="array" aca="1" ref="T196" ca="1">IFERROR(VLOOKUP(INDIRECT(S196),Equipe!A:C,3,0),"")</f>
        <v/>
      </c>
    </row>
    <row r="197" spans="4:20" x14ac:dyDescent="0.3">
      <c r="D197" s="23"/>
      <c r="E197" s="23"/>
      <c r="F197" s="24"/>
      <c r="G197" s="24"/>
      <c r="H197" s="23"/>
      <c r="J197" s="21" t="str">
        <f t="shared" ca="1" si="31"/>
        <v/>
      </c>
      <c r="K197" t="str" cm="1">
        <f t="array" aca="1" ref="K197" ca="1">IF(T197="Sócio",IF(COUNTIF(Opções!$H$2:$H$13,INDIRECT($P197))&gt;0,IF(AND(INDIRECT($Q197)&lt;L$1/24,INDIRECT($R197)&gt;K$1/24),"x",""),""),"")</f>
        <v/>
      </c>
      <c r="L197" t="str" cm="1">
        <f t="array" aca="1" ref="L197" ca="1">IF(T197="Sócio",IF(COUNTIF(Opções!$H$2:$H$13,INDIRECT($P197))&gt;0,IF(AND(INDIRECT($Q197)&lt;M$1/24,INDIRECT($R197)&gt;L$1/24),"x",""),""),"")</f>
        <v/>
      </c>
      <c r="M197" t="str" cm="1">
        <f t="array" aca="1" ref="M197" ca="1">IF(T197="Sócio",IF(COUNTIF(Opções!$H$2:$H$13,INDIRECT($P197))&gt;0,IF(AND(INDIRECT($Q197)&lt;N$1/24,INDIRECT($R197)&gt;M$1/24),"x",""),""),"")</f>
        <v/>
      </c>
      <c r="N197" t="str" cm="1">
        <f t="array" aca="1" ref="N197" ca="1">IF(T197="Sócio",IF(COUNTIF(Opções!$H$2:$H$13,INDIRECT($P197))&gt;0,IF(AND(INDIRECT($Q197)&lt;O$1/24,INDIRECT($R197)&gt;N$1/24),"x",""),""),"")</f>
        <v/>
      </c>
      <c r="O197" t="str" cm="1">
        <f t="array" aca="1" ref="O197" ca="1">IF(T197="Sócio",IF(COUNTIF(Opções!$H$2:$H$13,INDIRECT($P197))&gt;0,IF(AND(INDIRECT($Q197)&lt;P$1/24,INDIRECT($R197)&gt;O$1/24),"x",""),""),"")</f>
        <v/>
      </c>
      <c r="P197" t="str">
        <f t="shared" si="25"/>
        <v>$E197</v>
      </c>
      <c r="Q197" t="str">
        <f t="shared" si="2"/>
        <v>$F197</v>
      </c>
      <c r="R197" t="str">
        <f t="shared" si="3"/>
        <v>$G197</v>
      </c>
      <c r="S197" t="str">
        <f t="shared" si="26"/>
        <v>$D197</v>
      </c>
      <c r="T197" t="str" cm="1">
        <f t="array" aca="1" ref="T197" ca="1">IFERROR(VLOOKUP(INDIRECT(S197),Equipe!A:C,3,0),"")</f>
        <v/>
      </c>
    </row>
    <row r="198" spans="4:20" x14ac:dyDescent="0.3">
      <c r="D198" s="23"/>
      <c r="E198" s="23"/>
      <c r="F198" s="24"/>
      <c r="G198" s="24"/>
      <c r="H198" s="23"/>
      <c r="J198" s="21" t="str">
        <f t="shared" ca="1" si="31"/>
        <v/>
      </c>
      <c r="K198" t="str" cm="1">
        <f t="array" aca="1" ref="K198" ca="1">IF(T198="Sócio",IF(COUNTIF(Opções!$H$2:$H$13,INDIRECT($P198))&gt;0,IF(AND(INDIRECT($Q198)&lt;L$1/24,INDIRECT($R198)&gt;K$1/24),"x",""),""),"")</f>
        <v/>
      </c>
      <c r="L198" t="str" cm="1">
        <f t="array" aca="1" ref="L198" ca="1">IF(T198="Sócio",IF(COUNTIF(Opções!$H$2:$H$13,INDIRECT($P198))&gt;0,IF(AND(INDIRECT($Q198)&lt;M$1/24,INDIRECT($R198)&gt;L$1/24),"x",""),""),"")</f>
        <v/>
      </c>
      <c r="M198" t="str" cm="1">
        <f t="array" aca="1" ref="M198" ca="1">IF(T198="Sócio",IF(COUNTIF(Opções!$H$2:$H$13,INDIRECT($P198))&gt;0,IF(AND(INDIRECT($Q198)&lt;N$1/24,INDIRECT($R198)&gt;M$1/24),"x",""),""),"")</f>
        <v/>
      </c>
      <c r="N198" t="str" cm="1">
        <f t="array" aca="1" ref="N198" ca="1">IF(T198="Sócio",IF(COUNTIF(Opções!$H$2:$H$13,INDIRECT($P198))&gt;0,IF(AND(INDIRECT($Q198)&lt;O$1/24,INDIRECT($R198)&gt;N$1/24),"x",""),""),"")</f>
        <v/>
      </c>
      <c r="O198" t="str" cm="1">
        <f t="array" aca="1" ref="O198" ca="1">IF(T198="Sócio",IF(COUNTIF(Opções!$H$2:$H$13,INDIRECT($P198))&gt;0,IF(AND(INDIRECT($Q198)&lt;P$1/24,INDIRECT($R198)&gt;O$1/24),"x",""),""),"")</f>
        <v/>
      </c>
      <c r="P198" t="str">
        <f t="shared" si="25"/>
        <v>$E198</v>
      </c>
      <c r="Q198" t="str">
        <f t="shared" si="2"/>
        <v>$F198</v>
      </c>
      <c r="R198" t="str">
        <f t="shared" si="3"/>
        <v>$G198</v>
      </c>
      <c r="S198" t="str">
        <f t="shared" si="26"/>
        <v>$D198</v>
      </c>
      <c r="T198" t="str" cm="1">
        <f t="array" aca="1" ref="T198" ca="1">IFERROR(VLOOKUP(INDIRECT(S198),Equipe!A:C,3,0),"")</f>
        <v/>
      </c>
    </row>
    <row r="199" spans="4:20" x14ac:dyDescent="0.3">
      <c r="D199" s="23"/>
      <c r="E199" s="23"/>
      <c r="F199" s="24"/>
      <c r="G199" s="24"/>
      <c r="H199" s="23"/>
      <c r="J199" s="21" t="str">
        <f t="shared" ca="1" si="31"/>
        <v/>
      </c>
      <c r="K199" t="str" cm="1">
        <f t="array" aca="1" ref="K199" ca="1">IF(T199="Sócio",IF(COUNTIF(Opções!$H$2:$H$13,INDIRECT($P199))&gt;0,IF(AND(INDIRECT($Q199)&lt;L$1/24,INDIRECT($R199)&gt;K$1/24),"x",""),""),"")</f>
        <v/>
      </c>
      <c r="L199" t="str" cm="1">
        <f t="array" aca="1" ref="L199" ca="1">IF(T199="Sócio",IF(COUNTIF(Opções!$H$2:$H$13,INDIRECT($P199))&gt;0,IF(AND(INDIRECT($Q199)&lt;M$1/24,INDIRECT($R199)&gt;L$1/24),"x",""),""),"")</f>
        <v/>
      </c>
      <c r="M199" t="str" cm="1">
        <f t="array" aca="1" ref="M199" ca="1">IF(T199="Sócio",IF(COUNTIF(Opções!$H$2:$H$13,INDIRECT($P199))&gt;0,IF(AND(INDIRECT($Q199)&lt;N$1/24,INDIRECT($R199)&gt;M$1/24),"x",""),""),"")</f>
        <v/>
      </c>
      <c r="N199" t="str" cm="1">
        <f t="array" aca="1" ref="N199" ca="1">IF(T199="Sócio",IF(COUNTIF(Opções!$H$2:$H$13,INDIRECT($P199))&gt;0,IF(AND(INDIRECT($Q199)&lt;O$1/24,INDIRECT($R199)&gt;N$1/24),"x",""),""),"")</f>
        <v/>
      </c>
      <c r="O199" t="str" cm="1">
        <f t="array" aca="1" ref="O199" ca="1">IF(T199="Sócio",IF(COUNTIF(Opções!$H$2:$H$13,INDIRECT($P199))&gt;0,IF(AND(INDIRECT($Q199)&lt;P$1/24,INDIRECT($R199)&gt;O$1/24),"x",""),""),"")</f>
        <v/>
      </c>
      <c r="P199" t="str">
        <f t="shared" si="25"/>
        <v>$E199</v>
      </c>
      <c r="Q199" t="str">
        <f t="shared" si="2"/>
        <v>$F199</v>
      </c>
      <c r="R199" t="str">
        <f t="shared" si="3"/>
        <v>$G199</v>
      </c>
      <c r="S199" t="str">
        <f t="shared" si="26"/>
        <v>$D199</v>
      </c>
      <c r="T199" t="str" cm="1">
        <f t="array" aca="1" ref="T199" ca="1">IFERROR(VLOOKUP(INDIRECT(S199),Equipe!A:C,3,0),"")</f>
        <v/>
      </c>
    </row>
    <row r="200" spans="4:20" x14ac:dyDescent="0.3">
      <c r="D200" s="23"/>
      <c r="E200" s="23"/>
      <c r="F200" s="24"/>
      <c r="G200" s="24"/>
      <c r="H200" s="23"/>
      <c r="J200" s="21" t="str">
        <f t="shared" ca="1" si="31"/>
        <v/>
      </c>
      <c r="K200" t="str" cm="1">
        <f t="array" aca="1" ref="K200" ca="1">IF(T200="Sócio",IF(COUNTIF(Opções!$H$2:$H$13,INDIRECT($P200))&gt;0,IF(AND(INDIRECT($Q200)&lt;L$1/24,INDIRECT($R200)&gt;K$1/24),"x",""),""),"")</f>
        <v/>
      </c>
      <c r="L200" t="str" cm="1">
        <f t="array" aca="1" ref="L200" ca="1">IF(T200="Sócio",IF(COUNTIF(Opções!$H$2:$H$13,INDIRECT($P200))&gt;0,IF(AND(INDIRECT($Q200)&lt;M$1/24,INDIRECT($R200)&gt;L$1/24),"x",""),""),"")</f>
        <v/>
      </c>
      <c r="M200" t="str" cm="1">
        <f t="array" aca="1" ref="M200" ca="1">IF(T200="Sócio",IF(COUNTIF(Opções!$H$2:$H$13,INDIRECT($P200))&gt;0,IF(AND(INDIRECT($Q200)&lt;N$1/24,INDIRECT($R200)&gt;M$1/24),"x",""),""),"")</f>
        <v/>
      </c>
      <c r="N200" t="str" cm="1">
        <f t="array" aca="1" ref="N200" ca="1">IF(T200="Sócio",IF(COUNTIF(Opções!$H$2:$H$13,INDIRECT($P200))&gt;0,IF(AND(INDIRECT($Q200)&lt;O$1/24,INDIRECT($R200)&gt;N$1/24),"x",""),""),"")</f>
        <v/>
      </c>
      <c r="O200" t="str" cm="1">
        <f t="array" aca="1" ref="O200" ca="1">IF(T200="Sócio",IF(COUNTIF(Opções!$H$2:$H$13,INDIRECT($P200))&gt;0,IF(AND(INDIRECT($Q200)&lt;P$1/24,INDIRECT($R200)&gt;O$1/24),"x",""),""),"")</f>
        <v/>
      </c>
      <c r="P200" t="str">
        <f t="shared" si="25"/>
        <v>$E200</v>
      </c>
      <c r="Q200" t="str">
        <f t="shared" si="2"/>
        <v>$F200</v>
      </c>
      <c r="R200" t="str">
        <f t="shared" si="3"/>
        <v>$G200</v>
      </c>
      <c r="S200" t="str">
        <f t="shared" si="26"/>
        <v>$D200</v>
      </c>
      <c r="T200" t="str" cm="1">
        <f t="array" aca="1" ref="T200" ca="1">IFERROR(VLOOKUP(INDIRECT(S200),Equipe!A:C,3,0),"")</f>
        <v/>
      </c>
    </row>
    <row r="201" spans="4:20" x14ac:dyDescent="0.3">
      <c r="D201" s="23"/>
      <c r="E201" s="23"/>
      <c r="F201" s="24"/>
      <c r="G201" s="24"/>
      <c r="H201" s="23"/>
      <c r="J201" s="21" t="str">
        <f t="shared" ca="1" si="31"/>
        <v/>
      </c>
      <c r="K201" t="str" cm="1">
        <f t="array" aca="1" ref="K201" ca="1">IF(T201="Sócio",IF(COUNTIF(Opções!$H$2:$H$13,INDIRECT($P201))&gt;0,IF(AND(INDIRECT($Q201)&lt;L$1/24,INDIRECT($R201)&gt;K$1/24),"x",""),""),"")</f>
        <v/>
      </c>
      <c r="L201" t="str" cm="1">
        <f t="array" aca="1" ref="L201" ca="1">IF(T201="Sócio",IF(COUNTIF(Opções!$H$2:$H$13,INDIRECT($P201))&gt;0,IF(AND(INDIRECT($Q201)&lt;M$1/24,INDIRECT($R201)&gt;L$1/24),"x",""),""),"")</f>
        <v/>
      </c>
      <c r="M201" t="str" cm="1">
        <f t="array" aca="1" ref="M201" ca="1">IF(T201="Sócio",IF(COUNTIF(Opções!$H$2:$H$13,INDIRECT($P201))&gt;0,IF(AND(INDIRECT($Q201)&lt;N$1/24,INDIRECT($R201)&gt;M$1/24),"x",""),""),"")</f>
        <v/>
      </c>
      <c r="N201" t="str" cm="1">
        <f t="array" aca="1" ref="N201" ca="1">IF(T201="Sócio",IF(COUNTIF(Opções!$H$2:$H$13,INDIRECT($P201))&gt;0,IF(AND(INDIRECT($Q201)&lt;O$1/24,INDIRECT($R201)&gt;N$1/24),"x",""),""),"")</f>
        <v/>
      </c>
      <c r="O201" t="str" cm="1">
        <f t="array" aca="1" ref="O201" ca="1">IF(T201="Sócio",IF(COUNTIF(Opções!$H$2:$H$13,INDIRECT($P201))&gt;0,IF(AND(INDIRECT($Q201)&lt;P$1/24,INDIRECT($R201)&gt;O$1/24),"x",""),""),"")</f>
        <v/>
      </c>
      <c r="P201" t="str">
        <f t="shared" si="25"/>
        <v>$E201</v>
      </c>
      <c r="Q201" t="str">
        <f t="shared" si="2"/>
        <v>$F201</v>
      </c>
      <c r="R201" t="str">
        <f t="shared" si="3"/>
        <v>$G201</v>
      </c>
      <c r="S201" t="str">
        <f t="shared" si="26"/>
        <v>$D201</v>
      </c>
      <c r="T201" t="str" cm="1">
        <f t="array" aca="1" ref="T201" ca="1">IFERROR(VLOOKUP(INDIRECT(S201),Equipe!A:C,3,0),"")</f>
        <v/>
      </c>
    </row>
    <row r="202" spans="4:20" x14ac:dyDescent="0.3">
      <c r="D202" s="23"/>
      <c r="E202" s="23"/>
      <c r="F202" s="24"/>
      <c r="G202" s="24"/>
      <c r="H202" s="23"/>
      <c r="J202" s="21" t="str">
        <f t="shared" ca="1" si="31"/>
        <v/>
      </c>
      <c r="K202" t="str" cm="1">
        <f t="array" aca="1" ref="K202" ca="1">IF(T202="Sócio",IF(COUNTIF(Opções!$H$2:$H$13,INDIRECT($P202))&gt;0,IF(AND(INDIRECT($Q202)&lt;L$1/24,INDIRECT($R202)&gt;K$1/24),"x",""),""),"")</f>
        <v/>
      </c>
      <c r="L202" t="str" cm="1">
        <f t="array" aca="1" ref="L202" ca="1">IF(T202="Sócio",IF(COUNTIF(Opções!$H$2:$H$13,INDIRECT($P202))&gt;0,IF(AND(INDIRECT($Q202)&lt;M$1/24,INDIRECT($R202)&gt;L$1/24),"x",""),""),"")</f>
        <v/>
      </c>
      <c r="M202" t="str" cm="1">
        <f t="array" aca="1" ref="M202" ca="1">IF(T202="Sócio",IF(COUNTIF(Opções!$H$2:$H$13,INDIRECT($P202))&gt;0,IF(AND(INDIRECT($Q202)&lt;N$1/24,INDIRECT($R202)&gt;M$1/24),"x",""),""),"")</f>
        <v/>
      </c>
      <c r="N202" t="str" cm="1">
        <f t="array" aca="1" ref="N202" ca="1">IF(T202="Sócio",IF(COUNTIF(Opções!$H$2:$H$13,INDIRECT($P202))&gt;0,IF(AND(INDIRECT($Q202)&lt;O$1/24,INDIRECT($R202)&gt;N$1/24),"x",""),""),"")</f>
        <v/>
      </c>
      <c r="O202" t="str" cm="1">
        <f t="array" aca="1" ref="O202" ca="1">IF(T202="Sócio",IF(COUNTIF(Opções!$H$2:$H$13,INDIRECT($P202))&gt;0,IF(AND(INDIRECT($Q202)&lt;P$1/24,INDIRECT($R202)&gt;O$1/24),"x",""),""),"")</f>
        <v/>
      </c>
      <c r="P202" t="str">
        <f t="shared" si="25"/>
        <v>$E202</v>
      </c>
      <c r="Q202" t="str">
        <f t="shared" si="2"/>
        <v>$F202</v>
      </c>
      <c r="R202" t="str">
        <f t="shared" si="3"/>
        <v>$G202</v>
      </c>
      <c r="S202" t="str">
        <f t="shared" si="26"/>
        <v>$D202</v>
      </c>
      <c r="T202" t="str" cm="1">
        <f t="array" aca="1" ref="T202" ca="1">IFERROR(VLOOKUP(INDIRECT(S202),Equipe!A:C,3,0),"")</f>
        <v/>
      </c>
    </row>
    <row r="203" spans="4:20" x14ac:dyDescent="0.3">
      <c r="D203" s="23"/>
      <c r="E203" s="23"/>
      <c r="F203" s="24"/>
      <c r="G203" s="24"/>
      <c r="H203" s="23"/>
      <c r="J203" s="21" t="str">
        <f t="shared" ca="1" si="31"/>
        <v/>
      </c>
      <c r="K203" t="str" cm="1">
        <f t="array" aca="1" ref="K203" ca="1">IF(T203="Sócio",IF(COUNTIF(Opções!$H$2:$H$13,INDIRECT($P203))&gt;0,IF(AND(INDIRECT($Q203)&lt;L$1/24,INDIRECT($R203)&gt;K$1/24),"x",""),""),"")</f>
        <v/>
      </c>
      <c r="L203" t="str" cm="1">
        <f t="array" aca="1" ref="L203" ca="1">IF(T203="Sócio",IF(COUNTIF(Opções!$H$2:$H$13,INDIRECT($P203))&gt;0,IF(AND(INDIRECT($Q203)&lt;M$1/24,INDIRECT($R203)&gt;L$1/24),"x",""),""),"")</f>
        <v/>
      </c>
      <c r="M203" t="str" cm="1">
        <f t="array" aca="1" ref="M203" ca="1">IF(T203="Sócio",IF(COUNTIF(Opções!$H$2:$H$13,INDIRECT($P203))&gt;0,IF(AND(INDIRECT($Q203)&lt;N$1/24,INDIRECT($R203)&gt;M$1/24),"x",""),""),"")</f>
        <v/>
      </c>
      <c r="N203" t="str" cm="1">
        <f t="array" aca="1" ref="N203" ca="1">IF(T203="Sócio",IF(COUNTIF(Opções!$H$2:$H$13,INDIRECT($P203))&gt;0,IF(AND(INDIRECT($Q203)&lt;O$1/24,INDIRECT($R203)&gt;N$1/24),"x",""),""),"")</f>
        <v/>
      </c>
      <c r="O203" t="str" cm="1">
        <f t="array" aca="1" ref="O203" ca="1">IF(T203="Sócio",IF(COUNTIF(Opções!$H$2:$H$13,INDIRECT($P203))&gt;0,IF(AND(INDIRECT($Q203)&lt;P$1/24,INDIRECT($R203)&gt;O$1/24),"x",""),""),"")</f>
        <v/>
      </c>
      <c r="P203" t="str">
        <f t="shared" si="25"/>
        <v>$E203</v>
      </c>
      <c r="Q203" t="str">
        <f t="shared" si="2"/>
        <v>$F203</v>
      </c>
      <c r="R203" t="str">
        <f t="shared" si="3"/>
        <v>$G203</v>
      </c>
      <c r="S203" t="str">
        <f t="shared" si="26"/>
        <v>$D203</v>
      </c>
      <c r="T203" t="str" cm="1">
        <f t="array" aca="1" ref="T203" ca="1">IFERROR(VLOOKUP(INDIRECT(S203),Equipe!A:C,3,0),"")</f>
        <v/>
      </c>
    </row>
    <row r="204" spans="4:20" x14ac:dyDescent="0.3">
      <c r="D204" s="23"/>
      <c r="E204" s="23"/>
      <c r="F204" s="24"/>
      <c r="G204" s="24"/>
      <c r="H204" s="23"/>
      <c r="J204" s="21" t="str">
        <f t="shared" ca="1" si="31"/>
        <v/>
      </c>
      <c r="K204" t="str" cm="1">
        <f t="array" aca="1" ref="K204" ca="1">IF(T204="Sócio",IF(COUNTIF(Opções!$H$2:$H$13,INDIRECT($P204))&gt;0,IF(AND(INDIRECT($Q204)&lt;L$1/24,INDIRECT($R204)&gt;K$1/24),"x",""),""),"")</f>
        <v/>
      </c>
      <c r="L204" t="str" cm="1">
        <f t="array" aca="1" ref="L204" ca="1">IF(T204="Sócio",IF(COUNTIF(Opções!$H$2:$H$13,INDIRECT($P204))&gt;0,IF(AND(INDIRECT($Q204)&lt;M$1/24,INDIRECT($R204)&gt;L$1/24),"x",""),""),"")</f>
        <v/>
      </c>
      <c r="M204" t="str" cm="1">
        <f t="array" aca="1" ref="M204" ca="1">IF(T204="Sócio",IF(COUNTIF(Opções!$H$2:$H$13,INDIRECT($P204))&gt;0,IF(AND(INDIRECT($Q204)&lt;N$1/24,INDIRECT($R204)&gt;M$1/24),"x",""),""),"")</f>
        <v/>
      </c>
      <c r="N204" t="str" cm="1">
        <f t="array" aca="1" ref="N204" ca="1">IF(T204="Sócio",IF(COUNTIF(Opções!$H$2:$H$13,INDIRECT($P204))&gt;0,IF(AND(INDIRECT($Q204)&lt;O$1/24,INDIRECT($R204)&gt;N$1/24),"x",""),""),"")</f>
        <v/>
      </c>
      <c r="O204" t="str" cm="1">
        <f t="array" aca="1" ref="O204" ca="1">IF(T204="Sócio",IF(COUNTIF(Opções!$H$2:$H$13,INDIRECT($P204))&gt;0,IF(AND(INDIRECT($Q204)&lt;P$1/24,INDIRECT($R204)&gt;O$1/24),"x",""),""),"")</f>
        <v/>
      </c>
      <c r="P204" t="str">
        <f t="shared" si="25"/>
        <v>$E204</v>
      </c>
      <c r="Q204" t="str">
        <f t="shared" si="2"/>
        <v>$F204</v>
      </c>
      <c r="R204" t="str">
        <f t="shared" si="3"/>
        <v>$G204</v>
      </c>
      <c r="S204" t="str">
        <f t="shared" si="26"/>
        <v>$D204</v>
      </c>
      <c r="T204" t="str" cm="1">
        <f t="array" aca="1" ref="T204" ca="1">IFERROR(VLOOKUP(INDIRECT(S204),Equipe!A:C,3,0),"")</f>
        <v/>
      </c>
    </row>
    <row r="205" spans="4:20" x14ac:dyDescent="0.3">
      <c r="D205" s="23"/>
      <c r="E205" s="23"/>
      <c r="F205" s="24"/>
      <c r="G205" s="24"/>
      <c r="H205" s="23"/>
      <c r="J205" s="21" t="str">
        <f t="shared" ca="1" si="31"/>
        <v/>
      </c>
      <c r="K205" t="str" cm="1">
        <f t="array" aca="1" ref="K205" ca="1">IF(T205="Sócio",IF(COUNTIF(Opções!$H$2:$H$13,INDIRECT($P205))&gt;0,IF(AND(INDIRECT($Q205)&lt;L$1/24,INDIRECT($R205)&gt;K$1/24),"x",""),""),"")</f>
        <v/>
      </c>
      <c r="L205" t="str" cm="1">
        <f t="array" aca="1" ref="L205" ca="1">IF(T205="Sócio",IF(COUNTIF(Opções!$H$2:$H$13,INDIRECT($P205))&gt;0,IF(AND(INDIRECT($Q205)&lt;M$1/24,INDIRECT($R205)&gt;L$1/24),"x",""),""),"")</f>
        <v/>
      </c>
      <c r="M205" t="str" cm="1">
        <f t="array" aca="1" ref="M205" ca="1">IF(T205="Sócio",IF(COUNTIF(Opções!$H$2:$H$13,INDIRECT($P205))&gt;0,IF(AND(INDIRECT($Q205)&lt;N$1/24,INDIRECT($R205)&gt;M$1/24),"x",""),""),"")</f>
        <v/>
      </c>
      <c r="N205" t="str" cm="1">
        <f t="array" aca="1" ref="N205" ca="1">IF(T205="Sócio",IF(COUNTIF(Opções!$H$2:$H$13,INDIRECT($P205))&gt;0,IF(AND(INDIRECT($Q205)&lt;O$1/24,INDIRECT($R205)&gt;N$1/24),"x",""),""),"")</f>
        <v/>
      </c>
      <c r="O205" t="str" cm="1">
        <f t="array" aca="1" ref="O205" ca="1">IF(T205="Sócio",IF(COUNTIF(Opções!$H$2:$H$13,INDIRECT($P205))&gt;0,IF(AND(INDIRECT($Q205)&lt;P$1/24,INDIRECT($R205)&gt;O$1/24),"x",""),""),"")</f>
        <v/>
      </c>
      <c r="P205" t="str">
        <f t="shared" si="25"/>
        <v>$E205</v>
      </c>
      <c r="Q205" t="str">
        <f t="shared" ref="Q205" si="40">"$F"&amp;ROW(O205)</f>
        <v>$F205</v>
      </c>
      <c r="R205" t="str">
        <f t="shared" ref="R205" si="41">"$G"&amp;ROW(Q205)</f>
        <v>$G205</v>
      </c>
      <c r="S205" t="str">
        <f t="shared" si="26"/>
        <v>$D205</v>
      </c>
      <c r="T205" t="str" cm="1">
        <f t="array" aca="1" ref="T205" ca="1">IFERROR(VLOOKUP(INDIRECT(S205),Equipe!A:C,3,0),"")</f>
        <v/>
      </c>
    </row>
    <row r="206" spans="4:20" x14ac:dyDescent="0.3">
      <c r="D206" s="23"/>
      <c r="E206" s="23"/>
      <c r="F206" s="24"/>
      <c r="G206" s="24"/>
      <c r="H206" s="23"/>
      <c r="J206" s="21" t="str">
        <f t="shared" ca="1" si="31"/>
        <v/>
      </c>
      <c r="K206" t="str" cm="1">
        <f t="array" aca="1" ref="K206" ca="1">IF(T206="Sócio",IF(COUNTIF(Opções!$H$2:$H$13,INDIRECT($P206))&gt;0,IF(AND(INDIRECT($Q206)&lt;L$1/24,INDIRECT($R206)&gt;K$1/24),"x",""),""),"")</f>
        <v/>
      </c>
      <c r="L206" t="str" cm="1">
        <f t="array" aca="1" ref="L206" ca="1">IF(T206="Sócio",IF(COUNTIF(Opções!$H$2:$H$13,INDIRECT($P206))&gt;0,IF(AND(INDIRECT($Q206)&lt;M$1/24,INDIRECT($R206)&gt;L$1/24),"x",""),""),"")</f>
        <v/>
      </c>
      <c r="M206" t="str" cm="1">
        <f t="array" aca="1" ref="M206" ca="1">IF(T206="Sócio",IF(COUNTIF(Opções!$H$2:$H$13,INDIRECT($P206))&gt;0,IF(AND(INDIRECT($Q206)&lt;N$1/24,INDIRECT($R206)&gt;M$1/24),"x",""),""),"")</f>
        <v/>
      </c>
      <c r="N206" t="str" cm="1">
        <f t="array" aca="1" ref="N206" ca="1">IF(T206="Sócio",IF(COUNTIF(Opções!$H$2:$H$13,INDIRECT($P206))&gt;0,IF(AND(INDIRECT($Q206)&lt;O$1/24,INDIRECT($R206)&gt;N$1/24),"x",""),""),"")</f>
        <v/>
      </c>
      <c r="O206" t="str" cm="1">
        <f t="array" aca="1" ref="O206" ca="1">IF(T206="Sócio",IF(COUNTIF(Opções!$H$2:$H$13,INDIRECT($P206))&gt;0,IF(AND(INDIRECT($Q206)&lt;P$1/24,INDIRECT($R206)&gt;O$1/24),"x",""),""),"")</f>
        <v/>
      </c>
      <c r="P206" t="str">
        <f t="shared" si="25"/>
        <v>$E206</v>
      </c>
      <c r="Q206" t="str">
        <f t="shared" si="2"/>
        <v>$F206</v>
      </c>
      <c r="R206" t="str">
        <f t="shared" si="3"/>
        <v>$G206</v>
      </c>
      <c r="S206" t="str">
        <f t="shared" si="26"/>
        <v>$D206</v>
      </c>
      <c r="T206" t="str" cm="1">
        <f t="array" aca="1" ref="T206" ca="1">IFERROR(VLOOKUP(INDIRECT(S206),Equipe!A:C,3,0),"")</f>
        <v/>
      </c>
    </row>
    <row r="207" spans="4:20" x14ac:dyDescent="0.3">
      <c r="D207" s="23"/>
      <c r="E207" s="23"/>
      <c r="F207" s="24"/>
      <c r="G207" s="24"/>
      <c r="H207" s="23"/>
      <c r="J207" s="21" t="str">
        <f t="shared" ca="1" si="31"/>
        <v/>
      </c>
      <c r="K207" t="str" cm="1">
        <f t="array" aca="1" ref="K207" ca="1">IF(T207="Sócio",IF(COUNTIF(Opções!$H$2:$H$13,INDIRECT($P207))&gt;0,IF(AND(INDIRECT($Q207)&lt;L$1/24,INDIRECT($R207)&gt;K$1/24),"x",""),""),"")</f>
        <v/>
      </c>
      <c r="L207" t="str" cm="1">
        <f t="array" aca="1" ref="L207" ca="1">IF(T207="Sócio",IF(COUNTIF(Opções!$H$2:$H$13,INDIRECT($P207))&gt;0,IF(AND(INDIRECT($Q207)&lt;M$1/24,INDIRECT($R207)&gt;L$1/24),"x",""),""),"")</f>
        <v/>
      </c>
      <c r="M207" t="str" cm="1">
        <f t="array" aca="1" ref="M207" ca="1">IF(T207="Sócio",IF(COUNTIF(Opções!$H$2:$H$13,INDIRECT($P207))&gt;0,IF(AND(INDIRECT($Q207)&lt;N$1/24,INDIRECT($R207)&gt;M$1/24),"x",""),""),"")</f>
        <v/>
      </c>
      <c r="N207" t="str" cm="1">
        <f t="array" aca="1" ref="N207" ca="1">IF(T207="Sócio",IF(COUNTIF(Opções!$H$2:$H$13,INDIRECT($P207))&gt;0,IF(AND(INDIRECT($Q207)&lt;O$1/24,INDIRECT($R207)&gt;N$1/24),"x",""),""),"")</f>
        <v/>
      </c>
      <c r="O207" t="str" cm="1">
        <f t="array" aca="1" ref="O207" ca="1">IF(T207="Sócio",IF(COUNTIF(Opções!$H$2:$H$13,INDIRECT($P207))&gt;0,IF(AND(INDIRECT($Q207)&lt;P$1/24,INDIRECT($R207)&gt;O$1/24),"x",""),""),"")</f>
        <v/>
      </c>
      <c r="P207" t="str">
        <f t="shared" si="25"/>
        <v>$E207</v>
      </c>
      <c r="Q207" t="str">
        <f t="shared" si="2"/>
        <v>$F207</v>
      </c>
      <c r="R207" t="str">
        <f t="shared" si="3"/>
        <v>$G207</v>
      </c>
      <c r="S207" t="str">
        <f t="shared" si="26"/>
        <v>$D207</v>
      </c>
      <c r="T207" t="str" cm="1">
        <f t="array" aca="1" ref="T207" ca="1">IFERROR(VLOOKUP(INDIRECT(S207),Equipe!A:C,3,0),"")</f>
        <v/>
      </c>
    </row>
    <row r="208" spans="4:20" x14ac:dyDescent="0.3">
      <c r="D208" s="23"/>
      <c r="E208" s="23"/>
      <c r="F208" s="24"/>
      <c r="G208" s="24"/>
      <c r="H208" s="23"/>
      <c r="J208" s="21" t="str">
        <f t="shared" ca="1" si="31"/>
        <v/>
      </c>
      <c r="K208" t="str" cm="1">
        <f t="array" aca="1" ref="K208" ca="1">IF(T208="Sócio",IF(COUNTIF(Opções!$H$2:$H$13,INDIRECT($P208))&gt;0,IF(AND(INDIRECT($Q208)&lt;L$1/24,INDIRECT($R208)&gt;K$1/24),"x",""),""),"")</f>
        <v/>
      </c>
      <c r="L208" t="str" cm="1">
        <f t="array" aca="1" ref="L208" ca="1">IF(T208="Sócio",IF(COUNTIF(Opções!$H$2:$H$13,INDIRECT($P208))&gt;0,IF(AND(INDIRECT($Q208)&lt;M$1/24,INDIRECT($R208)&gt;L$1/24),"x",""),""),"")</f>
        <v/>
      </c>
      <c r="M208" t="str" cm="1">
        <f t="array" aca="1" ref="M208" ca="1">IF(T208="Sócio",IF(COUNTIF(Opções!$H$2:$H$13,INDIRECT($P208))&gt;0,IF(AND(INDIRECT($Q208)&lt;N$1/24,INDIRECT($R208)&gt;M$1/24),"x",""),""),"")</f>
        <v/>
      </c>
      <c r="N208" t="str" cm="1">
        <f t="array" aca="1" ref="N208" ca="1">IF(T208="Sócio",IF(COUNTIF(Opções!$H$2:$H$13,INDIRECT($P208))&gt;0,IF(AND(INDIRECT($Q208)&lt;O$1/24,INDIRECT($R208)&gt;N$1/24),"x",""),""),"")</f>
        <v/>
      </c>
      <c r="O208" t="str" cm="1">
        <f t="array" aca="1" ref="O208" ca="1">IF(T208="Sócio",IF(COUNTIF(Opções!$H$2:$H$13,INDIRECT($P208))&gt;0,IF(AND(INDIRECT($Q208)&lt;P$1/24,INDIRECT($R208)&gt;O$1/24),"x",""),""),"")</f>
        <v/>
      </c>
      <c r="P208" t="str">
        <f t="shared" ref="P208:P271" si="42">"$E"&amp;ROW(N208)</f>
        <v>$E208</v>
      </c>
      <c r="Q208" t="str">
        <f t="shared" si="2"/>
        <v>$F208</v>
      </c>
      <c r="R208" t="str">
        <f t="shared" si="3"/>
        <v>$G208</v>
      </c>
      <c r="S208" t="str">
        <f t="shared" ref="S208:S271" si="43">"$D"&amp;ROW(R208)</f>
        <v>$D208</v>
      </c>
      <c r="T208" t="str" cm="1">
        <f t="array" aca="1" ref="T208" ca="1">IFERROR(VLOOKUP(INDIRECT(S208),Equipe!A:C,3,0),"")</f>
        <v/>
      </c>
    </row>
    <row r="209" spans="4:20" x14ac:dyDescent="0.3">
      <c r="D209" s="23"/>
      <c r="E209" s="23"/>
      <c r="F209" s="24"/>
      <c r="G209" s="24"/>
      <c r="H209" s="23"/>
      <c r="J209" s="21" t="str">
        <f t="shared" ca="1" si="31"/>
        <v/>
      </c>
      <c r="K209" t="str" cm="1">
        <f t="array" aca="1" ref="K209" ca="1">IF(T209="Sócio",IF(COUNTIF(Opções!$H$2:$H$13,INDIRECT($P209))&gt;0,IF(AND(INDIRECT($Q209)&lt;L$1/24,INDIRECT($R209)&gt;K$1/24),"x",""),""),"")</f>
        <v/>
      </c>
      <c r="L209" t="str" cm="1">
        <f t="array" aca="1" ref="L209" ca="1">IF(T209="Sócio",IF(COUNTIF(Opções!$H$2:$H$13,INDIRECT($P209))&gt;0,IF(AND(INDIRECT($Q209)&lt;M$1/24,INDIRECT($R209)&gt;L$1/24),"x",""),""),"")</f>
        <v/>
      </c>
      <c r="M209" t="str" cm="1">
        <f t="array" aca="1" ref="M209" ca="1">IF(T209="Sócio",IF(COUNTIF(Opções!$H$2:$H$13,INDIRECT($P209))&gt;0,IF(AND(INDIRECT($Q209)&lt;N$1/24,INDIRECT($R209)&gt;M$1/24),"x",""),""),"")</f>
        <v/>
      </c>
      <c r="N209" t="str" cm="1">
        <f t="array" aca="1" ref="N209" ca="1">IF(T209="Sócio",IF(COUNTIF(Opções!$H$2:$H$13,INDIRECT($P209))&gt;0,IF(AND(INDIRECT($Q209)&lt;O$1/24,INDIRECT($R209)&gt;N$1/24),"x",""),""),"")</f>
        <v/>
      </c>
      <c r="O209" t="str" cm="1">
        <f t="array" aca="1" ref="O209" ca="1">IF(T209="Sócio",IF(COUNTIF(Opções!$H$2:$H$13,INDIRECT($P209))&gt;0,IF(AND(INDIRECT($Q209)&lt;P$1/24,INDIRECT($R209)&gt;O$1/24),"x",""),""),"")</f>
        <v/>
      </c>
      <c r="P209" t="str">
        <f t="shared" si="42"/>
        <v>$E209</v>
      </c>
      <c r="Q209" t="str">
        <f t="shared" si="2"/>
        <v>$F209</v>
      </c>
      <c r="R209" t="str">
        <f t="shared" si="3"/>
        <v>$G209</v>
      </c>
      <c r="S209" t="str">
        <f t="shared" si="43"/>
        <v>$D209</v>
      </c>
      <c r="T209" t="str" cm="1">
        <f t="array" aca="1" ref="T209" ca="1">IFERROR(VLOOKUP(INDIRECT(S209),Equipe!A:C,3,0),"")</f>
        <v/>
      </c>
    </row>
    <row r="210" spans="4:20" x14ac:dyDescent="0.3">
      <c r="D210" s="23"/>
      <c r="E210" s="23"/>
      <c r="F210" s="24"/>
      <c r="G210" s="24"/>
      <c r="H210" s="23"/>
      <c r="J210" s="21" t="str">
        <f t="shared" ca="1" si="31"/>
        <v/>
      </c>
      <c r="K210" t="str" cm="1">
        <f t="array" aca="1" ref="K210" ca="1">IF(T210="Sócio",IF(COUNTIF(Opções!$H$2:$H$13,INDIRECT($P210))&gt;0,IF(AND(INDIRECT($Q210)&lt;L$1/24,INDIRECT($R210)&gt;K$1/24),"x",""),""),"")</f>
        <v/>
      </c>
      <c r="L210" t="str" cm="1">
        <f t="array" aca="1" ref="L210" ca="1">IF(T210="Sócio",IF(COUNTIF(Opções!$H$2:$H$13,INDIRECT($P210))&gt;0,IF(AND(INDIRECT($Q210)&lt;M$1/24,INDIRECT($R210)&gt;L$1/24),"x",""),""),"")</f>
        <v/>
      </c>
      <c r="M210" t="str" cm="1">
        <f t="array" aca="1" ref="M210" ca="1">IF(T210="Sócio",IF(COUNTIF(Opções!$H$2:$H$13,INDIRECT($P210))&gt;0,IF(AND(INDIRECT($Q210)&lt;N$1/24,INDIRECT($R210)&gt;M$1/24),"x",""),""),"")</f>
        <v/>
      </c>
      <c r="N210" t="str" cm="1">
        <f t="array" aca="1" ref="N210" ca="1">IF(T210="Sócio",IF(COUNTIF(Opções!$H$2:$H$13,INDIRECT($P210))&gt;0,IF(AND(INDIRECT($Q210)&lt;O$1/24,INDIRECT($R210)&gt;N$1/24),"x",""),""),"")</f>
        <v/>
      </c>
      <c r="O210" t="str" cm="1">
        <f t="array" aca="1" ref="O210" ca="1">IF(T210="Sócio",IF(COUNTIF(Opções!$H$2:$H$13,INDIRECT($P210))&gt;0,IF(AND(INDIRECT($Q210)&lt;P$1/24,INDIRECT($R210)&gt;O$1/24),"x",""),""),"")</f>
        <v/>
      </c>
      <c r="P210" t="str">
        <f t="shared" si="42"/>
        <v>$E210</v>
      </c>
      <c r="Q210" t="str">
        <f t="shared" ref="Q210" si="44">"$F"&amp;ROW(O210)</f>
        <v>$F210</v>
      </c>
      <c r="R210" t="str">
        <f t="shared" ref="R210" si="45">"$G"&amp;ROW(Q210)</f>
        <v>$G210</v>
      </c>
      <c r="S210" t="str">
        <f t="shared" si="43"/>
        <v>$D210</v>
      </c>
      <c r="T210" t="str" cm="1">
        <f t="array" aca="1" ref="T210" ca="1">IFERROR(VLOOKUP(INDIRECT(S210),Equipe!A:C,3,0),"")</f>
        <v/>
      </c>
    </row>
    <row r="211" spans="4:20" x14ac:dyDescent="0.3">
      <c r="D211" s="23"/>
      <c r="E211" s="23"/>
      <c r="F211" s="24"/>
      <c r="G211" s="24"/>
      <c r="H211" s="23"/>
      <c r="J211" s="21" t="str">
        <f t="shared" ca="1" si="31"/>
        <v/>
      </c>
      <c r="K211" t="str" cm="1">
        <f t="array" aca="1" ref="K211" ca="1">IF(T211="Sócio",IF(COUNTIF(Opções!$H$2:$H$13,INDIRECT($P211))&gt;0,IF(AND(INDIRECT($Q211)&lt;L$1/24,INDIRECT($R211)&gt;K$1/24),"x",""),""),"")</f>
        <v/>
      </c>
      <c r="L211" t="str" cm="1">
        <f t="array" aca="1" ref="L211" ca="1">IF(T211="Sócio",IF(COUNTIF(Opções!$H$2:$H$13,INDIRECT($P211))&gt;0,IF(AND(INDIRECT($Q211)&lt;M$1/24,INDIRECT($R211)&gt;L$1/24),"x",""),""),"")</f>
        <v/>
      </c>
      <c r="M211" t="str" cm="1">
        <f t="array" aca="1" ref="M211" ca="1">IF(T211="Sócio",IF(COUNTIF(Opções!$H$2:$H$13,INDIRECT($P211))&gt;0,IF(AND(INDIRECT($Q211)&lt;N$1/24,INDIRECT($R211)&gt;M$1/24),"x",""),""),"")</f>
        <v/>
      </c>
      <c r="N211" t="str" cm="1">
        <f t="array" aca="1" ref="N211" ca="1">IF(T211="Sócio",IF(COUNTIF(Opções!$H$2:$H$13,INDIRECT($P211))&gt;0,IF(AND(INDIRECT($Q211)&lt;O$1/24,INDIRECT($R211)&gt;N$1/24),"x",""),""),"")</f>
        <v/>
      </c>
      <c r="O211" t="str" cm="1">
        <f t="array" aca="1" ref="O211" ca="1">IF(T211="Sócio",IF(COUNTIF(Opções!$H$2:$H$13,INDIRECT($P211))&gt;0,IF(AND(INDIRECT($Q211)&lt;P$1/24,INDIRECT($R211)&gt;O$1/24),"x",""),""),"")</f>
        <v/>
      </c>
      <c r="P211" t="str">
        <f t="shared" si="42"/>
        <v>$E211</v>
      </c>
      <c r="Q211" t="str">
        <f t="shared" si="2"/>
        <v>$F211</v>
      </c>
      <c r="R211" t="str">
        <f t="shared" si="3"/>
        <v>$G211</v>
      </c>
      <c r="S211" t="str">
        <f t="shared" si="43"/>
        <v>$D211</v>
      </c>
      <c r="T211" t="str" cm="1">
        <f t="array" aca="1" ref="T211" ca="1">IFERROR(VLOOKUP(INDIRECT(S211),Equipe!A:C,3,0),"")</f>
        <v/>
      </c>
    </row>
    <row r="212" spans="4:20" x14ac:dyDescent="0.3">
      <c r="D212" s="23"/>
      <c r="E212" s="23"/>
      <c r="F212" s="24"/>
      <c r="G212" s="24"/>
      <c r="H212" s="23"/>
      <c r="J212" s="21" t="str">
        <f t="shared" ca="1" si="31"/>
        <v/>
      </c>
      <c r="K212" t="str" cm="1">
        <f t="array" aca="1" ref="K212" ca="1">IF(T212="Sócio",IF(COUNTIF(Opções!$H$2:$H$13,INDIRECT($P212))&gt;0,IF(AND(INDIRECT($Q212)&lt;L$1/24,INDIRECT($R212)&gt;K$1/24),"x",""),""),"")</f>
        <v/>
      </c>
      <c r="L212" t="str" cm="1">
        <f t="array" aca="1" ref="L212" ca="1">IF(T212="Sócio",IF(COUNTIF(Opções!$H$2:$H$13,INDIRECT($P212))&gt;0,IF(AND(INDIRECT($Q212)&lt;M$1/24,INDIRECT($R212)&gt;L$1/24),"x",""),""),"")</f>
        <v/>
      </c>
      <c r="M212" t="str" cm="1">
        <f t="array" aca="1" ref="M212" ca="1">IF(T212="Sócio",IF(COUNTIF(Opções!$H$2:$H$13,INDIRECT($P212))&gt;0,IF(AND(INDIRECT($Q212)&lt;N$1/24,INDIRECT($R212)&gt;M$1/24),"x",""),""),"")</f>
        <v/>
      </c>
      <c r="N212" t="str" cm="1">
        <f t="array" aca="1" ref="N212" ca="1">IF(T212="Sócio",IF(COUNTIF(Opções!$H$2:$H$13,INDIRECT($P212))&gt;0,IF(AND(INDIRECT($Q212)&lt;O$1/24,INDIRECT($R212)&gt;N$1/24),"x",""),""),"")</f>
        <v/>
      </c>
      <c r="O212" t="str" cm="1">
        <f t="array" aca="1" ref="O212" ca="1">IF(T212="Sócio",IF(COUNTIF(Opções!$H$2:$H$13,INDIRECT($P212))&gt;0,IF(AND(INDIRECT($Q212)&lt;P$1/24,INDIRECT($R212)&gt;O$1/24),"x",""),""),"")</f>
        <v/>
      </c>
      <c r="P212" t="str">
        <f t="shared" si="42"/>
        <v>$E212</v>
      </c>
      <c r="Q212" t="str">
        <f t="shared" si="2"/>
        <v>$F212</v>
      </c>
      <c r="R212" t="str">
        <f t="shared" si="3"/>
        <v>$G212</v>
      </c>
      <c r="S212" t="str">
        <f t="shared" si="43"/>
        <v>$D212</v>
      </c>
      <c r="T212" t="str" cm="1">
        <f t="array" aca="1" ref="T212" ca="1">IFERROR(VLOOKUP(INDIRECT(S212),Equipe!A:C,3,0),"")</f>
        <v/>
      </c>
    </row>
    <row r="213" spans="4:20" x14ac:dyDescent="0.3">
      <c r="D213" s="23"/>
      <c r="E213" s="23"/>
      <c r="F213" s="24"/>
      <c r="G213" s="24"/>
      <c r="H213" s="23"/>
      <c r="J213" s="21" t="str">
        <f t="shared" ca="1" si="31"/>
        <v/>
      </c>
      <c r="K213" t="str" cm="1">
        <f t="array" aca="1" ref="K213" ca="1">IF(T213="Sócio",IF(COUNTIF(Opções!$H$2:$H$13,INDIRECT($P213))&gt;0,IF(AND(INDIRECT($Q213)&lt;L$1/24,INDIRECT($R213)&gt;K$1/24),"x",""),""),"")</f>
        <v/>
      </c>
      <c r="L213" t="str" cm="1">
        <f t="array" aca="1" ref="L213" ca="1">IF(T213="Sócio",IF(COUNTIF(Opções!$H$2:$H$13,INDIRECT($P213))&gt;0,IF(AND(INDIRECT($Q213)&lt;M$1/24,INDIRECT($R213)&gt;L$1/24),"x",""),""),"")</f>
        <v/>
      </c>
      <c r="M213" t="str" cm="1">
        <f t="array" aca="1" ref="M213" ca="1">IF(T213="Sócio",IF(COUNTIF(Opções!$H$2:$H$13,INDIRECT($P213))&gt;0,IF(AND(INDIRECT($Q213)&lt;N$1/24,INDIRECT($R213)&gt;M$1/24),"x",""),""),"")</f>
        <v/>
      </c>
      <c r="N213" t="str" cm="1">
        <f t="array" aca="1" ref="N213" ca="1">IF(T213="Sócio",IF(COUNTIF(Opções!$H$2:$H$13,INDIRECT($P213))&gt;0,IF(AND(INDIRECT($Q213)&lt;O$1/24,INDIRECT($R213)&gt;N$1/24),"x",""),""),"")</f>
        <v/>
      </c>
      <c r="O213" t="str" cm="1">
        <f t="array" aca="1" ref="O213" ca="1">IF(T213="Sócio",IF(COUNTIF(Opções!$H$2:$H$13,INDIRECT($P213))&gt;0,IF(AND(INDIRECT($Q213)&lt;P$1/24,INDIRECT($R213)&gt;O$1/24),"x",""),""),"")</f>
        <v/>
      </c>
      <c r="P213" t="str">
        <f t="shared" si="42"/>
        <v>$E213</v>
      </c>
      <c r="Q213" t="str">
        <f t="shared" si="2"/>
        <v>$F213</v>
      </c>
      <c r="R213" t="str">
        <f t="shared" si="3"/>
        <v>$G213</v>
      </c>
      <c r="S213" t="str">
        <f t="shared" si="43"/>
        <v>$D213</v>
      </c>
      <c r="T213" t="str" cm="1">
        <f t="array" aca="1" ref="T213" ca="1">IFERROR(VLOOKUP(INDIRECT(S213),Equipe!A:C,3,0),"")</f>
        <v/>
      </c>
    </row>
    <row r="214" spans="4:20" x14ac:dyDescent="0.3">
      <c r="D214" s="23"/>
      <c r="E214" s="23"/>
      <c r="F214" s="24"/>
      <c r="G214" s="24"/>
      <c r="H214" s="23"/>
      <c r="J214" s="21" t="str">
        <f t="shared" ca="1" si="31"/>
        <v/>
      </c>
      <c r="K214" t="str" cm="1">
        <f t="array" aca="1" ref="K214" ca="1">IF(T214="Sócio",IF(COUNTIF(Opções!$H$2:$H$13,INDIRECT($P214))&gt;0,IF(AND(INDIRECT($Q214)&lt;L$1/24,INDIRECT($R214)&gt;K$1/24),"x",""),""),"")</f>
        <v/>
      </c>
      <c r="L214" t="str" cm="1">
        <f t="array" aca="1" ref="L214" ca="1">IF(T214="Sócio",IF(COUNTIF(Opções!$H$2:$H$13,INDIRECT($P214))&gt;0,IF(AND(INDIRECT($Q214)&lt;M$1/24,INDIRECT($R214)&gt;L$1/24),"x",""),""),"")</f>
        <v/>
      </c>
      <c r="M214" t="str" cm="1">
        <f t="array" aca="1" ref="M214" ca="1">IF(T214="Sócio",IF(COUNTIF(Opções!$H$2:$H$13,INDIRECT($P214))&gt;0,IF(AND(INDIRECT($Q214)&lt;N$1/24,INDIRECT($R214)&gt;M$1/24),"x",""),""),"")</f>
        <v/>
      </c>
      <c r="N214" t="str" cm="1">
        <f t="array" aca="1" ref="N214" ca="1">IF(T214="Sócio",IF(COUNTIF(Opções!$H$2:$H$13,INDIRECT($P214))&gt;0,IF(AND(INDIRECT($Q214)&lt;O$1/24,INDIRECT($R214)&gt;N$1/24),"x",""),""),"")</f>
        <v/>
      </c>
      <c r="O214" t="str" cm="1">
        <f t="array" aca="1" ref="O214" ca="1">IF(T214="Sócio",IF(COUNTIF(Opções!$H$2:$H$13,INDIRECT($P214))&gt;0,IF(AND(INDIRECT($Q214)&lt;P$1/24,INDIRECT($R214)&gt;O$1/24),"x",""),""),"")</f>
        <v/>
      </c>
      <c r="P214" t="str">
        <f t="shared" si="42"/>
        <v>$E214</v>
      </c>
      <c r="Q214" t="str">
        <f t="shared" si="2"/>
        <v>$F214</v>
      </c>
      <c r="R214" t="str">
        <f t="shared" si="3"/>
        <v>$G214</v>
      </c>
      <c r="S214" t="str">
        <f t="shared" si="43"/>
        <v>$D214</v>
      </c>
      <c r="T214" t="str" cm="1">
        <f t="array" aca="1" ref="T214" ca="1">IFERROR(VLOOKUP(INDIRECT(S214),Equipe!A:C,3,0),"")</f>
        <v/>
      </c>
    </row>
    <row r="215" spans="4:20" x14ac:dyDescent="0.3">
      <c r="D215" s="23"/>
      <c r="E215" s="23"/>
      <c r="F215" s="24"/>
      <c r="G215" s="24"/>
      <c r="H215" s="23"/>
      <c r="J215" s="21" t="str">
        <f t="shared" ca="1" si="31"/>
        <v/>
      </c>
      <c r="K215" t="str" cm="1">
        <f t="array" aca="1" ref="K215" ca="1">IF(T215="Sócio",IF(COUNTIF(Opções!$H$2:$H$13,INDIRECT($P215))&gt;0,IF(AND(INDIRECT($Q215)&lt;L$1/24,INDIRECT($R215)&gt;K$1/24),"x",""),""),"")</f>
        <v/>
      </c>
      <c r="L215" t="str" cm="1">
        <f t="array" aca="1" ref="L215" ca="1">IF(T215="Sócio",IF(COUNTIF(Opções!$H$2:$H$13,INDIRECT($P215))&gt;0,IF(AND(INDIRECT($Q215)&lt;M$1/24,INDIRECT($R215)&gt;L$1/24),"x",""),""),"")</f>
        <v/>
      </c>
      <c r="M215" t="str" cm="1">
        <f t="array" aca="1" ref="M215" ca="1">IF(T215="Sócio",IF(COUNTIF(Opções!$H$2:$H$13,INDIRECT($P215))&gt;0,IF(AND(INDIRECT($Q215)&lt;N$1/24,INDIRECT($R215)&gt;M$1/24),"x",""),""),"")</f>
        <v/>
      </c>
      <c r="N215" t="str" cm="1">
        <f t="array" aca="1" ref="N215" ca="1">IF(T215="Sócio",IF(COUNTIF(Opções!$H$2:$H$13,INDIRECT($P215))&gt;0,IF(AND(INDIRECT($Q215)&lt;O$1/24,INDIRECT($R215)&gt;N$1/24),"x",""),""),"")</f>
        <v/>
      </c>
      <c r="O215" t="str" cm="1">
        <f t="array" aca="1" ref="O215" ca="1">IF(T215="Sócio",IF(COUNTIF(Opções!$H$2:$H$13,INDIRECT($P215))&gt;0,IF(AND(INDIRECT($Q215)&lt;P$1/24,INDIRECT($R215)&gt;O$1/24),"x",""),""),"")</f>
        <v/>
      </c>
      <c r="P215" t="str">
        <f t="shared" si="42"/>
        <v>$E215</v>
      </c>
      <c r="Q215" t="str">
        <f t="shared" si="2"/>
        <v>$F215</v>
      </c>
      <c r="R215" t="str">
        <f t="shared" si="3"/>
        <v>$G215</v>
      </c>
      <c r="S215" t="str">
        <f t="shared" si="43"/>
        <v>$D215</v>
      </c>
      <c r="T215" t="str" cm="1">
        <f t="array" aca="1" ref="T215" ca="1">IFERROR(VLOOKUP(INDIRECT(S215),Equipe!A:C,3,0),"")</f>
        <v/>
      </c>
    </row>
    <row r="216" spans="4:20" x14ac:dyDescent="0.3">
      <c r="D216" s="23"/>
      <c r="E216" s="23"/>
      <c r="F216" s="24"/>
      <c r="G216" s="24"/>
      <c r="H216" s="23"/>
      <c r="J216" s="21" t="str">
        <f t="shared" ca="1" si="31"/>
        <v/>
      </c>
      <c r="K216" t="str" cm="1">
        <f t="array" aca="1" ref="K216" ca="1">IF(T216="Sócio",IF(COUNTIF(Opções!$H$2:$H$13,INDIRECT($P216))&gt;0,IF(AND(INDIRECT($Q216)&lt;L$1/24,INDIRECT($R216)&gt;K$1/24),"x",""),""),"")</f>
        <v/>
      </c>
      <c r="L216" t="str" cm="1">
        <f t="array" aca="1" ref="L216" ca="1">IF(T216="Sócio",IF(COUNTIF(Opções!$H$2:$H$13,INDIRECT($P216))&gt;0,IF(AND(INDIRECT($Q216)&lt;M$1/24,INDIRECT($R216)&gt;L$1/24),"x",""),""),"")</f>
        <v/>
      </c>
      <c r="M216" t="str" cm="1">
        <f t="array" aca="1" ref="M216" ca="1">IF(T216="Sócio",IF(COUNTIF(Opções!$H$2:$H$13,INDIRECT($P216))&gt;0,IF(AND(INDIRECT($Q216)&lt;N$1/24,INDIRECT($R216)&gt;M$1/24),"x",""),""),"")</f>
        <v/>
      </c>
      <c r="N216" t="str" cm="1">
        <f t="array" aca="1" ref="N216" ca="1">IF(T216="Sócio",IF(COUNTIF(Opções!$H$2:$H$13,INDIRECT($P216))&gt;0,IF(AND(INDIRECT($Q216)&lt;O$1/24,INDIRECT($R216)&gt;N$1/24),"x",""),""),"")</f>
        <v/>
      </c>
      <c r="O216" t="str" cm="1">
        <f t="array" aca="1" ref="O216" ca="1">IF(T216="Sócio",IF(COUNTIF(Opções!$H$2:$H$13,INDIRECT($P216))&gt;0,IF(AND(INDIRECT($Q216)&lt;P$1/24,INDIRECT($R216)&gt;O$1/24),"x",""),""),"")</f>
        <v/>
      </c>
      <c r="P216" t="str">
        <f t="shared" si="42"/>
        <v>$E216</v>
      </c>
      <c r="Q216" t="str">
        <f t="shared" si="2"/>
        <v>$F216</v>
      </c>
      <c r="R216" t="str">
        <f t="shared" si="3"/>
        <v>$G216</v>
      </c>
      <c r="S216" t="str">
        <f t="shared" si="43"/>
        <v>$D216</v>
      </c>
      <c r="T216" t="str" cm="1">
        <f t="array" aca="1" ref="T216" ca="1">IFERROR(VLOOKUP(INDIRECT(S216),Equipe!A:C,3,0),"")</f>
        <v/>
      </c>
    </row>
    <row r="217" spans="4:20" x14ac:dyDescent="0.3">
      <c r="D217" s="23"/>
      <c r="E217" s="23"/>
      <c r="F217" s="24"/>
      <c r="G217" s="24"/>
      <c r="H217" s="23"/>
      <c r="J217" s="21" t="str">
        <f t="shared" ca="1" si="31"/>
        <v/>
      </c>
      <c r="K217" t="str" cm="1">
        <f t="array" aca="1" ref="K217" ca="1">IF(T217="Sócio",IF(COUNTIF(Opções!$H$2:$H$13,INDIRECT($P217))&gt;0,IF(AND(INDIRECT($Q217)&lt;L$1/24,INDIRECT($R217)&gt;K$1/24),"x",""),""),"")</f>
        <v/>
      </c>
      <c r="L217" t="str" cm="1">
        <f t="array" aca="1" ref="L217" ca="1">IF(T217="Sócio",IF(COUNTIF(Opções!$H$2:$H$13,INDIRECT($P217))&gt;0,IF(AND(INDIRECT($Q217)&lt;M$1/24,INDIRECT($R217)&gt;L$1/24),"x",""),""),"")</f>
        <v/>
      </c>
      <c r="M217" t="str" cm="1">
        <f t="array" aca="1" ref="M217" ca="1">IF(T217="Sócio",IF(COUNTIF(Opções!$H$2:$H$13,INDIRECT($P217))&gt;0,IF(AND(INDIRECT($Q217)&lt;N$1/24,INDIRECT($R217)&gt;M$1/24),"x",""),""),"")</f>
        <v/>
      </c>
      <c r="N217" t="str" cm="1">
        <f t="array" aca="1" ref="N217" ca="1">IF(T217="Sócio",IF(COUNTIF(Opções!$H$2:$H$13,INDIRECT($P217))&gt;0,IF(AND(INDIRECT($Q217)&lt;O$1/24,INDIRECT($R217)&gt;N$1/24),"x",""),""),"")</f>
        <v/>
      </c>
      <c r="O217" t="str" cm="1">
        <f t="array" aca="1" ref="O217" ca="1">IF(T217="Sócio",IF(COUNTIF(Opções!$H$2:$H$13,INDIRECT($P217))&gt;0,IF(AND(INDIRECT($Q217)&lt;P$1/24,INDIRECT($R217)&gt;O$1/24),"x",""),""),"")</f>
        <v/>
      </c>
      <c r="P217" t="str">
        <f t="shared" si="42"/>
        <v>$E217</v>
      </c>
      <c r="Q217" t="str">
        <f t="shared" si="2"/>
        <v>$F217</v>
      </c>
      <c r="R217" t="str">
        <f t="shared" si="3"/>
        <v>$G217</v>
      </c>
      <c r="S217" t="str">
        <f t="shared" si="43"/>
        <v>$D217</v>
      </c>
      <c r="T217" t="str" cm="1">
        <f t="array" aca="1" ref="T217" ca="1">IFERROR(VLOOKUP(INDIRECT(S217),Equipe!A:C,3,0),"")</f>
        <v/>
      </c>
    </row>
    <row r="218" spans="4:20" x14ac:dyDescent="0.3">
      <c r="D218" s="23"/>
      <c r="E218" s="23"/>
      <c r="F218" s="24"/>
      <c r="G218" s="24"/>
      <c r="H218" s="23"/>
      <c r="J218" s="21" t="str">
        <f t="shared" ca="1" si="31"/>
        <v/>
      </c>
      <c r="K218" t="str" cm="1">
        <f t="array" aca="1" ref="K218" ca="1">IF(T218="Sócio",IF(COUNTIF(Opções!$H$2:$H$13,INDIRECT($P218))&gt;0,IF(AND(INDIRECT($Q218)&lt;L$1/24,INDIRECT($R218)&gt;K$1/24),"x",""),""),"")</f>
        <v/>
      </c>
      <c r="L218" t="str" cm="1">
        <f t="array" aca="1" ref="L218" ca="1">IF(T218="Sócio",IF(COUNTIF(Opções!$H$2:$H$13,INDIRECT($P218))&gt;0,IF(AND(INDIRECT($Q218)&lt;M$1/24,INDIRECT($R218)&gt;L$1/24),"x",""),""),"")</f>
        <v/>
      </c>
      <c r="M218" t="str" cm="1">
        <f t="array" aca="1" ref="M218" ca="1">IF(T218="Sócio",IF(COUNTIF(Opções!$H$2:$H$13,INDIRECT($P218))&gt;0,IF(AND(INDIRECT($Q218)&lt;N$1/24,INDIRECT($R218)&gt;M$1/24),"x",""),""),"")</f>
        <v/>
      </c>
      <c r="N218" t="str" cm="1">
        <f t="array" aca="1" ref="N218" ca="1">IF(T218="Sócio",IF(COUNTIF(Opções!$H$2:$H$13,INDIRECT($P218))&gt;0,IF(AND(INDIRECT($Q218)&lt;O$1/24,INDIRECT($R218)&gt;N$1/24),"x",""),""),"")</f>
        <v/>
      </c>
      <c r="O218" t="str" cm="1">
        <f t="array" aca="1" ref="O218" ca="1">IF(T218="Sócio",IF(COUNTIF(Opções!$H$2:$H$13,INDIRECT($P218))&gt;0,IF(AND(INDIRECT($Q218)&lt;P$1/24,INDIRECT($R218)&gt;O$1/24),"x",""),""),"")</f>
        <v/>
      </c>
      <c r="P218" t="str">
        <f t="shared" si="42"/>
        <v>$E218</v>
      </c>
      <c r="Q218" t="str">
        <f t="shared" si="2"/>
        <v>$F218</v>
      </c>
      <c r="R218" t="str">
        <f t="shared" si="3"/>
        <v>$G218</v>
      </c>
      <c r="S218" t="str">
        <f t="shared" si="43"/>
        <v>$D218</v>
      </c>
      <c r="T218" t="str" cm="1">
        <f t="array" aca="1" ref="T218" ca="1">IFERROR(VLOOKUP(INDIRECT(S218),Equipe!A:C,3,0),"")</f>
        <v/>
      </c>
    </row>
    <row r="219" spans="4:20" x14ac:dyDescent="0.3">
      <c r="D219" s="23"/>
      <c r="E219" s="23"/>
      <c r="F219" s="24"/>
      <c r="G219" s="24"/>
      <c r="H219" s="23"/>
      <c r="J219" s="21" t="str">
        <f t="shared" ca="1" si="31"/>
        <v/>
      </c>
      <c r="K219" t="str" cm="1">
        <f t="array" aca="1" ref="K219" ca="1">IF(T219="Sócio",IF(COUNTIF(Opções!$H$2:$H$13,INDIRECT($P219))&gt;0,IF(AND(INDIRECT($Q219)&lt;L$1/24,INDIRECT($R219)&gt;K$1/24),"x",""),""),"")</f>
        <v/>
      </c>
      <c r="L219" t="str" cm="1">
        <f t="array" aca="1" ref="L219" ca="1">IF(T219="Sócio",IF(COUNTIF(Opções!$H$2:$H$13,INDIRECT($P219))&gt;0,IF(AND(INDIRECT($Q219)&lt;M$1/24,INDIRECT($R219)&gt;L$1/24),"x",""),""),"")</f>
        <v/>
      </c>
      <c r="M219" t="str" cm="1">
        <f t="array" aca="1" ref="M219" ca="1">IF(T219="Sócio",IF(COUNTIF(Opções!$H$2:$H$13,INDIRECT($P219))&gt;0,IF(AND(INDIRECT($Q219)&lt;N$1/24,INDIRECT($R219)&gt;M$1/24),"x",""),""),"")</f>
        <v/>
      </c>
      <c r="N219" t="str" cm="1">
        <f t="array" aca="1" ref="N219" ca="1">IF(T219="Sócio",IF(COUNTIF(Opções!$H$2:$H$13,INDIRECT($P219))&gt;0,IF(AND(INDIRECT($Q219)&lt;O$1/24,INDIRECT($R219)&gt;N$1/24),"x",""),""),"")</f>
        <v/>
      </c>
      <c r="O219" t="str" cm="1">
        <f t="array" aca="1" ref="O219" ca="1">IF(T219="Sócio",IF(COUNTIF(Opções!$H$2:$H$13,INDIRECT($P219))&gt;0,IF(AND(INDIRECT($Q219)&lt;P$1/24,INDIRECT($R219)&gt;O$1/24),"x",""),""),"")</f>
        <v/>
      </c>
      <c r="P219" t="str">
        <f t="shared" si="42"/>
        <v>$E219</v>
      </c>
      <c r="Q219" t="str">
        <f t="shared" si="2"/>
        <v>$F219</v>
      </c>
      <c r="R219" t="str">
        <f t="shared" si="3"/>
        <v>$G219</v>
      </c>
      <c r="S219" t="str">
        <f t="shared" si="43"/>
        <v>$D219</v>
      </c>
      <c r="T219" t="str" cm="1">
        <f t="array" aca="1" ref="T219" ca="1">IFERROR(VLOOKUP(INDIRECT(S219),Equipe!A:C,3,0),"")</f>
        <v/>
      </c>
    </row>
    <row r="220" spans="4:20" x14ac:dyDescent="0.3">
      <c r="D220" s="23"/>
      <c r="E220" s="23"/>
      <c r="F220" s="24"/>
      <c r="G220" s="24"/>
      <c r="H220" s="23"/>
      <c r="J220" s="21" t="str">
        <f t="shared" ca="1" si="31"/>
        <v/>
      </c>
      <c r="K220" t="str" cm="1">
        <f t="array" aca="1" ref="K220" ca="1">IF(T220="Sócio",IF(COUNTIF(Opções!$H$2:$H$13,INDIRECT($P220))&gt;0,IF(AND(INDIRECT($Q220)&lt;L$1/24,INDIRECT($R220)&gt;K$1/24),"x",""),""),"")</f>
        <v/>
      </c>
      <c r="L220" t="str" cm="1">
        <f t="array" aca="1" ref="L220" ca="1">IF(T220="Sócio",IF(COUNTIF(Opções!$H$2:$H$13,INDIRECT($P220))&gt;0,IF(AND(INDIRECT($Q220)&lt;M$1/24,INDIRECT($R220)&gt;L$1/24),"x",""),""),"")</f>
        <v/>
      </c>
      <c r="M220" t="str" cm="1">
        <f t="array" aca="1" ref="M220" ca="1">IF(T220="Sócio",IF(COUNTIF(Opções!$H$2:$H$13,INDIRECT($P220))&gt;0,IF(AND(INDIRECT($Q220)&lt;N$1/24,INDIRECT($R220)&gt;M$1/24),"x",""),""),"")</f>
        <v/>
      </c>
      <c r="N220" t="str" cm="1">
        <f t="array" aca="1" ref="N220" ca="1">IF(T220="Sócio",IF(COUNTIF(Opções!$H$2:$H$13,INDIRECT($P220))&gt;0,IF(AND(INDIRECT($Q220)&lt;O$1/24,INDIRECT($R220)&gt;N$1/24),"x",""),""),"")</f>
        <v/>
      </c>
      <c r="O220" t="str" cm="1">
        <f t="array" aca="1" ref="O220" ca="1">IF(T220="Sócio",IF(COUNTIF(Opções!$H$2:$H$13,INDIRECT($P220))&gt;0,IF(AND(INDIRECT($Q220)&lt;P$1/24,INDIRECT($R220)&gt;O$1/24),"x",""),""),"")</f>
        <v/>
      </c>
      <c r="P220" t="str">
        <f t="shared" si="42"/>
        <v>$E220</v>
      </c>
      <c r="Q220" t="str">
        <f t="shared" si="2"/>
        <v>$F220</v>
      </c>
      <c r="R220" t="str">
        <f t="shared" si="3"/>
        <v>$G220</v>
      </c>
      <c r="S220" t="str">
        <f t="shared" si="43"/>
        <v>$D220</v>
      </c>
      <c r="T220" t="str" cm="1">
        <f t="array" aca="1" ref="T220" ca="1">IFERROR(VLOOKUP(INDIRECT(S220),Equipe!A:C,3,0),"")</f>
        <v/>
      </c>
    </row>
    <row r="221" spans="4:20" x14ac:dyDescent="0.3">
      <c r="D221" s="23"/>
      <c r="E221" s="23"/>
      <c r="F221" s="24"/>
      <c r="G221" s="24"/>
      <c r="H221" s="23"/>
      <c r="J221" s="21" t="str">
        <f t="shared" ca="1" si="31"/>
        <v/>
      </c>
      <c r="K221" t="str" cm="1">
        <f t="array" aca="1" ref="K221" ca="1">IF(T221="Sócio",IF(COUNTIF(Opções!$H$2:$H$13,INDIRECT($P221))&gt;0,IF(AND(INDIRECT($Q221)&lt;L$1/24,INDIRECT($R221)&gt;K$1/24),"x",""),""),"")</f>
        <v/>
      </c>
      <c r="L221" t="str" cm="1">
        <f t="array" aca="1" ref="L221" ca="1">IF(T221="Sócio",IF(COUNTIF(Opções!$H$2:$H$13,INDIRECT($P221))&gt;0,IF(AND(INDIRECT($Q221)&lt;M$1/24,INDIRECT($R221)&gt;L$1/24),"x",""),""),"")</f>
        <v/>
      </c>
      <c r="M221" t="str" cm="1">
        <f t="array" aca="1" ref="M221" ca="1">IF(T221="Sócio",IF(COUNTIF(Opções!$H$2:$H$13,INDIRECT($P221))&gt;0,IF(AND(INDIRECT($Q221)&lt;N$1/24,INDIRECT($R221)&gt;M$1/24),"x",""),""),"")</f>
        <v/>
      </c>
      <c r="N221" t="str" cm="1">
        <f t="array" aca="1" ref="N221" ca="1">IF(T221="Sócio",IF(COUNTIF(Opções!$H$2:$H$13,INDIRECT($P221))&gt;0,IF(AND(INDIRECT($Q221)&lt;O$1/24,INDIRECT($R221)&gt;N$1/24),"x",""),""),"")</f>
        <v/>
      </c>
      <c r="O221" t="str" cm="1">
        <f t="array" aca="1" ref="O221" ca="1">IF(T221="Sócio",IF(COUNTIF(Opções!$H$2:$H$13,INDIRECT($P221))&gt;0,IF(AND(INDIRECT($Q221)&lt;P$1/24,INDIRECT($R221)&gt;O$1/24),"x",""),""),"")</f>
        <v/>
      </c>
      <c r="P221" t="str">
        <f t="shared" si="42"/>
        <v>$E221</v>
      </c>
      <c r="Q221" t="str">
        <f t="shared" si="2"/>
        <v>$F221</v>
      </c>
      <c r="R221" t="str">
        <f t="shared" si="3"/>
        <v>$G221</v>
      </c>
      <c r="S221" t="str">
        <f t="shared" si="43"/>
        <v>$D221</v>
      </c>
      <c r="T221" t="str" cm="1">
        <f t="array" aca="1" ref="T221" ca="1">IFERROR(VLOOKUP(INDIRECT(S221),Equipe!A:C,3,0),"")</f>
        <v/>
      </c>
    </row>
    <row r="222" spans="4:20" x14ac:dyDescent="0.3">
      <c r="D222" s="23"/>
      <c r="E222" s="23"/>
      <c r="F222" s="24"/>
      <c r="G222" s="24"/>
      <c r="H222" s="23"/>
      <c r="J222" s="21" t="str">
        <f t="shared" ca="1" si="31"/>
        <v/>
      </c>
      <c r="K222" t="str" cm="1">
        <f t="array" aca="1" ref="K222" ca="1">IF(T222="Sócio",IF(COUNTIF(Opções!$H$2:$H$13,INDIRECT($P222))&gt;0,IF(AND(INDIRECT($Q222)&lt;L$1/24,INDIRECT($R222)&gt;K$1/24),"x",""),""),"")</f>
        <v/>
      </c>
      <c r="L222" t="str" cm="1">
        <f t="array" aca="1" ref="L222" ca="1">IF(T222="Sócio",IF(COUNTIF(Opções!$H$2:$H$13,INDIRECT($P222))&gt;0,IF(AND(INDIRECT($Q222)&lt;M$1/24,INDIRECT($R222)&gt;L$1/24),"x",""),""),"")</f>
        <v/>
      </c>
      <c r="M222" t="str" cm="1">
        <f t="array" aca="1" ref="M222" ca="1">IF(T222="Sócio",IF(COUNTIF(Opções!$H$2:$H$13,INDIRECT($P222))&gt;0,IF(AND(INDIRECT($Q222)&lt;N$1/24,INDIRECT($R222)&gt;M$1/24),"x",""),""),"")</f>
        <v/>
      </c>
      <c r="N222" t="str" cm="1">
        <f t="array" aca="1" ref="N222" ca="1">IF(T222="Sócio",IF(COUNTIF(Opções!$H$2:$H$13,INDIRECT($P222))&gt;0,IF(AND(INDIRECT($Q222)&lt;O$1/24,INDIRECT($R222)&gt;N$1/24),"x",""),""),"")</f>
        <v/>
      </c>
      <c r="O222" t="str" cm="1">
        <f t="array" aca="1" ref="O222" ca="1">IF(T222="Sócio",IF(COUNTIF(Opções!$H$2:$H$13,INDIRECT($P222))&gt;0,IF(AND(INDIRECT($Q222)&lt;P$1/24,INDIRECT($R222)&gt;O$1/24),"x",""),""),"")</f>
        <v/>
      </c>
      <c r="P222" t="str">
        <f t="shared" si="42"/>
        <v>$E222</v>
      </c>
      <c r="Q222" t="str">
        <f t="shared" si="2"/>
        <v>$F222</v>
      </c>
      <c r="R222" t="str">
        <f t="shared" si="3"/>
        <v>$G222</v>
      </c>
      <c r="S222" t="str">
        <f t="shared" si="43"/>
        <v>$D222</v>
      </c>
      <c r="T222" t="str" cm="1">
        <f t="array" aca="1" ref="T222" ca="1">IFERROR(VLOOKUP(INDIRECT(S222),Equipe!A:C,3,0),"")</f>
        <v/>
      </c>
    </row>
    <row r="223" spans="4:20" x14ac:dyDescent="0.3">
      <c r="D223" s="23"/>
      <c r="E223" s="23"/>
      <c r="F223" s="24"/>
      <c r="G223" s="24"/>
      <c r="H223" s="23"/>
      <c r="J223" s="21" t="str">
        <f t="shared" ca="1" si="31"/>
        <v/>
      </c>
      <c r="K223" t="str" cm="1">
        <f t="array" aca="1" ref="K223" ca="1">IF(T223="Sócio",IF(COUNTIF(Opções!$H$2:$H$13,INDIRECT($P223))&gt;0,IF(AND(INDIRECT($Q223)&lt;L$1/24,INDIRECT($R223)&gt;K$1/24),"x",""),""),"")</f>
        <v/>
      </c>
      <c r="L223" t="str" cm="1">
        <f t="array" aca="1" ref="L223" ca="1">IF(T223="Sócio",IF(COUNTIF(Opções!$H$2:$H$13,INDIRECT($P223))&gt;0,IF(AND(INDIRECT($Q223)&lt;M$1/24,INDIRECT($R223)&gt;L$1/24),"x",""),""),"")</f>
        <v/>
      </c>
      <c r="M223" t="str" cm="1">
        <f t="array" aca="1" ref="M223" ca="1">IF(T223="Sócio",IF(COUNTIF(Opções!$H$2:$H$13,INDIRECT($P223))&gt;0,IF(AND(INDIRECT($Q223)&lt;N$1/24,INDIRECT($R223)&gt;M$1/24),"x",""),""),"")</f>
        <v/>
      </c>
      <c r="N223" t="str" cm="1">
        <f t="array" aca="1" ref="N223" ca="1">IF(T223="Sócio",IF(COUNTIF(Opções!$H$2:$H$13,INDIRECT($P223))&gt;0,IF(AND(INDIRECT($Q223)&lt;O$1/24,INDIRECT($R223)&gt;N$1/24),"x",""),""),"")</f>
        <v/>
      </c>
      <c r="O223" t="str" cm="1">
        <f t="array" aca="1" ref="O223" ca="1">IF(T223="Sócio",IF(COUNTIF(Opções!$H$2:$H$13,INDIRECT($P223))&gt;0,IF(AND(INDIRECT($Q223)&lt;P$1/24,INDIRECT($R223)&gt;O$1/24),"x",""),""),"")</f>
        <v/>
      </c>
      <c r="P223" t="str">
        <f t="shared" si="42"/>
        <v>$E223</v>
      </c>
      <c r="Q223" t="str">
        <f t="shared" ref="Q223" si="46">"$F"&amp;ROW(O223)</f>
        <v>$F223</v>
      </c>
      <c r="R223" t="str">
        <f t="shared" ref="R223" si="47">"$G"&amp;ROW(Q223)</f>
        <v>$G223</v>
      </c>
      <c r="S223" t="str">
        <f t="shared" si="43"/>
        <v>$D223</v>
      </c>
      <c r="T223" t="str" cm="1">
        <f t="array" aca="1" ref="T223" ca="1">IFERROR(VLOOKUP(INDIRECT(S223),Equipe!A:C,3,0),"")</f>
        <v/>
      </c>
    </row>
    <row r="224" spans="4:20" x14ac:dyDescent="0.3">
      <c r="D224" s="23"/>
      <c r="E224" s="23"/>
      <c r="F224" s="24"/>
      <c r="G224" s="24"/>
      <c r="H224" s="23"/>
      <c r="J224" s="21" t="str">
        <f t="shared" ca="1" si="31"/>
        <v/>
      </c>
      <c r="K224" t="str" cm="1">
        <f t="array" aca="1" ref="K224" ca="1">IF(T224="Sócio",IF(COUNTIF(Opções!$H$2:$H$13,INDIRECT($P224))&gt;0,IF(AND(INDIRECT($Q224)&lt;L$1/24,INDIRECT($R224)&gt;K$1/24),"x",""),""),"")</f>
        <v/>
      </c>
      <c r="L224" t="str" cm="1">
        <f t="array" aca="1" ref="L224" ca="1">IF(T224="Sócio",IF(COUNTIF(Opções!$H$2:$H$13,INDIRECT($P224))&gt;0,IF(AND(INDIRECT($Q224)&lt;M$1/24,INDIRECT($R224)&gt;L$1/24),"x",""),""),"")</f>
        <v/>
      </c>
      <c r="M224" t="str" cm="1">
        <f t="array" aca="1" ref="M224" ca="1">IF(T224="Sócio",IF(COUNTIF(Opções!$H$2:$H$13,INDIRECT($P224))&gt;0,IF(AND(INDIRECT($Q224)&lt;N$1/24,INDIRECT($R224)&gt;M$1/24),"x",""),""),"")</f>
        <v/>
      </c>
      <c r="N224" t="str" cm="1">
        <f t="array" aca="1" ref="N224" ca="1">IF(T224="Sócio",IF(COUNTIF(Opções!$H$2:$H$13,INDIRECT($P224))&gt;0,IF(AND(INDIRECT($Q224)&lt;O$1/24,INDIRECT($R224)&gt;N$1/24),"x",""),""),"")</f>
        <v/>
      </c>
      <c r="O224" t="str" cm="1">
        <f t="array" aca="1" ref="O224" ca="1">IF(T224="Sócio",IF(COUNTIF(Opções!$H$2:$H$13,INDIRECT($P224))&gt;0,IF(AND(INDIRECT($Q224)&lt;P$1/24,INDIRECT($R224)&gt;O$1/24),"x",""),""),"")</f>
        <v/>
      </c>
      <c r="P224" t="str">
        <f t="shared" si="42"/>
        <v>$E224</v>
      </c>
      <c r="Q224" t="str">
        <f t="shared" si="2"/>
        <v>$F224</v>
      </c>
      <c r="R224" t="str">
        <f t="shared" si="3"/>
        <v>$G224</v>
      </c>
      <c r="S224" t="str">
        <f t="shared" si="43"/>
        <v>$D224</v>
      </c>
      <c r="T224" t="str" cm="1">
        <f t="array" aca="1" ref="T224" ca="1">IFERROR(VLOOKUP(INDIRECT(S224),Equipe!A:C,3,0),"")</f>
        <v/>
      </c>
    </row>
    <row r="225" spans="4:20" x14ac:dyDescent="0.3">
      <c r="D225" s="23"/>
      <c r="E225" s="23"/>
      <c r="F225" s="24"/>
      <c r="G225" s="24"/>
      <c r="H225" s="23"/>
      <c r="J225" s="21" t="str">
        <f t="shared" ref="J225:J288" ca="1" si="48">IF(K225="x",IF(COUNTIF(K:K,"x")&gt;2,"Aviso (primeiro período)",""),IF(L225="x",IF(COUNTIF(L:L,"x")&gt;1,"Aviso (segundo período)",""),IF(M225="x",IF(COUNTIF(M:M,"x")&gt;1,"Aviso (terceiro período)",""),IF(N225="x",IF(COUNTIF(N:N,"x")&gt;2,"Aviso (quarto período)",""),IF(O225="x",IF(COUNTIF(O:O,"x")&gt;5,"Aviso (quinto período)",""),"")))))</f>
        <v/>
      </c>
      <c r="K225" t="str" cm="1">
        <f t="array" aca="1" ref="K225" ca="1">IF(T225="Sócio",IF(COUNTIF(Opções!$H$2:$H$13,INDIRECT($P225))&gt;0,IF(AND(INDIRECT($Q225)&lt;L$1/24,INDIRECT($R225)&gt;K$1/24),"x",""),""),"")</f>
        <v/>
      </c>
      <c r="L225" t="str" cm="1">
        <f t="array" aca="1" ref="L225" ca="1">IF(T225="Sócio",IF(COUNTIF(Opções!$H$2:$H$13,INDIRECT($P225))&gt;0,IF(AND(INDIRECT($Q225)&lt;M$1/24,INDIRECT($R225)&gt;L$1/24),"x",""),""),"")</f>
        <v/>
      </c>
      <c r="M225" t="str" cm="1">
        <f t="array" aca="1" ref="M225" ca="1">IF(T225="Sócio",IF(COUNTIF(Opções!$H$2:$H$13,INDIRECT($P225))&gt;0,IF(AND(INDIRECT($Q225)&lt;N$1/24,INDIRECT($R225)&gt;M$1/24),"x",""),""),"")</f>
        <v/>
      </c>
      <c r="N225" t="str" cm="1">
        <f t="array" aca="1" ref="N225" ca="1">IF(T225="Sócio",IF(COUNTIF(Opções!$H$2:$H$13,INDIRECT($P225))&gt;0,IF(AND(INDIRECT($Q225)&lt;O$1/24,INDIRECT($R225)&gt;N$1/24),"x",""),""),"")</f>
        <v/>
      </c>
      <c r="O225" t="str" cm="1">
        <f t="array" aca="1" ref="O225" ca="1">IF(T225="Sócio",IF(COUNTIF(Opções!$H$2:$H$13,INDIRECT($P225))&gt;0,IF(AND(INDIRECT($Q225)&lt;P$1/24,INDIRECT($R225)&gt;O$1/24),"x",""),""),"")</f>
        <v/>
      </c>
      <c r="P225" t="str">
        <f t="shared" si="42"/>
        <v>$E225</v>
      </c>
      <c r="Q225" t="str">
        <f t="shared" si="2"/>
        <v>$F225</v>
      </c>
      <c r="R225" t="str">
        <f t="shared" si="3"/>
        <v>$G225</v>
      </c>
      <c r="S225" t="str">
        <f t="shared" si="43"/>
        <v>$D225</v>
      </c>
      <c r="T225" t="str" cm="1">
        <f t="array" aca="1" ref="T225" ca="1">IFERROR(VLOOKUP(INDIRECT(S225),Equipe!A:C,3,0),"")</f>
        <v/>
      </c>
    </row>
    <row r="226" spans="4:20" x14ac:dyDescent="0.3">
      <c r="D226" s="23"/>
      <c r="E226" s="23"/>
      <c r="F226" s="24"/>
      <c r="G226" s="24"/>
      <c r="H226" s="23"/>
      <c r="J226" s="21" t="str">
        <f t="shared" ca="1" si="48"/>
        <v/>
      </c>
      <c r="K226" t="str" cm="1">
        <f t="array" aca="1" ref="K226" ca="1">IF(T226="Sócio",IF(COUNTIF(Opções!$H$2:$H$13,INDIRECT($P226))&gt;0,IF(AND(INDIRECT($Q226)&lt;L$1/24,INDIRECT($R226)&gt;K$1/24),"x",""),""),"")</f>
        <v/>
      </c>
      <c r="L226" t="str" cm="1">
        <f t="array" aca="1" ref="L226" ca="1">IF(T226="Sócio",IF(COUNTIF(Opções!$H$2:$H$13,INDIRECT($P226))&gt;0,IF(AND(INDIRECT($Q226)&lt;M$1/24,INDIRECT($R226)&gt;L$1/24),"x",""),""),"")</f>
        <v/>
      </c>
      <c r="M226" t="str" cm="1">
        <f t="array" aca="1" ref="M226" ca="1">IF(T226="Sócio",IF(COUNTIF(Opções!$H$2:$H$13,INDIRECT($P226))&gt;0,IF(AND(INDIRECT($Q226)&lt;N$1/24,INDIRECT($R226)&gt;M$1/24),"x",""),""),"")</f>
        <v/>
      </c>
      <c r="N226" t="str" cm="1">
        <f t="array" aca="1" ref="N226" ca="1">IF(T226="Sócio",IF(COUNTIF(Opções!$H$2:$H$13,INDIRECT($P226))&gt;0,IF(AND(INDIRECT($Q226)&lt;O$1/24,INDIRECT($R226)&gt;N$1/24),"x",""),""),"")</f>
        <v/>
      </c>
      <c r="O226" t="str" cm="1">
        <f t="array" aca="1" ref="O226" ca="1">IF(T226="Sócio",IF(COUNTIF(Opções!$H$2:$H$13,INDIRECT($P226))&gt;0,IF(AND(INDIRECT($Q226)&lt;P$1/24,INDIRECT($R226)&gt;O$1/24),"x",""),""),"")</f>
        <v/>
      </c>
      <c r="P226" t="str">
        <f t="shared" si="42"/>
        <v>$E226</v>
      </c>
      <c r="Q226" t="str">
        <f t="shared" si="2"/>
        <v>$F226</v>
      </c>
      <c r="R226" t="str">
        <f t="shared" si="3"/>
        <v>$G226</v>
      </c>
      <c r="S226" t="str">
        <f t="shared" si="43"/>
        <v>$D226</v>
      </c>
      <c r="T226" t="str" cm="1">
        <f t="array" aca="1" ref="T226" ca="1">IFERROR(VLOOKUP(INDIRECT(S226),Equipe!A:C,3,0),"")</f>
        <v/>
      </c>
    </row>
    <row r="227" spans="4:20" x14ac:dyDescent="0.3">
      <c r="D227" s="23"/>
      <c r="E227" s="23"/>
      <c r="F227" s="24"/>
      <c r="G227" s="24"/>
      <c r="H227" s="23"/>
      <c r="J227" s="21" t="str">
        <f t="shared" ca="1" si="48"/>
        <v/>
      </c>
      <c r="K227" t="str" cm="1">
        <f t="array" aca="1" ref="K227" ca="1">IF(T227="Sócio",IF(COUNTIF(Opções!$H$2:$H$13,INDIRECT($P227))&gt;0,IF(AND(INDIRECT($Q227)&lt;L$1/24,INDIRECT($R227)&gt;K$1/24),"x",""),""),"")</f>
        <v/>
      </c>
      <c r="L227" t="str" cm="1">
        <f t="array" aca="1" ref="L227" ca="1">IF(T227="Sócio",IF(COUNTIF(Opções!$H$2:$H$13,INDIRECT($P227))&gt;0,IF(AND(INDIRECT($Q227)&lt;M$1/24,INDIRECT($R227)&gt;L$1/24),"x",""),""),"")</f>
        <v/>
      </c>
      <c r="M227" t="str" cm="1">
        <f t="array" aca="1" ref="M227" ca="1">IF(T227="Sócio",IF(COUNTIF(Opções!$H$2:$H$13,INDIRECT($P227))&gt;0,IF(AND(INDIRECT($Q227)&lt;N$1/24,INDIRECT($R227)&gt;M$1/24),"x",""),""),"")</f>
        <v/>
      </c>
      <c r="N227" t="str" cm="1">
        <f t="array" aca="1" ref="N227" ca="1">IF(T227="Sócio",IF(COUNTIF(Opções!$H$2:$H$13,INDIRECT($P227))&gt;0,IF(AND(INDIRECT($Q227)&lt;O$1/24,INDIRECT($R227)&gt;N$1/24),"x",""),""),"")</f>
        <v/>
      </c>
      <c r="O227" t="str" cm="1">
        <f t="array" aca="1" ref="O227" ca="1">IF(T227="Sócio",IF(COUNTIF(Opções!$H$2:$H$13,INDIRECT($P227))&gt;0,IF(AND(INDIRECT($Q227)&lt;P$1/24,INDIRECT($R227)&gt;O$1/24),"x",""),""),"")</f>
        <v/>
      </c>
      <c r="P227" t="str">
        <f t="shared" si="42"/>
        <v>$E227</v>
      </c>
      <c r="Q227" t="str">
        <f t="shared" si="2"/>
        <v>$F227</v>
      </c>
      <c r="R227" t="str">
        <f t="shared" si="3"/>
        <v>$G227</v>
      </c>
      <c r="S227" t="str">
        <f t="shared" si="43"/>
        <v>$D227</v>
      </c>
      <c r="T227" t="str" cm="1">
        <f t="array" aca="1" ref="T227" ca="1">IFERROR(VLOOKUP(INDIRECT(S227),Equipe!A:C,3,0),"")</f>
        <v/>
      </c>
    </row>
    <row r="228" spans="4:20" x14ac:dyDescent="0.3">
      <c r="D228" s="23"/>
      <c r="E228" s="23"/>
      <c r="F228" s="24"/>
      <c r="G228" s="24"/>
      <c r="H228" s="23"/>
      <c r="J228" s="21" t="str">
        <f t="shared" ca="1" si="48"/>
        <v/>
      </c>
      <c r="K228" t="str" cm="1">
        <f t="array" aca="1" ref="K228" ca="1">IF(T228="Sócio",IF(COUNTIF(Opções!$H$2:$H$13,INDIRECT($P228))&gt;0,IF(AND(INDIRECT($Q228)&lt;L$1/24,INDIRECT($R228)&gt;K$1/24),"x",""),""),"")</f>
        <v/>
      </c>
      <c r="L228" t="str" cm="1">
        <f t="array" aca="1" ref="L228" ca="1">IF(T228="Sócio",IF(COUNTIF(Opções!$H$2:$H$13,INDIRECT($P228))&gt;0,IF(AND(INDIRECT($Q228)&lt;M$1/24,INDIRECT($R228)&gt;L$1/24),"x",""),""),"")</f>
        <v/>
      </c>
      <c r="M228" t="str" cm="1">
        <f t="array" aca="1" ref="M228" ca="1">IF(T228="Sócio",IF(COUNTIF(Opções!$H$2:$H$13,INDIRECT($P228))&gt;0,IF(AND(INDIRECT($Q228)&lt;N$1/24,INDIRECT($R228)&gt;M$1/24),"x",""),""),"")</f>
        <v/>
      </c>
      <c r="N228" t="str" cm="1">
        <f t="array" aca="1" ref="N228" ca="1">IF(T228="Sócio",IF(COUNTIF(Opções!$H$2:$H$13,INDIRECT($P228))&gt;0,IF(AND(INDIRECT($Q228)&lt;O$1/24,INDIRECT($R228)&gt;N$1/24),"x",""),""),"")</f>
        <v/>
      </c>
      <c r="O228" t="str" cm="1">
        <f t="array" aca="1" ref="O228" ca="1">IF(T228="Sócio",IF(COUNTIF(Opções!$H$2:$H$13,INDIRECT($P228))&gt;0,IF(AND(INDIRECT($Q228)&lt;P$1/24,INDIRECT($R228)&gt;O$1/24),"x",""),""),"")</f>
        <v/>
      </c>
      <c r="P228" t="str">
        <f t="shared" si="42"/>
        <v>$E228</v>
      </c>
      <c r="Q228" t="str">
        <f t="shared" si="2"/>
        <v>$F228</v>
      </c>
      <c r="R228" t="str">
        <f t="shared" si="3"/>
        <v>$G228</v>
      </c>
      <c r="S228" t="str">
        <f t="shared" si="43"/>
        <v>$D228</v>
      </c>
      <c r="T228" t="str" cm="1">
        <f t="array" aca="1" ref="T228" ca="1">IFERROR(VLOOKUP(INDIRECT(S228),Equipe!A:C,3,0),"")</f>
        <v/>
      </c>
    </row>
    <row r="229" spans="4:20" x14ac:dyDescent="0.3">
      <c r="D229" s="23"/>
      <c r="E229" s="23"/>
      <c r="F229" s="24"/>
      <c r="G229" s="24"/>
      <c r="H229" s="23"/>
      <c r="J229" s="21" t="str">
        <f t="shared" ca="1" si="48"/>
        <v/>
      </c>
      <c r="K229" t="str" cm="1">
        <f t="array" aca="1" ref="K229" ca="1">IF(T229="Sócio",IF(COUNTIF(Opções!$H$2:$H$13,INDIRECT($P229))&gt;0,IF(AND(INDIRECT($Q229)&lt;L$1/24,INDIRECT($R229)&gt;K$1/24),"x",""),""),"")</f>
        <v/>
      </c>
      <c r="L229" t="str" cm="1">
        <f t="array" aca="1" ref="L229" ca="1">IF(T229="Sócio",IF(COUNTIF(Opções!$H$2:$H$13,INDIRECT($P229))&gt;0,IF(AND(INDIRECT($Q229)&lt;M$1/24,INDIRECT($R229)&gt;L$1/24),"x",""),""),"")</f>
        <v/>
      </c>
      <c r="M229" t="str" cm="1">
        <f t="array" aca="1" ref="M229" ca="1">IF(T229="Sócio",IF(COUNTIF(Opções!$H$2:$H$13,INDIRECT($P229))&gt;0,IF(AND(INDIRECT($Q229)&lt;N$1/24,INDIRECT($R229)&gt;M$1/24),"x",""),""),"")</f>
        <v/>
      </c>
      <c r="N229" t="str" cm="1">
        <f t="array" aca="1" ref="N229" ca="1">IF(T229="Sócio",IF(COUNTIF(Opções!$H$2:$H$13,INDIRECT($P229))&gt;0,IF(AND(INDIRECT($Q229)&lt;O$1/24,INDIRECT($R229)&gt;N$1/24),"x",""),""),"")</f>
        <v/>
      </c>
      <c r="O229" t="str" cm="1">
        <f t="array" aca="1" ref="O229" ca="1">IF(T229="Sócio",IF(COUNTIF(Opções!$H$2:$H$13,INDIRECT($P229))&gt;0,IF(AND(INDIRECT($Q229)&lt;P$1/24,INDIRECT($R229)&gt;O$1/24),"x",""),""),"")</f>
        <v/>
      </c>
      <c r="P229" t="str">
        <f t="shared" si="42"/>
        <v>$E229</v>
      </c>
      <c r="Q229" t="str">
        <f t="shared" si="2"/>
        <v>$F229</v>
      </c>
      <c r="R229" t="str">
        <f t="shared" si="3"/>
        <v>$G229</v>
      </c>
      <c r="S229" t="str">
        <f t="shared" si="43"/>
        <v>$D229</v>
      </c>
      <c r="T229" t="str" cm="1">
        <f t="array" aca="1" ref="T229" ca="1">IFERROR(VLOOKUP(INDIRECT(S229),Equipe!A:C,3,0),"")</f>
        <v/>
      </c>
    </row>
    <row r="230" spans="4:20" x14ac:dyDescent="0.3">
      <c r="D230" s="23"/>
      <c r="E230" s="23"/>
      <c r="F230" s="24"/>
      <c r="G230" s="24"/>
      <c r="H230" s="23"/>
      <c r="J230" s="21" t="str">
        <f t="shared" ca="1" si="48"/>
        <v/>
      </c>
      <c r="K230" t="str" cm="1">
        <f t="array" aca="1" ref="K230" ca="1">IF(T230="Sócio",IF(COUNTIF(Opções!$H$2:$H$13,INDIRECT($P230))&gt;0,IF(AND(INDIRECT($Q230)&lt;L$1/24,INDIRECT($R230)&gt;K$1/24),"x",""),""),"")</f>
        <v/>
      </c>
      <c r="L230" t="str" cm="1">
        <f t="array" aca="1" ref="L230" ca="1">IF(T230="Sócio",IF(COUNTIF(Opções!$H$2:$H$13,INDIRECT($P230))&gt;0,IF(AND(INDIRECT($Q230)&lt;M$1/24,INDIRECT($R230)&gt;L$1/24),"x",""),""),"")</f>
        <v/>
      </c>
      <c r="M230" t="str" cm="1">
        <f t="array" aca="1" ref="M230" ca="1">IF(T230="Sócio",IF(COUNTIF(Opções!$H$2:$H$13,INDIRECT($P230))&gt;0,IF(AND(INDIRECT($Q230)&lt;N$1/24,INDIRECT($R230)&gt;M$1/24),"x",""),""),"")</f>
        <v/>
      </c>
      <c r="N230" t="str" cm="1">
        <f t="array" aca="1" ref="N230" ca="1">IF(T230="Sócio",IF(COUNTIF(Opções!$H$2:$H$13,INDIRECT($P230))&gt;0,IF(AND(INDIRECT($Q230)&lt;O$1/24,INDIRECT($R230)&gt;N$1/24),"x",""),""),"")</f>
        <v/>
      </c>
      <c r="O230" t="str" cm="1">
        <f t="array" aca="1" ref="O230" ca="1">IF(T230="Sócio",IF(COUNTIF(Opções!$H$2:$H$13,INDIRECT($P230))&gt;0,IF(AND(INDIRECT($Q230)&lt;P$1/24,INDIRECT($R230)&gt;O$1/24),"x",""),""),"")</f>
        <v/>
      </c>
      <c r="P230" t="str">
        <f t="shared" si="42"/>
        <v>$E230</v>
      </c>
      <c r="Q230" t="str">
        <f t="shared" si="2"/>
        <v>$F230</v>
      </c>
      <c r="R230" t="str">
        <f t="shared" si="3"/>
        <v>$G230</v>
      </c>
      <c r="S230" t="str">
        <f t="shared" si="43"/>
        <v>$D230</v>
      </c>
      <c r="T230" t="str" cm="1">
        <f t="array" aca="1" ref="T230" ca="1">IFERROR(VLOOKUP(INDIRECT(S230),Equipe!A:C,3,0),"")</f>
        <v/>
      </c>
    </row>
    <row r="231" spans="4:20" x14ac:dyDescent="0.3">
      <c r="D231" s="23"/>
      <c r="E231" s="23"/>
      <c r="F231" s="24"/>
      <c r="G231" s="24"/>
      <c r="H231" s="23"/>
      <c r="J231" s="21" t="str">
        <f t="shared" ca="1" si="48"/>
        <v/>
      </c>
      <c r="K231" t="str" cm="1">
        <f t="array" aca="1" ref="K231" ca="1">IF(T231="Sócio",IF(COUNTIF(Opções!$H$2:$H$13,INDIRECT($P231))&gt;0,IF(AND(INDIRECT($Q231)&lt;L$1/24,INDIRECT($R231)&gt;K$1/24),"x",""),""),"")</f>
        <v/>
      </c>
      <c r="L231" t="str" cm="1">
        <f t="array" aca="1" ref="L231" ca="1">IF(T231="Sócio",IF(COUNTIF(Opções!$H$2:$H$13,INDIRECT($P231))&gt;0,IF(AND(INDIRECT($Q231)&lt;M$1/24,INDIRECT($R231)&gt;L$1/24),"x",""),""),"")</f>
        <v/>
      </c>
      <c r="M231" t="str" cm="1">
        <f t="array" aca="1" ref="M231" ca="1">IF(T231="Sócio",IF(COUNTIF(Opções!$H$2:$H$13,INDIRECT($P231))&gt;0,IF(AND(INDIRECT($Q231)&lt;N$1/24,INDIRECT($R231)&gt;M$1/24),"x",""),""),"")</f>
        <v/>
      </c>
      <c r="N231" t="str" cm="1">
        <f t="array" aca="1" ref="N231" ca="1">IF(T231="Sócio",IF(COUNTIF(Opções!$H$2:$H$13,INDIRECT($P231))&gt;0,IF(AND(INDIRECT($Q231)&lt;O$1/24,INDIRECT($R231)&gt;N$1/24),"x",""),""),"")</f>
        <v/>
      </c>
      <c r="O231" t="str" cm="1">
        <f t="array" aca="1" ref="O231" ca="1">IF(T231="Sócio",IF(COUNTIF(Opções!$H$2:$H$13,INDIRECT($P231))&gt;0,IF(AND(INDIRECT($Q231)&lt;P$1/24,INDIRECT($R231)&gt;O$1/24),"x",""),""),"")</f>
        <v/>
      </c>
      <c r="P231" t="str">
        <f t="shared" si="42"/>
        <v>$E231</v>
      </c>
      <c r="Q231" t="str">
        <f t="shared" si="2"/>
        <v>$F231</v>
      </c>
      <c r="R231" t="str">
        <f t="shared" si="3"/>
        <v>$G231</v>
      </c>
      <c r="S231" t="str">
        <f t="shared" si="43"/>
        <v>$D231</v>
      </c>
      <c r="T231" t="str" cm="1">
        <f t="array" aca="1" ref="T231" ca="1">IFERROR(VLOOKUP(INDIRECT(S231),Equipe!A:C,3,0),"")</f>
        <v/>
      </c>
    </row>
    <row r="232" spans="4:20" x14ac:dyDescent="0.3">
      <c r="D232" s="23"/>
      <c r="E232" s="23"/>
      <c r="F232" s="24"/>
      <c r="G232" s="24"/>
      <c r="H232" s="23"/>
      <c r="J232" s="21" t="str">
        <f t="shared" ca="1" si="48"/>
        <v/>
      </c>
      <c r="K232" t="str" cm="1">
        <f t="array" aca="1" ref="K232" ca="1">IF(T232="Sócio",IF(COUNTIF(Opções!$H$2:$H$13,INDIRECT($P232))&gt;0,IF(AND(INDIRECT($Q232)&lt;L$1/24,INDIRECT($R232)&gt;K$1/24),"x",""),""),"")</f>
        <v/>
      </c>
      <c r="L232" t="str" cm="1">
        <f t="array" aca="1" ref="L232" ca="1">IF(T232="Sócio",IF(COUNTIF(Opções!$H$2:$H$13,INDIRECT($P232))&gt;0,IF(AND(INDIRECT($Q232)&lt;M$1/24,INDIRECT($R232)&gt;L$1/24),"x",""),""),"")</f>
        <v/>
      </c>
      <c r="M232" t="str" cm="1">
        <f t="array" aca="1" ref="M232" ca="1">IF(T232="Sócio",IF(COUNTIF(Opções!$H$2:$H$13,INDIRECT($P232))&gt;0,IF(AND(INDIRECT($Q232)&lt;N$1/24,INDIRECT($R232)&gt;M$1/24),"x",""),""),"")</f>
        <v/>
      </c>
      <c r="N232" t="str" cm="1">
        <f t="array" aca="1" ref="N232" ca="1">IF(T232="Sócio",IF(COUNTIF(Opções!$H$2:$H$13,INDIRECT($P232))&gt;0,IF(AND(INDIRECT($Q232)&lt;O$1/24,INDIRECT($R232)&gt;N$1/24),"x",""),""),"")</f>
        <v/>
      </c>
      <c r="O232" t="str" cm="1">
        <f t="array" aca="1" ref="O232" ca="1">IF(T232="Sócio",IF(COUNTIF(Opções!$H$2:$H$13,INDIRECT($P232))&gt;0,IF(AND(INDIRECT($Q232)&lt;P$1/24,INDIRECT($R232)&gt;O$1/24),"x",""),""),"")</f>
        <v/>
      </c>
      <c r="P232" t="str">
        <f t="shared" si="42"/>
        <v>$E232</v>
      </c>
      <c r="Q232" t="str">
        <f t="shared" si="2"/>
        <v>$F232</v>
      </c>
      <c r="R232" t="str">
        <f t="shared" si="3"/>
        <v>$G232</v>
      </c>
      <c r="S232" t="str">
        <f t="shared" si="43"/>
        <v>$D232</v>
      </c>
      <c r="T232" t="str" cm="1">
        <f t="array" aca="1" ref="T232" ca="1">IFERROR(VLOOKUP(INDIRECT(S232),Equipe!A:C,3,0),"")</f>
        <v/>
      </c>
    </row>
    <row r="233" spans="4:20" x14ac:dyDescent="0.3">
      <c r="D233" s="23"/>
      <c r="E233" s="23"/>
      <c r="F233" s="24"/>
      <c r="G233" s="24"/>
      <c r="H233" s="23"/>
      <c r="J233" s="21" t="str">
        <f t="shared" ca="1" si="48"/>
        <v/>
      </c>
      <c r="K233" t="str" cm="1">
        <f t="array" aca="1" ref="K233" ca="1">IF(T233="Sócio",IF(COUNTIF(Opções!$H$2:$H$13,INDIRECT($P233))&gt;0,IF(AND(INDIRECT($Q233)&lt;L$1/24,INDIRECT($R233)&gt;K$1/24),"x",""),""),"")</f>
        <v/>
      </c>
      <c r="L233" t="str" cm="1">
        <f t="array" aca="1" ref="L233" ca="1">IF(T233="Sócio",IF(COUNTIF(Opções!$H$2:$H$13,INDIRECT($P233))&gt;0,IF(AND(INDIRECT($Q233)&lt;M$1/24,INDIRECT($R233)&gt;L$1/24),"x",""),""),"")</f>
        <v/>
      </c>
      <c r="M233" t="str" cm="1">
        <f t="array" aca="1" ref="M233" ca="1">IF(T233="Sócio",IF(COUNTIF(Opções!$H$2:$H$13,INDIRECT($P233))&gt;0,IF(AND(INDIRECT($Q233)&lt;N$1/24,INDIRECT($R233)&gt;M$1/24),"x",""),""),"")</f>
        <v/>
      </c>
      <c r="N233" t="str" cm="1">
        <f t="array" aca="1" ref="N233" ca="1">IF(T233="Sócio",IF(COUNTIF(Opções!$H$2:$H$13,INDIRECT($P233))&gt;0,IF(AND(INDIRECT($Q233)&lt;O$1/24,INDIRECT($R233)&gt;N$1/24),"x",""),""),"")</f>
        <v/>
      </c>
      <c r="O233" t="str" cm="1">
        <f t="array" aca="1" ref="O233" ca="1">IF(T233="Sócio",IF(COUNTIF(Opções!$H$2:$H$13,INDIRECT($P233))&gt;0,IF(AND(INDIRECT($Q233)&lt;P$1/24,INDIRECT($R233)&gt;O$1/24),"x",""),""),"")</f>
        <v/>
      </c>
      <c r="P233" t="str">
        <f t="shared" si="42"/>
        <v>$E233</v>
      </c>
      <c r="Q233" t="str">
        <f t="shared" ref="Q233" si="49">"$F"&amp;ROW(O233)</f>
        <v>$F233</v>
      </c>
      <c r="R233" t="str">
        <f t="shared" ref="R233" si="50">"$G"&amp;ROW(Q233)</f>
        <v>$G233</v>
      </c>
      <c r="S233" t="str">
        <f t="shared" si="43"/>
        <v>$D233</v>
      </c>
      <c r="T233" t="str" cm="1">
        <f t="array" aca="1" ref="T233" ca="1">IFERROR(VLOOKUP(INDIRECT(S233),Equipe!A:C,3,0),"")</f>
        <v/>
      </c>
    </row>
    <row r="234" spans="4:20" x14ac:dyDescent="0.3">
      <c r="D234" s="23"/>
      <c r="E234" s="23"/>
      <c r="F234" s="24"/>
      <c r="G234" s="24"/>
      <c r="H234" s="23"/>
      <c r="J234" s="21" t="str">
        <f t="shared" ca="1" si="48"/>
        <v/>
      </c>
      <c r="K234" t="str" cm="1">
        <f t="array" aca="1" ref="K234" ca="1">IF(T234="Sócio",IF(COUNTIF(Opções!$H$2:$H$13,INDIRECT($P234))&gt;0,IF(AND(INDIRECT($Q234)&lt;L$1/24,INDIRECT($R234)&gt;K$1/24),"x",""),""),"")</f>
        <v/>
      </c>
      <c r="L234" t="str" cm="1">
        <f t="array" aca="1" ref="L234" ca="1">IF(T234="Sócio",IF(COUNTIF(Opções!$H$2:$H$13,INDIRECT($P234))&gt;0,IF(AND(INDIRECT($Q234)&lt;M$1/24,INDIRECT($R234)&gt;L$1/24),"x",""),""),"")</f>
        <v/>
      </c>
      <c r="M234" t="str" cm="1">
        <f t="array" aca="1" ref="M234" ca="1">IF(T234="Sócio",IF(COUNTIF(Opções!$H$2:$H$13,INDIRECT($P234))&gt;0,IF(AND(INDIRECT($Q234)&lt;N$1/24,INDIRECT($R234)&gt;M$1/24),"x",""),""),"")</f>
        <v/>
      </c>
      <c r="N234" t="str" cm="1">
        <f t="array" aca="1" ref="N234" ca="1">IF(T234="Sócio",IF(COUNTIF(Opções!$H$2:$H$13,INDIRECT($P234))&gt;0,IF(AND(INDIRECT($Q234)&lt;O$1/24,INDIRECT($R234)&gt;N$1/24),"x",""),""),"")</f>
        <v/>
      </c>
      <c r="O234" t="str" cm="1">
        <f t="array" aca="1" ref="O234" ca="1">IF(T234="Sócio",IF(COUNTIF(Opções!$H$2:$H$13,INDIRECT($P234))&gt;0,IF(AND(INDIRECT($Q234)&lt;P$1/24,INDIRECT($R234)&gt;O$1/24),"x",""),""),"")</f>
        <v/>
      </c>
      <c r="P234" t="str">
        <f t="shared" si="42"/>
        <v>$E234</v>
      </c>
      <c r="Q234" t="str">
        <f t="shared" si="2"/>
        <v>$F234</v>
      </c>
      <c r="R234" t="str">
        <f t="shared" si="3"/>
        <v>$G234</v>
      </c>
      <c r="S234" t="str">
        <f t="shared" si="43"/>
        <v>$D234</v>
      </c>
      <c r="T234" t="str" cm="1">
        <f t="array" aca="1" ref="T234" ca="1">IFERROR(VLOOKUP(INDIRECT(S234),Equipe!A:C,3,0),"")</f>
        <v/>
      </c>
    </row>
    <row r="235" spans="4:20" x14ac:dyDescent="0.3">
      <c r="D235" s="23"/>
      <c r="E235" s="23"/>
      <c r="F235" s="24"/>
      <c r="G235" s="24"/>
      <c r="H235" s="23"/>
      <c r="J235" s="21" t="str">
        <f t="shared" ca="1" si="48"/>
        <v/>
      </c>
      <c r="K235" t="str" cm="1">
        <f t="array" aca="1" ref="K235" ca="1">IF(T235="Sócio",IF(COUNTIF(Opções!$H$2:$H$13,INDIRECT($P235))&gt;0,IF(AND(INDIRECT($Q235)&lt;L$1/24,INDIRECT($R235)&gt;K$1/24),"x",""),""),"")</f>
        <v/>
      </c>
      <c r="L235" t="str" cm="1">
        <f t="array" aca="1" ref="L235" ca="1">IF(T235="Sócio",IF(COUNTIF(Opções!$H$2:$H$13,INDIRECT($P235))&gt;0,IF(AND(INDIRECT($Q235)&lt;M$1/24,INDIRECT($R235)&gt;L$1/24),"x",""),""),"")</f>
        <v/>
      </c>
      <c r="M235" t="str" cm="1">
        <f t="array" aca="1" ref="M235" ca="1">IF(T235="Sócio",IF(COUNTIF(Opções!$H$2:$H$13,INDIRECT($P235))&gt;0,IF(AND(INDIRECT($Q235)&lt;N$1/24,INDIRECT($R235)&gt;M$1/24),"x",""),""),"")</f>
        <v/>
      </c>
      <c r="N235" t="str" cm="1">
        <f t="array" aca="1" ref="N235" ca="1">IF(T235="Sócio",IF(COUNTIF(Opções!$H$2:$H$13,INDIRECT($P235))&gt;0,IF(AND(INDIRECT($Q235)&lt;O$1/24,INDIRECT($R235)&gt;N$1/24),"x",""),""),"")</f>
        <v/>
      </c>
      <c r="O235" t="str" cm="1">
        <f t="array" aca="1" ref="O235" ca="1">IF(T235="Sócio",IF(COUNTIF(Opções!$H$2:$H$13,INDIRECT($P235))&gt;0,IF(AND(INDIRECT($Q235)&lt;P$1/24,INDIRECT($R235)&gt;O$1/24),"x",""),""),"")</f>
        <v/>
      </c>
      <c r="P235" t="str">
        <f t="shared" si="42"/>
        <v>$E235</v>
      </c>
      <c r="Q235" t="str">
        <f t="shared" si="2"/>
        <v>$F235</v>
      </c>
      <c r="R235" t="str">
        <f t="shared" si="3"/>
        <v>$G235</v>
      </c>
      <c r="S235" t="str">
        <f t="shared" si="43"/>
        <v>$D235</v>
      </c>
      <c r="T235" t="str" cm="1">
        <f t="array" aca="1" ref="T235" ca="1">IFERROR(VLOOKUP(INDIRECT(S235),Equipe!A:C,3,0),"")</f>
        <v/>
      </c>
    </row>
    <row r="236" spans="4:20" x14ac:dyDescent="0.3">
      <c r="D236" s="23"/>
      <c r="E236" s="23"/>
      <c r="F236" s="24"/>
      <c r="G236" s="24"/>
      <c r="H236" s="23"/>
      <c r="J236" s="21" t="str">
        <f t="shared" ca="1" si="48"/>
        <v/>
      </c>
      <c r="K236" t="str" cm="1">
        <f t="array" aca="1" ref="K236" ca="1">IF(T236="Sócio",IF(COUNTIF(Opções!$H$2:$H$13,INDIRECT($P236))&gt;0,IF(AND(INDIRECT($Q236)&lt;L$1/24,INDIRECT($R236)&gt;K$1/24),"x",""),""),"")</f>
        <v/>
      </c>
      <c r="L236" t="str" cm="1">
        <f t="array" aca="1" ref="L236" ca="1">IF(T236="Sócio",IF(COUNTIF(Opções!$H$2:$H$13,INDIRECT($P236))&gt;0,IF(AND(INDIRECT($Q236)&lt;M$1/24,INDIRECT($R236)&gt;L$1/24),"x",""),""),"")</f>
        <v/>
      </c>
      <c r="M236" t="str" cm="1">
        <f t="array" aca="1" ref="M236" ca="1">IF(T236="Sócio",IF(COUNTIF(Opções!$H$2:$H$13,INDIRECT($P236))&gt;0,IF(AND(INDIRECT($Q236)&lt;N$1/24,INDIRECT($R236)&gt;M$1/24),"x",""),""),"")</f>
        <v/>
      </c>
      <c r="N236" t="str" cm="1">
        <f t="array" aca="1" ref="N236" ca="1">IF(T236="Sócio",IF(COUNTIF(Opções!$H$2:$H$13,INDIRECT($P236))&gt;0,IF(AND(INDIRECT($Q236)&lt;O$1/24,INDIRECT($R236)&gt;N$1/24),"x",""),""),"")</f>
        <v/>
      </c>
      <c r="O236" t="str" cm="1">
        <f t="array" aca="1" ref="O236" ca="1">IF(T236="Sócio",IF(COUNTIF(Opções!$H$2:$H$13,INDIRECT($P236))&gt;0,IF(AND(INDIRECT($Q236)&lt;P$1/24,INDIRECT($R236)&gt;O$1/24),"x",""),""),"")</f>
        <v/>
      </c>
      <c r="P236" t="str">
        <f t="shared" si="42"/>
        <v>$E236</v>
      </c>
      <c r="Q236" t="str">
        <f t="shared" si="2"/>
        <v>$F236</v>
      </c>
      <c r="R236" t="str">
        <f t="shared" si="3"/>
        <v>$G236</v>
      </c>
      <c r="S236" t="str">
        <f t="shared" si="43"/>
        <v>$D236</v>
      </c>
      <c r="T236" t="str" cm="1">
        <f t="array" aca="1" ref="T236" ca="1">IFERROR(VLOOKUP(INDIRECT(S236),Equipe!A:C,3,0),"")</f>
        <v/>
      </c>
    </row>
    <row r="237" spans="4:20" x14ac:dyDescent="0.3">
      <c r="D237" s="23"/>
      <c r="E237" s="23"/>
      <c r="F237" s="24"/>
      <c r="G237" s="24"/>
      <c r="H237" s="23"/>
      <c r="J237" s="21" t="str">
        <f t="shared" ca="1" si="48"/>
        <v/>
      </c>
      <c r="K237" t="str" cm="1">
        <f t="array" aca="1" ref="K237" ca="1">IF(T237="Sócio",IF(COUNTIF(Opções!$H$2:$H$13,INDIRECT($P237))&gt;0,IF(AND(INDIRECT($Q237)&lt;L$1/24,INDIRECT($R237)&gt;K$1/24),"x",""),""),"")</f>
        <v/>
      </c>
      <c r="L237" t="str" cm="1">
        <f t="array" aca="1" ref="L237" ca="1">IF(T237="Sócio",IF(COUNTIF(Opções!$H$2:$H$13,INDIRECT($P237))&gt;0,IF(AND(INDIRECT($Q237)&lt;M$1/24,INDIRECT($R237)&gt;L$1/24),"x",""),""),"")</f>
        <v/>
      </c>
      <c r="M237" t="str" cm="1">
        <f t="array" aca="1" ref="M237" ca="1">IF(T237="Sócio",IF(COUNTIF(Opções!$H$2:$H$13,INDIRECT($P237))&gt;0,IF(AND(INDIRECT($Q237)&lt;N$1/24,INDIRECT($R237)&gt;M$1/24),"x",""),""),"")</f>
        <v/>
      </c>
      <c r="N237" t="str" cm="1">
        <f t="array" aca="1" ref="N237" ca="1">IF(T237="Sócio",IF(COUNTIF(Opções!$H$2:$H$13,INDIRECT($P237))&gt;0,IF(AND(INDIRECT($Q237)&lt;O$1/24,INDIRECT($R237)&gt;N$1/24),"x",""),""),"")</f>
        <v/>
      </c>
      <c r="O237" t="str" cm="1">
        <f t="array" aca="1" ref="O237" ca="1">IF(T237="Sócio",IF(COUNTIF(Opções!$H$2:$H$13,INDIRECT($P237))&gt;0,IF(AND(INDIRECT($Q237)&lt;P$1/24,INDIRECT($R237)&gt;O$1/24),"x",""),""),"")</f>
        <v/>
      </c>
      <c r="P237" t="str">
        <f t="shared" si="42"/>
        <v>$E237</v>
      </c>
      <c r="Q237" t="str">
        <f t="shared" si="2"/>
        <v>$F237</v>
      </c>
      <c r="R237" t="str">
        <f t="shared" si="3"/>
        <v>$G237</v>
      </c>
      <c r="S237" t="str">
        <f t="shared" si="43"/>
        <v>$D237</v>
      </c>
      <c r="T237" t="str" cm="1">
        <f t="array" aca="1" ref="T237" ca="1">IFERROR(VLOOKUP(INDIRECT(S237),Equipe!A:C,3,0),"")</f>
        <v/>
      </c>
    </row>
    <row r="238" spans="4:20" x14ac:dyDescent="0.3">
      <c r="D238" s="23"/>
      <c r="E238" s="23"/>
      <c r="F238" s="24"/>
      <c r="G238" s="24"/>
      <c r="H238" s="23"/>
      <c r="J238" s="21" t="str">
        <f t="shared" ca="1" si="48"/>
        <v/>
      </c>
      <c r="K238" t="str" cm="1">
        <f t="array" aca="1" ref="K238" ca="1">IF(T238="Sócio",IF(COUNTIF(Opções!$H$2:$H$13,INDIRECT($P238))&gt;0,IF(AND(INDIRECT($Q238)&lt;L$1/24,INDIRECT($R238)&gt;K$1/24),"x",""),""),"")</f>
        <v/>
      </c>
      <c r="L238" t="str" cm="1">
        <f t="array" aca="1" ref="L238" ca="1">IF(T238="Sócio",IF(COUNTIF(Opções!$H$2:$H$13,INDIRECT($P238))&gt;0,IF(AND(INDIRECT($Q238)&lt;M$1/24,INDIRECT($R238)&gt;L$1/24),"x",""),""),"")</f>
        <v/>
      </c>
      <c r="M238" t="str" cm="1">
        <f t="array" aca="1" ref="M238" ca="1">IF(T238="Sócio",IF(COUNTIF(Opções!$H$2:$H$13,INDIRECT($P238))&gt;0,IF(AND(INDIRECT($Q238)&lt;N$1/24,INDIRECT($R238)&gt;M$1/24),"x",""),""),"")</f>
        <v/>
      </c>
      <c r="N238" t="str" cm="1">
        <f t="array" aca="1" ref="N238" ca="1">IF(T238="Sócio",IF(COUNTIF(Opções!$H$2:$H$13,INDIRECT($P238))&gt;0,IF(AND(INDIRECT($Q238)&lt;O$1/24,INDIRECT($R238)&gt;N$1/24),"x",""),""),"")</f>
        <v/>
      </c>
      <c r="O238" t="str" cm="1">
        <f t="array" aca="1" ref="O238" ca="1">IF(T238="Sócio",IF(COUNTIF(Opções!$H$2:$H$13,INDIRECT($P238))&gt;0,IF(AND(INDIRECT($Q238)&lt;P$1/24,INDIRECT($R238)&gt;O$1/24),"x",""),""),"")</f>
        <v/>
      </c>
      <c r="P238" t="str">
        <f t="shared" si="42"/>
        <v>$E238</v>
      </c>
      <c r="Q238" t="str">
        <f t="shared" si="2"/>
        <v>$F238</v>
      </c>
      <c r="R238" t="str">
        <f t="shared" si="3"/>
        <v>$G238</v>
      </c>
      <c r="S238" t="str">
        <f t="shared" si="43"/>
        <v>$D238</v>
      </c>
      <c r="T238" t="str" cm="1">
        <f t="array" aca="1" ref="T238" ca="1">IFERROR(VLOOKUP(INDIRECT(S238),Equipe!A:C,3,0),"")</f>
        <v/>
      </c>
    </row>
    <row r="239" spans="4:20" x14ac:dyDescent="0.3">
      <c r="D239" s="23"/>
      <c r="E239" s="23"/>
      <c r="F239" s="24"/>
      <c r="G239" s="24"/>
      <c r="H239" s="23"/>
      <c r="J239" s="21" t="str">
        <f t="shared" ca="1" si="48"/>
        <v/>
      </c>
      <c r="K239" t="str" cm="1">
        <f t="array" aca="1" ref="K239" ca="1">IF(T239="Sócio",IF(COUNTIF(Opções!$H$2:$H$13,INDIRECT($P239))&gt;0,IF(AND(INDIRECT($Q239)&lt;L$1/24,INDIRECT($R239)&gt;K$1/24),"x",""),""),"")</f>
        <v/>
      </c>
      <c r="L239" t="str" cm="1">
        <f t="array" aca="1" ref="L239" ca="1">IF(T239="Sócio",IF(COUNTIF(Opções!$H$2:$H$13,INDIRECT($P239))&gt;0,IF(AND(INDIRECT($Q239)&lt;M$1/24,INDIRECT($R239)&gt;L$1/24),"x",""),""),"")</f>
        <v/>
      </c>
      <c r="M239" t="str" cm="1">
        <f t="array" aca="1" ref="M239" ca="1">IF(T239="Sócio",IF(COUNTIF(Opções!$H$2:$H$13,INDIRECT($P239))&gt;0,IF(AND(INDIRECT($Q239)&lt;N$1/24,INDIRECT($R239)&gt;M$1/24),"x",""),""),"")</f>
        <v/>
      </c>
      <c r="N239" t="str" cm="1">
        <f t="array" aca="1" ref="N239" ca="1">IF(T239="Sócio",IF(COUNTIF(Opções!$H$2:$H$13,INDIRECT($P239))&gt;0,IF(AND(INDIRECT($Q239)&lt;O$1/24,INDIRECT($R239)&gt;N$1/24),"x",""),""),"")</f>
        <v/>
      </c>
      <c r="O239" t="str" cm="1">
        <f t="array" aca="1" ref="O239" ca="1">IF(T239="Sócio",IF(COUNTIF(Opções!$H$2:$H$13,INDIRECT($P239))&gt;0,IF(AND(INDIRECT($Q239)&lt;P$1/24,INDIRECT($R239)&gt;O$1/24),"x",""),""),"")</f>
        <v/>
      </c>
      <c r="P239" t="str">
        <f t="shared" si="42"/>
        <v>$E239</v>
      </c>
      <c r="Q239" t="str">
        <f t="shared" si="2"/>
        <v>$F239</v>
      </c>
      <c r="R239" t="str">
        <f t="shared" si="3"/>
        <v>$G239</v>
      </c>
      <c r="S239" t="str">
        <f t="shared" si="43"/>
        <v>$D239</v>
      </c>
      <c r="T239" t="str" cm="1">
        <f t="array" aca="1" ref="T239" ca="1">IFERROR(VLOOKUP(INDIRECT(S239),Equipe!A:C,3,0),"")</f>
        <v/>
      </c>
    </row>
    <row r="240" spans="4:20" x14ac:dyDescent="0.3">
      <c r="D240" s="23"/>
      <c r="E240" s="23"/>
      <c r="F240" s="24"/>
      <c r="G240" s="24"/>
      <c r="H240" s="23"/>
      <c r="J240" s="21" t="str">
        <f t="shared" ca="1" si="48"/>
        <v/>
      </c>
      <c r="K240" t="str" cm="1">
        <f t="array" aca="1" ref="K240" ca="1">IF(T240="Sócio",IF(COUNTIF(Opções!$H$2:$H$13,INDIRECT($P240))&gt;0,IF(AND(INDIRECT($Q240)&lt;L$1/24,INDIRECT($R240)&gt;K$1/24),"x",""),""),"")</f>
        <v/>
      </c>
      <c r="L240" t="str" cm="1">
        <f t="array" aca="1" ref="L240" ca="1">IF(T240="Sócio",IF(COUNTIF(Opções!$H$2:$H$13,INDIRECT($P240))&gt;0,IF(AND(INDIRECT($Q240)&lt;M$1/24,INDIRECT($R240)&gt;L$1/24),"x",""),""),"")</f>
        <v/>
      </c>
      <c r="M240" t="str" cm="1">
        <f t="array" aca="1" ref="M240" ca="1">IF(T240="Sócio",IF(COUNTIF(Opções!$H$2:$H$13,INDIRECT($P240))&gt;0,IF(AND(INDIRECT($Q240)&lt;N$1/24,INDIRECT($R240)&gt;M$1/24),"x",""),""),"")</f>
        <v/>
      </c>
      <c r="N240" t="str" cm="1">
        <f t="array" aca="1" ref="N240" ca="1">IF(T240="Sócio",IF(COUNTIF(Opções!$H$2:$H$13,INDIRECT($P240))&gt;0,IF(AND(INDIRECT($Q240)&lt;O$1/24,INDIRECT($R240)&gt;N$1/24),"x",""),""),"")</f>
        <v/>
      </c>
      <c r="O240" t="str" cm="1">
        <f t="array" aca="1" ref="O240" ca="1">IF(T240="Sócio",IF(COUNTIF(Opções!$H$2:$H$13,INDIRECT($P240))&gt;0,IF(AND(INDIRECT($Q240)&lt;P$1/24,INDIRECT($R240)&gt;O$1/24),"x",""),""),"")</f>
        <v/>
      </c>
      <c r="P240" t="str">
        <f t="shared" si="42"/>
        <v>$E240</v>
      </c>
      <c r="Q240" t="str">
        <f t="shared" si="2"/>
        <v>$F240</v>
      </c>
      <c r="R240" t="str">
        <f t="shared" si="3"/>
        <v>$G240</v>
      </c>
      <c r="S240" t="str">
        <f t="shared" si="43"/>
        <v>$D240</v>
      </c>
      <c r="T240" t="str" cm="1">
        <f t="array" aca="1" ref="T240" ca="1">IFERROR(VLOOKUP(INDIRECT(S240),Equipe!A:C,3,0),"")</f>
        <v/>
      </c>
    </row>
    <row r="241" spans="4:20" x14ac:dyDescent="0.3">
      <c r="D241" s="23"/>
      <c r="E241" s="23"/>
      <c r="F241" s="24"/>
      <c r="G241" s="24"/>
      <c r="H241" s="23"/>
      <c r="J241" s="21" t="str">
        <f t="shared" ca="1" si="48"/>
        <v/>
      </c>
      <c r="K241" t="str" cm="1">
        <f t="array" aca="1" ref="K241" ca="1">IF(T241="Sócio",IF(COUNTIF(Opções!$H$2:$H$13,INDIRECT($P241))&gt;0,IF(AND(INDIRECT($Q241)&lt;L$1/24,INDIRECT($R241)&gt;K$1/24),"x",""),""),"")</f>
        <v/>
      </c>
      <c r="L241" t="str" cm="1">
        <f t="array" aca="1" ref="L241" ca="1">IF(T241="Sócio",IF(COUNTIF(Opções!$H$2:$H$13,INDIRECT($P241))&gt;0,IF(AND(INDIRECT($Q241)&lt;M$1/24,INDIRECT($R241)&gt;L$1/24),"x",""),""),"")</f>
        <v/>
      </c>
      <c r="M241" t="str" cm="1">
        <f t="array" aca="1" ref="M241" ca="1">IF(T241="Sócio",IF(COUNTIF(Opções!$H$2:$H$13,INDIRECT($P241))&gt;0,IF(AND(INDIRECT($Q241)&lt;N$1/24,INDIRECT($R241)&gt;M$1/24),"x",""),""),"")</f>
        <v/>
      </c>
      <c r="N241" t="str" cm="1">
        <f t="array" aca="1" ref="N241" ca="1">IF(T241="Sócio",IF(COUNTIF(Opções!$H$2:$H$13,INDIRECT($P241))&gt;0,IF(AND(INDIRECT($Q241)&lt;O$1/24,INDIRECT($R241)&gt;N$1/24),"x",""),""),"")</f>
        <v/>
      </c>
      <c r="O241" t="str" cm="1">
        <f t="array" aca="1" ref="O241" ca="1">IF(T241="Sócio",IF(COUNTIF(Opções!$H$2:$H$13,INDIRECT($P241))&gt;0,IF(AND(INDIRECT($Q241)&lt;P$1/24,INDIRECT($R241)&gt;O$1/24),"x",""),""),"")</f>
        <v/>
      </c>
      <c r="P241" t="str">
        <f t="shared" si="42"/>
        <v>$E241</v>
      </c>
      <c r="Q241" t="str">
        <f t="shared" si="2"/>
        <v>$F241</v>
      </c>
      <c r="R241" t="str">
        <f t="shared" si="3"/>
        <v>$G241</v>
      </c>
      <c r="S241" t="str">
        <f t="shared" si="43"/>
        <v>$D241</v>
      </c>
      <c r="T241" t="str" cm="1">
        <f t="array" aca="1" ref="T241" ca="1">IFERROR(VLOOKUP(INDIRECT(S241),Equipe!A:C,3,0),"")</f>
        <v/>
      </c>
    </row>
    <row r="242" spans="4:20" x14ac:dyDescent="0.3">
      <c r="D242" s="23"/>
      <c r="E242" s="23"/>
      <c r="F242" s="24"/>
      <c r="G242" s="24"/>
      <c r="H242" s="23"/>
      <c r="J242" s="21" t="str">
        <f t="shared" ca="1" si="48"/>
        <v/>
      </c>
      <c r="K242" t="str" cm="1">
        <f t="array" aca="1" ref="K242" ca="1">IF(T242="Sócio",IF(COUNTIF(Opções!$H$2:$H$13,INDIRECT($P242))&gt;0,IF(AND(INDIRECT($Q242)&lt;L$1/24,INDIRECT($R242)&gt;K$1/24),"x",""),""),"")</f>
        <v/>
      </c>
      <c r="L242" t="str" cm="1">
        <f t="array" aca="1" ref="L242" ca="1">IF(T242="Sócio",IF(COUNTIF(Opções!$H$2:$H$13,INDIRECT($P242))&gt;0,IF(AND(INDIRECT($Q242)&lt;M$1/24,INDIRECT($R242)&gt;L$1/24),"x",""),""),"")</f>
        <v/>
      </c>
      <c r="M242" t="str" cm="1">
        <f t="array" aca="1" ref="M242" ca="1">IF(T242="Sócio",IF(COUNTIF(Opções!$H$2:$H$13,INDIRECT($P242))&gt;0,IF(AND(INDIRECT($Q242)&lt;N$1/24,INDIRECT($R242)&gt;M$1/24),"x",""),""),"")</f>
        <v/>
      </c>
      <c r="N242" t="str" cm="1">
        <f t="array" aca="1" ref="N242" ca="1">IF(T242="Sócio",IF(COUNTIF(Opções!$H$2:$H$13,INDIRECT($P242))&gt;0,IF(AND(INDIRECT($Q242)&lt;O$1/24,INDIRECT($R242)&gt;N$1/24),"x",""),""),"")</f>
        <v/>
      </c>
      <c r="O242" t="str" cm="1">
        <f t="array" aca="1" ref="O242" ca="1">IF(T242="Sócio",IF(COUNTIF(Opções!$H$2:$H$13,INDIRECT($P242))&gt;0,IF(AND(INDIRECT($Q242)&lt;P$1/24,INDIRECT($R242)&gt;O$1/24),"x",""),""),"")</f>
        <v/>
      </c>
      <c r="P242" t="str">
        <f t="shared" si="42"/>
        <v>$E242</v>
      </c>
      <c r="Q242" t="str">
        <f t="shared" si="2"/>
        <v>$F242</v>
      </c>
      <c r="R242" t="str">
        <f t="shared" si="3"/>
        <v>$G242</v>
      </c>
      <c r="S242" t="str">
        <f t="shared" si="43"/>
        <v>$D242</v>
      </c>
      <c r="T242" t="str" cm="1">
        <f t="array" aca="1" ref="T242" ca="1">IFERROR(VLOOKUP(INDIRECT(S242),Equipe!A:C,3,0),"")</f>
        <v/>
      </c>
    </row>
    <row r="243" spans="4:20" x14ac:dyDescent="0.3">
      <c r="D243" s="23"/>
      <c r="E243" s="23"/>
      <c r="F243" s="24"/>
      <c r="G243" s="24"/>
      <c r="H243" s="23"/>
      <c r="J243" s="21" t="str">
        <f t="shared" ca="1" si="48"/>
        <v/>
      </c>
      <c r="K243" t="str" cm="1">
        <f t="array" aca="1" ref="K243" ca="1">IF(T243="Sócio",IF(COUNTIF(Opções!$H$2:$H$13,INDIRECT($P243))&gt;0,IF(AND(INDIRECT($Q243)&lt;L$1/24,INDIRECT($R243)&gt;K$1/24),"x",""),""),"")</f>
        <v/>
      </c>
      <c r="L243" t="str" cm="1">
        <f t="array" aca="1" ref="L243" ca="1">IF(T243="Sócio",IF(COUNTIF(Opções!$H$2:$H$13,INDIRECT($P243))&gt;0,IF(AND(INDIRECT($Q243)&lt;M$1/24,INDIRECT($R243)&gt;L$1/24),"x",""),""),"")</f>
        <v/>
      </c>
      <c r="M243" t="str" cm="1">
        <f t="array" aca="1" ref="M243" ca="1">IF(T243="Sócio",IF(COUNTIF(Opções!$H$2:$H$13,INDIRECT($P243))&gt;0,IF(AND(INDIRECT($Q243)&lt;N$1/24,INDIRECT($R243)&gt;M$1/24),"x",""),""),"")</f>
        <v/>
      </c>
      <c r="N243" t="str" cm="1">
        <f t="array" aca="1" ref="N243" ca="1">IF(T243="Sócio",IF(COUNTIF(Opções!$H$2:$H$13,INDIRECT($P243))&gt;0,IF(AND(INDIRECT($Q243)&lt;O$1/24,INDIRECT($R243)&gt;N$1/24),"x",""),""),"")</f>
        <v/>
      </c>
      <c r="O243" t="str" cm="1">
        <f t="array" aca="1" ref="O243" ca="1">IF(T243="Sócio",IF(COUNTIF(Opções!$H$2:$H$13,INDIRECT($P243))&gt;0,IF(AND(INDIRECT($Q243)&lt;P$1/24,INDIRECT($R243)&gt;O$1/24),"x",""),""),"")</f>
        <v/>
      </c>
      <c r="P243" t="str">
        <f t="shared" si="42"/>
        <v>$E243</v>
      </c>
      <c r="Q243" t="str">
        <f t="shared" si="2"/>
        <v>$F243</v>
      </c>
      <c r="R243" t="str">
        <f t="shared" si="3"/>
        <v>$G243</v>
      </c>
      <c r="S243" t="str">
        <f t="shared" si="43"/>
        <v>$D243</v>
      </c>
      <c r="T243" t="str" cm="1">
        <f t="array" aca="1" ref="T243" ca="1">IFERROR(VLOOKUP(INDIRECT(S243),Equipe!A:C,3,0),"")</f>
        <v/>
      </c>
    </row>
    <row r="244" spans="4:20" x14ac:dyDescent="0.3">
      <c r="D244" s="23"/>
      <c r="E244" s="23"/>
      <c r="F244" s="24"/>
      <c r="G244" s="24"/>
      <c r="H244" s="23"/>
      <c r="J244" s="21" t="str">
        <f t="shared" ca="1" si="48"/>
        <v/>
      </c>
      <c r="K244" t="str" cm="1">
        <f t="array" aca="1" ref="K244" ca="1">IF(T244="Sócio",IF(COUNTIF(Opções!$H$2:$H$13,INDIRECT($P244))&gt;0,IF(AND(INDIRECT($Q244)&lt;L$1/24,INDIRECT($R244)&gt;K$1/24),"x",""),""),"")</f>
        <v/>
      </c>
      <c r="L244" t="str" cm="1">
        <f t="array" aca="1" ref="L244" ca="1">IF(T244="Sócio",IF(COUNTIF(Opções!$H$2:$H$13,INDIRECT($P244))&gt;0,IF(AND(INDIRECT($Q244)&lt;M$1/24,INDIRECT($R244)&gt;L$1/24),"x",""),""),"")</f>
        <v/>
      </c>
      <c r="M244" t="str" cm="1">
        <f t="array" aca="1" ref="M244" ca="1">IF(T244="Sócio",IF(COUNTIF(Opções!$H$2:$H$13,INDIRECT($P244))&gt;0,IF(AND(INDIRECT($Q244)&lt;N$1/24,INDIRECT($R244)&gt;M$1/24),"x",""),""),"")</f>
        <v/>
      </c>
      <c r="N244" t="str" cm="1">
        <f t="array" aca="1" ref="N244" ca="1">IF(T244="Sócio",IF(COUNTIF(Opções!$H$2:$H$13,INDIRECT($P244))&gt;0,IF(AND(INDIRECT($Q244)&lt;O$1/24,INDIRECT($R244)&gt;N$1/24),"x",""),""),"")</f>
        <v/>
      </c>
      <c r="O244" t="str" cm="1">
        <f t="array" aca="1" ref="O244" ca="1">IF(T244="Sócio",IF(COUNTIF(Opções!$H$2:$H$13,INDIRECT($P244))&gt;0,IF(AND(INDIRECT($Q244)&lt;P$1/24,INDIRECT($R244)&gt;O$1/24),"x",""),""),"")</f>
        <v/>
      </c>
      <c r="P244" t="str">
        <f t="shared" si="42"/>
        <v>$E244</v>
      </c>
      <c r="Q244" t="str">
        <f t="shared" ref="Q244" si="51">"$F"&amp;ROW(O244)</f>
        <v>$F244</v>
      </c>
      <c r="R244" t="str">
        <f t="shared" ref="R244" si="52">"$G"&amp;ROW(Q244)</f>
        <v>$G244</v>
      </c>
      <c r="S244" t="str">
        <f t="shared" si="43"/>
        <v>$D244</v>
      </c>
      <c r="T244" t="str" cm="1">
        <f t="array" aca="1" ref="T244" ca="1">IFERROR(VLOOKUP(INDIRECT(S244),Equipe!A:C,3,0),"")</f>
        <v/>
      </c>
    </row>
    <row r="245" spans="4:20" x14ac:dyDescent="0.3">
      <c r="D245" s="23"/>
      <c r="E245" s="23"/>
      <c r="F245" s="24"/>
      <c r="G245" s="24"/>
      <c r="H245" s="23"/>
      <c r="J245" s="21" t="str">
        <f t="shared" ca="1" si="48"/>
        <v/>
      </c>
      <c r="K245" t="str" cm="1">
        <f t="array" aca="1" ref="K245" ca="1">IF(T245="Sócio",IF(COUNTIF(Opções!$H$2:$H$13,INDIRECT($P245))&gt;0,IF(AND(INDIRECT($Q245)&lt;L$1/24,INDIRECT($R245)&gt;K$1/24),"x",""),""),"")</f>
        <v/>
      </c>
      <c r="L245" t="str" cm="1">
        <f t="array" aca="1" ref="L245" ca="1">IF(T245="Sócio",IF(COUNTIF(Opções!$H$2:$H$13,INDIRECT($P245))&gt;0,IF(AND(INDIRECT($Q245)&lt;M$1/24,INDIRECT($R245)&gt;L$1/24),"x",""),""),"")</f>
        <v/>
      </c>
      <c r="M245" t="str" cm="1">
        <f t="array" aca="1" ref="M245" ca="1">IF(T245="Sócio",IF(COUNTIF(Opções!$H$2:$H$13,INDIRECT($P245))&gt;0,IF(AND(INDIRECT($Q245)&lt;N$1/24,INDIRECT($R245)&gt;M$1/24),"x",""),""),"")</f>
        <v/>
      </c>
      <c r="N245" t="str" cm="1">
        <f t="array" aca="1" ref="N245" ca="1">IF(T245="Sócio",IF(COUNTIF(Opções!$H$2:$H$13,INDIRECT($P245))&gt;0,IF(AND(INDIRECT($Q245)&lt;O$1/24,INDIRECT($R245)&gt;N$1/24),"x",""),""),"")</f>
        <v/>
      </c>
      <c r="O245" t="str" cm="1">
        <f t="array" aca="1" ref="O245" ca="1">IF(T245="Sócio",IF(COUNTIF(Opções!$H$2:$H$13,INDIRECT($P245))&gt;0,IF(AND(INDIRECT($Q245)&lt;P$1/24,INDIRECT($R245)&gt;O$1/24),"x",""),""),"")</f>
        <v/>
      </c>
      <c r="P245" t="str">
        <f t="shared" si="42"/>
        <v>$E245</v>
      </c>
      <c r="Q245" t="str">
        <f t="shared" si="2"/>
        <v>$F245</v>
      </c>
      <c r="R245" t="str">
        <f t="shared" si="3"/>
        <v>$G245</v>
      </c>
      <c r="S245" t="str">
        <f t="shared" si="43"/>
        <v>$D245</v>
      </c>
      <c r="T245" t="str" cm="1">
        <f t="array" aca="1" ref="T245" ca="1">IFERROR(VLOOKUP(INDIRECT(S245),Equipe!A:C,3,0),"")</f>
        <v/>
      </c>
    </row>
    <row r="246" spans="4:20" x14ac:dyDescent="0.3">
      <c r="D246" s="23"/>
      <c r="E246" s="23"/>
      <c r="F246" s="24"/>
      <c r="G246" s="24"/>
      <c r="H246" s="23"/>
      <c r="J246" s="21" t="str">
        <f t="shared" ca="1" si="48"/>
        <v/>
      </c>
      <c r="K246" t="str" cm="1">
        <f t="array" aca="1" ref="K246" ca="1">IF(T246="Sócio",IF(COUNTIF(Opções!$H$2:$H$13,INDIRECT($P246))&gt;0,IF(AND(INDIRECT($Q246)&lt;L$1/24,INDIRECT($R246)&gt;K$1/24),"x",""),""),"")</f>
        <v/>
      </c>
      <c r="L246" t="str" cm="1">
        <f t="array" aca="1" ref="L246" ca="1">IF(T246="Sócio",IF(COUNTIF(Opções!$H$2:$H$13,INDIRECT($P246))&gt;0,IF(AND(INDIRECT($Q246)&lt;M$1/24,INDIRECT($R246)&gt;L$1/24),"x",""),""),"")</f>
        <v/>
      </c>
      <c r="M246" t="str" cm="1">
        <f t="array" aca="1" ref="M246" ca="1">IF(T246="Sócio",IF(COUNTIF(Opções!$H$2:$H$13,INDIRECT($P246))&gt;0,IF(AND(INDIRECT($Q246)&lt;N$1/24,INDIRECT($R246)&gt;M$1/24),"x",""),""),"")</f>
        <v/>
      </c>
      <c r="N246" t="str" cm="1">
        <f t="array" aca="1" ref="N246" ca="1">IF(T246="Sócio",IF(COUNTIF(Opções!$H$2:$H$13,INDIRECT($P246))&gt;0,IF(AND(INDIRECT($Q246)&lt;O$1/24,INDIRECT($R246)&gt;N$1/24),"x",""),""),"")</f>
        <v/>
      </c>
      <c r="O246" t="str" cm="1">
        <f t="array" aca="1" ref="O246" ca="1">IF(T246="Sócio",IF(COUNTIF(Opções!$H$2:$H$13,INDIRECT($P246))&gt;0,IF(AND(INDIRECT($Q246)&lt;P$1/24,INDIRECT($R246)&gt;O$1/24),"x",""),""),"")</f>
        <v/>
      </c>
      <c r="P246" t="str">
        <f t="shared" si="42"/>
        <v>$E246</v>
      </c>
      <c r="Q246" t="str">
        <f t="shared" si="2"/>
        <v>$F246</v>
      </c>
      <c r="R246" t="str">
        <f t="shared" si="3"/>
        <v>$G246</v>
      </c>
      <c r="S246" t="str">
        <f t="shared" si="43"/>
        <v>$D246</v>
      </c>
      <c r="T246" t="str" cm="1">
        <f t="array" aca="1" ref="T246" ca="1">IFERROR(VLOOKUP(INDIRECT(S246),Equipe!A:C,3,0),"")</f>
        <v/>
      </c>
    </row>
    <row r="247" spans="4:20" x14ac:dyDescent="0.3">
      <c r="J247" s="21" t="str">
        <f t="shared" ca="1" si="48"/>
        <v/>
      </c>
      <c r="K247" t="str" cm="1">
        <f t="array" aca="1" ref="K247" ca="1">IF(T247="Sócio",IF(COUNTIF(Opções!$H$2:$H$13,INDIRECT($P247))&gt;0,IF(AND(INDIRECT($Q247)&lt;L$1/24,INDIRECT($R247)&gt;K$1/24),"x",""),""),"")</f>
        <v/>
      </c>
      <c r="L247" t="str" cm="1">
        <f t="array" aca="1" ref="L247" ca="1">IF(T247="Sócio",IF(COUNTIF(Opções!$H$2:$H$13,INDIRECT($P247))&gt;0,IF(AND(INDIRECT($Q247)&lt;M$1/24,INDIRECT($R247)&gt;L$1/24),"x",""),""),"")</f>
        <v/>
      </c>
      <c r="M247" t="str" cm="1">
        <f t="array" aca="1" ref="M247" ca="1">IF(T247="Sócio",IF(COUNTIF(Opções!$H$2:$H$13,INDIRECT($P247))&gt;0,IF(AND(INDIRECT($Q247)&lt;N$1/24,INDIRECT($R247)&gt;M$1/24),"x",""),""),"")</f>
        <v/>
      </c>
      <c r="N247" t="str" cm="1">
        <f t="array" aca="1" ref="N247" ca="1">IF(T247="Sócio",IF(COUNTIF(Opções!$H$2:$H$13,INDIRECT($P247))&gt;0,IF(AND(INDIRECT($Q247)&lt;O$1/24,INDIRECT($R247)&gt;N$1/24),"x",""),""),"")</f>
        <v/>
      </c>
      <c r="O247" t="str" cm="1">
        <f t="array" aca="1" ref="O247" ca="1">IF(T247="Sócio",IF(COUNTIF(Opções!$H$2:$H$13,INDIRECT($P247))&gt;0,IF(AND(INDIRECT($Q247)&lt;P$1/24,INDIRECT($R247)&gt;O$1/24),"x",""),""),"")</f>
        <v/>
      </c>
      <c r="P247" t="str">
        <f t="shared" si="42"/>
        <v>$E247</v>
      </c>
      <c r="Q247" t="str">
        <f t="shared" si="2"/>
        <v>$F247</v>
      </c>
      <c r="R247" t="str">
        <f t="shared" si="3"/>
        <v>$G247</v>
      </c>
      <c r="S247" t="str">
        <f t="shared" si="43"/>
        <v>$D247</v>
      </c>
      <c r="T247" t="str" cm="1">
        <f t="array" aca="1" ref="T247" ca="1">IFERROR(VLOOKUP(INDIRECT(S247),Equipe!A:C,3,0),"")</f>
        <v/>
      </c>
    </row>
    <row r="248" spans="4:20" x14ac:dyDescent="0.3">
      <c r="J248" s="21" t="str">
        <f t="shared" ca="1" si="48"/>
        <v/>
      </c>
      <c r="K248" t="str" cm="1">
        <f t="array" aca="1" ref="K248" ca="1">IF(T248="Sócio",IF(COUNTIF(Opções!$H$2:$H$13,INDIRECT($P248))&gt;0,IF(AND(INDIRECT($Q248)&lt;L$1/24,INDIRECT($R248)&gt;K$1/24),"x",""),""),"")</f>
        <v/>
      </c>
      <c r="L248" t="str" cm="1">
        <f t="array" aca="1" ref="L248" ca="1">IF(T248="Sócio",IF(COUNTIF(Opções!$H$2:$H$13,INDIRECT($P248))&gt;0,IF(AND(INDIRECT($Q248)&lt;M$1/24,INDIRECT($R248)&gt;L$1/24),"x",""),""),"")</f>
        <v/>
      </c>
      <c r="M248" t="str" cm="1">
        <f t="array" aca="1" ref="M248" ca="1">IF(T248="Sócio",IF(COUNTIF(Opções!$H$2:$H$13,INDIRECT($P248))&gt;0,IF(AND(INDIRECT($Q248)&lt;N$1/24,INDIRECT($R248)&gt;M$1/24),"x",""),""),"")</f>
        <v/>
      </c>
      <c r="N248" t="str" cm="1">
        <f t="array" aca="1" ref="N248" ca="1">IF(T248="Sócio",IF(COUNTIF(Opções!$H$2:$H$13,INDIRECT($P248))&gt;0,IF(AND(INDIRECT($Q248)&lt;O$1/24,INDIRECT($R248)&gt;N$1/24),"x",""),""),"")</f>
        <v/>
      </c>
      <c r="O248" t="str" cm="1">
        <f t="array" aca="1" ref="O248" ca="1">IF(T248="Sócio",IF(COUNTIF(Opções!$H$2:$H$13,INDIRECT($P248))&gt;0,IF(AND(INDIRECT($Q248)&lt;P$1/24,INDIRECT($R248)&gt;O$1/24),"x",""),""),"")</f>
        <v/>
      </c>
      <c r="P248" t="str">
        <f t="shared" si="42"/>
        <v>$E248</v>
      </c>
      <c r="Q248" t="str">
        <f t="shared" si="2"/>
        <v>$F248</v>
      </c>
      <c r="R248" t="str">
        <f t="shared" si="3"/>
        <v>$G248</v>
      </c>
      <c r="S248" t="str">
        <f t="shared" si="43"/>
        <v>$D248</v>
      </c>
      <c r="T248" t="str" cm="1">
        <f t="array" aca="1" ref="T248" ca="1">IFERROR(VLOOKUP(INDIRECT(S248),Equipe!A:C,3,0),"")</f>
        <v/>
      </c>
    </row>
    <row r="249" spans="4:20" x14ac:dyDescent="0.3">
      <c r="J249" s="21" t="str">
        <f t="shared" ca="1" si="48"/>
        <v/>
      </c>
      <c r="K249" t="str" cm="1">
        <f t="array" aca="1" ref="K249" ca="1">IF(T249="Sócio",IF(COUNTIF(Opções!$H$2:$H$13,INDIRECT($P249))&gt;0,IF(AND(INDIRECT($Q249)&lt;L$1/24,INDIRECT($R249)&gt;K$1/24),"x",""),""),"")</f>
        <v/>
      </c>
      <c r="L249" t="str" cm="1">
        <f t="array" aca="1" ref="L249" ca="1">IF(T249="Sócio",IF(COUNTIF(Opções!$H$2:$H$13,INDIRECT($P249))&gt;0,IF(AND(INDIRECT($Q249)&lt;M$1/24,INDIRECT($R249)&gt;L$1/24),"x",""),""),"")</f>
        <v/>
      </c>
      <c r="M249" t="str" cm="1">
        <f t="array" aca="1" ref="M249" ca="1">IF(T249="Sócio",IF(COUNTIF(Opções!$H$2:$H$13,INDIRECT($P249))&gt;0,IF(AND(INDIRECT($Q249)&lt;N$1/24,INDIRECT($R249)&gt;M$1/24),"x",""),""),"")</f>
        <v/>
      </c>
      <c r="N249" t="str" cm="1">
        <f t="array" aca="1" ref="N249" ca="1">IF(T249="Sócio",IF(COUNTIF(Opções!$H$2:$H$13,INDIRECT($P249))&gt;0,IF(AND(INDIRECT($Q249)&lt;O$1/24,INDIRECT($R249)&gt;N$1/24),"x",""),""),"")</f>
        <v/>
      </c>
      <c r="O249" t="str" cm="1">
        <f t="array" aca="1" ref="O249" ca="1">IF(T249="Sócio",IF(COUNTIF(Opções!$H$2:$H$13,INDIRECT($P249))&gt;0,IF(AND(INDIRECT($Q249)&lt;P$1/24,INDIRECT($R249)&gt;O$1/24),"x",""),""),"")</f>
        <v/>
      </c>
      <c r="P249" t="str">
        <f t="shared" si="42"/>
        <v>$E249</v>
      </c>
      <c r="Q249" t="str">
        <f t="shared" ref="Q249" si="53">"$F"&amp;ROW(O249)</f>
        <v>$F249</v>
      </c>
      <c r="R249" t="str">
        <f t="shared" ref="R249" si="54">"$G"&amp;ROW(Q249)</f>
        <v>$G249</v>
      </c>
      <c r="S249" t="str">
        <f t="shared" si="43"/>
        <v>$D249</v>
      </c>
      <c r="T249" t="str" cm="1">
        <f t="array" aca="1" ref="T249" ca="1">IFERROR(VLOOKUP(INDIRECT(S249),Equipe!A:C,3,0),"")</f>
        <v/>
      </c>
    </row>
    <row r="250" spans="4:20" x14ac:dyDescent="0.3">
      <c r="J250" s="21" t="str">
        <f t="shared" ca="1" si="48"/>
        <v/>
      </c>
      <c r="K250" t="str" cm="1">
        <f t="array" aca="1" ref="K250" ca="1">IF(T250="Sócio",IF(COUNTIF(Opções!$H$2:$H$13,INDIRECT($P250))&gt;0,IF(AND(INDIRECT($Q250)&lt;L$1/24,INDIRECT($R250)&gt;K$1/24),"x",""),""),"")</f>
        <v/>
      </c>
      <c r="L250" t="str" cm="1">
        <f t="array" aca="1" ref="L250" ca="1">IF(T250="Sócio",IF(COUNTIF(Opções!$H$2:$H$13,INDIRECT($P250))&gt;0,IF(AND(INDIRECT($Q250)&lt;M$1/24,INDIRECT($R250)&gt;L$1/24),"x",""),""),"")</f>
        <v/>
      </c>
      <c r="M250" t="str" cm="1">
        <f t="array" aca="1" ref="M250" ca="1">IF(T250="Sócio",IF(COUNTIF(Opções!$H$2:$H$13,INDIRECT($P250))&gt;0,IF(AND(INDIRECT($Q250)&lt;N$1/24,INDIRECT($R250)&gt;M$1/24),"x",""),""),"")</f>
        <v/>
      </c>
      <c r="N250" t="str" cm="1">
        <f t="array" aca="1" ref="N250" ca="1">IF(T250="Sócio",IF(COUNTIF(Opções!$H$2:$H$13,INDIRECT($P250))&gt;0,IF(AND(INDIRECT($Q250)&lt;O$1/24,INDIRECT($R250)&gt;N$1/24),"x",""),""),"")</f>
        <v/>
      </c>
      <c r="O250" t="str" cm="1">
        <f t="array" aca="1" ref="O250" ca="1">IF(T250="Sócio",IF(COUNTIF(Opções!$H$2:$H$13,INDIRECT($P250))&gt;0,IF(AND(INDIRECT($Q250)&lt;P$1/24,INDIRECT($R250)&gt;O$1/24),"x",""),""),"")</f>
        <v/>
      </c>
      <c r="P250" t="str">
        <f t="shared" si="42"/>
        <v>$E250</v>
      </c>
      <c r="Q250" t="str">
        <f t="shared" si="2"/>
        <v>$F250</v>
      </c>
      <c r="R250" t="str">
        <f t="shared" si="3"/>
        <v>$G250</v>
      </c>
      <c r="S250" t="str">
        <f t="shared" si="43"/>
        <v>$D250</v>
      </c>
      <c r="T250" t="str" cm="1">
        <f t="array" aca="1" ref="T250" ca="1">IFERROR(VLOOKUP(INDIRECT(S250),Equipe!A:C,3,0),"")</f>
        <v/>
      </c>
    </row>
    <row r="251" spans="4:20" x14ac:dyDescent="0.3">
      <c r="J251" s="21" t="str">
        <f t="shared" ca="1" si="48"/>
        <v/>
      </c>
      <c r="K251" t="str" cm="1">
        <f t="array" aca="1" ref="K251" ca="1">IF(T251="Sócio",IF(COUNTIF(Opções!$H$2:$H$13,INDIRECT($P251))&gt;0,IF(AND(INDIRECT($Q251)&lt;L$1/24,INDIRECT($R251)&gt;K$1/24),"x",""),""),"")</f>
        <v/>
      </c>
      <c r="L251" t="str" cm="1">
        <f t="array" aca="1" ref="L251" ca="1">IF(T251="Sócio",IF(COUNTIF(Opções!$H$2:$H$13,INDIRECT($P251))&gt;0,IF(AND(INDIRECT($Q251)&lt;M$1/24,INDIRECT($R251)&gt;L$1/24),"x",""),""),"")</f>
        <v/>
      </c>
      <c r="M251" t="str" cm="1">
        <f t="array" aca="1" ref="M251" ca="1">IF(T251="Sócio",IF(COUNTIF(Opções!$H$2:$H$13,INDIRECT($P251))&gt;0,IF(AND(INDIRECT($Q251)&lt;N$1/24,INDIRECT($R251)&gt;M$1/24),"x",""),""),"")</f>
        <v/>
      </c>
      <c r="N251" t="str" cm="1">
        <f t="array" aca="1" ref="N251" ca="1">IF(T251="Sócio",IF(COUNTIF(Opções!$H$2:$H$13,INDIRECT($P251))&gt;0,IF(AND(INDIRECT($Q251)&lt;O$1/24,INDIRECT($R251)&gt;N$1/24),"x",""),""),"")</f>
        <v/>
      </c>
      <c r="O251" t="str" cm="1">
        <f t="array" aca="1" ref="O251" ca="1">IF(T251="Sócio",IF(COUNTIF(Opções!$H$2:$H$13,INDIRECT($P251))&gt;0,IF(AND(INDIRECT($Q251)&lt;P$1/24,INDIRECT($R251)&gt;O$1/24),"x",""),""),"")</f>
        <v/>
      </c>
      <c r="P251" t="str">
        <f t="shared" si="42"/>
        <v>$E251</v>
      </c>
      <c r="Q251" t="str">
        <f t="shared" si="2"/>
        <v>$F251</v>
      </c>
      <c r="R251" t="str">
        <f t="shared" si="3"/>
        <v>$G251</v>
      </c>
      <c r="S251" t="str">
        <f t="shared" si="43"/>
        <v>$D251</v>
      </c>
      <c r="T251" t="str" cm="1">
        <f t="array" aca="1" ref="T251" ca="1">IFERROR(VLOOKUP(INDIRECT(S251),Equipe!A:C,3,0),"")</f>
        <v/>
      </c>
    </row>
    <row r="252" spans="4:20" x14ac:dyDescent="0.3">
      <c r="J252" s="21" t="str">
        <f t="shared" ca="1" si="48"/>
        <v/>
      </c>
      <c r="K252" t="str" cm="1">
        <f t="array" aca="1" ref="K252" ca="1">IF(T252="Sócio",IF(COUNTIF(Opções!$H$2:$H$13,INDIRECT($P252))&gt;0,IF(AND(INDIRECT($Q252)&lt;L$1/24,INDIRECT($R252)&gt;K$1/24),"x",""),""),"")</f>
        <v/>
      </c>
      <c r="L252" t="str" cm="1">
        <f t="array" aca="1" ref="L252" ca="1">IF(T252="Sócio",IF(COUNTIF(Opções!$H$2:$H$13,INDIRECT($P252))&gt;0,IF(AND(INDIRECT($Q252)&lt;M$1/24,INDIRECT($R252)&gt;L$1/24),"x",""),""),"")</f>
        <v/>
      </c>
      <c r="M252" t="str" cm="1">
        <f t="array" aca="1" ref="M252" ca="1">IF(T252="Sócio",IF(COUNTIF(Opções!$H$2:$H$13,INDIRECT($P252))&gt;0,IF(AND(INDIRECT($Q252)&lt;N$1/24,INDIRECT($R252)&gt;M$1/24),"x",""),""),"")</f>
        <v/>
      </c>
      <c r="N252" t="str" cm="1">
        <f t="array" aca="1" ref="N252" ca="1">IF(T252="Sócio",IF(COUNTIF(Opções!$H$2:$H$13,INDIRECT($P252))&gt;0,IF(AND(INDIRECT($Q252)&lt;O$1/24,INDIRECT($R252)&gt;N$1/24),"x",""),""),"")</f>
        <v/>
      </c>
      <c r="O252" t="str" cm="1">
        <f t="array" aca="1" ref="O252" ca="1">IF(T252="Sócio",IF(COUNTIF(Opções!$H$2:$H$13,INDIRECT($P252))&gt;0,IF(AND(INDIRECT($Q252)&lt;P$1/24,INDIRECT($R252)&gt;O$1/24),"x",""),""),"")</f>
        <v/>
      </c>
      <c r="P252" t="str">
        <f t="shared" si="42"/>
        <v>$E252</v>
      </c>
      <c r="Q252" t="str">
        <f t="shared" si="2"/>
        <v>$F252</v>
      </c>
      <c r="R252" t="str">
        <f t="shared" si="3"/>
        <v>$G252</v>
      </c>
      <c r="S252" t="str">
        <f t="shared" si="43"/>
        <v>$D252</v>
      </c>
      <c r="T252" t="str" cm="1">
        <f t="array" aca="1" ref="T252" ca="1">IFERROR(VLOOKUP(INDIRECT(S252),Equipe!A:C,3,0),"")</f>
        <v/>
      </c>
    </row>
    <row r="253" spans="4:20" x14ac:dyDescent="0.3">
      <c r="J253" s="21" t="str">
        <f t="shared" ca="1" si="48"/>
        <v/>
      </c>
      <c r="K253" t="str" cm="1">
        <f t="array" aca="1" ref="K253" ca="1">IF(T253="Sócio",IF(COUNTIF(Opções!$H$2:$H$13,INDIRECT($P253))&gt;0,IF(AND(INDIRECT($Q253)&lt;L$1/24,INDIRECT($R253)&gt;K$1/24),"x",""),""),"")</f>
        <v/>
      </c>
      <c r="L253" t="str" cm="1">
        <f t="array" aca="1" ref="L253" ca="1">IF(T253="Sócio",IF(COUNTIF(Opções!$H$2:$H$13,INDIRECT($P253))&gt;0,IF(AND(INDIRECT($Q253)&lt;M$1/24,INDIRECT($R253)&gt;L$1/24),"x",""),""),"")</f>
        <v/>
      </c>
      <c r="M253" t="str" cm="1">
        <f t="array" aca="1" ref="M253" ca="1">IF(T253="Sócio",IF(COUNTIF(Opções!$H$2:$H$13,INDIRECT($P253))&gt;0,IF(AND(INDIRECT($Q253)&lt;N$1/24,INDIRECT($R253)&gt;M$1/24),"x",""),""),"")</f>
        <v/>
      </c>
      <c r="N253" t="str" cm="1">
        <f t="array" aca="1" ref="N253" ca="1">IF(T253="Sócio",IF(COUNTIF(Opções!$H$2:$H$13,INDIRECT($P253))&gt;0,IF(AND(INDIRECT($Q253)&lt;O$1/24,INDIRECT($R253)&gt;N$1/24),"x",""),""),"")</f>
        <v/>
      </c>
      <c r="O253" t="str" cm="1">
        <f t="array" aca="1" ref="O253" ca="1">IF(T253="Sócio",IF(COUNTIF(Opções!$H$2:$H$13,INDIRECT($P253))&gt;0,IF(AND(INDIRECT($Q253)&lt;P$1/24,INDIRECT($R253)&gt;O$1/24),"x",""),""),"")</f>
        <v/>
      </c>
      <c r="P253" t="str">
        <f t="shared" si="42"/>
        <v>$E253</v>
      </c>
      <c r="Q253" t="str">
        <f t="shared" si="2"/>
        <v>$F253</v>
      </c>
      <c r="R253" t="str">
        <f t="shared" si="3"/>
        <v>$G253</v>
      </c>
      <c r="S253" t="str">
        <f t="shared" si="43"/>
        <v>$D253</v>
      </c>
      <c r="T253" t="str" cm="1">
        <f t="array" aca="1" ref="T253" ca="1">IFERROR(VLOOKUP(INDIRECT(S253),Equipe!A:C,3,0),"")</f>
        <v/>
      </c>
    </row>
    <row r="254" spans="4:20" x14ac:dyDescent="0.3">
      <c r="J254" s="21" t="str">
        <f t="shared" ca="1" si="48"/>
        <v/>
      </c>
      <c r="K254" t="str" cm="1">
        <f t="array" aca="1" ref="K254" ca="1">IF(T254="Sócio",IF(COUNTIF(Opções!$H$2:$H$13,INDIRECT($P254))&gt;0,IF(AND(INDIRECT($Q254)&lt;L$1/24,INDIRECT($R254)&gt;K$1/24),"x",""),""),"")</f>
        <v/>
      </c>
      <c r="L254" t="str" cm="1">
        <f t="array" aca="1" ref="L254" ca="1">IF(T254="Sócio",IF(COUNTIF(Opções!$H$2:$H$13,INDIRECT($P254))&gt;0,IF(AND(INDIRECT($Q254)&lt;M$1/24,INDIRECT($R254)&gt;L$1/24),"x",""),""),"")</f>
        <v/>
      </c>
      <c r="M254" t="str" cm="1">
        <f t="array" aca="1" ref="M254" ca="1">IF(T254="Sócio",IF(COUNTIF(Opções!$H$2:$H$13,INDIRECT($P254))&gt;0,IF(AND(INDIRECT($Q254)&lt;N$1/24,INDIRECT($R254)&gt;M$1/24),"x",""),""),"")</f>
        <v/>
      </c>
      <c r="N254" t="str" cm="1">
        <f t="array" aca="1" ref="N254" ca="1">IF(T254="Sócio",IF(COUNTIF(Opções!$H$2:$H$13,INDIRECT($P254))&gt;0,IF(AND(INDIRECT($Q254)&lt;O$1/24,INDIRECT($R254)&gt;N$1/24),"x",""),""),"")</f>
        <v/>
      </c>
      <c r="O254" t="str" cm="1">
        <f t="array" aca="1" ref="O254" ca="1">IF(T254="Sócio",IF(COUNTIF(Opções!$H$2:$H$13,INDIRECT($P254))&gt;0,IF(AND(INDIRECT($Q254)&lt;P$1/24,INDIRECT($R254)&gt;O$1/24),"x",""),""),"")</f>
        <v/>
      </c>
      <c r="P254" t="str">
        <f t="shared" si="42"/>
        <v>$E254</v>
      </c>
      <c r="Q254" t="str">
        <f t="shared" si="2"/>
        <v>$F254</v>
      </c>
      <c r="R254" t="str">
        <f t="shared" si="3"/>
        <v>$G254</v>
      </c>
      <c r="S254" t="str">
        <f t="shared" si="43"/>
        <v>$D254</v>
      </c>
      <c r="T254" t="str" cm="1">
        <f t="array" aca="1" ref="T254" ca="1">IFERROR(VLOOKUP(INDIRECT(S254),Equipe!A:C,3,0),"")</f>
        <v/>
      </c>
    </row>
    <row r="255" spans="4:20" x14ac:dyDescent="0.3">
      <c r="J255" s="21" t="str">
        <f t="shared" ca="1" si="48"/>
        <v/>
      </c>
      <c r="K255" t="str" cm="1">
        <f t="array" aca="1" ref="K255" ca="1">IF(T255="Sócio",IF(COUNTIF(Opções!$H$2:$H$13,INDIRECT($P255))&gt;0,IF(AND(INDIRECT($Q255)&lt;L$1/24,INDIRECT($R255)&gt;K$1/24),"x",""),""),"")</f>
        <v/>
      </c>
      <c r="L255" t="str" cm="1">
        <f t="array" aca="1" ref="L255" ca="1">IF(T255="Sócio",IF(COUNTIF(Opções!$H$2:$H$13,INDIRECT($P255))&gt;0,IF(AND(INDIRECT($Q255)&lt;M$1/24,INDIRECT($R255)&gt;L$1/24),"x",""),""),"")</f>
        <v/>
      </c>
      <c r="M255" t="str" cm="1">
        <f t="array" aca="1" ref="M255" ca="1">IF(T255="Sócio",IF(COUNTIF(Opções!$H$2:$H$13,INDIRECT($P255))&gt;0,IF(AND(INDIRECT($Q255)&lt;N$1/24,INDIRECT($R255)&gt;M$1/24),"x",""),""),"")</f>
        <v/>
      </c>
      <c r="N255" t="str" cm="1">
        <f t="array" aca="1" ref="N255" ca="1">IF(T255="Sócio",IF(COUNTIF(Opções!$H$2:$H$13,INDIRECT($P255))&gt;0,IF(AND(INDIRECT($Q255)&lt;O$1/24,INDIRECT($R255)&gt;N$1/24),"x",""),""),"")</f>
        <v/>
      </c>
      <c r="O255" t="str" cm="1">
        <f t="array" aca="1" ref="O255" ca="1">IF(T255="Sócio",IF(COUNTIF(Opções!$H$2:$H$13,INDIRECT($P255))&gt;0,IF(AND(INDIRECT($Q255)&lt;P$1/24,INDIRECT($R255)&gt;O$1/24),"x",""),""),"")</f>
        <v/>
      </c>
      <c r="P255" t="str">
        <f t="shared" si="42"/>
        <v>$E255</v>
      </c>
      <c r="Q255" t="str">
        <f t="shared" si="2"/>
        <v>$F255</v>
      </c>
      <c r="R255" t="str">
        <f t="shared" si="3"/>
        <v>$G255</v>
      </c>
      <c r="S255" t="str">
        <f t="shared" si="43"/>
        <v>$D255</v>
      </c>
      <c r="T255" t="str" cm="1">
        <f t="array" aca="1" ref="T255" ca="1">IFERROR(VLOOKUP(INDIRECT(S255),Equipe!A:C,3,0),"")</f>
        <v/>
      </c>
    </row>
    <row r="256" spans="4:20" x14ac:dyDescent="0.3">
      <c r="J256" s="21" t="str">
        <f t="shared" ca="1" si="48"/>
        <v/>
      </c>
      <c r="K256" t="str" cm="1">
        <f t="array" aca="1" ref="K256" ca="1">IF(T256="Sócio",IF(COUNTIF(Opções!$H$2:$H$13,INDIRECT($P256))&gt;0,IF(AND(INDIRECT($Q256)&lt;L$1/24,INDIRECT($R256)&gt;K$1/24),"x",""),""),"")</f>
        <v/>
      </c>
      <c r="L256" t="str" cm="1">
        <f t="array" aca="1" ref="L256" ca="1">IF(T256="Sócio",IF(COUNTIF(Opções!$H$2:$H$13,INDIRECT($P256))&gt;0,IF(AND(INDIRECT($Q256)&lt;M$1/24,INDIRECT($R256)&gt;L$1/24),"x",""),""),"")</f>
        <v/>
      </c>
      <c r="M256" t="str" cm="1">
        <f t="array" aca="1" ref="M256" ca="1">IF(T256="Sócio",IF(COUNTIF(Opções!$H$2:$H$13,INDIRECT($P256))&gt;0,IF(AND(INDIRECT($Q256)&lt;N$1/24,INDIRECT($R256)&gt;M$1/24),"x",""),""),"")</f>
        <v/>
      </c>
      <c r="N256" t="str" cm="1">
        <f t="array" aca="1" ref="N256" ca="1">IF(T256="Sócio",IF(COUNTIF(Opções!$H$2:$H$13,INDIRECT($P256))&gt;0,IF(AND(INDIRECT($Q256)&lt;O$1/24,INDIRECT($R256)&gt;N$1/24),"x",""),""),"")</f>
        <v/>
      </c>
      <c r="O256" t="str" cm="1">
        <f t="array" aca="1" ref="O256" ca="1">IF(T256="Sócio",IF(COUNTIF(Opções!$H$2:$H$13,INDIRECT($P256))&gt;0,IF(AND(INDIRECT($Q256)&lt;P$1/24,INDIRECT($R256)&gt;O$1/24),"x",""),""),"")</f>
        <v/>
      </c>
      <c r="P256" t="str">
        <f t="shared" si="42"/>
        <v>$E256</v>
      </c>
      <c r="Q256" t="str">
        <f t="shared" si="2"/>
        <v>$F256</v>
      </c>
      <c r="R256" t="str">
        <f t="shared" si="3"/>
        <v>$G256</v>
      </c>
      <c r="S256" t="str">
        <f t="shared" si="43"/>
        <v>$D256</v>
      </c>
      <c r="T256" t="str" cm="1">
        <f t="array" aca="1" ref="T256" ca="1">IFERROR(VLOOKUP(INDIRECT(S256),Equipe!A:C,3,0),"")</f>
        <v/>
      </c>
    </row>
    <row r="257" spans="10:20" x14ac:dyDescent="0.3">
      <c r="J257" s="21" t="str">
        <f t="shared" ca="1" si="48"/>
        <v/>
      </c>
      <c r="K257" t="str" cm="1">
        <f t="array" aca="1" ref="K257" ca="1">IF(T257="Sócio",IF(COUNTIF(Opções!$H$2:$H$13,INDIRECT($P257))&gt;0,IF(AND(INDIRECT($Q257)&lt;L$1/24,INDIRECT($R257)&gt;K$1/24),"x",""),""),"")</f>
        <v/>
      </c>
      <c r="L257" t="str" cm="1">
        <f t="array" aca="1" ref="L257" ca="1">IF(T257="Sócio",IF(COUNTIF(Opções!$H$2:$H$13,INDIRECT($P257))&gt;0,IF(AND(INDIRECT($Q257)&lt;M$1/24,INDIRECT($R257)&gt;L$1/24),"x",""),""),"")</f>
        <v/>
      </c>
      <c r="M257" t="str" cm="1">
        <f t="array" aca="1" ref="M257" ca="1">IF(T257="Sócio",IF(COUNTIF(Opções!$H$2:$H$13,INDIRECT($P257))&gt;0,IF(AND(INDIRECT($Q257)&lt;N$1/24,INDIRECT($R257)&gt;M$1/24),"x",""),""),"")</f>
        <v/>
      </c>
      <c r="N257" t="str" cm="1">
        <f t="array" aca="1" ref="N257" ca="1">IF(T257="Sócio",IF(COUNTIF(Opções!$H$2:$H$13,INDIRECT($P257))&gt;0,IF(AND(INDIRECT($Q257)&lt;O$1/24,INDIRECT($R257)&gt;N$1/24),"x",""),""),"")</f>
        <v/>
      </c>
      <c r="O257" t="str" cm="1">
        <f t="array" aca="1" ref="O257" ca="1">IF(T257="Sócio",IF(COUNTIF(Opções!$H$2:$H$13,INDIRECT($P257))&gt;0,IF(AND(INDIRECT($Q257)&lt;P$1/24,INDIRECT($R257)&gt;O$1/24),"x",""),""),"")</f>
        <v/>
      </c>
      <c r="P257" t="str">
        <f t="shared" si="42"/>
        <v>$E257</v>
      </c>
      <c r="Q257" t="str">
        <f t="shared" si="2"/>
        <v>$F257</v>
      </c>
      <c r="R257" t="str">
        <f t="shared" si="3"/>
        <v>$G257</v>
      </c>
      <c r="S257" t="str">
        <f t="shared" si="43"/>
        <v>$D257</v>
      </c>
      <c r="T257" t="str" cm="1">
        <f t="array" aca="1" ref="T257" ca="1">IFERROR(VLOOKUP(INDIRECT(S257),Equipe!A:C,3,0),"")</f>
        <v/>
      </c>
    </row>
    <row r="258" spans="10:20" x14ac:dyDescent="0.3">
      <c r="J258" s="21" t="str">
        <f t="shared" ca="1" si="48"/>
        <v/>
      </c>
      <c r="K258" t="str" cm="1">
        <f t="array" aca="1" ref="K258" ca="1">IF(T258="Sócio",IF(COUNTIF(Opções!$H$2:$H$13,INDIRECT($P258))&gt;0,IF(AND(INDIRECT($Q258)&lt;L$1/24,INDIRECT($R258)&gt;K$1/24),"x",""),""),"")</f>
        <v/>
      </c>
      <c r="L258" t="str" cm="1">
        <f t="array" aca="1" ref="L258" ca="1">IF(T258="Sócio",IF(COUNTIF(Opções!$H$2:$H$13,INDIRECT($P258))&gt;0,IF(AND(INDIRECT($Q258)&lt;M$1/24,INDIRECT($R258)&gt;L$1/24),"x",""),""),"")</f>
        <v/>
      </c>
      <c r="M258" t="str" cm="1">
        <f t="array" aca="1" ref="M258" ca="1">IF(T258="Sócio",IF(COUNTIF(Opções!$H$2:$H$13,INDIRECT($P258))&gt;0,IF(AND(INDIRECT($Q258)&lt;N$1/24,INDIRECT($R258)&gt;M$1/24),"x",""),""),"")</f>
        <v/>
      </c>
      <c r="N258" t="str" cm="1">
        <f t="array" aca="1" ref="N258" ca="1">IF(T258="Sócio",IF(COUNTIF(Opções!$H$2:$H$13,INDIRECT($P258))&gt;0,IF(AND(INDIRECT($Q258)&lt;O$1/24,INDIRECT($R258)&gt;N$1/24),"x",""),""),"")</f>
        <v/>
      </c>
      <c r="O258" t="str" cm="1">
        <f t="array" aca="1" ref="O258" ca="1">IF(T258="Sócio",IF(COUNTIF(Opções!$H$2:$H$13,INDIRECT($P258))&gt;0,IF(AND(INDIRECT($Q258)&lt;P$1/24,INDIRECT($R258)&gt;O$1/24),"x",""),""),"")</f>
        <v/>
      </c>
      <c r="P258" t="str">
        <f t="shared" si="42"/>
        <v>$E258</v>
      </c>
      <c r="Q258" t="str">
        <f t="shared" si="2"/>
        <v>$F258</v>
      </c>
      <c r="R258" t="str">
        <f t="shared" si="3"/>
        <v>$G258</v>
      </c>
      <c r="S258" t="str">
        <f t="shared" si="43"/>
        <v>$D258</v>
      </c>
      <c r="T258" t="str" cm="1">
        <f t="array" aca="1" ref="T258" ca="1">IFERROR(VLOOKUP(INDIRECT(S258),Equipe!A:C,3,0),"")</f>
        <v/>
      </c>
    </row>
    <row r="259" spans="10:20" x14ac:dyDescent="0.3">
      <c r="J259" s="21" t="str">
        <f t="shared" ca="1" si="48"/>
        <v/>
      </c>
      <c r="K259" t="str" cm="1">
        <f t="array" aca="1" ref="K259" ca="1">IF(T259="Sócio",IF(COUNTIF(Opções!$H$2:$H$13,INDIRECT($P259))&gt;0,IF(AND(INDIRECT($Q259)&lt;L$1/24,INDIRECT($R259)&gt;K$1/24),"x",""),""),"")</f>
        <v/>
      </c>
      <c r="L259" t="str" cm="1">
        <f t="array" aca="1" ref="L259" ca="1">IF(T259="Sócio",IF(COUNTIF(Opções!$H$2:$H$13,INDIRECT($P259))&gt;0,IF(AND(INDIRECT($Q259)&lt;M$1/24,INDIRECT($R259)&gt;L$1/24),"x",""),""),"")</f>
        <v/>
      </c>
      <c r="M259" t="str" cm="1">
        <f t="array" aca="1" ref="M259" ca="1">IF(T259="Sócio",IF(COUNTIF(Opções!$H$2:$H$13,INDIRECT($P259))&gt;0,IF(AND(INDIRECT($Q259)&lt;N$1/24,INDIRECT($R259)&gt;M$1/24),"x",""),""),"")</f>
        <v/>
      </c>
      <c r="N259" t="str" cm="1">
        <f t="array" aca="1" ref="N259" ca="1">IF(T259="Sócio",IF(COUNTIF(Opções!$H$2:$H$13,INDIRECT($P259))&gt;0,IF(AND(INDIRECT($Q259)&lt;O$1/24,INDIRECT($R259)&gt;N$1/24),"x",""),""),"")</f>
        <v/>
      </c>
      <c r="O259" t="str" cm="1">
        <f t="array" aca="1" ref="O259" ca="1">IF(T259="Sócio",IF(COUNTIF(Opções!$H$2:$H$13,INDIRECT($P259))&gt;0,IF(AND(INDIRECT($Q259)&lt;P$1/24,INDIRECT($R259)&gt;O$1/24),"x",""),""),"")</f>
        <v/>
      </c>
      <c r="P259" t="str">
        <f t="shared" si="42"/>
        <v>$E259</v>
      </c>
      <c r="Q259" t="str">
        <f t="shared" si="2"/>
        <v>$F259</v>
      </c>
      <c r="R259" t="str">
        <f t="shared" si="3"/>
        <v>$G259</v>
      </c>
      <c r="S259" t="str">
        <f t="shared" si="43"/>
        <v>$D259</v>
      </c>
      <c r="T259" t="str" cm="1">
        <f t="array" aca="1" ref="T259" ca="1">IFERROR(VLOOKUP(INDIRECT(S259),Equipe!A:C,3,0),"")</f>
        <v/>
      </c>
    </row>
    <row r="260" spans="10:20" x14ac:dyDescent="0.3">
      <c r="J260" s="21" t="str">
        <f t="shared" ca="1" si="48"/>
        <v/>
      </c>
      <c r="K260" t="str" cm="1">
        <f t="array" aca="1" ref="K260" ca="1">IF(T260="Sócio",IF(COUNTIF(Opções!$H$2:$H$13,INDIRECT($P260))&gt;0,IF(AND(INDIRECT($Q260)&lt;L$1/24,INDIRECT($R260)&gt;K$1/24),"x",""),""),"")</f>
        <v/>
      </c>
      <c r="L260" t="str" cm="1">
        <f t="array" aca="1" ref="L260" ca="1">IF(T260="Sócio",IF(COUNTIF(Opções!$H$2:$H$13,INDIRECT($P260))&gt;0,IF(AND(INDIRECT($Q260)&lt;M$1/24,INDIRECT($R260)&gt;L$1/24),"x",""),""),"")</f>
        <v/>
      </c>
      <c r="M260" t="str" cm="1">
        <f t="array" aca="1" ref="M260" ca="1">IF(T260="Sócio",IF(COUNTIF(Opções!$H$2:$H$13,INDIRECT($P260))&gt;0,IF(AND(INDIRECT($Q260)&lt;N$1/24,INDIRECT($R260)&gt;M$1/24),"x",""),""),"")</f>
        <v/>
      </c>
      <c r="N260" t="str" cm="1">
        <f t="array" aca="1" ref="N260" ca="1">IF(T260="Sócio",IF(COUNTIF(Opções!$H$2:$H$13,INDIRECT($P260))&gt;0,IF(AND(INDIRECT($Q260)&lt;O$1/24,INDIRECT($R260)&gt;N$1/24),"x",""),""),"")</f>
        <v/>
      </c>
      <c r="O260" t="str" cm="1">
        <f t="array" aca="1" ref="O260" ca="1">IF(T260="Sócio",IF(COUNTIF(Opções!$H$2:$H$13,INDIRECT($P260))&gt;0,IF(AND(INDIRECT($Q260)&lt;P$1/24,INDIRECT($R260)&gt;O$1/24),"x",""),""),"")</f>
        <v/>
      </c>
      <c r="P260" t="str">
        <f t="shared" si="42"/>
        <v>$E260</v>
      </c>
      <c r="Q260" t="str">
        <f t="shared" si="2"/>
        <v>$F260</v>
      </c>
      <c r="R260" t="str">
        <f t="shared" si="3"/>
        <v>$G260</v>
      </c>
      <c r="S260" t="str">
        <f t="shared" si="43"/>
        <v>$D260</v>
      </c>
      <c r="T260" t="str" cm="1">
        <f t="array" aca="1" ref="T260" ca="1">IFERROR(VLOOKUP(INDIRECT(S260),Equipe!A:C,3,0),"")</f>
        <v/>
      </c>
    </row>
    <row r="261" spans="10:20" x14ac:dyDescent="0.3">
      <c r="J261" s="21" t="str">
        <f t="shared" ca="1" si="48"/>
        <v/>
      </c>
      <c r="K261" t="str" cm="1">
        <f t="array" aca="1" ref="K261" ca="1">IF(T261="Sócio",IF(COUNTIF(Opções!$H$2:$H$13,INDIRECT($P261))&gt;0,IF(AND(INDIRECT($Q261)&lt;L$1/24,INDIRECT($R261)&gt;K$1/24),"x",""),""),"")</f>
        <v/>
      </c>
      <c r="L261" t="str" cm="1">
        <f t="array" aca="1" ref="L261" ca="1">IF(T261="Sócio",IF(COUNTIF(Opções!$H$2:$H$13,INDIRECT($P261))&gt;0,IF(AND(INDIRECT($Q261)&lt;M$1/24,INDIRECT($R261)&gt;L$1/24),"x",""),""),"")</f>
        <v/>
      </c>
      <c r="M261" t="str" cm="1">
        <f t="array" aca="1" ref="M261" ca="1">IF(T261="Sócio",IF(COUNTIF(Opções!$H$2:$H$13,INDIRECT($P261))&gt;0,IF(AND(INDIRECT($Q261)&lt;N$1/24,INDIRECT($R261)&gt;M$1/24),"x",""),""),"")</f>
        <v/>
      </c>
      <c r="N261" t="str" cm="1">
        <f t="array" aca="1" ref="N261" ca="1">IF(T261="Sócio",IF(COUNTIF(Opções!$H$2:$H$13,INDIRECT($P261))&gt;0,IF(AND(INDIRECT($Q261)&lt;O$1/24,INDIRECT($R261)&gt;N$1/24),"x",""),""),"")</f>
        <v/>
      </c>
      <c r="O261" t="str" cm="1">
        <f t="array" aca="1" ref="O261" ca="1">IF(T261="Sócio",IF(COUNTIF(Opções!$H$2:$H$13,INDIRECT($P261))&gt;0,IF(AND(INDIRECT($Q261)&lt;P$1/24,INDIRECT($R261)&gt;O$1/24),"x",""),""),"")</f>
        <v/>
      </c>
      <c r="P261" t="str">
        <f t="shared" si="42"/>
        <v>$E261</v>
      </c>
      <c r="Q261" t="str">
        <f t="shared" si="2"/>
        <v>$F261</v>
      </c>
      <c r="R261" t="str">
        <f t="shared" si="3"/>
        <v>$G261</v>
      </c>
      <c r="S261" t="str">
        <f t="shared" si="43"/>
        <v>$D261</v>
      </c>
      <c r="T261" t="str" cm="1">
        <f t="array" aca="1" ref="T261" ca="1">IFERROR(VLOOKUP(INDIRECT(S261),Equipe!A:C,3,0),"")</f>
        <v/>
      </c>
    </row>
    <row r="262" spans="10:20" x14ac:dyDescent="0.3">
      <c r="J262" s="21" t="str">
        <f t="shared" ca="1" si="48"/>
        <v/>
      </c>
      <c r="K262" t="str" cm="1">
        <f t="array" aca="1" ref="K262" ca="1">IF(T262="Sócio",IF(COUNTIF(Opções!$H$2:$H$13,INDIRECT($P262))&gt;0,IF(AND(INDIRECT($Q262)&lt;L$1/24,INDIRECT($R262)&gt;K$1/24),"x",""),""),"")</f>
        <v/>
      </c>
      <c r="L262" t="str" cm="1">
        <f t="array" aca="1" ref="L262" ca="1">IF(T262="Sócio",IF(COUNTIF(Opções!$H$2:$H$13,INDIRECT($P262))&gt;0,IF(AND(INDIRECT($Q262)&lt;M$1/24,INDIRECT($R262)&gt;L$1/24),"x",""),""),"")</f>
        <v/>
      </c>
      <c r="M262" t="str" cm="1">
        <f t="array" aca="1" ref="M262" ca="1">IF(T262="Sócio",IF(COUNTIF(Opções!$H$2:$H$13,INDIRECT($P262))&gt;0,IF(AND(INDIRECT($Q262)&lt;N$1/24,INDIRECT($R262)&gt;M$1/24),"x",""),""),"")</f>
        <v/>
      </c>
      <c r="N262" t="str" cm="1">
        <f t="array" aca="1" ref="N262" ca="1">IF(T262="Sócio",IF(COUNTIF(Opções!$H$2:$H$13,INDIRECT($P262))&gt;0,IF(AND(INDIRECT($Q262)&lt;O$1/24,INDIRECT($R262)&gt;N$1/24),"x",""),""),"")</f>
        <v/>
      </c>
      <c r="O262" t="str" cm="1">
        <f t="array" aca="1" ref="O262" ca="1">IF(T262="Sócio",IF(COUNTIF(Opções!$H$2:$H$13,INDIRECT($P262))&gt;0,IF(AND(INDIRECT($Q262)&lt;P$1/24,INDIRECT($R262)&gt;O$1/24),"x",""),""),"")</f>
        <v/>
      </c>
      <c r="P262" t="str">
        <f t="shared" si="42"/>
        <v>$E262</v>
      </c>
      <c r="Q262" t="str">
        <f t="shared" ref="Q262" si="55">"$F"&amp;ROW(O262)</f>
        <v>$F262</v>
      </c>
      <c r="R262" t="str">
        <f t="shared" ref="R262" si="56">"$G"&amp;ROW(Q262)</f>
        <v>$G262</v>
      </c>
      <c r="S262" t="str">
        <f t="shared" si="43"/>
        <v>$D262</v>
      </c>
      <c r="T262" t="str" cm="1">
        <f t="array" aca="1" ref="T262" ca="1">IFERROR(VLOOKUP(INDIRECT(S262),Equipe!A:C,3,0),"")</f>
        <v/>
      </c>
    </row>
    <row r="263" spans="10:20" x14ac:dyDescent="0.3">
      <c r="J263" s="21" t="str">
        <f t="shared" ca="1" si="48"/>
        <v/>
      </c>
      <c r="K263" t="str" cm="1">
        <f t="array" aca="1" ref="K263" ca="1">IF(T263="Sócio",IF(COUNTIF(Opções!$H$2:$H$13,INDIRECT($P263))&gt;0,IF(AND(INDIRECT($Q263)&lt;L$1/24,INDIRECT($R263)&gt;K$1/24),"x",""),""),"")</f>
        <v/>
      </c>
      <c r="L263" t="str" cm="1">
        <f t="array" aca="1" ref="L263" ca="1">IF(T263="Sócio",IF(COUNTIF(Opções!$H$2:$H$13,INDIRECT($P263))&gt;0,IF(AND(INDIRECT($Q263)&lt;M$1/24,INDIRECT($R263)&gt;L$1/24),"x",""),""),"")</f>
        <v/>
      </c>
      <c r="M263" t="str" cm="1">
        <f t="array" aca="1" ref="M263" ca="1">IF(T263="Sócio",IF(COUNTIF(Opções!$H$2:$H$13,INDIRECT($P263))&gt;0,IF(AND(INDIRECT($Q263)&lt;N$1/24,INDIRECT($R263)&gt;M$1/24),"x",""),""),"")</f>
        <v/>
      </c>
      <c r="N263" t="str" cm="1">
        <f t="array" aca="1" ref="N263" ca="1">IF(T263="Sócio",IF(COUNTIF(Opções!$H$2:$H$13,INDIRECT($P263))&gt;0,IF(AND(INDIRECT($Q263)&lt;O$1/24,INDIRECT($R263)&gt;N$1/24),"x",""),""),"")</f>
        <v/>
      </c>
      <c r="O263" t="str" cm="1">
        <f t="array" aca="1" ref="O263" ca="1">IF(T263="Sócio",IF(COUNTIF(Opções!$H$2:$H$13,INDIRECT($P263))&gt;0,IF(AND(INDIRECT($Q263)&lt;P$1/24,INDIRECT($R263)&gt;O$1/24),"x",""),""),"")</f>
        <v/>
      </c>
      <c r="P263" t="str">
        <f t="shared" si="42"/>
        <v>$E263</v>
      </c>
      <c r="Q263" t="str">
        <f t="shared" si="2"/>
        <v>$F263</v>
      </c>
      <c r="R263" t="str">
        <f t="shared" si="3"/>
        <v>$G263</v>
      </c>
      <c r="S263" t="str">
        <f t="shared" si="43"/>
        <v>$D263</v>
      </c>
      <c r="T263" t="str" cm="1">
        <f t="array" aca="1" ref="T263" ca="1">IFERROR(VLOOKUP(INDIRECT(S263),Equipe!A:C,3,0),"")</f>
        <v/>
      </c>
    </row>
    <row r="264" spans="10:20" x14ac:dyDescent="0.3">
      <c r="J264" s="21" t="str">
        <f t="shared" ca="1" si="48"/>
        <v/>
      </c>
      <c r="K264" t="str" cm="1">
        <f t="array" aca="1" ref="K264" ca="1">IF(T264="Sócio",IF(COUNTIF(Opções!$H$2:$H$13,INDIRECT($P264))&gt;0,IF(AND(INDIRECT($Q264)&lt;L$1/24,INDIRECT($R264)&gt;K$1/24),"x",""),""),"")</f>
        <v/>
      </c>
      <c r="L264" t="str" cm="1">
        <f t="array" aca="1" ref="L264" ca="1">IF(T264="Sócio",IF(COUNTIF(Opções!$H$2:$H$13,INDIRECT($P264))&gt;0,IF(AND(INDIRECT($Q264)&lt;M$1/24,INDIRECT($R264)&gt;L$1/24),"x",""),""),"")</f>
        <v/>
      </c>
      <c r="M264" t="str" cm="1">
        <f t="array" aca="1" ref="M264" ca="1">IF(T264="Sócio",IF(COUNTIF(Opções!$H$2:$H$13,INDIRECT($P264))&gt;0,IF(AND(INDIRECT($Q264)&lt;N$1/24,INDIRECT($R264)&gt;M$1/24),"x",""),""),"")</f>
        <v/>
      </c>
      <c r="N264" t="str" cm="1">
        <f t="array" aca="1" ref="N264" ca="1">IF(T264="Sócio",IF(COUNTIF(Opções!$H$2:$H$13,INDIRECT($P264))&gt;0,IF(AND(INDIRECT($Q264)&lt;O$1/24,INDIRECT($R264)&gt;N$1/24),"x",""),""),"")</f>
        <v/>
      </c>
      <c r="O264" t="str" cm="1">
        <f t="array" aca="1" ref="O264" ca="1">IF(T264="Sócio",IF(COUNTIF(Opções!$H$2:$H$13,INDIRECT($P264))&gt;0,IF(AND(INDIRECT($Q264)&lt;P$1/24,INDIRECT($R264)&gt;O$1/24),"x",""),""),"")</f>
        <v/>
      </c>
      <c r="P264" t="str">
        <f t="shared" si="42"/>
        <v>$E264</v>
      </c>
      <c r="Q264" t="str">
        <f t="shared" si="2"/>
        <v>$F264</v>
      </c>
      <c r="R264" t="str">
        <f t="shared" si="3"/>
        <v>$G264</v>
      </c>
      <c r="S264" t="str">
        <f t="shared" si="43"/>
        <v>$D264</v>
      </c>
      <c r="T264" t="str" cm="1">
        <f t="array" aca="1" ref="T264" ca="1">IFERROR(VLOOKUP(INDIRECT(S264),Equipe!A:C,3,0),"")</f>
        <v/>
      </c>
    </row>
    <row r="265" spans="10:20" x14ac:dyDescent="0.3">
      <c r="J265" s="21" t="str">
        <f t="shared" ca="1" si="48"/>
        <v/>
      </c>
      <c r="K265" t="str" cm="1">
        <f t="array" aca="1" ref="K265" ca="1">IF(T265="Sócio",IF(COUNTIF(Opções!$H$2:$H$13,INDIRECT($P265))&gt;0,IF(AND(INDIRECT($Q265)&lt;L$1/24,INDIRECT($R265)&gt;K$1/24),"x",""),""),"")</f>
        <v/>
      </c>
      <c r="L265" t="str" cm="1">
        <f t="array" aca="1" ref="L265" ca="1">IF(T265="Sócio",IF(COUNTIF(Opções!$H$2:$H$13,INDIRECT($P265))&gt;0,IF(AND(INDIRECT($Q265)&lt;M$1/24,INDIRECT($R265)&gt;L$1/24),"x",""),""),"")</f>
        <v/>
      </c>
      <c r="M265" t="str" cm="1">
        <f t="array" aca="1" ref="M265" ca="1">IF(T265="Sócio",IF(COUNTIF(Opções!$H$2:$H$13,INDIRECT($P265))&gt;0,IF(AND(INDIRECT($Q265)&lt;N$1/24,INDIRECT($R265)&gt;M$1/24),"x",""),""),"")</f>
        <v/>
      </c>
      <c r="N265" t="str" cm="1">
        <f t="array" aca="1" ref="N265" ca="1">IF(T265="Sócio",IF(COUNTIF(Opções!$H$2:$H$13,INDIRECT($P265))&gt;0,IF(AND(INDIRECT($Q265)&lt;O$1/24,INDIRECT($R265)&gt;N$1/24),"x",""),""),"")</f>
        <v/>
      </c>
      <c r="O265" t="str" cm="1">
        <f t="array" aca="1" ref="O265" ca="1">IF(T265="Sócio",IF(COUNTIF(Opções!$H$2:$H$13,INDIRECT($P265))&gt;0,IF(AND(INDIRECT($Q265)&lt;P$1/24,INDIRECT($R265)&gt;O$1/24),"x",""),""),"")</f>
        <v/>
      </c>
      <c r="P265" t="str">
        <f t="shared" si="42"/>
        <v>$E265</v>
      </c>
      <c r="Q265" t="str">
        <f t="shared" si="2"/>
        <v>$F265</v>
      </c>
      <c r="R265" t="str">
        <f t="shared" si="3"/>
        <v>$G265</v>
      </c>
      <c r="S265" t="str">
        <f t="shared" si="43"/>
        <v>$D265</v>
      </c>
      <c r="T265" t="str" cm="1">
        <f t="array" aca="1" ref="T265" ca="1">IFERROR(VLOOKUP(INDIRECT(S265),Equipe!A:C,3,0),"")</f>
        <v/>
      </c>
    </row>
    <row r="266" spans="10:20" x14ac:dyDescent="0.3">
      <c r="J266" s="21" t="str">
        <f t="shared" ca="1" si="48"/>
        <v/>
      </c>
      <c r="K266" t="str" cm="1">
        <f t="array" aca="1" ref="K266" ca="1">IF(T266="Sócio",IF(COUNTIF(Opções!$H$2:$H$13,INDIRECT($P266))&gt;0,IF(AND(INDIRECT($Q266)&lt;L$1/24,INDIRECT($R266)&gt;K$1/24),"x",""),""),"")</f>
        <v/>
      </c>
      <c r="L266" t="str" cm="1">
        <f t="array" aca="1" ref="L266" ca="1">IF(T266="Sócio",IF(COUNTIF(Opções!$H$2:$H$13,INDIRECT($P266))&gt;0,IF(AND(INDIRECT($Q266)&lt;M$1/24,INDIRECT($R266)&gt;L$1/24),"x",""),""),"")</f>
        <v/>
      </c>
      <c r="M266" t="str" cm="1">
        <f t="array" aca="1" ref="M266" ca="1">IF(T266="Sócio",IF(COUNTIF(Opções!$H$2:$H$13,INDIRECT($P266))&gt;0,IF(AND(INDIRECT($Q266)&lt;N$1/24,INDIRECT($R266)&gt;M$1/24),"x",""),""),"")</f>
        <v/>
      </c>
      <c r="N266" t="str" cm="1">
        <f t="array" aca="1" ref="N266" ca="1">IF(T266="Sócio",IF(COUNTIF(Opções!$H$2:$H$13,INDIRECT($P266))&gt;0,IF(AND(INDIRECT($Q266)&lt;O$1/24,INDIRECT($R266)&gt;N$1/24),"x",""),""),"")</f>
        <v/>
      </c>
      <c r="O266" t="str" cm="1">
        <f t="array" aca="1" ref="O266" ca="1">IF(T266="Sócio",IF(COUNTIF(Opções!$H$2:$H$13,INDIRECT($P266))&gt;0,IF(AND(INDIRECT($Q266)&lt;P$1/24,INDIRECT($R266)&gt;O$1/24),"x",""),""),"")</f>
        <v/>
      </c>
      <c r="P266" t="str">
        <f t="shared" si="42"/>
        <v>$E266</v>
      </c>
      <c r="Q266" t="str">
        <f t="shared" si="2"/>
        <v>$F266</v>
      </c>
      <c r="R266" t="str">
        <f t="shared" si="3"/>
        <v>$G266</v>
      </c>
      <c r="S266" t="str">
        <f t="shared" si="43"/>
        <v>$D266</v>
      </c>
      <c r="T266" t="str" cm="1">
        <f t="array" aca="1" ref="T266" ca="1">IFERROR(VLOOKUP(INDIRECT(S266),Equipe!A:C,3,0),"")</f>
        <v/>
      </c>
    </row>
    <row r="267" spans="10:20" x14ac:dyDescent="0.3">
      <c r="J267" s="21" t="str">
        <f t="shared" ca="1" si="48"/>
        <v/>
      </c>
      <c r="K267" t="str" cm="1">
        <f t="array" aca="1" ref="K267" ca="1">IF(T267="Sócio",IF(COUNTIF(Opções!$H$2:$H$13,INDIRECT($P267))&gt;0,IF(AND(INDIRECT($Q267)&lt;L$1/24,INDIRECT($R267)&gt;K$1/24),"x",""),""),"")</f>
        <v/>
      </c>
      <c r="L267" t="str" cm="1">
        <f t="array" aca="1" ref="L267" ca="1">IF(T267="Sócio",IF(COUNTIF(Opções!$H$2:$H$13,INDIRECT($P267))&gt;0,IF(AND(INDIRECT($Q267)&lt;M$1/24,INDIRECT($R267)&gt;L$1/24),"x",""),""),"")</f>
        <v/>
      </c>
      <c r="M267" t="str" cm="1">
        <f t="array" aca="1" ref="M267" ca="1">IF(T267="Sócio",IF(COUNTIF(Opções!$H$2:$H$13,INDIRECT($P267))&gt;0,IF(AND(INDIRECT($Q267)&lt;N$1/24,INDIRECT($R267)&gt;M$1/24),"x",""),""),"")</f>
        <v/>
      </c>
      <c r="N267" t="str" cm="1">
        <f t="array" aca="1" ref="N267" ca="1">IF(T267="Sócio",IF(COUNTIF(Opções!$H$2:$H$13,INDIRECT($P267))&gt;0,IF(AND(INDIRECT($Q267)&lt;O$1/24,INDIRECT($R267)&gt;N$1/24),"x",""),""),"")</f>
        <v/>
      </c>
      <c r="O267" t="str" cm="1">
        <f t="array" aca="1" ref="O267" ca="1">IF(T267="Sócio",IF(COUNTIF(Opções!$H$2:$H$13,INDIRECT($P267))&gt;0,IF(AND(INDIRECT($Q267)&lt;P$1/24,INDIRECT($R267)&gt;O$1/24),"x",""),""),"")</f>
        <v/>
      </c>
      <c r="P267" t="str">
        <f t="shared" si="42"/>
        <v>$E267</v>
      </c>
      <c r="Q267" t="str">
        <f t="shared" si="2"/>
        <v>$F267</v>
      </c>
      <c r="R267" t="str">
        <f t="shared" si="3"/>
        <v>$G267</v>
      </c>
      <c r="S267" t="str">
        <f t="shared" si="43"/>
        <v>$D267</v>
      </c>
      <c r="T267" t="str" cm="1">
        <f t="array" aca="1" ref="T267" ca="1">IFERROR(VLOOKUP(INDIRECT(S267),Equipe!A:C,3,0),"")</f>
        <v/>
      </c>
    </row>
    <row r="268" spans="10:20" x14ac:dyDescent="0.3">
      <c r="J268" s="21" t="str">
        <f t="shared" ca="1" si="48"/>
        <v/>
      </c>
      <c r="K268" t="str" cm="1">
        <f t="array" aca="1" ref="K268" ca="1">IF(T268="Sócio",IF(COUNTIF(Opções!$H$2:$H$13,INDIRECT($P268))&gt;0,IF(AND(INDIRECT($Q268)&lt;L$1/24,INDIRECT($R268)&gt;K$1/24),"x",""),""),"")</f>
        <v/>
      </c>
      <c r="L268" t="str" cm="1">
        <f t="array" aca="1" ref="L268" ca="1">IF(T268="Sócio",IF(COUNTIF(Opções!$H$2:$H$13,INDIRECT($P268))&gt;0,IF(AND(INDIRECT($Q268)&lt;M$1/24,INDIRECT($R268)&gt;L$1/24),"x",""),""),"")</f>
        <v/>
      </c>
      <c r="M268" t="str" cm="1">
        <f t="array" aca="1" ref="M268" ca="1">IF(T268="Sócio",IF(COUNTIF(Opções!$H$2:$H$13,INDIRECT($P268))&gt;0,IF(AND(INDIRECT($Q268)&lt;N$1/24,INDIRECT($R268)&gt;M$1/24),"x",""),""),"")</f>
        <v/>
      </c>
      <c r="N268" t="str" cm="1">
        <f t="array" aca="1" ref="N268" ca="1">IF(T268="Sócio",IF(COUNTIF(Opções!$H$2:$H$13,INDIRECT($P268))&gt;0,IF(AND(INDIRECT($Q268)&lt;O$1/24,INDIRECT($R268)&gt;N$1/24),"x",""),""),"")</f>
        <v/>
      </c>
      <c r="O268" t="str" cm="1">
        <f t="array" aca="1" ref="O268" ca="1">IF(T268="Sócio",IF(COUNTIF(Opções!$H$2:$H$13,INDIRECT($P268))&gt;0,IF(AND(INDIRECT($Q268)&lt;P$1/24,INDIRECT($R268)&gt;O$1/24),"x",""),""),"")</f>
        <v/>
      </c>
      <c r="P268" t="str">
        <f t="shared" si="42"/>
        <v>$E268</v>
      </c>
      <c r="Q268" t="str">
        <f t="shared" si="2"/>
        <v>$F268</v>
      </c>
      <c r="R268" t="str">
        <f t="shared" si="3"/>
        <v>$G268</v>
      </c>
      <c r="S268" t="str">
        <f t="shared" si="43"/>
        <v>$D268</v>
      </c>
      <c r="T268" t="str" cm="1">
        <f t="array" aca="1" ref="T268" ca="1">IFERROR(VLOOKUP(INDIRECT(S268),Equipe!A:C,3,0),"")</f>
        <v/>
      </c>
    </row>
    <row r="269" spans="10:20" x14ac:dyDescent="0.3">
      <c r="J269" s="21" t="str">
        <f t="shared" ca="1" si="48"/>
        <v/>
      </c>
      <c r="K269" t="str" cm="1">
        <f t="array" aca="1" ref="K269" ca="1">IF(T269="Sócio",IF(COUNTIF(Opções!$H$2:$H$13,INDIRECT($P269))&gt;0,IF(AND(INDIRECT($Q269)&lt;L$1/24,INDIRECT($R269)&gt;K$1/24),"x",""),""),"")</f>
        <v/>
      </c>
      <c r="L269" t="str" cm="1">
        <f t="array" aca="1" ref="L269" ca="1">IF(T269="Sócio",IF(COUNTIF(Opções!$H$2:$H$13,INDIRECT($P269))&gt;0,IF(AND(INDIRECT($Q269)&lt;M$1/24,INDIRECT($R269)&gt;L$1/24),"x",""),""),"")</f>
        <v/>
      </c>
      <c r="M269" t="str" cm="1">
        <f t="array" aca="1" ref="M269" ca="1">IF(T269="Sócio",IF(COUNTIF(Opções!$H$2:$H$13,INDIRECT($P269))&gt;0,IF(AND(INDIRECT($Q269)&lt;N$1/24,INDIRECT($R269)&gt;M$1/24),"x",""),""),"")</f>
        <v/>
      </c>
      <c r="N269" t="str" cm="1">
        <f t="array" aca="1" ref="N269" ca="1">IF(T269="Sócio",IF(COUNTIF(Opções!$H$2:$H$13,INDIRECT($P269))&gt;0,IF(AND(INDIRECT($Q269)&lt;O$1/24,INDIRECT($R269)&gt;N$1/24),"x",""),""),"")</f>
        <v/>
      </c>
      <c r="O269" t="str" cm="1">
        <f t="array" aca="1" ref="O269" ca="1">IF(T269="Sócio",IF(COUNTIF(Opções!$H$2:$H$13,INDIRECT($P269))&gt;0,IF(AND(INDIRECT($Q269)&lt;P$1/24,INDIRECT($R269)&gt;O$1/24),"x",""),""),"")</f>
        <v/>
      </c>
      <c r="P269" t="str">
        <f t="shared" si="42"/>
        <v>$E269</v>
      </c>
      <c r="Q269" t="str">
        <f t="shared" si="2"/>
        <v>$F269</v>
      </c>
      <c r="R269" t="str">
        <f t="shared" si="3"/>
        <v>$G269</v>
      </c>
      <c r="S269" t="str">
        <f t="shared" si="43"/>
        <v>$D269</v>
      </c>
      <c r="T269" t="str" cm="1">
        <f t="array" aca="1" ref="T269" ca="1">IFERROR(VLOOKUP(INDIRECT(S269),Equipe!A:C,3,0),"")</f>
        <v/>
      </c>
    </row>
    <row r="270" spans="10:20" x14ac:dyDescent="0.3">
      <c r="J270" s="21" t="str">
        <f t="shared" ca="1" si="48"/>
        <v/>
      </c>
      <c r="K270" t="str" cm="1">
        <f t="array" aca="1" ref="K270" ca="1">IF(T270="Sócio",IF(COUNTIF(Opções!$H$2:$H$13,INDIRECT($P270))&gt;0,IF(AND(INDIRECT($Q270)&lt;L$1/24,INDIRECT($R270)&gt;K$1/24),"x",""),""),"")</f>
        <v/>
      </c>
      <c r="L270" t="str" cm="1">
        <f t="array" aca="1" ref="L270" ca="1">IF(T270="Sócio",IF(COUNTIF(Opções!$H$2:$H$13,INDIRECT($P270))&gt;0,IF(AND(INDIRECT($Q270)&lt;M$1/24,INDIRECT($R270)&gt;L$1/24),"x",""),""),"")</f>
        <v/>
      </c>
      <c r="M270" t="str" cm="1">
        <f t="array" aca="1" ref="M270" ca="1">IF(T270="Sócio",IF(COUNTIF(Opções!$H$2:$H$13,INDIRECT($P270))&gt;0,IF(AND(INDIRECT($Q270)&lt;N$1/24,INDIRECT($R270)&gt;M$1/24),"x",""),""),"")</f>
        <v/>
      </c>
      <c r="N270" t="str" cm="1">
        <f t="array" aca="1" ref="N270" ca="1">IF(T270="Sócio",IF(COUNTIF(Opções!$H$2:$H$13,INDIRECT($P270))&gt;0,IF(AND(INDIRECT($Q270)&lt;O$1/24,INDIRECT($R270)&gt;N$1/24),"x",""),""),"")</f>
        <v/>
      </c>
      <c r="O270" t="str" cm="1">
        <f t="array" aca="1" ref="O270" ca="1">IF(T270="Sócio",IF(COUNTIF(Opções!$H$2:$H$13,INDIRECT($P270))&gt;0,IF(AND(INDIRECT($Q270)&lt;P$1/24,INDIRECT($R270)&gt;O$1/24),"x",""),""),"")</f>
        <v/>
      </c>
      <c r="P270" t="str">
        <f t="shared" si="42"/>
        <v>$E270</v>
      </c>
      <c r="Q270" t="str">
        <f t="shared" si="2"/>
        <v>$F270</v>
      </c>
      <c r="R270" t="str">
        <f t="shared" si="3"/>
        <v>$G270</v>
      </c>
      <c r="S270" t="str">
        <f t="shared" si="43"/>
        <v>$D270</v>
      </c>
      <c r="T270" t="str" cm="1">
        <f t="array" aca="1" ref="T270" ca="1">IFERROR(VLOOKUP(INDIRECT(S270),Equipe!A:C,3,0),"")</f>
        <v/>
      </c>
    </row>
    <row r="271" spans="10:20" x14ac:dyDescent="0.3">
      <c r="J271" s="21" t="str">
        <f t="shared" ca="1" si="48"/>
        <v/>
      </c>
      <c r="K271" t="str" cm="1">
        <f t="array" aca="1" ref="K271" ca="1">IF(T271="Sócio",IF(COUNTIF(Opções!$H$2:$H$13,INDIRECT($P271))&gt;0,IF(AND(INDIRECT($Q271)&lt;L$1/24,INDIRECT($R271)&gt;K$1/24),"x",""),""),"")</f>
        <v/>
      </c>
      <c r="L271" t="str" cm="1">
        <f t="array" aca="1" ref="L271" ca="1">IF(T271="Sócio",IF(COUNTIF(Opções!$H$2:$H$13,INDIRECT($P271))&gt;0,IF(AND(INDIRECT($Q271)&lt;M$1/24,INDIRECT($R271)&gt;L$1/24),"x",""),""),"")</f>
        <v/>
      </c>
      <c r="M271" t="str" cm="1">
        <f t="array" aca="1" ref="M271" ca="1">IF(T271="Sócio",IF(COUNTIF(Opções!$H$2:$H$13,INDIRECT($P271))&gt;0,IF(AND(INDIRECT($Q271)&lt;N$1/24,INDIRECT($R271)&gt;M$1/24),"x",""),""),"")</f>
        <v/>
      </c>
      <c r="N271" t="str" cm="1">
        <f t="array" aca="1" ref="N271" ca="1">IF(T271="Sócio",IF(COUNTIF(Opções!$H$2:$H$13,INDIRECT($P271))&gt;0,IF(AND(INDIRECT($Q271)&lt;O$1/24,INDIRECT($R271)&gt;N$1/24),"x",""),""),"")</f>
        <v/>
      </c>
      <c r="O271" t="str" cm="1">
        <f t="array" aca="1" ref="O271" ca="1">IF(T271="Sócio",IF(COUNTIF(Opções!$H$2:$H$13,INDIRECT($P271))&gt;0,IF(AND(INDIRECT($Q271)&lt;P$1/24,INDIRECT($R271)&gt;O$1/24),"x",""),""),"")</f>
        <v/>
      </c>
      <c r="P271" t="str">
        <f t="shared" si="42"/>
        <v>$E271</v>
      </c>
      <c r="Q271" t="str">
        <f t="shared" si="2"/>
        <v>$F271</v>
      </c>
      <c r="R271" t="str">
        <f t="shared" si="3"/>
        <v>$G271</v>
      </c>
      <c r="S271" t="str">
        <f t="shared" si="43"/>
        <v>$D271</v>
      </c>
      <c r="T271" t="str" cm="1">
        <f t="array" aca="1" ref="T271" ca="1">IFERROR(VLOOKUP(INDIRECT(S271),Equipe!A:C,3,0),"")</f>
        <v/>
      </c>
    </row>
    <row r="272" spans="10:20" x14ac:dyDescent="0.3">
      <c r="J272" s="21" t="str">
        <f t="shared" ca="1" si="48"/>
        <v/>
      </c>
      <c r="K272" t="str" cm="1">
        <f t="array" aca="1" ref="K272" ca="1">IF(T272="Sócio",IF(COUNTIF(Opções!$H$2:$H$13,INDIRECT($P272))&gt;0,IF(AND(INDIRECT($Q272)&lt;L$1/24,INDIRECT($R272)&gt;K$1/24),"x",""),""),"")</f>
        <v/>
      </c>
      <c r="L272" t="str" cm="1">
        <f t="array" aca="1" ref="L272" ca="1">IF(T272="Sócio",IF(COUNTIF(Opções!$H$2:$H$13,INDIRECT($P272))&gt;0,IF(AND(INDIRECT($Q272)&lt;M$1/24,INDIRECT($R272)&gt;L$1/24),"x",""),""),"")</f>
        <v/>
      </c>
      <c r="M272" t="str" cm="1">
        <f t="array" aca="1" ref="M272" ca="1">IF(T272="Sócio",IF(COUNTIF(Opções!$H$2:$H$13,INDIRECT($P272))&gt;0,IF(AND(INDIRECT($Q272)&lt;N$1/24,INDIRECT($R272)&gt;M$1/24),"x",""),""),"")</f>
        <v/>
      </c>
      <c r="N272" t="str" cm="1">
        <f t="array" aca="1" ref="N272" ca="1">IF(T272="Sócio",IF(COUNTIF(Opções!$H$2:$H$13,INDIRECT($P272))&gt;0,IF(AND(INDIRECT($Q272)&lt;O$1/24,INDIRECT($R272)&gt;N$1/24),"x",""),""),"")</f>
        <v/>
      </c>
      <c r="O272" t="str" cm="1">
        <f t="array" aca="1" ref="O272" ca="1">IF(T272="Sócio",IF(COUNTIF(Opções!$H$2:$H$13,INDIRECT($P272))&gt;0,IF(AND(INDIRECT($Q272)&lt;P$1/24,INDIRECT($R272)&gt;O$1/24),"x",""),""),"")</f>
        <v/>
      </c>
      <c r="P272" t="str">
        <f t="shared" ref="P272:P335" si="57">"$E"&amp;ROW(N272)</f>
        <v>$E272</v>
      </c>
      <c r="Q272" t="str">
        <f t="shared" ref="Q272" si="58">"$F"&amp;ROW(O272)</f>
        <v>$F272</v>
      </c>
      <c r="R272" t="str">
        <f t="shared" ref="R272" si="59">"$G"&amp;ROW(Q272)</f>
        <v>$G272</v>
      </c>
      <c r="S272" t="str">
        <f t="shared" ref="S272:S335" si="60">"$D"&amp;ROW(R272)</f>
        <v>$D272</v>
      </c>
      <c r="T272" t="str" cm="1">
        <f t="array" aca="1" ref="T272" ca="1">IFERROR(VLOOKUP(INDIRECT(S272),Equipe!A:C,3,0),"")</f>
        <v/>
      </c>
    </row>
    <row r="273" spans="10:20" x14ac:dyDescent="0.3">
      <c r="J273" s="21" t="str">
        <f t="shared" ca="1" si="48"/>
        <v/>
      </c>
      <c r="K273" t="str" cm="1">
        <f t="array" aca="1" ref="K273" ca="1">IF(T273="Sócio",IF(COUNTIF(Opções!$H$2:$H$13,INDIRECT($P273))&gt;0,IF(AND(INDIRECT($Q273)&lt;L$1/24,INDIRECT($R273)&gt;K$1/24),"x",""),""),"")</f>
        <v/>
      </c>
      <c r="L273" t="str" cm="1">
        <f t="array" aca="1" ref="L273" ca="1">IF(T273="Sócio",IF(COUNTIF(Opções!$H$2:$H$13,INDIRECT($P273))&gt;0,IF(AND(INDIRECT($Q273)&lt;M$1/24,INDIRECT($R273)&gt;L$1/24),"x",""),""),"")</f>
        <v/>
      </c>
      <c r="M273" t="str" cm="1">
        <f t="array" aca="1" ref="M273" ca="1">IF(T273="Sócio",IF(COUNTIF(Opções!$H$2:$H$13,INDIRECT($P273))&gt;0,IF(AND(INDIRECT($Q273)&lt;N$1/24,INDIRECT($R273)&gt;M$1/24),"x",""),""),"")</f>
        <v/>
      </c>
      <c r="N273" t="str" cm="1">
        <f t="array" aca="1" ref="N273" ca="1">IF(T273="Sócio",IF(COUNTIF(Opções!$H$2:$H$13,INDIRECT($P273))&gt;0,IF(AND(INDIRECT($Q273)&lt;O$1/24,INDIRECT($R273)&gt;N$1/24),"x",""),""),"")</f>
        <v/>
      </c>
      <c r="O273" t="str" cm="1">
        <f t="array" aca="1" ref="O273" ca="1">IF(T273="Sócio",IF(COUNTIF(Opções!$H$2:$H$13,INDIRECT($P273))&gt;0,IF(AND(INDIRECT($Q273)&lt;P$1/24,INDIRECT($R273)&gt;O$1/24),"x",""),""),"")</f>
        <v/>
      </c>
      <c r="P273" t="str">
        <f t="shared" si="57"/>
        <v>$E273</v>
      </c>
      <c r="Q273" t="str">
        <f t="shared" si="2"/>
        <v>$F273</v>
      </c>
      <c r="R273" t="str">
        <f t="shared" si="3"/>
        <v>$G273</v>
      </c>
      <c r="S273" t="str">
        <f t="shared" si="60"/>
        <v>$D273</v>
      </c>
      <c r="T273" t="str" cm="1">
        <f t="array" aca="1" ref="T273" ca="1">IFERROR(VLOOKUP(INDIRECT(S273),Equipe!A:C,3,0),"")</f>
        <v/>
      </c>
    </row>
    <row r="274" spans="10:20" x14ac:dyDescent="0.3">
      <c r="J274" s="21" t="str">
        <f t="shared" ca="1" si="48"/>
        <v/>
      </c>
      <c r="K274" t="str" cm="1">
        <f t="array" aca="1" ref="K274" ca="1">IF(T274="Sócio",IF(COUNTIF(Opções!$H$2:$H$13,INDIRECT($P274))&gt;0,IF(AND(INDIRECT($Q274)&lt;L$1/24,INDIRECT($R274)&gt;K$1/24),"x",""),""),"")</f>
        <v/>
      </c>
      <c r="L274" t="str" cm="1">
        <f t="array" aca="1" ref="L274" ca="1">IF(T274="Sócio",IF(COUNTIF(Opções!$H$2:$H$13,INDIRECT($P274))&gt;0,IF(AND(INDIRECT($Q274)&lt;M$1/24,INDIRECT($R274)&gt;L$1/24),"x",""),""),"")</f>
        <v/>
      </c>
      <c r="M274" t="str" cm="1">
        <f t="array" aca="1" ref="M274" ca="1">IF(T274="Sócio",IF(COUNTIF(Opções!$H$2:$H$13,INDIRECT($P274))&gt;0,IF(AND(INDIRECT($Q274)&lt;N$1/24,INDIRECT($R274)&gt;M$1/24),"x",""),""),"")</f>
        <v/>
      </c>
      <c r="N274" t="str" cm="1">
        <f t="array" aca="1" ref="N274" ca="1">IF(T274="Sócio",IF(COUNTIF(Opções!$H$2:$H$13,INDIRECT($P274))&gt;0,IF(AND(INDIRECT($Q274)&lt;O$1/24,INDIRECT($R274)&gt;N$1/24),"x",""),""),"")</f>
        <v/>
      </c>
      <c r="O274" t="str" cm="1">
        <f t="array" aca="1" ref="O274" ca="1">IF(T274="Sócio",IF(COUNTIF(Opções!$H$2:$H$13,INDIRECT($P274))&gt;0,IF(AND(INDIRECT($Q274)&lt;P$1/24,INDIRECT($R274)&gt;O$1/24),"x",""),""),"")</f>
        <v/>
      </c>
      <c r="P274" t="str">
        <f t="shared" si="57"/>
        <v>$E274</v>
      </c>
      <c r="Q274" t="str">
        <f t="shared" si="2"/>
        <v>$F274</v>
      </c>
      <c r="R274" t="str">
        <f t="shared" si="3"/>
        <v>$G274</v>
      </c>
      <c r="S274" t="str">
        <f t="shared" si="60"/>
        <v>$D274</v>
      </c>
      <c r="T274" t="str" cm="1">
        <f t="array" aca="1" ref="T274" ca="1">IFERROR(VLOOKUP(INDIRECT(S274),Equipe!A:C,3,0),"")</f>
        <v/>
      </c>
    </row>
    <row r="275" spans="10:20" x14ac:dyDescent="0.3">
      <c r="J275" s="21" t="str">
        <f t="shared" ca="1" si="48"/>
        <v/>
      </c>
      <c r="K275" t="str" cm="1">
        <f t="array" aca="1" ref="K275" ca="1">IF(T275="Sócio",IF(COUNTIF(Opções!$H$2:$H$13,INDIRECT($P275))&gt;0,IF(AND(INDIRECT($Q275)&lt;L$1/24,INDIRECT($R275)&gt;K$1/24),"x",""),""),"")</f>
        <v/>
      </c>
      <c r="L275" t="str" cm="1">
        <f t="array" aca="1" ref="L275" ca="1">IF(T275="Sócio",IF(COUNTIF(Opções!$H$2:$H$13,INDIRECT($P275))&gt;0,IF(AND(INDIRECT($Q275)&lt;M$1/24,INDIRECT($R275)&gt;L$1/24),"x",""),""),"")</f>
        <v/>
      </c>
      <c r="M275" t="str" cm="1">
        <f t="array" aca="1" ref="M275" ca="1">IF(T275="Sócio",IF(COUNTIF(Opções!$H$2:$H$13,INDIRECT($P275))&gt;0,IF(AND(INDIRECT($Q275)&lt;N$1/24,INDIRECT($R275)&gt;M$1/24),"x",""),""),"")</f>
        <v/>
      </c>
      <c r="N275" t="str" cm="1">
        <f t="array" aca="1" ref="N275" ca="1">IF(T275="Sócio",IF(COUNTIF(Opções!$H$2:$H$13,INDIRECT($P275))&gt;0,IF(AND(INDIRECT($Q275)&lt;O$1/24,INDIRECT($R275)&gt;N$1/24),"x",""),""),"")</f>
        <v/>
      </c>
      <c r="O275" t="str" cm="1">
        <f t="array" aca="1" ref="O275" ca="1">IF(T275="Sócio",IF(COUNTIF(Opções!$H$2:$H$13,INDIRECT($P275))&gt;0,IF(AND(INDIRECT($Q275)&lt;P$1/24,INDIRECT($R275)&gt;O$1/24),"x",""),""),"")</f>
        <v/>
      </c>
      <c r="P275" t="str">
        <f t="shared" si="57"/>
        <v>$E275</v>
      </c>
      <c r="Q275" t="str">
        <f t="shared" si="2"/>
        <v>$F275</v>
      </c>
      <c r="R275" t="str">
        <f t="shared" si="3"/>
        <v>$G275</v>
      </c>
      <c r="S275" t="str">
        <f t="shared" si="60"/>
        <v>$D275</v>
      </c>
      <c r="T275" t="str" cm="1">
        <f t="array" aca="1" ref="T275" ca="1">IFERROR(VLOOKUP(INDIRECT(S275),Equipe!A:C,3,0),"")</f>
        <v/>
      </c>
    </row>
    <row r="276" spans="10:20" x14ac:dyDescent="0.3">
      <c r="J276" s="21" t="str">
        <f t="shared" ca="1" si="48"/>
        <v/>
      </c>
      <c r="K276" t="str" cm="1">
        <f t="array" aca="1" ref="K276" ca="1">IF(T276="Sócio",IF(COUNTIF(Opções!$H$2:$H$13,INDIRECT($P276))&gt;0,IF(AND(INDIRECT($Q276)&lt;L$1/24,INDIRECT($R276)&gt;K$1/24),"x",""),""),"")</f>
        <v/>
      </c>
      <c r="L276" t="str" cm="1">
        <f t="array" aca="1" ref="L276" ca="1">IF(T276="Sócio",IF(COUNTIF(Opções!$H$2:$H$13,INDIRECT($P276))&gt;0,IF(AND(INDIRECT($Q276)&lt;M$1/24,INDIRECT($R276)&gt;L$1/24),"x",""),""),"")</f>
        <v/>
      </c>
      <c r="M276" t="str" cm="1">
        <f t="array" aca="1" ref="M276" ca="1">IF(T276="Sócio",IF(COUNTIF(Opções!$H$2:$H$13,INDIRECT($P276))&gt;0,IF(AND(INDIRECT($Q276)&lt;N$1/24,INDIRECT($R276)&gt;M$1/24),"x",""),""),"")</f>
        <v/>
      </c>
      <c r="N276" t="str" cm="1">
        <f t="array" aca="1" ref="N276" ca="1">IF(T276="Sócio",IF(COUNTIF(Opções!$H$2:$H$13,INDIRECT($P276))&gt;0,IF(AND(INDIRECT($Q276)&lt;O$1/24,INDIRECT($R276)&gt;N$1/24),"x",""),""),"")</f>
        <v/>
      </c>
      <c r="O276" t="str" cm="1">
        <f t="array" aca="1" ref="O276" ca="1">IF(T276="Sócio",IF(COUNTIF(Opções!$H$2:$H$13,INDIRECT($P276))&gt;0,IF(AND(INDIRECT($Q276)&lt;P$1/24,INDIRECT($R276)&gt;O$1/24),"x",""),""),"")</f>
        <v/>
      </c>
      <c r="P276" t="str">
        <f t="shared" si="57"/>
        <v>$E276</v>
      </c>
      <c r="Q276" t="str">
        <f t="shared" si="2"/>
        <v>$F276</v>
      </c>
      <c r="R276" t="str">
        <f t="shared" si="3"/>
        <v>$G276</v>
      </c>
      <c r="S276" t="str">
        <f t="shared" si="60"/>
        <v>$D276</v>
      </c>
      <c r="T276" t="str" cm="1">
        <f t="array" aca="1" ref="T276" ca="1">IFERROR(VLOOKUP(INDIRECT(S276),Equipe!A:C,3,0),"")</f>
        <v/>
      </c>
    </row>
    <row r="277" spans="10:20" x14ac:dyDescent="0.3">
      <c r="J277" s="21" t="str">
        <f t="shared" ca="1" si="48"/>
        <v/>
      </c>
      <c r="K277" t="str" cm="1">
        <f t="array" aca="1" ref="K277" ca="1">IF(T277="Sócio",IF(COUNTIF(Opções!$H$2:$H$13,INDIRECT($P277))&gt;0,IF(AND(INDIRECT($Q277)&lt;L$1/24,INDIRECT($R277)&gt;K$1/24),"x",""),""),"")</f>
        <v/>
      </c>
      <c r="L277" t="str" cm="1">
        <f t="array" aca="1" ref="L277" ca="1">IF(T277="Sócio",IF(COUNTIF(Opções!$H$2:$H$13,INDIRECT($P277))&gt;0,IF(AND(INDIRECT($Q277)&lt;M$1/24,INDIRECT($R277)&gt;L$1/24),"x",""),""),"")</f>
        <v/>
      </c>
      <c r="M277" t="str" cm="1">
        <f t="array" aca="1" ref="M277" ca="1">IF(T277="Sócio",IF(COUNTIF(Opções!$H$2:$H$13,INDIRECT($P277))&gt;0,IF(AND(INDIRECT($Q277)&lt;N$1/24,INDIRECT($R277)&gt;M$1/24),"x",""),""),"")</f>
        <v/>
      </c>
      <c r="N277" t="str" cm="1">
        <f t="array" aca="1" ref="N277" ca="1">IF(T277="Sócio",IF(COUNTIF(Opções!$H$2:$H$13,INDIRECT($P277))&gt;0,IF(AND(INDIRECT($Q277)&lt;O$1/24,INDIRECT($R277)&gt;N$1/24),"x",""),""),"")</f>
        <v/>
      </c>
      <c r="O277" t="str" cm="1">
        <f t="array" aca="1" ref="O277" ca="1">IF(T277="Sócio",IF(COUNTIF(Opções!$H$2:$H$13,INDIRECT($P277))&gt;0,IF(AND(INDIRECT($Q277)&lt;P$1/24,INDIRECT($R277)&gt;O$1/24),"x",""),""),"")</f>
        <v/>
      </c>
      <c r="P277" t="str">
        <f t="shared" si="57"/>
        <v>$E277</v>
      </c>
      <c r="Q277" t="str">
        <f t="shared" si="2"/>
        <v>$F277</v>
      </c>
      <c r="R277" t="str">
        <f t="shared" si="3"/>
        <v>$G277</v>
      </c>
      <c r="S277" t="str">
        <f t="shared" si="60"/>
        <v>$D277</v>
      </c>
      <c r="T277" t="str" cm="1">
        <f t="array" aca="1" ref="T277" ca="1">IFERROR(VLOOKUP(INDIRECT(S277),Equipe!A:C,3,0),"")</f>
        <v/>
      </c>
    </row>
    <row r="278" spans="10:20" x14ac:dyDescent="0.3">
      <c r="J278" s="21" t="str">
        <f t="shared" ca="1" si="48"/>
        <v/>
      </c>
      <c r="K278" t="str" cm="1">
        <f t="array" aca="1" ref="K278" ca="1">IF(T278="Sócio",IF(COUNTIF(Opções!$H$2:$H$13,INDIRECT($P278))&gt;0,IF(AND(INDIRECT($Q278)&lt;L$1/24,INDIRECT($R278)&gt;K$1/24),"x",""),""),"")</f>
        <v/>
      </c>
      <c r="L278" t="str" cm="1">
        <f t="array" aca="1" ref="L278" ca="1">IF(T278="Sócio",IF(COUNTIF(Opções!$H$2:$H$13,INDIRECT($P278))&gt;0,IF(AND(INDIRECT($Q278)&lt;M$1/24,INDIRECT($R278)&gt;L$1/24),"x",""),""),"")</f>
        <v/>
      </c>
      <c r="M278" t="str" cm="1">
        <f t="array" aca="1" ref="M278" ca="1">IF(T278="Sócio",IF(COUNTIF(Opções!$H$2:$H$13,INDIRECT($P278))&gt;0,IF(AND(INDIRECT($Q278)&lt;N$1/24,INDIRECT($R278)&gt;M$1/24),"x",""),""),"")</f>
        <v/>
      </c>
      <c r="N278" t="str" cm="1">
        <f t="array" aca="1" ref="N278" ca="1">IF(T278="Sócio",IF(COUNTIF(Opções!$H$2:$H$13,INDIRECT($P278))&gt;0,IF(AND(INDIRECT($Q278)&lt;O$1/24,INDIRECT($R278)&gt;N$1/24),"x",""),""),"")</f>
        <v/>
      </c>
      <c r="O278" t="str" cm="1">
        <f t="array" aca="1" ref="O278" ca="1">IF(T278="Sócio",IF(COUNTIF(Opções!$H$2:$H$13,INDIRECT($P278))&gt;0,IF(AND(INDIRECT($Q278)&lt;P$1/24,INDIRECT($R278)&gt;O$1/24),"x",""),""),"")</f>
        <v/>
      </c>
      <c r="P278" t="str">
        <f t="shared" si="57"/>
        <v>$E278</v>
      </c>
      <c r="Q278" t="str">
        <f t="shared" si="2"/>
        <v>$F278</v>
      </c>
      <c r="R278" t="str">
        <f t="shared" si="3"/>
        <v>$G278</v>
      </c>
      <c r="S278" t="str">
        <f t="shared" si="60"/>
        <v>$D278</v>
      </c>
      <c r="T278" t="str" cm="1">
        <f t="array" aca="1" ref="T278" ca="1">IFERROR(VLOOKUP(INDIRECT(S278),Equipe!A:C,3,0),"")</f>
        <v/>
      </c>
    </row>
    <row r="279" spans="10:20" x14ac:dyDescent="0.3">
      <c r="J279" s="21" t="str">
        <f t="shared" ca="1" si="48"/>
        <v/>
      </c>
      <c r="K279" t="str" cm="1">
        <f t="array" aca="1" ref="K279" ca="1">IF(T279="Sócio",IF(COUNTIF(Opções!$H$2:$H$13,INDIRECT($P279))&gt;0,IF(AND(INDIRECT($Q279)&lt;L$1/24,INDIRECT($R279)&gt;K$1/24),"x",""),""),"")</f>
        <v/>
      </c>
      <c r="L279" t="str" cm="1">
        <f t="array" aca="1" ref="L279" ca="1">IF(T279="Sócio",IF(COUNTIF(Opções!$H$2:$H$13,INDIRECT($P279))&gt;0,IF(AND(INDIRECT($Q279)&lt;M$1/24,INDIRECT($R279)&gt;L$1/24),"x",""),""),"")</f>
        <v/>
      </c>
      <c r="M279" t="str" cm="1">
        <f t="array" aca="1" ref="M279" ca="1">IF(T279="Sócio",IF(COUNTIF(Opções!$H$2:$H$13,INDIRECT($P279))&gt;0,IF(AND(INDIRECT($Q279)&lt;N$1/24,INDIRECT($R279)&gt;M$1/24),"x",""),""),"")</f>
        <v/>
      </c>
      <c r="N279" t="str" cm="1">
        <f t="array" aca="1" ref="N279" ca="1">IF(T279="Sócio",IF(COUNTIF(Opções!$H$2:$H$13,INDIRECT($P279))&gt;0,IF(AND(INDIRECT($Q279)&lt;O$1/24,INDIRECT($R279)&gt;N$1/24),"x",""),""),"")</f>
        <v/>
      </c>
      <c r="O279" t="str" cm="1">
        <f t="array" aca="1" ref="O279" ca="1">IF(T279="Sócio",IF(COUNTIF(Opções!$H$2:$H$13,INDIRECT($P279))&gt;0,IF(AND(INDIRECT($Q279)&lt;P$1/24,INDIRECT($R279)&gt;O$1/24),"x",""),""),"")</f>
        <v/>
      </c>
      <c r="P279" t="str">
        <f t="shared" si="57"/>
        <v>$E279</v>
      </c>
      <c r="Q279" t="str">
        <f t="shared" si="2"/>
        <v>$F279</v>
      </c>
      <c r="R279" t="str">
        <f t="shared" si="3"/>
        <v>$G279</v>
      </c>
      <c r="S279" t="str">
        <f t="shared" si="60"/>
        <v>$D279</v>
      </c>
      <c r="T279" t="str" cm="1">
        <f t="array" aca="1" ref="T279" ca="1">IFERROR(VLOOKUP(INDIRECT(S279),Equipe!A:C,3,0),"")</f>
        <v/>
      </c>
    </row>
    <row r="280" spans="10:20" x14ac:dyDescent="0.3">
      <c r="J280" s="21" t="str">
        <f t="shared" ca="1" si="48"/>
        <v/>
      </c>
      <c r="K280" t="str" cm="1">
        <f t="array" aca="1" ref="K280" ca="1">IF(T280="Sócio",IF(COUNTIF(Opções!$H$2:$H$13,INDIRECT($P280))&gt;0,IF(AND(INDIRECT($Q280)&lt;L$1/24,INDIRECT($R280)&gt;K$1/24),"x",""),""),"")</f>
        <v/>
      </c>
      <c r="L280" t="str" cm="1">
        <f t="array" aca="1" ref="L280" ca="1">IF(T280="Sócio",IF(COUNTIF(Opções!$H$2:$H$13,INDIRECT($P280))&gt;0,IF(AND(INDIRECT($Q280)&lt;M$1/24,INDIRECT($R280)&gt;L$1/24),"x",""),""),"")</f>
        <v/>
      </c>
      <c r="M280" t="str" cm="1">
        <f t="array" aca="1" ref="M280" ca="1">IF(T280="Sócio",IF(COUNTIF(Opções!$H$2:$H$13,INDIRECT($P280))&gt;0,IF(AND(INDIRECT($Q280)&lt;N$1/24,INDIRECT($R280)&gt;M$1/24),"x",""),""),"")</f>
        <v/>
      </c>
      <c r="N280" t="str" cm="1">
        <f t="array" aca="1" ref="N280" ca="1">IF(T280="Sócio",IF(COUNTIF(Opções!$H$2:$H$13,INDIRECT($P280))&gt;0,IF(AND(INDIRECT($Q280)&lt;O$1/24,INDIRECT($R280)&gt;N$1/24),"x",""),""),"")</f>
        <v/>
      </c>
      <c r="O280" t="str" cm="1">
        <f t="array" aca="1" ref="O280" ca="1">IF(T280="Sócio",IF(COUNTIF(Opções!$H$2:$H$13,INDIRECT($P280))&gt;0,IF(AND(INDIRECT($Q280)&lt;P$1/24,INDIRECT($R280)&gt;O$1/24),"x",""),""),"")</f>
        <v/>
      </c>
      <c r="P280" t="str">
        <f t="shared" si="57"/>
        <v>$E280</v>
      </c>
      <c r="Q280" t="str">
        <f t="shared" si="2"/>
        <v>$F280</v>
      </c>
      <c r="R280" t="str">
        <f t="shared" si="3"/>
        <v>$G280</v>
      </c>
      <c r="S280" t="str">
        <f t="shared" si="60"/>
        <v>$D280</v>
      </c>
      <c r="T280" t="str" cm="1">
        <f t="array" aca="1" ref="T280" ca="1">IFERROR(VLOOKUP(INDIRECT(S280),Equipe!A:C,3,0),"")</f>
        <v/>
      </c>
    </row>
    <row r="281" spans="10:20" x14ac:dyDescent="0.3">
      <c r="J281" s="21" t="str">
        <f t="shared" ca="1" si="48"/>
        <v/>
      </c>
      <c r="K281" t="str" cm="1">
        <f t="array" aca="1" ref="K281" ca="1">IF(T281="Sócio",IF(COUNTIF(Opções!$H$2:$H$13,INDIRECT($P281))&gt;0,IF(AND(INDIRECT($Q281)&lt;L$1/24,INDIRECT($R281)&gt;K$1/24),"x",""),""),"")</f>
        <v/>
      </c>
      <c r="L281" t="str" cm="1">
        <f t="array" aca="1" ref="L281" ca="1">IF(T281="Sócio",IF(COUNTIF(Opções!$H$2:$H$13,INDIRECT($P281))&gt;0,IF(AND(INDIRECT($Q281)&lt;M$1/24,INDIRECT($R281)&gt;L$1/24),"x",""),""),"")</f>
        <v/>
      </c>
      <c r="M281" t="str" cm="1">
        <f t="array" aca="1" ref="M281" ca="1">IF(T281="Sócio",IF(COUNTIF(Opções!$H$2:$H$13,INDIRECT($P281))&gt;0,IF(AND(INDIRECT($Q281)&lt;N$1/24,INDIRECT($R281)&gt;M$1/24),"x",""),""),"")</f>
        <v/>
      </c>
      <c r="N281" t="str" cm="1">
        <f t="array" aca="1" ref="N281" ca="1">IF(T281="Sócio",IF(COUNTIF(Opções!$H$2:$H$13,INDIRECT($P281))&gt;0,IF(AND(INDIRECT($Q281)&lt;O$1/24,INDIRECT($R281)&gt;N$1/24),"x",""),""),"")</f>
        <v/>
      </c>
      <c r="O281" t="str" cm="1">
        <f t="array" aca="1" ref="O281" ca="1">IF(T281="Sócio",IF(COUNTIF(Opções!$H$2:$H$13,INDIRECT($P281))&gt;0,IF(AND(INDIRECT($Q281)&lt;P$1/24,INDIRECT($R281)&gt;O$1/24),"x",""),""),"")</f>
        <v/>
      </c>
      <c r="P281" t="str">
        <f t="shared" si="57"/>
        <v>$E281</v>
      </c>
      <c r="Q281" t="str">
        <f t="shared" si="2"/>
        <v>$F281</v>
      </c>
      <c r="R281" t="str">
        <f t="shared" si="3"/>
        <v>$G281</v>
      </c>
      <c r="S281" t="str">
        <f t="shared" si="60"/>
        <v>$D281</v>
      </c>
      <c r="T281" t="str" cm="1">
        <f t="array" aca="1" ref="T281" ca="1">IFERROR(VLOOKUP(INDIRECT(S281),Equipe!A:C,3,0),"")</f>
        <v/>
      </c>
    </row>
    <row r="282" spans="10:20" x14ac:dyDescent="0.3">
      <c r="J282" s="21" t="str">
        <f t="shared" ca="1" si="48"/>
        <v/>
      </c>
      <c r="K282" t="str" cm="1">
        <f t="array" aca="1" ref="K282" ca="1">IF(T282="Sócio",IF(COUNTIF(Opções!$H$2:$H$13,INDIRECT($P282))&gt;0,IF(AND(INDIRECT($Q282)&lt;L$1/24,INDIRECT($R282)&gt;K$1/24),"x",""),""),"")</f>
        <v/>
      </c>
      <c r="L282" t="str" cm="1">
        <f t="array" aca="1" ref="L282" ca="1">IF(T282="Sócio",IF(COUNTIF(Opções!$H$2:$H$13,INDIRECT($P282))&gt;0,IF(AND(INDIRECT($Q282)&lt;M$1/24,INDIRECT($R282)&gt;L$1/24),"x",""),""),"")</f>
        <v/>
      </c>
      <c r="M282" t="str" cm="1">
        <f t="array" aca="1" ref="M282" ca="1">IF(T282="Sócio",IF(COUNTIF(Opções!$H$2:$H$13,INDIRECT($P282))&gt;0,IF(AND(INDIRECT($Q282)&lt;N$1/24,INDIRECT($R282)&gt;M$1/24),"x",""),""),"")</f>
        <v/>
      </c>
      <c r="N282" t="str" cm="1">
        <f t="array" aca="1" ref="N282" ca="1">IF(T282="Sócio",IF(COUNTIF(Opções!$H$2:$H$13,INDIRECT($P282))&gt;0,IF(AND(INDIRECT($Q282)&lt;O$1/24,INDIRECT($R282)&gt;N$1/24),"x",""),""),"")</f>
        <v/>
      </c>
      <c r="O282" t="str" cm="1">
        <f t="array" aca="1" ref="O282" ca="1">IF(T282="Sócio",IF(COUNTIF(Opções!$H$2:$H$13,INDIRECT($P282))&gt;0,IF(AND(INDIRECT($Q282)&lt;P$1/24,INDIRECT($R282)&gt;O$1/24),"x",""),""),"")</f>
        <v/>
      </c>
      <c r="P282" t="str">
        <f t="shared" si="57"/>
        <v>$E282</v>
      </c>
      <c r="Q282" t="str">
        <f t="shared" si="2"/>
        <v>$F282</v>
      </c>
      <c r="R282" t="str">
        <f t="shared" si="3"/>
        <v>$G282</v>
      </c>
      <c r="S282" t="str">
        <f t="shared" si="60"/>
        <v>$D282</v>
      </c>
      <c r="T282" t="str" cm="1">
        <f t="array" aca="1" ref="T282" ca="1">IFERROR(VLOOKUP(INDIRECT(S282),Equipe!A:C,3,0),"")</f>
        <v/>
      </c>
    </row>
    <row r="283" spans="10:20" x14ac:dyDescent="0.3">
      <c r="J283" s="21" t="str">
        <f t="shared" ca="1" si="48"/>
        <v/>
      </c>
      <c r="K283" t="str" cm="1">
        <f t="array" aca="1" ref="K283" ca="1">IF(T283="Sócio",IF(COUNTIF(Opções!$H$2:$H$13,INDIRECT($P283))&gt;0,IF(AND(INDIRECT($Q283)&lt;L$1/24,INDIRECT($R283)&gt;K$1/24),"x",""),""),"")</f>
        <v/>
      </c>
      <c r="L283" t="str" cm="1">
        <f t="array" aca="1" ref="L283" ca="1">IF(T283="Sócio",IF(COUNTIF(Opções!$H$2:$H$13,INDIRECT($P283))&gt;0,IF(AND(INDIRECT($Q283)&lt;M$1/24,INDIRECT($R283)&gt;L$1/24),"x",""),""),"")</f>
        <v/>
      </c>
      <c r="M283" t="str" cm="1">
        <f t="array" aca="1" ref="M283" ca="1">IF(T283="Sócio",IF(COUNTIF(Opções!$H$2:$H$13,INDIRECT($P283))&gt;0,IF(AND(INDIRECT($Q283)&lt;N$1/24,INDIRECT($R283)&gt;M$1/24),"x",""),""),"")</f>
        <v/>
      </c>
      <c r="N283" t="str" cm="1">
        <f t="array" aca="1" ref="N283" ca="1">IF(T283="Sócio",IF(COUNTIF(Opções!$H$2:$H$13,INDIRECT($P283))&gt;0,IF(AND(INDIRECT($Q283)&lt;O$1/24,INDIRECT($R283)&gt;N$1/24),"x",""),""),"")</f>
        <v/>
      </c>
      <c r="O283" t="str" cm="1">
        <f t="array" aca="1" ref="O283" ca="1">IF(T283="Sócio",IF(COUNTIF(Opções!$H$2:$H$13,INDIRECT($P283))&gt;0,IF(AND(INDIRECT($Q283)&lt;P$1/24,INDIRECT($R283)&gt;O$1/24),"x",""),""),"")</f>
        <v/>
      </c>
      <c r="P283" t="str">
        <f t="shared" si="57"/>
        <v>$E283</v>
      </c>
      <c r="Q283" t="str">
        <f t="shared" ref="Q283" si="61">"$F"&amp;ROW(O283)</f>
        <v>$F283</v>
      </c>
      <c r="R283" t="str">
        <f t="shared" ref="R283" si="62">"$G"&amp;ROW(Q283)</f>
        <v>$G283</v>
      </c>
      <c r="S283" t="str">
        <f t="shared" si="60"/>
        <v>$D283</v>
      </c>
      <c r="T283" t="str" cm="1">
        <f t="array" aca="1" ref="T283" ca="1">IFERROR(VLOOKUP(INDIRECT(S283),Equipe!A:C,3,0),"")</f>
        <v/>
      </c>
    </row>
    <row r="284" spans="10:20" x14ac:dyDescent="0.3">
      <c r="J284" s="21" t="str">
        <f t="shared" ca="1" si="48"/>
        <v/>
      </c>
      <c r="K284" t="str" cm="1">
        <f t="array" aca="1" ref="K284" ca="1">IF(T284="Sócio",IF(COUNTIF(Opções!$H$2:$H$13,INDIRECT($P284))&gt;0,IF(AND(INDIRECT($Q284)&lt;L$1/24,INDIRECT($R284)&gt;K$1/24),"x",""),""),"")</f>
        <v/>
      </c>
      <c r="L284" t="str" cm="1">
        <f t="array" aca="1" ref="L284" ca="1">IF(T284="Sócio",IF(COUNTIF(Opções!$H$2:$H$13,INDIRECT($P284))&gt;0,IF(AND(INDIRECT($Q284)&lt;M$1/24,INDIRECT($R284)&gt;L$1/24),"x",""),""),"")</f>
        <v/>
      </c>
      <c r="M284" t="str" cm="1">
        <f t="array" aca="1" ref="M284" ca="1">IF(T284="Sócio",IF(COUNTIF(Opções!$H$2:$H$13,INDIRECT($P284))&gt;0,IF(AND(INDIRECT($Q284)&lt;N$1/24,INDIRECT($R284)&gt;M$1/24),"x",""),""),"")</f>
        <v/>
      </c>
      <c r="N284" t="str" cm="1">
        <f t="array" aca="1" ref="N284" ca="1">IF(T284="Sócio",IF(COUNTIF(Opções!$H$2:$H$13,INDIRECT($P284))&gt;0,IF(AND(INDIRECT($Q284)&lt;O$1/24,INDIRECT($R284)&gt;N$1/24),"x",""),""),"")</f>
        <v/>
      </c>
      <c r="O284" t="str" cm="1">
        <f t="array" aca="1" ref="O284" ca="1">IF(T284="Sócio",IF(COUNTIF(Opções!$H$2:$H$13,INDIRECT($P284))&gt;0,IF(AND(INDIRECT($Q284)&lt;P$1/24,INDIRECT($R284)&gt;O$1/24),"x",""),""),"")</f>
        <v/>
      </c>
      <c r="P284" t="str">
        <f t="shared" si="57"/>
        <v>$E284</v>
      </c>
      <c r="Q284" t="str">
        <f t="shared" si="2"/>
        <v>$F284</v>
      </c>
      <c r="R284" t="str">
        <f t="shared" si="3"/>
        <v>$G284</v>
      </c>
      <c r="S284" t="str">
        <f t="shared" si="60"/>
        <v>$D284</v>
      </c>
      <c r="T284" t="str" cm="1">
        <f t="array" aca="1" ref="T284" ca="1">IFERROR(VLOOKUP(INDIRECT(S284),Equipe!A:C,3,0),"")</f>
        <v/>
      </c>
    </row>
    <row r="285" spans="10:20" x14ac:dyDescent="0.3">
      <c r="J285" s="21" t="str">
        <f t="shared" ca="1" si="48"/>
        <v/>
      </c>
      <c r="K285" t="str" cm="1">
        <f t="array" aca="1" ref="K285" ca="1">IF(T285="Sócio",IF(COUNTIF(Opções!$H$2:$H$13,INDIRECT($P285))&gt;0,IF(AND(INDIRECT($Q285)&lt;L$1/24,INDIRECT($R285)&gt;K$1/24),"x",""),""),"")</f>
        <v/>
      </c>
      <c r="L285" t="str" cm="1">
        <f t="array" aca="1" ref="L285" ca="1">IF(T285="Sócio",IF(COUNTIF(Opções!$H$2:$H$13,INDIRECT($P285))&gt;0,IF(AND(INDIRECT($Q285)&lt;M$1/24,INDIRECT($R285)&gt;L$1/24),"x",""),""),"")</f>
        <v/>
      </c>
      <c r="M285" t="str" cm="1">
        <f t="array" aca="1" ref="M285" ca="1">IF(T285="Sócio",IF(COUNTIF(Opções!$H$2:$H$13,INDIRECT($P285))&gt;0,IF(AND(INDIRECT($Q285)&lt;N$1/24,INDIRECT($R285)&gt;M$1/24),"x",""),""),"")</f>
        <v/>
      </c>
      <c r="N285" t="str" cm="1">
        <f t="array" aca="1" ref="N285" ca="1">IF(T285="Sócio",IF(COUNTIF(Opções!$H$2:$H$13,INDIRECT($P285))&gt;0,IF(AND(INDIRECT($Q285)&lt;O$1/24,INDIRECT($R285)&gt;N$1/24),"x",""),""),"")</f>
        <v/>
      </c>
      <c r="O285" t="str" cm="1">
        <f t="array" aca="1" ref="O285" ca="1">IF(T285="Sócio",IF(COUNTIF(Opções!$H$2:$H$13,INDIRECT($P285))&gt;0,IF(AND(INDIRECT($Q285)&lt;P$1/24,INDIRECT($R285)&gt;O$1/24),"x",""),""),"")</f>
        <v/>
      </c>
      <c r="P285" t="str">
        <f t="shared" si="57"/>
        <v>$E285</v>
      </c>
      <c r="Q285" t="str">
        <f t="shared" si="2"/>
        <v>$F285</v>
      </c>
      <c r="R285" t="str">
        <f t="shared" si="3"/>
        <v>$G285</v>
      </c>
      <c r="S285" t="str">
        <f t="shared" si="60"/>
        <v>$D285</v>
      </c>
      <c r="T285" t="str" cm="1">
        <f t="array" aca="1" ref="T285" ca="1">IFERROR(VLOOKUP(INDIRECT(S285),Equipe!A:C,3,0),"")</f>
        <v/>
      </c>
    </row>
    <row r="286" spans="10:20" x14ac:dyDescent="0.3">
      <c r="J286" s="21" t="str">
        <f t="shared" ca="1" si="48"/>
        <v/>
      </c>
      <c r="K286" t="str" cm="1">
        <f t="array" aca="1" ref="K286" ca="1">IF(T286="Sócio",IF(COUNTIF(Opções!$H$2:$H$13,INDIRECT($P286))&gt;0,IF(AND(INDIRECT($Q286)&lt;L$1/24,INDIRECT($R286)&gt;K$1/24),"x",""),""),"")</f>
        <v/>
      </c>
      <c r="L286" t="str" cm="1">
        <f t="array" aca="1" ref="L286" ca="1">IF(T286="Sócio",IF(COUNTIF(Opções!$H$2:$H$13,INDIRECT($P286))&gt;0,IF(AND(INDIRECT($Q286)&lt;M$1/24,INDIRECT($R286)&gt;L$1/24),"x",""),""),"")</f>
        <v/>
      </c>
      <c r="M286" t="str" cm="1">
        <f t="array" aca="1" ref="M286" ca="1">IF(T286="Sócio",IF(COUNTIF(Opções!$H$2:$H$13,INDIRECT($P286))&gt;0,IF(AND(INDIRECT($Q286)&lt;N$1/24,INDIRECT($R286)&gt;M$1/24),"x",""),""),"")</f>
        <v/>
      </c>
      <c r="N286" t="str" cm="1">
        <f t="array" aca="1" ref="N286" ca="1">IF(T286="Sócio",IF(COUNTIF(Opções!$H$2:$H$13,INDIRECT($P286))&gt;0,IF(AND(INDIRECT($Q286)&lt;O$1/24,INDIRECT($R286)&gt;N$1/24),"x",""),""),"")</f>
        <v/>
      </c>
      <c r="O286" t="str" cm="1">
        <f t="array" aca="1" ref="O286" ca="1">IF(T286="Sócio",IF(COUNTIF(Opções!$H$2:$H$13,INDIRECT($P286))&gt;0,IF(AND(INDIRECT($Q286)&lt;P$1/24,INDIRECT($R286)&gt;O$1/24),"x",""),""),"")</f>
        <v/>
      </c>
      <c r="P286" t="str">
        <f t="shared" si="57"/>
        <v>$E286</v>
      </c>
      <c r="Q286" t="str">
        <f t="shared" si="2"/>
        <v>$F286</v>
      </c>
      <c r="R286" t="str">
        <f t="shared" si="3"/>
        <v>$G286</v>
      </c>
      <c r="S286" t="str">
        <f t="shared" si="60"/>
        <v>$D286</v>
      </c>
      <c r="T286" t="str" cm="1">
        <f t="array" aca="1" ref="T286" ca="1">IFERROR(VLOOKUP(INDIRECT(S286),Equipe!A:C,3,0),"")</f>
        <v/>
      </c>
    </row>
    <row r="287" spans="10:20" x14ac:dyDescent="0.3">
      <c r="J287" s="21" t="str">
        <f t="shared" ca="1" si="48"/>
        <v/>
      </c>
      <c r="K287" t="str" cm="1">
        <f t="array" aca="1" ref="K287" ca="1">IF(T287="Sócio",IF(COUNTIF(Opções!$H$2:$H$13,INDIRECT($P287))&gt;0,IF(AND(INDIRECT($Q287)&lt;L$1/24,INDIRECT($R287)&gt;K$1/24),"x",""),""),"")</f>
        <v/>
      </c>
      <c r="L287" t="str" cm="1">
        <f t="array" aca="1" ref="L287" ca="1">IF(T287="Sócio",IF(COUNTIF(Opções!$H$2:$H$13,INDIRECT($P287))&gt;0,IF(AND(INDIRECT($Q287)&lt;M$1/24,INDIRECT($R287)&gt;L$1/24),"x",""),""),"")</f>
        <v/>
      </c>
      <c r="M287" t="str" cm="1">
        <f t="array" aca="1" ref="M287" ca="1">IF(T287="Sócio",IF(COUNTIF(Opções!$H$2:$H$13,INDIRECT($P287))&gt;0,IF(AND(INDIRECT($Q287)&lt;N$1/24,INDIRECT($R287)&gt;M$1/24),"x",""),""),"")</f>
        <v/>
      </c>
      <c r="N287" t="str" cm="1">
        <f t="array" aca="1" ref="N287" ca="1">IF(T287="Sócio",IF(COUNTIF(Opções!$H$2:$H$13,INDIRECT($P287))&gt;0,IF(AND(INDIRECT($Q287)&lt;O$1/24,INDIRECT($R287)&gt;N$1/24),"x",""),""),"")</f>
        <v/>
      </c>
      <c r="O287" t="str" cm="1">
        <f t="array" aca="1" ref="O287" ca="1">IF(T287="Sócio",IF(COUNTIF(Opções!$H$2:$H$13,INDIRECT($P287))&gt;0,IF(AND(INDIRECT($Q287)&lt;P$1/24,INDIRECT($R287)&gt;O$1/24),"x",""),""),"")</f>
        <v/>
      </c>
      <c r="P287" t="str">
        <f t="shared" si="57"/>
        <v>$E287</v>
      </c>
      <c r="Q287" t="str">
        <f t="shared" si="2"/>
        <v>$F287</v>
      </c>
      <c r="R287" t="str">
        <f t="shared" si="3"/>
        <v>$G287</v>
      </c>
      <c r="S287" t="str">
        <f t="shared" si="60"/>
        <v>$D287</v>
      </c>
      <c r="T287" t="str" cm="1">
        <f t="array" aca="1" ref="T287" ca="1">IFERROR(VLOOKUP(INDIRECT(S287),Equipe!A:C,3,0),"")</f>
        <v/>
      </c>
    </row>
    <row r="288" spans="10:20" x14ac:dyDescent="0.3">
      <c r="J288" s="21" t="str">
        <f t="shared" ca="1" si="48"/>
        <v/>
      </c>
      <c r="K288" t="str" cm="1">
        <f t="array" aca="1" ref="K288" ca="1">IF(T288="Sócio",IF(COUNTIF(Opções!$H$2:$H$13,INDIRECT($P288))&gt;0,IF(AND(INDIRECT($Q288)&lt;L$1/24,INDIRECT($R288)&gt;K$1/24),"x",""),""),"")</f>
        <v/>
      </c>
      <c r="L288" t="str" cm="1">
        <f t="array" aca="1" ref="L288" ca="1">IF(T288="Sócio",IF(COUNTIF(Opções!$H$2:$H$13,INDIRECT($P288))&gt;0,IF(AND(INDIRECT($Q288)&lt;M$1/24,INDIRECT($R288)&gt;L$1/24),"x",""),""),"")</f>
        <v/>
      </c>
      <c r="M288" t="str" cm="1">
        <f t="array" aca="1" ref="M288" ca="1">IF(T288="Sócio",IF(COUNTIF(Opções!$H$2:$H$13,INDIRECT($P288))&gt;0,IF(AND(INDIRECT($Q288)&lt;N$1/24,INDIRECT($R288)&gt;M$1/24),"x",""),""),"")</f>
        <v/>
      </c>
      <c r="N288" t="str" cm="1">
        <f t="array" aca="1" ref="N288" ca="1">IF(T288="Sócio",IF(COUNTIF(Opções!$H$2:$H$13,INDIRECT($P288))&gt;0,IF(AND(INDIRECT($Q288)&lt;O$1/24,INDIRECT($R288)&gt;N$1/24),"x",""),""),"")</f>
        <v/>
      </c>
      <c r="O288" t="str" cm="1">
        <f t="array" aca="1" ref="O288" ca="1">IF(T288="Sócio",IF(COUNTIF(Opções!$H$2:$H$13,INDIRECT($P288))&gt;0,IF(AND(INDIRECT($Q288)&lt;P$1/24,INDIRECT($R288)&gt;O$1/24),"x",""),""),"")</f>
        <v/>
      </c>
      <c r="P288" t="str">
        <f t="shared" si="57"/>
        <v>$E288</v>
      </c>
      <c r="Q288" t="str">
        <f t="shared" ref="Q288" si="63">"$F"&amp;ROW(O288)</f>
        <v>$F288</v>
      </c>
      <c r="R288" t="str">
        <f t="shared" ref="R288" si="64">"$G"&amp;ROW(Q288)</f>
        <v>$G288</v>
      </c>
      <c r="S288" t="str">
        <f t="shared" si="60"/>
        <v>$D288</v>
      </c>
      <c r="T288" t="str" cm="1">
        <f t="array" aca="1" ref="T288" ca="1">IFERROR(VLOOKUP(INDIRECT(S288),Equipe!A:C,3,0),"")</f>
        <v/>
      </c>
    </row>
    <row r="289" spans="10:20" x14ac:dyDescent="0.3">
      <c r="J289" s="21" t="str">
        <f t="shared" ref="J289:J352" ca="1" si="65">IF(K289="x",IF(COUNTIF(K:K,"x")&gt;2,"Aviso (primeiro período)",""),IF(L289="x",IF(COUNTIF(L:L,"x")&gt;1,"Aviso (segundo período)",""),IF(M289="x",IF(COUNTIF(M:M,"x")&gt;1,"Aviso (terceiro período)",""),IF(N289="x",IF(COUNTIF(N:N,"x")&gt;2,"Aviso (quarto período)",""),IF(O289="x",IF(COUNTIF(O:O,"x")&gt;5,"Aviso (quinto período)",""),"")))))</f>
        <v/>
      </c>
      <c r="K289" t="str" cm="1">
        <f t="array" aca="1" ref="K289" ca="1">IF(T289="Sócio",IF(COUNTIF(Opções!$H$2:$H$13,INDIRECT($P289))&gt;0,IF(AND(INDIRECT($Q289)&lt;L$1/24,INDIRECT($R289)&gt;K$1/24),"x",""),""),"")</f>
        <v/>
      </c>
      <c r="L289" t="str" cm="1">
        <f t="array" aca="1" ref="L289" ca="1">IF(T289="Sócio",IF(COUNTIF(Opções!$H$2:$H$13,INDIRECT($P289))&gt;0,IF(AND(INDIRECT($Q289)&lt;M$1/24,INDIRECT($R289)&gt;L$1/24),"x",""),""),"")</f>
        <v/>
      </c>
      <c r="M289" t="str" cm="1">
        <f t="array" aca="1" ref="M289" ca="1">IF(T289="Sócio",IF(COUNTIF(Opções!$H$2:$H$13,INDIRECT($P289))&gt;0,IF(AND(INDIRECT($Q289)&lt;N$1/24,INDIRECT($R289)&gt;M$1/24),"x",""),""),"")</f>
        <v/>
      </c>
      <c r="N289" t="str" cm="1">
        <f t="array" aca="1" ref="N289" ca="1">IF(T289="Sócio",IF(COUNTIF(Opções!$H$2:$H$13,INDIRECT($P289))&gt;0,IF(AND(INDIRECT($Q289)&lt;O$1/24,INDIRECT($R289)&gt;N$1/24),"x",""),""),"")</f>
        <v/>
      </c>
      <c r="O289" t="str" cm="1">
        <f t="array" aca="1" ref="O289" ca="1">IF(T289="Sócio",IF(COUNTIF(Opções!$H$2:$H$13,INDIRECT($P289))&gt;0,IF(AND(INDIRECT($Q289)&lt;P$1/24,INDIRECT($R289)&gt;O$1/24),"x",""),""),"")</f>
        <v/>
      </c>
      <c r="P289" t="str">
        <f t="shared" si="57"/>
        <v>$E289</v>
      </c>
      <c r="Q289" t="str">
        <f t="shared" si="2"/>
        <v>$F289</v>
      </c>
      <c r="R289" t="str">
        <f t="shared" si="3"/>
        <v>$G289</v>
      </c>
      <c r="S289" t="str">
        <f t="shared" si="60"/>
        <v>$D289</v>
      </c>
      <c r="T289" t="str" cm="1">
        <f t="array" aca="1" ref="T289" ca="1">IFERROR(VLOOKUP(INDIRECT(S289),Equipe!A:C,3,0),"")</f>
        <v/>
      </c>
    </row>
    <row r="290" spans="10:20" x14ac:dyDescent="0.3">
      <c r="J290" s="21" t="str">
        <f t="shared" ca="1" si="65"/>
        <v/>
      </c>
      <c r="K290" t="str" cm="1">
        <f t="array" aca="1" ref="K290" ca="1">IF(T290="Sócio",IF(COUNTIF(Opções!$H$2:$H$13,INDIRECT($P290))&gt;0,IF(AND(INDIRECT($Q290)&lt;L$1/24,INDIRECT($R290)&gt;K$1/24),"x",""),""),"")</f>
        <v/>
      </c>
      <c r="L290" t="str" cm="1">
        <f t="array" aca="1" ref="L290" ca="1">IF(T290="Sócio",IF(COUNTIF(Opções!$H$2:$H$13,INDIRECT($P290))&gt;0,IF(AND(INDIRECT($Q290)&lt;M$1/24,INDIRECT($R290)&gt;L$1/24),"x",""),""),"")</f>
        <v/>
      </c>
      <c r="M290" t="str" cm="1">
        <f t="array" aca="1" ref="M290" ca="1">IF(T290="Sócio",IF(COUNTIF(Opções!$H$2:$H$13,INDIRECT($P290))&gt;0,IF(AND(INDIRECT($Q290)&lt;N$1/24,INDIRECT($R290)&gt;M$1/24),"x",""),""),"")</f>
        <v/>
      </c>
      <c r="N290" t="str" cm="1">
        <f t="array" aca="1" ref="N290" ca="1">IF(T290="Sócio",IF(COUNTIF(Opções!$H$2:$H$13,INDIRECT($P290))&gt;0,IF(AND(INDIRECT($Q290)&lt;O$1/24,INDIRECT($R290)&gt;N$1/24),"x",""),""),"")</f>
        <v/>
      </c>
      <c r="O290" t="str" cm="1">
        <f t="array" aca="1" ref="O290" ca="1">IF(T290="Sócio",IF(COUNTIF(Opções!$H$2:$H$13,INDIRECT($P290))&gt;0,IF(AND(INDIRECT($Q290)&lt;P$1/24,INDIRECT($R290)&gt;O$1/24),"x",""),""),"")</f>
        <v/>
      </c>
      <c r="P290" t="str">
        <f t="shared" si="57"/>
        <v>$E290</v>
      </c>
      <c r="Q290" t="str">
        <f t="shared" si="2"/>
        <v>$F290</v>
      </c>
      <c r="R290" t="str">
        <f t="shared" si="3"/>
        <v>$G290</v>
      </c>
      <c r="S290" t="str">
        <f t="shared" si="60"/>
        <v>$D290</v>
      </c>
      <c r="T290" t="str" cm="1">
        <f t="array" aca="1" ref="T290" ca="1">IFERROR(VLOOKUP(INDIRECT(S290),Equipe!A:C,3,0),"")</f>
        <v/>
      </c>
    </row>
    <row r="291" spans="10:20" x14ac:dyDescent="0.3">
      <c r="J291" s="21" t="str">
        <f t="shared" ca="1" si="65"/>
        <v/>
      </c>
      <c r="K291" t="str" cm="1">
        <f t="array" aca="1" ref="K291" ca="1">IF(T291="Sócio",IF(COUNTIF(Opções!$H$2:$H$13,INDIRECT($P291))&gt;0,IF(AND(INDIRECT($Q291)&lt;L$1/24,INDIRECT($R291)&gt;K$1/24),"x",""),""),"")</f>
        <v/>
      </c>
      <c r="L291" t="str" cm="1">
        <f t="array" aca="1" ref="L291" ca="1">IF(T291="Sócio",IF(COUNTIF(Opções!$H$2:$H$13,INDIRECT($P291))&gt;0,IF(AND(INDIRECT($Q291)&lt;M$1/24,INDIRECT($R291)&gt;L$1/24),"x",""),""),"")</f>
        <v/>
      </c>
      <c r="M291" t="str" cm="1">
        <f t="array" aca="1" ref="M291" ca="1">IF(T291="Sócio",IF(COUNTIF(Opções!$H$2:$H$13,INDIRECT($P291))&gt;0,IF(AND(INDIRECT($Q291)&lt;N$1/24,INDIRECT($R291)&gt;M$1/24),"x",""),""),"")</f>
        <v/>
      </c>
      <c r="N291" t="str" cm="1">
        <f t="array" aca="1" ref="N291" ca="1">IF(T291="Sócio",IF(COUNTIF(Opções!$H$2:$H$13,INDIRECT($P291))&gt;0,IF(AND(INDIRECT($Q291)&lt;O$1/24,INDIRECT($R291)&gt;N$1/24),"x",""),""),"")</f>
        <v/>
      </c>
      <c r="O291" t="str" cm="1">
        <f t="array" aca="1" ref="O291" ca="1">IF(T291="Sócio",IF(COUNTIF(Opções!$H$2:$H$13,INDIRECT($P291))&gt;0,IF(AND(INDIRECT($Q291)&lt;P$1/24,INDIRECT($R291)&gt;O$1/24),"x",""),""),"")</f>
        <v/>
      </c>
      <c r="P291" t="str">
        <f t="shared" si="57"/>
        <v>$E291</v>
      </c>
      <c r="Q291" t="str">
        <f t="shared" si="2"/>
        <v>$F291</v>
      </c>
      <c r="R291" t="str">
        <f t="shared" si="3"/>
        <v>$G291</v>
      </c>
      <c r="S291" t="str">
        <f t="shared" si="60"/>
        <v>$D291</v>
      </c>
      <c r="T291" t="str" cm="1">
        <f t="array" aca="1" ref="T291" ca="1">IFERROR(VLOOKUP(INDIRECT(S291),Equipe!A:C,3,0),"")</f>
        <v/>
      </c>
    </row>
    <row r="292" spans="10:20" x14ac:dyDescent="0.3">
      <c r="J292" s="21" t="str">
        <f t="shared" ca="1" si="65"/>
        <v/>
      </c>
      <c r="K292" t="str" cm="1">
        <f t="array" aca="1" ref="K292" ca="1">IF(T292="Sócio",IF(COUNTIF(Opções!$H$2:$H$13,INDIRECT($P292))&gt;0,IF(AND(INDIRECT($Q292)&lt;L$1/24,INDIRECT($R292)&gt;K$1/24),"x",""),""),"")</f>
        <v/>
      </c>
      <c r="L292" t="str" cm="1">
        <f t="array" aca="1" ref="L292" ca="1">IF(T292="Sócio",IF(COUNTIF(Opções!$H$2:$H$13,INDIRECT($P292))&gt;0,IF(AND(INDIRECT($Q292)&lt;M$1/24,INDIRECT($R292)&gt;L$1/24),"x",""),""),"")</f>
        <v/>
      </c>
      <c r="M292" t="str" cm="1">
        <f t="array" aca="1" ref="M292" ca="1">IF(T292="Sócio",IF(COUNTIF(Opções!$H$2:$H$13,INDIRECT($P292))&gt;0,IF(AND(INDIRECT($Q292)&lt;N$1/24,INDIRECT($R292)&gt;M$1/24),"x",""),""),"")</f>
        <v/>
      </c>
      <c r="N292" t="str" cm="1">
        <f t="array" aca="1" ref="N292" ca="1">IF(T292="Sócio",IF(COUNTIF(Opções!$H$2:$H$13,INDIRECT($P292))&gt;0,IF(AND(INDIRECT($Q292)&lt;O$1/24,INDIRECT($R292)&gt;N$1/24),"x",""),""),"")</f>
        <v/>
      </c>
      <c r="O292" t="str" cm="1">
        <f t="array" aca="1" ref="O292" ca="1">IF(T292="Sócio",IF(COUNTIF(Opções!$H$2:$H$13,INDIRECT($P292))&gt;0,IF(AND(INDIRECT($Q292)&lt;P$1/24,INDIRECT($R292)&gt;O$1/24),"x",""),""),"")</f>
        <v/>
      </c>
      <c r="P292" t="str">
        <f t="shared" si="57"/>
        <v>$E292</v>
      </c>
      <c r="Q292" t="str">
        <f t="shared" si="2"/>
        <v>$F292</v>
      </c>
      <c r="R292" t="str">
        <f t="shared" si="3"/>
        <v>$G292</v>
      </c>
      <c r="S292" t="str">
        <f t="shared" si="60"/>
        <v>$D292</v>
      </c>
      <c r="T292" t="str" cm="1">
        <f t="array" aca="1" ref="T292" ca="1">IFERROR(VLOOKUP(INDIRECT(S292),Equipe!A:C,3,0),"")</f>
        <v/>
      </c>
    </row>
    <row r="293" spans="10:20" x14ac:dyDescent="0.3">
      <c r="J293" s="21" t="str">
        <f t="shared" ca="1" si="65"/>
        <v/>
      </c>
      <c r="K293" t="str" cm="1">
        <f t="array" aca="1" ref="K293" ca="1">IF(T293="Sócio",IF(COUNTIF(Opções!$H$2:$H$13,INDIRECT($P293))&gt;0,IF(AND(INDIRECT($Q293)&lt;L$1/24,INDIRECT($R293)&gt;K$1/24),"x",""),""),"")</f>
        <v/>
      </c>
      <c r="L293" t="str" cm="1">
        <f t="array" aca="1" ref="L293" ca="1">IF(T293="Sócio",IF(COUNTIF(Opções!$H$2:$H$13,INDIRECT($P293))&gt;0,IF(AND(INDIRECT($Q293)&lt;M$1/24,INDIRECT($R293)&gt;L$1/24),"x",""),""),"")</f>
        <v/>
      </c>
      <c r="M293" t="str" cm="1">
        <f t="array" aca="1" ref="M293" ca="1">IF(T293="Sócio",IF(COUNTIF(Opções!$H$2:$H$13,INDIRECT($P293))&gt;0,IF(AND(INDIRECT($Q293)&lt;N$1/24,INDIRECT($R293)&gt;M$1/24),"x",""),""),"")</f>
        <v/>
      </c>
      <c r="N293" t="str" cm="1">
        <f t="array" aca="1" ref="N293" ca="1">IF(T293="Sócio",IF(COUNTIF(Opções!$H$2:$H$13,INDIRECT($P293))&gt;0,IF(AND(INDIRECT($Q293)&lt;O$1/24,INDIRECT($R293)&gt;N$1/24),"x",""),""),"")</f>
        <v/>
      </c>
      <c r="O293" t="str" cm="1">
        <f t="array" aca="1" ref="O293" ca="1">IF(T293="Sócio",IF(COUNTIF(Opções!$H$2:$H$13,INDIRECT($P293))&gt;0,IF(AND(INDIRECT($Q293)&lt;P$1/24,INDIRECT($R293)&gt;O$1/24),"x",""),""),"")</f>
        <v/>
      </c>
      <c r="P293" t="str">
        <f t="shared" si="57"/>
        <v>$E293</v>
      </c>
      <c r="Q293" t="str">
        <f t="shared" si="2"/>
        <v>$F293</v>
      </c>
      <c r="R293" t="str">
        <f t="shared" si="3"/>
        <v>$G293</v>
      </c>
      <c r="S293" t="str">
        <f t="shared" si="60"/>
        <v>$D293</v>
      </c>
      <c r="T293" t="str" cm="1">
        <f t="array" aca="1" ref="T293" ca="1">IFERROR(VLOOKUP(INDIRECT(S293),Equipe!A:C,3,0),"")</f>
        <v/>
      </c>
    </row>
    <row r="294" spans="10:20" x14ac:dyDescent="0.3">
      <c r="J294" s="21" t="str">
        <f t="shared" ca="1" si="65"/>
        <v/>
      </c>
      <c r="K294" t="str" cm="1">
        <f t="array" aca="1" ref="K294" ca="1">IF(T294="Sócio",IF(COUNTIF(Opções!$H$2:$H$13,INDIRECT($P294))&gt;0,IF(AND(INDIRECT($Q294)&lt;L$1/24,INDIRECT($R294)&gt;K$1/24),"x",""),""),"")</f>
        <v/>
      </c>
      <c r="L294" t="str" cm="1">
        <f t="array" aca="1" ref="L294" ca="1">IF(T294="Sócio",IF(COUNTIF(Opções!$H$2:$H$13,INDIRECT($P294))&gt;0,IF(AND(INDIRECT($Q294)&lt;M$1/24,INDIRECT($R294)&gt;L$1/24),"x",""),""),"")</f>
        <v/>
      </c>
      <c r="M294" t="str" cm="1">
        <f t="array" aca="1" ref="M294" ca="1">IF(T294="Sócio",IF(COUNTIF(Opções!$H$2:$H$13,INDIRECT($P294))&gt;0,IF(AND(INDIRECT($Q294)&lt;N$1/24,INDIRECT($R294)&gt;M$1/24),"x",""),""),"")</f>
        <v/>
      </c>
      <c r="N294" t="str" cm="1">
        <f t="array" aca="1" ref="N294" ca="1">IF(T294="Sócio",IF(COUNTIF(Opções!$H$2:$H$13,INDIRECT($P294))&gt;0,IF(AND(INDIRECT($Q294)&lt;O$1/24,INDIRECT($R294)&gt;N$1/24),"x",""),""),"")</f>
        <v/>
      </c>
      <c r="O294" t="str" cm="1">
        <f t="array" aca="1" ref="O294" ca="1">IF(T294="Sócio",IF(COUNTIF(Opções!$H$2:$H$13,INDIRECT($P294))&gt;0,IF(AND(INDIRECT($Q294)&lt;P$1/24,INDIRECT($R294)&gt;O$1/24),"x",""),""),"")</f>
        <v/>
      </c>
      <c r="P294" t="str">
        <f t="shared" si="57"/>
        <v>$E294</v>
      </c>
      <c r="Q294" t="str">
        <f t="shared" si="2"/>
        <v>$F294</v>
      </c>
      <c r="R294" t="str">
        <f t="shared" si="3"/>
        <v>$G294</v>
      </c>
      <c r="S294" t="str">
        <f t="shared" si="60"/>
        <v>$D294</v>
      </c>
      <c r="T294" t="str" cm="1">
        <f t="array" aca="1" ref="T294" ca="1">IFERROR(VLOOKUP(INDIRECT(S294),Equipe!A:C,3,0),"")</f>
        <v/>
      </c>
    </row>
    <row r="295" spans="10:20" x14ac:dyDescent="0.3">
      <c r="J295" s="21" t="str">
        <f t="shared" ca="1" si="65"/>
        <v/>
      </c>
      <c r="K295" t="str" cm="1">
        <f t="array" aca="1" ref="K295" ca="1">IF(T295="Sócio",IF(COUNTIF(Opções!$H$2:$H$13,INDIRECT($P295))&gt;0,IF(AND(INDIRECT($Q295)&lt;L$1/24,INDIRECT($R295)&gt;K$1/24),"x",""),""),"")</f>
        <v/>
      </c>
      <c r="L295" t="str" cm="1">
        <f t="array" aca="1" ref="L295" ca="1">IF(T295="Sócio",IF(COUNTIF(Opções!$H$2:$H$13,INDIRECT($P295))&gt;0,IF(AND(INDIRECT($Q295)&lt;M$1/24,INDIRECT($R295)&gt;L$1/24),"x",""),""),"")</f>
        <v/>
      </c>
      <c r="M295" t="str" cm="1">
        <f t="array" aca="1" ref="M295" ca="1">IF(T295="Sócio",IF(COUNTIF(Opções!$H$2:$H$13,INDIRECT($P295))&gt;0,IF(AND(INDIRECT($Q295)&lt;N$1/24,INDIRECT($R295)&gt;M$1/24),"x",""),""),"")</f>
        <v/>
      </c>
      <c r="N295" t="str" cm="1">
        <f t="array" aca="1" ref="N295" ca="1">IF(T295="Sócio",IF(COUNTIF(Opções!$H$2:$H$13,INDIRECT($P295))&gt;0,IF(AND(INDIRECT($Q295)&lt;O$1/24,INDIRECT($R295)&gt;N$1/24),"x",""),""),"")</f>
        <v/>
      </c>
      <c r="O295" t="str" cm="1">
        <f t="array" aca="1" ref="O295" ca="1">IF(T295="Sócio",IF(COUNTIF(Opções!$H$2:$H$13,INDIRECT($P295))&gt;0,IF(AND(INDIRECT($Q295)&lt;P$1/24,INDIRECT($R295)&gt;O$1/24),"x",""),""),"")</f>
        <v/>
      </c>
      <c r="P295" t="str">
        <f t="shared" si="57"/>
        <v>$E295</v>
      </c>
      <c r="Q295" t="str">
        <f t="shared" si="2"/>
        <v>$F295</v>
      </c>
      <c r="R295" t="str">
        <f t="shared" si="3"/>
        <v>$G295</v>
      </c>
      <c r="S295" t="str">
        <f t="shared" si="60"/>
        <v>$D295</v>
      </c>
      <c r="T295" t="str" cm="1">
        <f t="array" aca="1" ref="T295" ca="1">IFERROR(VLOOKUP(INDIRECT(S295),Equipe!A:C,3,0),"")</f>
        <v/>
      </c>
    </row>
    <row r="296" spans="10:20" x14ac:dyDescent="0.3">
      <c r="J296" s="21" t="str">
        <f t="shared" ca="1" si="65"/>
        <v/>
      </c>
      <c r="K296" t="str" cm="1">
        <f t="array" aca="1" ref="K296" ca="1">IF(T296="Sócio",IF(COUNTIF(Opções!$H$2:$H$13,INDIRECT($P296))&gt;0,IF(AND(INDIRECT($Q296)&lt;L$1/24,INDIRECT($R296)&gt;K$1/24),"x",""),""),"")</f>
        <v/>
      </c>
      <c r="L296" t="str" cm="1">
        <f t="array" aca="1" ref="L296" ca="1">IF(T296="Sócio",IF(COUNTIF(Opções!$H$2:$H$13,INDIRECT($P296))&gt;0,IF(AND(INDIRECT($Q296)&lt;M$1/24,INDIRECT($R296)&gt;L$1/24),"x",""),""),"")</f>
        <v/>
      </c>
      <c r="M296" t="str" cm="1">
        <f t="array" aca="1" ref="M296" ca="1">IF(T296="Sócio",IF(COUNTIF(Opções!$H$2:$H$13,INDIRECT($P296))&gt;0,IF(AND(INDIRECT($Q296)&lt;N$1/24,INDIRECT($R296)&gt;M$1/24),"x",""),""),"")</f>
        <v/>
      </c>
      <c r="N296" t="str" cm="1">
        <f t="array" aca="1" ref="N296" ca="1">IF(T296="Sócio",IF(COUNTIF(Opções!$H$2:$H$13,INDIRECT($P296))&gt;0,IF(AND(INDIRECT($Q296)&lt;O$1/24,INDIRECT($R296)&gt;N$1/24),"x",""),""),"")</f>
        <v/>
      </c>
      <c r="O296" t="str" cm="1">
        <f t="array" aca="1" ref="O296" ca="1">IF(T296="Sócio",IF(COUNTIF(Opções!$H$2:$H$13,INDIRECT($P296))&gt;0,IF(AND(INDIRECT($Q296)&lt;P$1/24,INDIRECT($R296)&gt;O$1/24),"x",""),""),"")</f>
        <v/>
      </c>
      <c r="P296" t="str">
        <f t="shared" si="57"/>
        <v>$E296</v>
      </c>
      <c r="Q296" t="str">
        <f t="shared" ref="Q296:Q359" si="66">"$F"&amp;ROW(O296)</f>
        <v>$F296</v>
      </c>
      <c r="R296" t="str">
        <f t="shared" ref="R296:R359" si="67">"$G"&amp;ROW(Q296)</f>
        <v>$G296</v>
      </c>
      <c r="S296" t="str">
        <f t="shared" si="60"/>
        <v>$D296</v>
      </c>
      <c r="T296" t="str" cm="1">
        <f t="array" aca="1" ref="T296" ca="1">IFERROR(VLOOKUP(INDIRECT(S296),Equipe!A:C,3,0),"")</f>
        <v/>
      </c>
    </row>
    <row r="297" spans="10:20" x14ac:dyDescent="0.3">
      <c r="J297" s="21" t="str">
        <f t="shared" ca="1" si="65"/>
        <v/>
      </c>
      <c r="K297" t="str" cm="1">
        <f t="array" aca="1" ref="K297" ca="1">IF(T297="Sócio",IF(COUNTIF(Opções!$H$2:$H$13,INDIRECT($P297))&gt;0,IF(AND(INDIRECT($Q297)&lt;L$1/24,INDIRECT($R297)&gt;K$1/24),"x",""),""),"")</f>
        <v/>
      </c>
      <c r="L297" t="str" cm="1">
        <f t="array" aca="1" ref="L297" ca="1">IF(T297="Sócio",IF(COUNTIF(Opções!$H$2:$H$13,INDIRECT($P297))&gt;0,IF(AND(INDIRECT($Q297)&lt;M$1/24,INDIRECT($R297)&gt;L$1/24),"x",""),""),"")</f>
        <v/>
      </c>
      <c r="M297" t="str" cm="1">
        <f t="array" aca="1" ref="M297" ca="1">IF(T297="Sócio",IF(COUNTIF(Opções!$H$2:$H$13,INDIRECT($P297))&gt;0,IF(AND(INDIRECT($Q297)&lt;N$1/24,INDIRECT($R297)&gt;M$1/24),"x",""),""),"")</f>
        <v/>
      </c>
      <c r="N297" t="str" cm="1">
        <f t="array" aca="1" ref="N297" ca="1">IF(T297="Sócio",IF(COUNTIF(Opções!$H$2:$H$13,INDIRECT($P297))&gt;0,IF(AND(INDIRECT($Q297)&lt;O$1/24,INDIRECT($R297)&gt;N$1/24),"x",""),""),"")</f>
        <v/>
      </c>
      <c r="O297" t="str" cm="1">
        <f t="array" aca="1" ref="O297" ca="1">IF(T297="Sócio",IF(COUNTIF(Opções!$H$2:$H$13,INDIRECT($P297))&gt;0,IF(AND(INDIRECT($Q297)&lt;P$1/24,INDIRECT($R297)&gt;O$1/24),"x",""),""),"")</f>
        <v/>
      </c>
      <c r="P297" t="str">
        <f t="shared" si="57"/>
        <v>$E297</v>
      </c>
      <c r="Q297" t="str">
        <f t="shared" si="66"/>
        <v>$F297</v>
      </c>
      <c r="R297" t="str">
        <f t="shared" si="67"/>
        <v>$G297</v>
      </c>
      <c r="S297" t="str">
        <f t="shared" si="60"/>
        <v>$D297</v>
      </c>
      <c r="T297" t="str" cm="1">
        <f t="array" aca="1" ref="T297" ca="1">IFERROR(VLOOKUP(INDIRECT(S297),Equipe!A:C,3,0),"")</f>
        <v/>
      </c>
    </row>
    <row r="298" spans="10:20" x14ac:dyDescent="0.3">
      <c r="J298" s="21" t="str">
        <f t="shared" ca="1" si="65"/>
        <v/>
      </c>
      <c r="K298" t="str" cm="1">
        <f t="array" aca="1" ref="K298" ca="1">IF(T298="Sócio",IF(COUNTIF(Opções!$H$2:$H$13,INDIRECT($P298))&gt;0,IF(AND(INDIRECT($Q298)&lt;L$1/24,INDIRECT($R298)&gt;K$1/24),"x",""),""),"")</f>
        <v/>
      </c>
      <c r="L298" t="str" cm="1">
        <f t="array" aca="1" ref="L298" ca="1">IF(T298="Sócio",IF(COUNTIF(Opções!$H$2:$H$13,INDIRECT($P298))&gt;0,IF(AND(INDIRECT($Q298)&lt;M$1/24,INDIRECT($R298)&gt;L$1/24),"x",""),""),"")</f>
        <v/>
      </c>
      <c r="M298" t="str" cm="1">
        <f t="array" aca="1" ref="M298" ca="1">IF(T298="Sócio",IF(COUNTIF(Opções!$H$2:$H$13,INDIRECT($P298))&gt;0,IF(AND(INDIRECT($Q298)&lt;N$1/24,INDIRECT($R298)&gt;M$1/24),"x",""),""),"")</f>
        <v/>
      </c>
      <c r="N298" t="str" cm="1">
        <f t="array" aca="1" ref="N298" ca="1">IF(T298="Sócio",IF(COUNTIF(Opções!$H$2:$H$13,INDIRECT($P298))&gt;0,IF(AND(INDIRECT($Q298)&lt;O$1/24,INDIRECT($R298)&gt;N$1/24),"x",""),""),"")</f>
        <v/>
      </c>
      <c r="O298" t="str" cm="1">
        <f t="array" aca="1" ref="O298" ca="1">IF(T298="Sócio",IF(COUNTIF(Opções!$H$2:$H$13,INDIRECT($P298))&gt;0,IF(AND(INDIRECT($Q298)&lt;P$1/24,INDIRECT($R298)&gt;O$1/24),"x",""),""),"")</f>
        <v/>
      </c>
      <c r="P298" t="str">
        <f t="shared" si="57"/>
        <v>$E298</v>
      </c>
      <c r="Q298" t="str">
        <f t="shared" si="66"/>
        <v>$F298</v>
      </c>
      <c r="R298" t="str">
        <f t="shared" si="67"/>
        <v>$G298</v>
      </c>
      <c r="S298" t="str">
        <f t="shared" si="60"/>
        <v>$D298</v>
      </c>
      <c r="T298" t="str" cm="1">
        <f t="array" aca="1" ref="T298" ca="1">IFERROR(VLOOKUP(INDIRECT(S298),Equipe!A:C,3,0),"")</f>
        <v/>
      </c>
    </row>
    <row r="299" spans="10:20" x14ac:dyDescent="0.3">
      <c r="J299" s="21" t="str">
        <f t="shared" ca="1" si="65"/>
        <v/>
      </c>
      <c r="K299" t="str" cm="1">
        <f t="array" aca="1" ref="K299" ca="1">IF(T299="Sócio",IF(COUNTIF(Opções!$H$2:$H$13,INDIRECT($P299))&gt;0,IF(AND(INDIRECT($Q299)&lt;L$1/24,INDIRECT($R299)&gt;K$1/24),"x",""),""),"")</f>
        <v/>
      </c>
      <c r="L299" t="str" cm="1">
        <f t="array" aca="1" ref="L299" ca="1">IF(T299="Sócio",IF(COUNTIF(Opções!$H$2:$H$13,INDIRECT($P299))&gt;0,IF(AND(INDIRECT($Q299)&lt;M$1/24,INDIRECT($R299)&gt;L$1/24),"x",""),""),"")</f>
        <v/>
      </c>
      <c r="M299" t="str" cm="1">
        <f t="array" aca="1" ref="M299" ca="1">IF(T299="Sócio",IF(COUNTIF(Opções!$H$2:$H$13,INDIRECT($P299))&gt;0,IF(AND(INDIRECT($Q299)&lt;N$1/24,INDIRECT($R299)&gt;M$1/24),"x",""),""),"")</f>
        <v/>
      </c>
      <c r="N299" t="str" cm="1">
        <f t="array" aca="1" ref="N299" ca="1">IF(T299="Sócio",IF(COUNTIF(Opções!$H$2:$H$13,INDIRECT($P299))&gt;0,IF(AND(INDIRECT($Q299)&lt;O$1/24,INDIRECT($R299)&gt;N$1/24),"x",""),""),"")</f>
        <v/>
      </c>
      <c r="O299" t="str" cm="1">
        <f t="array" aca="1" ref="O299" ca="1">IF(T299="Sócio",IF(COUNTIF(Opções!$H$2:$H$13,INDIRECT($P299))&gt;0,IF(AND(INDIRECT($Q299)&lt;P$1/24,INDIRECT($R299)&gt;O$1/24),"x",""),""),"")</f>
        <v/>
      </c>
      <c r="P299" t="str">
        <f t="shared" si="57"/>
        <v>$E299</v>
      </c>
      <c r="Q299" t="str">
        <f t="shared" si="66"/>
        <v>$F299</v>
      </c>
      <c r="R299" t="str">
        <f t="shared" si="67"/>
        <v>$G299</v>
      </c>
      <c r="S299" t="str">
        <f t="shared" si="60"/>
        <v>$D299</v>
      </c>
      <c r="T299" t="str" cm="1">
        <f t="array" aca="1" ref="T299" ca="1">IFERROR(VLOOKUP(INDIRECT(S299),Equipe!A:C,3,0),"")</f>
        <v/>
      </c>
    </row>
    <row r="300" spans="10:20" x14ac:dyDescent="0.3">
      <c r="J300" s="21" t="str">
        <f t="shared" ca="1" si="65"/>
        <v/>
      </c>
      <c r="K300" t="str" cm="1">
        <f t="array" aca="1" ref="K300" ca="1">IF(T300="Sócio",IF(COUNTIF(Opções!$H$2:$H$13,INDIRECT($P300))&gt;0,IF(AND(INDIRECT($Q300)&lt;L$1/24,INDIRECT($R300)&gt;K$1/24),"x",""),""),"")</f>
        <v/>
      </c>
      <c r="L300" t="str" cm="1">
        <f t="array" aca="1" ref="L300" ca="1">IF(T300="Sócio",IF(COUNTIF(Opções!$H$2:$H$13,INDIRECT($P300))&gt;0,IF(AND(INDIRECT($Q300)&lt;M$1/24,INDIRECT($R300)&gt;L$1/24),"x",""),""),"")</f>
        <v/>
      </c>
      <c r="M300" t="str" cm="1">
        <f t="array" aca="1" ref="M300" ca="1">IF(T300="Sócio",IF(COUNTIF(Opções!$H$2:$H$13,INDIRECT($P300))&gt;0,IF(AND(INDIRECT($Q300)&lt;N$1/24,INDIRECT($R300)&gt;M$1/24),"x",""),""),"")</f>
        <v/>
      </c>
      <c r="N300" t="str" cm="1">
        <f t="array" aca="1" ref="N300" ca="1">IF(T300="Sócio",IF(COUNTIF(Opções!$H$2:$H$13,INDIRECT($P300))&gt;0,IF(AND(INDIRECT($Q300)&lt;O$1/24,INDIRECT($R300)&gt;N$1/24),"x",""),""),"")</f>
        <v/>
      </c>
      <c r="O300" t="str" cm="1">
        <f t="array" aca="1" ref="O300" ca="1">IF(T300="Sócio",IF(COUNTIF(Opções!$H$2:$H$13,INDIRECT($P300))&gt;0,IF(AND(INDIRECT($Q300)&lt;P$1/24,INDIRECT($R300)&gt;O$1/24),"x",""),""),"")</f>
        <v/>
      </c>
      <c r="P300" t="str">
        <f t="shared" si="57"/>
        <v>$E300</v>
      </c>
      <c r="Q300" t="str">
        <f t="shared" si="66"/>
        <v>$F300</v>
      </c>
      <c r="R300" t="str">
        <f t="shared" si="67"/>
        <v>$G300</v>
      </c>
      <c r="S300" t="str">
        <f t="shared" si="60"/>
        <v>$D300</v>
      </c>
      <c r="T300" t="str" cm="1">
        <f t="array" aca="1" ref="T300" ca="1">IFERROR(VLOOKUP(INDIRECT(S300),Equipe!A:C,3,0),"")</f>
        <v/>
      </c>
    </row>
    <row r="301" spans="10:20" x14ac:dyDescent="0.3">
      <c r="J301" s="21" t="str">
        <f t="shared" ca="1" si="65"/>
        <v/>
      </c>
      <c r="K301" t="str" cm="1">
        <f t="array" aca="1" ref="K301" ca="1">IF(T301="Sócio",IF(COUNTIF(Opções!$H$2:$H$13,INDIRECT($P301))&gt;0,IF(AND(INDIRECT($Q301)&lt;L$1/24,INDIRECT($R301)&gt;K$1/24),"x",""),""),"")</f>
        <v/>
      </c>
      <c r="L301" t="str" cm="1">
        <f t="array" aca="1" ref="L301" ca="1">IF(T301="Sócio",IF(COUNTIF(Opções!$H$2:$H$13,INDIRECT($P301))&gt;0,IF(AND(INDIRECT($Q301)&lt;M$1/24,INDIRECT($R301)&gt;L$1/24),"x",""),""),"")</f>
        <v/>
      </c>
      <c r="M301" t="str" cm="1">
        <f t="array" aca="1" ref="M301" ca="1">IF(T301="Sócio",IF(COUNTIF(Opções!$H$2:$H$13,INDIRECT($P301))&gt;0,IF(AND(INDIRECT($Q301)&lt;N$1/24,INDIRECT($R301)&gt;M$1/24),"x",""),""),"")</f>
        <v/>
      </c>
      <c r="N301" t="str" cm="1">
        <f t="array" aca="1" ref="N301" ca="1">IF(T301="Sócio",IF(COUNTIF(Opções!$H$2:$H$13,INDIRECT($P301))&gt;0,IF(AND(INDIRECT($Q301)&lt;O$1/24,INDIRECT($R301)&gt;N$1/24),"x",""),""),"")</f>
        <v/>
      </c>
      <c r="O301" t="str" cm="1">
        <f t="array" aca="1" ref="O301" ca="1">IF(T301="Sócio",IF(COUNTIF(Opções!$H$2:$H$13,INDIRECT($P301))&gt;0,IF(AND(INDIRECT($Q301)&lt;P$1/24,INDIRECT($R301)&gt;O$1/24),"x",""),""),"")</f>
        <v/>
      </c>
      <c r="P301" t="str">
        <f t="shared" si="57"/>
        <v>$E301</v>
      </c>
      <c r="Q301" t="str">
        <f t="shared" si="66"/>
        <v>$F301</v>
      </c>
      <c r="R301" t="str">
        <f t="shared" si="67"/>
        <v>$G301</v>
      </c>
      <c r="S301" t="str">
        <f t="shared" si="60"/>
        <v>$D301</v>
      </c>
      <c r="T301" t="str" cm="1">
        <f t="array" aca="1" ref="T301" ca="1">IFERROR(VLOOKUP(INDIRECT(S301),Equipe!A:C,3,0),"")</f>
        <v/>
      </c>
    </row>
    <row r="302" spans="10:20" x14ac:dyDescent="0.3">
      <c r="J302" s="21" t="str">
        <f t="shared" ca="1" si="65"/>
        <v/>
      </c>
      <c r="K302" t="str" cm="1">
        <f t="array" aca="1" ref="K302" ca="1">IF(T302="Sócio",IF(COUNTIF(Opções!$H$2:$H$13,INDIRECT($P302))&gt;0,IF(AND(INDIRECT($Q302)&lt;L$1/24,INDIRECT($R302)&gt;K$1/24),"x",""),""),"")</f>
        <v/>
      </c>
      <c r="L302" t="str" cm="1">
        <f t="array" aca="1" ref="L302" ca="1">IF(T302="Sócio",IF(COUNTIF(Opções!$H$2:$H$13,INDIRECT($P302))&gt;0,IF(AND(INDIRECT($Q302)&lt;M$1/24,INDIRECT($R302)&gt;L$1/24),"x",""),""),"")</f>
        <v/>
      </c>
      <c r="M302" t="str" cm="1">
        <f t="array" aca="1" ref="M302" ca="1">IF(T302="Sócio",IF(COUNTIF(Opções!$H$2:$H$13,INDIRECT($P302))&gt;0,IF(AND(INDIRECT($Q302)&lt;N$1/24,INDIRECT($R302)&gt;M$1/24),"x",""),""),"")</f>
        <v/>
      </c>
      <c r="N302" t="str" cm="1">
        <f t="array" aca="1" ref="N302" ca="1">IF(T302="Sócio",IF(COUNTIF(Opções!$H$2:$H$13,INDIRECT($P302))&gt;0,IF(AND(INDIRECT($Q302)&lt;O$1/24,INDIRECT($R302)&gt;N$1/24),"x",""),""),"")</f>
        <v/>
      </c>
      <c r="O302" t="str" cm="1">
        <f t="array" aca="1" ref="O302" ca="1">IF(T302="Sócio",IF(COUNTIF(Opções!$H$2:$H$13,INDIRECT($P302))&gt;0,IF(AND(INDIRECT($Q302)&lt;P$1/24,INDIRECT($R302)&gt;O$1/24),"x",""),""),"")</f>
        <v/>
      </c>
      <c r="P302" t="str">
        <f t="shared" si="57"/>
        <v>$E302</v>
      </c>
      <c r="Q302" t="str">
        <f t="shared" si="66"/>
        <v>$F302</v>
      </c>
      <c r="R302" t="str">
        <f t="shared" si="67"/>
        <v>$G302</v>
      </c>
      <c r="S302" t="str">
        <f t="shared" si="60"/>
        <v>$D302</v>
      </c>
      <c r="T302" t="str" cm="1">
        <f t="array" aca="1" ref="T302" ca="1">IFERROR(VLOOKUP(INDIRECT(S302),Equipe!A:C,3,0),"")</f>
        <v/>
      </c>
    </row>
    <row r="303" spans="10:20" x14ac:dyDescent="0.3">
      <c r="J303" s="21" t="str">
        <f t="shared" ca="1" si="65"/>
        <v/>
      </c>
      <c r="K303" t="str" cm="1">
        <f t="array" aca="1" ref="K303" ca="1">IF(T303="Sócio",IF(COUNTIF(Opções!$H$2:$H$13,INDIRECT($P303))&gt;0,IF(AND(INDIRECT($Q303)&lt;L$1/24,INDIRECT($R303)&gt;K$1/24),"x",""),""),"")</f>
        <v/>
      </c>
      <c r="L303" t="str" cm="1">
        <f t="array" aca="1" ref="L303" ca="1">IF(T303="Sócio",IF(COUNTIF(Opções!$H$2:$H$13,INDIRECT($P303))&gt;0,IF(AND(INDIRECT($Q303)&lt;M$1/24,INDIRECT($R303)&gt;L$1/24),"x",""),""),"")</f>
        <v/>
      </c>
      <c r="M303" t="str" cm="1">
        <f t="array" aca="1" ref="M303" ca="1">IF(T303="Sócio",IF(COUNTIF(Opções!$H$2:$H$13,INDIRECT($P303))&gt;0,IF(AND(INDIRECT($Q303)&lt;N$1/24,INDIRECT($R303)&gt;M$1/24),"x",""),""),"")</f>
        <v/>
      </c>
      <c r="N303" t="str" cm="1">
        <f t="array" aca="1" ref="N303" ca="1">IF(T303="Sócio",IF(COUNTIF(Opções!$H$2:$H$13,INDIRECT($P303))&gt;0,IF(AND(INDIRECT($Q303)&lt;O$1/24,INDIRECT($R303)&gt;N$1/24),"x",""),""),"")</f>
        <v/>
      </c>
      <c r="O303" t="str" cm="1">
        <f t="array" aca="1" ref="O303" ca="1">IF(T303="Sócio",IF(COUNTIF(Opções!$H$2:$H$13,INDIRECT($P303))&gt;0,IF(AND(INDIRECT($Q303)&lt;P$1/24,INDIRECT($R303)&gt;O$1/24),"x",""),""),"")</f>
        <v/>
      </c>
      <c r="P303" t="str">
        <f t="shared" si="57"/>
        <v>$E303</v>
      </c>
      <c r="Q303" t="str">
        <f t="shared" si="66"/>
        <v>$F303</v>
      </c>
      <c r="R303" t="str">
        <f t="shared" si="67"/>
        <v>$G303</v>
      </c>
      <c r="S303" t="str">
        <f t="shared" si="60"/>
        <v>$D303</v>
      </c>
      <c r="T303" t="str" cm="1">
        <f t="array" aca="1" ref="T303" ca="1">IFERROR(VLOOKUP(INDIRECT(S303),Equipe!A:C,3,0),"")</f>
        <v/>
      </c>
    </row>
    <row r="304" spans="10:20" x14ac:dyDescent="0.3">
      <c r="J304" s="21" t="str">
        <f t="shared" ca="1" si="65"/>
        <v/>
      </c>
      <c r="K304" t="str" cm="1">
        <f t="array" aca="1" ref="K304" ca="1">IF(T304="Sócio",IF(COUNTIF(Opções!$H$2:$H$13,INDIRECT($P304))&gt;0,IF(AND(INDIRECT($Q304)&lt;L$1/24,INDIRECT($R304)&gt;K$1/24),"x",""),""),"")</f>
        <v/>
      </c>
      <c r="L304" t="str" cm="1">
        <f t="array" aca="1" ref="L304" ca="1">IF(T304="Sócio",IF(COUNTIF(Opções!$H$2:$H$13,INDIRECT($P304))&gt;0,IF(AND(INDIRECT($Q304)&lt;M$1/24,INDIRECT($R304)&gt;L$1/24),"x",""),""),"")</f>
        <v/>
      </c>
      <c r="M304" t="str" cm="1">
        <f t="array" aca="1" ref="M304" ca="1">IF(T304="Sócio",IF(COUNTIF(Opções!$H$2:$H$13,INDIRECT($P304))&gt;0,IF(AND(INDIRECT($Q304)&lt;N$1/24,INDIRECT($R304)&gt;M$1/24),"x",""),""),"")</f>
        <v/>
      </c>
      <c r="N304" t="str" cm="1">
        <f t="array" aca="1" ref="N304" ca="1">IF(T304="Sócio",IF(COUNTIF(Opções!$H$2:$H$13,INDIRECT($P304))&gt;0,IF(AND(INDIRECT($Q304)&lt;O$1/24,INDIRECT($R304)&gt;N$1/24),"x",""),""),"")</f>
        <v/>
      </c>
      <c r="O304" t="str" cm="1">
        <f t="array" aca="1" ref="O304" ca="1">IF(T304="Sócio",IF(COUNTIF(Opções!$H$2:$H$13,INDIRECT($P304))&gt;0,IF(AND(INDIRECT($Q304)&lt;P$1/24,INDIRECT($R304)&gt;O$1/24),"x",""),""),"")</f>
        <v/>
      </c>
      <c r="P304" t="str">
        <f t="shared" si="57"/>
        <v>$E304</v>
      </c>
      <c r="Q304" t="str">
        <f t="shared" si="66"/>
        <v>$F304</v>
      </c>
      <c r="R304" t="str">
        <f t="shared" si="67"/>
        <v>$G304</v>
      </c>
      <c r="S304" t="str">
        <f t="shared" si="60"/>
        <v>$D304</v>
      </c>
      <c r="T304" t="str" cm="1">
        <f t="array" aca="1" ref="T304" ca="1">IFERROR(VLOOKUP(INDIRECT(S304),Equipe!A:C,3,0),"")</f>
        <v/>
      </c>
    </row>
    <row r="305" spans="10:20" x14ac:dyDescent="0.3">
      <c r="J305" s="21" t="str">
        <f t="shared" ca="1" si="65"/>
        <v/>
      </c>
      <c r="K305" t="str" cm="1">
        <f t="array" aca="1" ref="K305" ca="1">IF(T305="Sócio",IF(COUNTIF(Opções!$H$2:$H$13,INDIRECT($P305))&gt;0,IF(AND(INDIRECT($Q305)&lt;L$1/24,INDIRECT($R305)&gt;K$1/24),"x",""),""),"")</f>
        <v/>
      </c>
      <c r="L305" t="str" cm="1">
        <f t="array" aca="1" ref="L305" ca="1">IF(T305="Sócio",IF(COUNTIF(Opções!$H$2:$H$13,INDIRECT($P305))&gt;0,IF(AND(INDIRECT($Q305)&lt;M$1/24,INDIRECT($R305)&gt;L$1/24),"x",""),""),"")</f>
        <v/>
      </c>
      <c r="M305" t="str" cm="1">
        <f t="array" aca="1" ref="M305" ca="1">IF(T305="Sócio",IF(COUNTIF(Opções!$H$2:$H$13,INDIRECT($P305))&gt;0,IF(AND(INDIRECT($Q305)&lt;N$1/24,INDIRECT($R305)&gt;M$1/24),"x",""),""),"")</f>
        <v/>
      </c>
      <c r="N305" t="str" cm="1">
        <f t="array" aca="1" ref="N305" ca="1">IF(T305="Sócio",IF(COUNTIF(Opções!$H$2:$H$13,INDIRECT($P305))&gt;0,IF(AND(INDIRECT($Q305)&lt;O$1/24,INDIRECT($R305)&gt;N$1/24),"x",""),""),"")</f>
        <v/>
      </c>
      <c r="O305" t="str" cm="1">
        <f t="array" aca="1" ref="O305" ca="1">IF(T305="Sócio",IF(COUNTIF(Opções!$H$2:$H$13,INDIRECT($P305))&gt;0,IF(AND(INDIRECT($Q305)&lt;P$1/24,INDIRECT($R305)&gt;O$1/24),"x",""),""),"")</f>
        <v/>
      </c>
      <c r="P305" t="str">
        <f t="shared" si="57"/>
        <v>$E305</v>
      </c>
      <c r="Q305" t="str">
        <f t="shared" si="66"/>
        <v>$F305</v>
      </c>
      <c r="R305" t="str">
        <f t="shared" si="67"/>
        <v>$G305</v>
      </c>
      <c r="S305" t="str">
        <f t="shared" si="60"/>
        <v>$D305</v>
      </c>
      <c r="T305" t="str" cm="1">
        <f t="array" aca="1" ref="T305" ca="1">IFERROR(VLOOKUP(INDIRECT(S305),Equipe!A:C,3,0),"")</f>
        <v/>
      </c>
    </row>
    <row r="306" spans="10:20" x14ac:dyDescent="0.3">
      <c r="J306" s="21" t="str">
        <f t="shared" ca="1" si="65"/>
        <v/>
      </c>
      <c r="K306" t="str" cm="1">
        <f t="array" aca="1" ref="K306" ca="1">IF(T306="Sócio",IF(COUNTIF(Opções!$H$2:$H$13,INDIRECT($P306))&gt;0,IF(AND(INDIRECT($Q306)&lt;L$1/24,INDIRECT($R306)&gt;K$1/24),"x",""),""),"")</f>
        <v/>
      </c>
      <c r="L306" t="str" cm="1">
        <f t="array" aca="1" ref="L306" ca="1">IF(T306="Sócio",IF(COUNTIF(Opções!$H$2:$H$13,INDIRECT($P306))&gt;0,IF(AND(INDIRECT($Q306)&lt;M$1/24,INDIRECT($R306)&gt;L$1/24),"x",""),""),"")</f>
        <v/>
      </c>
      <c r="M306" t="str" cm="1">
        <f t="array" aca="1" ref="M306" ca="1">IF(T306="Sócio",IF(COUNTIF(Opções!$H$2:$H$13,INDIRECT($P306))&gt;0,IF(AND(INDIRECT($Q306)&lt;N$1/24,INDIRECT($R306)&gt;M$1/24),"x",""),""),"")</f>
        <v/>
      </c>
      <c r="N306" t="str" cm="1">
        <f t="array" aca="1" ref="N306" ca="1">IF(T306="Sócio",IF(COUNTIF(Opções!$H$2:$H$13,INDIRECT($P306))&gt;0,IF(AND(INDIRECT($Q306)&lt;O$1/24,INDIRECT($R306)&gt;N$1/24),"x",""),""),"")</f>
        <v/>
      </c>
      <c r="O306" t="str" cm="1">
        <f t="array" aca="1" ref="O306" ca="1">IF(T306="Sócio",IF(COUNTIF(Opções!$H$2:$H$13,INDIRECT($P306))&gt;0,IF(AND(INDIRECT($Q306)&lt;P$1/24,INDIRECT($R306)&gt;O$1/24),"x",""),""),"")</f>
        <v/>
      </c>
      <c r="P306" t="str">
        <f t="shared" si="57"/>
        <v>$E306</v>
      </c>
      <c r="Q306" t="str">
        <f t="shared" si="66"/>
        <v>$F306</v>
      </c>
      <c r="R306" t="str">
        <f t="shared" si="67"/>
        <v>$G306</v>
      </c>
      <c r="S306" t="str">
        <f t="shared" si="60"/>
        <v>$D306</v>
      </c>
      <c r="T306" t="str" cm="1">
        <f t="array" aca="1" ref="T306" ca="1">IFERROR(VLOOKUP(INDIRECT(S306),Equipe!A:C,3,0),"")</f>
        <v/>
      </c>
    </row>
    <row r="307" spans="10:20" x14ac:dyDescent="0.3">
      <c r="J307" s="21" t="str">
        <f t="shared" ca="1" si="65"/>
        <v/>
      </c>
      <c r="K307" t="str" cm="1">
        <f t="array" aca="1" ref="K307" ca="1">IF(T307="Sócio",IF(COUNTIF(Opções!$H$2:$H$13,INDIRECT($P307))&gt;0,IF(AND(INDIRECT($Q307)&lt;L$1/24,INDIRECT($R307)&gt;K$1/24),"x",""),""),"")</f>
        <v/>
      </c>
      <c r="L307" t="str" cm="1">
        <f t="array" aca="1" ref="L307" ca="1">IF(T307="Sócio",IF(COUNTIF(Opções!$H$2:$H$13,INDIRECT($P307))&gt;0,IF(AND(INDIRECT($Q307)&lt;M$1/24,INDIRECT($R307)&gt;L$1/24),"x",""),""),"")</f>
        <v/>
      </c>
      <c r="M307" t="str" cm="1">
        <f t="array" aca="1" ref="M307" ca="1">IF(T307="Sócio",IF(COUNTIF(Opções!$H$2:$H$13,INDIRECT($P307))&gt;0,IF(AND(INDIRECT($Q307)&lt;N$1/24,INDIRECT($R307)&gt;M$1/24),"x",""),""),"")</f>
        <v/>
      </c>
      <c r="N307" t="str" cm="1">
        <f t="array" aca="1" ref="N307" ca="1">IF(T307="Sócio",IF(COUNTIF(Opções!$H$2:$H$13,INDIRECT($P307))&gt;0,IF(AND(INDIRECT($Q307)&lt;O$1/24,INDIRECT($R307)&gt;N$1/24),"x",""),""),"")</f>
        <v/>
      </c>
      <c r="O307" t="str" cm="1">
        <f t="array" aca="1" ref="O307" ca="1">IF(T307="Sócio",IF(COUNTIF(Opções!$H$2:$H$13,INDIRECT($P307))&gt;0,IF(AND(INDIRECT($Q307)&lt;P$1/24,INDIRECT($R307)&gt;O$1/24),"x",""),""),"")</f>
        <v/>
      </c>
      <c r="P307" t="str">
        <f t="shared" si="57"/>
        <v>$E307</v>
      </c>
      <c r="Q307" t="str">
        <f t="shared" si="66"/>
        <v>$F307</v>
      </c>
      <c r="R307" t="str">
        <f t="shared" si="67"/>
        <v>$G307</v>
      </c>
      <c r="S307" t="str">
        <f t="shared" si="60"/>
        <v>$D307</v>
      </c>
      <c r="T307" t="str" cm="1">
        <f t="array" aca="1" ref="T307" ca="1">IFERROR(VLOOKUP(INDIRECT(S307),Equipe!A:C,3,0),"")</f>
        <v/>
      </c>
    </row>
    <row r="308" spans="10:20" x14ac:dyDescent="0.3">
      <c r="J308" s="21" t="str">
        <f t="shared" ca="1" si="65"/>
        <v/>
      </c>
      <c r="K308" t="str" cm="1">
        <f t="array" aca="1" ref="K308" ca="1">IF(T308="Sócio",IF(COUNTIF(Opções!$H$2:$H$13,INDIRECT($P308))&gt;0,IF(AND(INDIRECT($Q308)&lt;L$1/24,INDIRECT($R308)&gt;K$1/24),"x",""),""),"")</f>
        <v/>
      </c>
      <c r="L308" t="str" cm="1">
        <f t="array" aca="1" ref="L308" ca="1">IF(T308="Sócio",IF(COUNTIF(Opções!$H$2:$H$13,INDIRECT($P308))&gt;0,IF(AND(INDIRECT($Q308)&lt;M$1/24,INDIRECT($R308)&gt;L$1/24),"x",""),""),"")</f>
        <v/>
      </c>
      <c r="M308" t="str" cm="1">
        <f t="array" aca="1" ref="M308" ca="1">IF(T308="Sócio",IF(COUNTIF(Opções!$H$2:$H$13,INDIRECT($P308))&gt;0,IF(AND(INDIRECT($Q308)&lt;N$1/24,INDIRECT($R308)&gt;M$1/24),"x",""),""),"")</f>
        <v/>
      </c>
      <c r="N308" t="str" cm="1">
        <f t="array" aca="1" ref="N308" ca="1">IF(T308="Sócio",IF(COUNTIF(Opções!$H$2:$H$13,INDIRECT($P308))&gt;0,IF(AND(INDIRECT($Q308)&lt;O$1/24,INDIRECT($R308)&gt;N$1/24),"x",""),""),"")</f>
        <v/>
      </c>
      <c r="O308" t="str" cm="1">
        <f t="array" aca="1" ref="O308" ca="1">IF(T308="Sócio",IF(COUNTIF(Opções!$H$2:$H$13,INDIRECT($P308))&gt;0,IF(AND(INDIRECT($Q308)&lt;P$1/24,INDIRECT($R308)&gt;O$1/24),"x",""),""),"")</f>
        <v/>
      </c>
      <c r="P308" t="str">
        <f t="shared" si="57"/>
        <v>$E308</v>
      </c>
      <c r="Q308" t="str">
        <f t="shared" si="66"/>
        <v>$F308</v>
      </c>
      <c r="R308" t="str">
        <f t="shared" si="67"/>
        <v>$G308</v>
      </c>
      <c r="S308" t="str">
        <f t="shared" si="60"/>
        <v>$D308</v>
      </c>
      <c r="T308" t="str" cm="1">
        <f t="array" aca="1" ref="T308" ca="1">IFERROR(VLOOKUP(INDIRECT(S308),Equipe!A:C,3,0),"")</f>
        <v/>
      </c>
    </row>
    <row r="309" spans="10:20" x14ac:dyDescent="0.3">
      <c r="J309" s="21" t="str">
        <f t="shared" ca="1" si="65"/>
        <v/>
      </c>
      <c r="K309" t="str" cm="1">
        <f t="array" aca="1" ref="K309" ca="1">IF(T309="Sócio",IF(COUNTIF(Opções!$H$2:$H$13,INDIRECT($P309))&gt;0,IF(AND(INDIRECT($Q309)&lt;L$1/24,INDIRECT($R309)&gt;K$1/24),"x",""),""),"")</f>
        <v/>
      </c>
      <c r="L309" t="str" cm="1">
        <f t="array" aca="1" ref="L309" ca="1">IF(T309="Sócio",IF(COUNTIF(Opções!$H$2:$H$13,INDIRECT($P309))&gt;0,IF(AND(INDIRECT($Q309)&lt;M$1/24,INDIRECT($R309)&gt;L$1/24),"x",""),""),"")</f>
        <v/>
      </c>
      <c r="M309" t="str" cm="1">
        <f t="array" aca="1" ref="M309" ca="1">IF(T309="Sócio",IF(COUNTIF(Opções!$H$2:$H$13,INDIRECT($P309))&gt;0,IF(AND(INDIRECT($Q309)&lt;N$1/24,INDIRECT($R309)&gt;M$1/24),"x",""),""),"")</f>
        <v/>
      </c>
      <c r="N309" t="str" cm="1">
        <f t="array" aca="1" ref="N309" ca="1">IF(T309="Sócio",IF(COUNTIF(Opções!$H$2:$H$13,INDIRECT($P309))&gt;0,IF(AND(INDIRECT($Q309)&lt;O$1/24,INDIRECT($R309)&gt;N$1/24),"x",""),""),"")</f>
        <v/>
      </c>
      <c r="O309" t="str" cm="1">
        <f t="array" aca="1" ref="O309" ca="1">IF(T309="Sócio",IF(COUNTIF(Opções!$H$2:$H$13,INDIRECT($P309))&gt;0,IF(AND(INDIRECT($Q309)&lt;P$1/24,INDIRECT($R309)&gt;O$1/24),"x",""),""),"")</f>
        <v/>
      </c>
      <c r="P309" t="str">
        <f t="shared" si="57"/>
        <v>$E309</v>
      </c>
      <c r="Q309" t="str">
        <f t="shared" si="66"/>
        <v>$F309</v>
      </c>
      <c r="R309" t="str">
        <f t="shared" si="67"/>
        <v>$G309</v>
      </c>
      <c r="S309" t="str">
        <f t="shared" si="60"/>
        <v>$D309</v>
      </c>
      <c r="T309" t="str" cm="1">
        <f t="array" aca="1" ref="T309" ca="1">IFERROR(VLOOKUP(INDIRECT(S309),Equipe!A:C,3,0),"")</f>
        <v/>
      </c>
    </row>
    <row r="310" spans="10:20" x14ac:dyDescent="0.3">
      <c r="J310" s="21" t="str">
        <f t="shared" ca="1" si="65"/>
        <v/>
      </c>
      <c r="K310" t="str" cm="1">
        <f t="array" aca="1" ref="K310" ca="1">IF(T310="Sócio",IF(COUNTIF(Opções!$H$2:$H$13,INDIRECT($P310))&gt;0,IF(AND(INDIRECT($Q310)&lt;L$1/24,INDIRECT($R310)&gt;K$1/24),"x",""),""),"")</f>
        <v/>
      </c>
      <c r="L310" t="str" cm="1">
        <f t="array" aca="1" ref="L310" ca="1">IF(T310="Sócio",IF(COUNTIF(Opções!$H$2:$H$13,INDIRECT($P310))&gt;0,IF(AND(INDIRECT($Q310)&lt;M$1/24,INDIRECT($R310)&gt;L$1/24),"x",""),""),"")</f>
        <v/>
      </c>
      <c r="M310" t="str" cm="1">
        <f t="array" aca="1" ref="M310" ca="1">IF(T310="Sócio",IF(COUNTIF(Opções!$H$2:$H$13,INDIRECT($P310))&gt;0,IF(AND(INDIRECT($Q310)&lt;N$1/24,INDIRECT($R310)&gt;M$1/24),"x",""),""),"")</f>
        <v/>
      </c>
      <c r="N310" t="str" cm="1">
        <f t="array" aca="1" ref="N310" ca="1">IF(T310="Sócio",IF(COUNTIF(Opções!$H$2:$H$13,INDIRECT($P310))&gt;0,IF(AND(INDIRECT($Q310)&lt;O$1/24,INDIRECT($R310)&gt;N$1/24),"x",""),""),"")</f>
        <v/>
      </c>
      <c r="O310" t="str" cm="1">
        <f t="array" aca="1" ref="O310" ca="1">IF(T310="Sócio",IF(COUNTIF(Opções!$H$2:$H$13,INDIRECT($P310))&gt;0,IF(AND(INDIRECT($Q310)&lt;P$1/24,INDIRECT($R310)&gt;O$1/24),"x",""),""),"")</f>
        <v/>
      </c>
      <c r="P310" t="str">
        <f t="shared" si="57"/>
        <v>$E310</v>
      </c>
      <c r="Q310" t="str">
        <f t="shared" si="66"/>
        <v>$F310</v>
      </c>
      <c r="R310" t="str">
        <f t="shared" si="67"/>
        <v>$G310</v>
      </c>
      <c r="S310" t="str">
        <f t="shared" si="60"/>
        <v>$D310</v>
      </c>
      <c r="T310" t="str" cm="1">
        <f t="array" aca="1" ref="T310" ca="1">IFERROR(VLOOKUP(INDIRECT(S310),Equipe!A:C,3,0),"")</f>
        <v/>
      </c>
    </row>
    <row r="311" spans="10:20" x14ac:dyDescent="0.3">
      <c r="J311" s="21" t="str">
        <f t="shared" ca="1" si="65"/>
        <v/>
      </c>
      <c r="K311" t="str" cm="1">
        <f t="array" aca="1" ref="K311" ca="1">IF(T311="Sócio",IF(COUNTIF(Opções!$H$2:$H$13,INDIRECT($P311))&gt;0,IF(AND(INDIRECT($Q311)&lt;L$1/24,INDIRECT($R311)&gt;K$1/24),"x",""),""),"")</f>
        <v/>
      </c>
      <c r="L311" t="str" cm="1">
        <f t="array" aca="1" ref="L311" ca="1">IF(T311="Sócio",IF(COUNTIF(Opções!$H$2:$H$13,INDIRECT($P311))&gt;0,IF(AND(INDIRECT($Q311)&lt;M$1/24,INDIRECT($R311)&gt;L$1/24),"x",""),""),"")</f>
        <v/>
      </c>
      <c r="M311" t="str" cm="1">
        <f t="array" aca="1" ref="M311" ca="1">IF(T311="Sócio",IF(COUNTIF(Opções!$H$2:$H$13,INDIRECT($P311))&gt;0,IF(AND(INDIRECT($Q311)&lt;N$1/24,INDIRECT($R311)&gt;M$1/24),"x",""),""),"")</f>
        <v/>
      </c>
      <c r="N311" t="str" cm="1">
        <f t="array" aca="1" ref="N311" ca="1">IF(T311="Sócio",IF(COUNTIF(Opções!$H$2:$H$13,INDIRECT($P311))&gt;0,IF(AND(INDIRECT($Q311)&lt;O$1/24,INDIRECT($R311)&gt;N$1/24),"x",""),""),"")</f>
        <v/>
      </c>
      <c r="O311" t="str" cm="1">
        <f t="array" aca="1" ref="O311" ca="1">IF(T311="Sócio",IF(COUNTIF(Opções!$H$2:$H$13,INDIRECT($P311))&gt;0,IF(AND(INDIRECT($Q311)&lt;P$1/24,INDIRECT($R311)&gt;O$1/24),"x",""),""),"")</f>
        <v/>
      </c>
      <c r="P311" t="str">
        <f t="shared" si="57"/>
        <v>$E311</v>
      </c>
      <c r="Q311" t="str">
        <f t="shared" si="66"/>
        <v>$F311</v>
      </c>
      <c r="R311" t="str">
        <f t="shared" si="67"/>
        <v>$G311</v>
      </c>
      <c r="S311" t="str">
        <f t="shared" si="60"/>
        <v>$D311</v>
      </c>
      <c r="T311" t="str" cm="1">
        <f t="array" aca="1" ref="T311" ca="1">IFERROR(VLOOKUP(INDIRECT(S311),Equipe!A:C,3,0),"")</f>
        <v/>
      </c>
    </row>
    <row r="312" spans="10:20" x14ac:dyDescent="0.3">
      <c r="J312" s="21" t="str">
        <f t="shared" ca="1" si="65"/>
        <v/>
      </c>
      <c r="K312" t="str" cm="1">
        <f t="array" aca="1" ref="K312" ca="1">IF(T312="Sócio",IF(COUNTIF(Opções!$H$2:$H$13,INDIRECT($P312))&gt;0,IF(AND(INDIRECT($Q312)&lt;L$1/24,INDIRECT($R312)&gt;K$1/24),"x",""),""),"")</f>
        <v/>
      </c>
      <c r="L312" t="str" cm="1">
        <f t="array" aca="1" ref="L312" ca="1">IF(T312="Sócio",IF(COUNTIF(Opções!$H$2:$H$13,INDIRECT($P312))&gt;0,IF(AND(INDIRECT($Q312)&lt;M$1/24,INDIRECT($R312)&gt;L$1/24),"x",""),""),"")</f>
        <v/>
      </c>
      <c r="M312" t="str" cm="1">
        <f t="array" aca="1" ref="M312" ca="1">IF(T312="Sócio",IF(COUNTIF(Opções!$H$2:$H$13,INDIRECT($P312))&gt;0,IF(AND(INDIRECT($Q312)&lt;N$1/24,INDIRECT($R312)&gt;M$1/24),"x",""),""),"")</f>
        <v/>
      </c>
      <c r="N312" t="str" cm="1">
        <f t="array" aca="1" ref="N312" ca="1">IF(T312="Sócio",IF(COUNTIF(Opções!$H$2:$H$13,INDIRECT($P312))&gt;0,IF(AND(INDIRECT($Q312)&lt;O$1/24,INDIRECT($R312)&gt;N$1/24),"x",""),""),"")</f>
        <v/>
      </c>
      <c r="O312" t="str" cm="1">
        <f t="array" aca="1" ref="O312" ca="1">IF(T312="Sócio",IF(COUNTIF(Opções!$H$2:$H$13,INDIRECT($P312))&gt;0,IF(AND(INDIRECT($Q312)&lt;P$1/24,INDIRECT($R312)&gt;O$1/24),"x",""),""),"")</f>
        <v/>
      </c>
      <c r="P312" t="str">
        <f t="shared" si="57"/>
        <v>$E312</v>
      </c>
      <c r="Q312" t="str">
        <f t="shared" si="66"/>
        <v>$F312</v>
      </c>
      <c r="R312" t="str">
        <f t="shared" si="67"/>
        <v>$G312</v>
      </c>
      <c r="S312" t="str">
        <f t="shared" si="60"/>
        <v>$D312</v>
      </c>
      <c r="T312" t="str" cm="1">
        <f t="array" aca="1" ref="T312" ca="1">IFERROR(VLOOKUP(INDIRECT(S312),Equipe!A:C,3,0),"")</f>
        <v/>
      </c>
    </row>
    <row r="313" spans="10:20" x14ac:dyDescent="0.3">
      <c r="J313" s="21" t="str">
        <f t="shared" ca="1" si="65"/>
        <v/>
      </c>
      <c r="K313" t="str" cm="1">
        <f t="array" aca="1" ref="K313" ca="1">IF(T313="Sócio",IF(COUNTIF(Opções!$H$2:$H$13,INDIRECT($P313))&gt;0,IF(AND(INDIRECT($Q313)&lt;L$1/24,INDIRECT($R313)&gt;K$1/24),"x",""),""),"")</f>
        <v/>
      </c>
      <c r="L313" t="str" cm="1">
        <f t="array" aca="1" ref="L313" ca="1">IF(T313="Sócio",IF(COUNTIF(Opções!$H$2:$H$13,INDIRECT($P313))&gt;0,IF(AND(INDIRECT($Q313)&lt;M$1/24,INDIRECT($R313)&gt;L$1/24),"x",""),""),"")</f>
        <v/>
      </c>
      <c r="M313" t="str" cm="1">
        <f t="array" aca="1" ref="M313" ca="1">IF(T313="Sócio",IF(COUNTIF(Opções!$H$2:$H$13,INDIRECT($P313))&gt;0,IF(AND(INDIRECT($Q313)&lt;N$1/24,INDIRECT($R313)&gt;M$1/24),"x",""),""),"")</f>
        <v/>
      </c>
      <c r="N313" t="str" cm="1">
        <f t="array" aca="1" ref="N313" ca="1">IF(T313="Sócio",IF(COUNTIF(Opções!$H$2:$H$13,INDIRECT($P313))&gt;0,IF(AND(INDIRECT($Q313)&lt;O$1/24,INDIRECT($R313)&gt;N$1/24),"x",""),""),"")</f>
        <v/>
      </c>
      <c r="O313" t="str" cm="1">
        <f t="array" aca="1" ref="O313" ca="1">IF(T313="Sócio",IF(COUNTIF(Opções!$H$2:$H$13,INDIRECT($P313))&gt;0,IF(AND(INDIRECT($Q313)&lt;P$1/24,INDIRECT($R313)&gt;O$1/24),"x",""),""),"")</f>
        <v/>
      </c>
      <c r="P313" t="str">
        <f t="shared" si="57"/>
        <v>$E313</v>
      </c>
      <c r="Q313" t="str">
        <f t="shared" si="66"/>
        <v>$F313</v>
      </c>
      <c r="R313" t="str">
        <f t="shared" si="67"/>
        <v>$G313</v>
      </c>
      <c r="S313" t="str">
        <f t="shared" si="60"/>
        <v>$D313</v>
      </c>
      <c r="T313" t="str" cm="1">
        <f t="array" aca="1" ref="T313" ca="1">IFERROR(VLOOKUP(INDIRECT(S313),Equipe!A:C,3,0),"")</f>
        <v/>
      </c>
    </row>
    <row r="314" spans="10:20" x14ac:dyDescent="0.3">
      <c r="J314" s="21" t="str">
        <f t="shared" ca="1" si="65"/>
        <v/>
      </c>
      <c r="K314" t="str" cm="1">
        <f t="array" aca="1" ref="K314" ca="1">IF(T314="Sócio",IF(COUNTIF(Opções!$H$2:$H$13,INDIRECT($P314))&gt;0,IF(AND(INDIRECT($Q314)&lt;L$1/24,INDIRECT($R314)&gt;K$1/24),"x",""),""),"")</f>
        <v/>
      </c>
      <c r="L314" t="str" cm="1">
        <f t="array" aca="1" ref="L314" ca="1">IF(T314="Sócio",IF(COUNTIF(Opções!$H$2:$H$13,INDIRECT($P314))&gt;0,IF(AND(INDIRECT($Q314)&lt;M$1/24,INDIRECT($R314)&gt;L$1/24),"x",""),""),"")</f>
        <v/>
      </c>
      <c r="M314" t="str" cm="1">
        <f t="array" aca="1" ref="M314" ca="1">IF(T314="Sócio",IF(COUNTIF(Opções!$H$2:$H$13,INDIRECT($P314))&gt;0,IF(AND(INDIRECT($Q314)&lt;N$1/24,INDIRECT($R314)&gt;M$1/24),"x",""),""),"")</f>
        <v/>
      </c>
      <c r="N314" t="str" cm="1">
        <f t="array" aca="1" ref="N314" ca="1">IF(T314="Sócio",IF(COUNTIF(Opções!$H$2:$H$13,INDIRECT($P314))&gt;0,IF(AND(INDIRECT($Q314)&lt;O$1/24,INDIRECT($R314)&gt;N$1/24),"x",""),""),"")</f>
        <v/>
      </c>
      <c r="O314" t="str" cm="1">
        <f t="array" aca="1" ref="O314" ca="1">IF(T314="Sócio",IF(COUNTIF(Opções!$H$2:$H$13,INDIRECT($P314))&gt;0,IF(AND(INDIRECT($Q314)&lt;P$1/24,INDIRECT($R314)&gt;O$1/24),"x",""),""),"")</f>
        <v/>
      </c>
      <c r="P314" t="str">
        <f t="shared" si="57"/>
        <v>$E314</v>
      </c>
      <c r="Q314" t="str">
        <f t="shared" si="66"/>
        <v>$F314</v>
      </c>
      <c r="R314" t="str">
        <f t="shared" si="67"/>
        <v>$G314</v>
      </c>
      <c r="S314" t="str">
        <f t="shared" si="60"/>
        <v>$D314</v>
      </c>
      <c r="T314" t="str" cm="1">
        <f t="array" aca="1" ref="T314" ca="1">IFERROR(VLOOKUP(INDIRECT(S314),Equipe!A:C,3,0),"")</f>
        <v/>
      </c>
    </row>
    <row r="315" spans="10:20" x14ac:dyDescent="0.3">
      <c r="J315" s="21" t="str">
        <f t="shared" ca="1" si="65"/>
        <v/>
      </c>
      <c r="K315" t="str" cm="1">
        <f t="array" aca="1" ref="K315" ca="1">IF(T315="Sócio",IF(COUNTIF(Opções!$H$2:$H$13,INDIRECT($P315))&gt;0,IF(AND(INDIRECT($Q315)&lt;L$1/24,INDIRECT($R315)&gt;K$1/24),"x",""),""),"")</f>
        <v/>
      </c>
      <c r="L315" t="str" cm="1">
        <f t="array" aca="1" ref="L315" ca="1">IF(T315="Sócio",IF(COUNTIF(Opções!$H$2:$H$13,INDIRECT($P315))&gt;0,IF(AND(INDIRECT($Q315)&lt;M$1/24,INDIRECT($R315)&gt;L$1/24),"x",""),""),"")</f>
        <v/>
      </c>
      <c r="M315" t="str" cm="1">
        <f t="array" aca="1" ref="M315" ca="1">IF(T315="Sócio",IF(COUNTIF(Opções!$H$2:$H$13,INDIRECT($P315))&gt;0,IF(AND(INDIRECT($Q315)&lt;N$1/24,INDIRECT($R315)&gt;M$1/24),"x",""),""),"")</f>
        <v/>
      </c>
      <c r="N315" t="str" cm="1">
        <f t="array" aca="1" ref="N315" ca="1">IF(T315="Sócio",IF(COUNTIF(Opções!$H$2:$H$13,INDIRECT($P315))&gt;0,IF(AND(INDIRECT($Q315)&lt;O$1/24,INDIRECT($R315)&gt;N$1/24),"x",""),""),"")</f>
        <v/>
      </c>
      <c r="O315" t="str" cm="1">
        <f t="array" aca="1" ref="O315" ca="1">IF(T315="Sócio",IF(COUNTIF(Opções!$H$2:$H$13,INDIRECT($P315))&gt;0,IF(AND(INDIRECT($Q315)&lt;P$1/24,INDIRECT($R315)&gt;O$1/24),"x",""),""),"")</f>
        <v/>
      </c>
      <c r="P315" t="str">
        <f t="shared" si="57"/>
        <v>$E315</v>
      </c>
      <c r="Q315" t="str">
        <f t="shared" si="66"/>
        <v>$F315</v>
      </c>
      <c r="R315" t="str">
        <f t="shared" si="67"/>
        <v>$G315</v>
      </c>
      <c r="S315" t="str">
        <f t="shared" si="60"/>
        <v>$D315</v>
      </c>
      <c r="T315" t="str" cm="1">
        <f t="array" aca="1" ref="T315" ca="1">IFERROR(VLOOKUP(INDIRECT(S315),Equipe!A:C,3,0),"")</f>
        <v/>
      </c>
    </row>
    <row r="316" spans="10:20" x14ac:dyDescent="0.3">
      <c r="J316" s="21" t="str">
        <f t="shared" ca="1" si="65"/>
        <v/>
      </c>
      <c r="K316" t="str" cm="1">
        <f t="array" aca="1" ref="K316" ca="1">IF(T316="Sócio",IF(COUNTIF(Opções!$H$2:$H$13,INDIRECT($P316))&gt;0,IF(AND(INDIRECT($Q316)&lt;L$1/24,INDIRECT($R316)&gt;K$1/24),"x",""),""),"")</f>
        <v/>
      </c>
      <c r="L316" t="str" cm="1">
        <f t="array" aca="1" ref="L316" ca="1">IF(T316="Sócio",IF(COUNTIF(Opções!$H$2:$H$13,INDIRECT($P316))&gt;0,IF(AND(INDIRECT($Q316)&lt;M$1/24,INDIRECT($R316)&gt;L$1/24),"x",""),""),"")</f>
        <v/>
      </c>
      <c r="M316" t="str" cm="1">
        <f t="array" aca="1" ref="M316" ca="1">IF(T316="Sócio",IF(COUNTIF(Opções!$H$2:$H$13,INDIRECT($P316))&gt;0,IF(AND(INDIRECT($Q316)&lt;N$1/24,INDIRECT($R316)&gt;M$1/24),"x",""),""),"")</f>
        <v/>
      </c>
      <c r="N316" t="str" cm="1">
        <f t="array" aca="1" ref="N316" ca="1">IF(T316="Sócio",IF(COUNTIF(Opções!$H$2:$H$13,INDIRECT($P316))&gt;0,IF(AND(INDIRECT($Q316)&lt;O$1/24,INDIRECT($R316)&gt;N$1/24),"x",""),""),"")</f>
        <v/>
      </c>
      <c r="O316" t="str" cm="1">
        <f t="array" aca="1" ref="O316" ca="1">IF(T316="Sócio",IF(COUNTIF(Opções!$H$2:$H$13,INDIRECT($P316))&gt;0,IF(AND(INDIRECT($Q316)&lt;P$1/24,INDIRECT($R316)&gt;O$1/24),"x",""),""),"")</f>
        <v/>
      </c>
      <c r="P316" t="str">
        <f t="shared" si="57"/>
        <v>$E316</v>
      </c>
      <c r="Q316" t="str">
        <f t="shared" si="66"/>
        <v>$F316</v>
      </c>
      <c r="R316" t="str">
        <f t="shared" si="67"/>
        <v>$G316</v>
      </c>
      <c r="S316" t="str">
        <f t="shared" si="60"/>
        <v>$D316</v>
      </c>
      <c r="T316" t="str" cm="1">
        <f t="array" aca="1" ref="T316" ca="1">IFERROR(VLOOKUP(INDIRECT(S316),Equipe!A:C,3,0),"")</f>
        <v/>
      </c>
    </row>
    <row r="317" spans="10:20" x14ac:dyDescent="0.3">
      <c r="J317" s="21" t="str">
        <f t="shared" ca="1" si="65"/>
        <v/>
      </c>
      <c r="K317" t="str" cm="1">
        <f t="array" aca="1" ref="K317" ca="1">IF(T317="Sócio",IF(COUNTIF(Opções!$H$2:$H$13,INDIRECT($P317))&gt;0,IF(AND(INDIRECT($Q317)&lt;L$1/24,INDIRECT($R317)&gt;K$1/24),"x",""),""),"")</f>
        <v/>
      </c>
      <c r="L317" t="str" cm="1">
        <f t="array" aca="1" ref="L317" ca="1">IF(T317="Sócio",IF(COUNTIF(Opções!$H$2:$H$13,INDIRECT($P317))&gt;0,IF(AND(INDIRECT($Q317)&lt;M$1/24,INDIRECT($R317)&gt;L$1/24),"x",""),""),"")</f>
        <v/>
      </c>
      <c r="M317" t="str" cm="1">
        <f t="array" aca="1" ref="M317" ca="1">IF(T317="Sócio",IF(COUNTIF(Opções!$H$2:$H$13,INDIRECT($P317))&gt;0,IF(AND(INDIRECT($Q317)&lt;N$1/24,INDIRECT($R317)&gt;M$1/24),"x",""),""),"")</f>
        <v/>
      </c>
      <c r="N317" t="str" cm="1">
        <f t="array" aca="1" ref="N317" ca="1">IF(T317="Sócio",IF(COUNTIF(Opções!$H$2:$H$13,INDIRECT($P317))&gt;0,IF(AND(INDIRECT($Q317)&lt;O$1/24,INDIRECT($R317)&gt;N$1/24),"x",""),""),"")</f>
        <v/>
      </c>
      <c r="O317" t="str" cm="1">
        <f t="array" aca="1" ref="O317" ca="1">IF(T317="Sócio",IF(COUNTIF(Opções!$H$2:$H$13,INDIRECT($P317))&gt;0,IF(AND(INDIRECT($Q317)&lt;P$1/24,INDIRECT($R317)&gt;O$1/24),"x",""),""),"")</f>
        <v/>
      </c>
      <c r="P317" t="str">
        <f t="shared" si="57"/>
        <v>$E317</v>
      </c>
      <c r="Q317" t="str">
        <f t="shared" si="66"/>
        <v>$F317</v>
      </c>
      <c r="R317" t="str">
        <f t="shared" si="67"/>
        <v>$G317</v>
      </c>
      <c r="S317" t="str">
        <f t="shared" si="60"/>
        <v>$D317</v>
      </c>
      <c r="T317" t="str" cm="1">
        <f t="array" aca="1" ref="T317" ca="1">IFERROR(VLOOKUP(INDIRECT(S317),Equipe!A:C,3,0),"")</f>
        <v/>
      </c>
    </row>
    <row r="318" spans="10:20" x14ac:dyDescent="0.3">
      <c r="J318" s="21" t="str">
        <f t="shared" ca="1" si="65"/>
        <v/>
      </c>
      <c r="K318" t="str" cm="1">
        <f t="array" aca="1" ref="K318" ca="1">IF(T318="Sócio",IF(COUNTIF(Opções!$H$2:$H$13,INDIRECT($P318))&gt;0,IF(AND(INDIRECT($Q318)&lt;L$1/24,INDIRECT($R318)&gt;K$1/24),"x",""),""),"")</f>
        <v/>
      </c>
      <c r="L318" t="str" cm="1">
        <f t="array" aca="1" ref="L318" ca="1">IF(T318="Sócio",IF(COUNTIF(Opções!$H$2:$H$13,INDIRECT($P318))&gt;0,IF(AND(INDIRECT($Q318)&lt;M$1/24,INDIRECT($R318)&gt;L$1/24),"x",""),""),"")</f>
        <v/>
      </c>
      <c r="M318" t="str" cm="1">
        <f t="array" aca="1" ref="M318" ca="1">IF(T318="Sócio",IF(COUNTIF(Opções!$H$2:$H$13,INDIRECT($P318))&gt;0,IF(AND(INDIRECT($Q318)&lt;N$1/24,INDIRECT($R318)&gt;M$1/24),"x",""),""),"")</f>
        <v/>
      </c>
      <c r="N318" t="str" cm="1">
        <f t="array" aca="1" ref="N318" ca="1">IF(T318="Sócio",IF(COUNTIF(Opções!$H$2:$H$13,INDIRECT($P318))&gt;0,IF(AND(INDIRECT($Q318)&lt;O$1/24,INDIRECT($R318)&gt;N$1/24),"x",""),""),"")</f>
        <v/>
      </c>
      <c r="O318" t="str" cm="1">
        <f t="array" aca="1" ref="O318" ca="1">IF(T318="Sócio",IF(COUNTIF(Opções!$H$2:$H$13,INDIRECT($P318))&gt;0,IF(AND(INDIRECT($Q318)&lt;P$1/24,INDIRECT($R318)&gt;O$1/24),"x",""),""),"")</f>
        <v/>
      </c>
      <c r="P318" t="str">
        <f t="shared" si="57"/>
        <v>$E318</v>
      </c>
      <c r="Q318" t="str">
        <f t="shared" si="66"/>
        <v>$F318</v>
      </c>
      <c r="R318" t="str">
        <f t="shared" si="67"/>
        <v>$G318</v>
      </c>
      <c r="S318" t="str">
        <f t="shared" si="60"/>
        <v>$D318</v>
      </c>
      <c r="T318" t="str" cm="1">
        <f t="array" aca="1" ref="T318" ca="1">IFERROR(VLOOKUP(INDIRECT(S318),Equipe!A:C,3,0),"")</f>
        <v/>
      </c>
    </row>
    <row r="319" spans="10:20" x14ac:dyDescent="0.3">
      <c r="J319" s="21" t="str">
        <f t="shared" ca="1" si="65"/>
        <v/>
      </c>
      <c r="K319" t="str" cm="1">
        <f t="array" aca="1" ref="K319" ca="1">IF(T319="Sócio",IF(COUNTIF(Opções!$H$2:$H$13,INDIRECT($P319))&gt;0,IF(AND(INDIRECT($Q319)&lt;L$1/24,INDIRECT($R319)&gt;K$1/24),"x",""),""),"")</f>
        <v/>
      </c>
      <c r="L319" t="str" cm="1">
        <f t="array" aca="1" ref="L319" ca="1">IF(T319="Sócio",IF(COUNTIF(Opções!$H$2:$H$13,INDIRECT($P319))&gt;0,IF(AND(INDIRECT($Q319)&lt;M$1/24,INDIRECT($R319)&gt;L$1/24),"x",""),""),"")</f>
        <v/>
      </c>
      <c r="M319" t="str" cm="1">
        <f t="array" aca="1" ref="M319" ca="1">IF(T319="Sócio",IF(COUNTIF(Opções!$H$2:$H$13,INDIRECT($P319))&gt;0,IF(AND(INDIRECT($Q319)&lt;N$1/24,INDIRECT($R319)&gt;M$1/24),"x",""),""),"")</f>
        <v/>
      </c>
      <c r="N319" t="str" cm="1">
        <f t="array" aca="1" ref="N319" ca="1">IF(T319="Sócio",IF(COUNTIF(Opções!$H$2:$H$13,INDIRECT($P319))&gt;0,IF(AND(INDIRECT($Q319)&lt;O$1/24,INDIRECT($R319)&gt;N$1/24),"x",""),""),"")</f>
        <v/>
      </c>
      <c r="O319" t="str" cm="1">
        <f t="array" aca="1" ref="O319" ca="1">IF(T319="Sócio",IF(COUNTIF(Opções!$H$2:$H$13,INDIRECT($P319))&gt;0,IF(AND(INDIRECT($Q319)&lt;P$1/24,INDIRECT($R319)&gt;O$1/24),"x",""),""),"")</f>
        <v/>
      </c>
      <c r="P319" t="str">
        <f t="shared" si="57"/>
        <v>$E319</v>
      </c>
      <c r="Q319" t="str">
        <f t="shared" si="66"/>
        <v>$F319</v>
      </c>
      <c r="R319" t="str">
        <f t="shared" si="67"/>
        <v>$G319</v>
      </c>
      <c r="S319" t="str">
        <f t="shared" si="60"/>
        <v>$D319</v>
      </c>
      <c r="T319" t="str" cm="1">
        <f t="array" aca="1" ref="T319" ca="1">IFERROR(VLOOKUP(INDIRECT(S319),Equipe!A:C,3,0),"")</f>
        <v/>
      </c>
    </row>
    <row r="320" spans="10:20" x14ac:dyDescent="0.3">
      <c r="J320" s="21" t="str">
        <f t="shared" ca="1" si="65"/>
        <v/>
      </c>
      <c r="K320" t="str" cm="1">
        <f t="array" aca="1" ref="K320" ca="1">IF(T320="Sócio",IF(COUNTIF(Opções!$H$2:$H$13,INDIRECT($P320))&gt;0,IF(AND(INDIRECT($Q320)&lt;L$1/24,INDIRECT($R320)&gt;K$1/24),"x",""),""),"")</f>
        <v/>
      </c>
      <c r="L320" t="str" cm="1">
        <f t="array" aca="1" ref="L320" ca="1">IF(T320="Sócio",IF(COUNTIF(Opções!$H$2:$H$13,INDIRECT($P320))&gt;0,IF(AND(INDIRECT($Q320)&lt;M$1/24,INDIRECT($R320)&gt;L$1/24),"x",""),""),"")</f>
        <v/>
      </c>
      <c r="M320" t="str" cm="1">
        <f t="array" aca="1" ref="M320" ca="1">IF(T320="Sócio",IF(COUNTIF(Opções!$H$2:$H$13,INDIRECT($P320))&gt;0,IF(AND(INDIRECT($Q320)&lt;N$1/24,INDIRECT($R320)&gt;M$1/24),"x",""),""),"")</f>
        <v/>
      </c>
      <c r="N320" t="str" cm="1">
        <f t="array" aca="1" ref="N320" ca="1">IF(T320="Sócio",IF(COUNTIF(Opções!$H$2:$H$13,INDIRECT($P320))&gt;0,IF(AND(INDIRECT($Q320)&lt;O$1/24,INDIRECT($R320)&gt;N$1/24),"x",""),""),"")</f>
        <v/>
      </c>
      <c r="O320" t="str" cm="1">
        <f t="array" aca="1" ref="O320" ca="1">IF(T320="Sócio",IF(COUNTIF(Opções!$H$2:$H$13,INDIRECT($P320))&gt;0,IF(AND(INDIRECT($Q320)&lt;P$1/24,INDIRECT($R320)&gt;O$1/24),"x",""),""),"")</f>
        <v/>
      </c>
      <c r="P320" t="str">
        <f t="shared" si="57"/>
        <v>$E320</v>
      </c>
      <c r="Q320" t="str">
        <f t="shared" si="66"/>
        <v>$F320</v>
      </c>
      <c r="R320" t="str">
        <f t="shared" si="67"/>
        <v>$G320</v>
      </c>
      <c r="S320" t="str">
        <f t="shared" si="60"/>
        <v>$D320</v>
      </c>
      <c r="T320" t="str" cm="1">
        <f t="array" aca="1" ref="T320" ca="1">IFERROR(VLOOKUP(INDIRECT(S320),Equipe!A:C,3,0),"")</f>
        <v/>
      </c>
    </row>
    <row r="321" spans="10:20" x14ac:dyDescent="0.3">
      <c r="J321" s="21" t="str">
        <f t="shared" ca="1" si="65"/>
        <v/>
      </c>
      <c r="K321" t="str" cm="1">
        <f t="array" aca="1" ref="K321" ca="1">IF(T321="Sócio",IF(COUNTIF(Opções!$H$2:$H$13,INDIRECT($P321))&gt;0,IF(AND(INDIRECT($Q321)&lt;L$1/24,INDIRECT($R321)&gt;K$1/24),"x",""),""),"")</f>
        <v/>
      </c>
      <c r="L321" t="str" cm="1">
        <f t="array" aca="1" ref="L321" ca="1">IF(T321="Sócio",IF(COUNTIF(Opções!$H$2:$H$13,INDIRECT($P321))&gt;0,IF(AND(INDIRECT($Q321)&lt;M$1/24,INDIRECT($R321)&gt;L$1/24),"x",""),""),"")</f>
        <v/>
      </c>
      <c r="M321" t="str" cm="1">
        <f t="array" aca="1" ref="M321" ca="1">IF(T321="Sócio",IF(COUNTIF(Opções!$H$2:$H$13,INDIRECT($P321))&gt;0,IF(AND(INDIRECT($Q321)&lt;N$1/24,INDIRECT($R321)&gt;M$1/24),"x",""),""),"")</f>
        <v/>
      </c>
      <c r="N321" t="str" cm="1">
        <f t="array" aca="1" ref="N321" ca="1">IF(T321="Sócio",IF(COUNTIF(Opções!$H$2:$H$13,INDIRECT($P321))&gt;0,IF(AND(INDIRECT($Q321)&lt;O$1/24,INDIRECT($R321)&gt;N$1/24),"x",""),""),"")</f>
        <v/>
      </c>
      <c r="O321" t="str" cm="1">
        <f t="array" aca="1" ref="O321" ca="1">IF(T321="Sócio",IF(COUNTIF(Opções!$H$2:$H$13,INDIRECT($P321))&gt;0,IF(AND(INDIRECT($Q321)&lt;P$1/24,INDIRECT($R321)&gt;O$1/24),"x",""),""),"")</f>
        <v/>
      </c>
      <c r="P321" t="str">
        <f t="shared" si="57"/>
        <v>$E321</v>
      </c>
      <c r="Q321" t="str">
        <f t="shared" si="66"/>
        <v>$F321</v>
      </c>
      <c r="R321" t="str">
        <f t="shared" si="67"/>
        <v>$G321</v>
      </c>
      <c r="S321" t="str">
        <f t="shared" si="60"/>
        <v>$D321</v>
      </c>
      <c r="T321" t="str" cm="1">
        <f t="array" aca="1" ref="T321" ca="1">IFERROR(VLOOKUP(INDIRECT(S321),Equipe!A:C,3,0),"")</f>
        <v/>
      </c>
    </row>
    <row r="322" spans="10:20" x14ac:dyDescent="0.3">
      <c r="J322" s="21" t="str">
        <f t="shared" ca="1" si="65"/>
        <v/>
      </c>
      <c r="K322" t="str" cm="1">
        <f t="array" aca="1" ref="K322" ca="1">IF(T322="Sócio",IF(COUNTIF(Opções!$H$2:$H$13,INDIRECT($P322))&gt;0,IF(AND(INDIRECT($Q322)&lt;L$1/24,INDIRECT($R322)&gt;K$1/24),"x",""),""),"")</f>
        <v/>
      </c>
      <c r="L322" t="str" cm="1">
        <f t="array" aca="1" ref="L322" ca="1">IF(T322="Sócio",IF(COUNTIF(Opções!$H$2:$H$13,INDIRECT($P322))&gt;0,IF(AND(INDIRECT($Q322)&lt;M$1/24,INDIRECT($R322)&gt;L$1/24),"x",""),""),"")</f>
        <v/>
      </c>
      <c r="M322" t="str" cm="1">
        <f t="array" aca="1" ref="M322" ca="1">IF(T322="Sócio",IF(COUNTIF(Opções!$H$2:$H$13,INDIRECT($P322))&gt;0,IF(AND(INDIRECT($Q322)&lt;N$1/24,INDIRECT($R322)&gt;M$1/24),"x",""),""),"")</f>
        <v/>
      </c>
      <c r="N322" t="str" cm="1">
        <f t="array" aca="1" ref="N322" ca="1">IF(T322="Sócio",IF(COUNTIF(Opções!$H$2:$H$13,INDIRECT($P322))&gt;0,IF(AND(INDIRECT($Q322)&lt;O$1/24,INDIRECT($R322)&gt;N$1/24),"x",""),""),"")</f>
        <v/>
      </c>
      <c r="O322" t="str" cm="1">
        <f t="array" aca="1" ref="O322" ca="1">IF(T322="Sócio",IF(COUNTIF(Opções!$H$2:$H$13,INDIRECT($P322))&gt;0,IF(AND(INDIRECT($Q322)&lt;P$1/24,INDIRECT($R322)&gt;O$1/24),"x",""),""),"")</f>
        <v/>
      </c>
      <c r="P322" t="str">
        <f t="shared" si="57"/>
        <v>$E322</v>
      </c>
      <c r="Q322" t="str">
        <f t="shared" si="66"/>
        <v>$F322</v>
      </c>
      <c r="R322" t="str">
        <f t="shared" si="67"/>
        <v>$G322</v>
      </c>
      <c r="S322" t="str">
        <f t="shared" si="60"/>
        <v>$D322</v>
      </c>
      <c r="T322" t="str" cm="1">
        <f t="array" aca="1" ref="T322" ca="1">IFERROR(VLOOKUP(INDIRECT(S322),Equipe!A:C,3,0),"")</f>
        <v/>
      </c>
    </row>
    <row r="323" spans="10:20" x14ac:dyDescent="0.3">
      <c r="J323" s="21" t="str">
        <f t="shared" ca="1" si="65"/>
        <v/>
      </c>
      <c r="K323" t="str" cm="1">
        <f t="array" aca="1" ref="K323" ca="1">IF(T323="Sócio",IF(COUNTIF(Opções!$H$2:$H$13,INDIRECT($P323))&gt;0,IF(AND(INDIRECT($Q323)&lt;L$1/24,INDIRECT($R323)&gt;K$1/24),"x",""),""),"")</f>
        <v/>
      </c>
      <c r="L323" t="str" cm="1">
        <f t="array" aca="1" ref="L323" ca="1">IF(T323="Sócio",IF(COUNTIF(Opções!$H$2:$H$13,INDIRECT($P323))&gt;0,IF(AND(INDIRECT($Q323)&lt;M$1/24,INDIRECT($R323)&gt;L$1/24),"x",""),""),"")</f>
        <v/>
      </c>
      <c r="M323" t="str" cm="1">
        <f t="array" aca="1" ref="M323" ca="1">IF(T323="Sócio",IF(COUNTIF(Opções!$H$2:$H$13,INDIRECT($P323))&gt;0,IF(AND(INDIRECT($Q323)&lt;N$1/24,INDIRECT($R323)&gt;M$1/24),"x",""),""),"")</f>
        <v/>
      </c>
      <c r="N323" t="str" cm="1">
        <f t="array" aca="1" ref="N323" ca="1">IF(T323="Sócio",IF(COUNTIF(Opções!$H$2:$H$13,INDIRECT($P323))&gt;0,IF(AND(INDIRECT($Q323)&lt;O$1/24,INDIRECT($R323)&gt;N$1/24),"x",""),""),"")</f>
        <v/>
      </c>
      <c r="O323" t="str" cm="1">
        <f t="array" aca="1" ref="O323" ca="1">IF(T323="Sócio",IF(COUNTIF(Opções!$H$2:$H$13,INDIRECT($P323))&gt;0,IF(AND(INDIRECT($Q323)&lt;P$1/24,INDIRECT($R323)&gt;O$1/24),"x",""),""),"")</f>
        <v/>
      </c>
      <c r="P323" t="str">
        <f t="shared" si="57"/>
        <v>$E323</v>
      </c>
      <c r="Q323" t="str">
        <f t="shared" si="66"/>
        <v>$F323</v>
      </c>
      <c r="R323" t="str">
        <f t="shared" si="67"/>
        <v>$G323</v>
      </c>
      <c r="S323" t="str">
        <f t="shared" si="60"/>
        <v>$D323</v>
      </c>
      <c r="T323" t="str" cm="1">
        <f t="array" aca="1" ref="T323" ca="1">IFERROR(VLOOKUP(INDIRECT(S323),Equipe!A:C,3,0),"")</f>
        <v/>
      </c>
    </row>
    <row r="324" spans="10:20" x14ac:dyDescent="0.3">
      <c r="J324" s="21" t="str">
        <f t="shared" ca="1" si="65"/>
        <v/>
      </c>
      <c r="K324" t="str" cm="1">
        <f t="array" aca="1" ref="K324" ca="1">IF(T324="Sócio",IF(COUNTIF(Opções!$H$2:$H$13,INDIRECT($P324))&gt;0,IF(AND(INDIRECT($Q324)&lt;L$1/24,INDIRECT($R324)&gt;K$1/24),"x",""),""),"")</f>
        <v/>
      </c>
      <c r="L324" t="str" cm="1">
        <f t="array" aca="1" ref="L324" ca="1">IF(T324="Sócio",IF(COUNTIF(Opções!$H$2:$H$13,INDIRECT($P324))&gt;0,IF(AND(INDIRECT($Q324)&lt;M$1/24,INDIRECT($R324)&gt;L$1/24),"x",""),""),"")</f>
        <v/>
      </c>
      <c r="M324" t="str" cm="1">
        <f t="array" aca="1" ref="M324" ca="1">IF(T324="Sócio",IF(COUNTIF(Opções!$H$2:$H$13,INDIRECT($P324))&gt;0,IF(AND(INDIRECT($Q324)&lt;N$1/24,INDIRECT($R324)&gt;M$1/24),"x",""),""),"")</f>
        <v/>
      </c>
      <c r="N324" t="str" cm="1">
        <f t="array" aca="1" ref="N324" ca="1">IF(T324="Sócio",IF(COUNTIF(Opções!$H$2:$H$13,INDIRECT($P324))&gt;0,IF(AND(INDIRECT($Q324)&lt;O$1/24,INDIRECT($R324)&gt;N$1/24),"x",""),""),"")</f>
        <v/>
      </c>
      <c r="O324" t="str" cm="1">
        <f t="array" aca="1" ref="O324" ca="1">IF(T324="Sócio",IF(COUNTIF(Opções!$H$2:$H$13,INDIRECT($P324))&gt;0,IF(AND(INDIRECT($Q324)&lt;P$1/24,INDIRECT($R324)&gt;O$1/24),"x",""),""),"")</f>
        <v/>
      </c>
      <c r="P324" t="str">
        <f t="shared" si="57"/>
        <v>$E324</v>
      </c>
      <c r="Q324" t="str">
        <f t="shared" si="66"/>
        <v>$F324</v>
      </c>
      <c r="R324" t="str">
        <f t="shared" si="67"/>
        <v>$G324</v>
      </c>
      <c r="S324" t="str">
        <f t="shared" si="60"/>
        <v>$D324</v>
      </c>
      <c r="T324" t="str" cm="1">
        <f t="array" aca="1" ref="T324" ca="1">IFERROR(VLOOKUP(INDIRECT(S324),Equipe!A:C,3,0),"")</f>
        <v/>
      </c>
    </row>
    <row r="325" spans="10:20" x14ac:dyDescent="0.3">
      <c r="J325" s="21" t="str">
        <f t="shared" ca="1" si="65"/>
        <v/>
      </c>
      <c r="K325" t="str" cm="1">
        <f t="array" aca="1" ref="K325" ca="1">IF(T325="Sócio",IF(COUNTIF(Opções!$H$2:$H$13,INDIRECT($P325))&gt;0,IF(AND(INDIRECT($Q325)&lt;L$1/24,INDIRECT($R325)&gt;K$1/24),"x",""),""),"")</f>
        <v/>
      </c>
      <c r="L325" t="str" cm="1">
        <f t="array" aca="1" ref="L325" ca="1">IF(T325="Sócio",IF(COUNTIF(Opções!$H$2:$H$13,INDIRECT($P325))&gt;0,IF(AND(INDIRECT($Q325)&lt;M$1/24,INDIRECT($R325)&gt;L$1/24),"x",""),""),"")</f>
        <v/>
      </c>
      <c r="M325" t="str" cm="1">
        <f t="array" aca="1" ref="M325" ca="1">IF(T325="Sócio",IF(COUNTIF(Opções!$H$2:$H$13,INDIRECT($P325))&gt;0,IF(AND(INDIRECT($Q325)&lt;N$1/24,INDIRECT($R325)&gt;M$1/24),"x",""),""),"")</f>
        <v/>
      </c>
      <c r="N325" t="str" cm="1">
        <f t="array" aca="1" ref="N325" ca="1">IF(T325="Sócio",IF(COUNTIF(Opções!$H$2:$H$13,INDIRECT($P325))&gt;0,IF(AND(INDIRECT($Q325)&lt;O$1/24,INDIRECT($R325)&gt;N$1/24),"x",""),""),"")</f>
        <v/>
      </c>
      <c r="O325" t="str" cm="1">
        <f t="array" aca="1" ref="O325" ca="1">IF(T325="Sócio",IF(COUNTIF(Opções!$H$2:$H$13,INDIRECT($P325))&gt;0,IF(AND(INDIRECT($Q325)&lt;P$1/24,INDIRECT($R325)&gt;O$1/24),"x",""),""),"")</f>
        <v/>
      </c>
      <c r="P325" t="str">
        <f t="shared" si="57"/>
        <v>$E325</v>
      </c>
      <c r="Q325" t="str">
        <f t="shared" si="66"/>
        <v>$F325</v>
      </c>
      <c r="R325" t="str">
        <f t="shared" si="67"/>
        <v>$G325</v>
      </c>
      <c r="S325" t="str">
        <f t="shared" si="60"/>
        <v>$D325</v>
      </c>
      <c r="T325" t="str" cm="1">
        <f t="array" aca="1" ref="T325" ca="1">IFERROR(VLOOKUP(INDIRECT(S325),Equipe!A:C,3,0),"")</f>
        <v/>
      </c>
    </row>
    <row r="326" spans="10:20" x14ac:dyDescent="0.3">
      <c r="J326" s="21" t="str">
        <f t="shared" ca="1" si="65"/>
        <v/>
      </c>
      <c r="K326" t="str" cm="1">
        <f t="array" aca="1" ref="K326" ca="1">IF(T326="Sócio",IF(COUNTIF(Opções!$H$2:$H$13,INDIRECT($P326))&gt;0,IF(AND(INDIRECT($Q326)&lt;L$1/24,INDIRECT($R326)&gt;K$1/24),"x",""),""),"")</f>
        <v/>
      </c>
      <c r="L326" t="str" cm="1">
        <f t="array" aca="1" ref="L326" ca="1">IF(T326="Sócio",IF(COUNTIF(Opções!$H$2:$H$13,INDIRECT($P326))&gt;0,IF(AND(INDIRECT($Q326)&lt;M$1/24,INDIRECT($R326)&gt;L$1/24),"x",""),""),"")</f>
        <v/>
      </c>
      <c r="M326" t="str" cm="1">
        <f t="array" aca="1" ref="M326" ca="1">IF(T326="Sócio",IF(COUNTIF(Opções!$H$2:$H$13,INDIRECT($P326))&gt;0,IF(AND(INDIRECT($Q326)&lt;N$1/24,INDIRECT($R326)&gt;M$1/24),"x",""),""),"")</f>
        <v/>
      </c>
      <c r="N326" t="str" cm="1">
        <f t="array" aca="1" ref="N326" ca="1">IF(T326="Sócio",IF(COUNTIF(Opções!$H$2:$H$13,INDIRECT($P326))&gt;0,IF(AND(INDIRECT($Q326)&lt;O$1/24,INDIRECT($R326)&gt;N$1/24),"x",""),""),"")</f>
        <v/>
      </c>
      <c r="O326" t="str" cm="1">
        <f t="array" aca="1" ref="O326" ca="1">IF(T326="Sócio",IF(COUNTIF(Opções!$H$2:$H$13,INDIRECT($P326))&gt;0,IF(AND(INDIRECT($Q326)&lt;P$1/24,INDIRECT($R326)&gt;O$1/24),"x",""),""),"")</f>
        <v/>
      </c>
      <c r="P326" t="str">
        <f t="shared" si="57"/>
        <v>$E326</v>
      </c>
      <c r="Q326" t="str">
        <f t="shared" si="66"/>
        <v>$F326</v>
      </c>
      <c r="R326" t="str">
        <f t="shared" si="67"/>
        <v>$G326</v>
      </c>
      <c r="S326" t="str">
        <f t="shared" si="60"/>
        <v>$D326</v>
      </c>
      <c r="T326" t="str" cm="1">
        <f t="array" aca="1" ref="T326" ca="1">IFERROR(VLOOKUP(INDIRECT(S326),Equipe!A:C,3,0),"")</f>
        <v/>
      </c>
    </row>
    <row r="327" spans="10:20" x14ac:dyDescent="0.3">
      <c r="J327" s="21" t="str">
        <f t="shared" ca="1" si="65"/>
        <v/>
      </c>
      <c r="K327" t="str" cm="1">
        <f t="array" aca="1" ref="K327" ca="1">IF(T327="Sócio",IF(COUNTIF(Opções!$H$2:$H$13,INDIRECT($P327))&gt;0,IF(AND(INDIRECT($Q327)&lt;L$1/24,INDIRECT($R327)&gt;K$1/24),"x",""),""),"")</f>
        <v/>
      </c>
      <c r="L327" t="str" cm="1">
        <f t="array" aca="1" ref="L327" ca="1">IF(T327="Sócio",IF(COUNTIF(Opções!$H$2:$H$13,INDIRECT($P327))&gt;0,IF(AND(INDIRECT($Q327)&lt;M$1/24,INDIRECT($R327)&gt;L$1/24),"x",""),""),"")</f>
        <v/>
      </c>
      <c r="M327" t="str" cm="1">
        <f t="array" aca="1" ref="M327" ca="1">IF(T327="Sócio",IF(COUNTIF(Opções!$H$2:$H$13,INDIRECT($P327))&gt;0,IF(AND(INDIRECT($Q327)&lt;N$1/24,INDIRECT($R327)&gt;M$1/24),"x",""),""),"")</f>
        <v/>
      </c>
      <c r="N327" t="str" cm="1">
        <f t="array" aca="1" ref="N327" ca="1">IF(T327="Sócio",IF(COUNTIF(Opções!$H$2:$H$13,INDIRECT($P327))&gt;0,IF(AND(INDIRECT($Q327)&lt;O$1/24,INDIRECT($R327)&gt;N$1/24),"x",""),""),"")</f>
        <v/>
      </c>
      <c r="O327" t="str" cm="1">
        <f t="array" aca="1" ref="O327" ca="1">IF(T327="Sócio",IF(COUNTIF(Opções!$H$2:$H$13,INDIRECT($P327))&gt;0,IF(AND(INDIRECT($Q327)&lt;P$1/24,INDIRECT($R327)&gt;O$1/24),"x",""),""),"")</f>
        <v/>
      </c>
      <c r="P327" t="str">
        <f t="shared" si="57"/>
        <v>$E327</v>
      </c>
      <c r="Q327" t="str">
        <f t="shared" si="66"/>
        <v>$F327</v>
      </c>
      <c r="R327" t="str">
        <f t="shared" si="67"/>
        <v>$G327</v>
      </c>
      <c r="S327" t="str">
        <f t="shared" si="60"/>
        <v>$D327</v>
      </c>
      <c r="T327" t="str" cm="1">
        <f t="array" aca="1" ref="T327" ca="1">IFERROR(VLOOKUP(INDIRECT(S327),Equipe!A:C,3,0),"")</f>
        <v/>
      </c>
    </row>
    <row r="328" spans="10:20" x14ac:dyDescent="0.3">
      <c r="J328" s="21" t="str">
        <f t="shared" ca="1" si="65"/>
        <v/>
      </c>
      <c r="K328" t="str" cm="1">
        <f t="array" aca="1" ref="K328" ca="1">IF(T328="Sócio",IF(COUNTIF(Opções!$H$2:$H$13,INDIRECT($P328))&gt;0,IF(AND(INDIRECT($Q328)&lt;L$1/24,INDIRECT($R328)&gt;K$1/24),"x",""),""),"")</f>
        <v/>
      </c>
      <c r="L328" t="str" cm="1">
        <f t="array" aca="1" ref="L328" ca="1">IF(T328="Sócio",IF(COUNTIF(Opções!$H$2:$H$13,INDIRECT($P328))&gt;0,IF(AND(INDIRECT($Q328)&lt;M$1/24,INDIRECT($R328)&gt;L$1/24),"x",""),""),"")</f>
        <v/>
      </c>
      <c r="M328" t="str" cm="1">
        <f t="array" aca="1" ref="M328" ca="1">IF(T328="Sócio",IF(COUNTIF(Opções!$H$2:$H$13,INDIRECT($P328))&gt;0,IF(AND(INDIRECT($Q328)&lt;N$1/24,INDIRECT($R328)&gt;M$1/24),"x",""),""),"")</f>
        <v/>
      </c>
      <c r="N328" t="str" cm="1">
        <f t="array" aca="1" ref="N328" ca="1">IF(T328="Sócio",IF(COUNTIF(Opções!$H$2:$H$13,INDIRECT($P328))&gt;0,IF(AND(INDIRECT($Q328)&lt;O$1/24,INDIRECT($R328)&gt;N$1/24),"x",""),""),"")</f>
        <v/>
      </c>
      <c r="O328" t="str" cm="1">
        <f t="array" aca="1" ref="O328" ca="1">IF(T328="Sócio",IF(COUNTIF(Opções!$H$2:$H$13,INDIRECT($P328))&gt;0,IF(AND(INDIRECT($Q328)&lt;P$1/24,INDIRECT($R328)&gt;O$1/24),"x",""),""),"")</f>
        <v/>
      </c>
      <c r="P328" t="str">
        <f t="shared" si="57"/>
        <v>$E328</v>
      </c>
      <c r="Q328" t="str">
        <f t="shared" si="66"/>
        <v>$F328</v>
      </c>
      <c r="R328" t="str">
        <f t="shared" si="67"/>
        <v>$G328</v>
      </c>
      <c r="S328" t="str">
        <f t="shared" si="60"/>
        <v>$D328</v>
      </c>
      <c r="T328" t="str" cm="1">
        <f t="array" aca="1" ref="T328" ca="1">IFERROR(VLOOKUP(INDIRECT(S328),Equipe!A:C,3,0),"")</f>
        <v/>
      </c>
    </row>
    <row r="329" spans="10:20" x14ac:dyDescent="0.3">
      <c r="J329" s="21" t="str">
        <f t="shared" ca="1" si="65"/>
        <v/>
      </c>
      <c r="K329" t="str" cm="1">
        <f t="array" aca="1" ref="K329" ca="1">IF(T329="Sócio",IF(COUNTIF(Opções!$H$2:$H$13,INDIRECT($P329))&gt;0,IF(AND(INDIRECT($Q329)&lt;L$1/24,INDIRECT($R329)&gt;K$1/24),"x",""),""),"")</f>
        <v/>
      </c>
      <c r="L329" t="str" cm="1">
        <f t="array" aca="1" ref="L329" ca="1">IF(T329="Sócio",IF(COUNTIF(Opções!$H$2:$H$13,INDIRECT($P329))&gt;0,IF(AND(INDIRECT($Q329)&lt;M$1/24,INDIRECT($R329)&gt;L$1/24),"x",""),""),"")</f>
        <v/>
      </c>
      <c r="M329" t="str" cm="1">
        <f t="array" aca="1" ref="M329" ca="1">IF(T329="Sócio",IF(COUNTIF(Opções!$H$2:$H$13,INDIRECT($P329))&gt;0,IF(AND(INDIRECT($Q329)&lt;N$1/24,INDIRECT($R329)&gt;M$1/24),"x",""),""),"")</f>
        <v/>
      </c>
      <c r="N329" t="str" cm="1">
        <f t="array" aca="1" ref="N329" ca="1">IF(T329="Sócio",IF(COUNTIF(Opções!$H$2:$H$13,INDIRECT($P329))&gt;0,IF(AND(INDIRECT($Q329)&lt;O$1/24,INDIRECT($R329)&gt;N$1/24),"x",""),""),"")</f>
        <v/>
      </c>
      <c r="O329" t="str" cm="1">
        <f t="array" aca="1" ref="O329" ca="1">IF(T329="Sócio",IF(COUNTIF(Opções!$H$2:$H$13,INDIRECT($P329))&gt;0,IF(AND(INDIRECT($Q329)&lt;P$1/24,INDIRECT($R329)&gt;O$1/24),"x",""),""),"")</f>
        <v/>
      </c>
      <c r="P329" t="str">
        <f t="shared" si="57"/>
        <v>$E329</v>
      </c>
      <c r="Q329" t="str">
        <f t="shared" si="66"/>
        <v>$F329</v>
      </c>
      <c r="R329" t="str">
        <f t="shared" si="67"/>
        <v>$G329</v>
      </c>
      <c r="S329" t="str">
        <f t="shared" si="60"/>
        <v>$D329</v>
      </c>
      <c r="T329" t="str" cm="1">
        <f t="array" aca="1" ref="T329" ca="1">IFERROR(VLOOKUP(INDIRECT(S329),Equipe!A:C,3,0),"")</f>
        <v/>
      </c>
    </row>
    <row r="330" spans="10:20" x14ac:dyDescent="0.3">
      <c r="J330" s="21" t="str">
        <f t="shared" ca="1" si="65"/>
        <v/>
      </c>
      <c r="K330" t="str" cm="1">
        <f t="array" aca="1" ref="K330" ca="1">IF(T330="Sócio",IF(COUNTIF(Opções!$H$2:$H$13,INDIRECT($P330))&gt;0,IF(AND(INDIRECT($Q330)&lt;L$1/24,INDIRECT($R330)&gt;K$1/24),"x",""),""),"")</f>
        <v/>
      </c>
      <c r="L330" t="str" cm="1">
        <f t="array" aca="1" ref="L330" ca="1">IF(T330="Sócio",IF(COUNTIF(Opções!$H$2:$H$13,INDIRECT($P330))&gt;0,IF(AND(INDIRECT($Q330)&lt;M$1/24,INDIRECT($R330)&gt;L$1/24),"x",""),""),"")</f>
        <v/>
      </c>
      <c r="M330" t="str" cm="1">
        <f t="array" aca="1" ref="M330" ca="1">IF(T330="Sócio",IF(COUNTIF(Opções!$H$2:$H$13,INDIRECT($P330))&gt;0,IF(AND(INDIRECT($Q330)&lt;N$1/24,INDIRECT($R330)&gt;M$1/24),"x",""),""),"")</f>
        <v/>
      </c>
      <c r="N330" t="str" cm="1">
        <f t="array" aca="1" ref="N330" ca="1">IF(T330="Sócio",IF(COUNTIF(Opções!$H$2:$H$13,INDIRECT($P330))&gt;0,IF(AND(INDIRECT($Q330)&lt;O$1/24,INDIRECT($R330)&gt;N$1/24),"x",""),""),"")</f>
        <v/>
      </c>
      <c r="O330" t="str" cm="1">
        <f t="array" aca="1" ref="O330" ca="1">IF(T330="Sócio",IF(COUNTIF(Opções!$H$2:$H$13,INDIRECT($P330))&gt;0,IF(AND(INDIRECT($Q330)&lt;P$1/24,INDIRECT($R330)&gt;O$1/24),"x",""),""),"")</f>
        <v/>
      </c>
      <c r="P330" t="str">
        <f t="shared" si="57"/>
        <v>$E330</v>
      </c>
      <c r="Q330" t="str">
        <f t="shared" si="66"/>
        <v>$F330</v>
      </c>
      <c r="R330" t="str">
        <f t="shared" si="67"/>
        <v>$G330</v>
      </c>
      <c r="S330" t="str">
        <f t="shared" si="60"/>
        <v>$D330</v>
      </c>
      <c r="T330" t="str" cm="1">
        <f t="array" aca="1" ref="T330" ca="1">IFERROR(VLOOKUP(INDIRECT(S330),Equipe!A:C,3,0),"")</f>
        <v/>
      </c>
    </row>
    <row r="331" spans="10:20" x14ac:dyDescent="0.3">
      <c r="J331" s="21" t="str">
        <f t="shared" ca="1" si="65"/>
        <v/>
      </c>
      <c r="K331" t="str" cm="1">
        <f t="array" aca="1" ref="K331" ca="1">IF(T331="Sócio",IF(COUNTIF(Opções!$H$2:$H$13,INDIRECT($P331))&gt;0,IF(AND(INDIRECT($Q331)&lt;L$1/24,INDIRECT($R331)&gt;K$1/24),"x",""),""),"")</f>
        <v/>
      </c>
      <c r="L331" t="str" cm="1">
        <f t="array" aca="1" ref="L331" ca="1">IF(T331="Sócio",IF(COUNTIF(Opções!$H$2:$H$13,INDIRECT($P331))&gt;0,IF(AND(INDIRECT($Q331)&lt;M$1/24,INDIRECT($R331)&gt;L$1/24),"x",""),""),"")</f>
        <v/>
      </c>
      <c r="M331" t="str" cm="1">
        <f t="array" aca="1" ref="M331" ca="1">IF(T331="Sócio",IF(COUNTIF(Opções!$H$2:$H$13,INDIRECT($P331))&gt;0,IF(AND(INDIRECT($Q331)&lt;N$1/24,INDIRECT($R331)&gt;M$1/24),"x",""),""),"")</f>
        <v/>
      </c>
      <c r="N331" t="str" cm="1">
        <f t="array" aca="1" ref="N331" ca="1">IF(T331="Sócio",IF(COUNTIF(Opções!$H$2:$H$13,INDIRECT($P331))&gt;0,IF(AND(INDIRECT($Q331)&lt;O$1/24,INDIRECT($R331)&gt;N$1/24),"x",""),""),"")</f>
        <v/>
      </c>
      <c r="O331" t="str" cm="1">
        <f t="array" aca="1" ref="O331" ca="1">IF(T331="Sócio",IF(COUNTIF(Opções!$H$2:$H$13,INDIRECT($P331))&gt;0,IF(AND(INDIRECT($Q331)&lt;P$1/24,INDIRECT($R331)&gt;O$1/24),"x",""),""),"")</f>
        <v/>
      </c>
      <c r="P331" t="str">
        <f t="shared" si="57"/>
        <v>$E331</v>
      </c>
      <c r="Q331" t="str">
        <f t="shared" si="66"/>
        <v>$F331</v>
      </c>
      <c r="R331" t="str">
        <f t="shared" si="67"/>
        <v>$G331</v>
      </c>
      <c r="S331" t="str">
        <f t="shared" si="60"/>
        <v>$D331</v>
      </c>
      <c r="T331" t="str" cm="1">
        <f t="array" aca="1" ref="T331" ca="1">IFERROR(VLOOKUP(INDIRECT(S331),Equipe!A:C,3,0),"")</f>
        <v/>
      </c>
    </row>
    <row r="332" spans="10:20" x14ac:dyDescent="0.3">
      <c r="J332" s="21" t="str">
        <f t="shared" ca="1" si="65"/>
        <v/>
      </c>
      <c r="K332" t="str" cm="1">
        <f t="array" aca="1" ref="K332" ca="1">IF(T332="Sócio",IF(COUNTIF(Opções!$H$2:$H$13,INDIRECT($P332))&gt;0,IF(AND(INDIRECT($Q332)&lt;L$1/24,INDIRECT($R332)&gt;K$1/24),"x",""),""),"")</f>
        <v/>
      </c>
      <c r="L332" t="str" cm="1">
        <f t="array" aca="1" ref="L332" ca="1">IF(T332="Sócio",IF(COUNTIF(Opções!$H$2:$H$13,INDIRECT($P332))&gt;0,IF(AND(INDIRECT($Q332)&lt;M$1/24,INDIRECT($R332)&gt;L$1/24),"x",""),""),"")</f>
        <v/>
      </c>
      <c r="M332" t="str" cm="1">
        <f t="array" aca="1" ref="M332" ca="1">IF(T332="Sócio",IF(COUNTIF(Opções!$H$2:$H$13,INDIRECT($P332))&gt;0,IF(AND(INDIRECT($Q332)&lt;N$1/24,INDIRECT($R332)&gt;M$1/24),"x",""),""),"")</f>
        <v/>
      </c>
      <c r="N332" t="str" cm="1">
        <f t="array" aca="1" ref="N332" ca="1">IF(T332="Sócio",IF(COUNTIF(Opções!$H$2:$H$13,INDIRECT($P332))&gt;0,IF(AND(INDIRECT($Q332)&lt;O$1/24,INDIRECT($R332)&gt;N$1/24),"x",""),""),"")</f>
        <v/>
      </c>
      <c r="O332" t="str" cm="1">
        <f t="array" aca="1" ref="O332" ca="1">IF(T332="Sócio",IF(COUNTIF(Opções!$H$2:$H$13,INDIRECT($P332))&gt;0,IF(AND(INDIRECT($Q332)&lt;P$1/24,INDIRECT($R332)&gt;O$1/24),"x",""),""),"")</f>
        <v/>
      </c>
      <c r="P332" t="str">
        <f t="shared" si="57"/>
        <v>$E332</v>
      </c>
      <c r="Q332" t="str">
        <f t="shared" si="66"/>
        <v>$F332</v>
      </c>
      <c r="R332" t="str">
        <f t="shared" si="67"/>
        <v>$G332</v>
      </c>
      <c r="S332" t="str">
        <f t="shared" si="60"/>
        <v>$D332</v>
      </c>
      <c r="T332" t="str" cm="1">
        <f t="array" aca="1" ref="T332" ca="1">IFERROR(VLOOKUP(INDIRECT(S332),Equipe!A:C,3,0),"")</f>
        <v/>
      </c>
    </row>
    <row r="333" spans="10:20" x14ac:dyDescent="0.3">
      <c r="J333" s="21" t="str">
        <f t="shared" ca="1" si="65"/>
        <v/>
      </c>
      <c r="K333" t="str" cm="1">
        <f t="array" aca="1" ref="K333" ca="1">IF(T333="Sócio",IF(COUNTIF(Opções!$H$2:$H$13,INDIRECT($P333))&gt;0,IF(AND(INDIRECT($Q333)&lt;L$1/24,INDIRECT($R333)&gt;K$1/24),"x",""),""),"")</f>
        <v/>
      </c>
      <c r="L333" t="str" cm="1">
        <f t="array" aca="1" ref="L333" ca="1">IF(T333="Sócio",IF(COUNTIF(Opções!$H$2:$H$13,INDIRECT($P333))&gt;0,IF(AND(INDIRECT($Q333)&lt;M$1/24,INDIRECT($R333)&gt;L$1/24),"x",""),""),"")</f>
        <v/>
      </c>
      <c r="M333" t="str" cm="1">
        <f t="array" aca="1" ref="M333" ca="1">IF(T333="Sócio",IF(COUNTIF(Opções!$H$2:$H$13,INDIRECT($P333))&gt;0,IF(AND(INDIRECT($Q333)&lt;N$1/24,INDIRECT($R333)&gt;M$1/24),"x",""),""),"")</f>
        <v/>
      </c>
      <c r="N333" t="str" cm="1">
        <f t="array" aca="1" ref="N333" ca="1">IF(T333="Sócio",IF(COUNTIF(Opções!$H$2:$H$13,INDIRECT($P333))&gt;0,IF(AND(INDIRECT($Q333)&lt;O$1/24,INDIRECT($R333)&gt;N$1/24),"x",""),""),"")</f>
        <v/>
      </c>
      <c r="O333" t="str" cm="1">
        <f t="array" aca="1" ref="O333" ca="1">IF(T333="Sócio",IF(COUNTIF(Opções!$H$2:$H$13,INDIRECT($P333))&gt;0,IF(AND(INDIRECT($Q333)&lt;P$1/24,INDIRECT($R333)&gt;O$1/24),"x",""),""),"")</f>
        <v/>
      </c>
      <c r="P333" t="str">
        <f t="shared" si="57"/>
        <v>$E333</v>
      </c>
      <c r="Q333" t="str">
        <f t="shared" si="66"/>
        <v>$F333</v>
      </c>
      <c r="R333" t="str">
        <f t="shared" si="67"/>
        <v>$G333</v>
      </c>
      <c r="S333" t="str">
        <f t="shared" si="60"/>
        <v>$D333</v>
      </c>
      <c r="T333" t="str" cm="1">
        <f t="array" aca="1" ref="T333" ca="1">IFERROR(VLOOKUP(INDIRECT(S333),Equipe!A:C,3,0),"")</f>
        <v/>
      </c>
    </row>
    <row r="334" spans="10:20" x14ac:dyDescent="0.3">
      <c r="J334" s="21" t="str">
        <f t="shared" ca="1" si="65"/>
        <v/>
      </c>
      <c r="K334" t="str" cm="1">
        <f t="array" aca="1" ref="K334" ca="1">IF(T334="Sócio",IF(COUNTIF(Opções!$H$2:$H$13,INDIRECT($P334))&gt;0,IF(AND(INDIRECT($Q334)&lt;L$1/24,INDIRECT($R334)&gt;K$1/24),"x",""),""),"")</f>
        <v/>
      </c>
      <c r="L334" t="str" cm="1">
        <f t="array" aca="1" ref="L334" ca="1">IF(T334="Sócio",IF(COUNTIF(Opções!$H$2:$H$13,INDIRECT($P334))&gt;0,IF(AND(INDIRECT($Q334)&lt;M$1/24,INDIRECT($R334)&gt;L$1/24),"x",""),""),"")</f>
        <v/>
      </c>
      <c r="M334" t="str" cm="1">
        <f t="array" aca="1" ref="M334" ca="1">IF(T334="Sócio",IF(COUNTIF(Opções!$H$2:$H$13,INDIRECT($P334))&gt;0,IF(AND(INDIRECT($Q334)&lt;N$1/24,INDIRECT($R334)&gt;M$1/24),"x",""),""),"")</f>
        <v/>
      </c>
      <c r="N334" t="str" cm="1">
        <f t="array" aca="1" ref="N334" ca="1">IF(T334="Sócio",IF(COUNTIF(Opções!$H$2:$H$13,INDIRECT($P334))&gt;0,IF(AND(INDIRECT($Q334)&lt;O$1/24,INDIRECT($R334)&gt;N$1/24),"x",""),""),"")</f>
        <v/>
      </c>
      <c r="O334" t="str" cm="1">
        <f t="array" aca="1" ref="O334" ca="1">IF(T334="Sócio",IF(COUNTIF(Opções!$H$2:$H$13,INDIRECT($P334))&gt;0,IF(AND(INDIRECT($Q334)&lt;P$1/24,INDIRECT($R334)&gt;O$1/24),"x",""),""),"")</f>
        <v/>
      </c>
      <c r="P334" t="str">
        <f t="shared" si="57"/>
        <v>$E334</v>
      </c>
      <c r="Q334" t="str">
        <f t="shared" si="66"/>
        <v>$F334</v>
      </c>
      <c r="R334" t="str">
        <f t="shared" si="67"/>
        <v>$G334</v>
      </c>
      <c r="S334" t="str">
        <f t="shared" si="60"/>
        <v>$D334</v>
      </c>
      <c r="T334" t="str" cm="1">
        <f t="array" aca="1" ref="T334" ca="1">IFERROR(VLOOKUP(INDIRECT(S334),Equipe!A:C,3,0),"")</f>
        <v/>
      </c>
    </row>
    <row r="335" spans="10:20" x14ac:dyDescent="0.3">
      <c r="J335" s="21" t="str">
        <f t="shared" ca="1" si="65"/>
        <v/>
      </c>
      <c r="K335" t="str" cm="1">
        <f t="array" aca="1" ref="K335" ca="1">IF(T335="Sócio",IF(COUNTIF(Opções!$H$2:$H$13,INDIRECT($P335))&gt;0,IF(AND(INDIRECT($Q335)&lt;L$1/24,INDIRECT($R335)&gt;K$1/24),"x",""),""),"")</f>
        <v/>
      </c>
      <c r="L335" t="str" cm="1">
        <f t="array" aca="1" ref="L335" ca="1">IF(T335="Sócio",IF(COUNTIF(Opções!$H$2:$H$13,INDIRECT($P335))&gt;0,IF(AND(INDIRECT($Q335)&lt;M$1/24,INDIRECT($R335)&gt;L$1/24),"x",""),""),"")</f>
        <v/>
      </c>
      <c r="M335" t="str" cm="1">
        <f t="array" aca="1" ref="M335" ca="1">IF(T335="Sócio",IF(COUNTIF(Opções!$H$2:$H$13,INDIRECT($P335))&gt;0,IF(AND(INDIRECT($Q335)&lt;N$1/24,INDIRECT($R335)&gt;M$1/24),"x",""),""),"")</f>
        <v/>
      </c>
      <c r="N335" t="str" cm="1">
        <f t="array" aca="1" ref="N335" ca="1">IF(T335="Sócio",IF(COUNTIF(Opções!$H$2:$H$13,INDIRECT($P335))&gt;0,IF(AND(INDIRECT($Q335)&lt;O$1/24,INDIRECT($R335)&gt;N$1/24),"x",""),""),"")</f>
        <v/>
      </c>
      <c r="O335" t="str" cm="1">
        <f t="array" aca="1" ref="O335" ca="1">IF(T335="Sócio",IF(COUNTIF(Opções!$H$2:$H$13,INDIRECT($P335))&gt;0,IF(AND(INDIRECT($Q335)&lt;P$1/24,INDIRECT($R335)&gt;O$1/24),"x",""),""),"")</f>
        <v/>
      </c>
      <c r="P335" t="str">
        <f t="shared" si="57"/>
        <v>$E335</v>
      </c>
      <c r="Q335" t="str">
        <f t="shared" si="66"/>
        <v>$F335</v>
      </c>
      <c r="R335" t="str">
        <f t="shared" si="67"/>
        <v>$G335</v>
      </c>
      <c r="S335" t="str">
        <f t="shared" si="60"/>
        <v>$D335</v>
      </c>
      <c r="T335" t="str" cm="1">
        <f t="array" aca="1" ref="T335" ca="1">IFERROR(VLOOKUP(INDIRECT(S335),Equipe!A:C,3,0),"")</f>
        <v/>
      </c>
    </row>
    <row r="336" spans="10:20" x14ac:dyDescent="0.3">
      <c r="J336" s="21" t="str">
        <f t="shared" ca="1" si="65"/>
        <v/>
      </c>
      <c r="K336" t="str" cm="1">
        <f t="array" aca="1" ref="K336" ca="1">IF(T336="Sócio",IF(COUNTIF(Opções!$H$2:$H$13,INDIRECT($P336))&gt;0,IF(AND(INDIRECT($Q336)&lt;L$1/24,INDIRECT($R336)&gt;K$1/24),"x",""),""),"")</f>
        <v/>
      </c>
      <c r="L336" t="str" cm="1">
        <f t="array" aca="1" ref="L336" ca="1">IF(T336="Sócio",IF(COUNTIF(Opções!$H$2:$H$13,INDIRECT($P336))&gt;0,IF(AND(INDIRECT($Q336)&lt;M$1/24,INDIRECT($R336)&gt;L$1/24),"x",""),""),"")</f>
        <v/>
      </c>
      <c r="M336" t="str" cm="1">
        <f t="array" aca="1" ref="M336" ca="1">IF(T336="Sócio",IF(COUNTIF(Opções!$H$2:$H$13,INDIRECT($P336))&gt;0,IF(AND(INDIRECT($Q336)&lt;N$1/24,INDIRECT($R336)&gt;M$1/24),"x",""),""),"")</f>
        <v/>
      </c>
      <c r="N336" t="str" cm="1">
        <f t="array" aca="1" ref="N336" ca="1">IF(T336="Sócio",IF(COUNTIF(Opções!$H$2:$H$13,INDIRECT($P336))&gt;0,IF(AND(INDIRECT($Q336)&lt;O$1/24,INDIRECT($R336)&gt;N$1/24),"x",""),""),"")</f>
        <v/>
      </c>
      <c r="O336" t="str" cm="1">
        <f t="array" aca="1" ref="O336" ca="1">IF(T336="Sócio",IF(COUNTIF(Opções!$H$2:$H$13,INDIRECT($P336))&gt;0,IF(AND(INDIRECT($Q336)&lt;P$1/24,INDIRECT($R336)&gt;O$1/24),"x",""),""),"")</f>
        <v/>
      </c>
      <c r="P336" t="str">
        <f t="shared" ref="P336:P384" si="68">"$E"&amp;ROW(N336)</f>
        <v>$E336</v>
      </c>
      <c r="Q336" t="str">
        <f t="shared" si="66"/>
        <v>$F336</v>
      </c>
      <c r="R336" t="str">
        <f t="shared" si="67"/>
        <v>$G336</v>
      </c>
      <c r="S336" t="str">
        <f t="shared" ref="S336:S384" si="69">"$D"&amp;ROW(R336)</f>
        <v>$D336</v>
      </c>
      <c r="T336" t="str" cm="1">
        <f t="array" aca="1" ref="T336" ca="1">IFERROR(VLOOKUP(INDIRECT(S336),Equipe!A:C,3,0),"")</f>
        <v/>
      </c>
    </row>
    <row r="337" spans="10:20" x14ac:dyDescent="0.3">
      <c r="J337" s="21" t="str">
        <f t="shared" ca="1" si="65"/>
        <v/>
      </c>
      <c r="K337" t="str" cm="1">
        <f t="array" aca="1" ref="K337" ca="1">IF(T337="Sócio",IF(COUNTIF(Opções!$H$2:$H$13,INDIRECT($P337))&gt;0,IF(AND(INDIRECT($Q337)&lt;L$1/24,INDIRECT($R337)&gt;K$1/24),"x",""),""),"")</f>
        <v/>
      </c>
      <c r="L337" t="str" cm="1">
        <f t="array" aca="1" ref="L337" ca="1">IF(T337="Sócio",IF(COUNTIF(Opções!$H$2:$H$13,INDIRECT($P337))&gt;0,IF(AND(INDIRECT($Q337)&lt;M$1/24,INDIRECT($R337)&gt;L$1/24),"x",""),""),"")</f>
        <v/>
      </c>
      <c r="M337" t="str" cm="1">
        <f t="array" aca="1" ref="M337" ca="1">IF(T337="Sócio",IF(COUNTIF(Opções!$H$2:$H$13,INDIRECT($P337))&gt;0,IF(AND(INDIRECT($Q337)&lt;N$1/24,INDIRECT($R337)&gt;M$1/24),"x",""),""),"")</f>
        <v/>
      </c>
      <c r="N337" t="str" cm="1">
        <f t="array" aca="1" ref="N337" ca="1">IF(T337="Sócio",IF(COUNTIF(Opções!$H$2:$H$13,INDIRECT($P337))&gt;0,IF(AND(INDIRECT($Q337)&lt;O$1/24,INDIRECT($R337)&gt;N$1/24),"x",""),""),"")</f>
        <v/>
      </c>
      <c r="O337" t="str" cm="1">
        <f t="array" aca="1" ref="O337" ca="1">IF(T337="Sócio",IF(COUNTIF(Opções!$H$2:$H$13,INDIRECT($P337))&gt;0,IF(AND(INDIRECT($Q337)&lt;P$1/24,INDIRECT($R337)&gt;O$1/24),"x",""),""),"")</f>
        <v/>
      </c>
      <c r="P337" t="str">
        <f t="shared" si="68"/>
        <v>$E337</v>
      </c>
      <c r="Q337" t="str">
        <f t="shared" si="66"/>
        <v>$F337</v>
      </c>
      <c r="R337" t="str">
        <f t="shared" si="67"/>
        <v>$G337</v>
      </c>
      <c r="S337" t="str">
        <f t="shared" si="69"/>
        <v>$D337</v>
      </c>
      <c r="T337" t="str" cm="1">
        <f t="array" aca="1" ref="T337" ca="1">IFERROR(VLOOKUP(INDIRECT(S337),Equipe!A:C,3,0),"")</f>
        <v/>
      </c>
    </row>
    <row r="338" spans="10:20" x14ac:dyDescent="0.3">
      <c r="J338" s="21" t="str">
        <f t="shared" ca="1" si="65"/>
        <v/>
      </c>
      <c r="K338" t="str" cm="1">
        <f t="array" aca="1" ref="K338" ca="1">IF(T338="Sócio",IF(COUNTIF(Opções!$H$2:$H$13,INDIRECT($P338))&gt;0,IF(AND(INDIRECT($Q338)&lt;L$1/24,INDIRECT($R338)&gt;K$1/24),"x",""),""),"")</f>
        <v/>
      </c>
      <c r="L338" t="str" cm="1">
        <f t="array" aca="1" ref="L338" ca="1">IF(T338="Sócio",IF(COUNTIF(Opções!$H$2:$H$13,INDIRECT($P338))&gt;0,IF(AND(INDIRECT($Q338)&lt;M$1/24,INDIRECT($R338)&gt;L$1/24),"x",""),""),"")</f>
        <v/>
      </c>
      <c r="M338" t="str" cm="1">
        <f t="array" aca="1" ref="M338" ca="1">IF(T338="Sócio",IF(COUNTIF(Opções!$H$2:$H$13,INDIRECT($P338))&gt;0,IF(AND(INDIRECT($Q338)&lt;N$1/24,INDIRECT($R338)&gt;M$1/24),"x",""),""),"")</f>
        <v/>
      </c>
      <c r="N338" t="str" cm="1">
        <f t="array" aca="1" ref="N338" ca="1">IF(T338="Sócio",IF(COUNTIF(Opções!$H$2:$H$13,INDIRECT($P338))&gt;0,IF(AND(INDIRECT($Q338)&lt;O$1/24,INDIRECT($R338)&gt;N$1/24),"x",""),""),"")</f>
        <v/>
      </c>
      <c r="O338" t="str" cm="1">
        <f t="array" aca="1" ref="O338" ca="1">IF(T338="Sócio",IF(COUNTIF(Opções!$H$2:$H$13,INDIRECT($P338))&gt;0,IF(AND(INDIRECT($Q338)&lt;P$1/24,INDIRECT($R338)&gt;O$1/24),"x",""),""),"")</f>
        <v/>
      </c>
      <c r="P338" t="str">
        <f t="shared" si="68"/>
        <v>$E338</v>
      </c>
      <c r="Q338" t="str">
        <f t="shared" si="66"/>
        <v>$F338</v>
      </c>
      <c r="R338" t="str">
        <f t="shared" si="67"/>
        <v>$G338</v>
      </c>
      <c r="S338" t="str">
        <f t="shared" si="69"/>
        <v>$D338</v>
      </c>
      <c r="T338" t="str" cm="1">
        <f t="array" aca="1" ref="T338" ca="1">IFERROR(VLOOKUP(INDIRECT(S338),Equipe!A:C,3,0),"")</f>
        <v/>
      </c>
    </row>
    <row r="339" spans="10:20" x14ac:dyDescent="0.3">
      <c r="J339" s="21" t="str">
        <f t="shared" ca="1" si="65"/>
        <v/>
      </c>
      <c r="K339" t="str" cm="1">
        <f t="array" aca="1" ref="K339" ca="1">IF(T339="Sócio",IF(COUNTIF(Opções!$H$2:$H$13,INDIRECT($P339))&gt;0,IF(AND(INDIRECT($Q339)&lt;L$1/24,INDIRECT($R339)&gt;K$1/24),"x",""),""),"")</f>
        <v/>
      </c>
      <c r="L339" t="str" cm="1">
        <f t="array" aca="1" ref="L339" ca="1">IF(T339="Sócio",IF(COUNTIF(Opções!$H$2:$H$13,INDIRECT($P339))&gt;0,IF(AND(INDIRECT($Q339)&lt;M$1/24,INDIRECT($R339)&gt;L$1/24),"x",""),""),"")</f>
        <v/>
      </c>
      <c r="M339" t="str" cm="1">
        <f t="array" aca="1" ref="M339" ca="1">IF(T339="Sócio",IF(COUNTIF(Opções!$H$2:$H$13,INDIRECT($P339))&gt;0,IF(AND(INDIRECT($Q339)&lt;N$1/24,INDIRECT($R339)&gt;M$1/24),"x",""),""),"")</f>
        <v/>
      </c>
      <c r="N339" t="str" cm="1">
        <f t="array" aca="1" ref="N339" ca="1">IF(T339="Sócio",IF(COUNTIF(Opções!$H$2:$H$13,INDIRECT($P339))&gt;0,IF(AND(INDIRECT($Q339)&lt;O$1/24,INDIRECT($R339)&gt;N$1/24),"x",""),""),"")</f>
        <v/>
      </c>
      <c r="O339" t="str" cm="1">
        <f t="array" aca="1" ref="O339" ca="1">IF(T339="Sócio",IF(COUNTIF(Opções!$H$2:$H$13,INDIRECT($P339))&gt;0,IF(AND(INDIRECT($Q339)&lt;P$1/24,INDIRECT($R339)&gt;O$1/24),"x",""),""),"")</f>
        <v/>
      </c>
      <c r="P339" t="str">
        <f t="shared" si="68"/>
        <v>$E339</v>
      </c>
      <c r="Q339" t="str">
        <f t="shared" si="66"/>
        <v>$F339</v>
      </c>
      <c r="R339" t="str">
        <f t="shared" si="67"/>
        <v>$G339</v>
      </c>
      <c r="S339" t="str">
        <f t="shared" si="69"/>
        <v>$D339</v>
      </c>
      <c r="T339" t="str" cm="1">
        <f t="array" aca="1" ref="T339" ca="1">IFERROR(VLOOKUP(INDIRECT(S339),Equipe!A:C,3,0),"")</f>
        <v/>
      </c>
    </row>
    <row r="340" spans="10:20" x14ac:dyDescent="0.3">
      <c r="J340" s="21" t="str">
        <f t="shared" ca="1" si="65"/>
        <v/>
      </c>
      <c r="K340" t="str" cm="1">
        <f t="array" aca="1" ref="K340" ca="1">IF(T340="Sócio",IF(COUNTIF(Opções!$H$2:$H$13,INDIRECT($P340))&gt;0,IF(AND(INDIRECT($Q340)&lt;L$1/24,INDIRECT($R340)&gt;K$1/24),"x",""),""),"")</f>
        <v/>
      </c>
      <c r="L340" t="str" cm="1">
        <f t="array" aca="1" ref="L340" ca="1">IF(T340="Sócio",IF(COUNTIF(Opções!$H$2:$H$13,INDIRECT($P340))&gt;0,IF(AND(INDIRECT($Q340)&lt;M$1/24,INDIRECT($R340)&gt;L$1/24),"x",""),""),"")</f>
        <v/>
      </c>
      <c r="M340" t="str" cm="1">
        <f t="array" aca="1" ref="M340" ca="1">IF(T340="Sócio",IF(COUNTIF(Opções!$H$2:$H$13,INDIRECT($P340))&gt;0,IF(AND(INDIRECT($Q340)&lt;N$1/24,INDIRECT($R340)&gt;M$1/24),"x",""),""),"")</f>
        <v/>
      </c>
      <c r="N340" t="str" cm="1">
        <f t="array" aca="1" ref="N340" ca="1">IF(T340="Sócio",IF(COUNTIF(Opções!$H$2:$H$13,INDIRECT($P340))&gt;0,IF(AND(INDIRECT($Q340)&lt;O$1/24,INDIRECT($R340)&gt;N$1/24),"x",""),""),"")</f>
        <v/>
      </c>
      <c r="O340" t="str" cm="1">
        <f t="array" aca="1" ref="O340" ca="1">IF(T340="Sócio",IF(COUNTIF(Opções!$H$2:$H$13,INDIRECT($P340))&gt;0,IF(AND(INDIRECT($Q340)&lt;P$1/24,INDIRECT($R340)&gt;O$1/24),"x",""),""),"")</f>
        <v/>
      </c>
      <c r="P340" t="str">
        <f t="shared" si="68"/>
        <v>$E340</v>
      </c>
      <c r="Q340" t="str">
        <f t="shared" si="66"/>
        <v>$F340</v>
      </c>
      <c r="R340" t="str">
        <f t="shared" si="67"/>
        <v>$G340</v>
      </c>
      <c r="S340" t="str">
        <f t="shared" si="69"/>
        <v>$D340</v>
      </c>
      <c r="T340" t="str" cm="1">
        <f t="array" aca="1" ref="T340" ca="1">IFERROR(VLOOKUP(INDIRECT(S340),Equipe!A:C,3,0),"")</f>
        <v/>
      </c>
    </row>
    <row r="341" spans="10:20" x14ac:dyDescent="0.3">
      <c r="J341" s="21" t="str">
        <f t="shared" ca="1" si="65"/>
        <v/>
      </c>
      <c r="K341" t="str" cm="1">
        <f t="array" aca="1" ref="K341" ca="1">IF(T341="Sócio",IF(COUNTIF(Opções!$H$2:$H$13,INDIRECT($P341))&gt;0,IF(AND(INDIRECT($Q341)&lt;L$1/24,INDIRECT($R341)&gt;K$1/24),"x",""),""),"")</f>
        <v/>
      </c>
      <c r="L341" t="str" cm="1">
        <f t="array" aca="1" ref="L341" ca="1">IF(T341="Sócio",IF(COUNTIF(Opções!$H$2:$H$13,INDIRECT($P341))&gt;0,IF(AND(INDIRECT($Q341)&lt;M$1/24,INDIRECT($R341)&gt;L$1/24),"x",""),""),"")</f>
        <v/>
      </c>
      <c r="M341" t="str" cm="1">
        <f t="array" aca="1" ref="M341" ca="1">IF(T341="Sócio",IF(COUNTIF(Opções!$H$2:$H$13,INDIRECT($P341))&gt;0,IF(AND(INDIRECT($Q341)&lt;N$1/24,INDIRECT($R341)&gt;M$1/24),"x",""),""),"")</f>
        <v/>
      </c>
      <c r="N341" t="str" cm="1">
        <f t="array" aca="1" ref="N341" ca="1">IF(T341="Sócio",IF(COUNTIF(Opções!$H$2:$H$13,INDIRECT($P341))&gt;0,IF(AND(INDIRECT($Q341)&lt;O$1/24,INDIRECT($R341)&gt;N$1/24),"x",""),""),"")</f>
        <v/>
      </c>
      <c r="O341" t="str" cm="1">
        <f t="array" aca="1" ref="O341" ca="1">IF(T341="Sócio",IF(COUNTIF(Opções!$H$2:$H$13,INDIRECT($P341))&gt;0,IF(AND(INDIRECT($Q341)&lt;P$1/24,INDIRECT($R341)&gt;O$1/24),"x",""),""),"")</f>
        <v/>
      </c>
      <c r="P341" t="str">
        <f t="shared" si="68"/>
        <v>$E341</v>
      </c>
      <c r="Q341" t="str">
        <f t="shared" si="66"/>
        <v>$F341</v>
      </c>
      <c r="R341" t="str">
        <f t="shared" si="67"/>
        <v>$G341</v>
      </c>
      <c r="S341" t="str">
        <f t="shared" si="69"/>
        <v>$D341</v>
      </c>
      <c r="T341" t="str" cm="1">
        <f t="array" aca="1" ref="T341" ca="1">IFERROR(VLOOKUP(INDIRECT(S341),Equipe!A:C,3,0),"")</f>
        <v/>
      </c>
    </row>
    <row r="342" spans="10:20" x14ac:dyDescent="0.3">
      <c r="J342" s="21" t="str">
        <f t="shared" ca="1" si="65"/>
        <v/>
      </c>
      <c r="K342" t="str" cm="1">
        <f t="array" aca="1" ref="K342" ca="1">IF(T342="Sócio",IF(COUNTIF(Opções!$H$2:$H$13,INDIRECT($P342))&gt;0,IF(AND(INDIRECT($Q342)&lt;L$1/24,INDIRECT($R342)&gt;K$1/24),"x",""),""),"")</f>
        <v/>
      </c>
      <c r="L342" t="str" cm="1">
        <f t="array" aca="1" ref="L342" ca="1">IF(T342="Sócio",IF(COUNTIF(Opções!$H$2:$H$13,INDIRECT($P342))&gt;0,IF(AND(INDIRECT($Q342)&lt;M$1/24,INDIRECT($R342)&gt;L$1/24),"x",""),""),"")</f>
        <v/>
      </c>
      <c r="M342" t="str" cm="1">
        <f t="array" aca="1" ref="M342" ca="1">IF(T342="Sócio",IF(COUNTIF(Opções!$H$2:$H$13,INDIRECT($P342))&gt;0,IF(AND(INDIRECT($Q342)&lt;N$1/24,INDIRECT($R342)&gt;M$1/24),"x",""),""),"")</f>
        <v/>
      </c>
      <c r="N342" t="str" cm="1">
        <f t="array" aca="1" ref="N342" ca="1">IF(T342="Sócio",IF(COUNTIF(Opções!$H$2:$H$13,INDIRECT($P342))&gt;0,IF(AND(INDIRECT($Q342)&lt;O$1/24,INDIRECT($R342)&gt;N$1/24),"x",""),""),"")</f>
        <v/>
      </c>
      <c r="O342" t="str" cm="1">
        <f t="array" aca="1" ref="O342" ca="1">IF(T342="Sócio",IF(COUNTIF(Opções!$H$2:$H$13,INDIRECT($P342))&gt;0,IF(AND(INDIRECT($Q342)&lt;P$1/24,INDIRECT($R342)&gt;O$1/24),"x",""),""),"")</f>
        <v/>
      </c>
      <c r="P342" t="str">
        <f t="shared" si="68"/>
        <v>$E342</v>
      </c>
      <c r="Q342" t="str">
        <f t="shared" si="66"/>
        <v>$F342</v>
      </c>
      <c r="R342" t="str">
        <f t="shared" si="67"/>
        <v>$G342</v>
      </c>
      <c r="S342" t="str">
        <f t="shared" si="69"/>
        <v>$D342</v>
      </c>
      <c r="T342" t="str" cm="1">
        <f t="array" aca="1" ref="T342" ca="1">IFERROR(VLOOKUP(INDIRECT(S342),Equipe!A:C,3,0),"")</f>
        <v/>
      </c>
    </row>
    <row r="343" spans="10:20" x14ac:dyDescent="0.3">
      <c r="J343" s="21" t="str">
        <f t="shared" ca="1" si="65"/>
        <v/>
      </c>
      <c r="K343" t="str" cm="1">
        <f t="array" aca="1" ref="K343" ca="1">IF(T343="Sócio",IF(COUNTIF(Opções!$H$2:$H$13,INDIRECT($P343))&gt;0,IF(AND(INDIRECT($Q343)&lt;L$1/24,INDIRECT($R343)&gt;K$1/24),"x",""),""),"")</f>
        <v/>
      </c>
      <c r="L343" t="str" cm="1">
        <f t="array" aca="1" ref="L343" ca="1">IF(T343="Sócio",IF(COUNTIF(Opções!$H$2:$H$13,INDIRECT($P343))&gt;0,IF(AND(INDIRECT($Q343)&lt;M$1/24,INDIRECT($R343)&gt;L$1/24),"x",""),""),"")</f>
        <v/>
      </c>
      <c r="M343" t="str" cm="1">
        <f t="array" aca="1" ref="M343" ca="1">IF(T343="Sócio",IF(COUNTIF(Opções!$H$2:$H$13,INDIRECT($P343))&gt;0,IF(AND(INDIRECT($Q343)&lt;N$1/24,INDIRECT($R343)&gt;M$1/24),"x",""),""),"")</f>
        <v/>
      </c>
      <c r="N343" t="str" cm="1">
        <f t="array" aca="1" ref="N343" ca="1">IF(T343="Sócio",IF(COUNTIF(Opções!$H$2:$H$13,INDIRECT($P343))&gt;0,IF(AND(INDIRECT($Q343)&lt;O$1/24,INDIRECT($R343)&gt;N$1/24),"x",""),""),"")</f>
        <v/>
      </c>
      <c r="O343" t="str" cm="1">
        <f t="array" aca="1" ref="O343" ca="1">IF(T343="Sócio",IF(COUNTIF(Opções!$H$2:$H$13,INDIRECT($P343))&gt;0,IF(AND(INDIRECT($Q343)&lt;P$1/24,INDIRECT($R343)&gt;O$1/24),"x",""),""),"")</f>
        <v/>
      </c>
      <c r="P343" t="str">
        <f t="shared" si="68"/>
        <v>$E343</v>
      </c>
      <c r="Q343" t="str">
        <f t="shared" si="66"/>
        <v>$F343</v>
      </c>
      <c r="R343" t="str">
        <f t="shared" si="67"/>
        <v>$G343</v>
      </c>
      <c r="S343" t="str">
        <f t="shared" si="69"/>
        <v>$D343</v>
      </c>
      <c r="T343" t="str" cm="1">
        <f t="array" aca="1" ref="T343" ca="1">IFERROR(VLOOKUP(INDIRECT(S343),Equipe!A:C,3,0),"")</f>
        <v/>
      </c>
    </row>
    <row r="344" spans="10:20" x14ac:dyDescent="0.3">
      <c r="J344" s="21" t="str">
        <f t="shared" ca="1" si="65"/>
        <v/>
      </c>
      <c r="K344" t="str" cm="1">
        <f t="array" aca="1" ref="K344" ca="1">IF(T344="Sócio",IF(COUNTIF(Opções!$H$2:$H$13,INDIRECT($P344))&gt;0,IF(AND(INDIRECT($Q344)&lt;L$1/24,INDIRECT($R344)&gt;K$1/24),"x",""),""),"")</f>
        <v/>
      </c>
      <c r="L344" t="str" cm="1">
        <f t="array" aca="1" ref="L344" ca="1">IF(T344="Sócio",IF(COUNTIF(Opções!$H$2:$H$13,INDIRECT($P344))&gt;0,IF(AND(INDIRECT($Q344)&lt;M$1/24,INDIRECT($R344)&gt;L$1/24),"x",""),""),"")</f>
        <v/>
      </c>
      <c r="M344" t="str" cm="1">
        <f t="array" aca="1" ref="M344" ca="1">IF(T344="Sócio",IF(COUNTIF(Opções!$H$2:$H$13,INDIRECT($P344))&gt;0,IF(AND(INDIRECT($Q344)&lt;N$1/24,INDIRECT($R344)&gt;M$1/24),"x",""),""),"")</f>
        <v/>
      </c>
      <c r="N344" t="str" cm="1">
        <f t="array" aca="1" ref="N344" ca="1">IF(T344="Sócio",IF(COUNTIF(Opções!$H$2:$H$13,INDIRECT($P344))&gt;0,IF(AND(INDIRECT($Q344)&lt;O$1/24,INDIRECT($R344)&gt;N$1/24),"x",""),""),"")</f>
        <v/>
      </c>
      <c r="O344" t="str" cm="1">
        <f t="array" aca="1" ref="O344" ca="1">IF(T344="Sócio",IF(COUNTIF(Opções!$H$2:$H$13,INDIRECT($P344))&gt;0,IF(AND(INDIRECT($Q344)&lt;P$1/24,INDIRECT($R344)&gt;O$1/24),"x",""),""),"")</f>
        <v/>
      </c>
      <c r="P344" t="str">
        <f t="shared" si="68"/>
        <v>$E344</v>
      </c>
      <c r="Q344" t="str">
        <f t="shared" si="66"/>
        <v>$F344</v>
      </c>
      <c r="R344" t="str">
        <f t="shared" si="67"/>
        <v>$G344</v>
      </c>
      <c r="S344" t="str">
        <f t="shared" si="69"/>
        <v>$D344</v>
      </c>
      <c r="T344" t="str" cm="1">
        <f t="array" aca="1" ref="T344" ca="1">IFERROR(VLOOKUP(INDIRECT(S344),Equipe!A:C,3,0),"")</f>
        <v/>
      </c>
    </row>
    <row r="345" spans="10:20" x14ac:dyDescent="0.3">
      <c r="J345" s="21" t="str">
        <f t="shared" ca="1" si="65"/>
        <v/>
      </c>
      <c r="K345" t="str" cm="1">
        <f t="array" aca="1" ref="K345" ca="1">IF(T345="Sócio",IF(COUNTIF(Opções!$H$2:$H$13,INDIRECT($P345))&gt;0,IF(AND(INDIRECT($Q345)&lt;L$1/24,INDIRECT($R345)&gt;K$1/24),"x",""),""),"")</f>
        <v/>
      </c>
      <c r="L345" t="str" cm="1">
        <f t="array" aca="1" ref="L345" ca="1">IF(T345="Sócio",IF(COUNTIF(Opções!$H$2:$H$13,INDIRECT($P345))&gt;0,IF(AND(INDIRECT($Q345)&lt;M$1/24,INDIRECT($R345)&gt;L$1/24),"x",""),""),"")</f>
        <v/>
      </c>
      <c r="M345" t="str" cm="1">
        <f t="array" aca="1" ref="M345" ca="1">IF(T345="Sócio",IF(COUNTIF(Opções!$H$2:$H$13,INDIRECT($P345))&gt;0,IF(AND(INDIRECT($Q345)&lt;N$1/24,INDIRECT($R345)&gt;M$1/24),"x",""),""),"")</f>
        <v/>
      </c>
      <c r="N345" t="str" cm="1">
        <f t="array" aca="1" ref="N345" ca="1">IF(T345="Sócio",IF(COUNTIF(Opções!$H$2:$H$13,INDIRECT($P345))&gt;0,IF(AND(INDIRECT($Q345)&lt;O$1/24,INDIRECT($R345)&gt;N$1/24),"x",""),""),"")</f>
        <v/>
      </c>
      <c r="O345" t="str" cm="1">
        <f t="array" aca="1" ref="O345" ca="1">IF(T345="Sócio",IF(COUNTIF(Opções!$H$2:$H$13,INDIRECT($P345))&gt;0,IF(AND(INDIRECT($Q345)&lt;P$1/24,INDIRECT($R345)&gt;O$1/24),"x",""),""),"")</f>
        <v/>
      </c>
      <c r="P345" t="str">
        <f t="shared" si="68"/>
        <v>$E345</v>
      </c>
      <c r="Q345" t="str">
        <f t="shared" si="66"/>
        <v>$F345</v>
      </c>
      <c r="R345" t="str">
        <f t="shared" si="67"/>
        <v>$G345</v>
      </c>
      <c r="S345" t="str">
        <f t="shared" si="69"/>
        <v>$D345</v>
      </c>
      <c r="T345" t="str" cm="1">
        <f t="array" aca="1" ref="T345" ca="1">IFERROR(VLOOKUP(INDIRECT(S345),Equipe!A:C,3,0),"")</f>
        <v/>
      </c>
    </row>
    <row r="346" spans="10:20" x14ac:dyDescent="0.3">
      <c r="J346" s="21" t="str">
        <f t="shared" ca="1" si="65"/>
        <v/>
      </c>
      <c r="K346" t="str" cm="1">
        <f t="array" aca="1" ref="K346" ca="1">IF(T346="Sócio",IF(COUNTIF(Opções!$H$2:$H$13,INDIRECT($P346))&gt;0,IF(AND(INDIRECT($Q346)&lt;L$1/24,INDIRECT($R346)&gt;K$1/24),"x",""),""),"")</f>
        <v/>
      </c>
      <c r="L346" t="str" cm="1">
        <f t="array" aca="1" ref="L346" ca="1">IF(T346="Sócio",IF(COUNTIF(Opções!$H$2:$H$13,INDIRECT($P346))&gt;0,IF(AND(INDIRECT($Q346)&lt;M$1/24,INDIRECT($R346)&gt;L$1/24),"x",""),""),"")</f>
        <v/>
      </c>
      <c r="M346" t="str" cm="1">
        <f t="array" aca="1" ref="M346" ca="1">IF(T346="Sócio",IF(COUNTIF(Opções!$H$2:$H$13,INDIRECT($P346))&gt;0,IF(AND(INDIRECT($Q346)&lt;N$1/24,INDIRECT($R346)&gt;M$1/24),"x",""),""),"")</f>
        <v/>
      </c>
      <c r="N346" t="str" cm="1">
        <f t="array" aca="1" ref="N346" ca="1">IF(T346="Sócio",IF(COUNTIF(Opções!$H$2:$H$13,INDIRECT($P346))&gt;0,IF(AND(INDIRECT($Q346)&lt;O$1/24,INDIRECT($R346)&gt;N$1/24),"x",""),""),"")</f>
        <v/>
      </c>
      <c r="O346" t="str" cm="1">
        <f t="array" aca="1" ref="O346" ca="1">IF(T346="Sócio",IF(COUNTIF(Opções!$H$2:$H$13,INDIRECT($P346))&gt;0,IF(AND(INDIRECT($Q346)&lt;P$1/24,INDIRECT($R346)&gt;O$1/24),"x",""),""),"")</f>
        <v/>
      </c>
      <c r="P346" t="str">
        <f t="shared" si="68"/>
        <v>$E346</v>
      </c>
      <c r="Q346" t="str">
        <f t="shared" si="66"/>
        <v>$F346</v>
      </c>
      <c r="R346" t="str">
        <f t="shared" si="67"/>
        <v>$G346</v>
      </c>
      <c r="S346" t="str">
        <f t="shared" si="69"/>
        <v>$D346</v>
      </c>
      <c r="T346" t="str" cm="1">
        <f t="array" aca="1" ref="T346" ca="1">IFERROR(VLOOKUP(INDIRECT(S346),Equipe!A:C,3,0),"")</f>
        <v/>
      </c>
    </row>
    <row r="347" spans="10:20" x14ac:dyDescent="0.3">
      <c r="J347" s="21" t="str">
        <f t="shared" ca="1" si="65"/>
        <v/>
      </c>
      <c r="K347" t="str" cm="1">
        <f t="array" aca="1" ref="K347" ca="1">IF(T347="Sócio",IF(COUNTIF(Opções!$H$2:$H$13,INDIRECT($P347))&gt;0,IF(AND(INDIRECT($Q347)&lt;L$1/24,INDIRECT($R347)&gt;K$1/24),"x",""),""),"")</f>
        <v/>
      </c>
      <c r="L347" t="str" cm="1">
        <f t="array" aca="1" ref="L347" ca="1">IF(T347="Sócio",IF(COUNTIF(Opções!$H$2:$H$13,INDIRECT($P347))&gt;0,IF(AND(INDIRECT($Q347)&lt;M$1/24,INDIRECT($R347)&gt;L$1/24),"x",""),""),"")</f>
        <v/>
      </c>
      <c r="M347" t="str" cm="1">
        <f t="array" aca="1" ref="M347" ca="1">IF(T347="Sócio",IF(COUNTIF(Opções!$H$2:$H$13,INDIRECT($P347))&gt;0,IF(AND(INDIRECT($Q347)&lt;N$1/24,INDIRECT($R347)&gt;M$1/24),"x",""),""),"")</f>
        <v/>
      </c>
      <c r="N347" t="str" cm="1">
        <f t="array" aca="1" ref="N347" ca="1">IF(T347="Sócio",IF(COUNTIF(Opções!$H$2:$H$13,INDIRECT($P347))&gt;0,IF(AND(INDIRECT($Q347)&lt;O$1/24,INDIRECT($R347)&gt;N$1/24),"x",""),""),"")</f>
        <v/>
      </c>
      <c r="O347" t="str" cm="1">
        <f t="array" aca="1" ref="O347" ca="1">IF(T347="Sócio",IF(COUNTIF(Opções!$H$2:$H$13,INDIRECT($P347))&gt;0,IF(AND(INDIRECT($Q347)&lt;P$1/24,INDIRECT($R347)&gt;O$1/24),"x",""),""),"")</f>
        <v/>
      </c>
      <c r="P347" t="str">
        <f t="shared" si="68"/>
        <v>$E347</v>
      </c>
      <c r="Q347" t="str">
        <f t="shared" si="66"/>
        <v>$F347</v>
      </c>
      <c r="R347" t="str">
        <f t="shared" si="67"/>
        <v>$G347</v>
      </c>
      <c r="S347" t="str">
        <f t="shared" si="69"/>
        <v>$D347</v>
      </c>
      <c r="T347" t="str" cm="1">
        <f t="array" aca="1" ref="T347" ca="1">IFERROR(VLOOKUP(INDIRECT(S347),Equipe!A:C,3,0),"")</f>
        <v/>
      </c>
    </row>
    <row r="348" spans="10:20" x14ac:dyDescent="0.3">
      <c r="J348" s="21" t="str">
        <f t="shared" ca="1" si="65"/>
        <v/>
      </c>
      <c r="K348" t="str" cm="1">
        <f t="array" aca="1" ref="K348" ca="1">IF(T348="Sócio",IF(COUNTIF(Opções!$H$2:$H$13,INDIRECT($P348))&gt;0,IF(AND(INDIRECT($Q348)&lt;L$1/24,INDIRECT($R348)&gt;K$1/24),"x",""),""),"")</f>
        <v/>
      </c>
      <c r="L348" t="str" cm="1">
        <f t="array" aca="1" ref="L348" ca="1">IF(T348="Sócio",IF(COUNTIF(Opções!$H$2:$H$13,INDIRECT($P348))&gt;0,IF(AND(INDIRECT($Q348)&lt;M$1/24,INDIRECT($R348)&gt;L$1/24),"x",""),""),"")</f>
        <v/>
      </c>
      <c r="M348" t="str" cm="1">
        <f t="array" aca="1" ref="M348" ca="1">IF(T348="Sócio",IF(COUNTIF(Opções!$H$2:$H$13,INDIRECT($P348))&gt;0,IF(AND(INDIRECT($Q348)&lt;N$1/24,INDIRECT($R348)&gt;M$1/24),"x",""),""),"")</f>
        <v/>
      </c>
      <c r="N348" t="str" cm="1">
        <f t="array" aca="1" ref="N348" ca="1">IF(T348="Sócio",IF(COUNTIF(Opções!$H$2:$H$13,INDIRECT($P348))&gt;0,IF(AND(INDIRECT($Q348)&lt;O$1/24,INDIRECT($R348)&gt;N$1/24),"x",""),""),"")</f>
        <v/>
      </c>
      <c r="O348" t="str" cm="1">
        <f t="array" aca="1" ref="O348" ca="1">IF(T348="Sócio",IF(COUNTIF(Opções!$H$2:$H$13,INDIRECT($P348))&gt;0,IF(AND(INDIRECT($Q348)&lt;P$1/24,INDIRECT($R348)&gt;O$1/24),"x",""),""),"")</f>
        <v/>
      </c>
      <c r="P348" t="str">
        <f t="shared" si="68"/>
        <v>$E348</v>
      </c>
      <c r="Q348" t="str">
        <f t="shared" si="66"/>
        <v>$F348</v>
      </c>
      <c r="R348" t="str">
        <f t="shared" si="67"/>
        <v>$G348</v>
      </c>
      <c r="S348" t="str">
        <f t="shared" si="69"/>
        <v>$D348</v>
      </c>
      <c r="T348" t="str" cm="1">
        <f t="array" aca="1" ref="T348" ca="1">IFERROR(VLOOKUP(INDIRECT(S348),Equipe!A:C,3,0),"")</f>
        <v/>
      </c>
    </row>
    <row r="349" spans="10:20" x14ac:dyDescent="0.3">
      <c r="J349" s="21" t="str">
        <f t="shared" ca="1" si="65"/>
        <v/>
      </c>
      <c r="K349" t="str" cm="1">
        <f t="array" aca="1" ref="K349" ca="1">IF(T349="Sócio",IF(COUNTIF(Opções!$H$2:$H$13,INDIRECT($P349))&gt;0,IF(AND(INDIRECT($Q349)&lt;L$1/24,INDIRECT($R349)&gt;K$1/24),"x",""),""),"")</f>
        <v/>
      </c>
      <c r="L349" t="str" cm="1">
        <f t="array" aca="1" ref="L349" ca="1">IF(T349="Sócio",IF(COUNTIF(Opções!$H$2:$H$13,INDIRECT($P349))&gt;0,IF(AND(INDIRECT($Q349)&lt;M$1/24,INDIRECT($R349)&gt;L$1/24),"x",""),""),"")</f>
        <v/>
      </c>
      <c r="M349" t="str" cm="1">
        <f t="array" aca="1" ref="M349" ca="1">IF(T349="Sócio",IF(COUNTIF(Opções!$H$2:$H$13,INDIRECT($P349))&gt;0,IF(AND(INDIRECT($Q349)&lt;N$1/24,INDIRECT($R349)&gt;M$1/24),"x",""),""),"")</f>
        <v/>
      </c>
      <c r="N349" t="str" cm="1">
        <f t="array" aca="1" ref="N349" ca="1">IF(T349="Sócio",IF(COUNTIF(Opções!$H$2:$H$13,INDIRECT($P349))&gt;0,IF(AND(INDIRECT($Q349)&lt;O$1/24,INDIRECT($R349)&gt;N$1/24),"x",""),""),"")</f>
        <v/>
      </c>
      <c r="O349" t="str" cm="1">
        <f t="array" aca="1" ref="O349" ca="1">IF(T349="Sócio",IF(COUNTIF(Opções!$H$2:$H$13,INDIRECT($P349))&gt;0,IF(AND(INDIRECT($Q349)&lt;P$1/24,INDIRECT($R349)&gt;O$1/24),"x",""),""),"")</f>
        <v/>
      </c>
      <c r="P349" t="str">
        <f t="shared" si="68"/>
        <v>$E349</v>
      </c>
      <c r="Q349" t="str">
        <f t="shared" si="66"/>
        <v>$F349</v>
      </c>
      <c r="R349" t="str">
        <f t="shared" si="67"/>
        <v>$G349</v>
      </c>
      <c r="S349" t="str">
        <f t="shared" si="69"/>
        <v>$D349</v>
      </c>
      <c r="T349" t="str" cm="1">
        <f t="array" aca="1" ref="T349" ca="1">IFERROR(VLOOKUP(INDIRECT(S349),Equipe!A:C,3,0),"")</f>
        <v/>
      </c>
    </row>
    <row r="350" spans="10:20" x14ac:dyDescent="0.3">
      <c r="J350" s="21" t="str">
        <f t="shared" ca="1" si="65"/>
        <v/>
      </c>
      <c r="K350" t="str" cm="1">
        <f t="array" aca="1" ref="K350" ca="1">IF(T350="Sócio",IF(COUNTIF(Opções!$H$2:$H$13,INDIRECT($P350))&gt;0,IF(AND(INDIRECT($Q350)&lt;L$1/24,INDIRECT($R350)&gt;K$1/24),"x",""),""),"")</f>
        <v/>
      </c>
      <c r="L350" t="str" cm="1">
        <f t="array" aca="1" ref="L350" ca="1">IF(T350="Sócio",IF(COUNTIF(Opções!$H$2:$H$13,INDIRECT($P350))&gt;0,IF(AND(INDIRECT($Q350)&lt;M$1/24,INDIRECT($R350)&gt;L$1/24),"x",""),""),"")</f>
        <v/>
      </c>
      <c r="M350" t="str" cm="1">
        <f t="array" aca="1" ref="M350" ca="1">IF(T350="Sócio",IF(COUNTIF(Opções!$H$2:$H$13,INDIRECT($P350))&gt;0,IF(AND(INDIRECT($Q350)&lt;N$1/24,INDIRECT($R350)&gt;M$1/24),"x",""),""),"")</f>
        <v/>
      </c>
      <c r="N350" t="str" cm="1">
        <f t="array" aca="1" ref="N350" ca="1">IF(T350="Sócio",IF(COUNTIF(Opções!$H$2:$H$13,INDIRECT($P350))&gt;0,IF(AND(INDIRECT($Q350)&lt;O$1/24,INDIRECT($R350)&gt;N$1/24),"x",""),""),"")</f>
        <v/>
      </c>
      <c r="O350" t="str" cm="1">
        <f t="array" aca="1" ref="O350" ca="1">IF(T350="Sócio",IF(COUNTIF(Opções!$H$2:$H$13,INDIRECT($P350))&gt;0,IF(AND(INDIRECT($Q350)&lt;P$1/24,INDIRECT($R350)&gt;O$1/24),"x",""),""),"")</f>
        <v/>
      </c>
      <c r="P350" t="str">
        <f t="shared" si="68"/>
        <v>$E350</v>
      </c>
      <c r="Q350" t="str">
        <f t="shared" si="66"/>
        <v>$F350</v>
      </c>
      <c r="R350" t="str">
        <f t="shared" si="67"/>
        <v>$G350</v>
      </c>
      <c r="S350" t="str">
        <f t="shared" si="69"/>
        <v>$D350</v>
      </c>
      <c r="T350" t="str" cm="1">
        <f t="array" aca="1" ref="T350" ca="1">IFERROR(VLOOKUP(INDIRECT(S350),Equipe!A:C,3,0),"")</f>
        <v/>
      </c>
    </row>
    <row r="351" spans="10:20" x14ac:dyDescent="0.3">
      <c r="J351" s="21" t="str">
        <f t="shared" ca="1" si="65"/>
        <v/>
      </c>
      <c r="K351" t="str" cm="1">
        <f t="array" aca="1" ref="K351" ca="1">IF(T351="Sócio",IF(COUNTIF(Opções!$H$2:$H$13,INDIRECT($P351))&gt;0,IF(AND(INDIRECT($Q351)&lt;L$1/24,INDIRECT($R351)&gt;K$1/24),"x",""),""),"")</f>
        <v/>
      </c>
      <c r="L351" t="str" cm="1">
        <f t="array" aca="1" ref="L351" ca="1">IF(T351="Sócio",IF(COUNTIF(Opções!$H$2:$H$13,INDIRECT($P351))&gt;0,IF(AND(INDIRECT($Q351)&lt;M$1/24,INDIRECT($R351)&gt;L$1/24),"x",""),""),"")</f>
        <v/>
      </c>
      <c r="M351" t="str" cm="1">
        <f t="array" aca="1" ref="M351" ca="1">IF(T351="Sócio",IF(COUNTIF(Opções!$H$2:$H$13,INDIRECT($P351))&gt;0,IF(AND(INDIRECT($Q351)&lt;N$1/24,INDIRECT($R351)&gt;M$1/24),"x",""),""),"")</f>
        <v/>
      </c>
      <c r="N351" t="str" cm="1">
        <f t="array" aca="1" ref="N351" ca="1">IF(T351="Sócio",IF(COUNTIF(Opções!$H$2:$H$13,INDIRECT($P351))&gt;0,IF(AND(INDIRECT($Q351)&lt;O$1/24,INDIRECT($R351)&gt;N$1/24),"x",""),""),"")</f>
        <v/>
      </c>
      <c r="O351" t="str" cm="1">
        <f t="array" aca="1" ref="O351" ca="1">IF(T351="Sócio",IF(COUNTIF(Opções!$H$2:$H$13,INDIRECT($P351))&gt;0,IF(AND(INDIRECT($Q351)&lt;P$1/24,INDIRECT($R351)&gt;O$1/24),"x",""),""),"")</f>
        <v/>
      </c>
      <c r="P351" t="str">
        <f t="shared" si="68"/>
        <v>$E351</v>
      </c>
      <c r="Q351" t="str">
        <f t="shared" si="66"/>
        <v>$F351</v>
      </c>
      <c r="R351" t="str">
        <f t="shared" si="67"/>
        <v>$G351</v>
      </c>
      <c r="S351" t="str">
        <f t="shared" si="69"/>
        <v>$D351</v>
      </c>
      <c r="T351" t="str" cm="1">
        <f t="array" aca="1" ref="T351" ca="1">IFERROR(VLOOKUP(INDIRECT(S351),Equipe!A:C,3,0),"")</f>
        <v/>
      </c>
    </row>
    <row r="352" spans="10:20" x14ac:dyDescent="0.3">
      <c r="J352" s="21" t="str">
        <f t="shared" ca="1" si="65"/>
        <v/>
      </c>
      <c r="K352" t="str" cm="1">
        <f t="array" aca="1" ref="K352" ca="1">IF(T352="Sócio",IF(COUNTIF(Opções!$H$2:$H$13,INDIRECT($P352))&gt;0,IF(AND(INDIRECT($Q352)&lt;L$1/24,INDIRECT($R352)&gt;K$1/24),"x",""),""),"")</f>
        <v/>
      </c>
      <c r="L352" t="str" cm="1">
        <f t="array" aca="1" ref="L352" ca="1">IF(T352="Sócio",IF(COUNTIF(Opções!$H$2:$H$13,INDIRECT($P352))&gt;0,IF(AND(INDIRECT($Q352)&lt;M$1/24,INDIRECT($R352)&gt;L$1/24),"x",""),""),"")</f>
        <v/>
      </c>
      <c r="M352" t="str" cm="1">
        <f t="array" aca="1" ref="M352" ca="1">IF(T352="Sócio",IF(COUNTIF(Opções!$H$2:$H$13,INDIRECT($P352))&gt;0,IF(AND(INDIRECT($Q352)&lt;N$1/24,INDIRECT($R352)&gt;M$1/24),"x",""),""),"")</f>
        <v/>
      </c>
      <c r="N352" t="str" cm="1">
        <f t="array" aca="1" ref="N352" ca="1">IF(T352="Sócio",IF(COUNTIF(Opções!$H$2:$H$13,INDIRECT($P352))&gt;0,IF(AND(INDIRECT($Q352)&lt;O$1/24,INDIRECT($R352)&gt;N$1/24),"x",""),""),"")</f>
        <v/>
      </c>
      <c r="O352" t="str" cm="1">
        <f t="array" aca="1" ref="O352" ca="1">IF(T352="Sócio",IF(COUNTIF(Opções!$H$2:$H$13,INDIRECT($P352))&gt;0,IF(AND(INDIRECT($Q352)&lt;P$1/24,INDIRECT($R352)&gt;O$1/24),"x",""),""),"")</f>
        <v/>
      </c>
      <c r="P352" t="str">
        <f t="shared" si="68"/>
        <v>$E352</v>
      </c>
      <c r="Q352" t="str">
        <f t="shared" si="66"/>
        <v>$F352</v>
      </c>
      <c r="R352" t="str">
        <f t="shared" si="67"/>
        <v>$G352</v>
      </c>
      <c r="S352" t="str">
        <f t="shared" si="69"/>
        <v>$D352</v>
      </c>
      <c r="T352" t="str" cm="1">
        <f t="array" aca="1" ref="T352" ca="1">IFERROR(VLOOKUP(INDIRECT(S352),Equipe!A:C,3,0),"")</f>
        <v/>
      </c>
    </row>
    <row r="353" spans="10:20" x14ac:dyDescent="0.3">
      <c r="J353" s="21" t="str">
        <f t="shared" ref="J353:J384" ca="1" si="70">IF(K353="x",IF(COUNTIF(K:K,"x")&gt;2,"Aviso (primeiro período)",""),IF(L353="x",IF(COUNTIF(L:L,"x")&gt;1,"Aviso (segundo período)",""),IF(M353="x",IF(COUNTIF(M:M,"x")&gt;1,"Aviso (terceiro período)",""),IF(N353="x",IF(COUNTIF(N:N,"x")&gt;2,"Aviso (quarto período)",""),IF(O353="x",IF(COUNTIF(O:O,"x")&gt;5,"Aviso (quinto período)",""),"")))))</f>
        <v/>
      </c>
      <c r="K353" t="str" cm="1">
        <f t="array" aca="1" ref="K353" ca="1">IF(T353="Sócio",IF(COUNTIF(Opções!$H$2:$H$13,INDIRECT($P353))&gt;0,IF(AND(INDIRECT($Q353)&lt;L$1/24,INDIRECT($R353)&gt;K$1/24),"x",""),""),"")</f>
        <v/>
      </c>
      <c r="L353" t="str" cm="1">
        <f t="array" aca="1" ref="L353" ca="1">IF(T353="Sócio",IF(COUNTIF(Opções!$H$2:$H$13,INDIRECT($P353))&gt;0,IF(AND(INDIRECT($Q353)&lt;M$1/24,INDIRECT($R353)&gt;L$1/24),"x",""),""),"")</f>
        <v/>
      </c>
      <c r="M353" t="str" cm="1">
        <f t="array" aca="1" ref="M353" ca="1">IF(T353="Sócio",IF(COUNTIF(Opções!$H$2:$H$13,INDIRECT($P353))&gt;0,IF(AND(INDIRECT($Q353)&lt;N$1/24,INDIRECT($R353)&gt;M$1/24),"x",""),""),"")</f>
        <v/>
      </c>
      <c r="N353" t="str" cm="1">
        <f t="array" aca="1" ref="N353" ca="1">IF(T353="Sócio",IF(COUNTIF(Opções!$H$2:$H$13,INDIRECT($P353))&gt;0,IF(AND(INDIRECT($Q353)&lt;O$1/24,INDIRECT($R353)&gt;N$1/24),"x",""),""),"")</f>
        <v/>
      </c>
      <c r="O353" t="str" cm="1">
        <f t="array" aca="1" ref="O353" ca="1">IF(T353="Sócio",IF(COUNTIF(Opções!$H$2:$H$13,INDIRECT($P353))&gt;0,IF(AND(INDIRECT($Q353)&lt;P$1/24,INDIRECT($R353)&gt;O$1/24),"x",""),""),"")</f>
        <v/>
      </c>
      <c r="P353" t="str">
        <f t="shared" si="68"/>
        <v>$E353</v>
      </c>
      <c r="Q353" t="str">
        <f t="shared" si="66"/>
        <v>$F353</v>
      </c>
      <c r="R353" t="str">
        <f t="shared" si="67"/>
        <v>$G353</v>
      </c>
      <c r="S353" t="str">
        <f t="shared" si="69"/>
        <v>$D353</v>
      </c>
      <c r="T353" t="str" cm="1">
        <f t="array" aca="1" ref="T353" ca="1">IFERROR(VLOOKUP(INDIRECT(S353),Equipe!A:C,3,0),"")</f>
        <v/>
      </c>
    </row>
    <row r="354" spans="10:20" x14ac:dyDescent="0.3">
      <c r="J354" s="21" t="str">
        <f t="shared" ca="1" si="70"/>
        <v/>
      </c>
      <c r="K354" t="str" cm="1">
        <f t="array" aca="1" ref="K354" ca="1">IF(T354="Sócio",IF(COUNTIF(Opções!$H$2:$H$13,INDIRECT($P354))&gt;0,IF(AND(INDIRECT($Q354)&lt;L$1/24,INDIRECT($R354)&gt;K$1/24),"x",""),""),"")</f>
        <v/>
      </c>
      <c r="L354" t="str" cm="1">
        <f t="array" aca="1" ref="L354" ca="1">IF(T354="Sócio",IF(COUNTIF(Opções!$H$2:$H$13,INDIRECT($P354))&gt;0,IF(AND(INDIRECT($Q354)&lt;M$1/24,INDIRECT($R354)&gt;L$1/24),"x",""),""),"")</f>
        <v/>
      </c>
      <c r="M354" t="str" cm="1">
        <f t="array" aca="1" ref="M354" ca="1">IF(T354="Sócio",IF(COUNTIF(Opções!$H$2:$H$13,INDIRECT($P354))&gt;0,IF(AND(INDIRECT($Q354)&lt;N$1/24,INDIRECT($R354)&gt;M$1/24),"x",""),""),"")</f>
        <v/>
      </c>
      <c r="N354" t="str" cm="1">
        <f t="array" aca="1" ref="N354" ca="1">IF(T354="Sócio",IF(COUNTIF(Opções!$H$2:$H$13,INDIRECT($P354))&gt;0,IF(AND(INDIRECT($Q354)&lt;O$1/24,INDIRECT($R354)&gt;N$1/24),"x",""),""),"")</f>
        <v/>
      </c>
      <c r="O354" t="str" cm="1">
        <f t="array" aca="1" ref="O354" ca="1">IF(T354="Sócio",IF(COUNTIF(Opções!$H$2:$H$13,INDIRECT($P354))&gt;0,IF(AND(INDIRECT($Q354)&lt;P$1/24,INDIRECT($R354)&gt;O$1/24),"x",""),""),"")</f>
        <v/>
      </c>
      <c r="P354" t="str">
        <f t="shared" si="68"/>
        <v>$E354</v>
      </c>
      <c r="Q354" t="str">
        <f t="shared" si="66"/>
        <v>$F354</v>
      </c>
      <c r="R354" t="str">
        <f t="shared" si="67"/>
        <v>$G354</v>
      </c>
      <c r="S354" t="str">
        <f t="shared" si="69"/>
        <v>$D354</v>
      </c>
      <c r="T354" t="str" cm="1">
        <f t="array" aca="1" ref="T354" ca="1">IFERROR(VLOOKUP(INDIRECT(S354),Equipe!A:C,3,0),"")</f>
        <v/>
      </c>
    </row>
    <row r="355" spans="10:20" x14ac:dyDescent="0.3">
      <c r="J355" s="21" t="str">
        <f t="shared" ca="1" si="70"/>
        <v/>
      </c>
      <c r="K355" t="str" cm="1">
        <f t="array" aca="1" ref="K355" ca="1">IF(T355="Sócio",IF(COUNTIF(Opções!$H$2:$H$13,INDIRECT($P355))&gt;0,IF(AND(INDIRECT($Q355)&lt;L$1/24,INDIRECT($R355)&gt;K$1/24),"x",""),""),"")</f>
        <v/>
      </c>
      <c r="L355" t="str" cm="1">
        <f t="array" aca="1" ref="L355" ca="1">IF(T355="Sócio",IF(COUNTIF(Opções!$H$2:$H$13,INDIRECT($P355))&gt;0,IF(AND(INDIRECT($Q355)&lt;M$1/24,INDIRECT($R355)&gt;L$1/24),"x",""),""),"")</f>
        <v/>
      </c>
      <c r="M355" t="str" cm="1">
        <f t="array" aca="1" ref="M355" ca="1">IF(T355="Sócio",IF(COUNTIF(Opções!$H$2:$H$13,INDIRECT($P355))&gt;0,IF(AND(INDIRECT($Q355)&lt;N$1/24,INDIRECT($R355)&gt;M$1/24),"x",""),""),"")</f>
        <v/>
      </c>
      <c r="N355" t="str" cm="1">
        <f t="array" aca="1" ref="N355" ca="1">IF(T355="Sócio",IF(COUNTIF(Opções!$H$2:$H$13,INDIRECT($P355))&gt;0,IF(AND(INDIRECT($Q355)&lt;O$1/24,INDIRECT($R355)&gt;N$1/24),"x",""),""),"")</f>
        <v/>
      </c>
      <c r="O355" t="str" cm="1">
        <f t="array" aca="1" ref="O355" ca="1">IF(T355="Sócio",IF(COUNTIF(Opções!$H$2:$H$13,INDIRECT($P355))&gt;0,IF(AND(INDIRECT($Q355)&lt;P$1/24,INDIRECT($R355)&gt;O$1/24),"x",""),""),"")</f>
        <v/>
      </c>
      <c r="P355" t="str">
        <f t="shared" si="68"/>
        <v>$E355</v>
      </c>
      <c r="Q355" t="str">
        <f t="shared" si="66"/>
        <v>$F355</v>
      </c>
      <c r="R355" t="str">
        <f t="shared" si="67"/>
        <v>$G355</v>
      </c>
      <c r="S355" t="str">
        <f t="shared" si="69"/>
        <v>$D355</v>
      </c>
      <c r="T355" t="str" cm="1">
        <f t="array" aca="1" ref="T355" ca="1">IFERROR(VLOOKUP(INDIRECT(S355),Equipe!A:C,3,0),"")</f>
        <v/>
      </c>
    </row>
    <row r="356" spans="10:20" x14ac:dyDescent="0.3">
      <c r="J356" s="21" t="str">
        <f t="shared" ca="1" si="70"/>
        <v/>
      </c>
      <c r="K356" t="str" cm="1">
        <f t="array" aca="1" ref="K356" ca="1">IF(T356="Sócio",IF(COUNTIF(Opções!$H$2:$H$13,INDIRECT($P356))&gt;0,IF(AND(INDIRECT($Q356)&lt;L$1/24,INDIRECT($R356)&gt;K$1/24),"x",""),""),"")</f>
        <v/>
      </c>
      <c r="L356" t="str" cm="1">
        <f t="array" aca="1" ref="L356" ca="1">IF(T356="Sócio",IF(COUNTIF(Opções!$H$2:$H$13,INDIRECT($P356))&gt;0,IF(AND(INDIRECT($Q356)&lt;M$1/24,INDIRECT($R356)&gt;L$1/24),"x",""),""),"")</f>
        <v/>
      </c>
      <c r="M356" t="str" cm="1">
        <f t="array" aca="1" ref="M356" ca="1">IF(T356="Sócio",IF(COUNTIF(Opções!$H$2:$H$13,INDIRECT($P356))&gt;0,IF(AND(INDIRECT($Q356)&lt;N$1/24,INDIRECT($R356)&gt;M$1/24),"x",""),""),"")</f>
        <v/>
      </c>
      <c r="N356" t="str" cm="1">
        <f t="array" aca="1" ref="N356" ca="1">IF(T356="Sócio",IF(COUNTIF(Opções!$H$2:$H$13,INDIRECT($P356))&gt;0,IF(AND(INDIRECT($Q356)&lt;O$1/24,INDIRECT($R356)&gt;N$1/24),"x",""),""),"")</f>
        <v/>
      </c>
      <c r="O356" t="str" cm="1">
        <f t="array" aca="1" ref="O356" ca="1">IF(T356="Sócio",IF(COUNTIF(Opções!$H$2:$H$13,INDIRECT($P356))&gt;0,IF(AND(INDIRECT($Q356)&lt;P$1/24,INDIRECT($R356)&gt;O$1/24),"x",""),""),"")</f>
        <v/>
      </c>
      <c r="P356" t="str">
        <f t="shared" si="68"/>
        <v>$E356</v>
      </c>
      <c r="Q356" t="str">
        <f t="shared" si="66"/>
        <v>$F356</v>
      </c>
      <c r="R356" t="str">
        <f t="shared" si="67"/>
        <v>$G356</v>
      </c>
      <c r="S356" t="str">
        <f t="shared" si="69"/>
        <v>$D356</v>
      </c>
      <c r="T356" t="str" cm="1">
        <f t="array" aca="1" ref="T356" ca="1">IFERROR(VLOOKUP(INDIRECT(S356),Equipe!A:C,3,0),"")</f>
        <v/>
      </c>
    </row>
    <row r="357" spans="10:20" x14ac:dyDescent="0.3">
      <c r="J357" s="21" t="str">
        <f t="shared" ca="1" si="70"/>
        <v/>
      </c>
      <c r="K357" t="str" cm="1">
        <f t="array" aca="1" ref="K357" ca="1">IF(T357="Sócio",IF(COUNTIF(Opções!$H$2:$H$13,INDIRECT($P357))&gt;0,IF(AND(INDIRECT($Q357)&lt;L$1/24,INDIRECT($R357)&gt;K$1/24),"x",""),""),"")</f>
        <v/>
      </c>
      <c r="L357" t="str" cm="1">
        <f t="array" aca="1" ref="L357" ca="1">IF(T357="Sócio",IF(COUNTIF(Opções!$H$2:$H$13,INDIRECT($P357))&gt;0,IF(AND(INDIRECT($Q357)&lt;M$1/24,INDIRECT($R357)&gt;L$1/24),"x",""),""),"")</f>
        <v/>
      </c>
      <c r="M357" t="str" cm="1">
        <f t="array" aca="1" ref="M357" ca="1">IF(T357="Sócio",IF(COUNTIF(Opções!$H$2:$H$13,INDIRECT($P357))&gt;0,IF(AND(INDIRECT($Q357)&lt;N$1/24,INDIRECT($R357)&gt;M$1/24),"x",""),""),"")</f>
        <v/>
      </c>
      <c r="N357" t="str" cm="1">
        <f t="array" aca="1" ref="N357" ca="1">IF(T357="Sócio",IF(COUNTIF(Opções!$H$2:$H$13,INDIRECT($P357))&gt;0,IF(AND(INDIRECT($Q357)&lt;O$1/24,INDIRECT($R357)&gt;N$1/24),"x",""),""),"")</f>
        <v/>
      </c>
      <c r="O357" t="str" cm="1">
        <f t="array" aca="1" ref="O357" ca="1">IF(T357="Sócio",IF(COUNTIF(Opções!$H$2:$H$13,INDIRECT($P357))&gt;0,IF(AND(INDIRECT($Q357)&lt;P$1/24,INDIRECT($R357)&gt;O$1/24),"x",""),""),"")</f>
        <v/>
      </c>
      <c r="P357" t="str">
        <f t="shared" si="68"/>
        <v>$E357</v>
      </c>
      <c r="Q357" t="str">
        <f t="shared" si="66"/>
        <v>$F357</v>
      </c>
      <c r="R357" t="str">
        <f t="shared" si="67"/>
        <v>$G357</v>
      </c>
      <c r="S357" t="str">
        <f t="shared" si="69"/>
        <v>$D357</v>
      </c>
      <c r="T357" t="str" cm="1">
        <f t="array" aca="1" ref="T357" ca="1">IFERROR(VLOOKUP(INDIRECT(S357),Equipe!A:C,3,0),"")</f>
        <v/>
      </c>
    </row>
    <row r="358" spans="10:20" x14ac:dyDescent="0.3">
      <c r="J358" s="21" t="str">
        <f t="shared" ca="1" si="70"/>
        <v/>
      </c>
      <c r="K358" t="str" cm="1">
        <f t="array" aca="1" ref="K358" ca="1">IF(T358="Sócio",IF(COUNTIF(Opções!$H$2:$H$13,INDIRECT($P358))&gt;0,IF(AND(INDIRECT($Q358)&lt;L$1/24,INDIRECT($R358)&gt;K$1/24),"x",""),""),"")</f>
        <v/>
      </c>
      <c r="L358" t="str" cm="1">
        <f t="array" aca="1" ref="L358" ca="1">IF(T358="Sócio",IF(COUNTIF(Opções!$H$2:$H$13,INDIRECT($P358))&gt;0,IF(AND(INDIRECT($Q358)&lt;M$1/24,INDIRECT($R358)&gt;L$1/24),"x",""),""),"")</f>
        <v/>
      </c>
      <c r="M358" t="str" cm="1">
        <f t="array" aca="1" ref="M358" ca="1">IF(T358="Sócio",IF(COUNTIF(Opções!$H$2:$H$13,INDIRECT($P358))&gt;0,IF(AND(INDIRECT($Q358)&lt;N$1/24,INDIRECT($R358)&gt;M$1/24),"x",""),""),"")</f>
        <v/>
      </c>
      <c r="N358" t="str" cm="1">
        <f t="array" aca="1" ref="N358" ca="1">IF(T358="Sócio",IF(COUNTIF(Opções!$H$2:$H$13,INDIRECT($P358))&gt;0,IF(AND(INDIRECT($Q358)&lt;O$1/24,INDIRECT($R358)&gt;N$1/24),"x",""),""),"")</f>
        <v/>
      </c>
      <c r="O358" t="str" cm="1">
        <f t="array" aca="1" ref="O358" ca="1">IF(T358="Sócio",IF(COUNTIF(Opções!$H$2:$H$13,INDIRECT($P358))&gt;0,IF(AND(INDIRECT($Q358)&lt;P$1/24,INDIRECT($R358)&gt;O$1/24),"x",""),""),"")</f>
        <v/>
      </c>
      <c r="P358" t="str">
        <f t="shared" si="68"/>
        <v>$E358</v>
      </c>
      <c r="Q358" t="str">
        <f t="shared" si="66"/>
        <v>$F358</v>
      </c>
      <c r="R358" t="str">
        <f t="shared" si="67"/>
        <v>$G358</v>
      </c>
      <c r="S358" t="str">
        <f t="shared" si="69"/>
        <v>$D358</v>
      </c>
      <c r="T358" t="str" cm="1">
        <f t="array" aca="1" ref="T358" ca="1">IFERROR(VLOOKUP(INDIRECT(S358),Equipe!A:C,3,0),"")</f>
        <v/>
      </c>
    </row>
    <row r="359" spans="10:20" x14ac:dyDescent="0.3">
      <c r="J359" s="21" t="str">
        <f t="shared" ca="1" si="70"/>
        <v/>
      </c>
      <c r="K359" t="str" cm="1">
        <f t="array" aca="1" ref="K359" ca="1">IF(T359="Sócio",IF(COUNTIF(Opções!$H$2:$H$13,INDIRECT($P359))&gt;0,IF(AND(INDIRECT($Q359)&lt;L$1/24,INDIRECT($R359)&gt;K$1/24),"x",""),""),"")</f>
        <v/>
      </c>
      <c r="L359" t="str" cm="1">
        <f t="array" aca="1" ref="L359" ca="1">IF(T359="Sócio",IF(COUNTIF(Opções!$H$2:$H$13,INDIRECT($P359))&gt;0,IF(AND(INDIRECT($Q359)&lt;M$1/24,INDIRECT($R359)&gt;L$1/24),"x",""),""),"")</f>
        <v/>
      </c>
      <c r="M359" t="str" cm="1">
        <f t="array" aca="1" ref="M359" ca="1">IF(T359="Sócio",IF(COUNTIF(Opções!$H$2:$H$13,INDIRECT($P359))&gt;0,IF(AND(INDIRECT($Q359)&lt;N$1/24,INDIRECT($R359)&gt;M$1/24),"x",""),""),"")</f>
        <v/>
      </c>
      <c r="N359" t="str" cm="1">
        <f t="array" aca="1" ref="N359" ca="1">IF(T359="Sócio",IF(COUNTIF(Opções!$H$2:$H$13,INDIRECT($P359))&gt;0,IF(AND(INDIRECT($Q359)&lt;O$1/24,INDIRECT($R359)&gt;N$1/24),"x",""),""),"")</f>
        <v/>
      </c>
      <c r="O359" t="str" cm="1">
        <f t="array" aca="1" ref="O359" ca="1">IF(T359="Sócio",IF(COUNTIF(Opções!$H$2:$H$13,INDIRECT($P359))&gt;0,IF(AND(INDIRECT($Q359)&lt;P$1/24,INDIRECT($R359)&gt;O$1/24),"x",""),""),"")</f>
        <v/>
      </c>
      <c r="P359" t="str">
        <f t="shared" si="68"/>
        <v>$E359</v>
      </c>
      <c r="Q359" t="str">
        <f t="shared" si="66"/>
        <v>$F359</v>
      </c>
      <c r="R359" t="str">
        <f t="shared" si="67"/>
        <v>$G359</v>
      </c>
      <c r="S359" t="str">
        <f t="shared" si="69"/>
        <v>$D359</v>
      </c>
      <c r="T359" t="str" cm="1">
        <f t="array" aca="1" ref="T359" ca="1">IFERROR(VLOOKUP(INDIRECT(S359),Equipe!A:C,3,0),"")</f>
        <v/>
      </c>
    </row>
    <row r="360" spans="10:20" x14ac:dyDescent="0.3">
      <c r="J360" s="21" t="str">
        <f t="shared" ca="1" si="70"/>
        <v/>
      </c>
      <c r="K360" t="str" cm="1">
        <f t="array" aca="1" ref="K360" ca="1">IF(T360="Sócio",IF(COUNTIF(Opções!$H$2:$H$13,INDIRECT($P360))&gt;0,IF(AND(INDIRECT($Q360)&lt;L$1/24,INDIRECT($R360)&gt;K$1/24),"x",""),""),"")</f>
        <v/>
      </c>
      <c r="L360" t="str" cm="1">
        <f t="array" aca="1" ref="L360" ca="1">IF(T360="Sócio",IF(COUNTIF(Opções!$H$2:$H$13,INDIRECT($P360))&gt;0,IF(AND(INDIRECT($Q360)&lt;M$1/24,INDIRECT($R360)&gt;L$1/24),"x",""),""),"")</f>
        <v/>
      </c>
      <c r="M360" t="str" cm="1">
        <f t="array" aca="1" ref="M360" ca="1">IF(T360="Sócio",IF(COUNTIF(Opções!$H$2:$H$13,INDIRECT($P360))&gt;0,IF(AND(INDIRECT($Q360)&lt;N$1/24,INDIRECT($R360)&gt;M$1/24),"x",""),""),"")</f>
        <v/>
      </c>
      <c r="N360" t="str" cm="1">
        <f t="array" aca="1" ref="N360" ca="1">IF(T360="Sócio",IF(COUNTIF(Opções!$H$2:$H$13,INDIRECT($P360))&gt;0,IF(AND(INDIRECT($Q360)&lt;O$1/24,INDIRECT($R360)&gt;N$1/24),"x",""),""),"")</f>
        <v/>
      </c>
      <c r="O360" t="str" cm="1">
        <f t="array" aca="1" ref="O360" ca="1">IF(T360="Sócio",IF(COUNTIF(Opções!$H$2:$H$13,INDIRECT($P360))&gt;0,IF(AND(INDIRECT($Q360)&lt;P$1/24,INDIRECT($R360)&gt;O$1/24),"x",""),""),"")</f>
        <v/>
      </c>
      <c r="P360" t="str">
        <f t="shared" si="68"/>
        <v>$E360</v>
      </c>
      <c r="Q360" t="str">
        <f t="shared" ref="Q360:Q384" si="71">"$F"&amp;ROW(O360)</f>
        <v>$F360</v>
      </c>
      <c r="R360" t="str">
        <f t="shared" ref="R360:R384" si="72">"$G"&amp;ROW(Q360)</f>
        <v>$G360</v>
      </c>
      <c r="S360" t="str">
        <f t="shared" si="69"/>
        <v>$D360</v>
      </c>
      <c r="T360" t="str" cm="1">
        <f t="array" aca="1" ref="T360" ca="1">IFERROR(VLOOKUP(INDIRECT(S360),Equipe!A:C,3,0),"")</f>
        <v/>
      </c>
    </row>
    <row r="361" spans="10:20" x14ac:dyDescent="0.3">
      <c r="J361" s="21" t="str">
        <f t="shared" ca="1" si="70"/>
        <v/>
      </c>
      <c r="K361" t="str" cm="1">
        <f t="array" aca="1" ref="K361" ca="1">IF(T361="Sócio",IF(COUNTIF(Opções!$H$2:$H$13,INDIRECT($P361))&gt;0,IF(AND(INDIRECT($Q361)&lt;L$1/24,INDIRECT($R361)&gt;K$1/24),"x",""),""),"")</f>
        <v/>
      </c>
      <c r="L361" t="str" cm="1">
        <f t="array" aca="1" ref="L361" ca="1">IF(T361="Sócio",IF(COUNTIF(Opções!$H$2:$H$13,INDIRECT($P361))&gt;0,IF(AND(INDIRECT($Q361)&lt;M$1/24,INDIRECT($R361)&gt;L$1/24),"x",""),""),"")</f>
        <v/>
      </c>
      <c r="M361" t="str" cm="1">
        <f t="array" aca="1" ref="M361" ca="1">IF(T361="Sócio",IF(COUNTIF(Opções!$H$2:$H$13,INDIRECT($P361))&gt;0,IF(AND(INDIRECT($Q361)&lt;N$1/24,INDIRECT($R361)&gt;M$1/24),"x",""),""),"")</f>
        <v/>
      </c>
      <c r="N361" t="str" cm="1">
        <f t="array" aca="1" ref="N361" ca="1">IF(T361="Sócio",IF(COUNTIF(Opções!$H$2:$H$13,INDIRECT($P361))&gt;0,IF(AND(INDIRECT($Q361)&lt;O$1/24,INDIRECT($R361)&gt;N$1/24),"x",""),""),"")</f>
        <v/>
      </c>
      <c r="O361" t="str" cm="1">
        <f t="array" aca="1" ref="O361" ca="1">IF(T361="Sócio",IF(COUNTIF(Opções!$H$2:$H$13,INDIRECT($P361))&gt;0,IF(AND(INDIRECT($Q361)&lt;P$1/24,INDIRECT($R361)&gt;O$1/24),"x",""),""),"")</f>
        <v/>
      </c>
      <c r="P361" t="str">
        <f t="shared" si="68"/>
        <v>$E361</v>
      </c>
      <c r="Q361" t="str">
        <f t="shared" si="71"/>
        <v>$F361</v>
      </c>
      <c r="R361" t="str">
        <f t="shared" si="72"/>
        <v>$G361</v>
      </c>
      <c r="S361" t="str">
        <f t="shared" si="69"/>
        <v>$D361</v>
      </c>
      <c r="T361" t="str" cm="1">
        <f t="array" aca="1" ref="T361" ca="1">IFERROR(VLOOKUP(INDIRECT(S361),Equipe!A:C,3,0),"")</f>
        <v/>
      </c>
    </row>
    <row r="362" spans="10:20" x14ac:dyDescent="0.3">
      <c r="J362" s="21" t="str">
        <f t="shared" ca="1" si="70"/>
        <v/>
      </c>
      <c r="K362" t="str" cm="1">
        <f t="array" aca="1" ref="K362" ca="1">IF(T362="Sócio",IF(COUNTIF(Opções!$H$2:$H$13,INDIRECT($P362))&gt;0,IF(AND(INDIRECT($Q362)&lt;L$1/24,INDIRECT($R362)&gt;K$1/24),"x",""),""),"")</f>
        <v/>
      </c>
      <c r="L362" t="str" cm="1">
        <f t="array" aca="1" ref="L362" ca="1">IF(T362="Sócio",IF(COUNTIF(Opções!$H$2:$H$13,INDIRECT($P362))&gt;0,IF(AND(INDIRECT($Q362)&lt;M$1/24,INDIRECT($R362)&gt;L$1/24),"x",""),""),"")</f>
        <v/>
      </c>
      <c r="M362" t="str" cm="1">
        <f t="array" aca="1" ref="M362" ca="1">IF(T362="Sócio",IF(COUNTIF(Opções!$H$2:$H$13,INDIRECT($P362))&gt;0,IF(AND(INDIRECT($Q362)&lt;N$1/24,INDIRECT($R362)&gt;M$1/24),"x",""),""),"")</f>
        <v/>
      </c>
      <c r="N362" t="str" cm="1">
        <f t="array" aca="1" ref="N362" ca="1">IF(T362="Sócio",IF(COUNTIF(Opções!$H$2:$H$13,INDIRECT($P362))&gt;0,IF(AND(INDIRECT($Q362)&lt;O$1/24,INDIRECT($R362)&gt;N$1/24),"x",""),""),"")</f>
        <v/>
      </c>
      <c r="O362" t="str" cm="1">
        <f t="array" aca="1" ref="O362" ca="1">IF(T362="Sócio",IF(COUNTIF(Opções!$H$2:$H$13,INDIRECT($P362))&gt;0,IF(AND(INDIRECT($Q362)&lt;P$1/24,INDIRECT($R362)&gt;O$1/24),"x",""),""),"")</f>
        <v/>
      </c>
      <c r="P362" t="str">
        <f t="shared" si="68"/>
        <v>$E362</v>
      </c>
      <c r="Q362" t="str">
        <f t="shared" si="71"/>
        <v>$F362</v>
      </c>
      <c r="R362" t="str">
        <f t="shared" si="72"/>
        <v>$G362</v>
      </c>
      <c r="S362" t="str">
        <f t="shared" si="69"/>
        <v>$D362</v>
      </c>
      <c r="T362" t="str" cm="1">
        <f t="array" aca="1" ref="T362" ca="1">IFERROR(VLOOKUP(INDIRECT(S362),Equipe!A:C,3,0),"")</f>
        <v/>
      </c>
    </row>
    <row r="363" spans="10:20" x14ac:dyDescent="0.3">
      <c r="J363" s="21" t="str">
        <f t="shared" ca="1" si="70"/>
        <v/>
      </c>
      <c r="K363" t="str" cm="1">
        <f t="array" aca="1" ref="K363" ca="1">IF(T363="Sócio",IF(COUNTIF(Opções!$H$2:$H$13,INDIRECT($P363))&gt;0,IF(AND(INDIRECT($Q363)&lt;L$1/24,INDIRECT($R363)&gt;K$1/24),"x",""),""),"")</f>
        <v/>
      </c>
      <c r="L363" t="str" cm="1">
        <f t="array" aca="1" ref="L363" ca="1">IF(T363="Sócio",IF(COUNTIF(Opções!$H$2:$H$13,INDIRECT($P363))&gt;0,IF(AND(INDIRECT($Q363)&lt;M$1/24,INDIRECT($R363)&gt;L$1/24),"x",""),""),"")</f>
        <v/>
      </c>
      <c r="M363" t="str" cm="1">
        <f t="array" aca="1" ref="M363" ca="1">IF(T363="Sócio",IF(COUNTIF(Opções!$H$2:$H$13,INDIRECT($P363))&gt;0,IF(AND(INDIRECT($Q363)&lt;N$1/24,INDIRECT($R363)&gt;M$1/24),"x",""),""),"")</f>
        <v/>
      </c>
      <c r="N363" t="str" cm="1">
        <f t="array" aca="1" ref="N363" ca="1">IF(T363="Sócio",IF(COUNTIF(Opções!$H$2:$H$13,INDIRECT($P363))&gt;0,IF(AND(INDIRECT($Q363)&lt;O$1/24,INDIRECT($R363)&gt;N$1/24),"x",""),""),"")</f>
        <v/>
      </c>
      <c r="O363" t="str" cm="1">
        <f t="array" aca="1" ref="O363" ca="1">IF(T363="Sócio",IF(COUNTIF(Opções!$H$2:$H$13,INDIRECT($P363))&gt;0,IF(AND(INDIRECT($Q363)&lt;P$1/24,INDIRECT($R363)&gt;O$1/24),"x",""),""),"")</f>
        <v/>
      </c>
      <c r="P363" t="str">
        <f t="shared" si="68"/>
        <v>$E363</v>
      </c>
      <c r="Q363" t="str">
        <f t="shared" si="71"/>
        <v>$F363</v>
      </c>
      <c r="R363" t="str">
        <f t="shared" si="72"/>
        <v>$G363</v>
      </c>
      <c r="S363" t="str">
        <f t="shared" si="69"/>
        <v>$D363</v>
      </c>
      <c r="T363" t="str" cm="1">
        <f t="array" aca="1" ref="T363" ca="1">IFERROR(VLOOKUP(INDIRECT(S363),Equipe!A:C,3,0),"")</f>
        <v/>
      </c>
    </row>
    <row r="364" spans="10:20" x14ac:dyDescent="0.3">
      <c r="J364" s="21" t="str">
        <f t="shared" ca="1" si="70"/>
        <v/>
      </c>
      <c r="K364" t="str" cm="1">
        <f t="array" aca="1" ref="K364" ca="1">IF(T364="Sócio",IF(COUNTIF(Opções!$H$2:$H$13,INDIRECT($P364))&gt;0,IF(AND(INDIRECT($Q364)&lt;L$1/24,INDIRECT($R364)&gt;K$1/24),"x",""),""),"")</f>
        <v/>
      </c>
      <c r="L364" t="str" cm="1">
        <f t="array" aca="1" ref="L364" ca="1">IF(T364="Sócio",IF(COUNTIF(Opções!$H$2:$H$13,INDIRECT($P364))&gt;0,IF(AND(INDIRECT($Q364)&lt;M$1/24,INDIRECT($R364)&gt;L$1/24),"x",""),""),"")</f>
        <v/>
      </c>
      <c r="M364" t="str" cm="1">
        <f t="array" aca="1" ref="M364" ca="1">IF(T364="Sócio",IF(COUNTIF(Opções!$H$2:$H$13,INDIRECT($P364))&gt;0,IF(AND(INDIRECT($Q364)&lt;N$1/24,INDIRECT($R364)&gt;M$1/24),"x",""),""),"")</f>
        <v/>
      </c>
      <c r="N364" t="str" cm="1">
        <f t="array" aca="1" ref="N364" ca="1">IF(T364="Sócio",IF(COUNTIF(Opções!$H$2:$H$13,INDIRECT($P364))&gt;0,IF(AND(INDIRECT($Q364)&lt;O$1/24,INDIRECT($R364)&gt;N$1/24),"x",""),""),"")</f>
        <v/>
      </c>
      <c r="O364" t="str" cm="1">
        <f t="array" aca="1" ref="O364" ca="1">IF(T364="Sócio",IF(COUNTIF(Opções!$H$2:$H$13,INDIRECT($P364))&gt;0,IF(AND(INDIRECT($Q364)&lt;P$1/24,INDIRECT($R364)&gt;O$1/24),"x",""),""),"")</f>
        <v/>
      </c>
      <c r="P364" t="str">
        <f t="shared" si="68"/>
        <v>$E364</v>
      </c>
      <c r="Q364" t="str">
        <f t="shared" si="71"/>
        <v>$F364</v>
      </c>
      <c r="R364" t="str">
        <f t="shared" si="72"/>
        <v>$G364</v>
      </c>
      <c r="S364" t="str">
        <f t="shared" si="69"/>
        <v>$D364</v>
      </c>
      <c r="T364" t="str" cm="1">
        <f t="array" aca="1" ref="T364" ca="1">IFERROR(VLOOKUP(INDIRECT(S364),Equipe!A:C,3,0),"")</f>
        <v/>
      </c>
    </row>
    <row r="365" spans="10:20" x14ac:dyDescent="0.3">
      <c r="J365" s="21" t="str">
        <f t="shared" ca="1" si="70"/>
        <v/>
      </c>
      <c r="K365" t="str" cm="1">
        <f t="array" aca="1" ref="K365" ca="1">IF(T365="Sócio",IF(COUNTIF(Opções!$H$2:$H$13,INDIRECT($P365))&gt;0,IF(AND(INDIRECT($Q365)&lt;L$1/24,INDIRECT($R365)&gt;K$1/24),"x",""),""),"")</f>
        <v/>
      </c>
      <c r="L365" t="str" cm="1">
        <f t="array" aca="1" ref="L365" ca="1">IF(T365="Sócio",IF(COUNTIF(Opções!$H$2:$H$13,INDIRECT($P365))&gt;0,IF(AND(INDIRECT($Q365)&lt;M$1/24,INDIRECT($R365)&gt;L$1/24),"x",""),""),"")</f>
        <v/>
      </c>
      <c r="M365" t="str" cm="1">
        <f t="array" aca="1" ref="M365" ca="1">IF(T365="Sócio",IF(COUNTIF(Opções!$H$2:$H$13,INDIRECT($P365))&gt;0,IF(AND(INDIRECT($Q365)&lt;N$1/24,INDIRECT($R365)&gt;M$1/24),"x",""),""),"")</f>
        <v/>
      </c>
      <c r="N365" t="str" cm="1">
        <f t="array" aca="1" ref="N365" ca="1">IF(T365="Sócio",IF(COUNTIF(Opções!$H$2:$H$13,INDIRECT($P365))&gt;0,IF(AND(INDIRECT($Q365)&lt;O$1/24,INDIRECT($R365)&gt;N$1/24),"x",""),""),"")</f>
        <v/>
      </c>
      <c r="O365" t="str" cm="1">
        <f t="array" aca="1" ref="O365" ca="1">IF(T365="Sócio",IF(COUNTIF(Opções!$H$2:$H$13,INDIRECT($P365))&gt;0,IF(AND(INDIRECT($Q365)&lt;P$1/24,INDIRECT($R365)&gt;O$1/24),"x",""),""),"")</f>
        <v/>
      </c>
      <c r="P365" t="str">
        <f t="shared" si="68"/>
        <v>$E365</v>
      </c>
      <c r="Q365" t="str">
        <f t="shared" si="71"/>
        <v>$F365</v>
      </c>
      <c r="R365" t="str">
        <f t="shared" si="72"/>
        <v>$G365</v>
      </c>
      <c r="S365" t="str">
        <f t="shared" si="69"/>
        <v>$D365</v>
      </c>
      <c r="T365" t="str" cm="1">
        <f t="array" aca="1" ref="T365" ca="1">IFERROR(VLOOKUP(INDIRECT(S365),Equipe!A:C,3,0),"")</f>
        <v/>
      </c>
    </row>
    <row r="366" spans="10:20" x14ac:dyDescent="0.3">
      <c r="J366" s="21" t="str">
        <f t="shared" ca="1" si="70"/>
        <v/>
      </c>
      <c r="K366" t="str" cm="1">
        <f t="array" aca="1" ref="K366" ca="1">IF(T366="Sócio",IF(COUNTIF(Opções!$H$2:$H$13,INDIRECT($P366))&gt;0,IF(AND(INDIRECT($Q366)&lt;L$1/24,INDIRECT($R366)&gt;K$1/24),"x",""),""),"")</f>
        <v/>
      </c>
      <c r="L366" t="str" cm="1">
        <f t="array" aca="1" ref="L366" ca="1">IF(T366="Sócio",IF(COUNTIF(Opções!$H$2:$H$13,INDIRECT($P366))&gt;0,IF(AND(INDIRECT($Q366)&lt;M$1/24,INDIRECT($R366)&gt;L$1/24),"x",""),""),"")</f>
        <v/>
      </c>
      <c r="M366" t="str" cm="1">
        <f t="array" aca="1" ref="M366" ca="1">IF(T366="Sócio",IF(COUNTIF(Opções!$H$2:$H$13,INDIRECT($P366))&gt;0,IF(AND(INDIRECT($Q366)&lt;N$1/24,INDIRECT($R366)&gt;M$1/24),"x",""),""),"")</f>
        <v/>
      </c>
      <c r="N366" t="str" cm="1">
        <f t="array" aca="1" ref="N366" ca="1">IF(T366="Sócio",IF(COUNTIF(Opções!$H$2:$H$13,INDIRECT($P366))&gt;0,IF(AND(INDIRECT($Q366)&lt;O$1/24,INDIRECT($R366)&gt;N$1/24),"x",""),""),"")</f>
        <v/>
      </c>
      <c r="O366" t="str" cm="1">
        <f t="array" aca="1" ref="O366" ca="1">IF(T366="Sócio",IF(COUNTIF(Opções!$H$2:$H$13,INDIRECT($P366))&gt;0,IF(AND(INDIRECT($Q366)&lt;P$1/24,INDIRECT($R366)&gt;O$1/24),"x",""),""),"")</f>
        <v/>
      </c>
      <c r="P366" t="str">
        <f t="shared" si="68"/>
        <v>$E366</v>
      </c>
      <c r="Q366" t="str">
        <f t="shared" si="71"/>
        <v>$F366</v>
      </c>
      <c r="R366" t="str">
        <f t="shared" si="72"/>
        <v>$G366</v>
      </c>
      <c r="S366" t="str">
        <f t="shared" si="69"/>
        <v>$D366</v>
      </c>
      <c r="T366" t="str" cm="1">
        <f t="array" aca="1" ref="T366" ca="1">IFERROR(VLOOKUP(INDIRECT(S366),Equipe!A:C,3,0),"")</f>
        <v/>
      </c>
    </row>
    <row r="367" spans="10:20" x14ac:dyDescent="0.3">
      <c r="J367" s="21" t="str">
        <f t="shared" ca="1" si="70"/>
        <v/>
      </c>
      <c r="K367" t="str" cm="1">
        <f t="array" aca="1" ref="K367" ca="1">IF(T367="Sócio",IF(COUNTIF(Opções!$H$2:$H$13,INDIRECT($P367))&gt;0,IF(AND(INDIRECT($Q367)&lt;L$1/24,INDIRECT($R367)&gt;K$1/24),"x",""),""),"")</f>
        <v/>
      </c>
      <c r="L367" t="str" cm="1">
        <f t="array" aca="1" ref="L367" ca="1">IF(T367="Sócio",IF(COUNTIF(Opções!$H$2:$H$13,INDIRECT($P367))&gt;0,IF(AND(INDIRECT($Q367)&lt;M$1/24,INDIRECT($R367)&gt;L$1/24),"x",""),""),"")</f>
        <v/>
      </c>
      <c r="M367" t="str" cm="1">
        <f t="array" aca="1" ref="M367" ca="1">IF(T367="Sócio",IF(COUNTIF(Opções!$H$2:$H$13,INDIRECT($P367))&gt;0,IF(AND(INDIRECT($Q367)&lt;N$1/24,INDIRECT($R367)&gt;M$1/24),"x",""),""),"")</f>
        <v/>
      </c>
      <c r="N367" t="str" cm="1">
        <f t="array" aca="1" ref="N367" ca="1">IF(T367="Sócio",IF(COUNTIF(Opções!$H$2:$H$13,INDIRECT($P367))&gt;0,IF(AND(INDIRECT($Q367)&lt;O$1/24,INDIRECT($R367)&gt;N$1/24),"x",""),""),"")</f>
        <v/>
      </c>
      <c r="O367" t="str" cm="1">
        <f t="array" aca="1" ref="O367" ca="1">IF(T367="Sócio",IF(COUNTIF(Opções!$H$2:$H$13,INDIRECT($P367))&gt;0,IF(AND(INDIRECT($Q367)&lt;P$1/24,INDIRECT($R367)&gt;O$1/24),"x",""),""),"")</f>
        <v/>
      </c>
      <c r="P367" t="str">
        <f t="shared" si="68"/>
        <v>$E367</v>
      </c>
      <c r="Q367" t="str">
        <f t="shared" si="71"/>
        <v>$F367</v>
      </c>
      <c r="R367" t="str">
        <f t="shared" si="72"/>
        <v>$G367</v>
      </c>
      <c r="S367" t="str">
        <f t="shared" si="69"/>
        <v>$D367</v>
      </c>
      <c r="T367" t="str" cm="1">
        <f t="array" aca="1" ref="T367" ca="1">IFERROR(VLOOKUP(INDIRECT(S367),Equipe!A:C,3,0),"")</f>
        <v/>
      </c>
    </row>
    <row r="368" spans="10:20" x14ac:dyDescent="0.3">
      <c r="J368" s="21" t="str">
        <f t="shared" ca="1" si="70"/>
        <v/>
      </c>
      <c r="K368" t="str" cm="1">
        <f t="array" aca="1" ref="K368" ca="1">IF(T368="Sócio",IF(COUNTIF(Opções!$H$2:$H$13,INDIRECT($P368))&gt;0,IF(AND(INDIRECT($Q368)&lt;L$1/24,INDIRECT($R368)&gt;K$1/24),"x",""),""),"")</f>
        <v/>
      </c>
      <c r="L368" t="str" cm="1">
        <f t="array" aca="1" ref="L368" ca="1">IF(T368="Sócio",IF(COUNTIF(Opções!$H$2:$H$13,INDIRECT($P368))&gt;0,IF(AND(INDIRECT($Q368)&lt;M$1/24,INDIRECT($R368)&gt;L$1/24),"x",""),""),"")</f>
        <v/>
      </c>
      <c r="M368" t="str" cm="1">
        <f t="array" aca="1" ref="M368" ca="1">IF(T368="Sócio",IF(COUNTIF(Opções!$H$2:$H$13,INDIRECT($P368))&gt;0,IF(AND(INDIRECT($Q368)&lt;N$1/24,INDIRECT($R368)&gt;M$1/24),"x",""),""),"")</f>
        <v/>
      </c>
      <c r="N368" t="str" cm="1">
        <f t="array" aca="1" ref="N368" ca="1">IF(T368="Sócio",IF(COUNTIF(Opções!$H$2:$H$13,INDIRECT($P368))&gt;0,IF(AND(INDIRECT($Q368)&lt;O$1/24,INDIRECT($R368)&gt;N$1/24),"x",""),""),"")</f>
        <v/>
      </c>
      <c r="O368" t="str" cm="1">
        <f t="array" aca="1" ref="O368" ca="1">IF(T368="Sócio",IF(COUNTIF(Opções!$H$2:$H$13,INDIRECT($P368))&gt;0,IF(AND(INDIRECT($Q368)&lt;P$1/24,INDIRECT($R368)&gt;O$1/24),"x",""),""),"")</f>
        <v/>
      </c>
      <c r="P368" t="str">
        <f t="shared" si="68"/>
        <v>$E368</v>
      </c>
      <c r="Q368" t="str">
        <f t="shared" si="71"/>
        <v>$F368</v>
      </c>
      <c r="R368" t="str">
        <f t="shared" si="72"/>
        <v>$G368</v>
      </c>
      <c r="S368" t="str">
        <f t="shared" si="69"/>
        <v>$D368</v>
      </c>
      <c r="T368" t="str" cm="1">
        <f t="array" aca="1" ref="T368" ca="1">IFERROR(VLOOKUP(INDIRECT(S368),Equipe!A:C,3,0),"")</f>
        <v/>
      </c>
    </row>
    <row r="369" spans="10:20" x14ac:dyDescent="0.3">
      <c r="J369" s="21" t="str">
        <f t="shared" ca="1" si="70"/>
        <v/>
      </c>
      <c r="K369" t="str" cm="1">
        <f t="array" aca="1" ref="K369" ca="1">IF(T369="Sócio",IF(COUNTIF(Opções!$H$2:$H$13,INDIRECT($P369))&gt;0,IF(AND(INDIRECT($Q369)&lt;L$1/24,INDIRECT($R369)&gt;K$1/24),"x",""),""),"")</f>
        <v/>
      </c>
      <c r="L369" t="str" cm="1">
        <f t="array" aca="1" ref="L369" ca="1">IF(T369="Sócio",IF(COUNTIF(Opções!$H$2:$H$13,INDIRECT($P369))&gt;0,IF(AND(INDIRECT($Q369)&lt;M$1/24,INDIRECT($R369)&gt;L$1/24),"x",""),""),"")</f>
        <v/>
      </c>
      <c r="M369" t="str" cm="1">
        <f t="array" aca="1" ref="M369" ca="1">IF(T369="Sócio",IF(COUNTIF(Opções!$H$2:$H$13,INDIRECT($P369))&gt;0,IF(AND(INDIRECT($Q369)&lt;N$1/24,INDIRECT($R369)&gt;M$1/24),"x",""),""),"")</f>
        <v/>
      </c>
      <c r="N369" t="str" cm="1">
        <f t="array" aca="1" ref="N369" ca="1">IF(T369="Sócio",IF(COUNTIF(Opções!$H$2:$H$13,INDIRECT($P369))&gt;0,IF(AND(INDIRECT($Q369)&lt;O$1/24,INDIRECT($R369)&gt;N$1/24),"x",""),""),"")</f>
        <v/>
      </c>
      <c r="O369" t="str" cm="1">
        <f t="array" aca="1" ref="O369" ca="1">IF(T369="Sócio",IF(COUNTIF(Opções!$H$2:$H$13,INDIRECT($P369))&gt;0,IF(AND(INDIRECT($Q369)&lt;P$1/24,INDIRECT($R369)&gt;O$1/24),"x",""),""),"")</f>
        <v/>
      </c>
      <c r="P369" t="str">
        <f t="shared" si="68"/>
        <v>$E369</v>
      </c>
      <c r="Q369" t="str">
        <f t="shared" si="71"/>
        <v>$F369</v>
      </c>
      <c r="R369" t="str">
        <f t="shared" si="72"/>
        <v>$G369</v>
      </c>
      <c r="S369" t="str">
        <f t="shared" si="69"/>
        <v>$D369</v>
      </c>
      <c r="T369" t="str" cm="1">
        <f t="array" aca="1" ref="T369" ca="1">IFERROR(VLOOKUP(INDIRECT(S369),Equipe!A:C,3,0),"")</f>
        <v/>
      </c>
    </row>
    <row r="370" spans="10:20" x14ac:dyDescent="0.3">
      <c r="J370" s="21" t="str">
        <f t="shared" ca="1" si="70"/>
        <v/>
      </c>
      <c r="K370" t="str" cm="1">
        <f t="array" aca="1" ref="K370" ca="1">IF(T370="Sócio",IF(COUNTIF(Opções!$H$2:$H$13,INDIRECT($P370))&gt;0,IF(AND(INDIRECT($Q370)&lt;L$1/24,INDIRECT($R370)&gt;K$1/24),"x",""),""),"")</f>
        <v/>
      </c>
      <c r="L370" t="str" cm="1">
        <f t="array" aca="1" ref="L370" ca="1">IF(T370="Sócio",IF(COUNTIF(Opções!$H$2:$H$13,INDIRECT($P370))&gt;0,IF(AND(INDIRECT($Q370)&lt;M$1/24,INDIRECT($R370)&gt;L$1/24),"x",""),""),"")</f>
        <v/>
      </c>
      <c r="M370" t="str" cm="1">
        <f t="array" aca="1" ref="M370" ca="1">IF(T370="Sócio",IF(COUNTIF(Opções!$H$2:$H$13,INDIRECT($P370))&gt;0,IF(AND(INDIRECT($Q370)&lt;N$1/24,INDIRECT($R370)&gt;M$1/24),"x",""),""),"")</f>
        <v/>
      </c>
      <c r="N370" t="str" cm="1">
        <f t="array" aca="1" ref="N370" ca="1">IF(T370="Sócio",IF(COUNTIF(Opções!$H$2:$H$13,INDIRECT($P370))&gt;0,IF(AND(INDIRECT($Q370)&lt;O$1/24,INDIRECT($R370)&gt;N$1/24),"x",""),""),"")</f>
        <v/>
      </c>
      <c r="O370" t="str" cm="1">
        <f t="array" aca="1" ref="O370" ca="1">IF(T370="Sócio",IF(COUNTIF(Opções!$H$2:$H$13,INDIRECT($P370))&gt;0,IF(AND(INDIRECT($Q370)&lt;P$1/24,INDIRECT($R370)&gt;O$1/24),"x",""),""),"")</f>
        <v/>
      </c>
      <c r="P370" t="str">
        <f t="shared" si="68"/>
        <v>$E370</v>
      </c>
      <c r="Q370" t="str">
        <f t="shared" si="71"/>
        <v>$F370</v>
      </c>
      <c r="R370" t="str">
        <f t="shared" si="72"/>
        <v>$G370</v>
      </c>
      <c r="S370" t="str">
        <f t="shared" si="69"/>
        <v>$D370</v>
      </c>
      <c r="T370" t="str" cm="1">
        <f t="array" aca="1" ref="T370" ca="1">IFERROR(VLOOKUP(INDIRECT(S370),Equipe!A:C,3,0),"")</f>
        <v/>
      </c>
    </row>
    <row r="371" spans="10:20" x14ac:dyDescent="0.3">
      <c r="J371" s="21" t="str">
        <f t="shared" ca="1" si="70"/>
        <v/>
      </c>
      <c r="K371" t="str" cm="1">
        <f t="array" aca="1" ref="K371" ca="1">IF(T371="Sócio",IF(COUNTIF(Opções!$H$2:$H$13,INDIRECT($P371))&gt;0,IF(AND(INDIRECT($Q371)&lt;L$1/24,INDIRECT($R371)&gt;K$1/24),"x",""),""),"")</f>
        <v/>
      </c>
      <c r="L371" t="str" cm="1">
        <f t="array" aca="1" ref="L371" ca="1">IF(T371="Sócio",IF(COUNTIF(Opções!$H$2:$H$13,INDIRECT($P371))&gt;0,IF(AND(INDIRECT($Q371)&lt;M$1/24,INDIRECT($R371)&gt;L$1/24),"x",""),""),"")</f>
        <v/>
      </c>
      <c r="M371" t="str" cm="1">
        <f t="array" aca="1" ref="M371" ca="1">IF(T371="Sócio",IF(COUNTIF(Opções!$H$2:$H$13,INDIRECT($P371))&gt;0,IF(AND(INDIRECT($Q371)&lt;N$1/24,INDIRECT($R371)&gt;M$1/24),"x",""),""),"")</f>
        <v/>
      </c>
      <c r="N371" t="str" cm="1">
        <f t="array" aca="1" ref="N371" ca="1">IF(T371="Sócio",IF(COUNTIF(Opções!$H$2:$H$13,INDIRECT($P371))&gt;0,IF(AND(INDIRECT($Q371)&lt;O$1/24,INDIRECT($R371)&gt;N$1/24),"x",""),""),"")</f>
        <v/>
      </c>
      <c r="O371" t="str" cm="1">
        <f t="array" aca="1" ref="O371" ca="1">IF(T371="Sócio",IF(COUNTIF(Opções!$H$2:$H$13,INDIRECT($P371))&gt;0,IF(AND(INDIRECT($Q371)&lt;P$1/24,INDIRECT($R371)&gt;O$1/24),"x",""),""),"")</f>
        <v/>
      </c>
      <c r="P371" t="str">
        <f t="shared" si="68"/>
        <v>$E371</v>
      </c>
      <c r="Q371" t="str">
        <f t="shared" si="71"/>
        <v>$F371</v>
      </c>
      <c r="R371" t="str">
        <f t="shared" si="72"/>
        <v>$G371</v>
      </c>
      <c r="S371" t="str">
        <f t="shared" si="69"/>
        <v>$D371</v>
      </c>
      <c r="T371" t="str" cm="1">
        <f t="array" aca="1" ref="T371" ca="1">IFERROR(VLOOKUP(INDIRECT(S371),Equipe!A:C,3,0),"")</f>
        <v/>
      </c>
    </row>
    <row r="372" spans="10:20" x14ac:dyDescent="0.3">
      <c r="J372" s="21" t="str">
        <f t="shared" ca="1" si="70"/>
        <v/>
      </c>
      <c r="K372" t="str" cm="1">
        <f t="array" aca="1" ref="K372" ca="1">IF(T372="Sócio",IF(COUNTIF(Opções!$H$2:$H$13,INDIRECT($P372))&gt;0,IF(AND(INDIRECT($Q372)&lt;L$1/24,INDIRECT($R372)&gt;K$1/24),"x",""),""),"")</f>
        <v/>
      </c>
      <c r="L372" t="str" cm="1">
        <f t="array" aca="1" ref="L372" ca="1">IF(T372="Sócio",IF(COUNTIF(Opções!$H$2:$H$13,INDIRECT($P372))&gt;0,IF(AND(INDIRECT($Q372)&lt;M$1/24,INDIRECT($R372)&gt;L$1/24),"x",""),""),"")</f>
        <v/>
      </c>
      <c r="M372" t="str" cm="1">
        <f t="array" aca="1" ref="M372" ca="1">IF(T372="Sócio",IF(COUNTIF(Opções!$H$2:$H$13,INDIRECT($P372))&gt;0,IF(AND(INDIRECT($Q372)&lt;N$1/24,INDIRECT($R372)&gt;M$1/24),"x",""),""),"")</f>
        <v/>
      </c>
      <c r="N372" t="str" cm="1">
        <f t="array" aca="1" ref="N372" ca="1">IF(T372="Sócio",IF(COUNTIF(Opções!$H$2:$H$13,INDIRECT($P372))&gt;0,IF(AND(INDIRECT($Q372)&lt;O$1/24,INDIRECT($R372)&gt;N$1/24),"x",""),""),"")</f>
        <v/>
      </c>
      <c r="O372" t="str" cm="1">
        <f t="array" aca="1" ref="O372" ca="1">IF(T372="Sócio",IF(COUNTIF(Opções!$H$2:$H$13,INDIRECT($P372))&gt;0,IF(AND(INDIRECT($Q372)&lt;P$1/24,INDIRECT($R372)&gt;O$1/24),"x",""),""),"")</f>
        <v/>
      </c>
      <c r="P372" t="str">
        <f t="shared" si="68"/>
        <v>$E372</v>
      </c>
      <c r="Q372" t="str">
        <f t="shared" si="71"/>
        <v>$F372</v>
      </c>
      <c r="R372" t="str">
        <f t="shared" si="72"/>
        <v>$G372</v>
      </c>
      <c r="S372" t="str">
        <f t="shared" si="69"/>
        <v>$D372</v>
      </c>
      <c r="T372" t="str" cm="1">
        <f t="array" aca="1" ref="T372" ca="1">IFERROR(VLOOKUP(INDIRECT(S372),Equipe!A:C,3,0),"")</f>
        <v/>
      </c>
    </row>
    <row r="373" spans="10:20" x14ac:dyDescent="0.3">
      <c r="J373" s="21" t="str">
        <f t="shared" ca="1" si="70"/>
        <v/>
      </c>
      <c r="K373" t="str" cm="1">
        <f t="array" aca="1" ref="K373" ca="1">IF(T373="Sócio",IF(COUNTIF(Opções!$H$2:$H$13,INDIRECT($P373))&gt;0,IF(AND(INDIRECT($Q373)&lt;L$1/24,INDIRECT($R373)&gt;K$1/24),"x",""),""),"")</f>
        <v/>
      </c>
      <c r="L373" t="str" cm="1">
        <f t="array" aca="1" ref="L373" ca="1">IF(T373="Sócio",IF(COUNTIF(Opções!$H$2:$H$13,INDIRECT($P373))&gt;0,IF(AND(INDIRECT($Q373)&lt;M$1/24,INDIRECT($R373)&gt;L$1/24),"x",""),""),"")</f>
        <v/>
      </c>
      <c r="M373" t="str" cm="1">
        <f t="array" aca="1" ref="M373" ca="1">IF(T373="Sócio",IF(COUNTIF(Opções!$H$2:$H$13,INDIRECT($P373))&gt;0,IF(AND(INDIRECT($Q373)&lt;N$1/24,INDIRECT($R373)&gt;M$1/24),"x",""),""),"")</f>
        <v/>
      </c>
      <c r="N373" t="str" cm="1">
        <f t="array" aca="1" ref="N373" ca="1">IF(T373="Sócio",IF(COUNTIF(Opções!$H$2:$H$13,INDIRECT($P373))&gt;0,IF(AND(INDIRECT($Q373)&lt;O$1/24,INDIRECT($R373)&gt;N$1/24),"x",""),""),"")</f>
        <v/>
      </c>
      <c r="O373" t="str" cm="1">
        <f t="array" aca="1" ref="O373" ca="1">IF(T373="Sócio",IF(COUNTIF(Opções!$H$2:$H$13,INDIRECT($P373))&gt;0,IF(AND(INDIRECT($Q373)&lt;P$1/24,INDIRECT($R373)&gt;O$1/24),"x",""),""),"")</f>
        <v/>
      </c>
      <c r="P373" t="str">
        <f t="shared" si="68"/>
        <v>$E373</v>
      </c>
      <c r="Q373" t="str">
        <f t="shared" si="71"/>
        <v>$F373</v>
      </c>
      <c r="R373" t="str">
        <f t="shared" si="72"/>
        <v>$G373</v>
      </c>
      <c r="S373" t="str">
        <f t="shared" si="69"/>
        <v>$D373</v>
      </c>
      <c r="T373" t="str" cm="1">
        <f t="array" aca="1" ref="T373" ca="1">IFERROR(VLOOKUP(INDIRECT(S373),Equipe!A:C,3,0),"")</f>
        <v/>
      </c>
    </row>
    <row r="374" spans="10:20" x14ac:dyDescent="0.3">
      <c r="J374" s="21" t="str">
        <f t="shared" ca="1" si="70"/>
        <v/>
      </c>
      <c r="K374" t="str" cm="1">
        <f t="array" aca="1" ref="K374" ca="1">IF(T374="Sócio",IF(COUNTIF(Opções!$H$2:$H$13,INDIRECT($P374))&gt;0,IF(AND(INDIRECT($Q374)&lt;L$1/24,INDIRECT($R374)&gt;K$1/24),"x",""),""),"")</f>
        <v/>
      </c>
      <c r="L374" t="str" cm="1">
        <f t="array" aca="1" ref="L374" ca="1">IF(T374="Sócio",IF(COUNTIF(Opções!$H$2:$H$13,INDIRECT($P374))&gt;0,IF(AND(INDIRECT($Q374)&lt;M$1/24,INDIRECT($R374)&gt;L$1/24),"x",""),""),"")</f>
        <v/>
      </c>
      <c r="M374" t="str" cm="1">
        <f t="array" aca="1" ref="M374" ca="1">IF(T374="Sócio",IF(COUNTIF(Opções!$H$2:$H$13,INDIRECT($P374))&gt;0,IF(AND(INDIRECT($Q374)&lt;N$1/24,INDIRECT($R374)&gt;M$1/24),"x",""),""),"")</f>
        <v/>
      </c>
      <c r="N374" t="str" cm="1">
        <f t="array" aca="1" ref="N374" ca="1">IF(T374="Sócio",IF(COUNTIF(Opções!$H$2:$H$13,INDIRECT($P374))&gt;0,IF(AND(INDIRECT($Q374)&lt;O$1/24,INDIRECT($R374)&gt;N$1/24),"x",""),""),"")</f>
        <v/>
      </c>
      <c r="O374" t="str" cm="1">
        <f t="array" aca="1" ref="O374" ca="1">IF(T374="Sócio",IF(COUNTIF(Opções!$H$2:$H$13,INDIRECT($P374))&gt;0,IF(AND(INDIRECT($Q374)&lt;P$1/24,INDIRECT($R374)&gt;O$1/24),"x",""),""),"")</f>
        <v/>
      </c>
      <c r="P374" t="str">
        <f t="shared" si="68"/>
        <v>$E374</v>
      </c>
      <c r="Q374" t="str">
        <f t="shared" si="71"/>
        <v>$F374</v>
      </c>
      <c r="R374" t="str">
        <f t="shared" si="72"/>
        <v>$G374</v>
      </c>
      <c r="S374" t="str">
        <f t="shared" si="69"/>
        <v>$D374</v>
      </c>
      <c r="T374" t="str" cm="1">
        <f t="array" aca="1" ref="T374" ca="1">IFERROR(VLOOKUP(INDIRECT(S374),Equipe!A:C,3,0),"")</f>
        <v/>
      </c>
    </row>
    <row r="375" spans="10:20" x14ac:dyDescent="0.3">
      <c r="J375" s="21" t="str">
        <f t="shared" ca="1" si="70"/>
        <v/>
      </c>
      <c r="K375" t="str" cm="1">
        <f t="array" aca="1" ref="K375" ca="1">IF(T375="Sócio",IF(COUNTIF(Opções!$H$2:$H$13,INDIRECT($P375))&gt;0,IF(AND(INDIRECT($Q375)&lt;L$1/24,INDIRECT($R375)&gt;K$1/24),"x",""),""),"")</f>
        <v/>
      </c>
      <c r="L375" t="str" cm="1">
        <f t="array" aca="1" ref="L375" ca="1">IF(T375="Sócio",IF(COUNTIF(Opções!$H$2:$H$13,INDIRECT($P375))&gt;0,IF(AND(INDIRECT($Q375)&lt;M$1/24,INDIRECT($R375)&gt;L$1/24),"x",""),""),"")</f>
        <v/>
      </c>
      <c r="M375" t="str" cm="1">
        <f t="array" aca="1" ref="M375" ca="1">IF(T375="Sócio",IF(COUNTIF(Opções!$H$2:$H$13,INDIRECT($P375))&gt;0,IF(AND(INDIRECT($Q375)&lt;N$1/24,INDIRECT($R375)&gt;M$1/24),"x",""),""),"")</f>
        <v/>
      </c>
      <c r="N375" t="str" cm="1">
        <f t="array" aca="1" ref="N375" ca="1">IF(T375="Sócio",IF(COUNTIF(Opções!$H$2:$H$13,INDIRECT($P375))&gt;0,IF(AND(INDIRECT($Q375)&lt;O$1/24,INDIRECT($R375)&gt;N$1/24),"x",""),""),"")</f>
        <v/>
      </c>
      <c r="O375" t="str" cm="1">
        <f t="array" aca="1" ref="O375" ca="1">IF(T375="Sócio",IF(COUNTIF(Opções!$H$2:$H$13,INDIRECT($P375))&gt;0,IF(AND(INDIRECT($Q375)&lt;P$1/24,INDIRECT($R375)&gt;O$1/24),"x",""),""),"")</f>
        <v/>
      </c>
      <c r="P375" t="str">
        <f t="shared" si="68"/>
        <v>$E375</v>
      </c>
      <c r="Q375" t="str">
        <f t="shared" si="71"/>
        <v>$F375</v>
      </c>
      <c r="R375" t="str">
        <f t="shared" si="72"/>
        <v>$G375</v>
      </c>
      <c r="S375" t="str">
        <f t="shared" si="69"/>
        <v>$D375</v>
      </c>
      <c r="T375" t="str" cm="1">
        <f t="array" aca="1" ref="T375" ca="1">IFERROR(VLOOKUP(INDIRECT(S375),Equipe!A:C,3,0),"")</f>
        <v/>
      </c>
    </row>
    <row r="376" spans="10:20" x14ac:dyDescent="0.3">
      <c r="J376" s="21" t="str">
        <f t="shared" ca="1" si="70"/>
        <v/>
      </c>
      <c r="K376" t="str" cm="1">
        <f t="array" aca="1" ref="K376" ca="1">IF(T376="Sócio",IF(COUNTIF(Opções!$H$2:$H$13,INDIRECT($P376))&gt;0,IF(AND(INDIRECT($Q376)&lt;L$1/24,INDIRECT($R376)&gt;K$1/24),"x",""),""),"")</f>
        <v/>
      </c>
      <c r="L376" t="str" cm="1">
        <f t="array" aca="1" ref="L376" ca="1">IF(T376="Sócio",IF(COUNTIF(Opções!$H$2:$H$13,INDIRECT($P376))&gt;0,IF(AND(INDIRECT($Q376)&lt;M$1/24,INDIRECT($R376)&gt;L$1/24),"x",""),""),"")</f>
        <v/>
      </c>
      <c r="M376" t="str" cm="1">
        <f t="array" aca="1" ref="M376" ca="1">IF(T376="Sócio",IF(COUNTIF(Opções!$H$2:$H$13,INDIRECT($P376))&gt;0,IF(AND(INDIRECT($Q376)&lt;N$1/24,INDIRECT($R376)&gt;M$1/24),"x",""),""),"")</f>
        <v/>
      </c>
      <c r="N376" t="str" cm="1">
        <f t="array" aca="1" ref="N376" ca="1">IF(T376="Sócio",IF(COUNTIF(Opções!$H$2:$H$13,INDIRECT($P376))&gt;0,IF(AND(INDIRECT($Q376)&lt;O$1/24,INDIRECT($R376)&gt;N$1/24),"x",""),""),"")</f>
        <v/>
      </c>
      <c r="O376" t="str" cm="1">
        <f t="array" aca="1" ref="O376" ca="1">IF(T376="Sócio",IF(COUNTIF(Opções!$H$2:$H$13,INDIRECT($P376))&gt;0,IF(AND(INDIRECT($Q376)&lt;P$1/24,INDIRECT($R376)&gt;O$1/24),"x",""),""),"")</f>
        <v/>
      </c>
      <c r="P376" t="str">
        <f t="shared" si="68"/>
        <v>$E376</v>
      </c>
      <c r="Q376" t="str">
        <f t="shared" si="71"/>
        <v>$F376</v>
      </c>
      <c r="R376" t="str">
        <f t="shared" si="72"/>
        <v>$G376</v>
      </c>
      <c r="S376" t="str">
        <f t="shared" si="69"/>
        <v>$D376</v>
      </c>
      <c r="T376" t="str" cm="1">
        <f t="array" aca="1" ref="T376" ca="1">IFERROR(VLOOKUP(INDIRECT(S376),Equipe!A:C,3,0),"")</f>
        <v/>
      </c>
    </row>
    <row r="377" spans="10:20" x14ac:dyDescent="0.3">
      <c r="J377" s="21" t="str">
        <f t="shared" ca="1" si="70"/>
        <v/>
      </c>
      <c r="K377" t="str" cm="1">
        <f t="array" aca="1" ref="K377" ca="1">IF(T377="Sócio",IF(COUNTIF(Opções!$H$2:$H$13,INDIRECT($P377))&gt;0,IF(AND(INDIRECT($Q377)&lt;L$1/24,INDIRECT($R377)&gt;K$1/24),"x",""),""),"")</f>
        <v/>
      </c>
      <c r="L377" t="str" cm="1">
        <f t="array" aca="1" ref="L377" ca="1">IF(T377="Sócio",IF(COUNTIF(Opções!$H$2:$H$13,INDIRECT($P377))&gt;0,IF(AND(INDIRECT($Q377)&lt;M$1/24,INDIRECT($R377)&gt;L$1/24),"x",""),""),"")</f>
        <v/>
      </c>
      <c r="M377" t="str" cm="1">
        <f t="array" aca="1" ref="M377" ca="1">IF(T377="Sócio",IF(COUNTIF(Opções!$H$2:$H$13,INDIRECT($P377))&gt;0,IF(AND(INDIRECT($Q377)&lt;N$1/24,INDIRECT($R377)&gt;M$1/24),"x",""),""),"")</f>
        <v/>
      </c>
      <c r="N377" t="str" cm="1">
        <f t="array" aca="1" ref="N377" ca="1">IF(T377="Sócio",IF(COUNTIF(Opções!$H$2:$H$13,INDIRECT($P377))&gt;0,IF(AND(INDIRECT($Q377)&lt;O$1/24,INDIRECT($R377)&gt;N$1/24),"x",""),""),"")</f>
        <v/>
      </c>
      <c r="O377" t="str" cm="1">
        <f t="array" aca="1" ref="O377" ca="1">IF(T377="Sócio",IF(COUNTIF(Opções!$H$2:$H$13,INDIRECT($P377))&gt;0,IF(AND(INDIRECT($Q377)&lt;P$1/24,INDIRECT($R377)&gt;O$1/24),"x",""),""),"")</f>
        <v/>
      </c>
      <c r="P377" t="str">
        <f t="shared" si="68"/>
        <v>$E377</v>
      </c>
      <c r="Q377" t="str">
        <f t="shared" si="71"/>
        <v>$F377</v>
      </c>
      <c r="R377" t="str">
        <f t="shared" si="72"/>
        <v>$G377</v>
      </c>
      <c r="S377" t="str">
        <f t="shared" si="69"/>
        <v>$D377</v>
      </c>
      <c r="T377" t="str" cm="1">
        <f t="array" aca="1" ref="T377" ca="1">IFERROR(VLOOKUP(INDIRECT(S377),Equipe!A:C,3,0),"")</f>
        <v/>
      </c>
    </row>
    <row r="378" spans="10:20" x14ac:dyDescent="0.3">
      <c r="J378" s="21" t="str">
        <f t="shared" ca="1" si="70"/>
        <v/>
      </c>
      <c r="K378" t="str" cm="1">
        <f t="array" aca="1" ref="K378" ca="1">IF(T378="Sócio",IF(COUNTIF(Opções!$H$2:$H$13,INDIRECT($P378))&gt;0,IF(AND(INDIRECT($Q378)&lt;L$1/24,INDIRECT($R378)&gt;K$1/24),"x",""),""),"")</f>
        <v/>
      </c>
      <c r="L378" t="str" cm="1">
        <f t="array" aca="1" ref="L378" ca="1">IF(T378="Sócio",IF(COUNTIF(Opções!$H$2:$H$13,INDIRECT($P378))&gt;0,IF(AND(INDIRECT($Q378)&lt;M$1/24,INDIRECT($R378)&gt;L$1/24),"x",""),""),"")</f>
        <v/>
      </c>
      <c r="M378" t="str" cm="1">
        <f t="array" aca="1" ref="M378" ca="1">IF(T378="Sócio",IF(COUNTIF(Opções!$H$2:$H$13,INDIRECT($P378))&gt;0,IF(AND(INDIRECT($Q378)&lt;N$1/24,INDIRECT($R378)&gt;M$1/24),"x",""),""),"")</f>
        <v/>
      </c>
      <c r="N378" t="str" cm="1">
        <f t="array" aca="1" ref="N378" ca="1">IF(T378="Sócio",IF(COUNTIF(Opções!$H$2:$H$13,INDIRECT($P378))&gt;0,IF(AND(INDIRECT($Q378)&lt;O$1/24,INDIRECT($R378)&gt;N$1/24),"x",""),""),"")</f>
        <v/>
      </c>
      <c r="O378" t="str" cm="1">
        <f t="array" aca="1" ref="O378" ca="1">IF(T378="Sócio",IF(COUNTIF(Opções!$H$2:$H$13,INDIRECT($P378))&gt;0,IF(AND(INDIRECT($Q378)&lt;P$1/24,INDIRECT($R378)&gt;O$1/24),"x",""),""),"")</f>
        <v/>
      </c>
      <c r="P378" t="str">
        <f t="shared" si="68"/>
        <v>$E378</v>
      </c>
      <c r="Q378" t="str">
        <f t="shared" si="71"/>
        <v>$F378</v>
      </c>
      <c r="R378" t="str">
        <f t="shared" si="72"/>
        <v>$G378</v>
      </c>
      <c r="S378" t="str">
        <f t="shared" si="69"/>
        <v>$D378</v>
      </c>
      <c r="T378" t="str" cm="1">
        <f t="array" aca="1" ref="T378" ca="1">IFERROR(VLOOKUP(INDIRECT(S378),Equipe!A:C,3,0),"")</f>
        <v/>
      </c>
    </row>
    <row r="379" spans="10:20" x14ac:dyDescent="0.3">
      <c r="J379" s="21" t="str">
        <f t="shared" ca="1" si="70"/>
        <v/>
      </c>
      <c r="K379" t="str" cm="1">
        <f t="array" aca="1" ref="K379" ca="1">IF(T379="Sócio",IF(COUNTIF(Opções!$H$2:$H$13,INDIRECT($P379))&gt;0,IF(AND(INDIRECT($Q379)&lt;L$1/24,INDIRECT($R379)&gt;K$1/24),"x",""),""),"")</f>
        <v/>
      </c>
      <c r="L379" t="str" cm="1">
        <f t="array" aca="1" ref="L379" ca="1">IF(T379="Sócio",IF(COUNTIF(Opções!$H$2:$H$13,INDIRECT($P379))&gt;0,IF(AND(INDIRECT($Q379)&lt;M$1/24,INDIRECT($R379)&gt;L$1/24),"x",""),""),"")</f>
        <v/>
      </c>
      <c r="M379" t="str" cm="1">
        <f t="array" aca="1" ref="M379" ca="1">IF(T379="Sócio",IF(COUNTIF(Opções!$H$2:$H$13,INDIRECT($P379))&gt;0,IF(AND(INDIRECT($Q379)&lt;N$1/24,INDIRECT($R379)&gt;M$1/24),"x",""),""),"")</f>
        <v/>
      </c>
      <c r="N379" t="str" cm="1">
        <f t="array" aca="1" ref="N379" ca="1">IF(T379="Sócio",IF(COUNTIF(Opções!$H$2:$H$13,INDIRECT($P379))&gt;0,IF(AND(INDIRECT($Q379)&lt;O$1/24,INDIRECT($R379)&gt;N$1/24),"x",""),""),"")</f>
        <v/>
      </c>
      <c r="O379" t="str" cm="1">
        <f t="array" aca="1" ref="O379" ca="1">IF(T379="Sócio",IF(COUNTIF(Opções!$H$2:$H$13,INDIRECT($P379))&gt;0,IF(AND(INDIRECT($Q379)&lt;P$1/24,INDIRECT($R379)&gt;O$1/24),"x",""),""),"")</f>
        <v/>
      </c>
      <c r="P379" t="str">
        <f t="shared" si="68"/>
        <v>$E379</v>
      </c>
      <c r="Q379" t="str">
        <f t="shared" si="71"/>
        <v>$F379</v>
      </c>
      <c r="R379" t="str">
        <f t="shared" si="72"/>
        <v>$G379</v>
      </c>
      <c r="S379" t="str">
        <f t="shared" si="69"/>
        <v>$D379</v>
      </c>
      <c r="T379" t="str" cm="1">
        <f t="array" aca="1" ref="T379" ca="1">IFERROR(VLOOKUP(INDIRECT(S379),Equipe!A:C,3,0),"")</f>
        <v/>
      </c>
    </row>
    <row r="380" spans="10:20" x14ac:dyDescent="0.3">
      <c r="J380" s="21" t="str">
        <f t="shared" ca="1" si="70"/>
        <v/>
      </c>
      <c r="K380" t="str" cm="1">
        <f t="array" aca="1" ref="K380" ca="1">IF(T380="Sócio",IF(COUNTIF(Opções!$H$2:$H$13,INDIRECT($P380))&gt;0,IF(AND(INDIRECT($Q380)&lt;L$1/24,INDIRECT($R380)&gt;K$1/24),"x",""),""),"")</f>
        <v/>
      </c>
      <c r="L380" t="str" cm="1">
        <f t="array" aca="1" ref="L380" ca="1">IF(T380="Sócio",IF(COUNTIF(Opções!$H$2:$H$13,INDIRECT($P380))&gt;0,IF(AND(INDIRECT($Q380)&lt;M$1/24,INDIRECT($R380)&gt;L$1/24),"x",""),""),"")</f>
        <v/>
      </c>
      <c r="M380" t="str" cm="1">
        <f t="array" aca="1" ref="M380" ca="1">IF(T380="Sócio",IF(COUNTIF(Opções!$H$2:$H$13,INDIRECT($P380))&gt;0,IF(AND(INDIRECT($Q380)&lt;N$1/24,INDIRECT($R380)&gt;M$1/24),"x",""),""),"")</f>
        <v/>
      </c>
      <c r="N380" t="str" cm="1">
        <f t="array" aca="1" ref="N380" ca="1">IF(T380="Sócio",IF(COUNTIF(Opções!$H$2:$H$13,INDIRECT($P380))&gt;0,IF(AND(INDIRECT($Q380)&lt;O$1/24,INDIRECT($R380)&gt;N$1/24),"x",""),""),"")</f>
        <v/>
      </c>
      <c r="O380" t="str" cm="1">
        <f t="array" aca="1" ref="O380" ca="1">IF(T380="Sócio",IF(COUNTIF(Opções!$H$2:$H$13,INDIRECT($P380))&gt;0,IF(AND(INDIRECT($Q380)&lt;P$1/24,INDIRECT($R380)&gt;O$1/24),"x",""),""),"")</f>
        <v/>
      </c>
      <c r="P380" t="str">
        <f t="shared" si="68"/>
        <v>$E380</v>
      </c>
      <c r="Q380" t="str">
        <f t="shared" si="71"/>
        <v>$F380</v>
      </c>
      <c r="R380" t="str">
        <f t="shared" si="72"/>
        <v>$G380</v>
      </c>
      <c r="S380" t="str">
        <f t="shared" si="69"/>
        <v>$D380</v>
      </c>
      <c r="T380" t="str" cm="1">
        <f t="array" aca="1" ref="T380" ca="1">IFERROR(VLOOKUP(INDIRECT(S380),Equipe!A:C,3,0),"")</f>
        <v/>
      </c>
    </row>
    <row r="381" spans="10:20" x14ac:dyDescent="0.3">
      <c r="J381" s="21" t="str">
        <f t="shared" ca="1" si="70"/>
        <v/>
      </c>
      <c r="K381" t="str" cm="1">
        <f t="array" aca="1" ref="K381" ca="1">IF(T381="Sócio",IF(COUNTIF(Opções!$H$2:$H$13,INDIRECT($P381))&gt;0,IF(AND(INDIRECT($Q381)&lt;L$1/24,INDIRECT($R381)&gt;K$1/24),"x",""),""),"")</f>
        <v/>
      </c>
      <c r="L381" t="str" cm="1">
        <f t="array" aca="1" ref="L381" ca="1">IF(T381="Sócio",IF(COUNTIF(Opções!$H$2:$H$13,INDIRECT($P381))&gt;0,IF(AND(INDIRECT($Q381)&lt;M$1/24,INDIRECT($R381)&gt;L$1/24),"x",""),""),"")</f>
        <v/>
      </c>
      <c r="M381" t="str" cm="1">
        <f t="array" aca="1" ref="M381" ca="1">IF(T381="Sócio",IF(COUNTIF(Opções!$H$2:$H$13,INDIRECT($P381))&gt;0,IF(AND(INDIRECT($Q381)&lt;N$1/24,INDIRECT($R381)&gt;M$1/24),"x",""),""),"")</f>
        <v/>
      </c>
      <c r="N381" t="str" cm="1">
        <f t="array" aca="1" ref="N381" ca="1">IF(T381="Sócio",IF(COUNTIF(Opções!$H$2:$H$13,INDIRECT($P381))&gt;0,IF(AND(INDIRECT($Q381)&lt;O$1/24,INDIRECT($R381)&gt;N$1/24),"x",""),""),"")</f>
        <v/>
      </c>
      <c r="O381" t="str" cm="1">
        <f t="array" aca="1" ref="O381" ca="1">IF(T381="Sócio",IF(COUNTIF(Opções!$H$2:$H$13,INDIRECT($P381))&gt;0,IF(AND(INDIRECT($Q381)&lt;P$1/24,INDIRECT($R381)&gt;O$1/24),"x",""),""),"")</f>
        <v/>
      </c>
      <c r="P381" t="str">
        <f t="shared" si="68"/>
        <v>$E381</v>
      </c>
      <c r="Q381" t="str">
        <f t="shared" si="71"/>
        <v>$F381</v>
      </c>
      <c r="R381" t="str">
        <f t="shared" si="72"/>
        <v>$G381</v>
      </c>
      <c r="S381" t="str">
        <f t="shared" si="69"/>
        <v>$D381</v>
      </c>
      <c r="T381" t="str" cm="1">
        <f t="array" aca="1" ref="T381" ca="1">IFERROR(VLOOKUP(INDIRECT(S381),Equipe!A:C,3,0),"")</f>
        <v/>
      </c>
    </row>
    <row r="382" spans="10:20" x14ac:dyDescent="0.3">
      <c r="J382" s="21" t="str">
        <f t="shared" ca="1" si="70"/>
        <v/>
      </c>
      <c r="K382" t="str" cm="1">
        <f t="array" aca="1" ref="K382" ca="1">IF(T382="Sócio",IF(COUNTIF(Opções!$H$2:$H$13,INDIRECT($P382))&gt;0,IF(AND(INDIRECT($Q382)&lt;L$1/24,INDIRECT($R382)&gt;K$1/24),"x",""),""),"")</f>
        <v/>
      </c>
      <c r="L382" t="str" cm="1">
        <f t="array" aca="1" ref="L382" ca="1">IF(T382="Sócio",IF(COUNTIF(Opções!$H$2:$H$13,INDIRECT($P382))&gt;0,IF(AND(INDIRECT($Q382)&lt;M$1/24,INDIRECT($R382)&gt;L$1/24),"x",""),""),"")</f>
        <v/>
      </c>
      <c r="M382" t="str" cm="1">
        <f t="array" aca="1" ref="M382" ca="1">IF(T382="Sócio",IF(COUNTIF(Opções!$H$2:$H$13,INDIRECT($P382))&gt;0,IF(AND(INDIRECT($Q382)&lt;N$1/24,INDIRECT($R382)&gt;M$1/24),"x",""),""),"")</f>
        <v/>
      </c>
      <c r="N382" t="str" cm="1">
        <f t="array" aca="1" ref="N382" ca="1">IF(T382="Sócio",IF(COUNTIF(Opções!$H$2:$H$13,INDIRECT($P382))&gt;0,IF(AND(INDIRECT($Q382)&lt;O$1/24,INDIRECT($R382)&gt;N$1/24),"x",""),""),"")</f>
        <v/>
      </c>
      <c r="O382" t="str" cm="1">
        <f t="array" aca="1" ref="O382" ca="1">IF(T382="Sócio",IF(COUNTIF(Opções!$H$2:$H$13,INDIRECT($P382))&gt;0,IF(AND(INDIRECT($Q382)&lt;P$1/24,INDIRECT($R382)&gt;O$1/24),"x",""),""),"")</f>
        <v/>
      </c>
      <c r="P382" t="str">
        <f t="shared" si="68"/>
        <v>$E382</v>
      </c>
      <c r="Q382" t="str">
        <f t="shared" si="71"/>
        <v>$F382</v>
      </c>
      <c r="R382" t="str">
        <f t="shared" si="72"/>
        <v>$G382</v>
      </c>
      <c r="S382" t="str">
        <f t="shared" si="69"/>
        <v>$D382</v>
      </c>
      <c r="T382" t="str" cm="1">
        <f t="array" aca="1" ref="T382" ca="1">IFERROR(VLOOKUP(INDIRECT(S382),Equipe!A:C,3,0),"")</f>
        <v/>
      </c>
    </row>
    <row r="383" spans="10:20" x14ac:dyDescent="0.3">
      <c r="J383" s="21" t="str">
        <f t="shared" ca="1" si="70"/>
        <v/>
      </c>
      <c r="K383" t="str" cm="1">
        <f t="array" aca="1" ref="K383" ca="1">IF(T383="Sócio",IF(COUNTIF(Opções!$H$2:$H$13,INDIRECT($P383))&gt;0,IF(AND(INDIRECT($Q383)&lt;L$1/24,INDIRECT($R383)&gt;K$1/24),"x",""),""),"")</f>
        <v/>
      </c>
      <c r="L383" t="str" cm="1">
        <f t="array" aca="1" ref="L383" ca="1">IF(T383="Sócio",IF(COUNTIF(Opções!$H$2:$H$13,INDIRECT($P383))&gt;0,IF(AND(INDIRECT($Q383)&lt;M$1/24,INDIRECT($R383)&gt;L$1/24),"x",""),""),"")</f>
        <v/>
      </c>
      <c r="M383" t="str" cm="1">
        <f t="array" aca="1" ref="M383" ca="1">IF(T383="Sócio",IF(COUNTIF(Opções!$H$2:$H$13,INDIRECT($P383))&gt;0,IF(AND(INDIRECT($Q383)&lt;N$1/24,INDIRECT($R383)&gt;M$1/24),"x",""),""),"")</f>
        <v/>
      </c>
      <c r="N383" t="str" cm="1">
        <f t="array" aca="1" ref="N383" ca="1">IF(T383="Sócio",IF(COUNTIF(Opções!$H$2:$H$13,INDIRECT($P383))&gt;0,IF(AND(INDIRECT($Q383)&lt;O$1/24,INDIRECT($R383)&gt;N$1/24),"x",""),""),"")</f>
        <v/>
      </c>
      <c r="O383" t="str" cm="1">
        <f t="array" aca="1" ref="O383" ca="1">IF(T383="Sócio",IF(COUNTIF(Opções!$H$2:$H$13,INDIRECT($P383))&gt;0,IF(AND(INDIRECT($Q383)&lt;P$1/24,INDIRECT($R383)&gt;O$1/24),"x",""),""),"")</f>
        <v/>
      </c>
      <c r="P383" t="str">
        <f t="shared" si="68"/>
        <v>$E383</v>
      </c>
      <c r="Q383" t="str">
        <f t="shared" si="71"/>
        <v>$F383</v>
      </c>
      <c r="R383" t="str">
        <f t="shared" si="72"/>
        <v>$G383</v>
      </c>
      <c r="S383" t="str">
        <f t="shared" si="69"/>
        <v>$D383</v>
      </c>
      <c r="T383" t="str" cm="1">
        <f t="array" aca="1" ref="T383" ca="1">IFERROR(VLOOKUP(INDIRECT(S383),Equipe!A:C,3,0),"")</f>
        <v/>
      </c>
    </row>
    <row r="384" spans="10:20" x14ac:dyDescent="0.3">
      <c r="J384" s="21" t="str">
        <f t="shared" ca="1" si="70"/>
        <v/>
      </c>
      <c r="K384" t="str" cm="1">
        <f t="array" aca="1" ref="K384" ca="1">IF(T384="Sócio",IF(COUNTIF(Opções!$H$2:$H$13,INDIRECT($P384))&gt;0,IF(AND(INDIRECT($Q384)&lt;L$1/24,INDIRECT($R384)&gt;K$1/24),"x",""),""),"")</f>
        <v/>
      </c>
      <c r="L384" t="str" cm="1">
        <f t="array" aca="1" ref="L384" ca="1">IF(T384="Sócio",IF(COUNTIF(Opções!$H$2:$H$13,INDIRECT($P384))&gt;0,IF(AND(INDIRECT($Q384)&lt;M$1/24,INDIRECT($R384)&gt;L$1/24),"x",""),""),"")</f>
        <v/>
      </c>
      <c r="M384" t="str" cm="1">
        <f t="array" aca="1" ref="M384" ca="1">IF(T384="Sócio",IF(COUNTIF(Opções!$H$2:$H$13,INDIRECT($P384))&gt;0,IF(AND(INDIRECT($Q384)&lt;N$1/24,INDIRECT($R384)&gt;M$1/24),"x",""),""),"")</f>
        <v/>
      </c>
      <c r="N384" t="str" cm="1">
        <f t="array" aca="1" ref="N384" ca="1">IF(T384="Sócio",IF(COUNTIF(Opções!$H$2:$H$13,INDIRECT($P384))&gt;0,IF(AND(INDIRECT($Q384)&lt;O$1/24,INDIRECT($R384)&gt;N$1/24),"x",""),""),"")</f>
        <v/>
      </c>
      <c r="O384" t="str" cm="1">
        <f t="array" aca="1" ref="O384" ca="1">IF(T384="Sócio",IF(COUNTIF(Opções!$H$2:$H$13,INDIRECT($P384))&gt;0,IF(AND(INDIRECT($Q384)&lt;P$1/24,INDIRECT($R384)&gt;O$1/24),"x",""),""),"")</f>
        <v/>
      </c>
      <c r="P384" t="str">
        <f t="shared" si="68"/>
        <v>$E384</v>
      </c>
      <c r="Q384" t="str">
        <f t="shared" si="71"/>
        <v>$F384</v>
      </c>
      <c r="R384" t="str">
        <f t="shared" si="72"/>
        <v>$G384</v>
      </c>
      <c r="S384" t="str">
        <f t="shared" si="69"/>
        <v>$D384</v>
      </c>
      <c r="T384" t="str" cm="1">
        <f t="array" aca="1" ref="T384" ca="1">IFERROR(VLOOKUP(INDIRECT(S384),Equipe!A:C,3,0),"")</f>
        <v/>
      </c>
    </row>
  </sheetData>
  <protectedRanges>
    <protectedRange sqref="B3" name="DataPlanilha1"/>
  </protectedRange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D0AED86-B4E8-49CF-97C1-F7C79885F05A}">
          <x14:formula1>
            <xm:f>Equipe!$A$2:$A$60</xm:f>
          </x14:formula1>
          <xm:sqref>D20:D28 D2:D4</xm:sqref>
        </x14:dataValidation>
        <x14:dataValidation type="list" allowBlank="1" showInputMessage="1" showErrorMessage="1" xr:uid="{902E5A5C-65DC-46DD-ABD9-310FAF737897}">
          <x14:formula1>
            <xm:f>Opções!$D$2:$D$16</xm:f>
          </x14:formula1>
          <xm:sqref>F29:G157</xm:sqref>
        </x14:dataValidation>
        <x14:dataValidation type="list" allowBlank="1" showInputMessage="1" showErrorMessage="1" xr:uid="{241BC586-0006-46B0-BC18-1727E1D2624C}">
          <x14:formula1>
            <xm:f>Equipe!$A$2:$A$90</xm:f>
          </x14:formula1>
          <xm:sqref>D29:D157 D5:D19</xm:sqref>
        </x14:dataValidation>
        <x14:dataValidation type="list" allowBlank="1" showInputMessage="1" showErrorMessage="1" xr:uid="{E5E7E269-A008-41C9-BC69-1B9F8A84253B}">
          <x14:formula1>
            <xm:f>Opções!$D$2:$D$69</xm:f>
          </x14:formula1>
          <xm:sqref>F2:G28</xm:sqref>
        </x14:dataValidation>
        <x14:dataValidation type="list" allowBlank="1" showInputMessage="1" showErrorMessage="1" xr:uid="{E6C20C21-FE3F-4904-A4E6-7450688F888E}">
          <x14:formula1>
            <xm:f>Opções!$A$2:$A$42</xm:f>
          </x14:formula1>
          <xm:sqref>E2:E157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C5E6-3B87-4460-9E5A-25EA65E13E9A}">
  <sheetPr codeName="Planilha6"/>
  <dimension ref="A1:I215"/>
  <sheetViews>
    <sheetView showGridLines="0" topLeftCell="B1" workbookViewId="0">
      <selection activeCell="C2" sqref="C2"/>
    </sheetView>
  </sheetViews>
  <sheetFormatPr defaultColWidth="0" defaultRowHeight="14.4" x14ac:dyDescent="0.3"/>
  <cols>
    <col min="1" max="1" width="8.5546875" hidden="1" customWidth="1"/>
    <col min="2" max="2" width="15.5546875" customWidth="1"/>
    <col min="3" max="3" width="9.5546875" customWidth="1"/>
    <col min="4" max="4" width="15.44140625" bestFit="1" customWidth="1"/>
    <col min="5" max="5" width="12.44140625" customWidth="1"/>
    <col min="6" max="6" width="10.5546875" customWidth="1"/>
    <col min="7" max="7" width="21.44140625" customWidth="1"/>
    <col min="8" max="8" width="12" customWidth="1"/>
    <col min="9" max="9" width="10.5546875" bestFit="1" customWidth="1"/>
    <col min="10" max="16384" width="9.44140625" hidden="1"/>
  </cols>
  <sheetData>
    <row r="1" spans="1:9" x14ac:dyDescent="0.3">
      <c r="A1" t="s">
        <v>450</v>
      </c>
      <c r="B1" s="6" t="s">
        <v>451</v>
      </c>
      <c r="C1" s="6" t="s">
        <v>1</v>
      </c>
      <c r="D1" s="6" t="s">
        <v>2</v>
      </c>
      <c r="E1" s="7" t="s">
        <v>3</v>
      </c>
      <c r="F1" s="7" t="s">
        <v>4</v>
      </c>
      <c r="G1" s="7" t="s">
        <v>5</v>
      </c>
      <c r="H1" s="6" t="s">
        <v>452</v>
      </c>
      <c r="I1" s="6" t="s">
        <v>453</v>
      </c>
    </row>
    <row r="2" spans="1:9" x14ac:dyDescent="0.3">
      <c r="A2">
        <f>IFERROR(VLOOKUP(Tabela2[[#This Row],[Dia da semana]],Opções!$F$2:$G$8,2,0),"")</f>
        <v>2</v>
      </c>
      <c r="B2" t="s">
        <v>454</v>
      </c>
      <c r="C2" t="s">
        <v>20</v>
      </c>
      <c r="D2" t="s">
        <v>455</v>
      </c>
      <c r="E2" s="2"/>
      <c r="F2" s="2"/>
      <c r="G2" s="2"/>
      <c r="H2" s="1">
        <v>44927</v>
      </c>
      <c r="I2" s="1">
        <v>45658</v>
      </c>
    </row>
    <row r="3" spans="1:9" x14ac:dyDescent="0.3">
      <c r="A3">
        <f>IFERROR(VLOOKUP(Tabela2[[#This Row],[Dia da semana]],Opções!$F$2:$G$8,2,0),"")</f>
        <v>2</v>
      </c>
      <c r="B3" t="s">
        <v>454</v>
      </c>
      <c r="C3" t="s">
        <v>25</v>
      </c>
      <c r="D3" t="s">
        <v>455</v>
      </c>
      <c r="E3" s="2"/>
      <c r="F3" s="2"/>
      <c r="G3" s="2"/>
      <c r="H3" s="1">
        <v>44927</v>
      </c>
      <c r="I3" s="1">
        <v>45658</v>
      </c>
    </row>
    <row r="4" spans="1:9" x14ac:dyDescent="0.3">
      <c r="A4">
        <f>IFERROR(VLOOKUP(Tabela2[[#This Row],[Dia da semana]],Opções!$F$2:$G$8,2,0),"")</f>
        <v>2</v>
      </c>
      <c r="B4" t="s">
        <v>454</v>
      </c>
      <c r="C4" t="s">
        <v>333</v>
      </c>
      <c r="D4" t="s">
        <v>455</v>
      </c>
      <c r="E4" s="2"/>
      <c r="F4" s="2"/>
      <c r="G4" s="2"/>
      <c r="H4" s="1">
        <v>44927</v>
      </c>
      <c r="I4" s="1">
        <v>45658</v>
      </c>
    </row>
    <row r="5" spans="1:9" x14ac:dyDescent="0.3">
      <c r="A5">
        <f>IFERROR(VLOOKUP(Tabela2[[#This Row],[Dia da semana]],Opções!$F$2:$G$8,2,0),"")</f>
        <v>3</v>
      </c>
      <c r="B5" t="s">
        <v>456</v>
      </c>
      <c r="C5" t="s">
        <v>283</v>
      </c>
      <c r="D5" t="s">
        <v>455</v>
      </c>
      <c r="E5" s="2"/>
      <c r="F5" s="2"/>
      <c r="G5" s="2"/>
      <c r="H5" s="1">
        <v>44927</v>
      </c>
      <c r="I5" s="1">
        <v>45658</v>
      </c>
    </row>
    <row r="6" spans="1:9" x14ac:dyDescent="0.3">
      <c r="A6">
        <f>IFERROR(VLOOKUP(Tabela2[[#This Row],[Dia da semana]],Opções!$F$2:$G$8,2,0),"")</f>
        <v>3</v>
      </c>
      <c r="B6" t="s">
        <v>456</v>
      </c>
      <c r="C6" t="s">
        <v>214</v>
      </c>
      <c r="D6" t="s">
        <v>455</v>
      </c>
      <c r="E6" s="2"/>
      <c r="F6" s="2"/>
      <c r="G6" s="2"/>
      <c r="H6" s="1">
        <v>44927</v>
      </c>
      <c r="I6" s="1">
        <v>45658</v>
      </c>
    </row>
    <row r="7" spans="1:9" x14ac:dyDescent="0.3">
      <c r="A7">
        <f>IFERROR(VLOOKUP(Tabela2[[#This Row],[Dia da semana]],Opções!$F$2:$G$8,2,0),"")</f>
        <v>3</v>
      </c>
      <c r="B7" t="s">
        <v>456</v>
      </c>
      <c r="C7" t="s">
        <v>84</v>
      </c>
      <c r="D7" t="s">
        <v>455</v>
      </c>
      <c r="E7" s="2"/>
      <c r="F7" s="2"/>
      <c r="G7" s="2"/>
      <c r="H7" s="1">
        <v>44927</v>
      </c>
      <c r="I7" s="1">
        <v>45658</v>
      </c>
    </row>
    <row r="8" spans="1:9" x14ac:dyDescent="0.3">
      <c r="A8">
        <f>IFERROR(VLOOKUP(Tabela2[[#This Row],[Dia da semana]],Opções!$F$2:$G$8,2,0),"")</f>
        <v>3</v>
      </c>
      <c r="B8" t="s">
        <v>456</v>
      </c>
      <c r="C8" t="s">
        <v>25</v>
      </c>
      <c r="D8" t="s">
        <v>455</v>
      </c>
      <c r="E8" s="2"/>
      <c r="F8" s="2"/>
      <c r="G8" s="2"/>
      <c r="H8" s="1">
        <v>44927</v>
      </c>
      <c r="I8" s="1">
        <v>45658</v>
      </c>
    </row>
    <row r="9" spans="1:9" x14ac:dyDescent="0.3">
      <c r="A9">
        <f>IFERROR(VLOOKUP(Tabela2[[#This Row],[Dia da semana]],Opções!$F$2:$G$8,2,0),"")</f>
        <v>3</v>
      </c>
      <c r="B9" t="s">
        <v>456</v>
      </c>
      <c r="C9" t="s">
        <v>333</v>
      </c>
      <c r="D9" t="s">
        <v>455</v>
      </c>
      <c r="E9" s="2"/>
      <c r="F9" s="2"/>
      <c r="G9" s="2"/>
      <c r="H9" s="1">
        <v>44927</v>
      </c>
      <c r="I9" s="1">
        <v>45658</v>
      </c>
    </row>
    <row r="10" spans="1:9" x14ac:dyDescent="0.3">
      <c r="A10">
        <f>IFERROR(VLOOKUP(Tabela2[[#This Row],[Dia da semana]],Opções!$F$2:$G$8,2,0),"")</f>
        <v>4</v>
      </c>
      <c r="B10" t="s">
        <v>457</v>
      </c>
      <c r="C10" t="s">
        <v>249</v>
      </c>
      <c r="D10" t="s">
        <v>455</v>
      </c>
      <c r="E10" s="2"/>
      <c r="F10" s="2"/>
      <c r="G10" s="2"/>
      <c r="H10" s="1">
        <v>44927</v>
      </c>
      <c r="I10" s="1">
        <v>45658</v>
      </c>
    </row>
    <row r="11" spans="1:9" x14ac:dyDescent="0.3">
      <c r="A11">
        <f>IFERROR(VLOOKUP(Tabela2[[#This Row],[Dia da semana]],Opções!$F$2:$G$8,2,0),"")</f>
        <v>4</v>
      </c>
      <c r="B11" t="s">
        <v>457</v>
      </c>
      <c r="C11" t="s">
        <v>17</v>
      </c>
      <c r="D11" t="s">
        <v>455</v>
      </c>
      <c r="E11" s="2"/>
      <c r="F11" s="2"/>
      <c r="G11" s="2"/>
      <c r="H11" s="1">
        <v>44927</v>
      </c>
      <c r="I11" s="1">
        <v>45658</v>
      </c>
    </row>
    <row r="12" spans="1:9" x14ac:dyDescent="0.3">
      <c r="A12">
        <f>IFERROR(VLOOKUP(Tabela2[[#This Row],[Dia da semana]],Opções!$F$2:$G$8,2,0),"")</f>
        <v>4</v>
      </c>
      <c r="B12" t="s">
        <v>457</v>
      </c>
      <c r="C12" t="s">
        <v>25</v>
      </c>
      <c r="D12" t="s">
        <v>455</v>
      </c>
      <c r="E12" s="2"/>
      <c r="F12" s="2"/>
      <c r="G12" s="2"/>
      <c r="H12" s="1">
        <v>44927</v>
      </c>
      <c r="I12" s="1">
        <v>45658</v>
      </c>
    </row>
    <row r="13" spans="1:9" x14ac:dyDescent="0.3">
      <c r="A13">
        <f>IFERROR(VLOOKUP(Tabela2[[#This Row],[Dia da semana]],Opções!$F$2:$G$8,2,0),"")</f>
        <v>4</v>
      </c>
      <c r="B13" t="s">
        <v>457</v>
      </c>
      <c r="C13" t="s">
        <v>333</v>
      </c>
      <c r="D13" t="s">
        <v>455</v>
      </c>
      <c r="E13" s="2"/>
      <c r="F13" s="2"/>
      <c r="G13" s="2"/>
      <c r="H13" s="1">
        <v>44927</v>
      </c>
      <c r="I13" s="1">
        <v>45658</v>
      </c>
    </row>
    <row r="14" spans="1:9" x14ac:dyDescent="0.3">
      <c r="A14">
        <f>IFERROR(VLOOKUP(Tabela2[[#This Row],[Dia da semana]],Opções!$F$2:$G$8,2,0),"")</f>
        <v>5</v>
      </c>
      <c r="B14" t="s">
        <v>458</v>
      </c>
      <c r="C14" t="s">
        <v>214</v>
      </c>
      <c r="D14" t="s">
        <v>455</v>
      </c>
      <c r="E14" s="2"/>
      <c r="F14" s="2"/>
      <c r="G14" s="2"/>
      <c r="H14" s="1">
        <v>44927</v>
      </c>
      <c r="I14" s="1">
        <v>45658</v>
      </c>
    </row>
    <row r="15" spans="1:9" x14ac:dyDescent="0.3">
      <c r="A15">
        <f>IFERROR(VLOOKUP(Tabela2[[#This Row],[Dia da semana]],Opções!$F$2:$G$8,2,0),"")</f>
        <v>5</v>
      </c>
      <c r="B15" t="s">
        <v>458</v>
      </c>
      <c r="C15" t="s">
        <v>48</v>
      </c>
      <c r="D15" t="s">
        <v>455</v>
      </c>
      <c r="E15" s="2"/>
      <c r="F15" s="2"/>
      <c r="G15" s="2"/>
      <c r="H15" s="1">
        <v>44927</v>
      </c>
      <c r="I15" s="1">
        <v>45658</v>
      </c>
    </row>
    <row r="16" spans="1:9" x14ac:dyDescent="0.3">
      <c r="A16">
        <f>IFERROR(VLOOKUP(Tabela2[[#This Row],[Dia da semana]],Opções!$F$2:$G$8,2,0),"")</f>
        <v>5</v>
      </c>
      <c r="B16" t="s">
        <v>458</v>
      </c>
      <c r="C16" t="s">
        <v>333</v>
      </c>
      <c r="D16" t="s">
        <v>455</v>
      </c>
      <c r="E16" s="2"/>
      <c r="F16" s="2"/>
      <c r="G16" s="2"/>
      <c r="H16" s="1">
        <v>44927</v>
      </c>
      <c r="I16" s="1">
        <v>45658</v>
      </c>
    </row>
    <row r="17" spans="1:9" x14ac:dyDescent="0.3">
      <c r="A17">
        <f>IFERROR(VLOOKUP(Tabela2[[#This Row],[Dia da semana]],Opções!$F$2:$G$8,2,0),"")</f>
        <v>6</v>
      </c>
      <c r="B17" t="s">
        <v>459</v>
      </c>
      <c r="C17" t="s">
        <v>283</v>
      </c>
      <c r="D17" t="s">
        <v>455</v>
      </c>
      <c r="E17" s="2"/>
      <c r="F17" s="2"/>
      <c r="G17" s="2"/>
      <c r="H17" s="1">
        <v>44927</v>
      </c>
      <c r="I17" s="1">
        <v>45658</v>
      </c>
    </row>
    <row r="18" spans="1:9" x14ac:dyDescent="0.3">
      <c r="A18">
        <f>IFERROR(VLOOKUP(Tabela2[[#This Row],[Dia da semana]],Opções!$F$2:$G$8,2,0),"")</f>
        <v>6</v>
      </c>
      <c r="B18" t="s">
        <v>459</v>
      </c>
      <c r="C18" t="s">
        <v>214</v>
      </c>
      <c r="D18" t="s">
        <v>455</v>
      </c>
      <c r="E18" s="2"/>
      <c r="F18" s="2"/>
      <c r="G18" s="2"/>
      <c r="H18" s="1">
        <v>44927</v>
      </c>
      <c r="I18" s="1">
        <v>45658</v>
      </c>
    </row>
    <row r="19" spans="1:9" x14ac:dyDescent="0.3">
      <c r="A19">
        <f>IFERROR(VLOOKUP(Tabela2[[#This Row],[Dia da semana]],Opções!$F$2:$G$8,2,0),"")</f>
        <v>6</v>
      </c>
      <c r="B19" t="s">
        <v>459</v>
      </c>
      <c r="C19" t="s">
        <v>20</v>
      </c>
      <c r="D19" t="s">
        <v>455</v>
      </c>
      <c r="E19" s="2"/>
      <c r="F19" s="2"/>
      <c r="G19" s="2"/>
      <c r="H19" s="1">
        <v>44927</v>
      </c>
      <c r="I19" s="1">
        <v>45658</v>
      </c>
    </row>
    <row r="20" spans="1:9" x14ac:dyDescent="0.3">
      <c r="A20">
        <f>IFERROR(VLOOKUP(Tabela2[[#This Row],[Dia da semana]],Opções!$F$2:$G$8,2,0),"")</f>
        <v>6</v>
      </c>
      <c r="B20" t="s">
        <v>459</v>
      </c>
      <c r="C20" t="s">
        <v>333</v>
      </c>
      <c r="D20" t="s">
        <v>455</v>
      </c>
      <c r="E20" s="2"/>
      <c r="F20" s="2"/>
      <c r="G20" s="2"/>
      <c r="H20" s="1">
        <v>44927</v>
      </c>
      <c r="I20" s="1">
        <v>45658</v>
      </c>
    </row>
    <row r="21" spans="1:9" x14ac:dyDescent="0.3">
      <c r="A21">
        <f>IFERROR(VLOOKUP(Tabela2[[#This Row],[Dia da semana]],Opções!$F$2:$G$8,2,0),"")</f>
        <v>3</v>
      </c>
      <c r="B21" t="s">
        <v>456</v>
      </c>
      <c r="C21" t="s">
        <v>64</v>
      </c>
      <c r="D21" t="s">
        <v>460</v>
      </c>
      <c r="E21" s="2">
        <v>0.29166666666666669</v>
      </c>
      <c r="F21" s="2">
        <v>0.54166666666666596</v>
      </c>
      <c r="G21" s="2"/>
      <c r="H21" s="1">
        <v>44927</v>
      </c>
      <c r="I21" s="1">
        <v>45658</v>
      </c>
    </row>
    <row r="22" spans="1:9" x14ac:dyDescent="0.3">
      <c r="A22">
        <f>IFERROR(VLOOKUP(Tabela2[[#This Row],[Dia da semana]],Opções!$F$2:$G$8,2,0),"")</f>
        <v>4</v>
      </c>
      <c r="B22" t="s">
        <v>457</v>
      </c>
      <c r="C22" t="s">
        <v>32</v>
      </c>
      <c r="D22" t="s">
        <v>460</v>
      </c>
      <c r="E22" s="2">
        <v>0.54166666666666596</v>
      </c>
      <c r="F22" s="2">
        <v>0.83333333333333204</v>
      </c>
      <c r="G22" s="2"/>
      <c r="H22" s="1">
        <v>44927</v>
      </c>
      <c r="I22" s="1">
        <v>45658</v>
      </c>
    </row>
    <row r="23" spans="1:9" x14ac:dyDescent="0.3">
      <c r="A23">
        <f>IFERROR(VLOOKUP(Tabela2[[#This Row],[Dia da semana]],Opções!$F$2:$G$8,2,0),"")</f>
        <v>6</v>
      </c>
      <c r="B23" t="s">
        <v>459</v>
      </c>
      <c r="C23" t="s">
        <v>64</v>
      </c>
      <c r="D23" t="s">
        <v>460</v>
      </c>
      <c r="E23" s="2">
        <v>0.29166666666666669</v>
      </c>
      <c r="F23" s="2">
        <v>0.54166666666666596</v>
      </c>
      <c r="G23" s="2"/>
      <c r="H23" s="1">
        <v>44927</v>
      </c>
      <c r="I23" s="1">
        <v>45658</v>
      </c>
    </row>
    <row r="24" spans="1:9" x14ac:dyDescent="0.3">
      <c r="A24">
        <f>IFERROR(VLOOKUP(Tabela2[[#This Row],[Dia da semana]],Opções!$F$2:$G$8,2,0),"")</f>
        <v>6</v>
      </c>
      <c r="B24" t="s">
        <v>459</v>
      </c>
      <c r="C24" t="s">
        <v>32</v>
      </c>
      <c r="D24" t="s">
        <v>460</v>
      </c>
      <c r="E24" s="2">
        <v>0.54166666666666596</v>
      </c>
      <c r="F24" s="2">
        <v>0.83333333333333204</v>
      </c>
      <c r="G24" s="2"/>
      <c r="H24" s="1">
        <v>44927</v>
      </c>
      <c r="I24" s="1">
        <v>45658</v>
      </c>
    </row>
    <row r="25" spans="1:9" x14ac:dyDescent="0.3">
      <c r="A25">
        <f>IFERROR(VLOOKUP(Tabela2[[#This Row],[Dia da semana]],Opções!$F$2:$G$8,2,0),"")</f>
        <v>6</v>
      </c>
      <c r="B25" t="s">
        <v>459</v>
      </c>
      <c r="C25" t="s">
        <v>44</v>
      </c>
      <c r="D25" t="s">
        <v>460</v>
      </c>
      <c r="E25" s="2">
        <v>0.54166666666666596</v>
      </c>
      <c r="F25" s="2">
        <v>0.83333333333333204</v>
      </c>
      <c r="G25" s="2"/>
      <c r="H25" s="1">
        <v>44927</v>
      </c>
      <c r="I25" s="1">
        <v>45658</v>
      </c>
    </row>
    <row r="26" spans="1:9" x14ac:dyDescent="0.3">
      <c r="A26">
        <f>IFERROR(VLOOKUP(Tabela2[[#This Row],[Dia da semana]],Opções!$F$2:$G$8,2,0),"")</f>
        <v>2</v>
      </c>
      <c r="B26" t="s">
        <v>454</v>
      </c>
      <c r="C26" t="s">
        <v>23</v>
      </c>
      <c r="D26" t="s">
        <v>53</v>
      </c>
      <c r="E26" s="2">
        <v>0.54166666666666596</v>
      </c>
      <c r="F26" s="2">
        <v>0.749999999999999</v>
      </c>
      <c r="G26" s="2" t="s">
        <v>106</v>
      </c>
      <c r="H26" s="1">
        <v>44927</v>
      </c>
      <c r="I26" s="1">
        <v>45658</v>
      </c>
    </row>
    <row r="27" spans="1:9" x14ac:dyDescent="0.3">
      <c r="A27">
        <f>IFERROR(VLOOKUP(Tabela2[[#This Row],[Dia da semana]],Opções!$F$2:$G$8,2,0),"")</f>
        <v>4</v>
      </c>
      <c r="B27" t="s">
        <v>457</v>
      </c>
      <c r="C27" t="s">
        <v>23</v>
      </c>
      <c r="D27" t="s">
        <v>53</v>
      </c>
      <c r="E27" s="2">
        <v>0.33333333333333298</v>
      </c>
      <c r="F27" s="2">
        <v>0.5</v>
      </c>
      <c r="G27" s="2" t="s">
        <v>461</v>
      </c>
      <c r="H27" s="1">
        <v>44927</v>
      </c>
      <c r="I27" s="1">
        <v>45658</v>
      </c>
    </row>
    <row r="28" spans="1:9" x14ac:dyDescent="0.3">
      <c r="A28">
        <f>IFERROR(VLOOKUP(Tabela2[[#This Row],[Dia da semana]],Opções!$F$2:$G$8,2,0),"")</f>
        <v>5</v>
      </c>
      <c r="B28" t="s">
        <v>458</v>
      </c>
      <c r="C28" t="s">
        <v>47</v>
      </c>
      <c r="D28" t="s">
        <v>24</v>
      </c>
      <c r="E28" s="2">
        <v>0.29166666666666669</v>
      </c>
      <c r="F28" s="2">
        <v>0.91666666666666496</v>
      </c>
      <c r="G28" s="2" t="s">
        <v>462</v>
      </c>
      <c r="H28" s="1">
        <v>44927</v>
      </c>
      <c r="I28" s="1">
        <v>45658</v>
      </c>
    </row>
    <row r="29" spans="1:9" x14ac:dyDescent="0.3">
      <c r="A29">
        <f>IFERROR(VLOOKUP(Tabela2[[#This Row],[Dia da semana]],Opções!$F$2:$G$8,2,0),"")</f>
        <v>3</v>
      </c>
      <c r="B29" t="s">
        <v>456</v>
      </c>
      <c r="C29" t="s">
        <v>20</v>
      </c>
      <c r="D29" t="s">
        <v>463</v>
      </c>
      <c r="E29" s="2">
        <v>0.749999999999999</v>
      </c>
      <c r="F29" s="2">
        <v>0.79166666666666496</v>
      </c>
      <c r="G29" s="2"/>
      <c r="H29" s="1">
        <v>44927</v>
      </c>
      <c r="I29" s="1">
        <v>45658</v>
      </c>
    </row>
    <row r="30" spans="1:9" x14ac:dyDescent="0.3">
      <c r="A30">
        <f>IFERROR(VLOOKUP(Tabela2[[#This Row],[Dia da semana]],Opções!$F$2:$G$8,2,0),"")</f>
        <v>3</v>
      </c>
      <c r="B30" t="s">
        <v>456</v>
      </c>
      <c r="C30" t="s">
        <v>23</v>
      </c>
      <c r="D30" t="s">
        <v>463</v>
      </c>
      <c r="E30" s="2">
        <v>0.749999999999999</v>
      </c>
      <c r="F30" s="2">
        <v>0.79166666666666496</v>
      </c>
      <c r="G30" s="2"/>
      <c r="H30" s="1">
        <v>44927</v>
      </c>
      <c r="I30" s="1">
        <v>45658</v>
      </c>
    </row>
    <row r="31" spans="1:9" x14ac:dyDescent="0.3">
      <c r="A31">
        <f>IFERROR(VLOOKUP(Tabela2[[#This Row],[Dia da semana]],Opções!$F$2:$G$8,2,0),"")</f>
        <v>3</v>
      </c>
      <c r="B31" t="s">
        <v>456</v>
      </c>
      <c r="C31" t="s">
        <v>12</v>
      </c>
      <c r="D31" t="s">
        <v>463</v>
      </c>
      <c r="E31" s="2">
        <v>0.749999999999999</v>
      </c>
      <c r="F31" s="2">
        <v>0.79166666666666496</v>
      </c>
      <c r="G31" s="2"/>
      <c r="H31" s="1">
        <v>44927</v>
      </c>
      <c r="I31" s="1">
        <v>45658</v>
      </c>
    </row>
    <row r="32" spans="1:9" x14ac:dyDescent="0.3">
      <c r="A32">
        <f>IFERROR(VLOOKUP(Tabela2[[#This Row],[Dia da semana]],Opções!$F$2:$G$8,2,0),"")</f>
        <v>3</v>
      </c>
      <c r="B32" t="s">
        <v>456</v>
      </c>
      <c r="C32" t="s">
        <v>73</v>
      </c>
      <c r="D32" t="s">
        <v>463</v>
      </c>
      <c r="E32" s="2">
        <v>0.749999999999999</v>
      </c>
      <c r="F32" s="2">
        <v>0.79166666666666496</v>
      </c>
      <c r="G32" s="2"/>
      <c r="H32" s="1">
        <v>44927</v>
      </c>
      <c r="I32" s="1">
        <v>45658</v>
      </c>
    </row>
    <row r="33" spans="1:9" x14ac:dyDescent="0.3">
      <c r="A33">
        <f>IFERROR(VLOOKUP(Tabela2[[#This Row],[Dia da semana]],Opções!$F$2:$G$8,2,0),"")</f>
        <v>3</v>
      </c>
      <c r="B33" t="s">
        <v>456</v>
      </c>
      <c r="C33" t="s">
        <v>50</v>
      </c>
      <c r="D33" t="s">
        <v>463</v>
      </c>
      <c r="E33" s="2">
        <v>0.749999999999999</v>
      </c>
      <c r="F33" s="2">
        <v>0.79166666666666496</v>
      </c>
      <c r="G33" s="2"/>
      <c r="H33" s="1">
        <v>44927</v>
      </c>
      <c r="I33" s="1">
        <v>45658</v>
      </c>
    </row>
    <row r="34" spans="1:9" x14ac:dyDescent="0.3">
      <c r="A34">
        <f>IFERROR(VLOOKUP(Tabela2[[#This Row],[Dia da semana]],Opções!$F$2:$G$8,2,0),"")</f>
        <v>3</v>
      </c>
      <c r="B34" t="s">
        <v>456</v>
      </c>
      <c r="C34" t="s">
        <v>47</v>
      </c>
      <c r="D34" t="s">
        <v>463</v>
      </c>
      <c r="E34" s="2">
        <v>0.749999999999999</v>
      </c>
      <c r="F34" s="2">
        <v>0.79166666666666496</v>
      </c>
      <c r="G34" s="2"/>
      <c r="H34" s="1">
        <v>44927</v>
      </c>
      <c r="I34" s="1">
        <v>45658</v>
      </c>
    </row>
    <row r="35" spans="1:9" x14ac:dyDescent="0.3">
      <c r="A35">
        <f>IFERROR(VLOOKUP(Tabela2[[#This Row],[Dia da semana]],Opções!$F$2:$G$8,2,0),"")</f>
        <v>3</v>
      </c>
      <c r="B35" t="s">
        <v>456</v>
      </c>
      <c r="C35" t="s">
        <v>29</v>
      </c>
      <c r="D35" t="s">
        <v>463</v>
      </c>
      <c r="E35" s="2">
        <v>0.749999999999999</v>
      </c>
      <c r="F35" s="2">
        <v>0.79166666666666496</v>
      </c>
      <c r="G35" s="2"/>
      <c r="H35" s="1">
        <v>44927</v>
      </c>
      <c r="I35" s="1">
        <v>45658</v>
      </c>
    </row>
    <row r="36" spans="1:9" x14ac:dyDescent="0.3">
      <c r="A36">
        <f>IFERROR(VLOOKUP(Tabela2[[#This Row],[Dia da semana]],Opções!$F$2:$G$8,2,0),"")</f>
        <v>2</v>
      </c>
      <c r="B36" t="s">
        <v>454</v>
      </c>
      <c r="C36" t="s">
        <v>249</v>
      </c>
      <c r="D36" t="s">
        <v>460</v>
      </c>
      <c r="E36" s="2">
        <v>0.29166666666666669</v>
      </c>
      <c r="F36" s="2">
        <v>0.562499999999999</v>
      </c>
      <c r="G36" s="2"/>
      <c r="H36" s="1">
        <v>44927</v>
      </c>
      <c r="I36" s="1">
        <v>45658</v>
      </c>
    </row>
    <row r="37" spans="1:9" x14ac:dyDescent="0.3">
      <c r="A37">
        <f>IFERROR(VLOOKUP(Tabela2[[#This Row],[Dia da semana]],Opções!$F$2:$G$8,2,0),"")</f>
        <v>5</v>
      </c>
      <c r="B37" t="s">
        <v>458</v>
      </c>
      <c r="C37" t="s">
        <v>249</v>
      </c>
      <c r="D37" t="s">
        <v>460</v>
      </c>
      <c r="E37" s="2">
        <v>0.29166666666666669</v>
      </c>
      <c r="F37" s="2">
        <v>0.562499999999999</v>
      </c>
      <c r="G37" s="2"/>
      <c r="H37" s="1">
        <v>44927</v>
      </c>
      <c r="I37" s="1">
        <v>45658</v>
      </c>
    </row>
    <row r="38" spans="1:9" x14ac:dyDescent="0.3">
      <c r="A38">
        <f>IFERROR(VLOOKUP(Tabela2[[#This Row],[Dia da semana]],Opções!$F$2:$G$8,2,0),"")</f>
        <v>6</v>
      </c>
      <c r="B38" t="s">
        <v>459</v>
      </c>
      <c r="C38" t="s">
        <v>249</v>
      </c>
      <c r="D38" t="s">
        <v>455</v>
      </c>
      <c r="E38" s="2"/>
      <c r="F38" s="2"/>
      <c r="G38" s="2"/>
      <c r="H38" s="1">
        <v>44927</v>
      </c>
      <c r="I38" s="1">
        <v>45658</v>
      </c>
    </row>
    <row r="39" spans="1:9" x14ac:dyDescent="0.3">
      <c r="E39" s="2"/>
      <c r="F39" s="2"/>
      <c r="G39" s="2"/>
    </row>
    <row r="40" spans="1:9" x14ac:dyDescent="0.3">
      <c r="E40" s="2"/>
      <c r="F40" s="2"/>
      <c r="G40" s="2"/>
    </row>
    <row r="41" spans="1:9" x14ac:dyDescent="0.3">
      <c r="E41" s="2"/>
      <c r="F41" s="2"/>
      <c r="G41" s="2"/>
    </row>
    <row r="42" spans="1:9" x14ac:dyDescent="0.3">
      <c r="E42" s="2"/>
      <c r="F42" s="2"/>
      <c r="G42" s="2"/>
    </row>
    <row r="43" spans="1:9" x14ac:dyDescent="0.3">
      <c r="E43" s="2"/>
      <c r="F43" s="2"/>
      <c r="G43" s="2"/>
    </row>
    <row r="44" spans="1:9" x14ac:dyDescent="0.3">
      <c r="E44" s="2"/>
      <c r="F44" s="2"/>
      <c r="G44" s="2"/>
    </row>
    <row r="45" spans="1:9" x14ac:dyDescent="0.3">
      <c r="E45" s="2"/>
      <c r="F45" s="2"/>
      <c r="G45" s="2"/>
    </row>
    <row r="46" spans="1:9" x14ac:dyDescent="0.3">
      <c r="E46" s="2"/>
      <c r="F46" s="2"/>
      <c r="G46" s="2"/>
    </row>
    <row r="47" spans="1:9" x14ac:dyDescent="0.3">
      <c r="E47" s="2"/>
      <c r="F47" s="2"/>
      <c r="G47" s="2"/>
    </row>
    <row r="48" spans="1:9" x14ac:dyDescent="0.3">
      <c r="E48" s="2"/>
      <c r="F48" s="2"/>
      <c r="G48" s="2"/>
    </row>
    <row r="49" spans="5:7" x14ac:dyDescent="0.3">
      <c r="E49" s="2"/>
      <c r="F49" s="2"/>
      <c r="G49" s="2"/>
    </row>
    <row r="50" spans="5:7" x14ac:dyDescent="0.3">
      <c r="E50" s="2"/>
      <c r="F50" s="2"/>
      <c r="G50" s="2"/>
    </row>
    <row r="51" spans="5:7" x14ac:dyDescent="0.3">
      <c r="E51" s="2"/>
      <c r="F51" s="2"/>
      <c r="G51" s="2"/>
    </row>
    <row r="52" spans="5:7" x14ac:dyDescent="0.3">
      <c r="E52" s="2"/>
      <c r="F52" s="2"/>
      <c r="G52" s="2"/>
    </row>
    <row r="53" spans="5:7" x14ac:dyDescent="0.3">
      <c r="E53" s="2"/>
      <c r="F53" s="2"/>
      <c r="G53" s="2"/>
    </row>
    <row r="54" spans="5:7" x14ac:dyDescent="0.3">
      <c r="E54" s="2"/>
      <c r="F54" s="2"/>
      <c r="G54" s="2"/>
    </row>
    <row r="55" spans="5:7" x14ac:dyDescent="0.3">
      <c r="E55" s="2"/>
      <c r="F55" s="2"/>
      <c r="G55" s="2"/>
    </row>
    <row r="56" spans="5:7" x14ac:dyDescent="0.3">
      <c r="E56" s="2"/>
      <c r="F56" s="2"/>
      <c r="G56" s="2"/>
    </row>
    <row r="57" spans="5:7" x14ac:dyDescent="0.3">
      <c r="E57" s="2"/>
      <c r="F57" s="2"/>
      <c r="G57" s="2"/>
    </row>
    <row r="58" spans="5:7" x14ac:dyDescent="0.3">
      <c r="E58" s="2"/>
      <c r="F58" s="2"/>
      <c r="G58" s="2"/>
    </row>
    <row r="59" spans="5:7" x14ac:dyDescent="0.3">
      <c r="E59" s="2"/>
      <c r="F59" s="2"/>
      <c r="G59" s="2"/>
    </row>
    <row r="60" spans="5:7" x14ac:dyDescent="0.3">
      <c r="E60" s="2"/>
      <c r="F60" s="2"/>
      <c r="G60" s="2"/>
    </row>
    <row r="61" spans="5:7" x14ac:dyDescent="0.3">
      <c r="E61" s="2"/>
      <c r="F61" s="2"/>
      <c r="G61" s="2"/>
    </row>
    <row r="62" spans="5:7" x14ac:dyDescent="0.3">
      <c r="E62" s="2"/>
      <c r="F62" s="2"/>
      <c r="G62" s="2"/>
    </row>
    <row r="63" spans="5:7" x14ac:dyDescent="0.3">
      <c r="E63" s="2"/>
      <c r="F63" s="2"/>
      <c r="G63" s="2"/>
    </row>
    <row r="64" spans="5:7" x14ac:dyDescent="0.3">
      <c r="E64" s="2"/>
      <c r="F64" s="2"/>
      <c r="G64" s="2"/>
    </row>
    <row r="65" spans="5:7" x14ac:dyDescent="0.3">
      <c r="E65" s="2"/>
      <c r="F65" s="2"/>
      <c r="G65" s="2"/>
    </row>
    <row r="66" spans="5:7" x14ac:dyDescent="0.3">
      <c r="E66" s="2"/>
      <c r="F66" s="2"/>
      <c r="G66" s="2"/>
    </row>
    <row r="67" spans="5:7" x14ac:dyDescent="0.3">
      <c r="E67" s="2"/>
      <c r="F67" s="2"/>
      <c r="G67" s="2"/>
    </row>
    <row r="68" spans="5:7" x14ac:dyDescent="0.3">
      <c r="E68" s="2"/>
      <c r="F68" s="2"/>
      <c r="G68" s="2"/>
    </row>
    <row r="69" spans="5:7" x14ac:dyDescent="0.3">
      <c r="E69" s="2"/>
      <c r="F69" s="2"/>
      <c r="G69" s="2"/>
    </row>
    <row r="70" spans="5:7" x14ac:dyDescent="0.3">
      <c r="E70" s="2"/>
      <c r="F70" s="2"/>
      <c r="G70" s="2"/>
    </row>
    <row r="71" spans="5:7" x14ac:dyDescent="0.3">
      <c r="E71" s="2"/>
      <c r="F71" s="2"/>
      <c r="G71" s="2"/>
    </row>
    <row r="72" spans="5:7" x14ac:dyDescent="0.3">
      <c r="E72" s="2"/>
      <c r="F72" s="2"/>
      <c r="G72" s="2"/>
    </row>
    <row r="73" spans="5:7" x14ac:dyDescent="0.3">
      <c r="E73" s="2"/>
      <c r="F73" s="2"/>
      <c r="G73" s="2"/>
    </row>
    <row r="74" spans="5:7" x14ac:dyDescent="0.3">
      <c r="E74" s="2"/>
      <c r="F74" s="2"/>
      <c r="G74" s="2"/>
    </row>
    <row r="75" spans="5:7" x14ac:dyDescent="0.3">
      <c r="E75" s="2"/>
      <c r="F75" s="2"/>
      <c r="G75" s="2"/>
    </row>
    <row r="76" spans="5:7" x14ac:dyDescent="0.3">
      <c r="E76" s="2"/>
      <c r="F76" s="2"/>
      <c r="G76" s="2"/>
    </row>
    <row r="77" spans="5:7" x14ac:dyDescent="0.3">
      <c r="E77" s="2"/>
      <c r="F77" s="2"/>
      <c r="G77" s="2"/>
    </row>
    <row r="78" spans="5:7" x14ac:dyDescent="0.3">
      <c r="E78" s="2"/>
      <c r="F78" s="2"/>
      <c r="G78" s="2"/>
    </row>
    <row r="79" spans="5:7" x14ac:dyDescent="0.3">
      <c r="E79" s="2"/>
      <c r="F79" s="2"/>
      <c r="G79" s="2"/>
    </row>
    <row r="80" spans="5:7" x14ac:dyDescent="0.3">
      <c r="E80" s="2"/>
      <c r="F80" s="2"/>
      <c r="G80" s="2"/>
    </row>
    <row r="81" spans="5:7" x14ac:dyDescent="0.3">
      <c r="E81" s="2"/>
      <c r="F81" s="2"/>
      <c r="G81" s="2"/>
    </row>
    <row r="82" spans="5:7" x14ac:dyDescent="0.3">
      <c r="E82" s="2"/>
      <c r="F82" s="2"/>
      <c r="G82" s="2"/>
    </row>
    <row r="83" spans="5:7" x14ac:dyDescent="0.3">
      <c r="E83" s="2"/>
      <c r="F83" s="2"/>
      <c r="G83" s="2"/>
    </row>
    <row r="84" spans="5:7" x14ac:dyDescent="0.3">
      <c r="E84" s="2"/>
      <c r="F84" s="2"/>
      <c r="G84" s="2"/>
    </row>
    <row r="85" spans="5:7" x14ac:dyDescent="0.3">
      <c r="E85" s="2"/>
      <c r="F85" s="2"/>
      <c r="G85" s="2"/>
    </row>
    <row r="86" spans="5:7" x14ac:dyDescent="0.3">
      <c r="E86" s="2"/>
      <c r="F86" s="2"/>
      <c r="G86" s="2"/>
    </row>
    <row r="87" spans="5:7" x14ac:dyDescent="0.3">
      <c r="E87" s="2"/>
      <c r="F87" s="2"/>
      <c r="G87" s="2"/>
    </row>
    <row r="88" spans="5:7" x14ac:dyDescent="0.3">
      <c r="E88" s="2"/>
      <c r="F88" s="2"/>
      <c r="G88" s="2"/>
    </row>
    <row r="89" spans="5:7" x14ac:dyDescent="0.3">
      <c r="E89" s="2"/>
      <c r="F89" s="2"/>
      <c r="G89" s="2"/>
    </row>
    <row r="90" spans="5:7" x14ac:dyDescent="0.3">
      <c r="E90" s="2"/>
      <c r="F90" s="2"/>
      <c r="G90" s="2"/>
    </row>
    <row r="91" spans="5:7" x14ac:dyDescent="0.3">
      <c r="E91" s="2"/>
      <c r="F91" s="2"/>
      <c r="G91" s="2"/>
    </row>
    <row r="92" spans="5:7" x14ac:dyDescent="0.3">
      <c r="E92" s="2"/>
      <c r="F92" s="2"/>
      <c r="G92" s="2"/>
    </row>
    <row r="93" spans="5:7" x14ac:dyDescent="0.3">
      <c r="E93" s="2"/>
      <c r="F93" s="2"/>
      <c r="G93" s="2"/>
    </row>
    <row r="94" spans="5:7" x14ac:dyDescent="0.3">
      <c r="E94" s="2"/>
      <c r="F94" s="2"/>
      <c r="G94" s="2"/>
    </row>
    <row r="95" spans="5:7" x14ac:dyDescent="0.3">
      <c r="E95" s="2"/>
      <c r="F95" s="2"/>
      <c r="G95" s="2"/>
    </row>
    <row r="96" spans="5:7" x14ac:dyDescent="0.3">
      <c r="E96" s="2"/>
      <c r="F96" s="2"/>
      <c r="G96" s="2"/>
    </row>
    <row r="97" spans="5:7" x14ac:dyDescent="0.3">
      <c r="E97" s="2"/>
      <c r="F97" s="2"/>
      <c r="G97" s="2"/>
    </row>
    <row r="98" spans="5:7" x14ac:dyDescent="0.3">
      <c r="E98" s="2"/>
      <c r="F98" s="2"/>
      <c r="G98" s="2"/>
    </row>
    <row r="99" spans="5:7" x14ac:dyDescent="0.3">
      <c r="E99" s="2"/>
      <c r="F99" s="2"/>
      <c r="G99" s="2"/>
    </row>
    <row r="100" spans="5:7" x14ac:dyDescent="0.3">
      <c r="E100" s="2"/>
      <c r="F100" s="2"/>
      <c r="G100" s="2"/>
    </row>
    <row r="101" spans="5:7" x14ac:dyDescent="0.3">
      <c r="E101" s="2"/>
      <c r="F101" s="2"/>
      <c r="G101" s="2"/>
    </row>
    <row r="102" spans="5:7" x14ac:dyDescent="0.3">
      <c r="E102" s="2"/>
      <c r="F102" s="2"/>
      <c r="G102" s="2"/>
    </row>
    <row r="103" spans="5:7" x14ac:dyDescent="0.3">
      <c r="E103" s="2"/>
      <c r="F103" s="2"/>
      <c r="G103" s="2"/>
    </row>
    <row r="104" spans="5:7" x14ac:dyDescent="0.3">
      <c r="E104" s="2"/>
      <c r="F104" s="2"/>
      <c r="G104" s="2"/>
    </row>
    <row r="105" spans="5:7" x14ac:dyDescent="0.3">
      <c r="E105" s="2"/>
      <c r="F105" s="2"/>
      <c r="G105" s="2"/>
    </row>
    <row r="106" spans="5:7" x14ac:dyDescent="0.3">
      <c r="E106" s="2"/>
      <c r="F106" s="2"/>
      <c r="G106" s="2"/>
    </row>
    <row r="107" spans="5:7" x14ac:dyDescent="0.3">
      <c r="E107" s="2"/>
      <c r="F107" s="2"/>
      <c r="G107" s="2"/>
    </row>
    <row r="108" spans="5:7" x14ac:dyDescent="0.3">
      <c r="E108" s="2"/>
      <c r="F108" s="2"/>
      <c r="G108" s="2"/>
    </row>
    <row r="109" spans="5:7" x14ac:dyDescent="0.3">
      <c r="E109" s="2"/>
      <c r="F109" s="2"/>
      <c r="G109" s="2"/>
    </row>
    <row r="110" spans="5:7" x14ac:dyDescent="0.3">
      <c r="E110" s="2"/>
      <c r="F110" s="2"/>
      <c r="G110" s="2"/>
    </row>
    <row r="111" spans="5:7" x14ac:dyDescent="0.3">
      <c r="E111" s="2"/>
      <c r="F111" s="2"/>
      <c r="G111" s="2"/>
    </row>
    <row r="112" spans="5:7" x14ac:dyDescent="0.3">
      <c r="E112" s="2"/>
      <c r="F112" s="2"/>
      <c r="G112" s="2"/>
    </row>
    <row r="113" spans="5:7" x14ac:dyDescent="0.3">
      <c r="E113" s="2"/>
      <c r="F113" s="2"/>
      <c r="G113" s="2"/>
    </row>
    <row r="114" spans="5:7" x14ac:dyDescent="0.3">
      <c r="E114" s="2"/>
      <c r="F114" s="2"/>
      <c r="G114" s="2"/>
    </row>
    <row r="115" spans="5:7" x14ac:dyDescent="0.3">
      <c r="E115" s="2"/>
      <c r="F115" s="2"/>
      <c r="G115" s="2"/>
    </row>
    <row r="116" spans="5:7" x14ac:dyDescent="0.3">
      <c r="E116" s="2"/>
      <c r="F116" s="2"/>
      <c r="G116" s="2"/>
    </row>
    <row r="117" spans="5:7" x14ac:dyDescent="0.3">
      <c r="E117" s="2"/>
      <c r="F117" s="2"/>
      <c r="G117" s="2"/>
    </row>
    <row r="118" spans="5:7" x14ac:dyDescent="0.3">
      <c r="E118" s="2"/>
      <c r="F118" s="2"/>
      <c r="G118" s="2"/>
    </row>
    <row r="119" spans="5:7" x14ac:dyDescent="0.3">
      <c r="E119" s="2"/>
      <c r="F119" s="2"/>
      <c r="G119" s="2"/>
    </row>
    <row r="120" spans="5:7" x14ac:dyDescent="0.3">
      <c r="E120" s="2"/>
      <c r="F120" s="2"/>
      <c r="G120" s="2"/>
    </row>
    <row r="121" spans="5:7" x14ac:dyDescent="0.3">
      <c r="E121" s="2"/>
      <c r="F121" s="2"/>
      <c r="G121" s="2"/>
    </row>
    <row r="122" spans="5:7" x14ac:dyDescent="0.3">
      <c r="E122" s="2"/>
      <c r="F122" s="2"/>
      <c r="G122" s="2"/>
    </row>
    <row r="123" spans="5:7" x14ac:dyDescent="0.3">
      <c r="E123" s="2"/>
      <c r="F123" s="2"/>
      <c r="G123" s="2"/>
    </row>
    <row r="124" spans="5:7" x14ac:dyDescent="0.3">
      <c r="E124" s="2"/>
      <c r="F124" s="2"/>
      <c r="G124" s="2"/>
    </row>
    <row r="125" spans="5:7" x14ac:dyDescent="0.3">
      <c r="E125" s="2"/>
      <c r="F125" s="2"/>
      <c r="G125" s="2"/>
    </row>
    <row r="126" spans="5:7" x14ac:dyDescent="0.3">
      <c r="E126" s="2"/>
      <c r="F126" s="2"/>
      <c r="G126" s="2"/>
    </row>
    <row r="127" spans="5:7" x14ac:dyDescent="0.3">
      <c r="E127" s="2"/>
      <c r="F127" s="2"/>
      <c r="G127" s="2"/>
    </row>
    <row r="128" spans="5:7" x14ac:dyDescent="0.3">
      <c r="E128" s="2"/>
      <c r="F128" s="2"/>
      <c r="G128" s="2"/>
    </row>
    <row r="129" spans="5:7" x14ac:dyDescent="0.3">
      <c r="E129" s="2"/>
      <c r="F129" s="2"/>
      <c r="G129" s="2"/>
    </row>
    <row r="130" spans="5:7" x14ac:dyDescent="0.3">
      <c r="E130" s="2"/>
      <c r="F130" s="2"/>
      <c r="G130" s="2"/>
    </row>
    <row r="131" spans="5:7" x14ac:dyDescent="0.3">
      <c r="E131" s="2"/>
      <c r="F131" s="2"/>
      <c r="G131" s="2"/>
    </row>
    <row r="132" spans="5:7" x14ac:dyDescent="0.3">
      <c r="E132" s="2"/>
      <c r="F132" s="2"/>
      <c r="G132" s="2"/>
    </row>
    <row r="133" spans="5:7" x14ac:dyDescent="0.3">
      <c r="E133" s="2"/>
      <c r="F133" s="2"/>
      <c r="G133" s="2"/>
    </row>
    <row r="134" spans="5:7" x14ac:dyDescent="0.3">
      <c r="E134" s="2"/>
      <c r="F134" s="2"/>
      <c r="G134" s="2"/>
    </row>
    <row r="135" spans="5:7" x14ac:dyDescent="0.3">
      <c r="E135" s="2"/>
      <c r="F135" s="2"/>
      <c r="G135" s="2"/>
    </row>
    <row r="136" spans="5:7" x14ac:dyDescent="0.3">
      <c r="E136" s="2"/>
      <c r="F136" s="2"/>
      <c r="G136" s="2"/>
    </row>
    <row r="137" spans="5:7" x14ac:dyDescent="0.3">
      <c r="E137" s="2"/>
      <c r="F137" s="2"/>
      <c r="G137" s="2"/>
    </row>
    <row r="138" spans="5:7" x14ac:dyDescent="0.3">
      <c r="E138" s="2"/>
      <c r="F138" s="2"/>
      <c r="G138" s="2"/>
    </row>
    <row r="139" spans="5:7" x14ac:dyDescent="0.3">
      <c r="E139" s="2"/>
      <c r="F139" s="2"/>
      <c r="G139" s="2"/>
    </row>
    <row r="140" spans="5:7" x14ac:dyDescent="0.3">
      <c r="E140" s="2"/>
      <c r="F140" s="2"/>
      <c r="G140" s="2"/>
    </row>
    <row r="141" spans="5:7" x14ac:dyDescent="0.3">
      <c r="E141" s="2"/>
      <c r="F141" s="2"/>
      <c r="G141" s="2"/>
    </row>
    <row r="142" spans="5:7" x14ac:dyDescent="0.3">
      <c r="E142" s="2"/>
      <c r="F142" s="2"/>
      <c r="G142" s="2"/>
    </row>
    <row r="143" spans="5:7" x14ac:dyDescent="0.3">
      <c r="E143" s="2"/>
      <c r="F143" s="2"/>
      <c r="G143" s="2"/>
    </row>
    <row r="144" spans="5:7" x14ac:dyDescent="0.3">
      <c r="E144" s="2"/>
      <c r="F144" s="2"/>
      <c r="G144" s="2"/>
    </row>
    <row r="145" spans="5:7" x14ac:dyDescent="0.3">
      <c r="E145" s="2"/>
      <c r="F145" s="2"/>
      <c r="G145" s="2"/>
    </row>
    <row r="146" spans="5:7" x14ac:dyDescent="0.3">
      <c r="E146" s="2"/>
      <c r="F146" s="2"/>
      <c r="G146" s="2"/>
    </row>
    <row r="147" spans="5:7" x14ac:dyDescent="0.3">
      <c r="E147" s="2"/>
      <c r="F147" s="2"/>
      <c r="G147" s="2"/>
    </row>
    <row r="148" spans="5:7" x14ac:dyDescent="0.3">
      <c r="E148" s="2"/>
      <c r="F148" s="2"/>
      <c r="G148" s="2"/>
    </row>
    <row r="149" spans="5:7" x14ac:dyDescent="0.3">
      <c r="E149" s="2"/>
      <c r="F149" s="2"/>
      <c r="G149" s="2"/>
    </row>
    <row r="150" spans="5:7" x14ac:dyDescent="0.3">
      <c r="E150" s="2"/>
      <c r="F150" s="2"/>
      <c r="G150" s="2"/>
    </row>
    <row r="151" spans="5:7" x14ac:dyDescent="0.3">
      <c r="E151" s="2"/>
      <c r="F151" s="2"/>
      <c r="G151" s="2"/>
    </row>
    <row r="152" spans="5:7" x14ac:dyDescent="0.3">
      <c r="E152" s="2"/>
      <c r="F152" s="2"/>
      <c r="G152" s="2"/>
    </row>
    <row r="153" spans="5:7" x14ac:dyDescent="0.3">
      <c r="E153" s="2"/>
      <c r="F153" s="2"/>
      <c r="G153" s="2"/>
    </row>
    <row r="154" spans="5:7" x14ac:dyDescent="0.3">
      <c r="E154" s="2"/>
      <c r="F154" s="2"/>
      <c r="G154" s="2"/>
    </row>
    <row r="155" spans="5:7" x14ac:dyDescent="0.3">
      <c r="E155" s="2"/>
      <c r="F155" s="2"/>
      <c r="G155" s="2"/>
    </row>
    <row r="156" spans="5:7" x14ac:dyDescent="0.3">
      <c r="E156" s="2"/>
      <c r="F156" s="2"/>
      <c r="G156" s="2"/>
    </row>
    <row r="157" spans="5:7" x14ac:dyDescent="0.3">
      <c r="E157" s="2"/>
      <c r="F157" s="2"/>
      <c r="G157" s="2"/>
    </row>
    <row r="158" spans="5:7" x14ac:dyDescent="0.3">
      <c r="E158" s="2"/>
      <c r="F158" s="2"/>
      <c r="G158" s="2"/>
    </row>
    <row r="159" spans="5:7" x14ac:dyDescent="0.3">
      <c r="E159" s="2"/>
      <c r="F159" s="2"/>
      <c r="G159" s="2"/>
    </row>
    <row r="160" spans="5:7" x14ac:dyDescent="0.3">
      <c r="E160" s="2"/>
      <c r="F160" s="2"/>
      <c r="G160" s="2"/>
    </row>
    <row r="161" spans="5:7" x14ac:dyDescent="0.3">
      <c r="E161" s="2"/>
      <c r="F161" s="2"/>
      <c r="G161" s="2"/>
    </row>
    <row r="162" spans="5:7" x14ac:dyDescent="0.3">
      <c r="E162" s="2"/>
      <c r="F162" s="2"/>
      <c r="G162" s="2"/>
    </row>
    <row r="163" spans="5:7" x14ac:dyDescent="0.3">
      <c r="E163" s="2"/>
      <c r="F163" s="2"/>
      <c r="G163" s="2"/>
    </row>
    <row r="164" spans="5:7" x14ac:dyDescent="0.3">
      <c r="E164" s="2"/>
      <c r="F164" s="2"/>
      <c r="G164" s="2"/>
    </row>
    <row r="165" spans="5:7" x14ac:dyDescent="0.3">
      <c r="E165" s="2"/>
      <c r="F165" s="2"/>
      <c r="G165" s="2"/>
    </row>
    <row r="166" spans="5:7" x14ac:dyDescent="0.3">
      <c r="E166" s="2"/>
      <c r="F166" s="2"/>
      <c r="G166" s="2"/>
    </row>
    <row r="167" spans="5:7" x14ac:dyDescent="0.3">
      <c r="E167" s="2"/>
      <c r="F167" s="2"/>
      <c r="G167" s="2"/>
    </row>
    <row r="168" spans="5:7" x14ac:dyDescent="0.3">
      <c r="E168" s="2"/>
      <c r="F168" s="2"/>
      <c r="G168" s="2"/>
    </row>
    <row r="169" spans="5:7" x14ac:dyDescent="0.3">
      <c r="E169" s="2"/>
      <c r="F169" s="2"/>
      <c r="G169" s="2"/>
    </row>
    <row r="170" spans="5:7" x14ac:dyDescent="0.3">
      <c r="E170" s="2"/>
      <c r="F170" s="2"/>
      <c r="G170" s="2"/>
    </row>
    <row r="171" spans="5:7" x14ac:dyDescent="0.3">
      <c r="E171" s="2"/>
      <c r="F171" s="2"/>
      <c r="G171" s="2"/>
    </row>
    <row r="172" spans="5:7" x14ac:dyDescent="0.3">
      <c r="E172" s="2"/>
      <c r="F172" s="2"/>
      <c r="G172" s="2"/>
    </row>
    <row r="173" spans="5:7" x14ac:dyDescent="0.3">
      <c r="E173" s="2"/>
      <c r="F173" s="2"/>
      <c r="G173" s="2"/>
    </row>
    <row r="174" spans="5:7" x14ac:dyDescent="0.3">
      <c r="E174" s="2"/>
      <c r="F174" s="2"/>
      <c r="G174" s="2"/>
    </row>
    <row r="175" spans="5:7" x14ac:dyDescent="0.3">
      <c r="E175" s="2"/>
      <c r="F175" s="2"/>
      <c r="G175" s="2"/>
    </row>
    <row r="176" spans="5:7" x14ac:dyDescent="0.3">
      <c r="E176" s="2"/>
      <c r="F176" s="2"/>
      <c r="G176" s="2"/>
    </row>
    <row r="177" spans="5:7" x14ac:dyDescent="0.3">
      <c r="E177" s="2"/>
      <c r="F177" s="2"/>
      <c r="G177" s="2"/>
    </row>
    <row r="178" spans="5:7" x14ac:dyDescent="0.3">
      <c r="E178" s="2"/>
      <c r="F178" s="2"/>
      <c r="G178" s="2"/>
    </row>
    <row r="179" spans="5:7" x14ac:dyDescent="0.3">
      <c r="E179" s="2"/>
      <c r="F179" s="2"/>
      <c r="G179" s="2"/>
    </row>
    <row r="180" spans="5:7" x14ac:dyDescent="0.3">
      <c r="E180" s="2"/>
      <c r="F180" s="2"/>
      <c r="G180" s="2"/>
    </row>
    <row r="181" spans="5:7" x14ac:dyDescent="0.3">
      <c r="E181" s="2"/>
      <c r="F181" s="2"/>
      <c r="G181" s="2"/>
    </row>
    <row r="182" spans="5:7" x14ac:dyDescent="0.3">
      <c r="E182" s="2"/>
      <c r="F182" s="2"/>
      <c r="G182" s="2"/>
    </row>
    <row r="183" spans="5:7" x14ac:dyDescent="0.3">
      <c r="E183" s="2"/>
      <c r="F183" s="2"/>
      <c r="G183" s="2"/>
    </row>
    <row r="184" spans="5:7" x14ac:dyDescent="0.3">
      <c r="E184" s="2"/>
      <c r="F184" s="2"/>
      <c r="G184" s="2"/>
    </row>
    <row r="185" spans="5:7" x14ac:dyDescent="0.3">
      <c r="E185" s="2"/>
      <c r="F185" s="2"/>
      <c r="G185" s="2"/>
    </row>
    <row r="186" spans="5:7" x14ac:dyDescent="0.3">
      <c r="E186" s="2"/>
      <c r="F186" s="2"/>
      <c r="G186" s="2"/>
    </row>
    <row r="187" spans="5:7" x14ac:dyDescent="0.3">
      <c r="E187" s="2"/>
      <c r="F187" s="2"/>
      <c r="G187" s="2"/>
    </row>
    <row r="188" spans="5:7" x14ac:dyDescent="0.3">
      <c r="E188" s="2"/>
      <c r="F188" s="2"/>
      <c r="G188" s="2"/>
    </row>
    <row r="189" spans="5:7" x14ac:dyDescent="0.3">
      <c r="E189" s="2"/>
      <c r="F189" s="2"/>
      <c r="G189" s="2"/>
    </row>
    <row r="190" spans="5:7" x14ac:dyDescent="0.3">
      <c r="E190" s="2"/>
      <c r="F190" s="2"/>
      <c r="G190" s="2"/>
    </row>
    <row r="191" spans="5:7" x14ac:dyDescent="0.3">
      <c r="E191" s="2"/>
      <c r="F191" s="2"/>
      <c r="G191" s="2"/>
    </row>
    <row r="192" spans="5:7" x14ac:dyDescent="0.3">
      <c r="E192" s="2"/>
      <c r="F192" s="2"/>
      <c r="G192" s="2"/>
    </row>
    <row r="193" spans="5:7" x14ac:dyDescent="0.3">
      <c r="E193" s="2"/>
      <c r="F193" s="2"/>
      <c r="G193" s="2"/>
    </row>
    <row r="194" spans="5:7" x14ac:dyDescent="0.3">
      <c r="E194" s="2"/>
      <c r="F194" s="2"/>
      <c r="G194" s="2"/>
    </row>
    <row r="195" spans="5:7" x14ac:dyDescent="0.3">
      <c r="E195" s="2"/>
      <c r="F195" s="2"/>
      <c r="G195" s="2"/>
    </row>
    <row r="196" spans="5:7" x14ac:dyDescent="0.3">
      <c r="E196" s="2"/>
      <c r="F196" s="2"/>
      <c r="G196" s="2"/>
    </row>
    <row r="197" spans="5:7" x14ac:dyDescent="0.3">
      <c r="E197" s="2"/>
      <c r="F197" s="2"/>
      <c r="G197" s="2"/>
    </row>
    <row r="198" spans="5:7" x14ac:dyDescent="0.3">
      <c r="E198" s="2"/>
      <c r="F198" s="2"/>
      <c r="G198" s="2"/>
    </row>
    <row r="199" spans="5:7" x14ac:dyDescent="0.3">
      <c r="E199" s="2"/>
      <c r="F199" s="2"/>
      <c r="G199" s="2"/>
    </row>
    <row r="200" spans="5:7" x14ac:dyDescent="0.3">
      <c r="E200" s="2"/>
      <c r="F200" s="2"/>
      <c r="G200" s="2"/>
    </row>
    <row r="201" spans="5:7" x14ac:dyDescent="0.3">
      <c r="E201" s="2"/>
      <c r="F201" s="2"/>
      <c r="G201" s="2"/>
    </row>
    <row r="202" spans="5:7" x14ac:dyDescent="0.3">
      <c r="E202" s="2"/>
      <c r="F202" s="2"/>
      <c r="G202" s="2"/>
    </row>
    <row r="203" spans="5:7" x14ac:dyDescent="0.3">
      <c r="E203" s="2"/>
      <c r="F203" s="2"/>
      <c r="G203" s="2"/>
    </row>
    <row r="204" spans="5:7" x14ac:dyDescent="0.3">
      <c r="E204" s="2"/>
      <c r="F204" s="2"/>
      <c r="G204" s="2"/>
    </row>
    <row r="205" spans="5:7" x14ac:dyDescent="0.3">
      <c r="E205" s="2"/>
      <c r="F205" s="2"/>
      <c r="G205" s="2"/>
    </row>
    <row r="206" spans="5:7" x14ac:dyDescent="0.3">
      <c r="E206" s="2"/>
      <c r="F206" s="2"/>
      <c r="G206" s="2"/>
    </row>
    <row r="207" spans="5:7" x14ac:dyDescent="0.3">
      <c r="E207" s="2"/>
      <c r="F207" s="2"/>
      <c r="G207" s="2"/>
    </row>
    <row r="208" spans="5:7" x14ac:dyDescent="0.3">
      <c r="E208" s="2"/>
      <c r="F208" s="2"/>
      <c r="G208" s="2"/>
    </row>
    <row r="209" spans="5:7" x14ac:dyDescent="0.3">
      <c r="E209" s="2"/>
      <c r="F209" s="2"/>
      <c r="G209" s="2"/>
    </row>
    <row r="210" spans="5:7" x14ac:dyDescent="0.3">
      <c r="E210" s="2"/>
      <c r="F210" s="2"/>
      <c r="G210" s="2"/>
    </row>
    <row r="211" spans="5:7" x14ac:dyDescent="0.3">
      <c r="E211" s="2"/>
      <c r="F211" s="2"/>
      <c r="G211" s="2"/>
    </row>
    <row r="212" spans="5:7" x14ac:dyDescent="0.3">
      <c r="E212" s="2"/>
      <c r="F212" s="2"/>
      <c r="G212" s="2"/>
    </row>
    <row r="213" spans="5:7" x14ac:dyDescent="0.3">
      <c r="E213" s="2"/>
      <c r="F213" s="2"/>
      <c r="G213" s="2"/>
    </row>
    <row r="214" spans="5:7" x14ac:dyDescent="0.3">
      <c r="E214" s="2"/>
      <c r="F214" s="2"/>
      <c r="G214" s="2"/>
    </row>
    <row r="215" spans="5:7" x14ac:dyDescent="0.3">
      <c r="E215" s="2"/>
      <c r="F215" s="2"/>
      <c r="G215" s="2"/>
    </row>
  </sheetData>
  <protectedRanges>
    <protectedRange sqref="B2:I659" name="Fixo"/>
  </protectedRanges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B1BD6E-E733-4F3E-BD24-D0AEDD8CB785}">
          <x14:formula1>
            <xm:f>Opções!$F$2:$F$8</xm:f>
          </x14:formula1>
          <xm:sqref>B2:B357</xm:sqref>
        </x14:dataValidation>
        <x14:dataValidation type="list" allowBlank="1" showInputMessage="1" showErrorMessage="1" xr:uid="{C537D2B6-E774-4B5B-93CF-E053E5785AF4}">
          <x14:formula1>
            <xm:f>Opções!$D$2:$D$69</xm:f>
          </x14:formula1>
          <xm:sqref>E2:F215</xm:sqref>
        </x14:dataValidation>
        <x14:dataValidation type="list" allowBlank="1" showInputMessage="1" showErrorMessage="1" xr:uid="{E5A5A117-F0EC-4F6D-B253-E857385734DF}">
          <x14:formula1>
            <xm:f>Opções!$B$2:$B$7</xm:f>
          </x14:formula1>
          <xm:sqref>D2:D225</xm:sqref>
        </x14:dataValidation>
        <x14:dataValidation type="list" allowBlank="1" showInputMessage="1" showErrorMessage="1" xr:uid="{9A322F3B-159B-4A80-8CA5-BC411ABC476C}">
          <x14:formula1>
            <xm:f>Equipe!$A$2:$A$109</xm:f>
          </x14:formula1>
          <xm:sqref>C2:C362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BCB2-573D-4588-A6CA-6143B708C4E7}">
  <sheetPr codeName="Planilha9"/>
  <dimension ref="A1:F205"/>
  <sheetViews>
    <sheetView showGridLines="0" workbookViewId="0">
      <selection activeCell="C67" sqref="C67"/>
    </sheetView>
  </sheetViews>
  <sheetFormatPr defaultColWidth="0" defaultRowHeight="14.4" x14ac:dyDescent="0.3"/>
  <cols>
    <col min="1" max="1" width="8.44140625" customWidth="1"/>
    <col min="2" max="2" width="9.5546875" customWidth="1"/>
    <col min="3" max="3" width="15.5546875" bestFit="1" customWidth="1"/>
    <col min="4" max="4" width="12" customWidth="1"/>
    <col min="5" max="5" width="11.44140625" bestFit="1" customWidth="1"/>
    <col min="6" max="6" width="19.5546875" customWidth="1"/>
    <col min="7" max="16384" width="9.44140625" hidden="1"/>
  </cols>
  <sheetData>
    <row r="1" spans="1:6" x14ac:dyDescent="0.3">
      <c r="A1" s="14" t="s">
        <v>448</v>
      </c>
      <c r="B1" s="14" t="s">
        <v>1</v>
      </c>
      <c r="C1" s="14" t="s">
        <v>2</v>
      </c>
      <c r="D1" s="14" t="s">
        <v>452</v>
      </c>
      <c r="E1" s="15" t="s">
        <v>453</v>
      </c>
      <c r="F1" s="14" t="s">
        <v>5</v>
      </c>
    </row>
    <row r="2" spans="1:6" hidden="1" x14ac:dyDescent="0.3">
      <c r="A2" t="str">
        <f>VLOOKUP(Tabela5[[#This Row],[Médico]],Equipe!A:C,3,0)</f>
        <v>Sócio</v>
      </c>
      <c r="B2" t="s">
        <v>16</v>
      </c>
      <c r="C2" t="s">
        <v>464</v>
      </c>
      <c r="D2" s="1">
        <v>44928</v>
      </c>
      <c r="E2" s="1">
        <v>44939</v>
      </c>
    </row>
    <row r="3" spans="1:6" hidden="1" x14ac:dyDescent="0.3">
      <c r="A3" t="str">
        <f>VLOOKUP(Tabela5[[#This Row],[Médico]],Equipe!A:C,3,0)</f>
        <v>Sócio</v>
      </c>
      <c r="B3" t="s">
        <v>32</v>
      </c>
      <c r="C3" t="s">
        <v>464</v>
      </c>
      <c r="D3" s="1">
        <v>44928</v>
      </c>
      <c r="E3" s="1">
        <v>44939</v>
      </c>
    </row>
    <row r="4" spans="1:6" hidden="1" x14ac:dyDescent="0.3">
      <c r="A4" t="str">
        <f>VLOOKUP(Tabela5[[#This Row],[Médico]],Equipe!A:C,3,0)</f>
        <v>Sócio</v>
      </c>
      <c r="B4" t="s">
        <v>50</v>
      </c>
      <c r="C4" t="s">
        <v>464</v>
      </c>
      <c r="D4" s="1">
        <v>44928</v>
      </c>
      <c r="E4" s="1">
        <v>44932</v>
      </c>
    </row>
    <row r="5" spans="1:6" hidden="1" x14ac:dyDescent="0.3">
      <c r="A5" t="str">
        <f>VLOOKUP(Tabela5[[#This Row],[Médico]],Equipe!A:C,3,0)</f>
        <v>Sócio</v>
      </c>
      <c r="B5" t="s">
        <v>47</v>
      </c>
      <c r="C5" t="s">
        <v>464</v>
      </c>
      <c r="D5" s="1">
        <v>44928</v>
      </c>
      <c r="E5" s="1">
        <v>44932</v>
      </c>
    </row>
    <row r="6" spans="1:6" hidden="1" x14ac:dyDescent="0.3">
      <c r="A6" t="str">
        <f>VLOOKUP(Tabela5[[#This Row],[Médico]],Equipe!A:C,3,0)</f>
        <v>Sócio</v>
      </c>
      <c r="B6" t="s">
        <v>73</v>
      </c>
      <c r="C6" t="s">
        <v>464</v>
      </c>
      <c r="D6" s="1">
        <v>44935</v>
      </c>
      <c r="E6" s="1">
        <v>44939</v>
      </c>
    </row>
    <row r="7" spans="1:6" hidden="1" x14ac:dyDescent="0.3">
      <c r="A7" t="str">
        <f>VLOOKUP(Tabela5[[#This Row],[Médico]],Equipe!A:C,3,0)</f>
        <v>Sócio</v>
      </c>
      <c r="B7" t="s">
        <v>7</v>
      </c>
      <c r="C7" t="s">
        <v>464</v>
      </c>
      <c r="D7" s="1">
        <v>44935</v>
      </c>
      <c r="E7" s="1">
        <v>44939</v>
      </c>
    </row>
    <row r="8" spans="1:6" hidden="1" x14ac:dyDescent="0.3">
      <c r="A8" t="str">
        <f>VLOOKUP(Tabela5[[#This Row],[Médico]],Equipe!A:C,3,0)</f>
        <v>Sócio</v>
      </c>
      <c r="B8" t="s">
        <v>47</v>
      </c>
      <c r="C8" t="s">
        <v>465</v>
      </c>
      <c r="D8" s="1">
        <v>44938</v>
      </c>
      <c r="E8" s="1">
        <v>44939</v>
      </c>
    </row>
    <row r="9" spans="1:6" hidden="1" x14ac:dyDescent="0.3">
      <c r="A9" t="str">
        <f>VLOOKUP(Tabela5[[#This Row],[Médico]],Equipe!A:C,3,0)</f>
        <v>Sócio</v>
      </c>
      <c r="B9" t="s">
        <v>333</v>
      </c>
      <c r="C9" t="s">
        <v>466</v>
      </c>
      <c r="D9" s="1">
        <v>44940</v>
      </c>
      <c r="E9" s="1">
        <v>44940</v>
      </c>
    </row>
    <row r="10" spans="1:6" hidden="1" x14ac:dyDescent="0.3">
      <c r="A10" t="str">
        <f>VLOOKUP(Tabela5[[#This Row],[Médico]],Equipe!A:C,3,0)</f>
        <v>Sócio</v>
      </c>
      <c r="B10" t="s">
        <v>84</v>
      </c>
      <c r="C10" t="s">
        <v>464</v>
      </c>
      <c r="D10" s="1">
        <v>44942</v>
      </c>
      <c r="E10" s="1">
        <v>44953</v>
      </c>
    </row>
    <row r="11" spans="1:6" hidden="1" x14ac:dyDescent="0.3">
      <c r="A11" t="str">
        <f>VLOOKUP(Tabela5[[#This Row],[Médico]],Equipe!A:C,3,0)</f>
        <v>Sócio</v>
      </c>
      <c r="B11" t="s">
        <v>12</v>
      </c>
      <c r="C11" t="s">
        <v>464</v>
      </c>
      <c r="D11" s="1">
        <v>44942</v>
      </c>
      <c r="E11" s="1">
        <v>44953</v>
      </c>
    </row>
    <row r="12" spans="1:6" hidden="1" x14ac:dyDescent="0.3">
      <c r="A12" t="str">
        <f>VLOOKUP(Tabela5[[#This Row],[Médico]],Equipe!A:C,3,0)</f>
        <v>Sócio</v>
      </c>
      <c r="B12" t="s">
        <v>142</v>
      </c>
      <c r="C12" t="s">
        <v>464</v>
      </c>
      <c r="D12" s="1">
        <v>44942</v>
      </c>
      <c r="E12" s="1">
        <v>44953</v>
      </c>
    </row>
    <row r="13" spans="1:6" hidden="1" x14ac:dyDescent="0.3">
      <c r="A13" t="str">
        <f>VLOOKUP(Tabela5[[#This Row],[Médico]],Equipe!A:C,3,0)</f>
        <v>Sócio</v>
      </c>
      <c r="B13" t="s">
        <v>85</v>
      </c>
      <c r="C13" t="s">
        <v>464</v>
      </c>
      <c r="D13" s="1">
        <v>44942</v>
      </c>
      <c r="E13" s="1">
        <v>44953</v>
      </c>
    </row>
    <row r="14" spans="1:6" hidden="1" x14ac:dyDescent="0.3">
      <c r="A14" t="str">
        <f>VLOOKUP(Tabela5[[#This Row],[Médico]],Equipe!A:C,3,0)</f>
        <v>Sócio</v>
      </c>
      <c r="B14" t="s">
        <v>333</v>
      </c>
      <c r="C14" t="s">
        <v>466</v>
      </c>
      <c r="D14" s="1">
        <v>44952</v>
      </c>
      <c r="E14" s="1">
        <v>44953</v>
      </c>
    </row>
    <row r="15" spans="1:6" hidden="1" x14ac:dyDescent="0.3">
      <c r="A15" t="str">
        <f>VLOOKUP(Tabela5[[#This Row],[Médico]],Equipe!A:C,3,0)</f>
        <v>Sócio</v>
      </c>
      <c r="B15" t="s">
        <v>47</v>
      </c>
      <c r="C15" t="s">
        <v>465</v>
      </c>
      <c r="D15" s="1">
        <v>44954</v>
      </c>
      <c r="E15" s="1">
        <v>44955</v>
      </c>
    </row>
    <row r="16" spans="1:6" hidden="1" x14ac:dyDescent="0.3">
      <c r="A16" t="str">
        <f>VLOOKUP(Tabela5[[#This Row],[Médico]],Equipe!A:C,3,0)</f>
        <v>Sócio</v>
      </c>
      <c r="B16" t="s">
        <v>33</v>
      </c>
      <c r="C16" t="s">
        <v>464</v>
      </c>
      <c r="D16" s="1">
        <v>44956</v>
      </c>
      <c r="E16" s="1">
        <v>44967</v>
      </c>
    </row>
    <row r="17" spans="1:5" hidden="1" x14ac:dyDescent="0.3">
      <c r="A17" t="str">
        <f>VLOOKUP(Tabela5[[#This Row],[Médico]],Equipe!A:C,3,0)</f>
        <v>Sócio</v>
      </c>
      <c r="B17" t="s">
        <v>37</v>
      </c>
      <c r="C17" t="s">
        <v>464</v>
      </c>
      <c r="D17" s="1">
        <v>44956</v>
      </c>
      <c r="E17" s="1">
        <v>44967</v>
      </c>
    </row>
    <row r="18" spans="1:5" hidden="1" x14ac:dyDescent="0.3">
      <c r="A18" t="str">
        <f>VLOOKUP(Tabela5[[#This Row],[Médico]],Equipe!A:C,3,0)</f>
        <v>Sócio</v>
      </c>
      <c r="B18" t="s">
        <v>48</v>
      </c>
      <c r="C18" t="s">
        <v>464</v>
      </c>
      <c r="D18" s="1">
        <v>44956</v>
      </c>
      <c r="E18" s="1">
        <v>44967</v>
      </c>
    </row>
    <row r="19" spans="1:5" hidden="1" x14ac:dyDescent="0.3">
      <c r="A19" t="str">
        <f>VLOOKUP(Tabela5[[#This Row],[Médico]],Equipe!A:C,3,0)</f>
        <v>Sócio</v>
      </c>
      <c r="B19" t="s">
        <v>333</v>
      </c>
      <c r="C19" t="s">
        <v>464</v>
      </c>
      <c r="D19" s="1">
        <v>44956</v>
      </c>
      <c r="E19" s="1">
        <v>44959</v>
      </c>
    </row>
    <row r="20" spans="1:5" hidden="1" x14ac:dyDescent="0.3">
      <c r="A20" t="str">
        <f>VLOOKUP(Tabela5[[#This Row],[Médico]],Equipe!A:C,3,0)</f>
        <v>Sócio</v>
      </c>
      <c r="B20" t="s">
        <v>50</v>
      </c>
      <c r="C20" t="s">
        <v>464</v>
      </c>
      <c r="D20" s="1">
        <v>44956</v>
      </c>
      <c r="E20" s="1">
        <v>44960</v>
      </c>
    </row>
    <row r="21" spans="1:5" hidden="1" x14ac:dyDescent="0.3">
      <c r="A21" t="str">
        <f>VLOOKUP(Tabela5[[#This Row],[Médico]],Equipe!A:C,3,0)</f>
        <v>Sócio</v>
      </c>
      <c r="B21" t="s">
        <v>333</v>
      </c>
      <c r="C21" t="s">
        <v>466</v>
      </c>
      <c r="D21" s="1">
        <v>44929</v>
      </c>
      <c r="E21" s="1">
        <v>44930</v>
      </c>
    </row>
    <row r="22" spans="1:5" hidden="1" x14ac:dyDescent="0.3">
      <c r="A22" t="str">
        <f>VLOOKUP(Tabela5[[#This Row],[Médico]],Equipe!A:C,3,0)</f>
        <v>Sócio</v>
      </c>
      <c r="B22" t="s">
        <v>12</v>
      </c>
      <c r="C22" t="s">
        <v>464</v>
      </c>
      <c r="D22" s="1">
        <v>44963</v>
      </c>
      <c r="E22" s="1">
        <v>44967</v>
      </c>
    </row>
    <row r="23" spans="1:5" hidden="1" x14ac:dyDescent="0.3">
      <c r="A23" t="str">
        <f>VLOOKUP(Tabela5[[#This Row],[Médico]],Equipe!A:C,3,0)</f>
        <v>Sócio</v>
      </c>
      <c r="B23" t="s">
        <v>17</v>
      </c>
      <c r="C23" t="s">
        <v>464</v>
      </c>
      <c r="D23" s="1">
        <v>44963</v>
      </c>
      <c r="E23" s="1">
        <v>44974</v>
      </c>
    </row>
    <row r="24" spans="1:5" hidden="1" x14ac:dyDescent="0.3">
      <c r="A24" t="str">
        <f>VLOOKUP(Tabela5[[#This Row],[Médico]],Equipe!A:C,3,0)</f>
        <v>Sócio</v>
      </c>
      <c r="B24" t="s">
        <v>23</v>
      </c>
      <c r="C24" t="s">
        <v>464</v>
      </c>
      <c r="D24" s="1">
        <v>44970</v>
      </c>
      <c r="E24" s="1">
        <v>44974</v>
      </c>
    </row>
    <row r="25" spans="1:5" hidden="1" x14ac:dyDescent="0.3">
      <c r="A25" t="str">
        <f>VLOOKUP(Tabela5[[#This Row],[Médico]],Equipe!A:C,3,0)</f>
        <v>Sócio</v>
      </c>
      <c r="B25" t="s">
        <v>25</v>
      </c>
      <c r="C25" t="s">
        <v>464</v>
      </c>
      <c r="D25" s="1">
        <v>44970</v>
      </c>
      <c r="E25" s="1">
        <v>44974</v>
      </c>
    </row>
    <row r="26" spans="1:5" hidden="1" x14ac:dyDescent="0.3">
      <c r="A26" t="str">
        <f>VLOOKUP(Tabela5[[#This Row],[Médico]],Equipe!A:C,3,0)</f>
        <v>Sócio</v>
      </c>
      <c r="B26" t="s">
        <v>44</v>
      </c>
      <c r="C26" t="s">
        <v>464</v>
      </c>
      <c r="D26" s="1">
        <v>44970</v>
      </c>
      <c r="E26" s="1">
        <v>44981</v>
      </c>
    </row>
    <row r="27" spans="1:5" hidden="1" x14ac:dyDescent="0.3">
      <c r="A27" t="str">
        <f>VLOOKUP(Tabela5[[#This Row],[Médico]],Equipe!A:C,3,0)</f>
        <v>Sócio</v>
      </c>
      <c r="B27" t="s">
        <v>14</v>
      </c>
      <c r="C27" t="s">
        <v>464</v>
      </c>
      <c r="D27" s="1">
        <v>44970</v>
      </c>
      <c r="E27" s="1">
        <v>44974</v>
      </c>
    </row>
    <row r="28" spans="1:5" hidden="1" x14ac:dyDescent="0.3">
      <c r="A28" t="str">
        <f>VLOOKUP(Tabela5[[#This Row],[Médico]],Equipe!A:C,3,0)</f>
        <v>Sócio</v>
      </c>
      <c r="B28" t="s">
        <v>7</v>
      </c>
      <c r="C28" t="s">
        <v>464</v>
      </c>
      <c r="D28" s="1">
        <v>44977</v>
      </c>
      <c r="E28" s="1">
        <v>44981</v>
      </c>
    </row>
    <row r="29" spans="1:5" hidden="1" x14ac:dyDescent="0.3">
      <c r="A29" t="str">
        <f>VLOOKUP(Tabela5[[#This Row],[Médico]],Equipe!A:C,3,0)</f>
        <v>Sócio</v>
      </c>
      <c r="B29" t="s">
        <v>333</v>
      </c>
      <c r="C29" t="s">
        <v>464</v>
      </c>
      <c r="D29" s="1">
        <v>44977</v>
      </c>
      <c r="E29" s="1">
        <v>44985</v>
      </c>
    </row>
    <row r="30" spans="1:5" hidden="1" x14ac:dyDescent="0.3">
      <c r="A30" t="str">
        <f>VLOOKUP(Tabela5[[#This Row],[Médico]],Equipe!A:C,3,0)</f>
        <v>Sócio</v>
      </c>
      <c r="B30" t="s">
        <v>47</v>
      </c>
      <c r="C30" t="s">
        <v>465</v>
      </c>
      <c r="D30" s="1">
        <v>44981</v>
      </c>
      <c r="E30" s="1">
        <v>44981</v>
      </c>
    </row>
    <row r="31" spans="1:5" hidden="1" x14ac:dyDescent="0.3">
      <c r="A31" t="str">
        <f>VLOOKUP(Tabela5[[#This Row],[Médico]],Equipe!A:C,3,0)</f>
        <v>Sócio</v>
      </c>
      <c r="B31" t="s">
        <v>71</v>
      </c>
      <c r="C31" t="s">
        <v>464</v>
      </c>
      <c r="D31" s="1">
        <v>44984</v>
      </c>
      <c r="E31" s="1">
        <v>44988</v>
      </c>
    </row>
    <row r="32" spans="1:5" hidden="1" x14ac:dyDescent="0.3">
      <c r="A32" t="str">
        <f>VLOOKUP(Tabela5[[#This Row],[Médico]],Equipe!A:C,3,0)</f>
        <v>Sócio</v>
      </c>
      <c r="B32" t="s">
        <v>52</v>
      </c>
      <c r="C32" t="s">
        <v>464</v>
      </c>
      <c r="D32" s="1">
        <v>44984</v>
      </c>
      <c r="E32" s="1">
        <v>44988</v>
      </c>
    </row>
    <row r="33" spans="1:5" hidden="1" x14ac:dyDescent="0.3">
      <c r="A33" t="str">
        <f>VLOOKUP(Tabela5[[#This Row],[Médico]],Equipe!A:C,3,0)</f>
        <v>Sócio</v>
      </c>
      <c r="B33" t="s">
        <v>72</v>
      </c>
      <c r="C33" t="s">
        <v>464</v>
      </c>
      <c r="D33" s="1">
        <v>44984</v>
      </c>
      <c r="E33" s="1">
        <v>44988</v>
      </c>
    </row>
    <row r="34" spans="1:5" hidden="1" x14ac:dyDescent="0.3">
      <c r="A34" t="str">
        <f>VLOOKUP(Tabela5[[#This Row],[Médico]],Equipe!A:C,3,0)</f>
        <v>Sócio</v>
      </c>
      <c r="B34" t="s">
        <v>7</v>
      </c>
      <c r="C34" t="s">
        <v>464</v>
      </c>
      <c r="D34" s="1">
        <v>44991</v>
      </c>
      <c r="E34" s="1">
        <v>44997</v>
      </c>
    </row>
    <row r="35" spans="1:5" hidden="1" x14ac:dyDescent="0.3">
      <c r="A35" t="str">
        <f>VLOOKUP(Tabela5[[#This Row],[Médico]],Equipe!A:C,3,0)</f>
        <v>Sócio</v>
      </c>
      <c r="B35" t="s">
        <v>68</v>
      </c>
      <c r="C35" t="s">
        <v>464</v>
      </c>
      <c r="D35" s="1">
        <v>44991</v>
      </c>
      <c r="E35" s="1">
        <v>44997</v>
      </c>
    </row>
    <row r="36" spans="1:5" hidden="1" x14ac:dyDescent="0.3">
      <c r="A36" t="str">
        <f>VLOOKUP(Tabela5[[#This Row],[Médico]],Equipe!A:C,3,0)</f>
        <v>Sócio</v>
      </c>
      <c r="B36" t="s">
        <v>63</v>
      </c>
      <c r="C36" t="s">
        <v>464</v>
      </c>
      <c r="D36" s="1">
        <v>44991</v>
      </c>
      <c r="E36" s="1">
        <v>44997</v>
      </c>
    </row>
    <row r="37" spans="1:5" hidden="1" x14ac:dyDescent="0.3">
      <c r="A37" t="str">
        <f>VLOOKUP(Tabela5[[#This Row],[Médico]],Equipe!A:C,3,0)</f>
        <v>Sócio</v>
      </c>
      <c r="B37" t="s">
        <v>48</v>
      </c>
      <c r="C37" t="s">
        <v>464</v>
      </c>
      <c r="D37" s="1">
        <v>44991</v>
      </c>
      <c r="E37" s="1">
        <v>44997</v>
      </c>
    </row>
    <row r="38" spans="1:5" hidden="1" x14ac:dyDescent="0.3">
      <c r="A38" t="str">
        <f>VLOOKUP(Tabela5[[#This Row],[Médico]],Equipe!A:C,3,0)</f>
        <v>Sócio</v>
      </c>
      <c r="B38" t="s">
        <v>84</v>
      </c>
      <c r="C38" t="s">
        <v>465</v>
      </c>
      <c r="D38" s="1">
        <v>44994</v>
      </c>
      <c r="E38" s="1">
        <v>45002</v>
      </c>
    </row>
    <row r="39" spans="1:5" x14ac:dyDescent="0.3">
      <c r="A39" t="str">
        <f>VLOOKUP(Tabela5[[#This Row],[Médico]],Equipe!A:C,3,0)</f>
        <v>Sócio</v>
      </c>
      <c r="B39" t="s">
        <v>34</v>
      </c>
      <c r="C39" t="s">
        <v>465</v>
      </c>
      <c r="D39" s="1">
        <v>44994</v>
      </c>
      <c r="E39" s="1">
        <v>45002</v>
      </c>
    </row>
    <row r="40" spans="1:5" hidden="1" x14ac:dyDescent="0.3">
      <c r="A40" t="str">
        <f>VLOOKUP(Tabela5[[#This Row],[Médico]],Equipe!A:C,3,0)</f>
        <v>Sócio</v>
      </c>
      <c r="B40" t="s">
        <v>50</v>
      </c>
      <c r="C40" t="s">
        <v>465</v>
      </c>
      <c r="D40" s="1">
        <v>44994</v>
      </c>
      <c r="E40" s="1">
        <v>45002</v>
      </c>
    </row>
    <row r="41" spans="1:5" hidden="1" x14ac:dyDescent="0.3">
      <c r="A41" t="str">
        <f>VLOOKUP(Tabela5[[#This Row],[Médico]],Equipe!A:C,3,0)</f>
        <v>Sócio</v>
      </c>
      <c r="B41" t="s">
        <v>33</v>
      </c>
      <c r="C41" t="s">
        <v>465</v>
      </c>
      <c r="D41" s="1">
        <v>45002</v>
      </c>
      <c r="E41" s="1">
        <v>45010</v>
      </c>
    </row>
    <row r="42" spans="1:5" hidden="1" x14ac:dyDescent="0.3">
      <c r="A42" t="str">
        <f>VLOOKUP(Tabela5[[#This Row],[Médico]],Equipe!A:C,3,0)</f>
        <v>Sócio</v>
      </c>
      <c r="B42" t="s">
        <v>66</v>
      </c>
      <c r="C42" t="s">
        <v>465</v>
      </c>
      <c r="D42" s="1">
        <v>45002</v>
      </c>
      <c r="E42" s="1">
        <v>45010</v>
      </c>
    </row>
    <row r="43" spans="1:5" hidden="1" x14ac:dyDescent="0.3">
      <c r="A43" t="str">
        <f>VLOOKUP(Tabela5[[#This Row],[Médico]],Equipe!A:C,3,0)</f>
        <v>Sócio</v>
      </c>
      <c r="B43" t="s">
        <v>47</v>
      </c>
      <c r="C43" t="s">
        <v>465</v>
      </c>
      <c r="D43" s="1">
        <v>45002</v>
      </c>
      <c r="E43" s="1">
        <v>45010</v>
      </c>
    </row>
    <row r="44" spans="1:5" hidden="1" x14ac:dyDescent="0.3">
      <c r="A44" t="str">
        <f>VLOOKUP(Tabela5[[#This Row],[Médico]],Equipe!A:C,3,0)</f>
        <v>Sócio</v>
      </c>
      <c r="B44" t="s">
        <v>72</v>
      </c>
      <c r="C44" t="s">
        <v>464</v>
      </c>
      <c r="D44" s="1">
        <v>45003</v>
      </c>
      <c r="E44" s="1">
        <v>45017</v>
      </c>
    </row>
    <row r="45" spans="1:5" hidden="1" x14ac:dyDescent="0.3">
      <c r="A45" t="str">
        <f>VLOOKUP(Tabela5[[#This Row],[Médico]],Equipe!A:C,3,0)</f>
        <v>Sócio</v>
      </c>
      <c r="B45" t="s">
        <v>75</v>
      </c>
      <c r="C45" t="s">
        <v>464</v>
      </c>
      <c r="D45" s="1">
        <v>45005</v>
      </c>
      <c r="E45" s="1">
        <v>45017</v>
      </c>
    </row>
    <row r="46" spans="1:5" hidden="1" x14ac:dyDescent="0.3">
      <c r="A46" t="str">
        <f>VLOOKUP(Tabela5[[#This Row],[Médico]],Equipe!A:C,3,0)</f>
        <v>Sócio</v>
      </c>
      <c r="B46" t="s">
        <v>23</v>
      </c>
      <c r="C46" t="s">
        <v>466</v>
      </c>
      <c r="D46" s="1">
        <v>45015</v>
      </c>
      <c r="E46" s="1">
        <v>45015</v>
      </c>
    </row>
    <row r="47" spans="1:5" hidden="1" x14ac:dyDescent="0.3">
      <c r="A47" t="str">
        <f>VLOOKUP(Tabela5[[#This Row],[Médico]],Equipe!A:C,3,0)</f>
        <v>Sócio</v>
      </c>
      <c r="B47" t="s">
        <v>47</v>
      </c>
      <c r="C47" t="s">
        <v>465</v>
      </c>
      <c r="D47" s="1">
        <v>45015</v>
      </c>
      <c r="E47" s="1">
        <v>45015</v>
      </c>
    </row>
    <row r="48" spans="1:5" hidden="1" x14ac:dyDescent="0.3">
      <c r="A48" t="str">
        <f>VLOOKUP(Tabela5[[#This Row],[Médico]],Equipe!A:C,3,0)</f>
        <v>Sócio</v>
      </c>
      <c r="B48" t="s">
        <v>23</v>
      </c>
      <c r="C48" t="s">
        <v>465</v>
      </c>
      <c r="D48" s="1">
        <v>45019</v>
      </c>
      <c r="E48" s="1">
        <v>45021</v>
      </c>
    </row>
    <row r="49" spans="1:5" hidden="1" x14ac:dyDescent="0.3">
      <c r="A49" t="str">
        <f>VLOOKUP(Tabela5[[#This Row],[Médico]],Equipe!A:C,3,0)</f>
        <v>Sócio</v>
      </c>
      <c r="B49" t="s">
        <v>64</v>
      </c>
      <c r="C49" t="s">
        <v>464</v>
      </c>
      <c r="D49" s="1">
        <v>45021</v>
      </c>
      <c r="E49" s="1">
        <v>45030</v>
      </c>
    </row>
    <row r="50" spans="1:5" hidden="1" x14ac:dyDescent="0.3">
      <c r="A50" t="str">
        <f>VLOOKUP(Tabela5[[#This Row],[Médico]],Equipe!A:C,3,0)</f>
        <v>Sócio</v>
      </c>
      <c r="B50" t="s">
        <v>47</v>
      </c>
      <c r="C50" t="s">
        <v>465</v>
      </c>
      <c r="D50" s="1">
        <v>45022</v>
      </c>
      <c r="E50" s="1">
        <v>45022</v>
      </c>
    </row>
    <row r="51" spans="1:5" hidden="1" x14ac:dyDescent="0.3">
      <c r="A51" t="str">
        <f>VLOOKUP(Tabela5[[#This Row],[Médico]],Equipe!A:C,3,0)</f>
        <v>Sócio</v>
      </c>
      <c r="B51" t="s">
        <v>47</v>
      </c>
      <c r="C51" t="s">
        <v>465</v>
      </c>
      <c r="D51" s="1">
        <v>45029</v>
      </c>
      <c r="E51" s="1">
        <v>45031</v>
      </c>
    </row>
    <row r="52" spans="1:5" hidden="1" x14ac:dyDescent="0.3">
      <c r="A52" t="str">
        <f>VLOOKUP(Tabela5[[#This Row],[Médico]],Equipe!A:C,3,0)</f>
        <v>Sócio</v>
      </c>
      <c r="B52" t="s">
        <v>47</v>
      </c>
      <c r="C52" t="s">
        <v>465</v>
      </c>
      <c r="D52" s="1">
        <v>45036</v>
      </c>
      <c r="E52" s="1">
        <v>45039</v>
      </c>
    </row>
    <row r="53" spans="1:5" hidden="1" x14ac:dyDescent="0.3">
      <c r="A53" t="str">
        <f>VLOOKUP(Tabela5[[#This Row],[Médico]],Equipe!A:C,3,0)</f>
        <v>Sócio</v>
      </c>
      <c r="B53" t="s">
        <v>84</v>
      </c>
      <c r="C53" t="s">
        <v>465</v>
      </c>
      <c r="D53" s="1">
        <v>45036</v>
      </c>
      <c r="E53" s="1">
        <v>45039</v>
      </c>
    </row>
    <row r="54" spans="1:5" hidden="1" x14ac:dyDescent="0.3">
      <c r="A54" t="str">
        <f>VLOOKUP(Tabela5[[#This Row],[Médico]],Equipe!A:C,3,0)</f>
        <v>Sócio</v>
      </c>
      <c r="B54" t="s">
        <v>23</v>
      </c>
      <c r="C54" t="s">
        <v>465</v>
      </c>
      <c r="D54" s="1">
        <v>45036</v>
      </c>
      <c r="E54" s="1">
        <v>45039</v>
      </c>
    </row>
    <row r="55" spans="1:5" hidden="1" x14ac:dyDescent="0.3">
      <c r="A55" t="str">
        <f>VLOOKUP(Tabela5[[#This Row],[Médico]],Equipe!A:C,3,0)</f>
        <v>Sócio</v>
      </c>
      <c r="B55" t="s">
        <v>71</v>
      </c>
      <c r="C55" t="s">
        <v>465</v>
      </c>
      <c r="D55" s="1">
        <v>45036</v>
      </c>
      <c r="E55" s="1">
        <v>45039</v>
      </c>
    </row>
    <row r="56" spans="1:5" hidden="1" x14ac:dyDescent="0.3">
      <c r="A56" t="str">
        <f>VLOOKUP(Tabela5[[#This Row],[Médico]],Equipe!A:C,3,0)</f>
        <v>Sócio</v>
      </c>
      <c r="B56" t="s">
        <v>21</v>
      </c>
      <c r="C56" t="s">
        <v>464</v>
      </c>
      <c r="D56" s="1">
        <v>45040</v>
      </c>
      <c r="E56" s="1">
        <v>45044</v>
      </c>
    </row>
    <row r="57" spans="1:5" hidden="1" x14ac:dyDescent="0.3">
      <c r="A57" t="str">
        <f>VLOOKUP(Tabela5[[#This Row],[Médico]],Equipe!A:C,3,0)</f>
        <v>Sócio</v>
      </c>
      <c r="B57" t="s">
        <v>283</v>
      </c>
      <c r="C57" t="s">
        <v>464</v>
      </c>
      <c r="D57" s="1">
        <v>45040</v>
      </c>
      <c r="E57" s="1">
        <v>45044</v>
      </c>
    </row>
    <row r="58" spans="1:5" hidden="1" x14ac:dyDescent="0.3">
      <c r="A58" t="str">
        <f>VLOOKUP(Tabela5[[#This Row],[Médico]],Equipe!A:C,3,0)</f>
        <v>Sócio</v>
      </c>
      <c r="B58" t="s">
        <v>23</v>
      </c>
      <c r="C58" t="s">
        <v>464</v>
      </c>
      <c r="D58" s="1">
        <v>45043</v>
      </c>
      <c r="E58" s="1">
        <v>45060</v>
      </c>
    </row>
    <row r="59" spans="1:5" hidden="1" x14ac:dyDescent="0.3">
      <c r="A59" t="str">
        <f>VLOOKUP(Tabela5[[#This Row],[Médico]],Equipe!A:C,3,0)</f>
        <v>Sócio</v>
      </c>
      <c r="B59" t="s">
        <v>66</v>
      </c>
      <c r="C59" t="s">
        <v>466</v>
      </c>
      <c r="D59" s="1">
        <v>45051</v>
      </c>
      <c r="E59" s="1">
        <v>45051</v>
      </c>
    </row>
    <row r="60" spans="1:5" hidden="1" x14ac:dyDescent="0.3">
      <c r="A60" t="str">
        <f>VLOOKUP(Tabela5[[#This Row],[Médico]],Equipe!A:C,3,0)</f>
        <v>Sócio</v>
      </c>
      <c r="B60" t="s">
        <v>71</v>
      </c>
      <c r="C60" t="s">
        <v>466</v>
      </c>
      <c r="D60" s="1">
        <v>45051</v>
      </c>
      <c r="E60" s="1">
        <v>45052</v>
      </c>
    </row>
    <row r="61" spans="1:5" hidden="1" x14ac:dyDescent="0.3">
      <c r="A61" t="str">
        <f>VLOOKUP(Tabela5[[#This Row],[Médico]],Equipe!A:C,3,0)</f>
        <v>Sócio</v>
      </c>
      <c r="B61" t="s">
        <v>14</v>
      </c>
      <c r="C61" t="s">
        <v>464</v>
      </c>
      <c r="D61" s="1">
        <v>45054</v>
      </c>
      <c r="E61" s="1">
        <v>45072</v>
      </c>
    </row>
    <row r="62" spans="1:5" hidden="1" x14ac:dyDescent="0.3">
      <c r="A62" t="str">
        <f>VLOOKUP(Tabela5[[#This Row],[Médico]],Equipe!A:C,3,0)</f>
        <v>Sócio</v>
      </c>
      <c r="B62" t="s">
        <v>63</v>
      </c>
      <c r="C62" t="s">
        <v>464</v>
      </c>
      <c r="D62" s="1">
        <v>45054</v>
      </c>
      <c r="E62" s="1">
        <v>45065</v>
      </c>
    </row>
    <row r="63" spans="1:5" hidden="1" x14ac:dyDescent="0.3">
      <c r="A63" t="str">
        <f>VLOOKUP(Tabela5[[#This Row],[Médico]],Equipe!A:C,3,0)</f>
        <v>Sócio</v>
      </c>
      <c r="B63" t="s">
        <v>66</v>
      </c>
      <c r="C63" t="s">
        <v>464</v>
      </c>
      <c r="D63" s="1">
        <v>45054</v>
      </c>
      <c r="E63" s="1">
        <v>45058</v>
      </c>
    </row>
    <row r="64" spans="1:5" hidden="1" x14ac:dyDescent="0.3">
      <c r="A64" t="str">
        <f>VLOOKUP(Tabela5[[#This Row],[Médico]],Equipe!A:C,3,0)</f>
        <v>Sócio</v>
      </c>
      <c r="B64" t="s">
        <v>73</v>
      </c>
      <c r="C64" t="s">
        <v>464</v>
      </c>
      <c r="D64" s="1">
        <v>45061</v>
      </c>
      <c r="E64" s="1">
        <v>45065</v>
      </c>
    </row>
    <row r="65" spans="1:6" hidden="1" x14ac:dyDescent="0.3">
      <c r="A65" t="str">
        <f>VLOOKUP(Tabela5[[#This Row],[Médico]],Equipe!A:C,3,0)</f>
        <v>Sócio</v>
      </c>
      <c r="B65" t="s">
        <v>25</v>
      </c>
      <c r="C65" t="s">
        <v>464</v>
      </c>
      <c r="D65" s="1">
        <v>45061</v>
      </c>
      <c r="E65" s="1">
        <v>45065</v>
      </c>
    </row>
    <row r="66" spans="1:6" hidden="1" x14ac:dyDescent="0.3">
      <c r="A66" t="str">
        <f>VLOOKUP(Tabela5[[#This Row],[Médico]],Equipe!A:C,3,0)</f>
        <v>Sócio</v>
      </c>
      <c r="B66" t="s">
        <v>66</v>
      </c>
      <c r="C66" t="s">
        <v>466</v>
      </c>
      <c r="D66" s="1">
        <v>45064</v>
      </c>
      <c r="E66" s="1">
        <v>45064</v>
      </c>
    </row>
    <row r="67" spans="1:6" hidden="1" x14ac:dyDescent="0.3">
      <c r="A67" t="str">
        <f>VLOOKUP(Tabela5[[#This Row],[Médico]],Equipe!A:C,3,0)</f>
        <v>Sócio</v>
      </c>
      <c r="B67" t="s">
        <v>47</v>
      </c>
      <c r="C67" t="s">
        <v>465</v>
      </c>
      <c r="D67" s="1">
        <v>45065</v>
      </c>
      <c r="E67" s="1">
        <v>45067</v>
      </c>
    </row>
    <row r="68" spans="1:6" hidden="1" x14ac:dyDescent="0.3">
      <c r="A68" t="str">
        <f>VLOOKUP(Tabela5[[#This Row],[Médico]],Equipe!A:C,3,0)</f>
        <v>Sócio</v>
      </c>
      <c r="B68" t="s">
        <v>23</v>
      </c>
      <c r="C68" t="s">
        <v>465</v>
      </c>
      <c r="D68" s="1">
        <v>45066</v>
      </c>
      <c r="E68" s="1">
        <v>45067</v>
      </c>
    </row>
    <row r="69" spans="1:6" hidden="1" x14ac:dyDescent="0.3">
      <c r="A69" t="str">
        <f>VLOOKUP(Tabela5[[#This Row],[Médico]],Equipe!A:C,3,0)</f>
        <v>Sócio</v>
      </c>
      <c r="B69" t="s">
        <v>16</v>
      </c>
      <c r="C69" t="s">
        <v>464</v>
      </c>
      <c r="D69" s="1">
        <v>45068</v>
      </c>
      <c r="E69" s="1">
        <v>45072</v>
      </c>
    </row>
    <row r="70" spans="1:6" hidden="1" x14ac:dyDescent="0.3">
      <c r="A70" t="str">
        <f>VLOOKUP(Tabela5[[#This Row],[Médico]],Equipe!A:C,3,0)</f>
        <v>Sócio</v>
      </c>
      <c r="B70" t="s">
        <v>85</v>
      </c>
      <c r="C70" t="s">
        <v>464</v>
      </c>
      <c r="D70" s="1">
        <v>45068</v>
      </c>
      <c r="E70" s="1">
        <v>45074</v>
      </c>
    </row>
    <row r="71" spans="1:6" hidden="1" x14ac:dyDescent="0.3">
      <c r="A71" t="str">
        <f>VLOOKUP(Tabela5[[#This Row],[Médico]],Equipe!A:C,3,0)</f>
        <v>Sócio</v>
      </c>
      <c r="B71" t="s">
        <v>142</v>
      </c>
      <c r="C71" t="s">
        <v>464</v>
      </c>
      <c r="D71" s="1">
        <v>45073</v>
      </c>
      <c r="E71" s="1">
        <v>45086</v>
      </c>
    </row>
    <row r="72" spans="1:6" hidden="1" x14ac:dyDescent="0.3">
      <c r="A72" t="str">
        <f>VLOOKUP(Tabela5[[#This Row],[Médico]],Equipe!A:C,3,0)</f>
        <v>Sócio</v>
      </c>
      <c r="B72" t="s">
        <v>33</v>
      </c>
      <c r="C72" t="s">
        <v>464</v>
      </c>
      <c r="D72" s="1">
        <v>45075</v>
      </c>
      <c r="E72" s="1">
        <v>45093</v>
      </c>
    </row>
    <row r="73" spans="1:6" hidden="1" x14ac:dyDescent="0.3">
      <c r="A73" t="str">
        <f>VLOOKUP(Tabela5[[#This Row],[Médico]],Equipe!A:C,3,0)</f>
        <v>Sócio</v>
      </c>
      <c r="B73" t="s">
        <v>47</v>
      </c>
      <c r="C73" t="s">
        <v>464</v>
      </c>
      <c r="D73" s="1">
        <v>45075</v>
      </c>
      <c r="E73" s="1">
        <v>45079</v>
      </c>
    </row>
    <row r="74" spans="1:6" hidden="1" x14ac:dyDescent="0.3">
      <c r="A74" t="str">
        <f>VLOOKUP(Tabela5[[#This Row],[Médico]],Equipe!A:C,3,0)</f>
        <v>Sócio</v>
      </c>
      <c r="B74" t="s">
        <v>23</v>
      </c>
      <c r="C74" t="s">
        <v>465</v>
      </c>
      <c r="D74" s="1">
        <v>45078</v>
      </c>
      <c r="E74" s="1">
        <v>45085</v>
      </c>
      <c r="F74" t="s">
        <v>467</v>
      </c>
    </row>
    <row r="75" spans="1:6" hidden="1" x14ac:dyDescent="0.3">
      <c r="A75" t="str">
        <f>VLOOKUP(Tabela5[[#This Row],[Médico]],Equipe!A:C,3,0)</f>
        <v>Sócio</v>
      </c>
      <c r="B75" t="s">
        <v>47</v>
      </c>
      <c r="C75" t="s">
        <v>465</v>
      </c>
      <c r="D75" s="1">
        <v>45086</v>
      </c>
      <c r="E75" s="1">
        <v>45088</v>
      </c>
      <c r="F75" t="s">
        <v>468</v>
      </c>
    </row>
    <row r="76" spans="1:6" hidden="1" x14ac:dyDescent="0.3">
      <c r="A76" t="str">
        <f>VLOOKUP(Tabela5[[#This Row],[Médico]],Equipe!A:C,3,0)</f>
        <v>Sócio</v>
      </c>
      <c r="B76" t="s">
        <v>66</v>
      </c>
      <c r="C76" t="s">
        <v>464</v>
      </c>
      <c r="D76" s="1">
        <v>45089</v>
      </c>
      <c r="E76" s="1">
        <v>45093</v>
      </c>
    </row>
    <row r="77" spans="1:6" hidden="1" x14ac:dyDescent="0.3">
      <c r="A77" t="str">
        <f>VLOOKUP(Tabela5[[#This Row],[Médico]],Equipe!A:C,3,0)</f>
        <v>Sócio</v>
      </c>
      <c r="B77" t="s">
        <v>68</v>
      </c>
      <c r="C77" t="s">
        <v>464</v>
      </c>
      <c r="D77" s="1">
        <v>45096</v>
      </c>
      <c r="E77" s="1">
        <v>45107</v>
      </c>
    </row>
    <row r="78" spans="1:6" hidden="1" x14ac:dyDescent="0.3">
      <c r="A78" t="str">
        <f>VLOOKUP(Tabela5[[#This Row],[Médico]],Equipe!A:C,3,0)</f>
        <v>Sócio</v>
      </c>
      <c r="B78" t="s">
        <v>44</v>
      </c>
      <c r="C78" t="s">
        <v>464</v>
      </c>
      <c r="D78" s="1">
        <v>45096</v>
      </c>
      <c r="E78" s="1">
        <v>45100</v>
      </c>
    </row>
    <row r="79" spans="1:6" hidden="1" x14ac:dyDescent="0.3">
      <c r="A79" t="str">
        <f>VLOOKUP(Tabela5[[#This Row],[Médico]],Equipe!A:C,3,0)</f>
        <v>Sócio</v>
      </c>
      <c r="B79" t="s">
        <v>32</v>
      </c>
      <c r="C79" t="s">
        <v>464</v>
      </c>
      <c r="D79" s="1">
        <v>45096</v>
      </c>
      <c r="E79" s="1">
        <v>45100</v>
      </c>
    </row>
    <row r="80" spans="1:6" hidden="1" x14ac:dyDescent="0.3">
      <c r="A80" t="str">
        <f>VLOOKUP(Tabela5[[#This Row],[Médico]],Equipe!A:C,3,0)</f>
        <v>Sócio</v>
      </c>
      <c r="B80" t="s">
        <v>23</v>
      </c>
      <c r="C80" t="s">
        <v>466</v>
      </c>
      <c r="D80" s="1">
        <v>45097</v>
      </c>
      <c r="E80" s="1">
        <v>45097</v>
      </c>
    </row>
    <row r="81" spans="1:6" x14ac:dyDescent="0.3">
      <c r="A81" t="str">
        <f>VLOOKUP(Tabela5[[#This Row],[Médico]],Equipe!A:C,3,0)</f>
        <v>Sócio</v>
      </c>
      <c r="B81" t="s">
        <v>34</v>
      </c>
      <c r="C81" t="s">
        <v>464</v>
      </c>
      <c r="D81" s="1">
        <v>45103</v>
      </c>
      <c r="E81" s="1">
        <v>45116</v>
      </c>
    </row>
    <row r="82" spans="1:6" hidden="1" x14ac:dyDescent="0.3">
      <c r="A82" t="str">
        <f>VLOOKUP(Tabela5[[#This Row],[Médico]],Equipe!A:C,3,0)</f>
        <v>Sócio</v>
      </c>
      <c r="B82" t="s">
        <v>50</v>
      </c>
      <c r="C82" t="s">
        <v>464</v>
      </c>
      <c r="D82" s="1">
        <v>45108</v>
      </c>
      <c r="E82" s="1">
        <v>45123</v>
      </c>
    </row>
    <row r="83" spans="1:6" hidden="1" x14ac:dyDescent="0.3">
      <c r="A83" t="str">
        <f>VLOOKUP(Tabela5[[#This Row],[Médico]],Equipe!A:C,3,0)</f>
        <v>Sócio</v>
      </c>
      <c r="B83" t="s">
        <v>71</v>
      </c>
      <c r="C83" t="s">
        <v>465</v>
      </c>
      <c r="D83" s="1">
        <v>45111</v>
      </c>
      <c r="E83" s="1">
        <v>45111</v>
      </c>
      <c r="F83" t="s">
        <v>469</v>
      </c>
    </row>
    <row r="84" spans="1:6" hidden="1" x14ac:dyDescent="0.3">
      <c r="A84" t="str">
        <f>VLOOKUP(Tabela5[[#This Row],[Médico]],Equipe!A:C,3,0)</f>
        <v>Sócio</v>
      </c>
      <c r="B84" t="s">
        <v>52</v>
      </c>
      <c r="C84" t="s">
        <v>465</v>
      </c>
      <c r="D84" s="1">
        <v>45111</v>
      </c>
      <c r="E84" s="1">
        <v>45111</v>
      </c>
      <c r="F84" t="s">
        <v>469</v>
      </c>
    </row>
    <row r="85" spans="1:6" hidden="1" x14ac:dyDescent="0.3">
      <c r="A85" t="str">
        <f>VLOOKUP(Tabela5[[#This Row],[Médico]],Equipe!A:C,3,0)</f>
        <v>Sócio</v>
      </c>
      <c r="B85" t="s">
        <v>85</v>
      </c>
      <c r="C85" t="s">
        <v>464</v>
      </c>
      <c r="D85" s="1">
        <v>45121</v>
      </c>
      <c r="E85" s="1">
        <v>45130</v>
      </c>
    </row>
    <row r="86" spans="1:6" hidden="1" x14ac:dyDescent="0.3">
      <c r="A86" t="str">
        <f>VLOOKUP(Tabela5[[#This Row],[Médico]],Equipe!A:C,3,0)</f>
        <v>Sócio</v>
      </c>
      <c r="B86" t="s">
        <v>23</v>
      </c>
      <c r="C86" t="s">
        <v>465</v>
      </c>
      <c r="D86" s="1">
        <v>45122</v>
      </c>
      <c r="E86" s="1">
        <v>45126</v>
      </c>
      <c r="F86" t="s">
        <v>470</v>
      </c>
    </row>
    <row r="87" spans="1:6" hidden="1" x14ac:dyDescent="0.3">
      <c r="A87" t="str">
        <f>VLOOKUP(Tabela5[[#This Row],[Médico]],Equipe!A:C,3,0)</f>
        <v>Sócio</v>
      </c>
      <c r="B87" t="s">
        <v>47</v>
      </c>
      <c r="C87" t="s">
        <v>465</v>
      </c>
      <c r="D87" s="1">
        <v>45122</v>
      </c>
      <c r="E87" s="1">
        <v>45123</v>
      </c>
      <c r="F87" t="s">
        <v>470</v>
      </c>
    </row>
    <row r="88" spans="1:6" hidden="1" x14ac:dyDescent="0.3">
      <c r="A88" t="str">
        <f>VLOOKUP(Tabela5[[#This Row],[Médico]],Equipe!A:C,3,0)</f>
        <v>Sócio</v>
      </c>
      <c r="B88" t="s">
        <v>37</v>
      </c>
      <c r="C88" t="s">
        <v>464</v>
      </c>
      <c r="D88" s="1">
        <v>45124</v>
      </c>
      <c r="E88" s="1">
        <v>45135</v>
      </c>
    </row>
    <row r="89" spans="1:6" hidden="1" x14ac:dyDescent="0.3">
      <c r="A89" t="str">
        <f>VLOOKUP(Tabela5[[#This Row],[Médico]],Equipe!A:C,3,0)</f>
        <v>Sócio</v>
      </c>
      <c r="B89" t="s">
        <v>12</v>
      </c>
      <c r="C89" t="s">
        <v>464</v>
      </c>
      <c r="D89" s="1">
        <v>45124</v>
      </c>
      <c r="E89" s="1">
        <v>45130</v>
      </c>
    </row>
    <row r="90" spans="1:6" hidden="1" x14ac:dyDescent="0.3">
      <c r="A90" t="str">
        <f>VLOOKUP(Tabela5[[#This Row],[Médico]],Equipe!A:C,3,0)</f>
        <v>Sócio</v>
      </c>
      <c r="B90" t="s">
        <v>32</v>
      </c>
      <c r="C90" t="s">
        <v>464</v>
      </c>
      <c r="D90" s="1">
        <v>45131</v>
      </c>
      <c r="E90" s="1">
        <v>45137</v>
      </c>
    </row>
    <row r="91" spans="1:6" hidden="1" x14ac:dyDescent="0.3">
      <c r="A91" t="str">
        <f>VLOOKUP(Tabela5[[#This Row],[Médico]],Equipe!A:C,3,0)</f>
        <v>Sócio</v>
      </c>
      <c r="B91" t="s">
        <v>84</v>
      </c>
      <c r="C91" t="s">
        <v>464</v>
      </c>
      <c r="D91" s="1">
        <v>45131</v>
      </c>
      <c r="E91" s="1">
        <v>45135</v>
      </c>
    </row>
    <row r="92" spans="1:6" hidden="1" x14ac:dyDescent="0.3">
      <c r="A92" t="str">
        <f>VLOOKUP(Tabela5[[#This Row],[Médico]],Equipe!A:C,3,0)</f>
        <v>Sócio</v>
      </c>
      <c r="B92" t="s">
        <v>64</v>
      </c>
      <c r="C92" t="s">
        <v>464</v>
      </c>
      <c r="D92" s="1">
        <v>45131</v>
      </c>
      <c r="E92" s="1">
        <v>45135</v>
      </c>
    </row>
    <row r="93" spans="1:6" hidden="1" x14ac:dyDescent="0.3">
      <c r="A93" t="str">
        <f>VLOOKUP(Tabela5[[#This Row],[Médico]],Equipe!A:C,3,0)</f>
        <v>Sócio</v>
      </c>
      <c r="B93" t="s">
        <v>283</v>
      </c>
      <c r="C93" t="s">
        <v>464</v>
      </c>
      <c r="D93" s="1">
        <v>45138</v>
      </c>
      <c r="E93" s="1">
        <v>45151</v>
      </c>
    </row>
    <row r="94" spans="1:6" hidden="1" x14ac:dyDescent="0.3">
      <c r="A94" t="str">
        <f>VLOOKUP(Tabela5[[#This Row],[Médico]],Equipe!A:C,3,0)</f>
        <v>Sócio</v>
      </c>
      <c r="B94" t="s">
        <v>48</v>
      </c>
      <c r="C94" t="s">
        <v>464</v>
      </c>
      <c r="D94" s="1">
        <v>45145</v>
      </c>
      <c r="E94" s="1">
        <v>45158</v>
      </c>
    </row>
    <row r="95" spans="1:6" hidden="1" x14ac:dyDescent="0.3">
      <c r="A95" t="str">
        <f>VLOOKUP(Tabela5[[#This Row],[Médico]],Equipe!A:C,3,0)</f>
        <v>Sócio</v>
      </c>
      <c r="B95" t="s">
        <v>68</v>
      </c>
      <c r="C95" t="s">
        <v>464</v>
      </c>
      <c r="D95" s="1">
        <v>45145</v>
      </c>
      <c r="E95" s="1">
        <v>45151</v>
      </c>
    </row>
    <row r="96" spans="1:6" hidden="1" x14ac:dyDescent="0.3">
      <c r="A96" t="str">
        <f>VLOOKUP(Tabela5[[#This Row],[Médico]],Equipe!A:C,3,0)</f>
        <v>Sócio</v>
      </c>
      <c r="B96" t="s">
        <v>63</v>
      </c>
      <c r="C96" t="s">
        <v>464</v>
      </c>
      <c r="D96" s="1">
        <v>45145</v>
      </c>
      <c r="E96" s="1">
        <v>45151</v>
      </c>
    </row>
    <row r="97" spans="1:6" hidden="1" x14ac:dyDescent="0.3">
      <c r="A97" t="str">
        <f>VLOOKUP(Tabela5[[#This Row],[Médico]],Equipe!A:C,3,0)</f>
        <v>Sócio</v>
      </c>
      <c r="B97" t="s">
        <v>12</v>
      </c>
      <c r="C97" t="s">
        <v>464</v>
      </c>
      <c r="D97" s="1">
        <v>45149</v>
      </c>
      <c r="E97" s="1">
        <v>45165</v>
      </c>
    </row>
    <row r="98" spans="1:6" hidden="1" x14ac:dyDescent="0.3">
      <c r="A98" t="str">
        <f>VLOOKUP(Tabela5[[#This Row],[Médico]],Equipe!A:C,3,0)</f>
        <v>Sócio</v>
      </c>
      <c r="B98" t="s">
        <v>47</v>
      </c>
      <c r="C98" t="s">
        <v>465</v>
      </c>
      <c r="D98" s="1">
        <v>45155</v>
      </c>
      <c r="E98" s="1">
        <v>45158</v>
      </c>
      <c r="F98" t="s">
        <v>471</v>
      </c>
    </row>
    <row r="99" spans="1:6" hidden="1" x14ac:dyDescent="0.3">
      <c r="A99" t="str">
        <f>VLOOKUP(Tabela5[[#This Row],[Médico]],Equipe!A:C,3,0)</f>
        <v>Sócio</v>
      </c>
      <c r="B99" t="s">
        <v>47</v>
      </c>
      <c r="C99" t="s">
        <v>465</v>
      </c>
      <c r="D99" s="1">
        <v>45176</v>
      </c>
      <c r="E99" s="1">
        <v>45179</v>
      </c>
      <c r="F99" t="s">
        <v>472</v>
      </c>
    </row>
    <row r="100" spans="1:6" hidden="1" x14ac:dyDescent="0.3">
      <c r="A100" t="str">
        <f>VLOOKUP(Tabela5[[#This Row],[Médico]],Equipe!A:C,3,0)</f>
        <v>Sócio</v>
      </c>
      <c r="B100" t="s">
        <v>68</v>
      </c>
      <c r="C100" t="s">
        <v>465</v>
      </c>
      <c r="D100" s="1">
        <v>45176</v>
      </c>
      <c r="E100" s="1">
        <v>45179</v>
      </c>
      <c r="F100" t="s">
        <v>472</v>
      </c>
    </row>
    <row r="101" spans="1:6" hidden="1" x14ac:dyDescent="0.3">
      <c r="A101" t="str">
        <f>VLOOKUP(Tabela5[[#This Row],[Médico]],Equipe!A:C,3,0)</f>
        <v>Sócio</v>
      </c>
      <c r="B101" t="s">
        <v>214</v>
      </c>
      <c r="C101" t="s">
        <v>464</v>
      </c>
      <c r="D101" s="1">
        <v>45194</v>
      </c>
      <c r="E101" s="1">
        <v>45199</v>
      </c>
    </row>
    <row r="102" spans="1:6" hidden="1" x14ac:dyDescent="0.3">
      <c r="A102" t="str">
        <f>VLOOKUP(Tabela5[[#This Row],[Médico]],Equipe!A:C,3,0)</f>
        <v>Sócio</v>
      </c>
      <c r="B102" t="s">
        <v>75</v>
      </c>
      <c r="C102" t="s">
        <v>464</v>
      </c>
      <c r="D102" s="1">
        <v>45194</v>
      </c>
      <c r="E102" s="1">
        <v>45199</v>
      </c>
    </row>
    <row r="103" spans="1:6" hidden="1" x14ac:dyDescent="0.3">
      <c r="A103" t="str">
        <f>VLOOKUP(Tabela5[[#This Row],[Médico]],Equipe!A:C,3,0)</f>
        <v>Sócio</v>
      </c>
      <c r="B103" t="s">
        <v>7</v>
      </c>
      <c r="C103" t="s">
        <v>464</v>
      </c>
      <c r="D103" s="1">
        <v>45194</v>
      </c>
      <c r="E103" s="1">
        <v>45199</v>
      </c>
    </row>
    <row r="104" spans="1:6" hidden="1" x14ac:dyDescent="0.3">
      <c r="A104" t="str">
        <f>VLOOKUP(Tabela5[[#This Row],[Médico]],Equipe!A:C,3,0)</f>
        <v>Sócio</v>
      </c>
      <c r="B104" t="s">
        <v>17</v>
      </c>
      <c r="C104" t="s">
        <v>465</v>
      </c>
      <c r="D104" s="1">
        <v>45194</v>
      </c>
      <c r="E104" s="1">
        <v>45198</v>
      </c>
      <c r="F104" t="s">
        <v>473</v>
      </c>
    </row>
    <row r="105" spans="1:6" hidden="1" x14ac:dyDescent="0.3">
      <c r="A105" t="str">
        <f>VLOOKUP(Tabela5[[#This Row],[Médico]],Equipe!A:C,3,0)</f>
        <v>Sócio</v>
      </c>
      <c r="B105" t="s">
        <v>52</v>
      </c>
      <c r="C105" t="s">
        <v>464</v>
      </c>
      <c r="D105" s="1">
        <v>45201</v>
      </c>
      <c r="E105" s="1">
        <v>45214</v>
      </c>
    </row>
    <row r="106" spans="1:6" hidden="1" x14ac:dyDescent="0.3">
      <c r="A106" t="str">
        <f>VLOOKUP(Tabela5[[#This Row],[Médico]],Equipe!A:C,3,0)</f>
        <v>Sócio</v>
      </c>
      <c r="B106" t="s">
        <v>75</v>
      </c>
      <c r="C106" t="s">
        <v>464</v>
      </c>
      <c r="D106" s="1">
        <v>45201</v>
      </c>
      <c r="E106" s="1">
        <v>45207</v>
      </c>
    </row>
    <row r="107" spans="1:6" hidden="1" x14ac:dyDescent="0.3">
      <c r="A107" t="str">
        <f>VLOOKUP(Tabela5[[#This Row],[Médico]],Equipe!A:C,3,0)</f>
        <v>Sócio</v>
      </c>
      <c r="B107" t="s">
        <v>7</v>
      </c>
      <c r="C107" t="s">
        <v>464</v>
      </c>
      <c r="D107" s="1">
        <v>45201</v>
      </c>
      <c r="E107" s="1">
        <v>45207</v>
      </c>
    </row>
    <row r="108" spans="1:6" hidden="1" x14ac:dyDescent="0.3">
      <c r="A108" t="str">
        <f>VLOOKUP(Tabela5[[#This Row],[Médico]],Equipe!A:C,3,0)</f>
        <v>Sócio</v>
      </c>
      <c r="B108" t="s">
        <v>29</v>
      </c>
      <c r="C108" t="s">
        <v>464</v>
      </c>
      <c r="D108" s="1">
        <v>45208</v>
      </c>
      <c r="E108" s="1">
        <v>45214</v>
      </c>
    </row>
    <row r="109" spans="1:6" hidden="1" x14ac:dyDescent="0.3">
      <c r="A109" t="str">
        <f>VLOOKUP(Tabela5[[#This Row],[Médico]],Equipe!A:C,3,0)</f>
        <v>Sócio</v>
      </c>
      <c r="B109" t="s">
        <v>142</v>
      </c>
      <c r="C109" t="s">
        <v>464</v>
      </c>
      <c r="D109" s="1">
        <v>45208</v>
      </c>
      <c r="E109" s="1">
        <v>45229</v>
      </c>
    </row>
    <row r="110" spans="1:6" hidden="1" x14ac:dyDescent="0.3">
      <c r="A110" t="str">
        <f>VLOOKUP(Tabela5[[#This Row],[Médico]],Equipe!A:C,3,0)</f>
        <v>Sócio</v>
      </c>
      <c r="B110" t="s">
        <v>73</v>
      </c>
      <c r="C110" t="s">
        <v>464</v>
      </c>
      <c r="D110" s="1">
        <v>45208</v>
      </c>
      <c r="E110" s="1">
        <v>45214</v>
      </c>
    </row>
    <row r="111" spans="1:6" hidden="1" x14ac:dyDescent="0.3">
      <c r="A111" t="str">
        <f>VLOOKUP(Tabela5[[#This Row],[Médico]],Equipe!A:C,3,0)</f>
        <v>Sócio</v>
      </c>
      <c r="B111" t="s">
        <v>47</v>
      </c>
      <c r="C111" t="s">
        <v>465</v>
      </c>
      <c r="D111" s="1">
        <v>45210</v>
      </c>
      <c r="E111" s="1">
        <v>45217</v>
      </c>
      <c r="F111" t="s">
        <v>474</v>
      </c>
    </row>
    <row r="112" spans="1:6" hidden="1" x14ac:dyDescent="0.3">
      <c r="A112" t="str">
        <f>VLOOKUP(Tabela5[[#This Row],[Médico]],Equipe!A:C,3,0)</f>
        <v>Sócio</v>
      </c>
      <c r="B112" t="s">
        <v>44</v>
      </c>
      <c r="C112" t="s">
        <v>464</v>
      </c>
      <c r="D112" s="1">
        <v>45216</v>
      </c>
      <c r="E112" s="1">
        <v>45231</v>
      </c>
    </row>
    <row r="113" spans="1:6" hidden="1" x14ac:dyDescent="0.3">
      <c r="A113" t="str">
        <f>VLOOKUP(Tabela5[[#This Row],[Médico]],Equipe!A:C,3,0)</f>
        <v>Sócio</v>
      </c>
      <c r="B113" t="s">
        <v>94</v>
      </c>
      <c r="C113" t="s">
        <v>464</v>
      </c>
      <c r="D113" s="1">
        <v>45222</v>
      </c>
      <c r="E113" s="1">
        <v>45226</v>
      </c>
    </row>
    <row r="114" spans="1:6" hidden="1" x14ac:dyDescent="0.3">
      <c r="A114" t="str">
        <f>VLOOKUP(Tabela5[[#This Row],[Médico]],Equipe!A:C,3,0)</f>
        <v>Sócio</v>
      </c>
      <c r="B114" t="s">
        <v>47</v>
      </c>
      <c r="C114" t="s">
        <v>465</v>
      </c>
      <c r="D114" s="1">
        <v>45238</v>
      </c>
      <c r="E114" s="1">
        <v>45245</v>
      </c>
      <c r="F114" t="s">
        <v>475</v>
      </c>
    </row>
    <row r="115" spans="1:6" hidden="1" x14ac:dyDescent="0.3">
      <c r="A115" t="str">
        <f>VLOOKUP(Tabela5[[#This Row],[Médico]],Equipe!A:C,3,0)</f>
        <v>Sócio</v>
      </c>
      <c r="B115" t="s">
        <v>71</v>
      </c>
      <c r="C115" t="s">
        <v>464</v>
      </c>
      <c r="D115" s="1">
        <v>45257</v>
      </c>
      <c r="E115" s="1">
        <v>45275</v>
      </c>
    </row>
    <row r="116" spans="1:6" hidden="1" x14ac:dyDescent="0.3">
      <c r="A116" t="str">
        <f>VLOOKUP(Tabela5[[#This Row],[Médico]],Equipe!A:C,3,0)</f>
        <v>Sócio</v>
      </c>
      <c r="B116" t="s">
        <v>47</v>
      </c>
      <c r="C116" t="s">
        <v>465</v>
      </c>
      <c r="D116" s="1">
        <v>45082</v>
      </c>
      <c r="E116" s="1">
        <v>45084</v>
      </c>
      <c r="F116" t="s">
        <v>467</v>
      </c>
    </row>
    <row r="117" spans="1:6" hidden="1" x14ac:dyDescent="0.3">
      <c r="A117" t="str">
        <f>VLOOKUP(Tabela5[[#This Row],[Médico]],Equipe!A:C,3,0)</f>
        <v>Sócio</v>
      </c>
      <c r="B117" t="s">
        <v>72</v>
      </c>
      <c r="C117" t="s">
        <v>464</v>
      </c>
      <c r="D117" s="1">
        <v>45250</v>
      </c>
      <c r="E117" s="1">
        <v>45270</v>
      </c>
    </row>
    <row r="118" spans="1:6" hidden="1" x14ac:dyDescent="0.3">
      <c r="A118" t="str">
        <f>VLOOKUP(Tabela5[[#This Row],[Médico]],Equipe!A:C,3,0)</f>
        <v>Sócio</v>
      </c>
      <c r="B118" t="s">
        <v>20</v>
      </c>
      <c r="C118" t="s">
        <v>464</v>
      </c>
      <c r="D118" s="1">
        <v>45117</v>
      </c>
      <c r="E118" s="1">
        <v>45123</v>
      </c>
    </row>
    <row r="119" spans="1:6" hidden="1" x14ac:dyDescent="0.3">
      <c r="A119" t="str">
        <f>VLOOKUP(Tabela5[[#This Row],[Médico]],Equipe!A:C,3,0)</f>
        <v>Sócio</v>
      </c>
      <c r="B119" t="s">
        <v>23</v>
      </c>
      <c r="C119" t="s">
        <v>465</v>
      </c>
      <c r="D119" s="1">
        <v>45199</v>
      </c>
      <c r="E119" s="1">
        <v>45199</v>
      </c>
      <c r="F119" t="s">
        <v>476</v>
      </c>
    </row>
    <row r="120" spans="1:6" hidden="1" x14ac:dyDescent="0.3">
      <c r="A120" t="str">
        <f>VLOOKUP(Tabela5[[#This Row],[Médico]],Equipe!A:C,3,0)</f>
        <v>Sócio</v>
      </c>
      <c r="B120" t="s">
        <v>47</v>
      </c>
      <c r="C120" t="s">
        <v>465</v>
      </c>
      <c r="D120" s="1">
        <v>45199</v>
      </c>
      <c r="E120" s="1">
        <v>45199</v>
      </c>
      <c r="F120" t="s">
        <v>476</v>
      </c>
    </row>
    <row r="121" spans="1:6" hidden="1" x14ac:dyDescent="0.3">
      <c r="A121" t="str">
        <f>VLOOKUP(Tabela5[[#This Row],[Médico]],Equipe!A:C,3,0)</f>
        <v>Sócio</v>
      </c>
      <c r="B121" t="s">
        <v>47</v>
      </c>
      <c r="C121" t="s">
        <v>464</v>
      </c>
      <c r="D121" s="1">
        <v>45124</v>
      </c>
      <c r="E121" s="1">
        <v>45130</v>
      </c>
    </row>
    <row r="122" spans="1:6" hidden="1" x14ac:dyDescent="0.3">
      <c r="A122" t="str">
        <f>VLOOKUP(Tabela5[[#This Row],[Médico]],Equipe!A:C,3,0)</f>
        <v>Sócio</v>
      </c>
      <c r="B122" t="s">
        <v>73</v>
      </c>
      <c r="C122" t="s">
        <v>464</v>
      </c>
      <c r="D122" s="1">
        <v>45117</v>
      </c>
      <c r="E122" s="1">
        <v>45123</v>
      </c>
    </row>
    <row r="123" spans="1:6" hidden="1" x14ac:dyDescent="0.3">
      <c r="A123" t="str">
        <f>VLOOKUP(Tabela5[[#This Row],[Médico]],Equipe!A:C,3,0)</f>
        <v>R3</v>
      </c>
      <c r="B123" t="s">
        <v>36</v>
      </c>
      <c r="C123" t="s">
        <v>464</v>
      </c>
      <c r="D123" s="1">
        <v>45108</v>
      </c>
      <c r="E123" s="1">
        <v>45122</v>
      </c>
    </row>
    <row r="124" spans="1:6" hidden="1" x14ac:dyDescent="0.3">
      <c r="A124" t="str">
        <f>VLOOKUP(Tabela5[[#This Row],[Médico]],Equipe!A:C,3,0)</f>
        <v>R1</v>
      </c>
      <c r="B124" t="s">
        <v>62</v>
      </c>
      <c r="C124" t="s">
        <v>464</v>
      </c>
      <c r="D124" s="1">
        <v>45108</v>
      </c>
      <c r="E124" s="1">
        <v>45122</v>
      </c>
    </row>
    <row r="125" spans="1:6" hidden="1" x14ac:dyDescent="0.3">
      <c r="A125" t="str">
        <f>VLOOKUP(Tabela5[[#This Row],[Médico]],Equipe!A:C,3,0)</f>
        <v>R1</v>
      </c>
      <c r="B125" t="s">
        <v>149</v>
      </c>
      <c r="C125" t="s">
        <v>464</v>
      </c>
      <c r="D125" s="1">
        <v>45108</v>
      </c>
      <c r="E125" s="1">
        <v>45122</v>
      </c>
    </row>
    <row r="126" spans="1:6" hidden="1" x14ac:dyDescent="0.3">
      <c r="A126" t="str">
        <f>VLOOKUP(Tabela5[[#This Row],[Médico]],Equipe!A:C,3,0)</f>
        <v>R3</v>
      </c>
      <c r="B126" t="s">
        <v>27</v>
      </c>
      <c r="C126" t="s">
        <v>464</v>
      </c>
      <c r="D126" s="1">
        <v>45123</v>
      </c>
      <c r="E126" s="1">
        <v>45137</v>
      </c>
    </row>
    <row r="127" spans="1:6" hidden="1" x14ac:dyDescent="0.3">
      <c r="A127" t="str">
        <f>VLOOKUP(Tabela5[[#This Row],[Médico]],Equipe!A:C,3,0)</f>
        <v>R3</v>
      </c>
      <c r="B127" t="s">
        <v>38</v>
      </c>
      <c r="C127" t="s">
        <v>464</v>
      </c>
      <c r="D127" s="1">
        <v>45123</v>
      </c>
      <c r="E127" s="1">
        <v>45137</v>
      </c>
    </row>
    <row r="128" spans="1:6" hidden="1" x14ac:dyDescent="0.3">
      <c r="A128" t="str">
        <f>VLOOKUP(Tabela5[[#This Row],[Médico]],Equipe!A:C,3,0)</f>
        <v>R2</v>
      </c>
      <c r="B128" t="s">
        <v>112</v>
      </c>
      <c r="C128" t="s">
        <v>464</v>
      </c>
      <c r="D128" s="1">
        <v>45123</v>
      </c>
      <c r="E128" s="1">
        <v>45137</v>
      </c>
    </row>
    <row r="129" spans="1:6" hidden="1" x14ac:dyDescent="0.3">
      <c r="A129" t="str">
        <f>VLOOKUP(Tabela5[[#This Row],[Médico]],Equipe!A:C,3,0)</f>
        <v>R1</v>
      </c>
      <c r="B129" t="s">
        <v>96</v>
      </c>
      <c r="C129" t="s">
        <v>464</v>
      </c>
      <c r="D129" s="1">
        <v>45123</v>
      </c>
      <c r="E129" s="1">
        <v>45137</v>
      </c>
    </row>
    <row r="130" spans="1:6" hidden="1" x14ac:dyDescent="0.3">
      <c r="A130" t="str">
        <f>VLOOKUP(Tabela5[[#This Row],[Médico]],Equipe!A:C,3,0)</f>
        <v>R1</v>
      </c>
      <c r="B130" t="s">
        <v>57</v>
      </c>
      <c r="C130" t="s">
        <v>464</v>
      </c>
      <c r="D130" s="1">
        <v>45154</v>
      </c>
      <c r="E130" s="1">
        <v>45168</v>
      </c>
    </row>
    <row r="131" spans="1:6" hidden="1" x14ac:dyDescent="0.3">
      <c r="A131" t="s">
        <v>478</v>
      </c>
      <c r="B131" t="s">
        <v>14</v>
      </c>
      <c r="C131" t="s">
        <v>464</v>
      </c>
      <c r="D131" s="1">
        <v>45138</v>
      </c>
      <c r="E131" s="1">
        <v>45144</v>
      </c>
    </row>
    <row r="132" spans="1:6" hidden="1" x14ac:dyDescent="0.3">
      <c r="A132" t="s">
        <v>478</v>
      </c>
      <c r="B132" t="s">
        <v>94</v>
      </c>
      <c r="C132" t="s">
        <v>465</v>
      </c>
      <c r="D132" s="1">
        <v>45265</v>
      </c>
      <c r="E132" s="1">
        <v>45265</v>
      </c>
      <c r="F132" t="s">
        <v>469</v>
      </c>
    </row>
    <row r="133" spans="1:6" hidden="1" x14ac:dyDescent="0.3">
      <c r="A133" t="str">
        <f>VLOOKUP(Tabela5[[#This Row],[Médico]],Equipe!A:C,3,0)</f>
        <v>R2</v>
      </c>
      <c r="B133" t="s">
        <v>97</v>
      </c>
      <c r="C133" t="s">
        <v>464</v>
      </c>
      <c r="D133" s="1">
        <v>45139</v>
      </c>
      <c r="E133" s="1">
        <v>45153</v>
      </c>
    </row>
    <row r="134" spans="1:6" hidden="1" x14ac:dyDescent="0.3">
      <c r="A134" t="str">
        <f>VLOOKUP(Tabela5[[#This Row],[Médico]],Equipe!A:C,3,0)</f>
        <v>R1</v>
      </c>
      <c r="B134" t="s">
        <v>59</v>
      </c>
      <c r="C134" t="s">
        <v>464</v>
      </c>
      <c r="D134" s="1">
        <v>45139</v>
      </c>
      <c r="E134" s="1">
        <v>45153</v>
      </c>
    </row>
    <row r="135" spans="1:6" hidden="1" x14ac:dyDescent="0.3">
      <c r="A135" t="str">
        <f>VLOOKUP(Tabela5[[#This Row],[Médico]],Equipe!A:C,3,0)</f>
        <v>Sócio</v>
      </c>
      <c r="B135" t="s">
        <v>17</v>
      </c>
      <c r="C135" t="s">
        <v>464</v>
      </c>
      <c r="D135" s="1">
        <v>45201</v>
      </c>
      <c r="E135" s="1">
        <v>45207</v>
      </c>
    </row>
    <row r="136" spans="1:6" hidden="1" x14ac:dyDescent="0.3">
      <c r="A136" t="str">
        <f>VLOOKUP(Tabela5[[#This Row],[Médico]],Equipe!A:C,3,0)</f>
        <v>Sócio</v>
      </c>
      <c r="B136" t="s">
        <v>66</v>
      </c>
      <c r="C136" t="s">
        <v>464</v>
      </c>
      <c r="D136" s="1">
        <v>45215</v>
      </c>
      <c r="E136" s="1">
        <v>45221</v>
      </c>
    </row>
    <row r="137" spans="1:6" x14ac:dyDescent="0.3">
      <c r="A137" t="str">
        <f>VLOOKUP(Tabela5[[#This Row],[Médico]],Equipe!A:C,3,0)</f>
        <v>Sócio</v>
      </c>
      <c r="B137" t="s">
        <v>34</v>
      </c>
      <c r="C137" t="s">
        <v>465</v>
      </c>
      <c r="D137" s="1">
        <v>45225</v>
      </c>
      <c r="E137" s="1">
        <v>45227</v>
      </c>
      <c r="F137" s="1" t="s">
        <v>480</v>
      </c>
    </row>
    <row r="138" spans="1:6" hidden="1" x14ac:dyDescent="0.3">
      <c r="A138" t="str">
        <f>VLOOKUP(Tabela5[[#This Row],[Médico]],Equipe!A:C,3,0)</f>
        <v>Sócio</v>
      </c>
      <c r="B138" t="s">
        <v>25</v>
      </c>
      <c r="C138" t="s">
        <v>464</v>
      </c>
      <c r="D138" s="1">
        <v>45243</v>
      </c>
      <c r="E138" s="1">
        <v>45256</v>
      </c>
    </row>
    <row r="139" spans="1:6" x14ac:dyDescent="0.3">
      <c r="A139" t="str">
        <f>VLOOKUP(Tabela5[[#This Row],[Médico]],Equipe!A:C,3,0)</f>
        <v>Sócio</v>
      </c>
      <c r="B139" t="s">
        <v>34</v>
      </c>
      <c r="C139" t="s">
        <v>464</v>
      </c>
      <c r="D139" s="1">
        <v>45250</v>
      </c>
      <c r="E139" s="1">
        <v>45263</v>
      </c>
    </row>
    <row r="140" spans="1:6" hidden="1" x14ac:dyDescent="0.3">
      <c r="A140" t="str">
        <f>VLOOKUP(Tabela5[[#This Row],[Médico]],Equipe!A:C,3,0)</f>
        <v>R3</v>
      </c>
      <c r="B140" t="s">
        <v>9</v>
      </c>
      <c r="C140" t="s">
        <v>464</v>
      </c>
      <c r="D140" s="1">
        <v>45154</v>
      </c>
      <c r="E140" s="1">
        <v>45168</v>
      </c>
    </row>
    <row r="141" spans="1:6" hidden="1" x14ac:dyDescent="0.3">
      <c r="A141" t="str">
        <f>VLOOKUP(Tabela5[[#This Row],[Médico]],Equipe!A:C,3,0)</f>
        <v>Sócio</v>
      </c>
      <c r="B141" t="s">
        <v>66</v>
      </c>
      <c r="C141" t="s">
        <v>466</v>
      </c>
      <c r="D141" s="1">
        <v>45261</v>
      </c>
      <c r="E141" s="1">
        <v>45261</v>
      </c>
      <c r="F141" t="s">
        <v>482</v>
      </c>
    </row>
    <row r="142" spans="1:6" hidden="1" x14ac:dyDescent="0.3">
      <c r="A142" t="str">
        <f>VLOOKUP(Tabela5[[#This Row],[Médico]],Equipe!A:C,3,0)</f>
        <v>Sócio</v>
      </c>
      <c r="B142" t="s">
        <v>63</v>
      </c>
      <c r="C142" t="s">
        <v>464</v>
      </c>
      <c r="D142" s="1">
        <v>45250</v>
      </c>
      <c r="E142" s="1">
        <v>45263</v>
      </c>
      <c r="F142" t="s">
        <v>464</v>
      </c>
    </row>
    <row r="143" spans="1:6" hidden="1" x14ac:dyDescent="0.3">
      <c r="A143" t="str">
        <f>VLOOKUP(Tabela5[[#This Row],[Médico]],Equipe!A:C,3,0)</f>
        <v>Sócio</v>
      </c>
      <c r="B143" t="s">
        <v>32</v>
      </c>
      <c r="C143" t="s">
        <v>466</v>
      </c>
      <c r="D143" s="1">
        <v>45189</v>
      </c>
      <c r="E143" s="1">
        <v>45190</v>
      </c>
      <c r="F143" t="s">
        <v>483</v>
      </c>
    </row>
    <row r="144" spans="1:6" x14ac:dyDescent="0.3">
      <c r="A144" t="str">
        <f>VLOOKUP(Tabela5[[#This Row],[Médico]],Equipe!A:C,3,0)</f>
        <v>Sócio</v>
      </c>
      <c r="B144" t="s">
        <v>34</v>
      </c>
      <c r="C144" t="s">
        <v>466</v>
      </c>
      <c r="D144" s="1">
        <v>45189</v>
      </c>
      <c r="E144" s="1">
        <v>45190</v>
      </c>
      <c r="F144" t="s">
        <v>483</v>
      </c>
    </row>
    <row r="145" spans="1:6" hidden="1" x14ac:dyDescent="0.3">
      <c r="A145" t="str">
        <f>VLOOKUP(Tabela5[[#This Row],[Médico]],Equipe!A:C,3,0)</f>
        <v>Sócio</v>
      </c>
      <c r="B145" t="s">
        <v>66</v>
      </c>
      <c r="C145" t="s">
        <v>466</v>
      </c>
      <c r="D145" s="1">
        <v>45189</v>
      </c>
      <c r="E145" s="1">
        <v>45190</v>
      </c>
      <c r="F145" t="s">
        <v>483</v>
      </c>
    </row>
    <row r="146" spans="1:6" hidden="1" x14ac:dyDescent="0.3">
      <c r="A146" t="str">
        <f>VLOOKUP(Tabela5[[#This Row],[Médico]],Equipe!A:C,3,0)</f>
        <v>Sócio</v>
      </c>
      <c r="B146" t="s">
        <v>63</v>
      </c>
      <c r="C146" t="s">
        <v>465</v>
      </c>
      <c r="D146" s="1">
        <v>45265</v>
      </c>
      <c r="E146" s="1">
        <v>45265</v>
      </c>
      <c r="F146" t="s">
        <v>469</v>
      </c>
    </row>
    <row r="147" spans="1:6" hidden="1" x14ac:dyDescent="0.3">
      <c r="A147" t="str">
        <f>VLOOKUP(Tabela5[[#This Row],[Médico]],Equipe!A:C,3,0)</f>
        <v>Sócio</v>
      </c>
      <c r="B147" t="s">
        <v>47</v>
      </c>
      <c r="C147" t="s">
        <v>465</v>
      </c>
      <c r="D147" s="1">
        <v>45205</v>
      </c>
      <c r="E147" s="1">
        <v>45205</v>
      </c>
      <c r="F147" t="s">
        <v>465</v>
      </c>
    </row>
    <row r="148" spans="1:6" hidden="1" x14ac:dyDescent="0.3">
      <c r="A148" t="str">
        <f>VLOOKUP(Tabela5[[#This Row],[Médico]],Equipe!A:C,3,0)</f>
        <v>Sócio</v>
      </c>
      <c r="B148" t="s">
        <v>283</v>
      </c>
      <c r="C148" t="s">
        <v>466</v>
      </c>
      <c r="D148" s="1">
        <v>45189</v>
      </c>
      <c r="E148" s="1">
        <v>45190</v>
      </c>
      <c r="F148" t="s">
        <v>483</v>
      </c>
    </row>
    <row r="149" spans="1:6" hidden="1" x14ac:dyDescent="0.3">
      <c r="A149" t="str">
        <f>VLOOKUP(Tabela5[[#This Row],[Médico]],Equipe!A:C,3,0)</f>
        <v>Sócio</v>
      </c>
      <c r="B149" t="s">
        <v>14</v>
      </c>
      <c r="C149" t="s">
        <v>484</v>
      </c>
      <c r="D149" s="1">
        <v>45162</v>
      </c>
      <c r="E149" s="1">
        <v>45163</v>
      </c>
    </row>
    <row r="150" spans="1:6" hidden="1" x14ac:dyDescent="0.3">
      <c r="A150" t="str">
        <f>VLOOKUP(Tabela5[[#This Row],[Médico]],Equipe!A:C,3,0)</f>
        <v>R2</v>
      </c>
      <c r="B150" t="s">
        <v>39</v>
      </c>
      <c r="C150" t="s">
        <v>464</v>
      </c>
      <c r="D150" s="1">
        <v>45170</v>
      </c>
      <c r="E150" s="1">
        <v>45184</v>
      </c>
    </row>
    <row r="151" spans="1:6" hidden="1" x14ac:dyDescent="0.3">
      <c r="A151" t="str">
        <f>VLOOKUP(Tabela5[[#This Row],[Médico]],Equipe!A:C,3,0)</f>
        <v>R1</v>
      </c>
      <c r="B151" t="s">
        <v>80</v>
      </c>
      <c r="C151" t="s">
        <v>464</v>
      </c>
      <c r="D151" s="1">
        <v>45170</v>
      </c>
      <c r="E151" s="1">
        <v>45184</v>
      </c>
    </row>
    <row r="152" spans="1:6" hidden="1" x14ac:dyDescent="0.3">
      <c r="A152" t="str">
        <f>VLOOKUP(Tabela5[[#This Row],[Médico]],Equipe!A:C,3,0)</f>
        <v>R2</v>
      </c>
      <c r="B152" t="s">
        <v>35</v>
      </c>
      <c r="C152" t="s">
        <v>464</v>
      </c>
      <c r="D152" s="1">
        <v>45185</v>
      </c>
      <c r="E152" s="1">
        <v>45194</v>
      </c>
    </row>
    <row r="153" spans="1:6" hidden="1" x14ac:dyDescent="0.3">
      <c r="A153" t="str">
        <f>VLOOKUP(Tabela5[[#This Row],[Médico]],Equipe!A:C,3,0)</f>
        <v>R1</v>
      </c>
      <c r="B153" t="s">
        <v>83</v>
      </c>
      <c r="C153" t="s">
        <v>464</v>
      </c>
      <c r="D153" s="1">
        <v>45185</v>
      </c>
      <c r="E153" s="1">
        <v>45194</v>
      </c>
    </row>
    <row r="154" spans="1:6" hidden="1" x14ac:dyDescent="0.3">
      <c r="A154" t="str">
        <f>VLOOKUP(Tabela5[[#This Row],[Médico]],Equipe!A:C,3,0)</f>
        <v>R1</v>
      </c>
      <c r="B154" t="s">
        <v>59</v>
      </c>
      <c r="C154" t="s">
        <v>465</v>
      </c>
      <c r="D154" s="1">
        <v>45176</v>
      </c>
      <c r="E154" s="1">
        <v>45179</v>
      </c>
      <c r="F154" t="s">
        <v>472</v>
      </c>
    </row>
    <row r="155" spans="1:6" hidden="1" x14ac:dyDescent="0.3">
      <c r="A155" t="str">
        <f>VLOOKUP(Tabela5[[#This Row],[Médico]],Equipe!A:C,3,0)</f>
        <v>Sócio</v>
      </c>
      <c r="B155" t="s">
        <v>23</v>
      </c>
      <c r="C155" t="s">
        <v>465</v>
      </c>
      <c r="D155" s="1">
        <v>45257</v>
      </c>
      <c r="E155" s="1">
        <v>45259</v>
      </c>
      <c r="F155" t="s">
        <v>485</v>
      </c>
    </row>
    <row r="156" spans="1:6" hidden="1" x14ac:dyDescent="0.3">
      <c r="A156" t="str">
        <f>VLOOKUP(Tabela5[[#This Row],[Médico]],Equipe!A:C,3,0)</f>
        <v>R1</v>
      </c>
      <c r="B156" t="s">
        <v>59</v>
      </c>
      <c r="C156" t="s">
        <v>465</v>
      </c>
      <c r="D156" s="1">
        <v>45191</v>
      </c>
      <c r="E156" s="1">
        <v>45193</v>
      </c>
      <c r="F156" t="s">
        <v>486</v>
      </c>
    </row>
    <row r="157" spans="1:6" hidden="1" x14ac:dyDescent="0.3">
      <c r="A157" t="str">
        <f>VLOOKUP(Tabela5[[#This Row],[Médico]],Equipe!A:C,3,0)</f>
        <v>R1</v>
      </c>
      <c r="B157" t="s">
        <v>80</v>
      </c>
      <c r="C157" t="s">
        <v>465</v>
      </c>
      <c r="D157" s="1">
        <v>45191</v>
      </c>
      <c r="E157" s="1">
        <v>45193</v>
      </c>
      <c r="F157" t="s">
        <v>486</v>
      </c>
    </row>
    <row r="158" spans="1:6" hidden="1" x14ac:dyDescent="0.3">
      <c r="A158" t="str">
        <f>VLOOKUP(Tabela5[[#This Row],[Médico]],Equipe!A:C,3,0)</f>
        <v>R1</v>
      </c>
      <c r="B158" t="s">
        <v>60</v>
      </c>
      <c r="C158" t="s">
        <v>465</v>
      </c>
      <c r="D158" s="1">
        <v>45191</v>
      </c>
      <c r="E158" s="1">
        <v>45193</v>
      </c>
      <c r="F158" t="s">
        <v>486</v>
      </c>
    </row>
    <row r="159" spans="1:6" hidden="1" x14ac:dyDescent="0.3">
      <c r="A159" t="str">
        <f>VLOOKUP(Tabela5[[#This Row],[Médico]],Equipe!A:C,3,0)</f>
        <v>R1</v>
      </c>
      <c r="B159" t="s">
        <v>149</v>
      </c>
      <c r="C159" t="s">
        <v>465</v>
      </c>
      <c r="D159" s="1">
        <v>45191</v>
      </c>
      <c r="E159" s="1">
        <v>45193</v>
      </c>
      <c r="F159" t="s">
        <v>486</v>
      </c>
    </row>
    <row r="160" spans="1:6" hidden="1" x14ac:dyDescent="0.3">
      <c r="A160" t="str">
        <f>VLOOKUP(Tabela5[[#This Row],[Médico]],Equipe!A:C,3,0)</f>
        <v>R1</v>
      </c>
      <c r="B160" t="s">
        <v>61</v>
      </c>
      <c r="C160" t="s">
        <v>465</v>
      </c>
      <c r="D160" s="1">
        <v>45191</v>
      </c>
      <c r="E160" s="1">
        <v>45193</v>
      </c>
      <c r="F160" t="s">
        <v>486</v>
      </c>
    </row>
    <row r="161" spans="1:6" hidden="1" x14ac:dyDescent="0.3">
      <c r="A161" t="str">
        <f>VLOOKUP(Tabela5[[#This Row],[Médico]],Equipe!A:C,3,0)</f>
        <v>R2</v>
      </c>
      <c r="B161" t="s">
        <v>109</v>
      </c>
      <c r="C161" t="s">
        <v>465</v>
      </c>
      <c r="D161" s="1">
        <v>45191</v>
      </c>
      <c r="E161" s="1">
        <v>45193</v>
      </c>
      <c r="F161" t="s">
        <v>486</v>
      </c>
    </row>
    <row r="162" spans="1:6" hidden="1" x14ac:dyDescent="0.3">
      <c r="A162" t="str">
        <f>VLOOKUP(Tabela5[[#This Row],[Médico]],Equipe!A:C,3,0)</f>
        <v>R2</v>
      </c>
      <c r="B162" t="s">
        <v>39</v>
      </c>
      <c r="C162" t="s">
        <v>465</v>
      </c>
      <c r="D162" s="1">
        <v>45191</v>
      </c>
      <c r="E162" s="1">
        <v>45193</v>
      </c>
      <c r="F162" t="s">
        <v>486</v>
      </c>
    </row>
    <row r="163" spans="1:6" hidden="1" x14ac:dyDescent="0.3">
      <c r="A163" t="str">
        <f>VLOOKUP(Tabela5[[#This Row],[Médico]],Equipe!A:C,3,0)</f>
        <v>R2</v>
      </c>
      <c r="B163" t="s">
        <v>98</v>
      </c>
      <c r="C163" t="s">
        <v>465</v>
      </c>
      <c r="D163" s="1">
        <v>45191</v>
      </c>
      <c r="E163" s="1">
        <v>45193</v>
      </c>
      <c r="F163" t="s">
        <v>486</v>
      </c>
    </row>
    <row r="164" spans="1:6" hidden="1" x14ac:dyDescent="0.3">
      <c r="A164" t="str">
        <f>VLOOKUP(Tabela5[[#This Row],[Médico]],Equipe!A:C,3,0)</f>
        <v>R3</v>
      </c>
      <c r="B164" t="s">
        <v>40</v>
      </c>
      <c r="C164" t="s">
        <v>465</v>
      </c>
      <c r="D164" s="1">
        <v>45191</v>
      </c>
      <c r="E164" s="1">
        <v>45193</v>
      </c>
      <c r="F164" t="s">
        <v>486</v>
      </c>
    </row>
    <row r="165" spans="1:6" hidden="1" x14ac:dyDescent="0.3">
      <c r="A165" t="str">
        <f>VLOOKUP(Tabela5[[#This Row],[Médico]],Equipe!A:C,3,0)</f>
        <v>R3</v>
      </c>
      <c r="B165" t="s">
        <v>9</v>
      </c>
      <c r="C165" t="s">
        <v>465</v>
      </c>
      <c r="D165" s="1">
        <v>45191</v>
      </c>
      <c r="E165" s="1">
        <v>45193</v>
      </c>
      <c r="F165" t="s">
        <v>486</v>
      </c>
    </row>
    <row r="166" spans="1:6" hidden="1" x14ac:dyDescent="0.3">
      <c r="A166" t="str">
        <f>VLOOKUP(Tabela5[[#This Row],[Médico]],Equipe!A:C,3,0)</f>
        <v>R3</v>
      </c>
      <c r="B166" t="s">
        <v>103</v>
      </c>
      <c r="C166" t="s">
        <v>465</v>
      </c>
      <c r="D166" s="1">
        <v>45191</v>
      </c>
      <c r="E166" s="1">
        <v>45193</v>
      </c>
      <c r="F166" t="s">
        <v>486</v>
      </c>
    </row>
    <row r="167" spans="1:6" hidden="1" x14ac:dyDescent="0.3">
      <c r="A167" t="str">
        <f>VLOOKUP(Tabela5[[#This Row],[Médico]],Equipe!A:C,3,0)</f>
        <v>R3</v>
      </c>
      <c r="B167" t="s">
        <v>79</v>
      </c>
      <c r="C167" t="s">
        <v>465</v>
      </c>
      <c r="D167" s="1">
        <v>45191</v>
      </c>
      <c r="E167" s="1">
        <v>45193</v>
      </c>
      <c r="F167" t="s">
        <v>486</v>
      </c>
    </row>
    <row r="168" spans="1:6" hidden="1" x14ac:dyDescent="0.3">
      <c r="A168" t="str">
        <f>VLOOKUP(Tabela5[[#This Row],[Médico]],Equipe!A:C,3,0)</f>
        <v>R3</v>
      </c>
      <c r="B168" t="s">
        <v>27</v>
      </c>
      <c r="C168" t="s">
        <v>465</v>
      </c>
      <c r="D168" s="1">
        <v>45191</v>
      </c>
      <c r="E168" s="1">
        <v>45193</v>
      </c>
      <c r="F168" t="s">
        <v>486</v>
      </c>
    </row>
    <row r="169" spans="1:6" hidden="1" x14ac:dyDescent="0.3">
      <c r="A169" t="str">
        <f>VLOOKUP(Tabela5[[#This Row],[Médico]],Equipe!A:C,3,0)</f>
        <v>R1</v>
      </c>
      <c r="B169" t="s">
        <v>96</v>
      </c>
      <c r="C169" t="s">
        <v>465</v>
      </c>
      <c r="D169" s="1">
        <v>45191</v>
      </c>
      <c r="E169" s="1">
        <v>45193</v>
      </c>
      <c r="F169" t="s">
        <v>486</v>
      </c>
    </row>
    <row r="170" spans="1:6" hidden="1" x14ac:dyDescent="0.3">
      <c r="A170" t="str">
        <f>VLOOKUP(Tabela5[[#This Row],[Médico]],Equipe!A:C,3,0)</f>
        <v>Sócio</v>
      </c>
      <c r="B170" t="s">
        <v>50</v>
      </c>
      <c r="C170" t="s">
        <v>464</v>
      </c>
      <c r="D170" s="1">
        <v>45236</v>
      </c>
      <c r="E170" s="1">
        <v>45241</v>
      </c>
    </row>
    <row r="171" spans="1:6" hidden="1" x14ac:dyDescent="0.3">
      <c r="A171" t="str">
        <f>VLOOKUP(Tabela5[[#This Row],[Médico]],Equipe!A:C,3,0)</f>
        <v>Sócio</v>
      </c>
      <c r="B171" t="s">
        <v>68</v>
      </c>
      <c r="C171" t="s">
        <v>464</v>
      </c>
      <c r="D171" s="1">
        <v>45264</v>
      </c>
      <c r="E171" s="1">
        <v>45269</v>
      </c>
    </row>
    <row r="172" spans="1:6" hidden="1" x14ac:dyDescent="0.3">
      <c r="A172" t="str">
        <f>VLOOKUP(Tabela5[[#This Row],[Médico]],Equipe!A:C,3,0)</f>
        <v>Sócio</v>
      </c>
      <c r="B172" t="s">
        <v>66</v>
      </c>
      <c r="C172" t="s">
        <v>465</v>
      </c>
      <c r="D172" s="1">
        <v>45176</v>
      </c>
      <c r="E172" s="1">
        <v>45179</v>
      </c>
      <c r="F172" t="s">
        <v>472</v>
      </c>
    </row>
    <row r="173" spans="1:6" hidden="1" x14ac:dyDescent="0.3">
      <c r="A173" t="str">
        <f>VLOOKUP(Tabela5[[#This Row],[Médico]],Equipe!A:C,3,0)</f>
        <v>Sócio</v>
      </c>
      <c r="B173" t="s">
        <v>94</v>
      </c>
      <c r="C173" t="s">
        <v>465</v>
      </c>
      <c r="D173" s="1">
        <v>45176</v>
      </c>
      <c r="E173" s="1">
        <v>45179</v>
      </c>
      <c r="F173" t="s">
        <v>472</v>
      </c>
    </row>
    <row r="174" spans="1:6" hidden="1" x14ac:dyDescent="0.3">
      <c r="A174" t="str">
        <f>VLOOKUP(Tabela5[[#This Row],[Médico]],Equipe!A:C,3,0)</f>
        <v>Sócio</v>
      </c>
      <c r="B174" t="s">
        <v>7</v>
      </c>
      <c r="C174" t="s">
        <v>465</v>
      </c>
      <c r="D174" s="1">
        <v>45176</v>
      </c>
      <c r="E174" s="1">
        <v>45179</v>
      </c>
      <c r="F174" t="s">
        <v>472</v>
      </c>
    </row>
    <row r="175" spans="1:6" hidden="1" x14ac:dyDescent="0.3">
      <c r="A175" t="str">
        <f>VLOOKUP(Tabela5[[#This Row],[Médico]],Equipe!A:C,3,0)</f>
        <v>Sócio</v>
      </c>
      <c r="B175" t="s">
        <v>23</v>
      </c>
      <c r="C175" t="s">
        <v>465</v>
      </c>
      <c r="D175" s="1">
        <v>45176</v>
      </c>
      <c r="E175" s="1">
        <v>45179</v>
      </c>
      <c r="F175" t="s">
        <v>472</v>
      </c>
    </row>
    <row r="176" spans="1:6" hidden="1" x14ac:dyDescent="0.3">
      <c r="A176" t="str">
        <f>VLOOKUP(Tabela5[[#This Row],[Médico]],Equipe!A:C,3,0)</f>
        <v>Sócio</v>
      </c>
      <c r="B176" t="s">
        <v>50</v>
      </c>
      <c r="C176" t="s">
        <v>465</v>
      </c>
      <c r="D176" s="1">
        <v>45176</v>
      </c>
      <c r="E176" s="1">
        <v>45179</v>
      </c>
      <c r="F176" t="s">
        <v>472</v>
      </c>
    </row>
    <row r="177" spans="1:6" hidden="1" x14ac:dyDescent="0.3">
      <c r="A177" t="str">
        <f>VLOOKUP(Tabela5[[#This Row],[Médico]],Equipe!A:C,3,0)</f>
        <v>R1</v>
      </c>
      <c r="B177" t="s">
        <v>59</v>
      </c>
      <c r="C177" t="s">
        <v>465</v>
      </c>
      <c r="D177" s="1">
        <v>45176</v>
      </c>
      <c r="E177" s="1">
        <v>45179</v>
      </c>
      <c r="F177" t="s">
        <v>472</v>
      </c>
    </row>
    <row r="178" spans="1:6" hidden="1" x14ac:dyDescent="0.3">
      <c r="A178" t="str">
        <f>VLOOKUP(Tabela5[[#This Row],[Médico]],Equipe!A:C,3,0)</f>
        <v>Sócio</v>
      </c>
      <c r="B178" t="s">
        <v>47</v>
      </c>
      <c r="C178" t="s">
        <v>465</v>
      </c>
      <c r="D178" s="1">
        <v>45187</v>
      </c>
      <c r="E178" s="1">
        <v>45187</v>
      </c>
      <c r="F178" t="s">
        <v>618</v>
      </c>
    </row>
    <row r="179" spans="1:6" hidden="1" x14ac:dyDescent="0.3">
      <c r="A179" t="str">
        <f>VLOOKUP(Tabela5[[#This Row],[Médico]],Equipe!A:C,3,0)</f>
        <v>Sócio</v>
      </c>
      <c r="B179" t="s">
        <v>47</v>
      </c>
      <c r="C179" t="s">
        <v>465</v>
      </c>
      <c r="D179" s="1">
        <v>45204</v>
      </c>
      <c r="E179" s="1">
        <v>45204</v>
      </c>
      <c r="F179" t="s">
        <v>465</v>
      </c>
    </row>
    <row r="180" spans="1:6" hidden="1" x14ac:dyDescent="0.3">
      <c r="A180" t="str">
        <f>VLOOKUP(Tabela5[[#This Row],[Médico]],Equipe!A:C,3,0)</f>
        <v>Sócio</v>
      </c>
      <c r="B180" t="s">
        <v>12</v>
      </c>
      <c r="C180" t="s">
        <v>465</v>
      </c>
      <c r="D180" s="1">
        <v>45191</v>
      </c>
      <c r="E180" s="1">
        <v>45191</v>
      </c>
      <c r="F180" t="s">
        <v>486</v>
      </c>
    </row>
    <row r="181" spans="1:6" hidden="1" x14ac:dyDescent="0.3">
      <c r="A181" t="str">
        <f>VLOOKUP(Tabela5[[#This Row],[Médico]],Equipe!A:C,3,0)</f>
        <v>Sócio</v>
      </c>
      <c r="B181" t="s">
        <v>32</v>
      </c>
      <c r="C181" t="s">
        <v>465</v>
      </c>
      <c r="D181" s="1">
        <v>45191</v>
      </c>
      <c r="E181" s="1">
        <v>45192</v>
      </c>
      <c r="F181" t="s">
        <v>486</v>
      </c>
    </row>
    <row r="182" spans="1:6" hidden="1" x14ac:dyDescent="0.3">
      <c r="A182" t="str">
        <f>VLOOKUP(Tabela5[[#This Row],[Médico]],Equipe!A:C,3,0)</f>
        <v>Sócio</v>
      </c>
      <c r="B182" t="s">
        <v>75</v>
      </c>
      <c r="C182" t="s">
        <v>465</v>
      </c>
      <c r="D182" s="1">
        <v>45191</v>
      </c>
      <c r="E182" s="1">
        <v>45192</v>
      </c>
      <c r="F182" t="s">
        <v>486</v>
      </c>
    </row>
    <row r="183" spans="1:6" hidden="1" x14ac:dyDescent="0.3">
      <c r="A183" t="str">
        <f>VLOOKUP(Tabela5[[#This Row],[Médico]],Equipe!A:C,3,0)</f>
        <v>Sócio</v>
      </c>
      <c r="B183" t="s">
        <v>16</v>
      </c>
      <c r="C183" t="s">
        <v>465</v>
      </c>
      <c r="D183" s="1">
        <v>45191</v>
      </c>
      <c r="E183" s="1">
        <v>45192</v>
      </c>
      <c r="F183" t="s">
        <v>486</v>
      </c>
    </row>
    <row r="184" spans="1:6" hidden="1" x14ac:dyDescent="0.3">
      <c r="A184" t="str">
        <f>VLOOKUP(Tabela5[[#This Row],[Médico]],Equipe!A:C,3,0)</f>
        <v>Sócio</v>
      </c>
      <c r="B184" t="s">
        <v>14</v>
      </c>
      <c r="C184" t="s">
        <v>465</v>
      </c>
      <c r="D184" s="1">
        <v>45191</v>
      </c>
      <c r="E184" s="1">
        <v>45192</v>
      </c>
      <c r="F184" t="s">
        <v>486</v>
      </c>
    </row>
    <row r="185" spans="1:6" hidden="1" x14ac:dyDescent="0.3">
      <c r="A185" t="str">
        <f>VLOOKUP(Tabela5[[#This Row],[Médico]],Equipe!A:C,3,0)</f>
        <v>Sócio</v>
      </c>
      <c r="B185" t="s">
        <v>33</v>
      </c>
      <c r="C185" t="s">
        <v>465</v>
      </c>
      <c r="D185" s="1">
        <v>45191</v>
      </c>
      <c r="E185" s="1">
        <v>45192</v>
      </c>
      <c r="F185" t="s">
        <v>486</v>
      </c>
    </row>
    <row r="186" spans="1:6" hidden="1" x14ac:dyDescent="0.3">
      <c r="A186" t="str">
        <f>VLOOKUP(Tabela5[[#This Row],[Médico]],Equipe!A:C,3,0)</f>
        <v>Sócio</v>
      </c>
      <c r="B186" t="s">
        <v>66</v>
      </c>
      <c r="C186" t="s">
        <v>465</v>
      </c>
      <c r="D186" s="1">
        <v>45191</v>
      </c>
      <c r="E186" s="1">
        <v>45191</v>
      </c>
      <c r="F186" t="s">
        <v>486</v>
      </c>
    </row>
    <row r="187" spans="1:6" hidden="1" x14ac:dyDescent="0.3">
      <c r="A187" t="str">
        <f>VLOOKUP(Tabela5[[#This Row],[Médico]],Equipe!A:C,3,0)</f>
        <v>Sócio</v>
      </c>
      <c r="B187" t="s">
        <v>50</v>
      </c>
      <c r="C187" t="s">
        <v>465</v>
      </c>
      <c r="D187" s="1">
        <v>45192</v>
      </c>
      <c r="E187" s="1">
        <v>45192</v>
      </c>
      <c r="F187" t="s">
        <v>486</v>
      </c>
    </row>
    <row r="188" spans="1:6" hidden="1" x14ac:dyDescent="0.3">
      <c r="A188" t="str">
        <f>VLOOKUP(Tabela5[[#This Row],[Médico]],Equipe!A:C,3,0)</f>
        <v>Sócio</v>
      </c>
      <c r="B188" t="s">
        <v>84</v>
      </c>
      <c r="C188" t="s">
        <v>465</v>
      </c>
      <c r="D188" s="1">
        <v>45192</v>
      </c>
      <c r="E188" s="1">
        <v>45192</v>
      </c>
      <c r="F188" t="s">
        <v>486</v>
      </c>
    </row>
    <row r="189" spans="1:6" hidden="1" x14ac:dyDescent="0.3">
      <c r="A189" t="str">
        <f>VLOOKUP(Tabela5[[#This Row],[Médico]],Equipe!A:C,3,0)</f>
        <v>Sócio</v>
      </c>
      <c r="B189" t="s">
        <v>73</v>
      </c>
      <c r="C189" t="s">
        <v>465</v>
      </c>
      <c r="D189" s="1">
        <v>45192</v>
      </c>
      <c r="E189" s="1">
        <v>45192</v>
      </c>
      <c r="F189" t="s">
        <v>486</v>
      </c>
    </row>
    <row r="190" spans="1:6" hidden="1" x14ac:dyDescent="0.3">
      <c r="A190" t="str">
        <f>VLOOKUP(Tabela5[[#This Row],[Médico]],Equipe!A:C,3,0)</f>
        <v>Sócio</v>
      </c>
      <c r="B190" t="s">
        <v>23</v>
      </c>
      <c r="C190" t="s">
        <v>465</v>
      </c>
      <c r="D190" s="1">
        <v>45192</v>
      </c>
      <c r="E190" s="1">
        <v>45192</v>
      </c>
      <c r="F190" t="s">
        <v>486</v>
      </c>
    </row>
    <row r="191" spans="1:6" x14ac:dyDescent="0.3">
      <c r="A191" t="str">
        <f>VLOOKUP(Tabela5[[#This Row],[Médico]],Equipe!A:C,3,0)</f>
        <v>Sócio</v>
      </c>
      <c r="B191" t="s">
        <v>34</v>
      </c>
      <c r="C191" t="s">
        <v>465</v>
      </c>
      <c r="D191" s="1">
        <v>45192</v>
      </c>
      <c r="E191" s="1">
        <v>45192</v>
      </c>
      <c r="F191" t="s">
        <v>486</v>
      </c>
    </row>
    <row r="192" spans="1:6" hidden="1" x14ac:dyDescent="0.3">
      <c r="A192" t="str">
        <f>VLOOKUP(Tabela5[[#This Row],[Médico]],Equipe!A:C,3,0)</f>
        <v>Sócio</v>
      </c>
      <c r="B192" t="s">
        <v>47</v>
      </c>
      <c r="C192" t="s">
        <v>465</v>
      </c>
      <c r="D192" s="1">
        <v>45192</v>
      </c>
      <c r="E192" s="1">
        <v>45192</v>
      </c>
      <c r="F192" t="s">
        <v>486</v>
      </c>
    </row>
    <row r="193" spans="1:6" hidden="1" x14ac:dyDescent="0.3">
      <c r="A193" t="s">
        <v>478</v>
      </c>
      <c r="B193" t="s">
        <v>23</v>
      </c>
      <c r="C193" t="s">
        <v>465</v>
      </c>
      <c r="D193" s="1">
        <v>45218</v>
      </c>
      <c r="E193" s="1">
        <v>45218</v>
      </c>
      <c r="F193" t="s">
        <v>637</v>
      </c>
    </row>
    <row r="194" spans="1:6" hidden="1" x14ac:dyDescent="0.3">
      <c r="A194" t="s">
        <v>477</v>
      </c>
      <c r="B194" t="s">
        <v>62</v>
      </c>
      <c r="C194" t="s">
        <v>464</v>
      </c>
      <c r="D194" s="1">
        <v>45200</v>
      </c>
      <c r="E194" s="1">
        <v>45214</v>
      </c>
    </row>
    <row r="195" spans="1:6" hidden="1" x14ac:dyDescent="0.3">
      <c r="A195" t="s">
        <v>479</v>
      </c>
      <c r="B195" t="s">
        <v>42</v>
      </c>
      <c r="C195" t="s">
        <v>464</v>
      </c>
      <c r="D195" s="1">
        <v>45200</v>
      </c>
      <c r="E195" s="1">
        <v>45214</v>
      </c>
    </row>
    <row r="196" spans="1:6" hidden="1" x14ac:dyDescent="0.3">
      <c r="A196" t="s">
        <v>479</v>
      </c>
      <c r="B196" t="s">
        <v>97</v>
      </c>
      <c r="C196" t="s">
        <v>464</v>
      </c>
      <c r="D196" s="1">
        <v>45200</v>
      </c>
      <c r="E196" s="1">
        <v>45214</v>
      </c>
    </row>
    <row r="197" spans="1:6" hidden="1" x14ac:dyDescent="0.3">
      <c r="A197" t="str">
        <f>VLOOKUP(Tabela5[[#This Row],[Médico]],Equipe!A:C,3,0)</f>
        <v>Sócio</v>
      </c>
      <c r="B197" t="s">
        <v>12</v>
      </c>
      <c r="C197" t="s">
        <v>464</v>
      </c>
      <c r="D197" s="1">
        <v>45264</v>
      </c>
      <c r="E197" s="1">
        <v>45269</v>
      </c>
    </row>
    <row r="198" spans="1:6" x14ac:dyDescent="0.3">
      <c r="A198" t="str">
        <f>VLOOKUP(Tabela5[[#This Row],[Médico]],Equipe!A:C,3,0)</f>
        <v>Sócio</v>
      </c>
      <c r="B198" t="s">
        <v>34</v>
      </c>
      <c r="C198" t="s">
        <v>465</v>
      </c>
      <c r="D198" s="1">
        <v>45219</v>
      </c>
      <c r="E198" s="1">
        <v>45222</v>
      </c>
      <c r="F198" t="s">
        <v>684</v>
      </c>
    </row>
    <row r="199" spans="1:6" hidden="1" x14ac:dyDescent="0.3">
      <c r="A199" t="str">
        <f>VLOOKUP(Tabela5[[#This Row],[Médico]],Equipe!A:C,3,0)</f>
        <v>Sócio</v>
      </c>
      <c r="B199" t="s">
        <v>47</v>
      </c>
      <c r="C199" t="s">
        <v>464</v>
      </c>
      <c r="D199" s="1">
        <v>45229</v>
      </c>
      <c r="E199" s="1">
        <v>45233</v>
      </c>
    </row>
    <row r="200" spans="1:6" hidden="1" x14ac:dyDescent="0.3">
      <c r="A200" t="str">
        <f>VLOOKUP(Tabela5[[#This Row],[Médico]],Equipe!A:C,3,0)</f>
        <v>Sócio</v>
      </c>
      <c r="B200" t="s">
        <v>17</v>
      </c>
      <c r="C200" t="s">
        <v>464</v>
      </c>
      <c r="D200" s="1">
        <v>45236</v>
      </c>
      <c r="E200" s="1">
        <v>45242</v>
      </c>
    </row>
    <row r="201" spans="1:6" hidden="1" x14ac:dyDescent="0.3">
      <c r="A201" t="s">
        <v>477</v>
      </c>
      <c r="B201" t="s">
        <v>60</v>
      </c>
      <c r="C201" t="s">
        <v>464</v>
      </c>
      <c r="D201" s="1">
        <v>45215</v>
      </c>
      <c r="E201" s="1">
        <v>45230</v>
      </c>
    </row>
    <row r="202" spans="1:6" hidden="1" x14ac:dyDescent="0.3">
      <c r="A202" t="s">
        <v>479</v>
      </c>
      <c r="B202" t="s">
        <v>109</v>
      </c>
      <c r="C202" t="s">
        <v>464</v>
      </c>
      <c r="D202" s="1">
        <v>45215</v>
      </c>
      <c r="E202" s="1">
        <v>45230</v>
      </c>
    </row>
    <row r="203" spans="1:6" hidden="1" x14ac:dyDescent="0.3">
      <c r="A203" t="s">
        <v>481</v>
      </c>
      <c r="B203" t="s">
        <v>79</v>
      </c>
      <c r="C203" t="s">
        <v>464</v>
      </c>
      <c r="D203" s="1">
        <v>45215</v>
      </c>
      <c r="E203" s="1">
        <v>45230</v>
      </c>
    </row>
    <row r="204" spans="1:6" hidden="1" x14ac:dyDescent="0.3">
      <c r="A204" t="s">
        <v>479</v>
      </c>
      <c r="B204" t="s">
        <v>112</v>
      </c>
      <c r="C204" t="s">
        <v>464</v>
      </c>
      <c r="D204" s="1">
        <v>45215</v>
      </c>
      <c r="E204" s="1">
        <v>45230</v>
      </c>
    </row>
    <row r="205" spans="1:6" hidden="1" x14ac:dyDescent="0.3">
      <c r="D205" s="1"/>
      <c r="E205" s="1"/>
    </row>
  </sheetData>
  <protectedRanges>
    <protectedRange sqref="B122:E198 B200:E646" name="Ferias"/>
    <protectedRange sqref="B2:E121 B199:E199" name="Ferias_1"/>
  </protectedRanges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A131:A13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F5050B-1698-4701-88C0-9D7519400FC0}">
          <x14:formula1>
            <xm:f>Equipe!$A$2:$A$127</xm:f>
          </x14:formula1>
          <xm:sqref>B2:B666 C206:C666</xm:sqref>
        </x14:dataValidation>
        <x14:dataValidation type="list" allowBlank="1" showInputMessage="1" showErrorMessage="1" xr:uid="{E5C9CA9B-1913-4D92-B522-890940F8289E}">
          <x14:formula1>
            <xm:f>Opções!$C$2:$C$6</xm:f>
          </x14:formula1>
          <xm:sqref>C2:C205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FF75A-5115-4746-9A4D-9DDEDB0A77F9}">
  <sheetPr codeName="Planilha7"/>
  <dimension ref="A1:H24"/>
  <sheetViews>
    <sheetView showGridLines="0" workbookViewId="0">
      <selection activeCell="B33" sqref="B33"/>
    </sheetView>
  </sheetViews>
  <sheetFormatPr defaultColWidth="0" defaultRowHeight="14.4" x14ac:dyDescent="0.3"/>
  <cols>
    <col min="1" max="1" width="11.44140625" customWidth="1"/>
    <col min="2" max="2" width="9.5546875" customWidth="1"/>
    <col min="3" max="3" width="15.44140625" bestFit="1" customWidth="1"/>
    <col min="4" max="8" width="0" hidden="1" customWidth="1"/>
    <col min="9" max="16384" width="9.44140625" hidden="1"/>
  </cols>
  <sheetData>
    <row r="1" spans="1:8" x14ac:dyDescent="0.3">
      <c r="A1" s="6" t="s">
        <v>0</v>
      </c>
      <c r="B1" s="6" t="s">
        <v>1</v>
      </c>
      <c r="C1" s="6" t="s">
        <v>2</v>
      </c>
    </row>
    <row r="2" spans="1:8" x14ac:dyDescent="0.3">
      <c r="A2" s="1">
        <v>45054</v>
      </c>
      <c r="B2" t="s">
        <v>487</v>
      </c>
      <c r="C2" t="s">
        <v>455</v>
      </c>
      <c r="G2" s="2"/>
      <c r="H2" s="2"/>
    </row>
    <row r="3" spans="1:8" x14ac:dyDescent="0.3">
      <c r="A3" s="17">
        <v>45069</v>
      </c>
      <c r="B3" s="13" t="s">
        <v>64</v>
      </c>
      <c r="C3" s="13" t="s">
        <v>460</v>
      </c>
    </row>
    <row r="4" spans="1:8" x14ac:dyDescent="0.3">
      <c r="A4" s="1">
        <v>45084</v>
      </c>
      <c r="B4" t="s">
        <v>25</v>
      </c>
      <c r="C4" t="s">
        <v>455</v>
      </c>
    </row>
    <row r="5" spans="1:8" x14ac:dyDescent="0.3">
      <c r="A5" s="1">
        <v>45133</v>
      </c>
      <c r="B5" t="s">
        <v>249</v>
      </c>
      <c r="C5" t="s">
        <v>455</v>
      </c>
    </row>
    <row r="6" spans="1:8" x14ac:dyDescent="0.3">
      <c r="A6" s="1">
        <v>45142</v>
      </c>
      <c r="B6" t="s">
        <v>44</v>
      </c>
      <c r="C6" t="s">
        <v>460</v>
      </c>
    </row>
    <row r="7" spans="1:8" x14ac:dyDescent="0.3">
      <c r="A7" s="1">
        <v>45139</v>
      </c>
      <c r="B7" t="s">
        <v>214</v>
      </c>
      <c r="C7" t="s">
        <v>455</v>
      </c>
    </row>
    <row r="8" spans="1:8" x14ac:dyDescent="0.3">
      <c r="A8" s="1">
        <v>45145</v>
      </c>
      <c r="B8" t="s">
        <v>23</v>
      </c>
      <c r="C8" t="s">
        <v>53</v>
      </c>
    </row>
    <row r="9" spans="1:8" x14ac:dyDescent="0.3">
      <c r="A9" s="1">
        <v>45152</v>
      </c>
      <c r="B9" t="s">
        <v>23</v>
      </c>
      <c r="C9" t="s">
        <v>53</v>
      </c>
    </row>
    <row r="10" spans="1:8" x14ac:dyDescent="0.3">
      <c r="A10" s="1">
        <v>45163</v>
      </c>
      <c r="B10" t="s">
        <v>20</v>
      </c>
      <c r="C10" t="s">
        <v>455</v>
      </c>
    </row>
    <row r="11" spans="1:8" x14ac:dyDescent="0.3">
      <c r="A11" s="1">
        <v>45240</v>
      </c>
      <c r="B11" t="s">
        <v>44</v>
      </c>
      <c r="C11" t="s">
        <v>460</v>
      </c>
    </row>
    <row r="12" spans="1:8" x14ac:dyDescent="0.3">
      <c r="A12" s="1">
        <v>45240</v>
      </c>
      <c r="B12" t="s">
        <v>64</v>
      </c>
      <c r="C12" t="s">
        <v>460</v>
      </c>
    </row>
    <row r="13" spans="1:8" x14ac:dyDescent="0.3">
      <c r="A13" s="1">
        <v>45239</v>
      </c>
      <c r="B13" t="s">
        <v>48</v>
      </c>
      <c r="C13" t="s">
        <v>455</v>
      </c>
    </row>
    <row r="14" spans="1:8" x14ac:dyDescent="0.3">
      <c r="A14" s="1">
        <v>45167</v>
      </c>
      <c r="B14" t="s">
        <v>214</v>
      </c>
      <c r="C14" t="s">
        <v>455</v>
      </c>
    </row>
    <row r="15" spans="1:8" x14ac:dyDescent="0.3">
      <c r="A15" s="1">
        <v>45174</v>
      </c>
      <c r="B15" t="s">
        <v>20</v>
      </c>
      <c r="C15" t="s">
        <v>463</v>
      </c>
    </row>
    <row r="16" spans="1:8" x14ac:dyDescent="0.3">
      <c r="A16" s="1">
        <v>45174</v>
      </c>
      <c r="B16" t="s">
        <v>23</v>
      </c>
      <c r="C16" t="s">
        <v>463</v>
      </c>
    </row>
    <row r="17" spans="1:3" x14ac:dyDescent="0.3">
      <c r="A17" s="1">
        <v>45174</v>
      </c>
      <c r="B17" t="s">
        <v>12</v>
      </c>
      <c r="C17" t="s">
        <v>463</v>
      </c>
    </row>
    <row r="18" spans="1:3" x14ac:dyDescent="0.3">
      <c r="A18" s="1">
        <v>45174</v>
      </c>
      <c r="B18" t="s">
        <v>73</v>
      </c>
      <c r="C18" t="s">
        <v>463</v>
      </c>
    </row>
    <row r="19" spans="1:3" x14ac:dyDescent="0.3">
      <c r="A19" s="1">
        <v>45174</v>
      </c>
      <c r="B19" t="s">
        <v>50</v>
      </c>
      <c r="C19" t="s">
        <v>463</v>
      </c>
    </row>
    <row r="20" spans="1:3" x14ac:dyDescent="0.3">
      <c r="A20" s="1">
        <v>45174</v>
      </c>
      <c r="B20" t="s">
        <v>47</v>
      </c>
      <c r="C20" t="s">
        <v>463</v>
      </c>
    </row>
    <row r="21" spans="1:3" x14ac:dyDescent="0.3">
      <c r="A21" s="1">
        <v>45174</v>
      </c>
      <c r="B21" t="s">
        <v>29</v>
      </c>
      <c r="C21" t="s">
        <v>463</v>
      </c>
    </row>
    <row r="22" spans="1:3" x14ac:dyDescent="0.3">
      <c r="A22" s="1">
        <v>45201</v>
      </c>
      <c r="B22" t="s">
        <v>20</v>
      </c>
      <c r="C22" t="s">
        <v>455</v>
      </c>
    </row>
    <row r="23" spans="1:3" x14ac:dyDescent="0.3">
      <c r="A23" s="1">
        <v>45223</v>
      </c>
      <c r="B23" t="s">
        <v>214</v>
      </c>
      <c r="C23" t="s">
        <v>455</v>
      </c>
    </row>
    <row r="24" spans="1:3" x14ac:dyDescent="0.3">
      <c r="A24" s="1">
        <v>45204</v>
      </c>
      <c r="B24" t="s">
        <v>47</v>
      </c>
      <c r="C24" t="s">
        <v>24</v>
      </c>
    </row>
  </sheetData>
  <protectedRanges>
    <protectedRange sqref="A2:C666" name="IgnorarFixo"/>
  </protectedRange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92D52B6-47EE-4A78-A4D7-153A74DA16C2}">
          <x14:formula1>
            <xm:f>Opções!$F$2:$F$8</xm:f>
          </x14:formula1>
          <xm:sqref>D2</xm:sqref>
        </x14:dataValidation>
        <x14:dataValidation type="list" allowBlank="1" showInputMessage="1" showErrorMessage="1" xr:uid="{39E06573-7085-4915-A5D6-ACF2307D2D36}">
          <x14:formula1>
            <xm:f>Opções!$D$2:$D$22</xm:f>
          </x14:formula1>
          <xm:sqref>G2:H2</xm:sqref>
        </x14:dataValidation>
        <x14:dataValidation type="list" allowBlank="1" showInputMessage="1" showErrorMessage="1" xr:uid="{91FC5B69-1B75-4BCC-BB14-F9E6FB2928DA}">
          <x14:formula1>
            <xm:f>Opções!$A$2:$A$42</xm:f>
          </x14:formula1>
          <xm:sqref>F2</xm:sqref>
        </x14:dataValidation>
        <x14:dataValidation type="list" allowBlank="1" showInputMessage="1" showErrorMessage="1" xr:uid="{FD4E49B2-8FC7-49B4-8891-437A2EFB3E50}">
          <x14:formula1>
            <xm:f>Opções!$B$2:$B$7</xm:f>
          </x14:formula1>
          <xm:sqref>C2:C9718</xm:sqref>
        </x14:dataValidation>
        <x14:dataValidation type="list" allowBlank="1" showInputMessage="1" showErrorMessage="1" xr:uid="{C1D98F45-FBBF-4116-8CA1-196078270F68}">
          <x14:formula1>
            <xm:f>Equipe!$A$2:$A$100</xm:f>
          </x14:formula1>
          <xm:sqref>E2 B2:B1647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1714-2C63-41BD-8DAD-8FBFC7FC5E4E}">
  <sheetPr codeName="Planilha3"/>
  <dimension ref="A1:C60"/>
  <sheetViews>
    <sheetView showGridLines="0" workbookViewId="0">
      <pane ySplit="1" topLeftCell="A2" activePane="bottomLeft" state="frozen"/>
      <selection pane="bottomLeft" activeCell="A2" sqref="A2:A36"/>
    </sheetView>
  </sheetViews>
  <sheetFormatPr defaultColWidth="0" defaultRowHeight="14.4" x14ac:dyDescent="0.3"/>
  <cols>
    <col min="1" max="1" width="9.44140625" customWidth="1"/>
    <col min="2" max="2" width="33.5546875" bestFit="1" customWidth="1"/>
    <col min="3" max="3" width="9.44140625" customWidth="1"/>
    <col min="4" max="16384" width="9.44140625" hidden="1"/>
  </cols>
  <sheetData>
    <row r="1" spans="1:3" x14ac:dyDescent="0.3">
      <c r="A1" s="22" t="s">
        <v>488</v>
      </c>
      <c r="B1" s="22" t="s">
        <v>489</v>
      </c>
      <c r="C1" s="22" t="s">
        <v>448</v>
      </c>
    </row>
    <row r="2" spans="1:3" x14ac:dyDescent="0.3">
      <c r="A2" t="s">
        <v>25</v>
      </c>
      <c r="B2" t="s">
        <v>490</v>
      </c>
      <c r="C2" t="s">
        <v>478</v>
      </c>
    </row>
    <row r="3" spans="1:3" x14ac:dyDescent="0.3">
      <c r="A3" t="s">
        <v>20</v>
      </c>
      <c r="B3" t="s">
        <v>491</v>
      </c>
      <c r="C3" t="s">
        <v>478</v>
      </c>
    </row>
    <row r="4" spans="1:3" x14ac:dyDescent="0.3">
      <c r="A4" t="s">
        <v>7</v>
      </c>
      <c r="B4" t="s">
        <v>492</v>
      </c>
      <c r="C4" t="s">
        <v>478</v>
      </c>
    </row>
    <row r="5" spans="1:3" x14ac:dyDescent="0.3">
      <c r="A5" t="s">
        <v>14</v>
      </c>
      <c r="B5" t="s">
        <v>493</v>
      </c>
      <c r="C5" t="s">
        <v>478</v>
      </c>
    </row>
    <row r="6" spans="1:3" x14ac:dyDescent="0.3">
      <c r="A6" t="s">
        <v>16</v>
      </c>
      <c r="B6" t="s">
        <v>494</v>
      </c>
      <c r="C6" t="s">
        <v>478</v>
      </c>
    </row>
    <row r="7" spans="1:3" x14ac:dyDescent="0.3">
      <c r="A7" t="s">
        <v>23</v>
      </c>
      <c r="B7" t="s">
        <v>495</v>
      </c>
      <c r="C7" t="s">
        <v>478</v>
      </c>
    </row>
    <row r="8" spans="1:3" x14ac:dyDescent="0.3">
      <c r="A8" t="s">
        <v>21</v>
      </c>
      <c r="B8" t="s">
        <v>496</v>
      </c>
      <c r="C8" t="s">
        <v>478</v>
      </c>
    </row>
    <row r="9" spans="1:3" x14ac:dyDescent="0.3">
      <c r="A9" t="s">
        <v>12</v>
      </c>
      <c r="B9" t="s">
        <v>497</v>
      </c>
      <c r="C9" t="s">
        <v>478</v>
      </c>
    </row>
    <row r="10" spans="1:3" x14ac:dyDescent="0.3">
      <c r="A10" t="s">
        <v>73</v>
      </c>
      <c r="B10" t="s">
        <v>498</v>
      </c>
      <c r="C10" t="s">
        <v>478</v>
      </c>
    </row>
    <row r="11" spans="1:3" x14ac:dyDescent="0.3">
      <c r="A11" t="s">
        <v>17</v>
      </c>
      <c r="B11" t="s">
        <v>499</v>
      </c>
      <c r="C11" t="s">
        <v>478</v>
      </c>
    </row>
    <row r="12" spans="1:3" x14ac:dyDescent="0.3">
      <c r="A12" t="s">
        <v>142</v>
      </c>
      <c r="B12" t="s">
        <v>500</v>
      </c>
      <c r="C12" t="s">
        <v>478</v>
      </c>
    </row>
    <row r="13" spans="1:3" x14ac:dyDescent="0.3">
      <c r="A13" t="s">
        <v>84</v>
      </c>
      <c r="B13" t="s">
        <v>501</v>
      </c>
      <c r="C13" t="s">
        <v>478</v>
      </c>
    </row>
    <row r="14" spans="1:3" x14ac:dyDescent="0.3">
      <c r="A14" t="s">
        <v>50</v>
      </c>
      <c r="B14" t="s">
        <v>502</v>
      </c>
      <c r="C14" t="s">
        <v>478</v>
      </c>
    </row>
    <row r="15" spans="1:3" x14ac:dyDescent="0.3">
      <c r="A15" t="s">
        <v>64</v>
      </c>
      <c r="B15" t="s">
        <v>503</v>
      </c>
      <c r="C15" t="s">
        <v>478</v>
      </c>
    </row>
    <row r="16" spans="1:3" x14ac:dyDescent="0.3">
      <c r="A16" t="s">
        <v>33</v>
      </c>
      <c r="B16" t="s">
        <v>504</v>
      </c>
      <c r="C16" t="s">
        <v>478</v>
      </c>
    </row>
    <row r="17" spans="1:3" x14ac:dyDescent="0.3">
      <c r="A17" t="s">
        <v>32</v>
      </c>
      <c r="B17" t="s">
        <v>505</v>
      </c>
      <c r="C17" t="s">
        <v>478</v>
      </c>
    </row>
    <row r="18" spans="1:3" x14ac:dyDescent="0.3">
      <c r="A18" t="s">
        <v>85</v>
      </c>
      <c r="B18" t="s">
        <v>506</v>
      </c>
      <c r="C18" t="s">
        <v>478</v>
      </c>
    </row>
    <row r="19" spans="1:3" x14ac:dyDescent="0.3">
      <c r="A19" t="s">
        <v>75</v>
      </c>
      <c r="B19" t="s">
        <v>507</v>
      </c>
      <c r="C19" t="s">
        <v>478</v>
      </c>
    </row>
    <row r="20" spans="1:3" x14ac:dyDescent="0.3">
      <c r="A20" t="s">
        <v>48</v>
      </c>
      <c r="B20" t="s">
        <v>508</v>
      </c>
      <c r="C20" t="s">
        <v>478</v>
      </c>
    </row>
    <row r="21" spans="1:3" x14ac:dyDescent="0.3">
      <c r="A21" t="s">
        <v>47</v>
      </c>
      <c r="B21" t="s">
        <v>509</v>
      </c>
      <c r="C21" t="s">
        <v>478</v>
      </c>
    </row>
    <row r="22" spans="1:3" x14ac:dyDescent="0.3">
      <c r="A22" t="s">
        <v>29</v>
      </c>
      <c r="B22" t="s">
        <v>510</v>
      </c>
      <c r="C22" t="s">
        <v>478</v>
      </c>
    </row>
    <row r="23" spans="1:3" x14ac:dyDescent="0.3">
      <c r="A23" t="s">
        <v>37</v>
      </c>
      <c r="B23" t="s">
        <v>511</v>
      </c>
      <c r="C23" t="s">
        <v>478</v>
      </c>
    </row>
    <row r="24" spans="1:3" x14ac:dyDescent="0.3">
      <c r="A24" t="s">
        <v>44</v>
      </c>
      <c r="B24" t="s">
        <v>512</v>
      </c>
      <c r="C24" t="s">
        <v>478</v>
      </c>
    </row>
    <row r="25" spans="1:3" x14ac:dyDescent="0.3">
      <c r="A25" t="s">
        <v>34</v>
      </c>
      <c r="B25" t="s">
        <v>513</v>
      </c>
      <c r="C25" t="s">
        <v>478</v>
      </c>
    </row>
    <row r="26" spans="1:3" x14ac:dyDescent="0.3">
      <c r="A26" t="s">
        <v>68</v>
      </c>
      <c r="B26" t="s">
        <v>514</v>
      </c>
      <c r="C26" t="s">
        <v>478</v>
      </c>
    </row>
    <row r="27" spans="1:3" x14ac:dyDescent="0.3">
      <c r="A27" t="s">
        <v>72</v>
      </c>
      <c r="B27" t="s">
        <v>515</v>
      </c>
      <c r="C27" t="s">
        <v>478</v>
      </c>
    </row>
    <row r="28" spans="1:3" x14ac:dyDescent="0.3">
      <c r="A28" t="s">
        <v>63</v>
      </c>
      <c r="B28" t="s">
        <v>516</v>
      </c>
      <c r="C28" t="s">
        <v>478</v>
      </c>
    </row>
    <row r="29" spans="1:3" x14ac:dyDescent="0.3">
      <c r="A29" t="s">
        <v>66</v>
      </c>
      <c r="B29" t="s">
        <v>517</v>
      </c>
      <c r="C29" t="s">
        <v>478</v>
      </c>
    </row>
    <row r="30" spans="1:3" x14ac:dyDescent="0.3">
      <c r="A30" t="s">
        <v>333</v>
      </c>
      <c r="B30" t="s">
        <v>518</v>
      </c>
      <c r="C30" t="s">
        <v>478</v>
      </c>
    </row>
    <row r="31" spans="1:3" x14ac:dyDescent="0.3">
      <c r="A31" t="s">
        <v>71</v>
      </c>
      <c r="B31" t="s">
        <v>519</v>
      </c>
      <c r="C31" t="s">
        <v>478</v>
      </c>
    </row>
    <row r="32" spans="1:3" x14ac:dyDescent="0.3">
      <c r="A32" t="s">
        <v>283</v>
      </c>
      <c r="B32" t="s">
        <v>520</v>
      </c>
      <c r="C32" t="s">
        <v>478</v>
      </c>
    </row>
    <row r="33" spans="1:3" x14ac:dyDescent="0.3">
      <c r="A33" t="s">
        <v>52</v>
      </c>
      <c r="B33" t="s">
        <v>521</v>
      </c>
      <c r="C33" t="s">
        <v>478</v>
      </c>
    </row>
    <row r="34" spans="1:3" x14ac:dyDescent="0.3">
      <c r="A34" t="s">
        <v>214</v>
      </c>
      <c r="B34" t="s">
        <v>522</v>
      </c>
      <c r="C34" t="s">
        <v>478</v>
      </c>
    </row>
    <row r="35" spans="1:3" x14ac:dyDescent="0.3">
      <c r="A35" t="s">
        <v>94</v>
      </c>
      <c r="B35" t="s">
        <v>523</v>
      </c>
      <c r="C35" t="s">
        <v>478</v>
      </c>
    </row>
    <row r="36" spans="1:3" x14ac:dyDescent="0.3">
      <c r="A36" t="s">
        <v>249</v>
      </c>
      <c r="B36" t="s">
        <v>524</v>
      </c>
      <c r="C36" t="s">
        <v>478</v>
      </c>
    </row>
    <row r="37" spans="1:3" x14ac:dyDescent="0.3">
      <c r="A37" t="s">
        <v>149</v>
      </c>
      <c r="B37" t="s">
        <v>525</v>
      </c>
      <c r="C37" t="s">
        <v>477</v>
      </c>
    </row>
    <row r="38" spans="1:3" x14ac:dyDescent="0.3">
      <c r="A38" t="s">
        <v>80</v>
      </c>
      <c r="B38" t="s">
        <v>526</v>
      </c>
      <c r="C38" t="s">
        <v>477</v>
      </c>
    </row>
    <row r="39" spans="1:3" x14ac:dyDescent="0.3">
      <c r="A39" t="s">
        <v>83</v>
      </c>
      <c r="B39" t="s">
        <v>527</v>
      </c>
      <c r="C39" t="s">
        <v>477</v>
      </c>
    </row>
    <row r="40" spans="1:3" x14ac:dyDescent="0.3">
      <c r="A40" t="s">
        <v>96</v>
      </c>
      <c r="B40" t="s">
        <v>528</v>
      </c>
      <c r="C40" t="s">
        <v>477</v>
      </c>
    </row>
    <row r="41" spans="1:3" x14ac:dyDescent="0.3">
      <c r="A41" t="s">
        <v>57</v>
      </c>
      <c r="B41" t="s">
        <v>529</v>
      </c>
      <c r="C41" t="s">
        <v>477</v>
      </c>
    </row>
    <row r="42" spans="1:3" x14ac:dyDescent="0.3">
      <c r="A42" t="s">
        <v>59</v>
      </c>
      <c r="B42" t="s">
        <v>530</v>
      </c>
      <c r="C42" t="s">
        <v>477</v>
      </c>
    </row>
    <row r="43" spans="1:3" x14ac:dyDescent="0.3">
      <c r="A43" t="s">
        <v>60</v>
      </c>
      <c r="B43" t="s">
        <v>531</v>
      </c>
      <c r="C43" t="s">
        <v>477</v>
      </c>
    </row>
    <row r="44" spans="1:3" x14ac:dyDescent="0.3">
      <c r="A44" t="s">
        <v>61</v>
      </c>
      <c r="B44" t="s">
        <v>532</v>
      </c>
      <c r="C44" t="s">
        <v>477</v>
      </c>
    </row>
    <row r="45" spans="1:3" x14ac:dyDescent="0.3">
      <c r="A45" t="s">
        <v>62</v>
      </c>
      <c r="B45" t="s">
        <v>533</v>
      </c>
      <c r="C45" t="s">
        <v>477</v>
      </c>
    </row>
    <row r="46" spans="1:3" x14ac:dyDescent="0.3">
      <c r="A46" t="s">
        <v>42</v>
      </c>
      <c r="B46" t="s">
        <v>534</v>
      </c>
      <c r="C46" t="s">
        <v>479</v>
      </c>
    </row>
    <row r="47" spans="1:3" x14ac:dyDescent="0.3">
      <c r="A47" t="s">
        <v>112</v>
      </c>
      <c r="B47" t="s">
        <v>535</v>
      </c>
      <c r="C47" t="s">
        <v>479</v>
      </c>
    </row>
    <row r="48" spans="1:3" x14ac:dyDescent="0.3">
      <c r="A48" t="s">
        <v>98</v>
      </c>
      <c r="B48" t="s">
        <v>536</v>
      </c>
      <c r="C48" t="s">
        <v>479</v>
      </c>
    </row>
    <row r="49" spans="1:3" x14ac:dyDescent="0.3">
      <c r="A49" t="s">
        <v>97</v>
      </c>
      <c r="B49" t="s">
        <v>537</v>
      </c>
      <c r="C49" t="s">
        <v>479</v>
      </c>
    </row>
    <row r="50" spans="1:3" x14ac:dyDescent="0.3">
      <c r="A50" t="s">
        <v>39</v>
      </c>
      <c r="B50" t="s">
        <v>538</v>
      </c>
      <c r="C50" t="s">
        <v>479</v>
      </c>
    </row>
    <row r="51" spans="1:3" x14ac:dyDescent="0.3">
      <c r="A51" t="s">
        <v>69</v>
      </c>
      <c r="B51" t="s">
        <v>539</v>
      </c>
      <c r="C51" t="s">
        <v>479</v>
      </c>
    </row>
    <row r="52" spans="1:3" x14ac:dyDescent="0.3">
      <c r="A52" t="s">
        <v>109</v>
      </c>
      <c r="B52" t="s">
        <v>540</v>
      </c>
      <c r="C52" t="s">
        <v>479</v>
      </c>
    </row>
    <row r="53" spans="1:3" x14ac:dyDescent="0.3">
      <c r="A53" t="s">
        <v>35</v>
      </c>
      <c r="B53" t="s">
        <v>541</v>
      </c>
      <c r="C53" t="s">
        <v>479</v>
      </c>
    </row>
    <row r="54" spans="1:3" x14ac:dyDescent="0.3">
      <c r="A54" t="s">
        <v>40</v>
      </c>
      <c r="B54" t="s">
        <v>542</v>
      </c>
      <c r="C54" t="s">
        <v>481</v>
      </c>
    </row>
    <row r="55" spans="1:3" x14ac:dyDescent="0.3">
      <c r="A55" t="s">
        <v>36</v>
      </c>
      <c r="B55" t="s">
        <v>543</v>
      </c>
      <c r="C55" t="s">
        <v>481</v>
      </c>
    </row>
    <row r="56" spans="1:3" x14ac:dyDescent="0.3">
      <c r="A56" t="s">
        <v>9</v>
      </c>
      <c r="B56" t="s">
        <v>544</v>
      </c>
      <c r="C56" t="s">
        <v>481</v>
      </c>
    </row>
    <row r="57" spans="1:3" x14ac:dyDescent="0.3">
      <c r="A57" t="s">
        <v>27</v>
      </c>
      <c r="B57" t="s">
        <v>545</v>
      </c>
      <c r="C57" t="s">
        <v>481</v>
      </c>
    </row>
    <row r="58" spans="1:3" x14ac:dyDescent="0.3">
      <c r="A58" t="s">
        <v>79</v>
      </c>
      <c r="B58" t="s">
        <v>546</v>
      </c>
      <c r="C58" t="s">
        <v>481</v>
      </c>
    </row>
    <row r="59" spans="1:3" x14ac:dyDescent="0.3">
      <c r="A59" t="s">
        <v>38</v>
      </c>
      <c r="B59" t="s">
        <v>547</v>
      </c>
      <c r="C59" t="s">
        <v>481</v>
      </c>
    </row>
    <row r="60" spans="1:3" x14ac:dyDescent="0.3">
      <c r="A60" t="s">
        <v>103</v>
      </c>
      <c r="B60" t="s">
        <v>548</v>
      </c>
      <c r="C60" t="s">
        <v>481</v>
      </c>
    </row>
  </sheetData>
  <phoneticPr fontId="1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BA1CD-3C8F-46D9-98C2-B618917B4D29}">
  <sheetPr codeName="Planilha4"/>
  <dimension ref="A1:I69"/>
  <sheetViews>
    <sheetView topLeftCell="A2" workbookViewId="0">
      <selection activeCell="F8" sqref="F8"/>
    </sheetView>
  </sheetViews>
  <sheetFormatPr defaultRowHeight="14.4" x14ac:dyDescent="0.3"/>
  <cols>
    <col min="1" max="1" width="21.5546875" bestFit="1" customWidth="1"/>
    <col min="2" max="3" width="20.44140625" customWidth="1"/>
    <col min="4" max="4" width="10" bestFit="1" customWidth="1"/>
    <col min="6" max="6" width="14.5546875" bestFit="1" customWidth="1"/>
    <col min="8" max="8" width="32.44140625" customWidth="1"/>
  </cols>
  <sheetData>
    <row r="1" spans="1:9" x14ac:dyDescent="0.3">
      <c r="A1" t="s">
        <v>2</v>
      </c>
      <c r="B1" t="s">
        <v>549</v>
      </c>
      <c r="C1" t="s">
        <v>550</v>
      </c>
      <c r="D1" t="s">
        <v>3</v>
      </c>
      <c r="E1" t="s">
        <v>4</v>
      </c>
      <c r="F1" t="s">
        <v>551</v>
      </c>
      <c r="G1" t="s">
        <v>552</v>
      </c>
      <c r="H1" t="s">
        <v>553</v>
      </c>
      <c r="I1" t="s">
        <v>554</v>
      </c>
    </row>
    <row r="2" spans="1:9" x14ac:dyDescent="0.3">
      <c r="A2" t="s">
        <v>13</v>
      </c>
      <c r="B2" t="s">
        <v>455</v>
      </c>
      <c r="C2" t="s">
        <v>464</v>
      </c>
      <c r="D2" s="3">
        <v>0.29166666666666669</v>
      </c>
      <c r="E2" s="3">
        <v>0.29166666666666669</v>
      </c>
      <c r="F2" t="s">
        <v>555</v>
      </c>
      <c r="G2">
        <v>1</v>
      </c>
      <c r="H2" t="s">
        <v>26</v>
      </c>
      <c r="I2" t="s">
        <v>13</v>
      </c>
    </row>
    <row r="3" spans="1:9" x14ac:dyDescent="0.3">
      <c r="A3" t="s">
        <v>15</v>
      </c>
      <c r="B3" t="s">
        <v>460</v>
      </c>
      <c r="C3" t="s">
        <v>466</v>
      </c>
      <c r="D3" s="3">
        <v>0.30208333333333331</v>
      </c>
      <c r="E3" s="3">
        <v>0.30208333333333331</v>
      </c>
      <c r="F3" t="s">
        <v>454</v>
      </c>
      <c r="G3">
        <v>2</v>
      </c>
      <c r="H3" t="s">
        <v>55</v>
      </c>
      <c r="I3" t="s">
        <v>15</v>
      </c>
    </row>
    <row r="4" spans="1:9" x14ac:dyDescent="0.3">
      <c r="A4" t="s">
        <v>8</v>
      </c>
      <c r="B4" t="s">
        <v>53</v>
      </c>
      <c r="C4" t="s">
        <v>465</v>
      </c>
      <c r="D4" s="3">
        <v>0.3125</v>
      </c>
      <c r="E4" s="3">
        <v>0.3125</v>
      </c>
      <c r="F4" t="s">
        <v>456</v>
      </c>
      <c r="G4">
        <v>3</v>
      </c>
      <c r="H4" t="s">
        <v>53</v>
      </c>
      <c r="I4" t="s">
        <v>8</v>
      </c>
    </row>
    <row r="5" spans="1:9" x14ac:dyDescent="0.3">
      <c r="A5" t="s">
        <v>78</v>
      </c>
      <c r="B5" t="s">
        <v>463</v>
      </c>
      <c r="C5" t="s">
        <v>556</v>
      </c>
      <c r="D5" s="3">
        <v>0.32291666666666702</v>
      </c>
      <c r="E5" s="3">
        <v>0.32291666666666702</v>
      </c>
      <c r="F5" t="s">
        <v>457</v>
      </c>
      <c r="G5">
        <v>4</v>
      </c>
      <c r="H5" t="s">
        <v>222</v>
      </c>
      <c r="I5" t="s">
        <v>78</v>
      </c>
    </row>
    <row r="6" spans="1:9" x14ac:dyDescent="0.3">
      <c r="A6" t="s">
        <v>30</v>
      </c>
      <c r="B6" t="s">
        <v>24</v>
      </c>
      <c r="C6" t="s">
        <v>484</v>
      </c>
      <c r="D6" s="3">
        <v>0.33333333333333298</v>
      </c>
      <c r="E6" s="3">
        <v>0.33333333333333298</v>
      </c>
      <c r="F6" t="s">
        <v>458</v>
      </c>
      <c r="G6">
        <v>5</v>
      </c>
      <c r="H6" t="s">
        <v>124</v>
      </c>
      <c r="I6" t="s">
        <v>464</v>
      </c>
    </row>
    <row r="7" spans="1:9" x14ac:dyDescent="0.3">
      <c r="A7" t="s">
        <v>22</v>
      </c>
      <c r="D7" s="3">
        <v>0.34375</v>
      </c>
      <c r="E7" s="3">
        <v>0.34375</v>
      </c>
      <c r="F7" t="s">
        <v>459</v>
      </c>
      <c r="G7">
        <v>6</v>
      </c>
      <c r="H7" t="s">
        <v>24</v>
      </c>
      <c r="I7" t="s">
        <v>30</v>
      </c>
    </row>
    <row r="8" spans="1:9" x14ac:dyDescent="0.3">
      <c r="A8" t="s">
        <v>10</v>
      </c>
      <c r="D8" s="3">
        <v>0.35416666666666602</v>
      </c>
      <c r="E8" s="3">
        <v>0.35416666666666602</v>
      </c>
      <c r="F8" t="s">
        <v>557</v>
      </c>
      <c r="G8">
        <v>7</v>
      </c>
      <c r="I8" t="s">
        <v>466</v>
      </c>
    </row>
    <row r="9" spans="1:9" x14ac:dyDescent="0.3">
      <c r="A9" t="s">
        <v>41</v>
      </c>
      <c r="D9" s="3">
        <v>0.36458333333333298</v>
      </c>
      <c r="E9" s="3">
        <v>0.36458333333333298</v>
      </c>
      <c r="I9" t="s">
        <v>465</v>
      </c>
    </row>
    <row r="10" spans="1:9" x14ac:dyDescent="0.3">
      <c r="A10" t="s">
        <v>26</v>
      </c>
      <c r="D10" s="3">
        <v>0.375</v>
      </c>
      <c r="E10" s="3">
        <v>0.375</v>
      </c>
      <c r="I10" t="s">
        <v>455</v>
      </c>
    </row>
    <row r="11" spans="1:9" x14ac:dyDescent="0.3">
      <c r="A11" t="s">
        <v>43</v>
      </c>
      <c r="D11" s="3">
        <v>0.38541666666666602</v>
      </c>
      <c r="E11" s="3">
        <v>0.38541666666666602</v>
      </c>
      <c r="I11" t="s">
        <v>22</v>
      </c>
    </row>
    <row r="12" spans="1:9" x14ac:dyDescent="0.3">
      <c r="A12" t="s">
        <v>45</v>
      </c>
      <c r="D12" s="3">
        <v>0.39583333333333298</v>
      </c>
      <c r="E12" s="3">
        <v>0.39583333333333298</v>
      </c>
      <c r="I12" t="s">
        <v>10</v>
      </c>
    </row>
    <row r="13" spans="1:9" x14ac:dyDescent="0.3">
      <c r="A13" t="s">
        <v>46</v>
      </c>
      <c r="D13" s="3">
        <v>0.40625</v>
      </c>
      <c r="E13" s="3">
        <v>0.40625</v>
      </c>
      <c r="I13" t="s">
        <v>41</v>
      </c>
    </row>
    <row r="14" spans="1:9" x14ac:dyDescent="0.3">
      <c r="A14" t="s">
        <v>18</v>
      </c>
      <c r="D14" s="3">
        <v>0.41666666666666702</v>
      </c>
      <c r="E14" s="3">
        <v>0.41666666666666702</v>
      </c>
      <c r="I14" t="s">
        <v>43</v>
      </c>
    </row>
    <row r="15" spans="1:9" x14ac:dyDescent="0.3">
      <c r="A15" t="s">
        <v>49</v>
      </c>
      <c r="D15" s="3">
        <v>0.42708333333333298</v>
      </c>
      <c r="E15" s="3">
        <v>0.42708333333333298</v>
      </c>
      <c r="I15" t="s">
        <v>45</v>
      </c>
    </row>
    <row r="16" spans="1:9" x14ac:dyDescent="0.3">
      <c r="A16" t="s">
        <v>51</v>
      </c>
      <c r="D16" s="3">
        <v>0.4375</v>
      </c>
      <c r="E16" s="3">
        <v>0.4375</v>
      </c>
      <c r="I16" t="s">
        <v>46</v>
      </c>
    </row>
    <row r="17" spans="1:9" x14ac:dyDescent="0.3">
      <c r="A17" t="s">
        <v>55</v>
      </c>
      <c r="D17" s="3">
        <v>0.44791666666666602</v>
      </c>
      <c r="E17" s="3">
        <v>0.44791666666666602</v>
      </c>
      <c r="I17" t="s">
        <v>18</v>
      </c>
    </row>
    <row r="18" spans="1:9" x14ac:dyDescent="0.3">
      <c r="A18" t="s">
        <v>53</v>
      </c>
      <c r="D18" s="3">
        <v>0.45833333333333298</v>
      </c>
      <c r="E18" s="3">
        <v>0.45833333333333298</v>
      </c>
      <c r="I18" t="s">
        <v>49</v>
      </c>
    </row>
    <row r="19" spans="1:9" x14ac:dyDescent="0.3">
      <c r="A19" t="s">
        <v>222</v>
      </c>
      <c r="D19" s="3">
        <v>0.46875</v>
      </c>
      <c r="E19" s="3">
        <v>0.46875</v>
      </c>
      <c r="I19" t="s">
        <v>51</v>
      </c>
    </row>
    <row r="20" spans="1:9" x14ac:dyDescent="0.3">
      <c r="A20" t="s">
        <v>124</v>
      </c>
      <c r="D20" s="3">
        <v>0.47916666666666602</v>
      </c>
      <c r="E20" s="3">
        <v>0.47916666666666602</v>
      </c>
    </row>
    <row r="21" spans="1:9" x14ac:dyDescent="0.3">
      <c r="A21" t="s">
        <v>24</v>
      </c>
      <c r="D21" s="3">
        <v>0.48958333333333298</v>
      </c>
      <c r="E21" s="3">
        <v>0.48958333333333298</v>
      </c>
    </row>
    <row r="22" spans="1:9" x14ac:dyDescent="0.3">
      <c r="D22" s="3">
        <v>0.5</v>
      </c>
      <c r="E22" s="3">
        <v>0.5</v>
      </c>
    </row>
    <row r="23" spans="1:9" x14ac:dyDescent="0.3">
      <c r="D23" s="3">
        <v>0.51041666666666596</v>
      </c>
      <c r="E23" s="3">
        <v>0.51041666666666596</v>
      </c>
    </row>
    <row r="24" spans="1:9" x14ac:dyDescent="0.3">
      <c r="D24" s="3">
        <v>0.52083333333333304</v>
      </c>
      <c r="E24" s="3">
        <v>0.52083333333333304</v>
      </c>
    </row>
    <row r="25" spans="1:9" x14ac:dyDescent="0.3">
      <c r="D25" s="3">
        <v>0.531249999999999</v>
      </c>
      <c r="E25" s="3">
        <v>0.531249999999999</v>
      </c>
    </row>
    <row r="26" spans="1:9" x14ac:dyDescent="0.3">
      <c r="D26" s="3">
        <v>0.54166666666666596</v>
      </c>
      <c r="E26" s="3">
        <v>0.54166666666666596</v>
      </c>
    </row>
    <row r="27" spans="1:9" x14ac:dyDescent="0.3">
      <c r="D27" s="3">
        <v>0.55208333333333304</v>
      </c>
      <c r="E27" s="3">
        <v>0.55208333333333304</v>
      </c>
    </row>
    <row r="28" spans="1:9" x14ac:dyDescent="0.3">
      <c r="D28" s="3">
        <v>0.562499999999999</v>
      </c>
      <c r="E28" s="3">
        <v>0.562499999999999</v>
      </c>
    </row>
    <row r="29" spans="1:9" x14ac:dyDescent="0.3">
      <c r="D29" s="3">
        <v>0.57291666666666596</v>
      </c>
      <c r="E29" s="3">
        <v>0.57291666666666596</v>
      </c>
    </row>
    <row r="30" spans="1:9" x14ac:dyDescent="0.3">
      <c r="D30" s="3">
        <v>0.58333333333333304</v>
      </c>
      <c r="E30" s="3">
        <v>0.58333333333333304</v>
      </c>
    </row>
    <row r="31" spans="1:9" x14ac:dyDescent="0.3">
      <c r="D31" s="3">
        <v>0.593749999999999</v>
      </c>
      <c r="E31" s="3">
        <v>0.593749999999999</v>
      </c>
    </row>
    <row r="32" spans="1:9" x14ac:dyDescent="0.3">
      <c r="D32" s="3">
        <v>0.60416666666666596</v>
      </c>
      <c r="E32" s="3">
        <v>0.60416666666666596</v>
      </c>
    </row>
    <row r="33" spans="4:5" x14ac:dyDescent="0.3">
      <c r="D33" s="3">
        <v>0.61458333333333304</v>
      </c>
      <c r="E33" s="3">
        <v>0.61458333333333304</v>
      </c>
    </row>
    <row r="34" spans="4:5" x14ac:dyDescent="0.3">
      <c r="D34" s="3">
        <v>0.624999999999999</v>
      </c>
      <c r="E34" s="3">
        <v>0.624999999999999</v>
      </c>
    </row>
    <row r="35" spans="4:5" x14ac:dyDescent="0.3">
      <c r="D35" s="3">
        <v>0.63541666666666596</v>
      </c>
      <c r="E35" s="3">
        <v>0.63541666666666596</v>
      </c>
    </row>
    <row r="36" spans="4:5" x14ac:dyDescent="0.3">
      <c r="D36" s="3">
        <v>0.64583333333333204</v>
      </c>
      <c r="E36" s="3">
        <v>0.64583333333333204</v>
      </c>
    </row>
    <row r="37" spans="4:5" x14ac:dyDescent="0.3">
      <c r="D37" s="3">
        <v>0.656249999999999</v>
      </c>
      <c r="E37" s="3">
        <v>0.656249999999999</v>
      </c>
    </row>
    <row r="38" spans="4:5" x14ac:dyDescent="0.3">
      <c r="D38" s="3">
        <v>0.66666666666666596</v>
      </c>
      <c r="E38" s="3">
        <v>0.66666666666666596</v>
      </c>
    </row>
    <row r="39" spans="4:5" x14ac:dyDescent="0.3">
      <c r="D39" s="3">
        <v>0.67708333333333204</v>
      </c>
      <c r="E39" s="3">
        <v>0.67708333333333204</v>
      </c>
    </row>
    <row r="40" spans="4:5" x14ac:dyDescent="0.3">
      <c r="D40" s="3">
        <v>0.687499999999999</v>
      </c>
      <c r="E40" s="3">
        <v>0.687499999999999</v>
      </c>
    </row>
    <row r="41" spans="4:5" x14ac:dyDescent="0.3">
      <c r="D41" s="3">
        <v>0.69791666666666596</v>
      </c>
      <c r="E41" s="3">
        <v>0.69791666666666596</v>
      </c>
    </row>
    <row r="42" spans="4:5" x14ac:dyDescent="0.3">
      <c r="D42" s="3">
        <v>0.70833333333333204</v>
      </c>
      <c r="E42" s="3">
        <v>0.70833333333333204</v>
      </c>
    </row>
    <row r="43" spans="4:5" x14ac:dyDescent="0.3">
      <c r="D43" s="3">
        <v>0.718749999999999</v>
      </c>
      <c r="E43" s="3">
        <v>0.718749999999999</v>
      </c>
    </row>
    <row r="44" spans="4:5" x14ac:dyDescent="0.3">
      <c r="D44" s="3">
        <v>0.72916666666666496</v>
      </c>
      <c r="E44" s="3">
        <v>0.72916666666666496</v>
      </c>
    </row>
    <row r="45" spans="4:5" x14ac:dyDescent="0.3">
      <c r="D45" s="3">
        <v>0.73958333333333204</v>
      </c>
      <c r="E45" s="3">
        <v>0.73958333333333204</v>
      </c>
    </row>
    <row r="46" spans="4:5" x14ac:dyDescent="0.3">
      <c r="D46" s="3">
        <v>0.749999999999999</v>
      </c>
      <c r="E46" s="3">
        <v>0.749999999999999</v>
      </c>
    </row>
    <row r="47" spans="4:5" x14ac:dyDescent="0.3">
      <c r="D47" s="3">
        <v>0.76041666666666496</v>
      </c>
      <c r="E47" s="3">
        <v>0.76041666666666496</v>
      </c>
    </row>
    <row r="48" spans="4:5" x14ac:dyDescent="0.3">
      <c r="D48" s="3">
        <v>0.77083333333333204</v>
      </c>
      <c r="E48" s="3">
        <v>0.77083333333333204</v>
      </c>
    </row>
    <row r="49" spans="4:5" x14ac:dyDescent="0.3">
      <c r="D49" s="3">
        <v>0.781249999999999</v>
      </c>
      <c r="E49" s="3">
        <v>0.781249999999999</v>
      </c>
    </row>
    <row r="50" spans="4:5" x14ac:dyDescent="0.3">
      <c r="D50" s="3">
        <v>0.79166666666666496</v>
      </c>
      <c r="E50" s="3">
        <v>0.79166666666666496</v>
      </c>
    </row>
    <row r="51" spans="4:5" x14ac:dyDescent="0.3">
      <c r="D51" s="3">
        <v>0.80208333333333204</v>
      </c>
      <c r="E51" s="3">
        <v>0.80208333333333204</v>
      </c>
    </row>
    <row r="52" spans="4:5" x14ac:dyDescent="0.3">
      <c r="D52" s="3">
        <v>0.812499999999998</v>
      </c>
      <c r="E52" s="3">
        <v>0.812499999999998</v>
      </c>
    </row>
    <row r="53" spans="4:5" x14ac:dyDescent="0.3">
      <c r="D53" s="3">
        <v>0.82291666666666496</v>
      </c>
      <c r="E53" s="3">
        <v>0.82291666666666496</v>
      </c>
    </row>
    <row r="54" spans="4:5" x14ac:dyDescent="0.3">
      <c r="D54" s="3">
        <v>0.83333333333333204</v>
      </c>
      <c r="E54" s="3">
        <v>0.83333333333333204</v>
      </c>
    </row>
    <row r="55" spans="4:5" x14ac:dyDescent="0.3">
      <c r="D55" s="3">
        <v>0.843749999999998</v>
      </c>
      <c r="E55" s="3">
        <v>0.843749999999998</v>
      </c>
    </row>
    <row r="56" spans="4:5" x14ac:dyDescent="0.3">
      <c r="D56" s="3">
        <v>0.85416666666666496</v>
      </c>
      <c r="E56" s="3">
        <v>0.85416666666666496</v>
      </c>
    </row>
    <row r="57" spans="4:5" x14ac:dyDescent="0.3">
      <c r="D57" s="3">
        <v>0.86458333333333204</v>
      </c>
      <c r="E57" s="3">
        <v>0.86458333333333204</v>
      </c>
    </row>
    <row r="58" spans="4:5" x14ac:dyDescent="0.3">
      <c r="D58" s="3">
        <v>0.874999999999998</v>
      </c>
      <c r="E58" s="3">
        <v>0.874999999999998</v>
      </c>
    </row>
    <row r="59" spans="4:5" x14ac:dyDescent="0.3">
      <c r="D59" s="3">
        <v>0.88541666666666496</v>
      </c>
      <c r="E59" s="3">
        <v>0.88541666666666496</v>
      </c>
    </row>
    <row r="60" spans="4:5" x14ac:dyDescent="0.3">
      <c r="D60" s="3">
        <v>0.89583333333333204</v>
      </c>
      <c r="E60" s="3">
        <v>0.89583333333333204</v>
      </c>
    </row>
    <row r="61" spans="4:5" x14ac:dyDescent="0.3">
      <c r="D61" s="3">
        <v>0.906249999999998</v>
      </c>
      <c r="E61" s="3">
        <v>0.906249999999998</v>
      </c>
    </row>
    <row r="62" spans="4:5" x14ac:dyDescent="0.3">
      <c r="D62" s="3">
        <v>0.91666666666666496</v>
      </c>
      <c r="E62" s="3">
        <v>0.91666666666666496</v>
      </c>
    </row>
    <row r="63" spans="4:5" x14ac:dyDescent="0.3">
      <c r="D63" s="3">
        <v>0.92708333333333104</v>
      </c>
      <c r="E63" s="3">
        <v>0.92708333333333104</v>
      </c>
    </row>
    <row r="64" spans="4:5" x14ac:dyDescent="0.3">
      <c r="D64" s="3">
        <v>0.937499999999998</v>
      </c>
      <c r="E64" s="3">
        <v>0.937499999999998</v>
      </c>
    </row>
    <row r="65" spans="4:5" x14ac:dyDescent="0.3">
      <c r="D65" s="3">
        <v>0.94791666666666496</v>
      </c>
      <c r="E65" s="3">
        <v>0.94791666666666496</v>
      </c>
    </row>
    <row r="66" spans="4:5" x14ac:dyDescent="0.3">
      <c r="D66" s="3">
        <v>0.95833333333333104</v>
      </c>
      <c r="E66" s="3">
        <v>0.95833333333333104</v>
      </c>
    </row>
    <row r="67" spans="4:5" x14ac:dyDescent="0.3">
      <c r="D67" s="3">
        <v>0.968749999999998</v>
      </c>
      <c r="E67" s="3">
        <v>0.968749999999998</v>
      </c>
    </row>
    <row r="68" spans="4:5" x14ac:dyDescent="0.3">
      <c r="D68" s="3">
        <v>0.97916666666666496</v>
      </c>
      <c r="E68" s="3">
        <v>0.97916666666666496</v>
      </c>
    </row>
    <row r="69" spans="4:5" x14ac:dyDescent="0.3">
      <c r="D69" s="3">
        <v>0.98958333333333104</v>
      </c>
      <c r="E69" s="3">
        <v>0.98958333333333104</v>
      </c>
    </row>
  </sheetData>
  <sheetProtection algorithmName="SHA-512" hashValue="hbRG6AL4h1owS+r5BgB21o806HRTNW4dLB7gtKQstwBH+O1+MZQu66SeH3Qx6cBtX7+4usD8FYi82smWC/w/0w==" saltValue="ZS7t0A3NKtLRoQe/ckb2Bg==" spinCount="100000"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D6177-7BBA-4C51-A81C-F94DF7720708}">
  <sheetPr codeName="Planilha8"/>
  <dimension ref="A1:N8454"/>
  <sheetViews>
    <sheetView showGridLines="0" topLeftCell="G1" workbookViewId="0">
      <selection activeCell="N2" sqref="N2"/>
    </sheetView>
  </sheetViews>
  <sheetFormatPr defaultRowHeight="14.4" x14ac:dyDescent="0.3"/>
  <cols>
    <col min="1" max="1" width="10.5546875" bestFit="1" customWidth="1"/>
    <col min="2" max="2" width="9.5546875" bestFit="1" customWidth="1"/>
    <col min="3" max="3" width="23.88671875" bestFit="1" customWidth="1"/>
    <col min="4" max="4" width="11.77734375" bestFit="1" customWidth="1"/>
    <col min="5" max="5" width="10.21875" bestFit="1" customWidth="1"/>
    <col min="6" max="6" width="80.44140625" bestFit="1" customWidth="1"/>
    <col min="7" max="7" width="17" bestFit="1" customWidth="1"/>
    <col min="8" max="8" width="17.33203125" bestFit="1" customWidth="1"/>
    <col min="9" max="9" width="16.6640625" bestFit="1" customWidth="1"/>
    <col min="10" max="10" width="15.77734375" bestFit="1" customWidth="1"/>
    <col min="11" max="11" width="15.6640625" bestFit="1" customWidth="1"/>
    <col min="12" max="12" width="6.5546875" bestFit="1" customWidth="1"/>
    <col min="13" max="13" width="7.44140625" bestFit="1" customWidth="1"/>
    <col min="14" max="14" width="80.886718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558</v>
      </c>
      <c r="H1" t="s">
        <v>559</v>
      </c>
      <c r="I1" t="s">
        <v>560</v>
      </c>
      <c r="J1" t="s">
        <v>561</v>
      </c>
      <c r="K1" t="s">
        <v>562</v>
      </c>
      <c r="L1" t="s">
        <v>563</v>
      </c>
      <c r="M1" t="s">
        <v>448</v>
      </c>
      <c r="N1" t="s">
        <v>564</v>
      </c>
    </row>
    <row r="2" spans="1:14" x14ac:dyDescent="0.3">
      <c r="A2" s="1">
        <v>45135</v>
      </c>
      <c r="B2" t="s">
        <v>23</v>
      </c>
      <c r="C2" t="s">
        <v>26</v>
      </c>
      <c r="D2" s="8">
        <v>0.79166666666666663</v>
      </c>
      <c r="E2" s="8">
        <v>0.91666666666666663</v>
      </c>
      <c r="K2" t="s">
        <v>565</v>
      </c>
      <c r="M2" t="s">
        <v>478</v>
      </c>
      <c r="N2" t="str">
        <f>Tabela_tudo[[#This Row],[Médico]]&amp;" ("&amp;Tabela_tudo[[#This Row],[Obs]]&amp;")"</f>
        <v>BG ()</v>
      </c>
    </row>
    <row r="3" spans="1:14" x14ac:dyDescent="0.3">
      <c r="A3" s="1">
        <v>45135</v>
      </c>
      <c r="B3" t="s">
        <v>23</v>
      </c>
      <c r="C3" t="s">
        <v>26</v>
      </c>
      <c r="D3" s="8">
        <v>0.66666666666666663</v>
      </c>
      <c r="E3" s="8">
        <v>0.79166666666666663</v>
      </c>
      <c r="J3" t="s">
        <v>565</v>
      </c>
      <c r="M3" t="s">
        <v>478</v>
      </c>
      <c r="N3" t="str">
        <f>Tabela_tudo[[#This Row],[Médico]]&amp;" ("&amp;Tabela_tudo[[#This Row],[Obs]]&amp;")"</f>
        <v>BG ()</v>
      </c>
    </row>
    <row r="4" spans="1:14" x14ac:dyDescent="0.3">
      <c r="A4" s="1">
        <v>45170</v>
      </c>
      <c r="B4" t="s">
        <v>34</v>
      </c>
      <c r="C4" t="s">
        <v>26</v>
      </c>
      <c r="D4" s="8">
        <v>0.79166666666666663</v>
      </c>
      <c r="E4" s="8">
        <v>0.91666666666666663</v>
      </c>
      <c r="K4" t="s">
        <v>565</v>
      </c>
      <c r="M4" t="s">
        <v>478</v>
      </c>
      <c r="N4" t="str">
        <f>Tabela_tudo[[#This Row],[Médico]]&amp;" ("&amp;Tabela_tudo[[#This Row],[Obs]]&amp;")"</f>
        <v>LIP ()</v>
      </c>
    </row>
    <row r="5" spans="1:14" x14ac:dyDescent="0.3">
      <c r="A5" s="1">
        <v>45112</v>
      </c>
      <c r="B5" t="s">
        <v>71</v>
      </c>
      <c r="C5" t="s">
        <v>26</v>
      </c>
      <c r="D5" s="8">
        <v>0.79166666666666663</v>
      </c>
      <c r="E5" s="8">
        <v>0.91666666666666663</v>
      </c>
      <c r="K5" t="s">
        <v>565</v>
      </c>
      <c r="M5" t="s">
        <v>478</v>
      </c>
      <c r="N5" t="str">
        <f>Tabela_tudo[[#This Row],[Médico]]&amp;" ("&amp;Tabela_tudo[[#This Row],[Obs]]&amp;")"</f>
        <v>BRU ()</v>
      </c>
    </row>
    <row r="6" spans="1:14" x14ac:dyDescent="0.3">
      <c r="A6" s="1">
        <v>45112</v>
      </c>
      <c r="B6" t="s">
        <v>64</v>
      </c>
      <c r="C6" t="s">
        <v>26</v>
      </c>
      <c r="D6" s="8">
        <v>0.79166666666666663</v>
      </c>
      <c r="E6" s="8">
        <v>0.91666666666666663</v>
      </c>
      <c r="K6" t="s">
        <v>565</v>
      </c>
      <c r="M6" t="s">
        <v>478</v>
      </c>
      <c r="N6" t="str">
        <f>Tabela_tudo[[#This Row],[Médico]]&amp;" ("&amp;Tabela_tudo[[#This Row],[Obs]]&amp;")"</f>
        <v>SAR ()</v>
      </c>
    </row>
    <row r="7" spans="1:14" x14ac:dyDescent="0.3">
      <c r="A7" s="1">
        <v>45112</v>
      </c>
      <c r="B7" t="s">
        <v>44</v>
      </c>
      <c r="C7" t="s">
        <v>26</v>
      </c>
      <c r="D7" s="8">
        <v>0.79166666666666663</v>
      </c>
      <c r="E7" s="8">
        <v>0.91666666666666663</v>
      </c>
      <c r="K7" t="s">
        <v>565</v>
      </c>
      <c r="M7" t="s">
        <v>478</v>
      </c>
      <c r="N7" t="str">
        <f>Tabela_tudo[[#This Row],[Médico]]&amp;" ("&amp;Tabela_tudo[[#This Row],[Obs]]&amp;")"</f>
        <v>REI ()</v>
      </c>
    </row>
    <row r="8" spans="1:14" x14ac:dyDescent="0.3">
      <c r="A8" s="1">
        <v>45170</v>
      </c>
      <c r="B8" t="s">
        <v>34</v>
      </c>
      <c r="C8" t="s">
        <v>26</v>
      </c>
      <c r="D8" s="8">
        <v>0.66666666666666663</v>
      </c>
      <c r="E8" s="8">
        <v>0.79166666666666663</v>
      </c>
      <c r="J8" t="s">
        <v>565</v>
      </c>
      <c r="M8" t="s">
        <v>478</v>
      </c>
      <c r="N8" t="str">
        <f>Tabela_tudo[[#This Row],[Médico]]&amp;" ("&amp;Tabela_tudo[[#This Row],[Obs]]&amp;")"</f>
        <v>LIP ()</v>
      </c>
    </row>
    <row r="9" spans="1:14" x14ac:dyDescent="0.3">
      <c r="A9" s="1">
        <v>45205</v>
      </c>
      <c r="B9" t="s">
        <v>71</v>
      </c>
      <c r="C9" t="s">
        <v>26</v>
      </c>
      <c r="D9" s="8">
        <v>0.66666666666666663</v>
      </c>
      <c r="E9" s="8">
        <v>0.79166666666666663</v>
      </c>
      <c r="J9" t="s">
        <v>565</v>
      </c>
      <c r="M9" t="s">
        <v>478</v>
      </c>
      <c r="N9" t="str">
        <f>Tabela_tudo[[#This Row],[Médico]]&amp;" ("&amp;Tabela_tudo[[#This Row],[Obs]]&amp;")"</f>
        <v>BRU ()</v>
      </c>
    </row>
    <row r="10" spans="1:14" x14ac:dyDescent="0.3">
      <c r="A10" s="1">
        <v>45205</v>
      </c>
      <c r="B10" t="s">
        <v>71</v>
      </c>
      <c r="C10" t="s">
        <v>26</v>
      </c>
      <c r="D10" s="8">
        <v>0.54166666666666663</v>
      </c>
      <c r="E10" s="8">
        <v>0.66666666666666663</v>
      </c>
      <c r="I10" t="s">
        <v>565</v>
      </c>
      <c r="M10" t="s">
        <v>478</v>
      </c>
      <c r="N10" t="str">
        <f>Tabela_tudo[[#This Row],[Médico]]&amp;" ("&amp;Tabela_tudo[[#This Row],[Obs]]&amp;")"</f>
        <v>BRU ()</v>
      </c>
    </row>
    <row r="11" spans="1:14" x14ac:dyDescent="0.3">
      <c r="A11" s="1">
        <v>45132</v>
      </c>
      <c r="B11" t="s">
        <v>33</v>
      </c>
      <c r="C11" t="s">
        <v>26</v>
      </c>
      <c r="D11" s="8">
        <v>0.79166666666666663</v>
      </c>
      <c r="E11" s="8">
        <v>0.91666666666666663</v>
      </c>
      <c r="K11" t="s">
        <v>565</v>
      </c>
      <c r="M11" t="s">
        <v>478</v>
      </c>
      <c r="N11" t="str">
        <f>Tabela_tudo[[#This Row],[Médico]]&amp;" ("&amp;Tabela_tudo[[#This Row],[Obs]]&amp;")"</f>
        <v>DIF ()</v>
      </c>
    </row>
    <row r="12" spans="1:14" x14ac:dyDescent="0.3">
      <c r="A12" s="1">
        <v>45170</v>
      </c>
      <c r="B12" t="s">
        <v>84</v>
      </c>
      <c r="C12" t="s">
        <v>26</v>
      </c>
      <c r="D12" s="8">
        <v>0.41666666666666669</v>
      </c>
      <c r="E12" s="8">
        <v>0.54166666666666663</v>
      </c>
      <c r="H12" t="s">
        <v>565</v>
      </c>
      <c r="M12" t="s">
        <v>478</v>
      </c>
      <c r="N12" t="str">
        <f>Tabela_tudo[[#This Row],[Médico]]&amp;" ("&amp;Tabela_tudo[[#This Row],[Obs]]&amp;")"</f>
        <v>ANO ()</v>
      </c>
    </row>
    <row r="13" spans="1:14" x14ac:dyDescent="0.3">
      <c r="A13" s="1">
        <v>45152</v>
      </c>
      <c r="B13" t="s">
        <v>14</v>
      </c>
      <c r="C13" t="s">
        <v>26</v>
      </c>
      <c r="D13" s="8">
        <v>0.66666666666666663</v>
      </c>
      <c r="E13" s="8">
        <v>0.79166666666666663</v>
      </c>
      <c r="J13" t="s">
        <v>565</v>
      </c>
      <c r="M13" t="s">
        <v>478</v>
      </c>
      <c r="N13" t="str">
        <f>Tabela_tudo[[#This Row],[Médico]]&amp;" ("&amp;Tabela_tudo[[#This Row],[Obs]]&amp;")"</f>
        <v>PW ()</v>
      </c>
    </row>
    <row r="14" spans="1:14" x14ac:dyDescent="0.3">
      <c r="A14" s="1">
        <v>45170</v>
      </c>
      <c r="B14" t="s">
        <v>142</v>
      </c>
      <c r="C14" t="s">
        <v>26</v>
      </c>
      <c r="D14" s="8">
        <v>0.29166666666666669</v>
      </c>
      <c r="E14" s="8">
        <v>0.41666666666666669</v>
      </c>
      <c r="G14" t="s">
        <v>565</v>
      </c>
      <c r="M14" t="s">
        <v>478</v>
      </c>
      <c r="N14" t="str">
        <f>Tabela_tudo[[#This Row],[Médico]]&amp;" ("&amp;Tabela_tudo[[#This Row],[Obs]]&amp;")"</f>
        <v>VIV ()</v>
      </c>
    </row>
    <row r="15" spans="1:14" x14ac:dyDescent="0.3">
      <c r="A15" s="1">
        <v>45209</v>
      </c>
      <c r="B15" t="s">
        <v>32</v>
      </c>
      <c r="C15" t="s">
        <v>26</v>
      </c>
      <c r="D15" s="8">
        <v>0.29166666666666669</v>
      </c>
      <c r="E15" s="8">
        <v>0.41666666666666669</v>
      </c>
      <c r="G15" t="s">
        <v>565</v>
      </c>
      <c r="M15" t="s">
        <v>478</v>
      </c>
      <c r="N15" t="str">
        <f>Tabela_tudo[[#This Row],[Médico]]&amp;" ("&amp;Tabela_tudo[[#This Row],[Obs]]&amp;")"</f>
        <v>JS ()</v>
      </c>
    </row>
    <row r="16" spans="1:14" x14ac:dyDescent="0.3">
      <c r="A16" s="1">
        <v>45195</v>
      </c>
      <c r="B16" t="s">
        <v>72</v>
      </c>
      <c r="C16" t="s">
        <v>26</v>
      </c>
      <c r="D16" s="8">
        <v>0.41666666666666669</v>
      </c>
      <c r="E16" s="8">
        <v>0.54166666666666663</v>
      </c>
      <c r="H16" t="s">
        <v>565</v>
      </c>
      <c r="M16" t="s">
        <v>478</v>
      </c>
      <c r="N16" t="str">
        <f>Tabela_tudo[[#This Row],[Médico]]&amp;" ("&amp;Tabela_tudo[[#This Row],[Obs]]&amp;")"</f>
        <v>GRA ()</v>
      </c>
    </row>
    <row r="17" spans="1:14" x14ac:dyDescent="0.3">
      <c r="A17" s="1">
        <v>45183</v>
      </c>
      <c r="B17" t="s">
        <v>20</v>
      </c>
      <c r="C17" t="s">
        <v>26</v>
      </c>
      <c r="D17" s="8">
        <v>0.79166666666666663</v>
      </c>
      <c r="E17" s="8">
        <v>0.98958333333333337</v>
      </c>
      <c r="K17" t="s">
        <v>565</v>
      </c>
      <c r="M17" t="s">
        <v>478</v>
      </c>
      <c r="N17" t="str">
        <f>Tabela_tudo[[#This Row],[Médico]]&amp;" ("&amp;Tabela_tudo[[#This Row],[Obs]]&amp;")"</f>
        <v>ROB ()</v>
      </c>
    </row>
    <row r="18" spans="1:14" x14ac:dyDescent="0.3">
      <c r="A18" s="1">
        <v>45183</v>
      </c>
      <c r="B18" t="s">
        <v>84</v>
      </c>
      <c r="C18" t="s">
        <v>26</v>
      </c>
      <c r="D18" s="8">
        <v>0.41666666666666669</v>
      </c>
      <c r="E18" s="8">
        <v>0.54166666666666663</v>
      </c>
      <c r="H18" t="s">
        <v>565</v>
      </c>
      <c r="M18" t="s">
        <v>478</v>
      </c>
      <c r="N18" t="str">
        <f>Tabela_tudo[[#This Row],[Médico]]&amp;" ("&amp;Tabela_tudo[[#This Row],[Obs]]&amp;")"</f>
        <v>ANO ()</v>
      </c>
    </row>
    <row r="19" spans="1:14" x14ac:dyDescent="0.3">
      <c r="A19" s="1">
        <v>45155</v>
      </c>
      <c r="B19" t="s">
        <v>20</v>
      </c>
      <c r="C19" t="s">
        <v>26</v>
      </c>
      <c r="D19" s="8">
        <v>0.79166666666666663</v>
      </c>
      <c r="E19" s="8">
        <v>0.91666666666666663</v>
      </c>
      <c r="K19" t="s">
        <v>565</v>
      </c>
      <c r="M19" t="s">
        <v>478</v>
      </c>
      <c r="N19" t="str">
        <f>Tabela_tudo[[#This Row],[Médico]]&amp;" ("&amp;Tabela_tudo[[#This Row],[Obs]]&amp;")"</f>
        <v>ROB ()</v>
      </c>
    </row>
    <row r="20" spans="1:14" x14ac:dyDescent="0.3">
      <c r="A20" s="1">
        <v>45155</v>
      </c>
      <c r="B20" t="s">
        <v>66</v>
      </c>
      <c r="C20" t="s">
        <v>26</v>
      </c>
      <c r="D20" s="8">
        <v>0.41666666666666669</v>
      </c>
      <c r="E20" s="8">
        <v>0.54166666666666663</v>
      </c>
      <c r="H20" t="s">
        <v>565</v>
      </c>
      <c r="M20" t="s">
        <v>478</v>
      </c>
      <c r="N20" t="str">
        <f>Tabela_tudo[[#This Row],[Médico]]&amp;" ("&amp;Tabela_tudo[[#This Row],[Obs]]&amp;")"</f>
        <v>MOZ ()</v>
      </c>
    </row>
    <row r="21" spans="1:14" x14ac:dyDescent="0.3">
      <c r="A21" s="1">
        <v>45155</v>
      </c>
      <c r="B21" t="s">
        <v>20</v>
      </c>
      <c r="C21" t="s">
        <v>26</v>
      </c>
      <c r="D21" s="8">
        <v>0.66666666666666663</v>
      </c>
      <c r="E21" s="8">
        <v>0.79166666666666663</v>
      </c>
      <c r="J21" t="s">
        <v>565</v>
      </c>
      <c r="M21" t="s">
        <v>478</v>
      </c>
      <c r="N21" t="str">
        <f>Tabela_tudo[[#This Row],[Médico]]&amp;" ("&amp;Tabela_tudo[[#This Row],[Obs]]&amp;")"</f>
        <v>ROB ()</v>
      </c>
    </row>
    <row r="22" spans="1:14" x14ac:dyDescent="0.3">
      <c r="A22" s="1">
        <v>45113</v>
      </c>
      <c r="B22" t="s">
        <v>84</v>
      </c>
      <c r="C22" t="s">
        <v>26</v>
      </c>
      <c r="D22" s="8">
        <v>0.79166666666666663</v>
      </c>
      <c r="E22" s="8">
        <v>0.91666666666666663</v>
      </c>
      <c r="K22" t="s">
        <v>565</v>
      </c>
      <c r="M22" t="s">
        <v>478</v>
      </c>
      <c r="N22" t="str">
        <f>Tabela_tudo[[#This Row],[Médico]]&amp;" ("&amp;Tabela_tudo[[#This Row],[Obs]]&amp;")"</f>
        <v>ANO ()</v>
      </c>
    </row>
    <row r="23" spans="1:14" x14ac:dyDescent="0.3">
      <c r="A23" s="1">
        <v>45209</v>
      </c>
      <c r="B23" t="s">
        <v>7</v>
      </c>
      <c r="C23" t="s">
        <v>26</v>
      </c>
      <c r="D23" s="8">
        <v>0.79166666666666663</v>
      </c>
      <c r="E23" s="8">
        <v>0.98958333333333337</v>
      </c>
      <c r="K23" t="s">
        <v>565</v>
      </c>
      <c r="M23" t="s">
        <v>478</v>
      </c>
      <c r="N23" t="str">
        <f>Tabela_tudo[[#This Row],[Médico]]&amp;" ("&amp;Tabela_tudo[[#This Row],[Obs]]&amp;")"</f>
        <v>ARI ()</v>
      </c>
    </row>
    <row r="24" spans="1:14" x14ac:dyDescent="0.3">
      <c r="A24" s="1">
        <v>45209</v>
      </c>
      <c r="B24" t="s">
        <v>66</v>
      </c>
      <c r="C24" t="s">
        <v>26</v>
      </c>
      <c r="D24" s="8">
        <v>0.66666666666666663</v>
      </c>
      <c r="E24" s="8">
        <v>0.79166666666666663</v>
      </c>
      <c r="J24" t="s">
        <v>565</v>
      </c>
      <c r="M24" t="s">
        <v>478</v>
      </c>
      <c r="N24" t="str">
        <f>Tabela_tudo[[#This Row],[Médico]]&amp;" ("&amp;Tabela_tudo[[#This Row],[Obs]]&amp;")"</f>
        <v>MOZ ()</v>
      </c>
    </row>
    <row r="25" spans="1:14" x14ac:dyDescent="0.3">
      <c r="A25" s="1">
        <v>45112</v>
      </c>
      <c r="B25" t="s">
        <v>71</v>
      </c>
      <c r="C25" t="s">
        <v>26</v>
      </c>
      <c r="D25" s="8">
        <v>0.66666666666666663</v>
      </c>
      <c r="E25" s="8">
        <v>0.79166666666666663</v>
      </c>
      <c r="J25" t="s">
        <v>565</v>
      </c>
      <c r="M25" t="s">
        <v>478</v>
      </c>
      <c r="N25" t="str">
        <f>Tabela_tudo[[#This Row],[Médico]]&amp;" ("&amp;Tabela_tudo[[#This Row],[Obs]]&amp;")"</f>
        <v>BRU ()</v>
      </c>
    </row>
    <row r="26" spans="1:14" x14ac:dyDescent="0.3">
      <c r="A26" s="1">
        <v>45135</v>
      </c>
      <c r="B26" t="s">
        <v>29</v>
      </c>
      <c r="C26" t="s">
        <v>26</v>
      </c>
      <c r="D26" s="8">
        <v>0.79166666666666663</v>
      </c>
      <c r="E26" s="8">
        <v>0.98958333333333337</v>
      </c>
      <c r="K26" t="s">
        <v>565</v>
      </c>
      <c r="M26" t="s">
        <v>478</v>
      </c>
      <c r="N26" t="str">
        <f>Tabela_tudo[[#This Row],[Médico]]&amp;" ("&amp;Tabela_tudo[[#This Row],[Obs]]&amp;")"</f>
        <v>JOA ()</v>
      </c>
    </row>
    <row r="27" spans="1:14" x14ac:dyDescent="0.3">
      <c r="A27" s="1">
        <v>45135</v>
      </c>
      <c r="B27" t="s">
        <v>29</v>
      </c>
      <c r="C27" t="s">
        <v>26</v>
      </c>
      <c r="D27" s="8">
        <v>0.66666666666666663</v>
      </c>
      <c r="E27" s="8">
        <v>0.79166666666666663</v>
      </c>
      <c r="J27" t="s">
        <v>565</v>
      </c>
      <c r="M27" t="s">
        <v>478</v>
      </c>
      <c r="N27" t="str">
        <f>Tabela_tudo[[#This Row],[Médico]]&amp;" ("&amp;Tabela_tudo[[#This Row],[Obs]]&amp;")"</f>
        <v>JOA ()</v>
      </c>
    </row>
    <row r="28" spans="1:14" x14ac:dyDescent="0.3">
      <c r="A28" s="1">
        <v>45112</v>
      </c>
      <c r="B28" t="s">
        <v>21</v>
      </c>
      <c r="C28" t="s">
        <v>26</v>
      </c>
      <c r="D28" s="8">
        <v>0.41666666666666669</v>
      </c>
      <c r="E28" s="8">
        <v>0.54166666666666663</v>
      </c>
      <c r="H28" t="s">
        <v>565</v>
      </c>
      <c r="M28" t="s">
        <v>478</v>
      </c>
      <c r="N28" t="str">
        <f>Tabela_tudo[[#This Row],[Médico]]&amp;" ("&amp;Tabela_tudo[[#This Row],[Obs]]&amp;")"</f>
        <v>RA ()</v>
      </c>
    </row>
    <row r="29" spans="1:14" x14ac:dyDescent="0.3">
      <c r="A29" s="1">
        <v>45160</v>
      </c>
      <c r="B29" t="s">
        <v>68</v>
      </c>
      <c r="C29" t="s">
        <v>26</v>
      </c>
      <c r="D29" s="8">
        <v>0.79166666666666663</v>
      </c>
      <c r="E29" s="8">
        <v>0.91666666666666663</v>
      </c>
      <c r="K29" t="s">
        <v>565</v>
      </c>
      <c r="M29" t="s">
        <v>478</v>
      </c>
      <c r="N29" t="str">
        <f>Tabela_tudo[[#This Row],[Médico]]&amp;" ("&amp;Tabela_tudo[[#This Row],[Obs]]&amp;")"</f>
        <v>PED ()</v>
      </c>
    </row>
    <row r="30" spans="1:14" x14ac:dyDescent="0.3">
      <c r="A30" s="1">
        <v>45215</v>
      </c>
      <c r="B30" t="s">
        <v>17</v>
      </c>
      <c r="C30" t="s">
        <v>26</v>
      </c>
      <c r="D30" s="8">
        <v>0.79166666666666663</v>
      </c>
      <c r="E30" s="8">
        <v>0.98958333333333337</v>
      </c>
      <c r="K30" t="s">
        <v>565</v>
      </c>
      <c r="M30" t="s">
        <v>478</v>
      </c>
      <c r="N30" t="str">
        <f>Tabela_tudo[[#This Row],[Médico]]&amp;" ("&amp;Tabela_tudo[[#This Row],[Obs]]&amp;")"</f>
        <v>FAB ()</v>
      </c>
    </row>
    <row r="31" spans="1:14" x14ac:dyDescent="0.3">
      <c r="A31" s="1">
        <v>45215</v>
      </c>
      <c r="B31" t="s">
        <v>17</v>
      </c>
      <c r="C31" t="s">
        <v>26</v>
      </c>
      <c r="D31" s="8">
        <v>0.66666666666666663</v>
      </c>
      <c r="E31" s="8">
        <v>0.79166666666666663</v>
      </c>
      <c r="J31" t="s">
        <v>565</v>
      </c>
      <c r="M31" t="s">
        <v>478</v>
      </c>
      <c r="N31" t="str">
        <f>Tabela_tudo[[#This Row],[Médico]]&amp;" ("&amp;Tabela_tudo[[#This Row],[Obs]]&amp;")"</f>
        <v>FAB ()</v>
      </c>
    </row>
    <row r="32" spans="1:14" x14ac:dyDescent="0.3">
      <c r="A32" s="1">
        <v>45184</v>
      </c>
      <c r="B32" t="s">
        <v>73</v>
      </c>
      <c r="C32" t="s">
        <v>26</v>
      </c>
      <c r="D32" s="8">
        <v>0.79166666666666663</v>
      </c>
      <c r="E32" s="8">
        <v>0.98958333333333337</v>
      </c>
      <c r="K32" t="s">
        <v>565</v>
      </c>
      <c r="M32" t="s">
        <v>478</v>
      </c>
      <c r="N32" t="str">
        <f>Tabela_tudo[[#This Row],[Médico]]&amp;" ("&amp;Tabela_tudo[[#This Row],[Obs]]&amp;")"</f>
        <v>RT ()</v>
      </c>
    </row>
    <row r="33" spans="1:14" x14ac:dyDescent="0.3">
      <c r="A33" s="1">
        <v>45168</v>
      </c>
      <c r="B33" t="s">
        <v>52</v>
      </c>
      <c r="C33" t="s">
        <v>26</v>
      </c>
      <c r="D33" s="8">
        <v>0.79166666666666663</v>
      </c>
      <c r="E33" s="8">
        <v>0.91666666666666663</v>
      </c>
      <c r="K33" t="s">
        <v>565</v>
      </c>
      <c r="M33" t="s">
        <v>478</v>
      </c>
      <c r="N33" t="str">
        <f>Tabela_tudo[[#This Row],[Médico]]&amp;" ("&amp;Tabela_tudo[[#This Row],[Obs]]&amp;")"</f>
        <v>AEL ()</v>
      </c>
    </row>
    <row r="34" spans="1:14" x14ac:dyDescent="0.3">
      <c r="A34" s="1">
        <v>45160</v>
      </c>
      <c r="B34" t="s">
        <v>68</v>
      </c>
      <c r="C34" t="s">
        <v>26</v>
      </c>
      <c r="D34" s="8">
        <v>0.66666666666666663</v>
      </c>
      <c r="E34" s="8">
        <v>0.79166666666666663</v>
      </c>
      <c r="J34" t="s">
        <v>565</v>
      </c>
      <c r="M34" t="s">
        <v>478</v>
      </c>
      <c r="N34" t="str">
        <f>Tabela_tudo[[#This Row],[Médico]]&amp;" ("&amp;Tabela_tudo[[#This Row],[Obs]]&amp;")"</f>
        <v>PED ()</v>
      </c>
    </row>
    <row r="35" spans="1:14" x14ac:dyDescent="0.3">
      <c r="A35" s="1">
        <v>45091</v>
      </c>
      <c r="B35" t="s">
        <v>84</v>
      </c>
      <c r="C35" t="s">
        <v>26</v>
      </c>
      <c r="D35" s="8">
        <v>0.41666666666666669</v>
      </c>
      <c r="E35" s="8">
        <v>0.54166666666666663</v>
      </c>
      <c r="H35" t="s">
        <v>565</v>
      </c>
      <c r="M35" t="s">
        <v>478</v>
      </c>
      <c r="N35" t="str">
        <f>Tabela_tudo[[#This Row],[Médico]]&amp;" ("&amp;Tabela_tudo[[#This Row],[Obs]]&amp;")"</f>
        <v>ANO ()</v>
      </c>
    </row>
    <row r="36" spans="1:14" x14ac:dyDescent="0.3">
      <c r="A36" s="1">
        <v>45160</v>
      </c>
      <c r="B36" t="s">
        <v>16</v>
      </c>
      <c r="C36" t="s">
        <v>26</v>
      </c>
      <c r="D36" s="8">
        <v>0.66666666666666663</v>
      </c>
      <c r="E36" s="8">
        <v>0.79166666666666663</v>
      </c>
      <c r="J36" t="s">
        <v>565</v>
      </c>
      <c r="M36" t="s">
        <v>478</v>
      </c>
      <c r="N36" t="str">
        <f>Tabela_tudo[[#This Row],[Médico]]&amp;" ("&amp;Tabela_tudo[[#This Row],[Obs]]&amp;")"</f>
        <v>PP ()</v>
      </c>
    </row>
    <row r="37" spans="1:14" x14ac:dyDescent="0.3">
      <c r="A37" s="1">
        <v>45160</v>
      </c>
      <c r="B37" t="s">
        <v>14</v>
      </c>
      <c r="C37" t="s">
        <v>26</v>
      </c>
      <c r="D37" s="8">
        <v>0.79166666666666663</v>
      </c>
      <c r="E37" s="8">
        <v>0.91666666666666663</v>
      </c>
      <c r="K37" t="s">
        <v>565</v>
      </c>
      <c r="M37" t="s">
        <v>478</v>
      </c>
      <c r="N37" t="str">
        <f>Tabela_tudo[[#This Row],[Médico]]&amp;" ("&amp;Tabela_tudo[[#This Row],[Obs]]&amp;")"</f>
        <v>PW ()</v>
      </c>
    </row>
    <row r="38" spans="1:14" x14ac:dyDescent="0.3">
      <c r="A38" s="1">
        <v>45160</v>
      </c>
      <c r="B38" t="s">
        <v>16</v>
      </c>
      <c r="C38" t="s">
        <v>26</v>
      </c>
      <c r="D38" s="8">
        <v>0.79166666666666663</v>
      </c>
      <c r="E38" s="8">
        <v>0.91666666666666663</v>
      </c>
      <c r="K38" t="s">
        <v>565</v>
      </c>
      <c r="M38" t="s">
        <v>478</v>
      </c>
      <c r="N38" t="str">
        <f>Tabela_tudo[[#This Row],[Médico]]&amp;" ("&amp;Tabela_tudo[[#This Row],[Obs]]&amp;")"</f>
        <v>PP ()</v>
      </c>
    </row>
    <row r="39" spans="1:14" x14ac:dyDescent="0.3">
      <c r="A39" s="1">
        <v>45091</v>
      </c>
      <c r="B39" t="s">
        <v>14</v>
      </c>
      <c r="C39" t="s">
        <v>26</v>
      </c>
      <c r="D39" s="8">
        <v>0.66666666666666663</v>
      </c>
      <c r="E39" s="8">
        <v>0.79166666666666663</v>
      </c>
      <c r="J39" t="s">
        <v>565</v>
      </c>
      <c r="M39" t="s">
        <v>478</v>
      </c>
      <c r="N39" t="str">
        <f>Tabela_tudo[[#This Row],[Médico]]&amp;" ("&amp;Tabela_tudo[[#This Row],[Obs]]&amp;")"</f>
        <v>PW ()</v>
      </c>
    </row>
    <row r="40" spans="1:14" x14ac:dyDescent="0.3">
      <c r="A40" s="1">
        <v>45091</v>
      </c>
      <c r="B40" t="s">
        <v>14</v>
      </c>
      <c r="C40" t="s">
        <v>26</v>
      </c>
      <c r="D40" s="8">
        <v>0.79166666666666663</v>
      </c>
      <c r="E40" s="8">
        <v>0.91666666666666663</v>
      </c>
      <c r="K40" t="s">
        <v>565</v>
      </c>
      <c r="M40" t="s">
        <v>478</v>
      </c>
      <c r="N40" t="str">
        <f>Tabela_tudo[[#This Row],[Médico]]&amp;" ("&amp;Tabela_tudo[[#This Row],[Obs]]&amp;")"</f>
        <v>PW ()</v>
      </c>
    </row>
    <row r="41" spans="1:14" x14ac:dyDescent="0.3">
      <c r="A41" s="1">
        <v>45091</v>
      </c>
      <c r="B41" t="s">
        <v>34</v>
      </c>
      <c r="C41" t="s">
        <v>26</v>
      </c>
      <c r="D41" s="8">
        <v>0.79166666666666663</v>
      </c>
      <c r="E41" s="8">
        <v>0.91666666666666663</v>
      </c>
      <c r="K41" t="s">
        <v>565</v>
      </c>
      <c r="M41" t="s">
        <v>478</v>
      </c>
      <c r="N41" t="str">
        <f>Tabela_tudo[[#This Row],[Médico]]&amp;" ("&amp;Tabela_tudo[[#This Row],[Obs]]&amp;")"</f>
        <v>LIP ()</v>
      </c>
    </row>
    <row r="42" spans="1:14" x14ac:dyDescent="0.3">
      <c r="A42" s="1">
        <v>45090</v>
      </c>
      <c r="B42" t="s">
        <v>21</v>
      </c>
      <c r="C42" t="s">
        <v>26</v>
      </c>
      <c r="D42" s="8">
        <v>0.79166666666666663</v>
      </c>
      <c r="E42" s="8">
        <v>0.91666666666666663</v>
      </c>
      <c r="K42" t="s">
        <v>565</v>
      </c>
      <c r="M42" t="s">
        <v>478</v>
      </c>
      <c r="N42" t="str">
        <f>Tabela_tudo[[#This Row],[Médico]]&amp;" ("&amp;Tabela_tudo[[#This Row],[Obs]]&amp;")"</f>
        <v>RA ()</v>
      </c>
    </row>
    <row r="43" spans="1:14" x14ac:dyDescent="0.3">
      <c r="A43" s="1">
        <v>45205</v>
      </c>
      <c r="B43" t="s">
        <v>66</v>
      </c>
      <c r="C43" t="s">
        <v>26</v>
      </c>
      <c r="D43" s="8">
        <v>0.66666666666666663</v>
      </c>
      <c r="E43" s="8">
        <v>0.79166666666666663</v>
      </c>
      <c r="J43" t="s">
        <v>565</v>
      </c>
      <c r="M43" t="s">
        <v>478</v>
      </c>
      <c r="N43" t="str">
        <f>Tabela_tudo[[#This Row],[Médico]]&amp;" ("&amp;Tabela_tudo[[#This Row],[Obs]]&amp;")"</f>
        <v>MOZ ()</v>
      </c>
    </row>
    <row r="44" spans="1:14" x14ac:dyDescent="0.3">
      <c r="A44" s="1">
        <v>45089</v>
      </c>
      <c r="B44" t="s">
        <v>63</v>
      </c>
      <c r="C44" t="s">
        <v>26</v>
      </c>
      <c r="D44" s="8">
        <v>0.79166666666666663</v>
      </c>
      <c r="E44" s="8">
        <v>0.91666666666666663</v>
      </c>
      <c r="K44" t="s">
        <v>565</v>
      </c>
      <c r="M44" t="s">
        <v>478</v>
      </c>
      <c r="N44" t="str">
        <f>Tabela_tudo[[#This Row],[Médico]]&amp;" ("&amp;Tabela_tudo[[#This Row],[Obs]]&amp;")"</f>
        <v>FQ ()</v>
      </c>
    </row>
    <row r="45" spans="1:14" x14ac:dyDescent="0.3">
      <c r="A45" s="1">
        <v>45156</v>
      </c>
      <c r="B45" t="s">
        <v>29</v>
      </c>
      <c r="C45" t="s">
        <v>26</v>
      </c>
      <c r="D45" s="8">
        <v>0.66666666666666663</v>
      </c>
      <c r="E45" s="8">
        <v>0.79166666666666663</v>
      </c>
      <c r="J45" t="s">
        <v>565</v>
      </c>
      <c r="M45" t="s">
        <v>478</v>
      </c>
      <c r="N45" t="str">
        <f>Tabela_tudo[[#This Row],[Médico]]&amp;" ("&amp;Tabela_tudo[[#This Row],[Obs]]&amp;")"</f>
        <v>JOA ()</v>
      </c>
    </row>
    <row r="46" spans="1:14" x14ac:dyDescent="0.3">
      <c r="A46" s="1">
        <v>45132</v>
      </c>
      <c r="B46" t="s">
        <v>33</v>
      </c>
      <c r="C46" t="s">
        <v>26</v>
      </c>
      <c r="D46" s="8">
        <v>0.66666666666666663</v>
      </c>
      <c r="E46" s="8">
        <v>0.79166666666666663</v>
      </c>
      <c r="J46" t="s">
        <v>565</v>
      </c>
      <c r="M46" t="s">
        <v>478</v>
      </c>
      <c r="N46" t="str">
        <f>Tabela_tudo[[#This Row],[Médico]]&amp;" ("&amp;Tabela_tudo[[#This Row],[Obs]]&amp;")"</f>
        <v>DIF ()</v>
      </c>
    </row>
    <row r="47" spans="1:14" x14ac:dyDescent="0.3">
      <c r="A47" s="1">
        <v>45132</v>
      </c>
      <c r="B47" t="s">
        <v>72</v>
      </c>
      <c r="C47" t="s">
        <v>26</v>
      </c>
      <c r="D47" s="8">
        <v>0.54166666666666663</v>
      </c>
      <c r="E47" s="8">
        <v>0.66666666666666663</v>
      </c>
      <c r="I47" t="s">
        <v>565</v>
      </c>
      <c r="M47" t="s">
        <v>478</v>
      </c>
      <c r="N47" t="str">
        <f>Tabela_tudo[[#This Row],[Médico]]&amp;" ("&amp;Tabela_tudo[[#This Row],[Obs]]&amp;")"</f>
        <v>GRA ()</v>
      </c>
    </row>
    <row r="48" spans="1:14" x14ac:dyDescent="0.3">
      <c r="A48" s="1">
        <v>45205</v>
      </c>
      <c r="B48" t="s">
        <v>66</v>
      </c>
      <c r="C48" t="s">
        <v>26</v>
      </c>
      <c r="D48" s="8">
        <v>0.79166666666666663</v>
      </c>
      <c r="E48" s="8">
        <v>0.91666666666666663</v>
      </c>
      <c r="K48" t="s">
        <v>565</v>
      </c>
      <c r="M48" t="s">
        <v>478</v>
      </c>
      <c r="N48" t="str">
        <f>Tabela_tudo[[#This Row],[Médico]]&amp;" ("&amp;Tabela_tudo[[#This Row],[Obs]]&amp;")"</f>
        <v>MOZ ()</v>
      </c>
    </row>
    <row r="49" spans="1:14" x14ac:dyDescent="0.3">
      <c r="A49" s="1">
        <v>45156</v>
      </c>
      <c r="B49" t="s">
        <v>29</v>
      </c>
      <c r="C49" t="s">
        <v>26</v>
      </c>
      <c r="D49" s="8">
        <v>0.79166666666666663</v>
      </c>
      <c r="E49" s="8">
        <v>0.91666666666666663</v>
      </c>
      <c r="K49" t="s">
        <v>565</v>
      </c>
      <c r="M49" t="s">
        <v>478</v>
      </c>
      <c r="N49" t="str">
        <f>Tabela_tudo[[#This Row],[Médico]]&amp;" ("&amp;Tabela_tudo[[#This Row],[Obs]]&amp;")"</f>
        <v>JOA ()</v>
      </c>
    </row>
    <row r="50" spans="1:14" x14ac:dyDescent="0.3">
      <c r="A50" s="1">
        <v>45223</v>
      </c>
      <c r="B50" t="s">
        <v>75</v>
      </c>
      <c r="C50" t="s">
        <v>26</v>
      </c>
      <c r="D50" s="8"/>
      <c r="E50" s="8"/>
      <c r="M50" t="s">
        <v>478</v>
      </c>
      <c r="N50" t="str">
        <f>Tabela_tudo[[#This Row],[Médico]]&amp;" ("&amp;Tabela_tudo[[#This Row],[Obs]]&amp;")"</f>
        <v>KOP ()</v>
      </c>
    </row>
    <row r="51" spans="1:14" x14ac:dyDescent="0.3">
      <c r="A51" s="1">
        <v>45090</v>
      </c>
      <c r="B51" t="s">
        <v>17</v>
      </c>
      <c r="C51" t="s">
        <v>26</v>
      </c>
      <c r="D51" s="8">
        <v>0.29166666666666669</v>
      </c>
      <c r="E51" s="8">
        <v>0.41666666666666669</v>
      </c>
      <c r="G51" t="s">
        <v>565</v>
      </c>
      <c r="M51" t="s">
        <v>478</v>
      </c>
      <c r="N51" t="str">
        <f>Tabela_tudo[[#This Row],[Médico]]&amp;" ("&amp;Tabela_tudo[[#This Row],[Obs]]&amp;")"</f>
        <v>FAB ()</v>
      </c>
    </row>
    <row r="52" spans="1:14" x14ac:dyDescent="0.3">
      <c r="A52" s="1">
        <v>45090</v>
      </c>
      <c r="B52" t="s">
        <v>21</v>
      </c>
      <c r="C52" t="s">
        <v>26</v>
      </c>
      <c r="D52" s="8">
        <v>0.66666666666666663</v>
      </c>
      <c r="E52" s="8">
        <v>0.79166666666666663</v>
      </c>
      <c r="J52" t="s">
        <v>565</v>
      </c>
      <c r="M52" t="s">
        <v>478</v>
      </c>
      <c r="N52" t="str">
        <f>Tabela_tudo[[#This Row],[Médico]]&amp;" ("&amp;Tabela_tudo[[#This Row],[Obs]]&amp;")"</f>
        <v>RA ()</v>
      </c>
    </row>
    <row r="53" spans="1:14" x14ac:dyDescent="0.3">
      <c r="A53" s="1">
        <v>45223</v>
      </c>
      <c r="B53" t="s">
        <v>16</v>
      </c>
      <c r="C53" t="s">
        <v>26</v>
      </c>
      <c r="D53" s="8"/>
      <c r="E53" s="8"/>
      <c r="M53" t="s">
        <v>478</v>
      </c>
      <c r="N53" t="str">
        <f>Tabela_tudo[[#This Row],[Médico]]&amp;" ("&amp;Tabela_tudo[[#This Row],[Obs]]&amp;")"</f>
        <v>PP ()</v>
      </c>
    </row>
    <row r="54" spans="1:14" x14ac:dyDescent="0.3">
      <c r="A54" s="1">
        <v>45223</v>
      </c>
      <c r="B54" t="s">
        <v>16</v>
      </c>
      <c r="C54" t="s">
        <v>26</v>
      </c>
      <c r="D54" s="8"/>
      <c r="E54" s="8"/>
      <c r="M54" t="s">
        <v>478</v>
      </c>
      <c r="N54" t="str">
        <f>Tabela_tudo[[#This Row],[Médico]]&amp;" ("&amp;Tabela_tudo[[#This Row],[Obs]]&amp;")"</f>
        <v>PP ()</v>
      </c>
    </row>
    <row r="55" spans="1:14" x14ac:dyDescent="0.3">
      <c r="A55" s="1">
        <v>45223</v>
      </c>
      <c r="B55" t="s">
        <v>75</v>
      </c>
      <c r="C55" t="s">
        <v>26</v>
      </c>
      <c r="D55" s="8"/>
      <c r="E55" s="8"/>
      <c r="M55" t="s">
        <v>478</v>
      </c>
      <c r="N55" t="str">
        <f>Tabela_tudo[[#This Row],[Médico]]&amp;" ("&amp;Tabela_tudo[[#This Row],[Obs]]&amp;")"</f>
        <v>KOP ()</v>
      </c>
    </row>
    <row r="56" spans="1:14" x14ac:dyDescent="0.3">
      <c r="A56" s="1">
        <v>45222</v>
      </c>
      <c r="B56" t="s">
        <v>29</v>
      </c>
      <c r="C56" t="s">
        <v>26</v>
      </c>
      <c r="D56" s="8">
        <v>0.79166666666666663</v>
      </c>
      <c r="E56" s="8">
        <v>0.98958333333333337</v>
      </c>
      <c r="K56" t="s">
        <v>565</v>
      </c>
      <c r="M56" t="s">
        <v>478</v>
      </c>
      <c r="N56" t="str">
        <f>Tabela_tudo[[#This Row],[Médico]]&amp;" ("&amp;Tabela_tudo[[#This Row],[Obs]]&amp;")"</f>
        <v>JOA ()</v>
      </c>
    </row>
    <row r="57" spans="1:14" x14ac:dyDescent="0.3">
      <c r="A57" s="1">
        <v>45222</v>
      </c>
      <c r="B57" t="s">
        <v>14</v>
      </c>
      <c r="C57" t="s">
        <v>26</v>
      </c>
      <c r="D57" s="8">
        <v>0.79166666666666663</v>
      </c>
      <c r="E57" s="8">
        <v>0.98958333333333337</v>
      </c>
      <c r="K57" t="s">
        <v>565</v>
      </c>
      <c r="M57" t="s">
        <v>478</v>
      </c>
      <c r="N57" t="str">
        <f>Tabela_tudo[[#This Row],[Médico]]&amp;" ("&amp;Tabela_tudo[[#This Row],[Obs]]&amp;")"</f>
        <v>PW ()</v>
      </c>
    </row>
    <row r="58" spans="1:14" x14ac:dyDescent="0.3">
      <c r="A58" s="1">
        <v>45222</v>
      </c>
      <c r="B58" t="s">
        <v>14</v>
      </c>
      <c r="C58" t="s">
        <v>26</v>
      </c>
      <c r="D58" s="8">
        <v>0.66666666666666663</v>
      </c>
      <c r="E58" s="8">
        <v>0.79166666666666663</v>
      </c>
      <c r="J58" t="s">
        <v>565</v>
      </c>
      <c r="M58" t="s">
        <v>478</v>
      </c>
      <c r="N58" t="str">
        <f>Tabela_tudo[[#This Row],[Médico]]&amp;" ("&amp;Tabela_tudo[[#This Row],[Obs]]&amp;")"</f>
        <v>PW ()</v>
      </c>
    </row>
    <row r="59" spans="1:14" x14ac:dyDescent="0.3">
      <c r="A59" s="1">
        <v>45224</v>
      </c>
      <c r="B59" t="s">
        <v>84</v>
      </c>
      <c r="C59" t="s">
        <v>26</v>
      </c>
      <c r="D59" s="8">
        <v>0.79166666666666663</v>
      </c>
      <c r="E59" s="8">
        <v>0.91666666666666663</v>
      </c>
      <c r="K59" t="s">
        <v>565</v>
      </c>
      <c r="M59" t="s">
        <v>478</v>
      </c>
      <c r="N59" t="str">
        <f>Tabela_tudo[[#This Row],[Médico]]&amp;" ("&amp;Tabela_tudo[[#This Row],[Obs]]&amp;")"</f>
        <v>ANO ()</v>
      </c>
    </row>
    <row r="60" spans="1:14" x14ac:dyDescent="0.3">
      <c r="A60" s="1">
        <v>45224</v>
      </c>
      <c r="B60" t="s">
        <v>85</v>
      </c>
      <c r="C60" t="s">
        <v>26</v>
      </c>
      <c r="D60" s="8">
        <v>0.41666666666666669</v>
      </c>
      <c r="E60" s="8">
        <v>0.54166666666666663</v>
      </c>
      <c r="H60" t="s">
        <v>565</v>
      </c>
      <c r="M60" t="s">
        <v>478</v>
      </c>
      <c r="N60" t="str">
        <f>Tabela_tudo[[#This Row],[Médico]]&amp;" ("&amp;Tabela_tudo[[#This Row],[Obs]]&amp;")"</f>
        <v>ELF ()</v>
      </c>
    </row>
    <row r="61" spans="1:14" x14ac:dyDescent="0.3">
      <c r="A61" s="1">
        <v>45222</v>
      </c>
      <c r="B61" t="s">
        <v>84</v>
      </c>
      <c r="C61" t="s">
        <v>26</v>
      </c>
      <c r="D61" s="8">
        <v>0.79166666666666663</v>
      </c>
      <c r="E61" s="8">
        <v>0.98958333333333337</v>
      </c>
      <c r="K61" t="s">
        <v>565</v>
      </c>
      <c r="M61" t="s">
        <v>478</v>
      </c>
      <c r="N61" t="str">
        <f>Tabela_tudo[[#This Row],[Médico]]&amp;" ("&amp;Tabela_tudo[[#This Row],[Obs]]&amp;")"</f>
        <v>ANO ()</v>
      </c>
    </row>
    <row r="62" spans="1:14" x14ac:dyDescent="0.3">
      <c r="A62" s="1">
        <v>45082</v>
      </c>
      <c r="B62" t="s">
        <v>37</v>
      </c>
      <c r="C62" t="s">
        <v>26</v>
      </c>
      <c r="D62" s="8">
        <v>0.66666666666666663</v>
      </c>
      <c r="E62" s="8">
        <v>0.79166666666666663</v>
      </c>
      <c r="J62" t="s">
        <v>565</v>
      </c>
      <c r="M62" t="s">
        <v>478</v>
      </c>
      <c r="N62" t="str">
        <f>Tabela_tudo[[#This Row],[Médico]]&amp;" ("&amp;Tabela_tudo[[#This Row],[Obs]]&amp;")"</f>
        <v>EBB ()</v>
      </c>
    </row>
    <row r="63" spans="1:14" x14ac:dyDescent="0.3">
      <c r="A63" s="1">
        <v>45183</v>
      </c>
      <c r="B63" t="s">
        <v>7</v>
      </c>
      <c r="C63" t="s">
        <v>26</v>
      </c>
      <c r="D63" s="8">
        <v>0.79166666666666663</v>
      </c>
      <c r="E63" s="8">
        <v>0.91666666666666663</v>
      </c>
      <c r="K63" t="s">
        <v>565</v>
      </c>
      <c r="M63" t="s">
        <v>478</v>
      </c>
      <c r="N63" t="str">
        <f>Tabela_tudo[[#This Row],[Médico]]&amp;" ("&amp;Tabela_tudo[[#This Row],[Obs]]&amp;")"</f>
        <v>ARI ()</v>
      </c>
    </row>
    <row r="64" spans="1:14" x14ac:dyDescent="0.3">
      <c r="A64" s="1">
        <v>45183</v>
      </c>
      <c r="B64" t="s">
        <v>94</v>
      </c>
      <c r="C64" t="s">
        <v>26</v>
      </c>
      <c r="D64" s="8">
        <v>0.79166666666666663</v>
      </c>
      <c r="E64" s="8">
        <v>0.91666666666666663</v>
      </c>
      <c r="K64" t="s">
        <v>565</v>
      </c>
      <c r="M64" t="s">
        <v>478</v>
      </c>
      <c r="N64" t="str">
        <f>Tabela_tudo[[#This Row],[Médico]]&amp;" ("&amp;Tabela_tudo[[#This Row],[Obs]]&amp;")"</f>
        <v>TOT ()</v>
      </c>
    </row>
    <row r="65" spans="1:14" x14ac:dyDescent="0.3">
      <c r="A65" s="1">
        <v>45154</v>
      </c>
      <c r="B65" t="s">
        <v>63</v>
      </c>
      <c r="C65" t="s">
        <v>26</v>
      </c>
      <c r="D65" s="8">
        <v>0.79166666666666663</v>
      </c>
      <c r="E65" s="8">
        <v>0.91666666666666663</v>
      </c>
      <c r="K65" t="s">
        <v>565</v>
      </c>
      <c r="M65" t="s">
        <v>478</v>
      </c>
      <c r="N65" t="str">
        <f>Tabela_tudo[[#This Row],[Médico]]&amp;" ("&amp;Tabela_tudo[[#This Row],[Obs]]&amp;")"</f>
        <v>FQ ()</v>
      </c>
    </row>
    <row r="66" spans="1:14" x14ac:dyDescent="0.3">
      <c r="A66" s="1">
        <v>45082</v>
      </c>
      <c r="B66" t="s">
        <v>34</v>
      </c>
      <c r="C66" t="s">
        <v>26</v>
      </c>
      <c r="D66" s="8">
        <v>0.66666666666666663</v>
      </c>
      <c r="E66" s="8">
        <v>0.79166666666666663</v>
      </c>
      <c r="J66" t="s">
        <v>565</v>
      </c>
      <c r="M66" t="s">
        <v>478</v>
      </c>
      <c r="N66" t="str">
        <f>Tabela_tudo[[#This Row],[Médico]]&amp;" ("&amp;Tabela_tudo[[#This Row],[Obs]]&amp;")"</f>
        <v>LIP ()</v>
      </c>
    </row>
    <row r="67" spans="1:14" x14ac:dyDescent="0.3">
      <c r="A67" s="1">
        <v>45082</v>
      </c>
      <c r="B67" t="s">
        <v>37</v>
      </c>
      <c r="C67" t="s">
        <v>26</v>
      </c>
      <c r="D67" s="8">
        <v>0.79166666666666663</v>
      </c>
      <c r="E67" s="8">
        <v>0.95833333333333337</v>
      </c>
      <c r="K67" t="s">
        <v>565</v>
      </c>
      <c r="M67" t="s">
        <v>478</v>
      </c>
      <c r="N67" t="str">
        <f>Tabela_tudo[[#This Row],[Médico]]&amp;" ("&amp;Tabela_tudo[[#This Row],[Obs]]&amp;")"</f>
        <v>EBB ()</v>
      </c>
    </row>
    <row r="68" spans="1:14" x14ac:dyDescent="0.3">
      <c r="A68" s="1">
        <v>45082</v>
      </c>
      <c r="B68" t="s">
        <v>34</v>
      </c>
      <c r="C68" t="s">
        <v>26</v>
      </c>
      <c r="D68" s="8">
        <v>0.79166666666666663</v>
      </c>
      <c r="E68" s="8">
        <v>0.95833333333333337</v>
      </c>
      <c r="K68" t="s">
        <v>565</v>
      </c>
      <c r="M68" t="s">
        <v>478</v>
      </c>
      <c r="N68" t="str">
        <f>Tabela_tudo[[#This Row],[Médico]]&amp;" ("&amp;Tabela_tudo[[#This Row],[Obs]]&amp;")"</f>
        <v>LIP ()</v>
      </c>
    </row>
    <row r="69" spans="1:14" x14ac:dyDescent="0.3">
      <c r="A69" s="1">
        <v>45153</v>
      </c>
      <c r="B69" t="s">
        <v>29</v>
      </c>
      <c r="C69" t="s">
        <v>26</v>
      </c>
      <c r="D69" s="8">
        <v>0.66666666666666663</v>
      </c>
      <c r="E69" s="8">
        <v>0.79166666666666663</v>
      </c>
      <c r="F69" t="s">
        <v>326</v>
      </c>
      <c r="J69" t="s">
        <v>565</v>
      </c>
      <c r="M69" t="s">
        <v>478</v>
      </c>
      <c r="N69" t="str">
        <f>Tabela_tudo[[#This Row],[Médico]]&amp;" ("&amp;Tabela_tudo[[#This Row],[Obs]]&amp;")"</f>
        <v>JOA (JOA NO SANE)</v>
      </c>
    </row>
    <row r="70" spans="1:14" x14ac:dyDescent="0.3">
      <c r="A70" s="1">
        <v>45182</v>
      </c>
      <c r="B70" t="s">
        <v>50</v>
      </c>
      <c r="C70" t="s">
        <v>26</v>
      </c>
      <c r="D70" s="8">
        <v>0.29166666666666669</v>
      </c>
      <c r="E70" s="8">
        <v>0.41666666666666669</v>
      </c>
      <c r="G70" t="s">
        <v>565</v>
      </c>
      <c r="M70" t="s">
        <v>478</v>
      </c>
      <c r="N70" t="str">
        <f>Tabela_tudo[[#This Row],[Médico]]&amp;" ("&amp;Tabela_tudo[[#This Row],[Obs]]&amp;")"</f>
        <v>PJP ()</v>
      </c>
    </row>
    <row r="71" spans="1:14" x14ac:dyDescent="0.3">
      <c r="A71" s="1">
        <v>45182</v>
      </c>
      <c r="B71" t="s">
        <v>84</v>
      </c>
      <c r="C71" t="s">
        <v>26</v>
      </c>
      <c r="D71" s="8">
        <v>0.79166666666666663</v>
      </c>
      <c r="E71" s="8">
        <v>0.98958333333333337</v>
      </c>
      <c r="K71" t="s">
        <v>565</v>
      </c>
      <c r="M71" t="s">
        <v>478</v>
      </c>
      <c r="N71" t="str">
        <f>Tabela_tudo[[#This Row],[Médico]]&amp;" ("&amp;Tabela_tudo[[#This Row],[Obs]]&amp;")"</f>
        <v>ANO ()</v>
      </c>
    </row>
    <row r="72" spans="1:14" x14ac:dyDescent="0.3">
      <c r="A72" s="1">
        <v>45114</v>
      </c>
      <c r="B72" t="s">
        <v>75</v>
      </c>
      <c r="C72" t="s">
        <v>26</v>
      </c>
      <c r="D72" s="8">
        <v>0.79166666666666663</v>
      </c>
      <c r="E72" s="8">
        <v>0.91666666666666663</v>
      </c>
      <c r="K72" t="s">
        <v>565</v>
      </c>
      <c r="M72" t="s">
        <v>478</v>
      </c>
      <c r="N72" t="str">
        <f>Tabela_tudo[[#This Row],[Médico]]&amp;" ("&amp;Tabela_tudo[[#This Row],[Obs]]&amp;")"</f>
        <v>KOP ()</v>
      </c>
    </row>
    <row r="73" spans="1:14" x14ac:dyDescent="0.3">
      <c r="A73" s="1">
        <v>45182</v>
      </c>
      <c r="B73" t="s">
        <v>23</v>
      </c>
      <c r="C73" t="s">
        <v>26</v>
      </c>
      <c r="D73" s="8">
        <v>0.66666666666666663</v>
      </c>
      <c r="E73" s="8">
        <v>0.79166666666666663</v>
      </c>
      <c r="J73" t="s">
        <v>565</v>
      </c>
      <c r="M73" t="s">
        <v>478</v>
      </c>
      <c r="N73" t="str">
        <f>Tabela_tudo[[#This Row],[Médico]]&amp;" ("&amp;Tabela_tudo[[#This Row],[Obs]]&amp;")"</f>
        <v>BG ()</v>
      </c>
    </row>
    <row r="74" spans="1:14" x14ac:dyDescent="0.3">
      <c r="A74" s="1">
        <v>45182</v>
      </c>
      <c r="B74" t="s">
        <v>23</v>
      </c>
      <c r="C74" t="s">
        <v>26</v>
      </c>
      <c r="D74" s="8">
        <v>0.79166666666666663</v>
      </c>
      <c r="E74" s="8">
        <v>0.98958333333333337</v>
      </c>
      <c r="K74" t="s">
        <v>565</v>
      </c>
      <c r="M74" t="s">
        <v>478</v>
      </c>
      <c r="N74" t="str">
        <f>Tabela_tudo[[#This Row],[Médico]]&amp;" ("&amp;Tabela_tudo[[#This Row],[Obs]]&amp;")"</f>
        <v>BG ()</v>
      </c>
    </row>
    <row r="75" spans="1:14" x14ac:dyDescent="0.3">
      <c r="A75" s="1">
        <v>45182</v>
      </c>
      <c r="B75" t="s">
        <v>75</v>
      </c>
      <c r="C75" t="s">
        <v>26</v>
      </c>
      <c r="D75" s="8">
        <v>0.79166666666666663</v>
      </c>
      <c r="E75" s="8">
        <v>0.98958333333333337</v>
      </c>
      <c r="K75" t="s">
        <v>565</v>
      </c>
      <c r="M75" t="s">
        <v>478</v>
      </c>
      <c r="N75" t="str">
        <f>Tabela_tudo[[#This Row],[Médico]]&amp;" ("&amp;Tabela_tudo[[#This Row],[Obs]]&amp;")"</f>
        <v>KOP ()</v>
      </c>
    </row>
    <row r="76" spans="1:14" x14ac:dyDescent="0.3">
      <c r="A76" s="1">
        <v>45134</v>
      </c>
      <c r="B76" t="s">
        <v>14</v>
      </c>
      <c r="C76" t="s">
        <v>26</v>
      </c>
      <c r="D76" s="8">
        <v>0.66666666666666663</v>
      </c>
      <c r="E76" s="8">
        <v>0.79166666666666663</v>
      </c>
      <c r="J76" t="s">
        <v>565</v>
      </c>
      <c r="M76" t="s">
        <v>478</v>
      </c>
      <c r="N76" t="str">
        <f>Tabela_tudo[[#This Row],[Médico]]&amp;" ("&amp;Tabela_tudo[[#This Row],[Obs]]&amp;")"</f>
        <v>PW ()</v>
      </c>
    </row>
    <row r="77" spans="1:14" x14ac:dyDescent="0.3">
      <c r="A77" s="1">
        <v>45153</v>
      </c>
      <c r="B77" t="s">
        <v>142</v>
      </c>
      <c r="C77" t="s">
        <v>26</v>
      </c>
      <c r="D77" s="8">
        <v>0.79166666666666663</v>
      </c>
      <c r="E77" s="8">
        <v>0.91666666666666663</v>
      </c>
      <c r="K77" t="s">
        <v>565</v>
      </c>
      <c r="M77" t="s">
        <v>478</v>
      </c>
      <c r="N77" t="str">
        <f>Tabela_tudo[[#This Row],[Médico]]&amp;" ("&amp;Tabela_tudo[[#This Row],[Obs]]&amp;")"</f>
        <v>VIV ()</v>
      </c>
    </row>
    <row r="78" spans="1:14" x14ac:dyDescent="0.3">
      <c r="A78" s="1">
        <v>45153</v>
      </c>
      <c r="B78" t="s">
        <v>33</v>
      </c>
      <c r="C78" t="s">
        <v>26</v>
      </c>
      <c r="D78" s="8">
        <v>0.79166666666666663</v>
      </c>
      <c r="E78" s="8">
        <v>0.91666666666666663</v>
      </c>
      <c r="K78" t="s">
        <v>565</v>
      </c>
      <c r="M78" t="s">
        <v>478</v>
      </c>
      <c r="N78" t="str">
        <f>Tabela_tudo[[#This Row],[Médico]]&amp;" ("&amp;Tabela_tudo[[#This Row],[Obs]]&amp;")"</f>
        <v>DIF ()</v>
      </c>
    </row>
    <row r="79" spans="1:14" x14ac:dyDescent="0.3">
      <c r="A79" s="1">
        <v>45153</v>
      </c>
      <c r="B79" t="s">
        <v>29</v>
      </c>
      <c r="C79" t="s">
        <v>26</v>
      </c>
      <c r="D79" s="8">
        <v>0.54166666666666663</v>
      </c>
      <c r="E79" s="8">
        <v>0.66666666666666663</v>
      </c>
      <c r="F79" t="s">
        <v>326</v>
      </c>
      <c r="I79" t="s">
        <v>565</v>
      </c>
      <c r="M79" t="s">
        <v>478</v>
      </c>
      <c r="N79" t="str">
        <f>Tabela_tudo[[#This Row],[Médico]]&amp;" ("&amp;Tabela_tudo[[#This Row],[Obs]]&amp;")"</f>
        <v>JOA (JOA NO SANE)</v>
      </c>
    </row>
    <row r="80" spans="1:14" x14ac:dyDescent="0.3">
      <c r="A80" s="1">
        <v>45230</v>
      </c>
      <c r="B80" t="s">
        <v>84</v>
      </c>
      <c r="C80" t="s">
        <v>26</v>
      </c>
      <c r="D80" s="8">
        <v>0.41666666666666669</v>
      </c>
      <c r="E80" s="8">
        <v>0.54166666666666663</v>
      </c>
      <c r="H80" t="s">
        <v>565</v>
      </c>
      <c r="M80" t="s">
        <v>478</v>
      </c>
      <c r="N80" t="str">
        <f>Tabela_tudo[[#This Row],[Médico]]&amp;" ("&amp;Tabela_tudo[[#This Row],[Obs]]&amp;")"</f>
        <v>ANO ()</v>
      </c>
    </row>
    <row r="81" spans="1:14" x14ac:dyDescent="0.3">
      <c r="A81" s="1">
        <v>45114</v>
      </c>
      <c r="B81" t="s">
        <v>75</v>
      </c>
      <c r="C81" t="s">
        <v>26</v>
      </c>
      <c r="D81" s="8">
        <v>0.66666666666666663</v>
      </c>
      <c r="E81" s="8">
        <v>0.79166666666666663</v>
      </c>
      <c r="J81" t="s">
        <v>565</v>
      </c>
      <c r="M81" t="s">
        <v>478</v>
      </c>
      <c r="N81" t="str">
        <f>Tabela_tudo[[#This Row],[Médico]]&amp;" ("&amp;Tabela_tudo[[#This Row],[Obs]]&amp;")"</f>
        <v>KOP ()</v>
      </c>
    </row>
    <row r="82" spans="1:14" x14ac:dyDescent="0.3">
      <c r="A82" s="1">
        <v>45153</v>
      </c>
      <c r="B82" t="s">
        <v>44</v>
      </c>
      <c r="C82" t="s">
        <v>26</v>
      </c>
      <c r="D82" s="8">
        <v>0.41666666666666669</v>
      </c>
      <c r="E82" s="8">
        <v>0.54166666666666663</v>
      </c>
      <c r="H82" t="s">
        <v>565</v>
      </c>
      <c r="M82" t="s">
        <v>478</v>
      </c>
      <c r="N82" t="str">
        <f>Tabela_tudo[[#This Row],[Médico]]&amp;" ("&amp;Tabela_tudo[[#This Row],[Obs]]&amp;")"</f>
        <v>REI ()</v>
      </c>
    </row>
    <row r="83" spans="1:14" x14ac:dyDescent="0.3">
      <c r="A83" s="1">
        <v>45183</v>
      </c>
      <c r="B83" t="s">
        <v>16</v>
      </c>
      <c r="C83" t="s">
        <v>26</v>
      </c>
      <c r="D83" s="8">
        <v>0.66666666666666663</v>
      </c>
      <c r="E83" s="8">
        <v>0.79166666666666663</v>
      </c>
      <c r="J83" t="s">
        <v>565</v>
      </c>
      <c r="M83" t="s">
        <v>478</v>
      </c>
      <c r="N83" t="str">
        <f>Tabela_tudo[[#This Row],[Médico]]&amp;" ("&amp;Tabela_tudo[[#This Row],[Obs]]&amp;")"</f>
        <v>PP ()</v>
      </c>
    </row>
    <row r="84" spans="1:14" x14ac:dyDescent="0.3">
      <c r="A84" s="1">
        <v>45217</v>
      </c>
      <c r="B84" t="s">
        <v>84</v>
      </c>
      <c r="C84" t="s">
        <v>26</v>
      </c>
      <c r="D84" s="8">
        <v>0.79166666666666663</v>
      </c>
      <c r="E84" s="8">
        <v>0.98958333333333337</v>
      </c>
      <c r="K84" t="s">
        <v>565</v>
      </c>
      <c r="M84" t="s">
        <v>478</v>
      </c>
      <c r="N84" t="str">
        <f>Tabela_tudo[[#This Row],[Médico]]&amp;" ("&amp;Tabela_tudo[[#This Row],[Obs]]&amp;")"</f>
        <v>ANO ()</v>
      </c>
    </row>
    <row r="85" spans="1:14" x14ac:dyDescent="0.3">
      <c r="A85" s="1">
        <v>45183</v>
      </c>
      <c r="B85" t="s">
        <v>16</v>
      </c>
      <c r="C85" t="s">
        <v>26</v>
      </c>
      <c r="D85" s="8">
        <v>0.79166666666666663</v>
      </c>
      <c r="E85" s="8">
        <v>0.98958333333333337</v>
      </c>
      <c r="K85" t="s">
        <v>565</v>
      </c>
      <c r="M85" t="s">
        <v>478</v>
      </c>
      <c r="N85" t="str">
        <f>Tabela_tudo[[#This Row],[Médico]]&amp;" ("&amp;Tabela_tudo[[#This Row],[Obs]]&amp;")"</f>
        <v>PP ()</v>
      </c>
    </row>
    <row r="86" spans="1:14" x14ac:dyDescent="0.3">
      <c r="A86" s="1">
        <v>45218</v>
      </c>
      <c r="B86" t="s">
        <v>32</v>
      </c>
      <c r="C86" t="s">
        <v>26</v>
      </c>
      <c r="D86" s="8">
        <v>0.66666666666666663</v>
      </c>
      <c r="E86" s="8">
        <v>0.98958333333333337</v>
      </c>
      <c r="J86" t="s">
        <v>565</v>
      </c>
      <c r="K86" t="s">
        <v>565</v>
      </c>
      <c r="M86" t="s">
        <v>478</v>
      </c>
      <c r="N86" t="str">
        <f>Tabela_tudo[[#This Row],[Médico]]&amp;" ("&amp;Tabela_tudo[[#This Row],[Obs]]&amp;")"</f>
        <v>JS ()</v>
      </c>
    </row>
    <row r="87" spans="1:14" x14ac:dyDescent="0.3">
      <c r="A87" s="1">
        <v>45218</v>
      </c>
      <c r="B87" t="s">
        <v>34</v>
      </c>
      <c r="C87" t="s">
        <v>26</v>
      </c>
      <c r="D87" s="8">
        <v>0.79166666666666663</v>
      </c>
      <c r="E87" s="8">
        <v>0.98958333333333337</v>
      </c>
      <c r="K87" t="s">
        <v>565</v>
      </c>
      <c r="M87" t="s">
        <v>478</v>
      </c>
      <c r="N87" t="str">
        <f>Tabela_tudo[[#This Row],[Médico]]&amp;" ("&amp;Tabela_tudo[[#This Row],[Obs]]&amp;")"</f>
        <v>LIP ()</v>
      </c>
    </row>
    <row r="88" spans="1:14" x14ac:dyDescent="0.3">
      <c r="A88" s="1">
        <v>45218</v>
      </c>
      <c r="B88" t="s">
        <v>34</v>
      </c>
      <c r="C88" t="s">
        <v>26</v>
      </c>
      <c r="D88" s="8">
        <v>0.66666666666666663</v>
      </c>
      <c r="E88" s="8">
        <v>0.79166666666666663</v>
      </c>
      <c r="J88" t="s">
        <v>565</v>
      </c>
      <c r="M88" t="s">
        <v>478</v>
      </c>
      <c r="N88" t="str">
        <f>Tabela_tudo[[#This Row],[Médico]]&amp;" ("&amp;Tabela_tudo[[#This Row],[Obs]]&amp;")"</f>
        <v>LIP ()</v>
      </c>
    </row>
    <row r="89" spans="1:14" x14ac:dyDescent="0.3">
      <c r="A89" s="1">
        <v>45155</v>
      </c>
      <c r="B89" t="s">
        <v>32</v>
      </c>
      <c r="C89" t="s">
        <v>26</v>
      </c>
      <c r="D89" s="8">
        <v>0.66666666666666663</v>
      </c>
      <c r="E89" s="8">
        <v>0.79166666666666663</v>
      </c>
      <c r="J89" t="s">
        <v>565</v>
      </c>
      <c r="M89" t="s">
        <v>478</v>
      </c>
      <c r="N89" t="str">
        <f>Tabela_tudo[[#This Row],[Médico]]&amp;" ("&amp;Tabela_tudo[[#This Row],[Obs]]&amp;")"</f>
        <v>JS ()</v>
      </c>
    </row>
    <row r="90" spans="1:14" x14ac:dyDescent="0.3">
      <c r="A90" s="1">
        <v>45084</v>
      </c>
      <c r="B90" t="s">
        <v>84</v>
      </c>
      <c r="C90" t="s">
        <v>26</v>
      </c>
      <c r="D90" s="8">
        <v>0.79166666666666663</v>
      </c>
      <c r="E90" s="8">
        <v>0.91666666666666663</v>
      </c>
      <c r="K90" t="s">
        <v>565</v>
      </c>
      <c r="M90" t="s">
        <v>478</v>
      </c>
      <c r="N90" t="str">
        <f>Tabela_tudo[[#This Row],[Médico]]&amp;" ("&amp;Tabela_tudo[[#This Row],[Obs]]&amp;")"</f>
        <v>ANO ()</v>
      </c>
    </row>
    <row r="91" spans="1:14" x14ac:dyDescent="0.3">
      <c r="A91" s="1">
        <v>45155</v>
      </c>
      <c r="B91" t="s">
        <v>32</v>
      </c>
      <c r="C91" t="s">
        <v>26</v>
      </c>
      <c r="D91" s="8">
        <v>0.79166666666666663</v>
      </c>
      <c r="E91" s="8">
        <v>0.91666666666666663</v>
      </c>
      <c r="K91" t="s">
        <v>565</v>
      </c>
      <c r="M91" t="s">
        <v>478</v>
      </c>
      <c r="N91" t="str">
        <f>Tabela_tudo[[#This Row],[Médico]]&amp;" ("&amp;Tabela_tudo[[#This Row],[Obs]]&amp;")"</f>
        <v>JS ()</v>
      </c>
    </row>
    <row r="92" spans="1:14" x14ac:dyDescent="0.3">
      <c r="A92" s="1">
        <v>45155</v>
      </c>
      <c r="B92" t="s">
        <v>7</v>
      </c>
      <c r="C92" t="s">
        <v>26</v>
      </c>
      <c r="D92" s="8">
        <v>0.79166666666666663</v>
      </c>
      <c r="E92" s="8">
        <v>0.91666666666666663</v>
      </c>
      <c r="K92" t="s">
        <v>565</v>
      </c>
      <c r="M92" t="s">
        <v>478</v>
      </c>
      <c r="N92" t="str">
        <f>Tabela_tudo[[#This Row],[Médico]]&amp;" ("&amp;Tabela_tudo[[#This Row],[Obs]]&amp;")"</f>
        <v>ARI ()</v>
      </c>
    </row>
    <row r="93" spans="1:14" x14ac:dyDescent="0.3">
      <c r="A93" s="1">
        <v>45084</v>
      </c>
      <c r="B93" t="s">
        <v>29</v>
      </c>
      <c r="C93" t="s">
        <v>26</v>
      </c>
      <c r="D93" s="8">
        <v>0.66666666666666663</v>
      </c>
      <c r="E93" s="8">
        <v>0.79166666666666663</v>
      </c>
      <c r="J93" t="s">
        <v>565</v>
      </c>
      <c r="M93" t="s">
        <v>478</v>
      </c>
      <c r="N93" t="str">
        <f>Tabela_tudo[[#This Row],[Médico]]&amp;" ("&amp;Tabela_tudo[[#This Row],[Obs]]&amp;")"</f>
        <v>JOA ()</v>
      </c>
    </row>
    <row r="94" spans="1:14" x14ac:dyDescent="0.3">
      <c r="A94" s="1">
        <v>45084</v>
      </c>
      <c r="B94" t="s">
        <v>29</v>
      </c>
      <c r="C94" t="s">
        <v>26</v>
      </c>
      <c r="D94" s="8">
        <v>0.79166666666666663</v>
      </c>
      <c r="E94" s="8">
        <v>0.91666666666666663</v>
      </c>
      <c r="K94" t="s">
        <v>565</v>
      </c>
      <c r="M94" t="s">
        <v>478</v>
      </c>
      <c r="N94" t="str">
        <f>Tabela_tudo[[#This Row],[Médico]]&amp;" ("&amp;Tabela_tudo[[#This Row],[Obs]]&amp;")"</f>
        <v>JOA ()</v>
      </c>
    </row>
    <row r="95" spans="1:14" x14ac:dyDescent="0.3">
      <c r="A95" s="1">
        <v>45084</v>
      </c>
      <c r="B95" t="s">
        <v>34</v>
      </c>
      <c r="C95" t="s">
        <v>26</v>
      </c>
      <c r="D95" s="8">
        <v>0.79166666666666663</v>
      </c>
      <c r="E95" s="8">
        <v>0.91666666666666663</v>
      </c>
      <c r="K95" t="s">
        <v>565</v>
      </c>
      <c r="M95" t="s">
        <v>478</v>
      </c>
      <c r="N95" t="str">
        <f>Tabela_tudo[[#This Row],[Médico]]&amp;" ("&amp;Tabela_tudo[[#This Row],[Obs]]&amp;")"</f>
        <v>LIP ()</v>
      </c>
    </row>
    <row r="96" spans="1:14" x14ac:dyDescent="0.3">
      <c r="A96" s="1">
        <v>45218</v>
      </c>
      <c r="B96" t="s">
        <v>47</v>
      </c>
      <c r="C96" t="s">
        <v>26</v>
      </c>
      <c r="D96" s="8">
        <v>0.29166666666666669</v>
      </c>
      <c r="E96" s="8">
        <v>0.41666666666666669</v>
      </c>
      <c r="G96" t="s">
        <v>565</v>
      </c>
      <c r="M96" t="s">
        <v>478</v>
      </c>
      <c r="N96" t="str">
        <f>Tabela_tudo[[#This Row],[Médico]]&amp;" ("&amp;Tabela_tudo[[#This Row],[Obs]]&amp;")"</f>
        <v>VIN ()</v>
      </c>
    </row>
    <row r="97" spans="1:14" x14ac:dyDescent="0.3">
      <c r="A97" s="1">
        <v>45154</v>
      </c>
      <c r="B97" t="s">
        <v>16</v>
      </c>
      <c r="C97" t="s">
        <v>26</v>
      </c>
      <c r="D97" s="8">
        <v>0.79166666666666663</v>
      </c>
      <c r="E97" s="8">
        <v>0.91666666666666663</v>
      </c>
      <c r="K97" t="s">
        <v>565</v>
      </c>
      <c r="M97" t="s">
        <v>478</v>
      </c>
      <c r="N97" t="str">
        <f>Tabela_tudo[[#This Row],[Médico]]&amp;" ("&amp;Tabela_tudo[[#This Row],[Obs]]&amp;")"</f>
        <v>PP ()</v>
      </c>
    </row>
    <row r="98" spans="1:14" x14ac:dyDescent="0.3">
      <c r="A98" s="1">
        <v>45113</v>
      </c>
      <c r="B98" t="s">
        <v>14</v>
      </c>
      <c r="C98" t="s">
        <v>26</v>
      </c>
      <c r="D98" s="8">
        <v>0.66666666666666663</v>
      </c>
      <c r="E98" s="8">
        <v>0.79166666666666663</v>
      </c>
      <c r="J98" t="s">
        <v>565</v>
      </c>
      <c r="M98" t="s">
        <v>478</v>
      </c>
      <c r="N98" t="str">
        <f>Tabela_tudo[[#This Row],[Médico]]&amp;" ("&amp;Tabela_tudo[[#This Row],[Obs]]&amp;")"</f>
        <v>PW ()</v>
      </c>
    </row>
    <row r="99" spans="1:14" x14ac:dyDescent="0.3">
      <c r="A99" s="1">
        <v>45219</v>
      </c>
      <c r="B99" t="s">
        <v>14</v>
      </c>
      <c r="C99" t="s">
        <v>26</v>
      </c>
      <c r="D99" s="8">
        <v>0.79166666666666663</v>
      </c>
      <c r="E99" s="8">
        <v>0.91666666666666663</v>
      </c>
      <c r="K99" t="s">
        <v>565</v>
      </c>
      <c r="M99" t="s">
        <v>478</v>
      </c>
      <c r="N99" t="str">
        <f>Tabela_tudo[[#This Row],[Médico]]&amp;" ("&amp;Tabela_tudo[[#This Row],[Obs]]&amp;")"</f>
        <v>PW ()</v>
      </c>
    </row>
    <row r="100" spans="1:14" x14ac:dyDescent="0.3">
      <c r="A100" s="1">
        <v>45133</v>
      </c>
      <c r="B100" t="s">
        <v>73</v>
      </c>
      <c r="C100" t="s">
        <v>26</v>
      </c>
      <c r="D100" s="8">
        <v>0.41666666666666669</v>
      </c>
      <c r="E100" s="8">
        <v>0.54166666666666663</v>
      </c>
      <c r="H100" t="s">
        <v>565</v>
      </c>
      <c r="M100" t="s">
        <v>478</v>
      </c>
      <c r="N100" t="str">
        <f>Tabela_tudo[[#This Row],[Médico]]&amp;" ("&amp;Tabela_tudo[[#This Row],[Obs]]&amp;")"</f>
        <v>RT ()</v>
      </c>
    </row>
    <row r="101" spans="1:14" x14ac:dyDescent="0.3">
      <c r="A101" s="1">
        <v>45113</v>
      </c>
      <c r="B101" t="s">
        <v>33</v>
      </c>
      <c r="C101" t="s">
        <v>26</v>
      </c>
      <c r="D101" s="8">
        <v>0.79166666666666663</v>
      </c>
      <c r="E101" s="8">
        <v>0.95833333333333337</v>
      </c>
      <c r="K101" t="s">
        <v>565</v>
      </c>
      <c r="M101" t="s">
        <v>478</v>
      </c>
      <c r="N101" t="str">
        <f>Tabela_tudo[[#This Row],[Médico]]&amp;" ("&amp;Tabela_tudo[[#This Row],[Obs]]&amp;")"</f>
        <v>DIF ()</v>
      </c>
    </row>
    <row r="102" spans="1:14" x14ac:dyDescent="0.3">
      <c r="A102" s="1">
        <v>45154</v>
      </c>
      <c r="B102" t="s">
        <v>16</v>
      </c>
      <c r="C102" t="s">
        <v>26</v>
      </c>
      <c r="D102" s="8">
        <v>0.66666666666666663</v>
      </c>
      <c r="E102" s="8">
        <v>0.79166666666666663</v>
      </c>
      <c r="J102" t="s">
        <v>565</v>
      </c>
      <c r="M102" t="s">
        <v>478</v>
      </c>
      <c r="N102" t="str">
        <f>Tabela_tudo[[#This Row],[Médico]]&amp;" ("&amp;Tabela_tudo[[#This Row],[Obs]]&amp;")"</f>
        <v>PP ()</v>
      </c>
    </row>
    <row r="103" spans="1:14" x14ac:dyDescent="0.3">
      <c r="A103" s="1">
        <v>45219</v>
      </c>
      <c r="B103" t="s">
        <v>23</v>
      </c>
      <c r="C103" t="s">
        <v>26</v>
      </c>
      <c r="D103" s="8">
        <v>0.79166666666666663</v>
      </c>
      <c r="E103" s="8">
        <v>0.91666666666666663</v>
      </c>
      <c r="K103" t="s">
        <v>565</v>
      </c>
      <c r="M103" t="s">
        <v>478</v>
      </c>
      <c r="N103" t="str">
        <f>Tabela_tudo[[#This Row],[Médico]]&amp;" ("&amp;Tabela_tudo[[#This Row],[Obs]]&amp;")"</f>
        <v>BG ()</v>
      </c>
    </row>
    <row r="104" spans="1:14" x14ac:dyDescent="0.3">
      <c r="A104" s="1">
        <v>45218</v>
      </c>
      <c r="B104" t="s">
        <v>71</v>
      </c>
      <c r="C104" t="s">
        <v>26</v>
      </c>
      <c r="D104" s="8">
        <v>0.79166666666666663</v>
      </c>
      <c r="E104" s="8">
        <v>0.91666666666666663</v>
      </c>
      <c r="K104" t="s">
        <v>565</v>
      </c>
      <c r="M104" t="s">
        <v>478</v>
      </c>
      <c r="N104" t="str">
        <f>Tabela_tudo[[#This Row],[Médico]]&amp;" ("&amp;Tabela_tudo[[#This Row],[Obs]]&amp;")"</f>
        <v>BRU ()</v>
      </c>
    </row>
    <row r="105" spans="1:14" x14ac:dyDescent="0.3">
      <c r="A105" s="1">
        <v>45218</v>
      </c>
      <c r="B105" t="s">
        <v>20</v>
      </c>
      <c r="C105" t="s">
        <v>26</v>
      </c>
      <c r="D105" s="8">
        <v>0.79166666666666663</v>
      </c>
      <c r="E105" s="8">
        <v>0.91666666666666663</v>
      </c>
      <c r="K105" t="s">
        <v>565</v>
      </c>
      <c r="M105" t="s">
        <v>478</v>
      </c>
      <c r="N105" t="str">
        <f>Tabela_tudo[[#This Row],[Médico]]&amp;" ("&amp;Tabela_tudo[[#This Row],[Obs]]&amp;")"</f>
        <v>ROB ()</v>
      </c>
    </row>
    <row r="106" spans="1:14" x14ac:dyDescent="0.3">
      <c r="A106" s="1">
        <v>45218</v>
      </c>
      <c r="B106" t="s">
        <v>47</v>
      </c>
      <c r="C106" t="s">
        <v>26</v>
      </c>
      <c r="D106" s="8">
        <v>0.41666666666666669</v>
      </c>
      <c r="E106" s="8">
        <v>0.54166666666666663</v>
      </c>
      <c r="H106" t="s">
        <v>565</v>
      </c>
      <c r="M106" t="s">
        <v>478</v>
      </c>
      <c r="N106" t="str">
        <f>Tabela_tudo[[#This Row],[Médico]]&amp;" ("&amp;Tabela_tudo[[#This Row],[Obs]]&amp;")"</f>
        <v>VIN ()</v>
      </c>
    </row>
    <row r="107" spans="1:14" x14ac:dyDescent="0.3">
      <c r="A107" s="1">
        <v>45219</v>
      </c>
      <c r="B107" t="s">
        <v>16</v>
      </c>
      <c r="C107" t="s">
        <v>26</v>
      </c>
      <c r="D107" s="8">
        <v>0.79166666666666663</v>
      </c>
      <c r="E107" s="8">
        <v>0.91666666666666663</v>
      </c>
      <c r="K107" t="s">
        <v>565</v>
      </c>
      <c r="M107" t="s">
        <v>478</v>
      </c>
      <c r="N107" t="str">
        <f>Tabela_tudo[[#This Row],[Médico]]&amp;" ("&amp;Tabela_tudo[[#This Row],[Obs]]&amp;")"</f>
        <v>PP ()</v>
      </c>
    </row>
    <row r="108" spans="1:14" x14ac:dyDescent="0.3">
      <c r="A108" s="1">
        <v>45219</v>
      </c>
      <c r="B108" t="s">
        <v>48</v>
      </c>
      <c r="C108" t="s">
        <v>26</v>
      </c>
      <c r="D108" s="8">
        <v>0.66666666666666663</v>
      </c>
      <c r="E108" s="8">
        <v>0.91666666666666663</v>
      </c>
      <c r="J108" t="s">
        <v>565</v>
      </c>
      <c r="K108" t="s">
        <v>565</v>
      </c>
      <c r="M108" t="s">
        <v>478</v>
      </c>
      <c r="N108" t="str">
        <f>Tabela_tudo[[#This Row],[Médico]]&amp;" ("&amp;Tabela_tudo[[#This Row],[Obs]]&amp;")"</f>
        <v>MAF ()</v>
      </c>
    </row>
    <row r="109" spans="1:14" x14ac:dyDescent="0.3">
      <c r="A109" s="1">
        <v>45219</v>
      </c>
      <c r="B109" t="s">
        <v>94</v>
      </c>
      <c r="C109" t="s">
        <v>26</v>
      </c>
      <c r="D109" s="8">
        <v>0.66666666666666663</v>
      </c>
      <c r="E109" s="8">
        <v>0.91666666666666663</v>
      </c>
      <c r="J109" t="s">
        <v>565</v>
      </c>
      <c r="K109" t="s">
        <v>565</v>
      </c>
      <c r="M109" t="s">
        <v>478</v>
      </c>
      <c r="N109" t="str">
        <f>Tabela_tudo[[#This Row],[Médico]]&amp;" ("&amp;Tabela_tudo[[#This Row],[Obs]]&amp;")"</f>
        <v>TOT ()</v>
      </c>
    </row>
    <row r="110" spans="1:14" x14ac:dyDescent="0.3">
      <c r="A110" s="1">
        <v>45168</v>
      </c>
      <c r="B110" t="s">
        <v>64</v>
      </c>
      <c r="C110" t="s">
        <v>26</v>
      </c>
      <c r="D110" s="8">
        <v>0.66666666666666663</v>
      </c>
      <c r="E110" s="8">
        <v>0.79166666666666663</v>
      </c>
      <c r="J110" t="s">
        <v>565</v>
      </c>
      <c r="M110" t="s">
        <v>478</v>
      </c>
      <c r="N110" t="str">
        <f>Tabela_tudo[[#This Row],[Médico]]&amp;" ("&amp;Tabela_tudo[[#This Row],[Obs]]&amp;")"</f>
        <v>SAR ()</v>
      </c>
    </row>
    <row r="111" spans="1:14" x14ac:dyDescent="0.3">
      <c r="A111" s="1">
        <v>45194</v>
      </c>
      <c r="B111" t="s">
        <v>84</v>
      </c>
      <c r="C111" t="s">
        <v>26</v>
      </c>
      <c r="D111" s="8">
        <v>0.79166666666666663</v>
      </c>
      <c r="E111" s="8">
        <v>0.98958333333333337</v>
      </c>
      <c r="K111" t="s">
        <v>565</v>
      </c>
      <c r="M111" t="s">
        <v>478</v>
      </c>
      <c r="N111" t="str">
        <f>Tabela_tudo[[#This Row],[Médico]]&amp;" ("&amp;Tabela_tudo[[#This Row],[Obs]]&amp;")"</f>
        <v>ANO ()</v>
      </c>
    </row>
    <row r="112" spans="1:14" x14ac:dyDescent="0.3">
      <c r="A112" s="1">
        <v>45198</v>
      </c>
      <c r="B112" t="s">
        <v>66</v>
      </c>
      <c r="C112" t="s">
        <v>26</v>
      </c>
      <c r="D112" s="8">
        <v>0.41666666666666669</v>
      </c>
      <c r="E112" s="8">
        <v>0.54166666666666663</v>
      </c>
      <c r="H112" t="s">
        <v>565</v>
      </c>
      <c r="M112" t="s">
        <v>478</v>
      </c>
      <c r="N112" t="str">
        <f>Tabela_tudo[[#This Row],[Médico]]&amp;" ("&amp;Tabela_tudo[[#This Row],[Obs]]&amp;")"</f>
        <v>MOZ ()</v>
      </c>
    </row>
    <row r="113" spans="1:14" x14ac:dyDescent="0.3">
      <c r="A113" s="1">
        <v>45198</v>
      </c>
      <c r="B113" t="s">
        <v>66</v>
      </c>
      <c r="C113" t="s">
        <v>26</v>
      </c>
      <c r="D113" s="8">
        <v>0.29166666666666669</v>
      </c>
      <c r="E113" s="8">
        <v>0.41666666666666669</v>
      </c>
      <c r="G113" t="s">
        <v>565</v>
      </c>
      <c r="M113" t="s">
        <v>478</v>
      </c>
      <c r="N113" t="str">
        <f>Tabela_tudo[[#This Row],[Médico]]&amp;" ("&amp;Tabela_tudo[[#This Row],[Obs]]&amp;")"</f>
        <v>MOZ ()</v>
      </c>
    </row>
    <row r="114" spans="1:14" x14ac:dyDescent="0.3">
      <c r="A114" s="1">
        <v>45098</v>
      </c>
      <c r="B114" t="s">
        <v>48</v>
      </c>
      <c r="C114" t="s">
        <v>26</v>
      </c>
      <c r="D114" s="8">
        <v>0.79166666666666663</v>
      </c>
      <c r="E114" s="8">
        <v>0.91666666666666663</v>
      </c>
      <c r="K114" t="s">
        <v>565</v>
      </c>
      <c r="M114" t="s">
        <v>478</v>
      </c>
      <c r="N114" t="str">
        <f>Tabela_tudo[[#This Row],[Médico]]&amp;" ("&amp;Tabela_tudo[[#This Row],[Obs]]&amp;")"</f>
        <v>MAF ()</v>
      </c>
    </row>
    <row r="115" spans="1:14" x14ac:dyDescent="0.3">
      <c r="A115" s="1">
        <v>45169</v>
      </c>
      <c r="B115" t="s">
        <v>17</v>
      </c>
      <c r="C115" t="s">
        <v>26</v>
      </c>
      <c r="D115" s="8">
        <v>0.79166666666666663</v>
      </c>
      <c r="E115" s="8">
        <v>0.98958333333333337</v>
      </c>
      <c r="K115" t="s">
        <v>565</v>
      </c>
      <c r="M115" t="s">
        <v>478</v>
      </c>
      <c r="N115" t="str">
        <f>Tabela_tudo[[#This Row],[Médico]]&amp;" ("&amp;Tabela_tudo[[#This Row],[Obs]]&amp;")"</f>
        <v>FAB ()</v>
      </c>
    </row>
    <row r="116" spans="1:14" x14ac:dyDescent="0.3">
      <c r="A116" s="1">
        <v>45210</v>
      </c>
      <c r="B116" t="s">
        <v>94</v>
      </c>
      <c r="C116" t="s">
        <v>26</v>
      </c>
      <c r="D116" s="8">
        <v>0.41666666666666669</v>
      </c>
      <c r="E116" s="8">
        <v>0.54166666666666663</v>
      </c>
      <c r="H116" t="s">
        <v>565</v>
      </c>
      <c r="M116" t="s">
        <v>478</v>
      </c>
      <c r="N116" t="str">
        <f>Tabela_tudo[[#This Row],[Médico]]&amp;" ("&amp;Tabela_tudo[[#This Row],[Obs]]&amp;")"</f>
        <v>TOT ()</v>
      </c>
    </row>
    <row r="117" spans="1:14" x14ac:dyDescent="0.3">
      <c r="A117" s="1">
        <v>45198</v>
      </c>
      <c r="B117" t="s">
        <v>50</v>
      </c>
      <c r="C117" t="s">
        <v>26</v>
      </c>
      <c r="D117" s="8">
        <v>0.29166666666666669</v>
      </c>
      <c r="E117" s="8">
        <v>0.41666666666666669</v>
      </c>
      <c r="G117" t="s">
        <v>565</v>
      </c>
      <c r="M117" t="s">
        <v>478</v>
      </c>
      <c r="N117" t="str">
        <f>Tabela_tudo[[#This Row],[Médico]]&amp;" ("&amp;Tabela_tudo[[#This Row],[Obs]]&amp;")"</f>
        <v>PJP ()</v>
      </c>
    </row>
    <row r="118" spans="1:14" x14ac:dyDescent="0.3">
      <c r="A118" s="1">
        <v>45198</v>
      </c>
      <c r="B118" t="s">
        <v>71</v>
      </c>
      <c r="C118" t="s">
        <v>26</v>
      </c>
      <c r="D118" s="8">
        <v>0.66666666666666663</v>
      </c>
      <c r="E118" s="8">
        <v>0.79166666666666663</v>
      </c>
      <c r="J118" t="s">
        <v>565</v>
      </c>
      <c r="M118" t="s">
        <v>478</v>
      </c>
      <c r="N118" t="str">
        <f>Tabela_tudo[[#This Row],[Médico]]&amp;" ("&amp;Tabela_tudo[[#This Row],[Obs]]&amp;")"</f>
        <v>BRU ()</v>
      </c>
    </row>
    <row r="119" spans="1:14" x14ac:dyDescent="0.3">
      <c r="A119" s="1">
        <v>45106</v>
      </c>
      <c r="B119" t="s">
        <v>21</v>
      </c>
      <c r="C119" t="s">
        <v>26</v>
      </c>
      <c r="D119" s="8">
        <v>0.66666666666666663</v>
      </c>
      <c r="E119" s="8">
        <v>0.79166666666666663</v>
      </c>
      <c r="J119" t="s">
        <v>565</v>
      </c>
      <c r="M119" t="s">
        <v>478</v>
      </c>
      <c r="N119" t="str">
        <f>Tabela_tudo[[#This Row],[Médico]]&amp;" ("&amp;Tabela_tudo[[#This Row],[Obs]]&amp;")"</f>
        <v>RA ()</v>
      </c>
    </row>
    <row r="120" spans="1:14" x14ac:dyDescent="0.3">
      <c r="A120" s="1">
        <v>45106</v>
      </c>
      <c r="B120" t="s">
        <v>21</v>
      </c>
      <c r="C120" t="s">
        <v>26</v>
      </c>
      <c r="D120" s="8">
        <v>0.54166666666666663</v>
      </c>
      <c r="E120" s="8">
        <v>0.66666666666666663</v>
      </c>
      <c r="I120" t="s">
        <v>565</v>
      </c>
      <c r="M120" t="s">
        <v>478</v>
      </c>
      <c r="N120" t="str">
        <f>Tabela_tudo[[#This Row],[Médico]]&amp;" ("&amp;Tabela_tudo[[#This Row],[Obs]]&amp;")"</f>
        <v>RA ()</v>
      </c>
    </row>
    <row r="121" spans="1:14" x14ac:dyDescent="0.3">
      <c r="A121" s="1">
        <v>45198</v>
      </c>
      <c r="B121" t="s">
        <v>34</v>
      </c>
      <c r="C121" t="s">
        <v>26</v>
      </c>
      <c r="D121" s="8">
        <v>0.79166666666666663</v>
      </c>
      <c r="E121" s="8">
        <v>0.98958333333333337</v>
      </c>
      <c r="K121" t="s">
        <v>565</v>
      </c>
      <c r="M121" t="s">
        <v>478</v>
      </c>
      <c r="N121" t="str">
        <f>Tabela_tudo[[#This Row],[Médico]]&amp;" ("&amp;Tabela_tudo[[#This Row],[Obs]]&amp;")"</f>
        <v>LIP ()</v>
      </c>
    </row>
    <row r="122" spans="1:14" x14ac:dyDescent="0.3">
      <c r="A122" s="1">
        <v>45198</v>
      </c>
      <c r="B122" t="s">
        <v>34</v>
      </c>
      <c r="C122" t="s">
        <v>26</v>
      </c>
      <c r="D122" s="8">
        <v>0.66666666666666663</v>
      </c>
      <c r="E122" s="8">
        <v>0.79166666666666663</v>
      </c>
      <c r="J122" t="s">
        <v>565</v>
      </c>
      <c r="M122" t="s">
        <v>478</v>
      </c>
      <c r="N122" t="str">
        <f>Tabela_tudo[[#This Row],[Médico]]&amp;" ("&amp;Tabela_tudo[[#This Row],[Obs]]&amp;")"</f>
        <v>LIP ()</v>
      </c>
    </row>
    <row r="123" spans="1:14" x14ac:dyDescent="0.3">
      <c r="A123" s="1">
        <v>45198</v>
      </c>
      <c r="B123" t="s">
        <v>84</v>
      </c>
      <c r="C123" t="s">
        <v>26</v>
      </c>
      <c r="D123" s="8">
        <v>0.54166666666666663</v>
      </c>
      <c r="E123" s="8">
        <v>0.66666666666666663</v>
      </c>
      <c r="I123" t="s">
        <v>565</v>
      </c>
      <c r="M123" t="s">
        <v>478</v>
      </c>
      <c r="N123" t="str">
        <f>Tabela_tudo[[#This Row],[Médico]]&amp;" ("&amp;Tabela_tudo[[#This Row],[Obs]]&amp;")"</f>
        <v>ANO ()</v>
      </c>
    </row>
    <row r="124" spans="1:14" x14ac:dyDescent="0.3">
      <c r="A124" s="1">
        <v>45098</v>
      </c>
      <c r="B124" t="s">
        <v>71</v>
      </c>
      <c r="C124" t="s">
        <v>26</v>
      </c>
      <c r="D124" s="8">
        <v>0.79166666666666663</v>
      </c>
      <c r="E124" s="8">
        <v>0.91666666666666663</v>
      </c>
      <c r="K124" t="s">
        <v>565</v>
      </c>
      <c r="M124" t="s">
        <v>478</v>
      </c>
      <c r="N124" t="str">
        <f>Tabela_tudo[[#This Row],[Médico]]&amp;" ("&amp;Tabela_tudo[[#This Row],[Obs]]&amp;")"</f>
        <v>BRU ()</v>
      </c>
    </row>
    <row r="125" spans="1:14" x14ac:dyDescent="0.3">
      <c r="A125" s="1">
        <v>45097</v>
      </c>
      <c r="B125" t="s">
        <v>16</v>
      </c>
      <c r="C125" t="s">
        <v>26</v>
      </c>
      <c r="D125" s="8">
        <v>0.66666666666666663</v>
      </c>
      <c r="E125" s="8">
        <v>0.79166666666666663</v>
      </c>
      <c r="J125" t="s">
        <v>565</v>
      </c>
      <c r="M125" t="s">
        <v>478</v>
      </c>
      <c r="N125" t="str">
        <f>Tabela_tudo[[#This Row],[Médico]]&amp;" ("&amp;Tabela_tudo[[#This Row],[Obs]]&amp;")"</f>
        <v>PP ()</v>
      </c>
    </row>
    <row r="126" spans="1:14" x14ac:dyDescent="0.3">
      <c r="A126" s="1">
        <v>45097</v>
      </c>
      <c r="B126" t="s">
        <v>16</v>
      </c>
      <c r="C126" t="s">
        <v>26</v>
      </c>
      <c r="D126" s="8">
        <v>0.79166666666666663</v>
      </c>
      <c r="E126" s="8">
        <v>0.91666666666666663</v>
      </c>
      <c r="K126" t="s">
        <v>565</v>
      </c>
      <c r="M126" t="s">
        <v>478</v>
      </c>
      <c r="N126" t="str">
        <f>Tabela_tudo[[#This Row],[Médico]]&amp;" ("&amp;Tabela_tudo[[#This Row],[Obs]]&amp;")"</f>
        <v>PP ()</v>
      </c>
    </row>
    <row r="127" spans="1:14" x14ac:dyDescent="0.3">
      <c r="A127" s="1">
        <v>45201</v>
      </c>
      <c r="B127" t="s">
        <v>33</v>
      </c>
      <c r="C127" t="s">
        <v>26</v>
      </c>
      <c r="D127" s="8">
        <v>0.79166666666666663</v>
      </c>
      <c r="E127" s="8">
        <v>0.98958333333333337</v>
      </c>
      <c r="K127" t="s">
        <v>565</v>
      </c>
      <c r="M127" t="s">
        <v>478</v>
      </c>
      <c r="N127" t="str">
        <f>Tabela_tudo[[#This Row],[Médico]]&amp;" ("&amp;Tabela_tudo[[#This Row],[Obs]]&amp;")"</f>
        <v>DIF ()</v>
      </c>
    </row>
    <row r="128" spans="1:14" x14ac:dyDescent="0.3">
      <c r="A128" s="1">
        <v>45202</v>
      </c>
      <c r="B128" t="s">
        <v>48</v>
      </c>
      <c r="C128" t="s">
        <v>26</v>
      </c>
      <c r="D128" s="8">
        <v>0.66666666666666663</v>
      </c>
      <c r="E128" s="8">
        <v>0.79166666666666663</v>
      </c>
      <c r="J128" t="s">
        <v>565</v>
      </c>
      <c r="M128" t="s">
        <v>478</v>
      </c>
      <c r="N128" t="str">
        <f>Tabela_tudo[[#This Row],[Médico]]&amp;" ("&amp;Tabela_tudo[[#This Row],[Obs]]&amp;")"</f>
        <v>MAF ()</v>
      </c>
    </row>
    <row r="129" spans="1:14" x14ac:dyDescent="0.3">
      <c r="A129" s="1">
        <v>45163</v>
      </c>
      <c r="B129" t="s">
        <v>73</v>
      </c>
      <c r="C129" t="s">
        <v>26</v>
      </c>
      <c r="D129" s="8">
        <v>0.66666666666666663</v>
      </c>
      <c r="E129" s="8">
        <v>0.79166666666666663</v>
      </c>
      <c r="J129" t="s">
        <v>565</v>
      </c>
      <c r="M129" t="s">
        <v>478</v>
      </c>
      <c r="N129" t="str">
        <f>Tabela_tudo[[#This Row],[Médico]]&amp;" ("&amp;Tabela_tudo[[#This Row],[Obs]]&amp;")"</f>
        <v>RT ()</v>
      </c>
    </row>
    <row r="130" spans="1:14" x14ac:dyDescent="0.3">
      <c r="A130" s="1">
        <v>45163</v>
      </c>
      <c r="B130" t="s">
        <v>73</v>
      </c>
      <c r="C130" t="s">
        <v>26</v>
      </c>
      <c r="D130" s="8">
        <v>0.79166666666666663</v>
      </c>
      <c r="E130" s="8">
        <v>0.91666666666666663</v>
      </c>
      <c r="K130" t="s">
        <v>565</v>
      </c>
      <c r="M130" t="s">
        <v>478</v>
      </c>
      <c r="N130" t="str">
        <f>Tabela_tudo[[#This Row],[Médico]]&amp;" ("&amp;Tabela_tudo[[#This Row],[Obs]]&amp;")"</f>
        <v>RT ()</v>
      </c>
    </row>
    <row r="131" spans="1:14" x14ac:dyDescent="0.3">
      <c r="A131" s="1">
        <v>45201</v>
      </c>
      <c r="B131" t="s">
        <v>72</v>
      </c>
      <c r="C131" t="s">
        <v>26</v>
      </c>
      <c r="D131" s="8">
        <v>0.41666666666666669</v>
      </c>
      <c r="E131" s="8">
        <v>0.54166666666666663</v>
      </c>
      <c r="H131" t="s">
        <v>565</v>
      </c>
      <c r="M131" t="s">
        <v>478</v>
      </c>
      <c r="N131" t="str">
        <f>Tabela_tudo[[#This Row],[Médico]]&amp;" ("&amp;Tabela_tudo[[#This Row],[Obs]]&amp;")"</f>
        <v>GRA ()</v>
      </c>
    </row>
    <row r="132" spans="1:14" x14ac:dyDescent="0.3">
      <c r="A132" s="1">
        <v>45107</v>
      </c>
      <c r="B132" t="s">
        <v>94</v>
      </c>
      <c r="C132" t="s">
        <v>26</v>
      </c>
      <c r="D132" s="8">
        <v>0.79166666666666663</v>
      </c>
      <c r="E132" s="8">
        <v>0.91666666666666663</v>
      </c>
      <c r="K132" t="s">
        <v>565</v>
      </c>
      <c r="M132" t="s">
        <v>478</v>
      </c>
      <c r="N132" t="str">
        <f>Tabela_tudo[[#This Row],[Médico]]&amp;" ("&amp;Tabela_tudo[[#This Row],[Obs]]&amp;")"</f>
        <v>TOT ()</v>
      </c>
    </row>
    <row r="133" spans="1:14" x14ac:dyDescent="0.3">
      <c r="A133" s="1">
        <v>45107</v>
      </c>
      <c r="B133" t="s">
        <v>94</v>
      </c>
      <c r="C133" t="s">
        <v>26</v>
      </c>
      <c r="D133" s="8">
        <v>0.66666666666666663</v>
      </c>
      <c r="E133" s="8">
        <v>0.79166666666666663</v>
      </c>
      <c r="J133" t="s">
        <v>565</v>
      </c>
      <c r="M133" t="s">
        <v>478</v>
      </c>
      <c r="N133" t="str">
        <f>Tabela_tudo[[#This Row],[Médico]]&amp;" ("&amp;Tabela_tudo[[#This Row],[Obs]]&amp;")"</f>
        <v>TOT ()</v>
      </c>
    </row>
    <row r="134" spans="1:14" x14ac:dyDescent="0.3">
      <c r="A134" s="1">
        <v>45098</v>
      </c>
      <c r="B134" t="s">
        <v>34</v>
      </c>
      <c r="C134" t="s">
        <v>26</v>
      </c>
      <c r="D134" s="8">
        <v>0.79166666666666663</v>
      </c>
      <c r="E134" s="8">
        <v>0.91666666666666663</v>
      </c>
      <c r="K134" t="s">
        <v>565</v>
      </c>
      <c r="M134" t="s">
        <v>478</v>
      </c>
      <c r="N134" t="str">
        <f>Tabela_tudo[[#This Row],[Médico]]&amp;" ("&amp;Tabela_tudo[[#This Row],[Obs]]&amp;")"</f>
        <v>LIP ()</v>
      </c>
    </row>
    <row r="135" spans="1:14" x14ac:dyDescent="0.3">
      <c r="A135" s="1">
        <v>45201</v>
      </c>
      <c r="B135" t="s">
        <v>142</v>
      </c>
      <c r="C135" t="s">
        <v>26</v>
      </c>
      <c r="D135" s="8">
        <v>0.66666666666666663</v>
      </c>
      <c r="E135" s="8">
        <v>0.79166666666666663</v>
      </c>
      <c r="J135" t="s">
        <v>565</v>
      </c>
      <c r="M135" t="s">
        <v>478</v>
      </c>
      <c r="N135" t="str">
        <f>Tabela_tudo[[#This Row],[Médico]]&amp;" ("&amp;Tabela_tudo[[#This Row],[Obs]]&amp;")"</f>
        <v>VIV ()</v>
      </c>
    </row>
    <row r="136" spans="1:14" x14ac:dyDescent="0.3">
      <c r="A136" s="1">
        <v>45201</v>
      </c>
      <c r="B136" t="s">
        <v>37</v>
      </c>
      <c r="C136" t="s">
        <v>26</v>
      </c>
      <c r="D136" s="8">
        <v>0.41666666666666669</v>
      </c>
      <c r="E136" s="8">
        <v>0.54166666666666663</v>
      </c>
      <c r="H136" t="s">
        <v>565</v>
      </c>
      <c r="M136" t="s">
        <v>478</v>
      </c>
      <c r="N136" t="str">
        <f>Tabela_tudo[[#This Row],[Médico]]&amp;" ("&amp;Tabela_tudo[[#This Row],[Obs]]&amp;")"</f>
        <v>EBB ()</v>
      </c>
    </row>
    <row r="137" spans="1:14" x14ac:dyDescent="0.3">
      <c r="A137" s="1">
        <v>45201</v>
      </c>
      <c r="B137" t="s">
        <v>71</v>
      </c>
      <c r="C137" t="s">
        <v>26</v>
      </c>
      <c r="D137" s="8">
        <v>0.29166666666666669</v>
      </c>
      <c r="E137" s="8">
        <v>0.41666666666666669</v>
      </c>
      <c r="G137" t="s">
        <v>565</v>
      </c>
      <c r="M137" t="s">
        <v>478</v>
      </c>
      <c r="N137" t="str">
        <f>Tabela_tudo[[#This Row],[Médico]]&amp;" ("&amp;Tabela_tudo[[#This Row],[Obs]]&amp;")"</f>
        <v>BRU ()</v>
      </c>
    </row>
    <row r="138" spans="1:14" x14ac:dyDescent="0.3">
      <c r="A138" s="1">
        <v>45100</v>
      </c>
      <c r="B138" t="s">
        <v>16</v>
      </c>
      <c r="C138" t="s">
        <v>26</v>
      </c>
      <c r="D138" s="8">
        <v>0.66666666666666663</v>
      </c>
      <c r="E138" s="8">
        <v>0.79166666666666663</v>
      </c>
      <c r="J138" t="s">
        <v>565</v>
      </c>
      <c r="M138" t="s">
        <v>478</v>
      </c>
      <c r="N138" t="str">
        <f>Tabela_tudo[[#This Row],[Médico]]&amp;" ("&amp;Tabela_tudo[[#This Row],[Obs]]&amp;")"</f>
        <v>PP ()</v>
      </c>
    </row>
    <row r="139" spans="1:14" x14ac:dyDescent="0.3">
      <c r="A139" s="1">
        <v>45100</v>
      </c>
      <c r="B139" t="s">
        <v>66</v>
      </c>
      <c r="C139" t="s">
        <v>26</v>
      </c>
      <c r="D139" s="8">
        <v>0.79166666666666663</v>
      </c>
      <c r="E139" s="8">
        <v>0.91666666666666663</v>
      </c>
      <c r="K139" t="s">
        <v>565</v>
      </c>
      <c r="M139" t="s">
        <v>478</v>
      </c>
      <c r="N139" t="str">
        <f>Tabela_tudo[[#This Row],[Médico]]&amp;" ("&amp;Tabela_tudo[[#This Row],[Obs]]&amp;")"</f>
        <v>MOZ ()</v>
      </c>
    </row>
    <row r="140" spans="1:14" x14ac:dyDescent="0.3">
      <c r="A140" s="1">
        <v>45100</v>
      </c>
      <c r="B140" t="s">
        <v>16</v>
      </c>
      <c r="C140" t="s">
        <v>26</v>
      </c>
      <c r="D140" s="8">
        <v>0.79166666666666663</v>
      </c>
      <c r="E140" s="8">
        <v>0.91666666666666663</v>
      </c>
      <c r="K140" t="s">
        <v>565</v>
      </c>
      <c r="M140" t="s">
        <v>478</v>
      </c>
      <c r="N140" t="str">
        <f>Tabela_tudo[[#This Row],[Médico]]&amp;" ("&amp;Tabela_tudo[[#This Row],[Obs]]&amp;")"</f>
        <v>PP ()</v>
      </c>
    </row>
    <row r="141" spans="1:14" x14ac:dyDescent="0.3">
      <c r="A141" s="1">
        <v>45100</v>
      </c>
      <c r="B141" t="s">
        <v>72</v>
      </c>
      <c r="C141" t="s">
        <v>26</v>
      </c>
      <c r="D141" s="8">
        <v>0.54166666666666663</v>
      </c>
      <c r="E141" s="8">
        <v>0.66666666666666663</v>
      </c>
      <c r="I141" t="s">
        <v>565</v>
      </c>
      <c r="M141" t="s">
        <v>478</v>
      </c>
      <c r="N141" t="str">
        <f>Tabela_tudo[[#This Row],[Médico]]&amp;" ("&amp;Tabela_tudo[[#This Row],[Obs]]&amp;")"</f>
        <v>GRA ()</v>
      </c>
    </row>
    <row r="142" spans="1:14" x14ac:dyDescent="0.3">
      <c r="A142" s="1">
        <v>45100</v>
      </c>
      <c r="B142" t="s">
        <v>66</v>
      </c>
      <c r="C142" t="s">
        <v>26</v>
      </c>
      <c r="D142" s="8">
        <v>0.66666666666666663</v>
      </c>
      <c r="E142" s="8">
        <v>0.79166666666666663</v>
      </c>
      <c r="J142" t="s">
        <v>565</v>
      </c>
      <c r="M142" t="s">
        <v>478</v>
      </c>
      <c r="N142" t="str">
        <f>Tabela_tudo[[#This Row],[Médico]]&amp;" ("&amp;Tabela_tudo[[#This Row],[Obs]]&amp;")"</f>
        <v>MOZ ()</v>
      </c>
    </row>
    <row r="143" spans="1:14" x14ac:dyDescent="0.3">
      <c r="A143" s="1">
        <v>45100</v>
      </c>
      <c r="B143" t="s">
        <v>71</v>
      </c>
      <c r="C143" t="s">
        <v>26</v>
      </c>
      <c r="D143" s="8">
        <v>0.66666666666666663</v>
      </c>
      <c r="E143" s="8">
        <v>0.79166666666666663</v>
      </c>
      <c r="J143" t="s">
        <v>565</v>
      </c>
      <c r="M143" t="s">
        <v>478</v>
      </c>
      <c r="N143" t="str">
        <f>Tabela_tudo[[#This Row],[Médico]]&amp;" ("&amp;Tabela_tudo[[#This Row],[Obs]]&amp;")"</f>
        <v>BRU ()</v>
      </c>
    </row>
    <row r="144" spans="1:14" x14ac:dyDescent="0.3">
      <c r="A144" s="1">
        <v>45100</v>
      </c>
      <c r="B144" t="s">
        <v>94</v>
      </c>
      <c r="C144" t="s">
        <v>26</v>
      </c>
      <c r="D144" s="8">
        <v>0.79166666666666663</v>
      </c>
      <c r="E144" s="8">
        <v>0.875</v>
      </c>
      <c r="K144" t="s">
        <v>565</v>
      </c>
      <c r="M144" t="s">
        <v>478</v>
      </c>
      <c r="N144" t="str">
        <f>Tabela_tudo[[#This Row],[Médico]]&amp;" ("&amp;Tabela_tudo[[#This Row],[Obs]]&amp;")"</f>
        <v>TOT ()</v>
      </c>
    </row>
    <row r="145" spans="1:14" x14ac:dyDescent="0.3">
      <c r="A145" s="1">
        <v>45167</v>
      </c>
      <c r="B145" t="s">
        <v>12</v>
      </c>
      <c r="C145" t="s">
        <v>26</v>
      </c>
      <c r="D145" s="8">
        <v>0.79166666666666663</v>
      </c>
      <c r="E145" s="8">
        <v>0.91666666666666663</v>
      </c>
      <c r="K145" t="s">
        <v>565</v>
      </c>
      <c r="M145" t="s">
        <v>478</v>
      </c>
      <c r="N145" t="str">
        <f>Tabela_tudo[[#This Row],[Médico]]&amp;" ("&amp;Tabela_tudo[[#This Row],[Obs]]&amp;")"</f>
        <v>EDU ()</v>
      </c>
    </row>
    <row r="146" spans="1:14" x14ac:dyDescent="0.3">
      <c r="A146" s="1">
        <v>45167</v>
      </c>
      <c r="B146" t="s">
        <v>72</v>
      </c>
      <c r="C146" t="s">
        <v>26</v>
      </c>
      <c r="D146" s="8">
        <v>0.79166666666666663</v>
      </c>
      <c r="E146" s="8">
        <v>0.91666666666666663</v>
      </c>
      <c r="K146" t="s">
        <v>565</v>
      </c>
      <c r="M146" t="s">
        <v>478</v>
      </c>
      <c r="N146" t="str">
        <f>Tabela_tudo[[#This Row],[Médico]]&amp;" ("&amp;Tabela_tudo[[#This Row],[Obs]]&amp;")"</f>
        <v>GRA ()</v>
      </c>
    </row>
    <row r="147" spans="1:14" x14ac:dyDescent="0.3">
      <c r="A147" s="1">
        <v>45167</v>
      </c>
      <c r="B147" t="s">
        <v>14</v>
      </c>
      <c r="C147" t="s">
        <v>26</v>
      </c>
      <c r="D147" s="8">
        <v>0.79166666666666663</v>
      </c>
      <c r="E147" s="8">
        <v>0.91666666666666663</v>
      </c>
      <c r="K147" t="s">
        <v>565</v>
      </c>
      <c r="M147" t="s">
        <v>478</v>
      </c>
      <c r="N147" t="str">
        <f>Tabela_tudo[[#This Row],[Médico]]&amp;" ("&amp;Tabela_tudo[[#This Row],[Obs]]&amp;")"</f>
        <v>PW ()</v>
      </c>
    </row>
    <row r="148" spans="1:14" x14ac:dyDescent="0.3">
      <c r="A148" s="1">
        <v>45196</v>
      </c>
      <c r="B148" t="s">
        <v>68</v>
      </c>
      <c r="C148" t="s">
        <v>26</v>
      </c>
      <c r="D148" s="8">
        <v>0.79166666666666663</v>
      </c>
      <c r="E148" s="8">
        <v>0.98958333333333337</v>
      </c>
      <c r="K148" t="s">
        <v>565</v>
      </c>
      <c r="M148" t="s">
        <v>478</v>
      </c>
      <c r="N148" t="str">
        <f>Tabela_tudo[[#This Row],[Médico]]&amp;" ("&amp;Tabela_tudo[[#This Row],[Obs]]&amp;")"</f>
        <v>PED ()</v>
      </c>
    </row>
    <row r="149" spans="1:14" x14ac:dyDescent="0.3">
      <c r="A149" s="1">
        <v>45196</v>
      </c>
      <c r="B149" t="s">
        <v>68</v>
      </c>
      <c r="C149" t="s">
        <v>26</v>
      </c>
      <c r="D149" s="8">
        <v>0.66666666666666663</v>
      </c>
      <c r="E149" s="8">
        <v>0.79166666666666663</v>
      </c>
      <c r="J149" t="s">
        <v>565</v>
      </c>
      <c r="M149" t="s">
        <v>478</v>
      </c>
      <c r="N149" t="str">
        <f>Tabela_tudo[[#This Row],[Médico]]&amp;" ("&amp;Tabela_tudo[[#This Row],[Obs]]&amp;")"</f>
        <v>PED ()</v>
      </c>
    </row>
    <row r="150" spans="1:14" x14ac:dyDescent="0.3">
      <c r="A150" s="1">
        <v>45167</v>
      </c>
      <c r="B150" t="s">
        <v>66</v>
      </c>
      <c r="C150" t="s">
        <v>26</v>
      </c>
      <c r="D150" s="8">
        <v>0.79166666666666663</v>
      </c>
      <c r="E150" s="8">
        <v>0.91666666666666663</v>
      </c>
      <c r="K150" t="s">
        <v>565</v>
      </c>
      <c r="M150" t="s">
        <v>478</v>
      </c>
      <c r="N150" t="str">
        <f>Tabela_tudo[[#This Row],[Médico]]&amp;" ("&amp;Tabela_tudo[[#This Row],[Obs]]&amp;")"</f>
        <v>MOZ ()</v>
      </c>
    </row>
    <row r="151" spans="1:14" x14ac:dyDescent="0.3">
      <c r="A151" s="1">
        <v>45100</v>
      </c>
      <c r="B151" t="s">
        <v>71</v>
      </c>
      <c r="C151" t="s">
        <v>26</v>
      </c>
      <c r="D151" s="8">
        <v>0.54166666666666663</v>
      </c>
      <c r="E151" s="8">
        <v>0.66666666666666663</v>
      </c>
      <c r="I151" t="s">
        <v>565</v>
      </c>
      <c r="M151" t="s">
        <v>478</v>
      </c>
      <c r="N151" t="str">
        <f>Tabela_tudo[[#This Row],[Médico]]&amp;" ("&amp;Tabela_tudo[[#This Row],[Obs]]&amp;")"</f>
        <v>BRU ()</v>
      </c>
    </row>
    <row r="152" spans="1:14" x14ac:dyDescent="0.3">
      <c r="A152" s="1">
        <v>45167</v>
      </c>
      <c r="B152" t="s">
        <v>44</v>
      </c>
      <c r="C152" t="s">
        <v>26</v>
      </c>
      <c r="D152" s="8">
        <v>0.41666666666666669</v>
      </c>
      <c r="E152" s="8">
        <v>0.54166666666666663</v>
      </c>
      <c r="H152" t="s">
        <v>565</v>
      </c>
      <c r="M152" t="s">
        <v>478</v>
      </c>
      <c r="N152" t="str">
        <f>Tabela_tudo[[#This Row],[Médico]]&amp;" ("&amp;Tabela_tudo[[#This Row],[Obs]]&amp;")"</f>
        <v>REI ()</v>
      </c>
    </row>
    <row r="153" spans="1:14" x14ac:dyDescent="0.3">
      <c r="A153" s="1">
        <v>45167</v>
      </c>
      <c r="B153" t="s">
        <v>66</v>
      </c>
      <c r="C153" t="s">
        <v>26</v>
      </c>
      <c r="D153" s="8">
        <v>0.66666666666666663</v>
      </c>
      <c r="E153" s="8">
        <v>0.79166666666666663</v>
      </c>
      <c r="J153" t="s">
        <v>565</v>
      </c>
      <c r="M153" t="s">
        <v>478</v>
      </c>
      <c r="N153" t="str">
        <f>Tabela_tudo[[#This Row],[Médico]]&amp;" ("&amp;Tabela_tudo[[#This Row],[Obs]]&amp;")"</f>
        <v>MOZ ()</v>
      </c>
    </row>
    <row r="154" spans="1:14" x14ac:dyDescent="0.3">
      <c r="A154" s="1">
        <v>45196</v>
      </c>
      <c r="B154" t="s">
        <v>29</v>
      </c>
      <c r="C154" t="s">
        <v>26</v>
      </c>
      <c r="D154" s="8">
        <v>0.54166666666666663</v>
      </c>
      <c r="E154" s="8">
        <v>0.66666666666666663</v>
      </c>
      <c r="I154" t="s">
        <v>565</v>
      </c>
      <c r="M154" t="s">
        <v>478</v>
      </c>
      <c r="N154" t="str">
        <f>Tabela_tudo[[#This Row],[Médico]]&amp;" ("&amp;Tabela_tudo[[#This Row],[Obs]]&amp;")"</f>
        <v>JOA ()</v>
      </c>
    </row>
    <row r="155" spans="1:14" x14ac:dyDescent="0.3">
      <c r="A155" s="1">
        <v>45167</v>
      </c>
      <c r="B155" t="s">
        <v>75</v>
      </c>
      <c r="C155" t="s">
        <v>26</v>
      </c>
      <c r="D155" s="8">
        <v>0.66666666666666663</v>
      </c>
      <c r="E155" s="8">
        <v>0.79166666666666663</v>
      </c>
      <c r="J155" t="s">
        <v>565</v>
      </c>
      <c r="M155" t="s">
        <v>478</v>
      </c>
      <c r="N155" t="str">
        <f>Tabela_tudo[[#This Row],[Médico]]&amp;" ("&amp;Tabela_tudo[[#This Row],[Obs]]&amp;")"</f>
        <v>KOP ()</v>
      </c>
    </row>
    <row r="156" spans="1:14" x14ac:dyDescent="0.3">
      <c r="A156" s="1">
        <v>45167</v>
      </c>
      <c r="B156" t="s">
        <v>75</v>
      </c>
      <c r="C156" t="s">
        <v>26</v>
      </c>
      <c r="D156" s="8">
        <v>0.79166666666666663</v>
      </c>
      <c r="E156" s="8">
        <v>0.91666666666666663</v>
      </c>
      <c r="K156" t="s">
        <v>565</v>
      </c>
      <c r="M156" t="s">
        <v>478</v>
      </c>
      <c r="N156" t="str">
        <f>Tabela_tudo[[#This Row],[Médico]]&amp;" ("&amp;Tabela_tudo[[#This Row],[Obs]]&amp;")"</f>
        <v>KOP ()</v>
      </c>
    </row>
    <row r="157" spans="1:14" x14ac:dyDescent="0.3">
      <c r="A157" s="1">
        <v>45105</v>
      </c>
      <c r="B157" t="s">
        <v>12</v>
      </c>
      <c r="C157" t="s">
        <v>26</v>
      </c>
      <c r="D157" s="8">
        <v>0.79166666666666663</v>
      </c>
      <c r="E157" s="8">
        <v>0.91666666666666663</v>
      </c>
      <c r="K157" t="s">
        <v>565</v>
      </c>
      <c r="M157" t="s">
        <v>478</v>
      </c>
      <c r="N157" t="str">
        <f>Tabela_tudo[[#This Row],[Médico]]&amp;" ("&amp;Tabela_tudo[[#This Row],[Obs]]&amp;")"</f>
        <v>EDU ()</v>
      </c>
    </row>
    <row r="158" spans="1:14" x14ac:dyDescent="0.3">
      <c r="A158" s="1">
        <v>45196</v>
      </c>
      <c r="B158" t="s">
        <v>14</v>
      </c>
      <c r="C158" t="s">
        <v>26</v>
      </c>
      <c r="D158" s="8">
        <v>0.79166666666666663</v>
      </c>
      <c r="E158" s="8">
        <v>0.98958333333333337</v>
      </c>
      <c r="K158" t="s">
        <v>565</v>
      </c>
      <c r="M158" t="s">
        <v>478</v>
      </c>
      <c r="N158" t="str">
        <f>Tabela_tudo[[#This Row],[Médico]]&amp;" ("&amp;Tabela_tudo[[#This Row],[Obs]]&amp;")"</f>
        <v>PW ()</v>
      </c>
    </row>
    <row r="159" spans="1:14" x14ac:dyDescent="0.3">
      <c r="A159" s="1">
        <v>45196</v>
      </c>
      <c r="B159" t="s">
        <v>21</v>
      </c>
      <c r="C159" t="s">
        <v>26</v>
      </c>
      <c r="D159" s="8">
        <v>0.29166666666666669</v>
      </c>
      <c r="E159" s="8">
        <v>0.41666666666666669</v>
      </c>
      <c r="G159" t="s">
        <v>565</v>
      </c>
      <c r="M159" t="s">
        <v>478</v>
      </c>
      <c r="N159" t="str">
        <f>Tabela_tudo[[#This Row],[Médico]]&amp;" ("&amp;Tabela_tudo[[#This Row],[Obs]]&amp;")"</f>
        <v>RA ()</v>
      </c>
    </row>
    <row r="160" spans="1:14" x14ac:dyDescent="0.3">
      <c r="A160" s="1">
        <v>45100</v>
      </c>
      <c r="B160" t="s">
        <v>17</v>
      </c>
      <c r="C160" t="s">
        <v>26</v>
      </c>
      <c r="D160" s="8">
        <v>0.29166666666666669</v>
      </c>
      <c r="E160" s="8">
        <v>0.41666666666666669</v>
      </c>
      <c r="G160" t="s">
        <v>565</v>
      </c>
      <c r="M160" t="s">
        <v>478</v>
      </c>
      <c r="N160" t="str">
        <f>Tabela_tudo[[#This Row],[Médico]]&amp;" ("&amp;Tabela_tudo[[#This Row],[Obs]]&amp;")"</f>
        <v>FAB ()</v>
      </c>
    </row>
    <row r="161" spans="1:14" x14ac:dyDescent="0.3">
      <c r="A161" s="1">
        <v>45100</v>
      </c>
      <c r="B161" t="s">
        <v>73</v>
      </c>
      <c r="C161" t="s">
        <v>26</v>
      </c>
      <c r="D161" s="8">
        <v>0.41666666666666669</v>
      </c>
      <c r="E161" s="8">
        <v>0.54166666666666663</v>
      </c>
      <c r="H161" t="s">
        <v>565</v>
      </c>
      <c r="M161" t="s">
        <v>478</v>
      </c>
      <c r="N161" t="str">
        <f>Tabela_tudo[[#This Row],[Médico]]&amp;" ("&amp;Tabela_tudo[[#This Row],[Obs]]&amp;")"</f>
        <v>RT ()</v>
      </c>
    </row>
    <row r="162" spans="1:14" x14ac:dyDescent="0.3">
      <c r="A162" s="1">
        <v>45196</v>
      </c>
      <c r="B162" t="s">
        <v>34</v>
      </c>
      <c r="C162" t="s">
        <v>26</v>
      </c>
      <c r="D162" s="8">
        <v>0.79166666666666663</v>
      </c>
      <c r="E162" s="8">
        <v>0.98958333333333337</v>
      </c>
      <c r="K162" t="s">
        <v>565</v>
      </c>
      <c r="M162" t="s">
        <v>478</v>
      </c>
      <c r="N162" t="str">
        <f>Tabela_tudo[[#This Row],[Médico]]&amp;" ("&amp;Tabela_tudo[[#This Row],[Obs]]&amp;")"</f>
        <v>LIP ()</v>
      </c>
    </row>
    <row r="163" spans="1:14" x14ac:dyDescent="0.3">
      <c r="A163" s="1">
        <v>45196</v>
      </c>
      <c r="B163" t="s">
        <v>34</v>
      </c>
      <c r="C163" t="s">
        <v>26</v>
      </c>
      <c r="D163" s="8">
        <v>0.66666666666666663</v>
      </c>
      <c r="E163" s="8">
        <v>0.79166666666666663</v>
      </c>
      <c r="J163" t="s">
        <v>565</v>
      </c>
      <c r="M163" t="s">
        <v>478</v>
      </c>
      <c r="N163" t="str">
        <f>Tabela_tudo[[#This Row],[Médico]]&amp;" ("&amp;Tabela_tudo[[#This Row],[Obs]]&amp;")"</f>
        <v>LIP ()</v>
      </c>
    </row>
    <row r="164" spans="1:14" x14ac:dyDescent="0.3">
      <c r="A164" s="1">
        <v>45196</v>
      </c>
      <c r="B164" t="s">
        <v>21</v>
      </c>
      <c r="C164" t="s">
        <v>26</v>
      </c>
      <c r="D164" s="8">
        <v>0.41666666666666669</v>
      </c>
      <c r="E164" s="8">
        <v>0.54166666666666663</v>
      </c>
      <c r="H164" t="s">
        <v>565</v>
      </c>
      <c r="M164" t="s">
        <v>478</v>
      </c>
      <c r="N164" t="str">
        <f>Tabela_tudo[[#This Row],[Médico]]&amp;" ("&amp;Tabela_tudo[[#This Row],[Obs]]&amp;")"</f>
        <v>RA ()</v>
      </c>
    </row>
    <row r="165" spans="1:14" x14ac:dyDescent="0.3">
      <c r="A165" s="1">
        <v>45093</v>
      </c>
      <c r="B165" t="s">
        <v>71</v>
      </c>
      <c r="C165" t="s">
        <v>26</v>
      </c>
      <c r="D165" s="8">
        <v>0.79166666666666663</v>
      </c>
      <c r="E165" s="8">
        <v>0.91666666666666663</v>
      </c>
      <c r="K165" t="s">
        <v>565</v>
      </c>
      <c r="M165" t="s">
        <v>478</v>
      </c>
      <c r="N165" t="str">
        <f>Tabela_tudo[[#This Row],[Médico]]&amp;" ("&amp;Tabela_tudo[[#This Row],[Obs]]&amp;")"</f>
        <v>BRU ()</v>
      </c>
    </row>
    <row r="166" spans="1:14" x14ac:dyDescent="0.3">
      <c r="A166" s="1">
        <v>45119</v>
      </c>
      <c r="B166" t="s">
        <v>23</v>
      </c>
      <c r="C166" t="s">
        <v>26</v>
      </c>
      <c r="D166" s="8">
        <v>0.66666666666666663</v>
      </c>
      <c r="E166" s="8">
        <v>0.79166666666666663</v>
      </c>
      <c r="J166" t="s">
        <v>565</v>
      </c>
      <c r="M166" t="s">
        <v>478</v>
      </c>
      <c r="N166" t="str">
        <f>Tabela_tudo[[#This Row],[Médico]]&amp;" ("&amp;Tabela_tudo[[#This Row],[Obs]]&amp;")"</f>
        <v>BG ()</v>
      </c>
    </row>
    <row r="167" spans="1:14" x14ac:dyDescent="0.3">
      <c r="A167" s="1">
        <v>45119</v>
      </c>
      <c r="B167" t="s">
        <v>85</v>
      </c>
      <c r="C167" t="s">
        <v>26</v>
      </c>
      <c r="D167" s="8">
        <v>0.79166666666666663</v>
      </c>
      <c r="E167" s="8">
        <v>0.91666666666666663</v>
      </c>
      <c r="K167" t="s">
        <v>565</v>
      </c>
      <c r="M167" t="s">
        <v>478</v>
      </c>
      <c r="N167" t="str">
        <f>Tabela_tudo[[#This Row],[Médico]]&amp;" ("&amp;Tabela_tudo[[#This Row],[Obs]]&amp;")"</f>
        <v>ELF ()</v>
      </c>
    </row>
    <row r="168" spans="1:14" x14ac:dyDescent="0.3">
      <c r="A168" s="1">
        <v>45188</v>
      </c>
      <c r="B168" t="s">
        <v>71</v>
      </c>
      <c r="C168" t="s">
        <v>26</v>
      </c>
      <c r="D168" s="8">
        <v>0.54166666666666663</v>
      </c>
      <c r="E168" s="8">
        <v>0.66666666666666663</v>
      </c>
      <c r="I168" t="s">
        <v>565</v>
      </c>
      <c r="M168" t="s">
        <v>478</v>
      </c>
      <c r="N168" t="str">
        <f>Tabela_tudo[[#This Row],[Médico]]&amp;" ("&amp;Tabela_tudo[[#This Row],[Obs]]&amp;")"</f>
        <v>BRU ()</v>
      </c>
    </row>
    <row r="169" spans="1:14" x14ac:dyDescent="0.3">
      <c r="A169" s="1">
        <v>45093</v>
      </c>
      <c r="B169" t="s">
        <v>48</v>
      </c>
      <c r="C169" t="s">
        <v>26</v>
      </c>
      <c r="D169" s="8">
        <v>0.66666666666666663</v>
      </c>
      <c r="E169" s="8">
        <v>0.79166666666666663</v>
      </c>
      <c r="J169" t="s">
        <v>565</v>
      </c>
      <c r="M169" t="s">
        <v>478</v>
      </c>
      <c r="N169" t="str">
        <f>Tabela_tudo[[#This Row],[Médico]]&amp;" ("&amp;Tabela_tudo[[#This Row],[Obs]]&amp;")"</f>
        <v>MAF ()</v>
      </c>
    </row>
    <row r="170" spans="1:14" x14ac:dyDescent="0.3">
      <c r="A170" s="1">
        <v>45093</v>
      </c>
      <c r="B170" t="s">
        <v>48</v>
      </c>
      <c r="C170" t="s">
        <v>26</v>
      </c>
      <c r="D170" s="8">
        <v>0.79166666666666663</v>
      </c>
      <c r="E170" s="8">
        <v>0.91666666666666663</v>
      </c>
      <c r="K170" t="s">
        <v>565</v>
      </c>
      <c r="M170" t="s">
        <v>478</v>
      </c>
      <c r="N170" t="str">
        <f>Tabela_tudo[[#This Row],[Médico]]&amp;" ("&amp;Tabela_tudo[[#This Row],[Obs]]&amp;")"</f>
        <v>MAF ()</v>
      </c>
    </row>
    <row r="171" spans="1:14" x14ac:dyDescent="0.3">
      <c r="A171" s="1">
        <v>45119</v>
      </c>
      <c r="B171" t="s">
        <v>23</v>
      </c>
      <c r="C171" t="s">
        <v>26</v>
      </c>
      <c r="D171" s="8">
        <v>0.79166666666666663</v>
      </c>
      <c r="E171" s="8">
        <v>0.91666666666666663</v>
      </c>
      <c r="K171" t="s">
        <v>565</v>
      </c>
      <c r="M171" t="s">
        <v>478</v>
      </c>
      <c r="N171" t="str">
        <f>Tabela_tudo[[#This Row],[Médico]]&amp;" ("&amp;Tabela_tudo[[#This Row],[Obs]]&amp;")"</f>
        <v>BG ()</v>
      </c>
    </row>
    <row r="172" spans="1:14" x14ac:dyDescent="0.3">
      <c r="A172" s="1">
        <v>45121</v>
      </c>
      <c r="B172" t="s">
        <v>29</v>
      </c>
      <c r="C172" t="s">
        <v>26</v>
      </c>
      <c r="D172" s="8">
        <v>0.79166666666666663</v>
      </c>
      <c r="E172" s="8">
        <v>0.91666666666666663</v>
      </c>
      <c r="K172" t="s">
        <v>565</v>
      </c>
      <c r="M172" t="s">
        <v>478</v>
      </c>
      <c r="N172" t="str">
        <f>Tabela_tudo[[#This Row],[Médico]]&amp;" ("&amp;Tabela_tudo[[#This Row],[Obs]]&amp;")"</f>
        <v>JOA ()</v>
      </c>
    </row>
    <row r="173" spans="1:14" x14ac:dyDescent="0.3">
      <c r="A173" s="1">
        <v>45121</v>
      </c>
      <c r="B173" t="s">
        <v>66</v>
      </c>
      <c r="C173" t="s">
        <v>26</v>
      </c>
      <c r="D173" s="8">
        <v>0.79166666666666663</v>
      </c>
      <c r="E173" s="8">
        <v>0.91666666666666663</v>
      </c>
      <c r="K173" t="s">
        <v>565</v>
      </c>
      <c r="M173" t="s">
        <v>478</v>
      </c>
      <c r="N173" t="str">
        <f>Tabela_tudo[[#This Row],[Médico]]&amp;" ("&amp;Tabela_tudo[[#This Row],[Obs]]&amp;")"</f>
        <v>MOZ ()</v>
      </c>
    </row>
    <row r="174" spans="1:14" x14ac:dyDescent="0.3">
      <c r="A174" s="1">
        <v>45204</v>
      </c>
      <c r="B174" t="s">
        <v>71</v>
      </c>
      <c r="C174" t="s">
        <v>26</v>
      </c>
      <c r="D174" s="8">
        <v>0.79166666666666663</v>
      </c>
      <c r="E174" s="8">
        <v>0.98958333333333337</v>
      </c>
      <c r="K174" t="s">
        <v>565</v>
      </c>
      <c r="M174" t="s">
        <v>478</v>
      </c>
      <c r="N174" t="str">
        <f>Tabela_tudo[[#This Row],[Médico]]&amp;" ("&amp;Tabela_tudo[[#This Row],[Obs]]&amp;")"</f>
        <v>BRU ()</v>
      </c>
    </row>
    <row r="175" spans="1:14" x14ac:dyDescent="0.3">
      <c r="A175" s="1">
        <v>45162</v>
      </c>
      <c r="B175" t="s">
        <v>94</v>
      </c>
      <c r="C175" t="s">
        <v>26</v>
      </c>
      <c r="D175" s="8">
        <v>0.29166666666666669</v>
      </c>
      <c r="E175" s="8">
        <v>0.41666666666666669</v>
      </c>
      <c r="G175" t="s">
        <v>565</v>
      </c>
      <c r="M175" t="s">
        <v>478</v>
      </c>
      <c r="N175" t="str">
        <f>Tabela_tudo[[#This Row],[Médico]]&amp;" ("&amp;Tabela_tudo[[#This Row],[Obs]]&amp;")"</f>
        <v>TOT ()</v>
      </c>
    </row>
    <row r="176" spans="1:14" x14ac:dyDescent="0.3">
      <c r="A176" s="1">
        <v>45162</v>
      </c>
      <c r="B176" t="s">
        <v>72</v>
      </c>
      <c r="C176" t="s">
        <v>26</v>
      </c>
      <c r="D176" s="8">
        <v>0.54166666666666663</v>
      </c>
      <c r="E176" s="8">
        <v>0.66666666666666663</v>
      </c>
      <c r="I176" t="s">
        <v>565</v>
      </c>
      <c r="M176" t="s">
        <v>478</v>
      </c>
      <c r="N176" t="str">
        <f>Tabela_tudo[[#This Row],[Médico]]&amp;" ("&amp;Tabela_tudo[[#This Row],[Obs]]&amp;")"</f>
        <v>GRA ()</v>
      </c>
    </row>
    <row r="177" spans="1:14" x14ac:dyDescent="0.3">
      <c r="A177" s="1">
        <v>45162</v>
      </c>
      <c r="B177" t="s">
        <v>33</v>
      </c>
      <c r="C177" t="s">
        <v>26</v>
      </c>
      <c r="D177" s="8">
        <v>0.79166666666666663</v>
      </c>
      <c r="E177" s="8">
        <v>0.91666666666666663</v>
      </c>
      <c r="K177" t="s">
        <v>565</v>
      </c>
      <c r="M177" t="s">
        <v>478</v>
      </c>
      <c r="N177" t="str">
        <f>Tabela_tudo[[#This Row],[Médico]]&amp;" ("&amp;Tabela_tudo[[#This Row],[Obs]]&amp;")"</f>
        <v>DIF ()</v>
      </c>
    </row>
    <row r="178" spans="1:14" x14ac:dyDescent="0.3">
      <c r="A178" s="1">
        <v>45125</v>
      </c>
      <c r="B178" t="s">
        <v>44</v>
      </c>
      <c r="C178" t="s">
        <v>26</v>
      </c>
      <c r="D178" s="8">
        <v>0.41666666666666669</v>
      </c>
      <c r="E178" s="8">
        <v>0.54166666666666663</v>
      </c>
      <c r="H178" t="s">
        <v>565</v>
      </c>
      <c r="M178" t="s">
        <v>478</v>
      </c>
      <c r="N178" t="str">
        <f>Tabela_tudo[[#This Row],[Médico]]&amp;" ("&amp;Tabela_tudo[[#This Row],[Obs]]&amp;")"</f>
        <v>REI ()</v>
      </c>
    </row>
    <row r="179" spans="1:14" x14ac:dyDescent="0.3">
      <c r="A179" s="1">
        <v>45119</v>
      </c>
      <c r="B179" t="s">
        <v>63</v>
      </c>
      <c r="C179" t="s">
        <v>26</v>
      </c>
      <c r="D179" s="8">
        <v>0.79166666666666663</v>
      </c>
      <c r="E179" s="8">
        <v>0.91666666666666663</v>
      </c>
      <c r="K179" t="s">
        <v>565</v>
      </c>
      <c r="M179" t="s">
        <v>478</v>
      </c>
      <c r="N179" t="str">
        <f>Tabela_tudo[[#This Row],[Médico]]&amp;" ("&amp;Tabela_tudo[[#This Row],[Obs]]&amp;")"</f>
        <v>FQ ()</v>
      </c>
    </row>
    <row r="180" spans="1:14" x14ac:dyDescent="0.3">
      <c r="A180" s="1">
        <v>45119</v>
      </c>
      <c r="B180" t="s">
        <v>16</v>
      </c>
      <c r="C180" t="s">
        <v>26</v>
      </c>
      <c r="D180" s="8">
        <v>0.79166666666666663</v>
      </c>
      <c r="E180" s="8">
        <v>0.91666666666666663</v>
      </c>
      <c r="K180" t="s">
        <v>565</v>
      </c>
      <c r="M180" t="s">
        <v>478</v>
      </c>
      <c r="N180" t="str">
        <f>Tabela_tudo[[#This Row],[Médico]]&amp;" ("&amp;Tabela_tudo[[#This Row],[Obs]]&amp;")"</f>
        <v>PP ()</v>
      </c>
    </row>
    <row r="181" spans="1:14" x14ac:dyDescent="0.3">
      <c r="A181" s="1">
        <v>45188</v>
      </c>
      <c r="B181" t="s">
        <v>63</v>
      </c>
      <c r="C181" t="s">
        <v>26</v>
      </c>
      <c r="D181" s="8">
        <v>0.29166666666666669</v>
      </c>
      <c r="E181" s="8">
        <v>0.41666666666666669</v>
      </c>
      <c r="G181" t="s">
        <v>565</v>
      </c>
      <c r="M181" t="s">
        <v>478</v>
      </c>
      <c r="N181" t="str">
        <f>Tabela_tudo[[#This Row],[Médico]]&amp;" ("&amp;Tabela_tudo[[#This Row],[Obs]]&amp;")"</f>
        <v>FQ ()</v>
      </c>
    </row>
    <row r="182" spans="1:14" x14ac:dyDescent="0.3">
      <c r="A182" s="1">
        <v>45120</v>
      </c>
      <c r="B182" t="s">
        <v>17</v>
      </c>
      <c r="C182" t="s">
        <v>26</v>
      </c>
      <c r="D182" s="8">
        <v>0.41666666666666669</v>
      </c>
      <c r="E182" s="8">
        <v>0.54166666666666663</v>
      </c>
      <c r="H182" t="s">
        <v>565</v>
      </c>
      <c r="M182" t="s">
        <v>478</v>
      </c>
      <c r="N182" t="str">
        <f>Tabela_tudo[[#This Row],[Médico]]&amp;" ("&amp;Tabela_tudo[[#This Row],[Obs]]&amp;")"</f>
        <v>FAB ()</v>
      </c>
    </row>
    <row r="183" spans="1:14" x14ac:dyDescent="0.3">
      <c r="A183" s="1">
        <v>45120</v>
      </c>
      <c r="B183" t="s">
        <v>17</v>
      </c>
      <c r="C183" t="s">
        <v>26</v>
      </c>
      <c r="D183" s="8">
        <v>0.29166666666666669</v>
      </c>
      <c r="E183" s="8">
        <v>0.41666666666666669</v>
      </c>
      <c r="G183" t="s">
        <v>565</v>
      </c>
      <c r="M183" t="s">
        <v>478</v>
      </c>
      <c r="N183" t="str">
        <f>Tabela_tudo[[#This Row],[Médico]]&amp;" ("&amp;Tabela_tudo[[#This Row],[Obs]]&amp;")"</f>
        <v>FAB ()</v>
      </c>
    </row>
    <row r="184" spans="1:14" x14ac:dyDescent="0.3">
      <c r="A184" s="1">
        <v>45119</v>
      </c>
      <c r="B184" t="s">
        <v>16</v>
      </c>
      <c r="C184" t="s">
        <v>26</v>
      </c>
      <c r="D184" s="8">
        <v>0.66666666666666663</v>
      </c>
      <c r="E184" s="8">
        <v>0.79166666666666663</v>
      </c>
      <c r="J184" t="s">
        <v>565</v>
      </c>
      <c r="M184" t="s">
        <v>478</v>
      </c>
      <c r="N184" t="str">
        <f>Tabela_tudo[[#This Row],[Médico]]&amp;" ("&amp;Tabela_tudo[[#This Row],[Obs]]&amp;")"</f>
        <v>PP ()</v>
      </c>
    </row>
    <row r="185" spans="1:14" x14ac:dyDescent="0.3">
      <c r="A185" s="1">
        <v>45188</v>
      </c>
      <c r="B185" t="s">
        <v>14</v>
      </c>
      <c r="C185" t="s">
        <v>26</v>
      </c>
      <c r="D185" s="8">
        <v>0.66666666666666663</v>
      </c>
      <c r="E185" s="8">
        <v>0.79166666666666663</v>
      </c>
      <c r="J185" t="s">
        <v>565</v>
      </c>
      <c r="M185" t="s">
        <v>478</v>
      </c>
      <c r="N185" t="str">
        <f>Tabela_tudo[[#This Row],[Médico]]&amp;" ("&amp;Tabela_tudo[[#This Row],[Obs]]&amp;")"</f>
        <v>PW ()</v>
      </c>
    </row>
    <row r="186" spans="1:14" x14ac:dyDescent="0.3">
      <c r="A186" s="1">
        <v>45188</v>
      </c>
      <c r="B186" t="s">
        <v>16</v>
      </c>
      <c r="C186" t="s">
        <v>26</v>
      </c>
      <c r="D186" s="8">
        <v>0.29166666666666669</v>
      </c>
      <c r="E186" s="8">
        <v>0.41666666666666669</v>
      </c>
      <c r="G186" t="s">
        <v>565</v>
      </c>
      <c r="M186" t="s">
        <v>478</v>
      </c>
      <c r="N186" t="str">
        <f>Tabela_tudo[[#This Row],[Médico]]&amp;" ("&amp;Tabela_tudo[[#This Row],[Obs]]&amp;")"</f>
        <v>PP ()</v>
      </c>
    </row>
    <row r="187" spans="1:14" x14ac:dyDescent="0.3">
      <c r="A187" s="1">
        <v>45125</v>
      </c>
      <c r="B187" t="s">
        <v>17</v>
      </c>
      <c r="C187" t="s">
        <v>26</v>
      </c>
      <c r="D187" s="8">
        <v>0.79166666666666663</v>
      </c>
      <c r="E187" s="8">
        <v>0.95833333333333337</v>
      </c>
      <c r="K187" t="s">
        <v>565</v>
      </c>
      <c r="M187" t="s">
        <v>478</v>
      </c>
      <c r="N187" t="str">
        <f>Tabela_tudo[[#This Row],[Médico]]&amp;" ("&amp;Tabela_tudo[[#This Row],[Obs]]&amp;")"</f>
        <v>FAB ()</v>
      </c>
    </row>
    <row r="188" spans="1:14" x14ac:dyDescent="0.3">
      <c r="A188" s="1">
        <v>45125</v>
      </c>
      <c r="B188" t="s">
        <v>17</v>
      </c>
      <c r="C188" t="s">
        <v>26</v>
      </c>
      <c r="D188" s="8">
        <v>0.66666666666666663</v>
      </c>
      <c r="E188" s="8">
        <v>0.79166666666666663</v>
      </c>
      <c r="J188" t="s">
        <v>565</v>
      </c>
      <c r="M188" t="s">
        <v>478</v>
      </c>
      <c r="N188" t="str">
        <f>Tabela_tudo[[#This Row],[Médico]]&amp;" ("&amp;Tabela_tudo[[#This Row],[Obs]]&amp;")"</f>
        <v>FAB ()</v>
      </c>
    </row>
    <row r="189" spans="1:14" x14ac:dyDescent="0.3">
      <c r="A189" s="1">
        <v>45161</v>
      </c>
      <c r="B189" t="s">
        <v>94</v>
      </c>
      <c r="C189" t="s">
        <v>26</v>
      </c>
      <c r="D189" s="8">
        <v>0.79166666666666663</v>
      </c>
      <c r="E189" s="8">
        <v>0.91666666666666663</v>
      </c>
      <c r="K189" t="s">
        <v>565</v>
      </c>
      <c r="M189" t="s">
        <v>478</v>
      </c>
      <c r="N189" t="str">
        <f>Tabela_tudo[[#This Row],[Médico]]&amp;" ("&amp;Tabela_tudo[[#This Row],[Obs]]&amp;")"</f>
        <v>TOT ()</v>
      </c>
    </row>
    <row r="190" spans="1:14" x14ac:dyDescent="0.3">
      <c r="A190" s="1">
        <v>45161</v>
      </c>
      <c r="B190" t="s">
        <v>66</v>
      </c>
      <c r="C190" t="s">
        <v>26</v>
      </c>
      <c r="D190" s="8">
        <v>0.79166666666666663</v>
      </c>
      <c r="E190" s="8">
        <v>0.91666666666666663</v>
      </c>
      <c r="K190" t="s">
        <v>565</v>
      </c>
      <c r="M190" t="s">
        <v>478</v>
      </c>
      <c r="N190" t="str">
        <f>Tabela_tudo[[#This Row],[Médico]]&amp;" ("&amp;Tabela_tudo[[#This Row],[Obs]]&amp;")"</f>
        <v>MOZ ()</v>
      </c>
    </row>
    <row r="191" spans="1:14" x14ac:dyDescent="0.3">
      <c r="A191" s="1">
        <v>45161</v>
      </c>
      <c r="B191" t="s">
        <v>29</v>
      </c>
      <c r="C191" t="s">
        <v>26</v>
      </c>
      <c r="D191" s="8">
        <v>0.79166666666666663</v>
      </c>
      <c r="E191" s="8">
        <v>0.91666666666666663</v>
      </c>
      <c r="K191" t="s">
        <v>565</v>
      </c>
      <c r="M191" t="s">
        <v>478</v>
      </c>
      <c r="N191" t="str">
        <f>Tabela_tudo[[#This Row],[Médico]]&amp;" ("&amp;Tabela_tudo[[#This Row],[Obs]]&amp;")"</f>
        <v>JOA ()</v>
      </c>
    </row>
    <row r="192" spans="1:14" x14ac:dyDescent="0.3">
      <c r="A192" s="1">
        <v>45203</v>
      </c>
      <c r="B192" t="s">
        <v>16</v>
      </c>
      <c r="C192" t="s">
        <v>26</v>
      </c>
      <c r="D192" s="8">
        <v>0.66666666666666663</v>
      </c>
      <c r="E192" s="8">
        <v>0.79166666666666663</v>
      </c>
      <c r="J192" t="s">
        <v>565</v>
      </c>
      <c r="M192" t="s">
        <v>478</v>
      </c>
      <c r="N192" t="str">
        <f>Tabela_tudo[[#This Row],[Médico]]&amp;" ("&amp;Tabela_tudo[[#This Row],[Obs]]&amp;")"</f>
        <v>PP ()</v>
      </c>
    </row>
    <row r="193" spans="1:14" x14ac:dyDescent="0.3">
      <c r="A193" s="1">
        <v>45203</v>
      </c>
      <c r="B193" t="s">
        <v>48</v>
      </c>
      <c r="C193" t="s">
        <v>26</v>
      </c>
      <c r="D193" s="8">
        <v>0.29166666666666669</v>
      </c>
      <c r="E193" s="8">
        <v>0.41666666666666669</v>
      </c>
      <c r="G193" t="s">
        <v>565</v>
      </c>
      <c r="M193" t="s">
        <v>478</v>
      </c>
      <c r="N193" t="str">
        <f>Tabela_tudo[[#This Row],[Médico]]&amp;" ("&amp;Tabela_tudo[[#This Row],[Obs]]&amp;")"</f>
        <v>MAF ()</v>
      </c>
    </row>
    <row r="194" spans="1:14" x14ac:dyDescent="0.3">
      <c r="A194" s="1">
        <v>45096</v>
      </c>
      <c r="B194" t="s">
        <v>73</v>
      </c>
      <c r="C194" t="s">
        <v>26</v>
      </c>
      <c r="D194" s="8">
        <v>0.29166666666666669</v>
      </c>
      <c r="E194" s="8">
        <v>0.41666666666666669</v>
      </c>
      <c r="G194" t="s">
        <v>565</v>
      </c>
      <c r="M194" t="s">
        <v>478</v>
      </c>
      <c r="N194" t="str">
        <f>Tabela_tudo[[#This Row],[Médico]]&amp;" ("&amp;Tabela_tudo[[#This Row],[Obs]]&amp;")"</f>
        <v>RT ()</v>
      </c>
    </row>
    <row r="195" spans="1:14" x14ac:dyDescent="0.3">
      <c r="A195" s="1">
        <v>45203</v>
      </c>
      <c r="B195" t="s">
        <v>68</v>
      </c>
      <c r="C195" t="s">
        <v>26</v>
      </c>
      <c r="D195" s="8">
        <v>0.79166666666666663</v>
      </c>
      <c r="E195" s="8">
        <v>0.91666666666666663</v>
      </c>
      <c r="K195" t="s">
        <v>565</v>
      </c>
      <c r="M195" t="s">
        <v>478</v>
      </c>
      <c r="N195" t="str">
        <f>Tabela_tudo[[#This Row],[Médico]]&amp;" ("&amp;Tabela_tudo[[#This Row],[Obs]]&amp;")"</f>
        <v>PED ()</v>
      </c>
    </row>
    <row r="196" spans="1:14" x14ac:dyDescent="0.3">
      <c r="A196" s="1">
        <v>45203</v>
      </c>
      <c r="B196" t="s">
        <v>16</v>
      </c>
      <c r="C196" t="s">
        <v>26</v>
      </c>
      <c r="D196" s="8">
        <v>0.79166666666666663</v>
      </c>
      <c r="E196" s="8">
        <v>0.91666666666666663</v>
      </c>
      <c r="K196" t="s">
        <v>565</v>
      </c>
      <c r="M196" t="s">
        <v>478</v>
      </c>
      <c r="N196" t="str">
        <f>Tabela_tudo[[#This Row],[Médico]]&amp;" ("&amp;Tabela_tudo[[#This Row],[Obs]]&amp;")"</f>
        <v>PP ()</v>
      </c>
    </row>
    <row r="197" spans="1:14" x14ac:dyDescent="0.3">
      <c r="A197" s="1">
        <v>45203</v>
      </c>
      <c r="B197" t="s">
        <v>68</v>
      </c>
      <c r="C197" t="s">
        <v>26</v>
      </c>
      <c r="D197" s="8">
        <v>0.66666666666666663</v>
      </c>
      <c r="E197" s="8">
        <v>0.79166666666666663</v>
      </c>
      <c r="J197" t="s">
        <v>565</v>
      </c>
      <c r="M197" t="s">
        <v>478</v>
      </c>
      <c r="N197" t="str">
        <f>Tabela_tudo[[#This Row],[Médico]]&amp;" ("&amp;Tabela_tudo[[#This Row],[Obs]]&amp;")"</f>
        <v>PED ()</v>
      </c>
    </row>
    <row r="198" spans="1:14" x14ac:dyDescent="0.3">
      <c r="A198" s="1">
        <v>45190</v>
      </c>
      <c r="B198" t="s">
        <v>37</v>
      </c>
      <c r="C198" t="s">
        <v>26</v>
      </c>
      <c r="D198" s="8">
        <v>0.29166666666666669</v>
      </c>
      <c r="E198" s="8">
        <v>0.41666666666666669</v>
      </c>
      <c r="G198" t="s">
        <v>565</v>
      </c>
      <c r="M198" t="s">
        <v>478</v>
      </c>
      <c r="N198" t="str">
        <f>Tabela_tudo[[#This Row],[Médico]]&amp;" ("&amp;Tabela_tudo[[#This Row],[Obs]]&amp;")"</f>
        <v>EBB ()</v>
      </c>
    </row>
    <row r="199" spans="1:14" x14ac:dyDescent="0.3">
      <c r="A199" s="1">
        <v>45163</v>
      </c>
      <c r="B199" t="s">
        <v>7</v>
      </c>
      <c r="C199" t="s">
        <v>26</v>
      </c>
      <c r="D199" s="8">
        <v>0.66666666666666663</v>
      </c>
      <c r="E199" s="8">
        <v>0.79166666666666663</v>
      </c>
      <c r="J199" t="s">
        <v>565</v>
      </c>
      <c r="M199" t="s">
        <v>478</v>
      </c>
      <c r="N199" t="str">
        <f>Tabela_tudo[[#This Row],[Médico]]&amp;" ("&amp;Tabela_tudo[[#This Row],[Obs]]&amp;")"</f>
        <v>ARI ()</v>
      </c>
    </row>
    <row r="200" spans="1:14" x14ac:dyDescent="0.3">
      <c r="A200" s="1">
        <v>45163</v>
      </c>
      <c r="B200" t="s">
        <v>7</v>
      </c>
      <c r="C200" t="s">
        <v>26</v>
      </c>
      <c r="D200" s="8">
        <v>0.79166666666666663</v>
      </c>
      <c r="E200" s="8">
        <v>0.91666666666666663</v>
      </c>
      <c r="K200" t="s">
        <v>565</v>
      </c>
      <c r="M200" t="s">
        <v>478</v>
      </c>
      <c r="N200" t="str">
        <f>Tabela_tudo[[#This Row],[Médico]]&amp;" ("&amp;Tabela_tudo[[#This Row],[Obs]]&amp;")"</f>
        <v>ARI ()</v>
      </c>
    </row>
    <row r="201" spans="1:14" x14ac:dyDescent="0.3">
      <c r="A201" s="1">
        <v>45202</v>
      </c>
      <c r="B201" t="s">
        <v>48</v>
      </c>
      <c r="C201" t="s">
        <v>26</v>
      </c>
      <c r="D201" s="8">
        <v>0.79166666666666663</v>
      </c>
      <c r="E201" s="8">
        <v>0.91666666666666663</v>
      </c>
      <c r="K201" t="s">
        <v>565</v>
      </c>
      <c r="M201" t="s">
        <v>478</v>
      </c>
      <c r="N201" t="str">
        <f>Tabela_tudo[[#This Row],[Médico]]&amp;" ("&amp;Tabela_tudo[[#This Row],[Obs]]&amp;")"</f>
        <v>MAF ()</v>
      </c>
    </row>
    <row r="202" spans="1:14" x14ac:dyDescent="0.3">
      <c r="A202" s="1">
        <v>45190</v>
      </c>
      <c r="B202" t="s">
        <v>37</v>
      </c>
      <c r="C202" t="s">
        <v>26</v>
      </c>
      <c r="D202" s="8">
        <v>0.41666666666666669</v>
      </c>
      <c r="E202" s="8">
        <v>0.54166666666666663</v>
      </c>
      <c r="H202" t="s">
        <v>565</v>
      </c>
      <c r="M202" t="s">
        <v>478</v>
      </c>
      <c r="N202" t="str">
        <f>Tabela_tudo[[#This Row],[Médico]]&amp;" ("&amp;Tabela_tudo[[#This Row],[Obs]]&amp;")"</f>
        <v>EBB ()</v>
      </c>
    </row>
    <row r="203" spans="1:14" x14ac:dyDescent="0.3">
      <c r="A203" s="1">
        <v>45190</v>
      </c>
      <c r="B203" t="s">
        <v>84</v>
      </c>
      <c r="C203" t="s">
        <v>26</v>
      </c>
      <c r="D203" s="8">
        <v>0.29166666666666669</v>
      </c>
      <c r="E203" s="8">
        <v>0.41666666666666669</v>
      </c>
      <c r="G203" t="s">
        <v>565</v>
      </c>
      <c r="M203" t="s">
        <v>478</v>
      </c>
      <c r="N203" t="str">
        <f>Tabela_tudo[[#This Row],[Médico]]&amp;" ("&amp;Tabela_tudo[[#This Row],[Obs]]&amp;")"</f>
        <v>ANO ()</v>
      </c>
    </row>
    <row r="204" spans="1:14" x14ac:dyDescent="0.3">
      <c r="A204" s="1">
        <v>45190</v>
      </c>
      <c r="B204" t="s">
        <v>71</v>
      </c>
      <c r="C204" t="s">
        <v>26</v>
      </c>
      <c r="D204" s="8">
        <v>0.79166666666666663</v>
      </c>
      <c r="E204" s="8">
        <v>0.98958333333333337</v>
      </c>
      <c r="K204" t="s">
        <v>565</v>
      </c>
      <c r="M204" t="s">
        <v>478</v>
      </c>
      <c r="N204" t="str">
        <f>Tabela_tudo[[#This Row],[Médico]]&amp;" ("&amp;Tabela_tudo[[#This Row],[Obs]]&amp;")"</f>
        <v>BRU ()</v>
      </c>
    </row>
    <row r="205" spans="1:14" x14ac:dyDescent="0.3">
      <c r="A205" s="1">
        <v>45203</v>
      </c>
      <c r="B205" t="s">
        <v>50</v>
      </c>
      <c r="C205" t="s">
        <v>26</v>
      </c>
      <c r="D205" s="8">
        <v>0.79166666666666663</v>
      </c>
      <c r="E205" s="8">
        <v>0.91666666666666663</v>
      </c>
      <c r="K205" t="s">
        <v>565</v>
      </c>
      <c r="M205" t="s">
        <v>478</v>
      </c>
      <c r="N205" t="str">
        <f>Tabela_tudo[[#This Row],[Médico]]&amp;" ("&amp;Tabela_tudo[[#This Row],[Obs]]&amp;")"</f>
        <v>PJP ()</v>
      </c>
    </row>
    <row r="206" spans="1:14" x14ac:dyDescent="0.3">
      <c r="A206" s="1">
        <v>45121</v>
      </c>
      <c r="B206" t="s">
        <v>52</v>
      </c>
      <c r="C206" t="s">
        <v>26</v>
      </c>
      <c r="D206" s="8">
        <v>0.79166666666666663</v>
      </c>
      <c r="E206" s="8">
        <v>0.91666666666666663</v>
      </c>
      <c r="K206" t="s">
        <v>565</v>
      </c>
      <c r="M206" t="s">
        <v>478</v>
      </c>
      <c r="N206" t="str">
        <f>Tabela_tudo[[#This Row],[Médico]]&amp;" ("&amp;Tabela_tudo[[#This Row],[Obs]]&amp;")"</f>
        <v>AEL ()</v>
      </c>
    </row>
    <row r="207" spans="1:14" x14ac:dyDescent="0.3">
      <c r="A207" s="1">
        <v>45121</v>
      </c>
      <c r="B207" t="s">
        <v>48</v>
      </c>
      <c r="C207" t="s">
        <v>26</v>
      </c>
      <c r="D207" s="8">
        <v>0.79166666666666663</v>
      </c>
      <c r="E207" s="8">
        <v>0.91666666666666663</v>
      </c>
      <c r="K207" t="s">
        <v>565</v>
      </c>
      <c r="M207" t="s">
        <v>478</v>
      </c>
      <c r="N207" t="str">
        <f>Tabela_tudo[[#This Row],[Médico]]&amp;" ("&amp;Tabela_tudo[[#This Row],[Obs]]&amp;")"</f>
        <v>MAF ()</v>
      </c>
    </row>
    <row r="208" spans="1:14" x14ac:dyDescent="0.3">
      <c r="A208" s="1">
        <v>45121</v>
      </c>
      <c r="B208" t="s">
        <v>66</v>
      </c>
      <c r="C208" t="s">
        <v>26</v>
      </c>
      <c r="D208" s="8">
        <v>0.66666666666666663</v>
      </c>
      <c r="E208" s="8">
        <v>0.79166666666666663</v>
      </c>
      <c r="J208" t="s">
        <v>565</v>
      </c>
      <c r="M208" t="s">
        <v>478</v>
      </c>
      <c r="N208" t="str">
        <f>Tabela_tudo[[#This Row],[Médico]]&amp;" ("&amp;Tabela_tudo[[#This Row],[Obs]]&amp;")"</f>
        <v>MOZ ()</v>
      </c>
    </row>
    <row r="209" spans="1:14" x14ac:dyDescent="0.3">
      <c r="A209" s="1">
        <v>45204</v>
      </c>
      <c r="B209" t="s">
        <v>34</v>
      </c>
      <c r="C209" t="s">
        <v>26</v>
      </c>
      <c r="D209" s="8">
        <v>0.79166666666666663</v>
      </c>
      <c r="E209" s="8">
        <v>0.98958333333333337</v>
      </c>
      <c r="K209" t="s">
        <v>565</v>
      </c>
      <c r="M209" t="s">
        <v>478</v>
      </c>
      <c r="N209" t="str">
        <f>Tabela_tudo[[#This Row],[Médico]]&amp;" ("&amp;Tabela_tudo[[#This Row],[Obs]]&amp;")"</f>
        <v>LIP ()</v>
      </c>
    </row>
    <row r="210" spans="1:14" x14ac:dyDescent="0.3">
      <c r="A210" s="1">
        <v>45204</v>
      </c>
      <c r="B210" t="s">
        <v>34</v>
      </c>
      <c r="C210" t="s">
        <v>26</v>
      </c>
      <c r="D210" s="8">
        <v>0.66666666666666663</v>
      </c>
      <c r="E210" s="8">
        <v>0.79166666666666663</v>
      </c>
      <c r="J210" t="s">
        <v>565</v>
      </c>
      <c r="M210" t="s">
        <v>478</v>
      </c>
      <c r="N210" t="str">
        <f>Tabela_tudo[[#This Row],[Médico]]&amp;" ("&amp;Tabela_tudo[[#This Row],[Obs]]&amp;")"</f>
        <v>LIP ()</v>
      </c>
    </row>
    <row r="211" spans="1:14" x14ac:dyDescent="0.3">
      <c r="A211" s="1">
        <v>45204</v>
      </c>
      <c r="B211" t="s">
        <v>68</v>
      </c>
      <c r="C211" t="s">
        <v>26</v>
      </c>
      <c r="D211" s="8">
        <v>0.29166666666666669</v>
      </c>
      <c r="E211" s="8">
        <v>0.41666666666666669</v>
      </c>
      <c r="G211" t="s">
        <v>565</v>
      </c>
      <c r="M211" t="s">
        <v>478</v>
      </c>
      <c r="N211" t="str">
        <f>Tabela_tudo[[#This Row],[Médico]]&amp;" ("&amp;Tabela_tudo[[#This Row],[Obs]]&amp;")"</f>
        <v>PED ()</v>
      </c>
    </row>
    <row r="212" spans="1:14" x14ac:dyDescent="0.3">
      <c r="A212" s="1">
        <v>45203</v>
      </c>
      <c r="B212" t="s">
        <v>12</v>
      </c>
      <c r="C212" t="s">
        <v>26</v>
      </c>
      <c r="D212" s="8">
        <v>0.79166666666666663</v>
      </c>
      <c r="E212" s="8">
        <v>0.98958333333333337</v>
      </c>
      <c r="K212" t="s">
        <v>565</v>
      </c>
      <c r="M212" t="s">
        <v>478</v>
      </c>
      <c r="N212" t="str">
        <f>Tabela_tudo[[#This Row],[Médico]]&amp;" ("&amp;Tabela_tudo[[#This Row],[Obs]]&amp;")"</f>
        <v>EDU ()</v>
      </c>
    </row>
    <row r="213" spans="1:14" x14ac:dyDescent="0.3">
      <c r="A213" s="1">
        <v>45162</v>
      </c>
      <c r="B213" t="s">
        <v>84</v>
      </c>
      <c r="C213" t="s">
        <v>26</v>
      </c>
      <c r="D213" s="8">
        <v>0.79166666666666663</v>
      </c>
      <c r="E213" s="8">
        <v>0.91666666666666663</v>
      </c>
      <c r="K213" t="s">
        <v>565</v>
      </c>
      <c r="M213" t="s">
        <v>478</v>
      </c>
      <c r="N213" t="str">
        <f>Tabela_tudo[[#This Row],[Médico]]&amp;" ("&amp;Tabela_tudo[[#This Row],[Obs]]&amp;")"</f>
        <v>ANO ()</v>
      </c>
    </row>
    <row r="214" spans="1:14" x14ac:dyDescent="0.3">
      <c r="A214" s="1">
        <v>45119</v>
      </c>
      <c r="B214" t="s">
        <v>14</v>
      </c>
      <c r="C214" t="s">
        <v>26</v>
      </c>
      <c r="D214" s="8">
        <v>0.79166666666666663</v>
      </c>
      <c r="E214" s="8">
        <v>0.91666666666666663</v>
      </c>
      <c r="K214" t="s">
        <v>565</v>
      </c>
      <c r="M214" t="s">
        <v>478</v>
      </c>
      <c r="N214" t="str">
        <f>Tabela_tudo[[#This Row],[Médico]]&amp;" ("&amp;Tabela_tudo[[#This Row],[Obs]]&amp;")"</f>
        <v>PW ()</v>
      </c>
    </row>
    <row r="215" spans="1:14" x14ac:dyDescent="0.3">
      <c r="A215" s="1">
        <v>45119</v>
      </c>
      <c r="B215" t="s">
        <v>29</v>
      </c>
      <c r="C215" t="s">
        <v>26</v>
      </c>
      <c r="D215" s="8">
        <v>0.54166666666666663</v>
      </c>
      <c r="E215" s="8">
        <v>0.66666666666666663</v>
      </c>
      <c r="I215" t="s">
        <v>565</v>
      </c>
      <c r="M215" t="s">
        <v>478</v>
      </c>
      <c r="N215" t="str">
        <f>Tabela_tudo[[#This Row],[Médico]]&amp;" ("&amp;Tabela_tudo[[#This Row],[Obs]]&amp;")"</f>
        <v>JOA ()</v>
      </c>
    </row>
    <row r="216" spans="1:14" x14ac:dyDescent="0.3">
      <c r="A216" s="1">
        <v>45203</v>
      </c>
      <c r="B216" t="s">
        <v>66</v>
      </c>
      <c r="C216" t="s">
        <v>26</v>
      </c>
      <c r="D216" s="8">
        <v>0.79166666666666663</v>
      </c>
      <c r="E216" s="8">
        <v>0.98958333333333337</v>
      </c>
      <c r="K216" t="s">
        <v>565</v>
      </c>
      <c r="M216" t="s">
        <v>478</v>
      </c>
      <c r="N216" t="str">
        <f>Tabela_tudo[[#This Row],[Médico]]&amp;" ("&amp;Tabela_tudo[[#This Row],[Obs]]&amp;")"</f>
        <v>MOZ ()</v>
      </c>
    </row>
    <row r="217" spans="1:14" x14ac:dyDescent="0.3">
      <c r="A217" s="1">
        <v>45121</v>
      </c>
      <c r="B217" t="s">
        <v>48</v>
      </c>
      <c r="C217" t="s">
        <v>26</v>
      </c>
      <c r="D217" s="8">
        <v>0.66666666666666663</v>
      </c>
      <c r="E217" s="8">
        <v>0.79166666666666663</v>
      </c>
      <c r="J217" t="s">
        <v>565</v>
      </c>
      <c r="M217" t="s">
        <v>478</v>
      </c>
      <c r="N217" t="str">
        <f>Tabela_tudo[[#This Row],[Médico]]&amp;" ("&amp;Tabela_tudo[[#This Row],[Obs]]&amp;")"</f>
        <v>MAF ()</v>
      </c>
    </row>
    <row r="218" spans="1:14" x14ac:dyDescent="0.3">
      <c r="A218" s="1">
        <v>45121</v>
      </c>
      <c r="B218" t="s">
        <v>33</v>
      </c>
      <c r="C218" t="s">
        <v>26</v>
      </c>
      <c r="D218" s="8">
        <v>0.41666666666666669</v>
      </c>
      <c r="E218" s="8">
        <v>0.54166666666666663</v>
      </c>
      <c r="H218" t="s">
        <v>565</v>
      </c>
      <c r="M218" t="s">
        <v>478</v>
      </c>
      <c r="N218" t="str">
        <f>Tabela_tudo[[#This Row],[Médico]]&amp;" ("&amp;Tabela_tudo[[#This Row],[Obs]]&amp;")"</f>
        <v>DIF ()</v>
      </c>
    </row>
    <row r="219" spans="1:14" x14ac:dyDescent="0.3">
      <c r="A219" s="1">
        <v>45243</v>
      </c>
      <c r="B219" t="s">
        <v>71</v>
      </c>
      <c r="C219" t="s">
        <v>26</v>
      </c>
      <c r="D219" s="8">
        <v>0.29166666666666669</v>
      </c>
      <c r="E219" s="8">
        <v>0.41666666666666669</v>
      </c>
      <c r="G219" t="s">
        <v>565</v>
      </c>
      <c r="M219" t="s">
        <v>478</v>
      </c>
      <c r="N219" t="str">
        <f>Tabela_tudo[[#This Row],[Médico]]&amp;" ("&amp;Tabela_tudo[[#This Row],[Obs]]&amp;")"</f>
        <v>BRU ()</v>
      </c>
    </row>
    <row r="220" spans="1:14" x14ac:dyDescent="0.3">
      <c r="A220" s="1">
        <v>45034</v>
      </c>
      <c r="B220" t="s">
        <v>44</v>
      </c>
      <c r="C220" t="s">
        <v>26</v>
      </c>
      <c r="D220" s="8">
        <v>0.41666666666666669</v>
      </c>
      <c r="E220" s="8">
        <v>0.54166666666666663</v>
      </c>
      <c r="H220" t="s">
        <v>565</v>
      </c>
      <c r="M220" t="s">
        <v>478</v>
      </c>
      <c r="N220" t="str">
        <f>Tabela_tudo[[#This Row],[Médico]]&amp;" ("&amp;Tabela_tudo[[#This Row],[Obs]]&amp;")"</f>
        <v>REI ()</v>
      </c>
    </row>
    <row r="221" spans="1:14" x14ac:dyDescent="0.3">
      <c r="A221" s="1">
        <v>45177</v>
      </c>
      <c r="B221" t="s">
        <v>12</v>
      </c>
      <c r="C221" t="s">
        <v>26</v>
      </c>
      <c r="D221" s="8">
        <v>0.79166666666666663</v>
      </c>
      <c r="E221" s="8">
        <v>0.98958333333333337</v>
      </c>
      <c r="K221" t="s">
        <v>565</v>
      </c>
      <c r="M221" t="s">
        <v>478</v>
      </c>
      <c r="N221" t="str">
        <f>Tabela_tudo[[#This Row],[Médico]]&amp;" ("&amp;Tabela_tudo[[#This Row],[Obs]]&amp;")"</f>
        <v>EDU ()</v>
      </c>
    </row>
    <row r="222" spans="1:14" x14ac:dyDescent="0.3">
      <c r="A222" s="1">
        <v>45243</v>
      </c>
      <c r="B222" t="s">
        <v>71</v>
      </c>
      <c r="C222" t="s">
        <v>26</v>
      </c>
      <c r="D222" s="8">
        <v>0.41666666666666669</v>
      </c>
      <c r="E222" s="8">
        <v>0.54166666666666663</v>
      </c>
      <c r="H222" t="s">
        <v>565</v>
      </c>
      <c r="M222" t="s">
        <v>478</v>
      </c>
      <c r="N222" t="str">
        <f>Tabela_tudo[[#This Row],[Médico]]&amp;" ("&amp;Tabela_tudo[[#This Row],[Obs]]&amp;")"</f>
        <v>BRU ()</v>
      </c>
    </row>
    <row r="223" spans="1:14" x14ac:dyDescent="0.3">
      <c r="A223" s="1">
        <v>45175</v>
      </c>
      <c r="B223" t="s">
        <v>94</v>
      </c>
      <c r="C223" t="s">
        <v>26</v>
      </c>
      <c r="D223" s="8">
        <v>0.66666666666666663</v>
      </c>
      <c r="E223" s="8">
        <v>0.79166666666666663</v>
      </c>
      <c r="J223" t="s">
        <v>565</v>
      </c>
      <c r="M223" t="s">
        <v>478</v>
      </c>
      <c r="N223" t="str">
        <f>Tabela_tudo[[#This Row],[Médico]]&amp;" ("&amp;Tabela_tudo[[#This Row],[Obs]]&amp;")"</f>
        <v>TOT ()</v>
      </c>
    </row>
    <row r="224" spans="1:14" x14ac:dyDescent="0.3">
      <c r="A224" s="1">
        <v>45175</v>
      </c>
      <c r="B224" t="s">
        <v>47</v>
      </c>
      <c r="C224" t="s">
        <v>26</v>
      </c>
      <c r="D224" s="8">
        <v>0.66666666666666663</v>
      </c>
      <c r="E224" s="8">
        <v>0.79166666666666663</v>
      </c>
      <c r="J224" t="s">
        <v>565</v>
      </c>
      <c r="M224" t="s">
        <v>478</v>
      </c>
      <c r="N224" t="str">
        <f>Tabela_tudo[[#This Row],[Médico]]&amp;" ("&amp;Tabela_tudo[[#This Row],[Obs]]&amp;")"</f>
        <v>VIN ()</v>
      </c>
    </row>
    <row r="225" spans="1:14" x14ac:dyDescent="0.3">
      <c r="A225" s="1">
        <v>45138</v>
      </c>
      <c r="B225" t="s">
        <v>68</v>
      </c>
      <c r="C225" t="s">
        <v>26</v>
      </c>
      <c r="D225" s="8">
        <v>0.41666666666666669</v>
      </c>
      <c r="E225" s="8">
        <v>0.54166666666666663</v>
      </c>
      <c r="H225" t="s">
        <v>565</v>
      </c>
      <c r="M225" t="s">
        <v>478</v>
      </c>
      <c r="N225" t="str">
        <f>Tabela_tudo[[#This Row],[Médico]]&amp;" ("&amp;Tabela_tudo[[#This Row],[Obs]]&amp;")"</f>
        <v>PED ()</v>
      </c>
    </row>
    <row r="226" spans="1:14" x14ac:dyDescent="0.3">
      <c r="A226" s="1">
        <v>45034</v>
      </c>
      <c r="B226" t="s">
        <v>68</v>
      </c>
      <c r="C226" t="s">
        <v>26</v>
      </c>
      <c r="D226" s="8">
        <v>0.79166666666666663</v>
      </c>
      <c r="E226" s="8">
        <v>0.83333333333333337</v>
      </c>
      <c r="K226" t="s">
        <v>565</v>
      </c>
      <c r="M226" t="s">
        <v>478</v>
      </c>
      <c r="N226" t="str">
        <f>Tabela_tudo[[#This Row],[Médico]]&amp;" ("&amp;Tabela_tudo[[#This Row],[Obs]]&amp;")"</f>
        <v>PED ()</v>
      </c>
    </row>
    <row r="227" spans="1:14" x14ac:dyDescent="0.3">
      <c r="A227" s="1">
        <v>45077</v>
      </c>
      <c r="B227" t="s">
        <v>34</v>
      </c>
      <c r="C227" t="s">
        <v>26</v>
      </c>
      <c r="D227" s="8">
        <v>0.79166666666666663</v>
      </c>
      <c r="E227" s="8">
        <v>0.83333333333333337</v>
      </c>
      <c r="F227" t="s">
        <v>99</v>
      </c>
      <c r="K227" t="s">
        <v>565</v>
      </c>
      <c r="M227" t="s">
        <v>478</v>
      </c>
      <c r="N227" t="str">
        <f>Tabela_tudo[[#This Row],[Médico]]&amp;" ("&amp;Tabela_tudo[[#This Row],[Obs]]&amp;")"</f>
        <v>LIP (5° PERÍODO)</v>
      </c>
    </row>
    <row r="228" spans="1:14" x14ac:dyDescent="0.3">
      <c r="A228" s="1">
        <v>45147</v>
      </c>
      <c r="B228" t="s">
        <v>37</v>
      </c>
      <c r="C228" t="s">
        <v>26</v>
      </c>
      <c r="D228" s="8">
        <v>0.29166666666666669</v>
      </c>
      <c r="E228" s="8">
        <v>0.41666666666666669</v>
      </c>
      <c r="G228" t="s">
        <v>565</v>
      </c>
      <c r="M228" t="s">
        <v>478</v>
      </c>
      <c r="N228" t="str">
        <f>Tabela_tudo[[#This Row],[Médico]]&amp;" ("&amp;Tabela_tudo[[#This Row],[Obs]]&amp;")"</f>
        <v>EBB ()</v>
      </c>
    </row>
    <row r="229" spans="1:14" x14ac:dyDescent="0.3">
      <c r="A229" s="1">
        <v>45034</v>
      </c>
      <c r="B229" t="s">
        <v>16</v>
      </c>
      <c r="C229" t="s">
        <v>26</v>
      </c>
      <c r="D229" s="8">
        <v>0.54166666666666663</v>
      </c>
      <c r="E229" s="8">
        <v>0.66666666666666663</v>
      </c>
      <c r="I229" t="s">
        <v>565</v>
      </c>
      <c r="M229" t="s">
        <v>478</v>
      </c>
      <c r="N229" t="str">
        <f>Tabela_tudo[[#This Row],[Médico]]&amp;" ("&amp;Tabela_tudo[[#This Row],[Obs]]&amp;")"</f>
        <v>PP ()</v>
      </c>
    </row>
    <row r="230" spans="1:14" x14ac:dyDescent="0.3">
      <c r="A230" s="1">
        <v>45068</v>
      </c>
      <c r="B230" t="s">
        <v>52</v>
      </c>
      <c r="C230" t="s">
        <v>26</v>
      </c>
      <c r="D230" s="8">
        <v>0.79166666666666663</v>
      </c>
      <c r="E230" s="8">
        <v>0.83333333333333337</v>
      </c>
      <c r="K230" t="s">
        <v>565</v>
      </c>
      <c r="M230" t="s">
        <v>478</v>
      </c>
      <c r="N230" t="str">
        <f>Tabela_tudo[[#This Row],[Médico]]&amp;" ("&amp;Tabela_tudo[[#This Row],[Obs]]&amp;")"</f>
        <v>AEL ()</v>
      </c>
    </row>
    <row r="231" spans="1:14" x14ac:dyDescent="0.3">
      <c r="A231" s="1">
        <v>45070</v>
      </c>
      <c r="B231" t="s">
        <v>71</v>
      </c>
      <c r="C231" t="s">
        <v>26</v>
      </c>
      <c r="D231" s="8">
        <v>0.79166666666666663</v>
      </c>
      <c r="E231" s="8">
        <v>0.83333333333333337</v>
      </c>
      <c r="F231" t="s">
        <v>70</v>
      </c>
      <c r="K231" t="s">
        <v>565</v>
      </c>
      <c r="M231" t="s">
        <v>478</v>
      </c>
      <c r="N231" t="str">
        <f>Tabela_tudo[[#This Row],[Médico]]&amp;" ("&amp;Tabela_tudo[[#This Row],[Obs]]&amp;")"</f>
        <v>BRU (5° PERÍODO )</v>
      </c>
    </row>
    <row r="232" spans="1:14" x14ac:dyDescent="0.3">
      <c r="A232" s="1">
        <v>45145</v>
      </c>
      <c r="B232" t="s">
        <v>50</v>
      </c>
      <c r="C232" t="s">
        <v>26</v>
      </c>
      <c r="D232" s="8">
        <v>0.66666666666666663</v>
      </c>
      <c r="E232" s="8">
        <v>0.79166666666666663</v>
      </c>
      <c r="J232" t="s">
        <v>565</v>
      </c>
      <c r="M232" t="s">
        <v>478</v>
      </c>
      <c r="N232" t="str">
        <f>Tabela_tudo[[#This Row],[Médico]]&amp;" ("&amp;Tabela_tudo[[#This Row],[Obs]]&amp;")"</f>
        <v>PJP ()</v>
      </c>
    </row>
    <row r="233" spans="1:14" x14ac:dyDescent="0.3">
      <c r="A233" s="1">
        <v>45117</v>
      </c>
      <c r="B233" t="s">
        <v>21</v>
      </c>
      <c r="C233" t="s">
        <v>26</v>
      </c>
      <c r="D233" s="8">
        <v>0.54166666666666663</v>
      </c>
      <c r="E233" s="8">
        <v>0.91666666666666663</v>
      </c>
      <c r="I233" t="s">
        <v>565</v>
      </c>
      <c r="J233" t="s">
        <v>565</v>
      </c>
      <c r="K233" t="s">
        <v>565</v>
      </c>
      <c r="M233" t="s">
        <v>478</v>
      </c>
      <c r="N233" t="str">
        <f>Tabela_tudo[[#This Row],[Médico]]&amp;" ("&amp;Tabela_tudo[[#This Row],[Obs]]&amp;")"</f>
        <v>RA ()</v>
      </c>
    </row>
    <row r="234" spans="1:14" x14ac:dyDescent="0.3">
      <c r="A234" s="1">
        <v>45078</v>
      </c>
      <c r="B234" t="s">
        <v>25</v>
      </c>
      <c r="C234" t="s">
        <v>26</v>
      </c>
      <c r="D234" s="8">
        <v>0.79166666666666663</v>
      </c>
      <c r="E234" s="8">
        <v>0.95833333333333337</v>
      </c>
      <c r="K234" t="s">
        <v>565</v>
      </c>
      <c r="M234" t="s">
        <v>478</v>
      </c>
      <c r="N234" t="str">
        <f>Tabela_tudo[[#This Row],[Médico]]&amp;" ("&amp;Tabela_tudo[[#This Row],[Obs]]&amp;")"</f>
        <v>HEN ()</v>
      </c>
    </row>
    <row r="235" spans="1:14" x14ac:dyDescent="0.3">
      <c r="A235" s="1">
        <v>45078</v>
      </c>
      <c r="B235" t="s">
        <v>66</v>
      </c>
      <c r="C235" t="s">
        <v>26</v>
      </c>
      <c r="D235" s="8">
        <v>0.79166666666666663</v>
      </c>
      <c r="E235" s="8">
        <v>0.95833333333333337</v>
      </c>
      <c r="K235" t="s">
        <v>565</v>
      </c>
      <c r="M235" t="s">
        <v>478</v>
      </c>
      <c r="N235" t="str">
        <f>Tabela_tudo[[#This Row],[Médico]]&amp;" ("&amp;Tabela_tudo[[#This Row],[Obs]]&amp;")"</f>
        <v>MOZ ()</v>
      </c>
    </row>
    <row r="236" spans="1:14" x14ac:dyDescent="0.3">
      <c r="A236" s="1">
        <v>45141</v>
      </c>
      <c r="B236" t="s">
        <v>50</v>
      </c>
      <c r="C236" t="s">
        <v>26</v>
      </c>
      <c r="D236" s="8">
        <v>0.79166666666666663</v>
      </c>
      <c r="E236" s="8">
        <v>0.91666666666666663</v>
      </c>
      <c r="K236" t="s">
        <v>565</v>
      </c>
      <c r="M236" t="s">
        <v>478</v>
      </c>
      <c r="N236" t="str">
        <f>Tabela_tudo[[#This Row],[Médico]]&amp;" ("&amp;Tabela_tudo[[#This Row],[Obs]]&amp;")"</f>
        <v>PJP ()</v>
      </c>
    </row>
    <row r="237" spans="1:14" x14ac:dyDescent="0.3">
      <c r="A237" s="1">
        <v>45148</v>
      </c>
      <c r="B237" t="s">
        <v>142</v>
      </c>
      <c r="C237" t="s">
        <v>26</v>
      </c>
      <c r="D237" s="8">
        <v>0.29166666666666669</v>
      </c>
      <c r="E237" s="8">
        <v>0.41666666666666669</v>
      </c>
      <c r="G237" t="s">
        <v>565</v>
      </c>
      <c r="M237" t="s">
        <v>478</v>
      </c>
      <c r="N237" t="str">
        <f>Tabela_tudo[[#This Row],[Médico]]&amp;" ("&amp;Tabela_tudo[[#This Row],[Obs]]&amp;")"</f>
        <v>VIV ()</v>
      </c>
    </row>
    <row r="238" spans="1:14" x14ac:dyDescent="0.3">
      <c r="A238" s="1">
        <v>45177</v>
      </c>
      <c r="B238" t="s">
        <v>14</v>
      </c>
      <c r="C238" t="s">
        <v>26</v>
      </c>
      <c r="D238" s="8">
        <v>0.79166666666666663</v>
      </c>
      <c r="E238" s="8">
        <v>0.98958333333333337</v>
      </c>
      <c r="K238" t="s">
        <v>565</v>
      </c>
      <c r="M238" t="s">
        <v>478</v>
      </c>
      <c r="N238" t="str">
        <f>Tabela_tudo[[#This Row],[Médico]]&amp;" ("&amp;Tabela_tudo[[#This Row],[Obs]]&amp;")"</f>
        <v>PW ()</v>
      </c>
    </row>
    <row r="239" spans="1:14" x14ac:dyDescent="0.3">
      <c r="A239" s="1">
        <v>45148</v>
      </c>
      <c r="B239" t="s">
        <v>12</v>
      </c>
      <c r="C239" t="s">
        <v>26</v>
      </c>
      <c r="D239" s="8">
        <v>0.66666666666666663</v>
      </c>
      <c r="E239" s="8">
        <v>0.79166666666666663</v>
      </c>
      <c r="J239" t="s">
        <v>565</v>
      </c>
      <c r="M239" t="s">
        <v>478</v>
      </c>
      <c r="N239" t="str">
        <f>Tabela_tudo[[#This Row],[Médico]]&amp;" ("&amp;Tabela_tudo[[#This Row],[Obs]]&amp;")"</f>
        <v>EDU ()</v>
      </c>
    </row>
    <row r="240" spans="1:14" x14ac:dyDescent="0.3">
      <c r="A240" s="1">
        <v>45225</v>
      </c>
      <c r="B240" t="s">
        <v>72</v>
      </c>
      <c r="C240" t="s">
        <v>26</v>
      </c>
      <c r="D240" s="8">
        <v>0.41666666666666669</v>
      </c>
      <c r="E240" s="8">
        <v>0.54166666666666663</v>
      </c>
      <c r="H240" t="s">
        <v>565</v>
      </c>
      <c r="M240" t="s">
        <v>478</v>
      </c>
      <c r="N240" t="str">
        <f>Tabela_tudo[[#This Row],[Médico]]&amp;" ("&amp;Tabela_tudo[[#This Row],[Obs]]&amp;")"</f>
        <v>GRA ()</v>
      </c>
    </row>
    <row r="241" spans="1:14" x14ac:dyDescent="0.3">
      <c r="A241" s="1">
        <v>45148</v>
      </c>
      <c r="B241" t="s">
        <v>25</v>
      </c>
      <c r="C241" t="s">
        <v>26</v>
      </c>
      <c r="D241" s="8">
        <v>0.29166666666666669</v>
      </c>
      <c r="E241" s="8">
        <v>0.41666666666666669</v>
      </c>
      <c r="G241" t="s">
        <v>565</v>
      </c>
      <c r="M241" t="s">
        <v>478</v>
      </c>
      <c r="N241" t="str">
        <f>Tabela_tudo[[#This Row],[Médico]]&amp;" ("&amp;Tabela_tudo[[#This Row],[Obs]]&amp;")"</f>
        <v>HEN ()</v>
      </c>
    </row>
    <row r="242" spans="1:14" x14ac:dyDescent="0.3">
      <c r="A242" s="1">
        <v>45148</v>
      </c>
      <c r="B242" t="s">
        <v>66</v>
      </c>
      <c r="C242" t="s">
        <v>26</v>
      </c>
      <c r="D242" s="8">
        <v>0.79166666666666663</v>
      </c>
      <c r="E242" s="8">
        <v>0.91666666666666663</v>
      </c>
      <c r="K242" t="s">
        <v>565</v>
      </c>
      <c r="M242" t="s">
        <v>478</v>
      </c>
      <c r="N242" t="str">
        <f>Tabela_tudo[[#This Row],[Médico]]&amp;" ("&amp;Tabela_tudo[[#This Row],[Obs]]&amp;")"</f>
        <v>MOZ ()</v>
      </c>
    </row>
    <row r="243" spans="1:14" x14ac:dyDescent="0.3">
      <c r="A243" s="1">
        <v>45138</v>
      </c>
      <c r="B243" t="s">
        <v>68</v>
      </c>
      <c r="C243" t="s">
        <v>26</v>
      </c>
      <c r="D243" s="8">
        <v>0.29166666666666669</v>
      </c>
      <c r="E243" s="8">
        <v>0.41666666666666669</v>
      </c>
      <c r="G243" t="s">
        <v>565</v>
      </c>
      <c r="M243" t="s">
        <v>478</v>
      </c>
      <c r="N243" t="str">
        <f>Tabela_tudo[[#This Row],[Médico]]&amp;" ("&amp;Tabela_tudo[[#This Row],[Obs]]&amp;")"</f>
        <v>PED ()</v>
      </c>
    </row>
    <row r="244" spans="1:14" x14ac:dyDescent="0.3">
      <c r="A244" s="1">
        <v>45078</v>
      </c>
      <c r="B244" t="s">
        <v>66</v>
      </c>
      <c r="C244" t="s">
        <v>26</v>
      </c>
      <c r="D244" s="8">
        <v>0.66666666666666663</v>
      </c>
      <c r="E244" s="8">
        <v>0.79166666666666663</v>
      </c>
      <c r="J244" t="s">
        <v>565</v>
      </c>
      <c r="M244" t="s">
        <v>478</v>
      </c>
      <c r="N244" t="str">
        <f>Tabela_tudo[[#This Row],[Médico]]&amp;" ("&amp;Tabela_tudo[[#This Row],[Obs]]&amp;")"</f>
        <v>MOZ ()</v>
      </c>
    </row>
    <row r="245" spans="1:14" x14ac:dyDescent="0.3">
      <c r="A245" s="1">
        <v>45078</v>
      </c>
      <c r="B245" t="s">
        <v>32</v>
      </c>
      <c r="C245" t="s">
        <v>26</v>
      </c>
      <c r="D245" s="8">
        <v>0.41666666666666669</v>
      </c>
      <c r="E245" s="8">
        <v>0.54166666666666663</v>
      </c>
      <c r="H245" t="s">
        <v>565</v>
      </c>
      <c r="M245" t="s">
        <v>478</v>
      </c>
      <c r="N245" t="str">
        <f>Tabela_tudo[[#This Row],[Médico]]&amp;" ("&amp;Tabela_tudo[[#This Row],[Obs]]&amp;")"</f>
        <v>JS ()</v>
      </c>
    </row>
    <row r="246" spans="1:14" x14ac:dyDescent="0.3">
      <c r="A246" s="1">
        <v>45117</v>
      </c>
      <c r="B246" t="s">
        <v>44</v>
      </c>
      <c r="C246" t="s">
        <v>26</v>
      </c>
      <c r="D246" s="8">
        <v>0.79166666666666663</v>
      </c>
      <c r="E246" s="8">
        <v>0.91666666666666663</v>
      </c>
      <c r="K246" t="s">
        <v>565</v>
      </c>
      <c r="M246" t="s">
        <v>478</v>
      </c>
      <c r="N246" t="str">
        <f>Tabela_tudo[[#This Row],[Médico]]&amp;" ("&amp;Tabela_tudo[[#This Row],[Obs]]&amp;")"</f>
        <v>REI ()</v>
      </c>
    </row>
    <row r="247" spans="1:14" x14ac:dyDescent="0.3">
      <c r="A247" s="1">
        <v>45225</v>
      </c>
      <c r="B247" t="s">
        <v>17</v>
      </c>
      <c r="C247" t="s">
        <v>26</v>
      </c>
      <c r="D247" s="8">
        <v>0.79166666666666663</v>
      </c>
      <c r="E247" s="8">
        <v>0.98958333333333337</v>
      </c>
      <c r="K247" t="s">
        <v>565</v>
      </c>
      <c r="M247" t="s">
        <v>478</v>
      </c>
      <c r="N247" t="str">
        <f>Tabela_tudo[[#This Row],[Médico]]&amp;" ("&amp;Tabela_tudo[[#This Row],[Obs]]&amp;")"</f>
        <v>FAB ()</v>
      </c>
    </row>
    <row r="248" spans="1:14" x14ac:dyDescent="0.3">
      <c r="A248" s="1">
        <v>45237</v>
      </c>
      <c r="B248" t="s">
        <v>71</v>
      </c>
      <c r="C248" t="s">
        <v>26</v>
      </c>
      <c r="D248" s="8">
        <v>0.54166666666666663</v>
      </c>
      <c r="E248" s="8">
        <v>0.66666666666666663</v>
      </c>
      <c r="I248" t="s">
        <v>565</v>
      </c>
      <c r="M248" t="s">
        <v>478</v>
      </c>
      <c r="N248" t="str">
        <f>Tabela_tudo[[#This Row],[Médico]]&amp;" ("&amp;Tabela_tudo[[#This Row],[Obs]]&amp;")"</f>
        <v>BRU ()</v>
      </c>
    </row>
    <row r="249" spans="1:14" x14ac:dyDescent="0.3">
      <c r="A249" s="1">
        <v>45225</v>
      </c>
      <c r="B249" t="s">
        <v>33</v>
      </c>
      <c r="C249" t="s">
        <v>26</v>
      </c>
      <c r="D249" s="8">
        <v>0.66666666666666663</v>
      </c>
      <c r="E249" s="8">
        <v>0.79166666666666663</v>
      </c>
      <c r="J249" t="s">
        <v>565</v>
      </c>
      <c r="M249" t="s">
        <v>478</v>
      </c>
      <c r="N249" t="str">
        <f>Tabela_tudo[[#This Row],[Médico]]&amp;" ("&amp;Tabela_tudo[[#This Row],[Obs]]&amp;")"</f>
        <v>DIF ()</v>
      </c>
    </row>
    <row r="250" spans="1:14" x14ac:dyDescent="0.3">
      <c r="A250" s="1">
        <v>45147</v>
      </c>
      <c r="B250" t="s">
        <v>12</v>
      </c>
      <c r="C250" t="s">
        <v>26</v>
      </c>
      <c r="D250" s="8">
        <v>0.79166666666666663</v>
      </c>
      <c r="E250" s="8">
        <v>0.91666666666666663</v>
      </c>
      <c r="K250" t="s">
        <v>565</v>
      </c>
      <c r="M250" t="s">
        <v>478</v>
      </c>
      <c r="N250" t="str">
        <f>Tabela_tudo[[#This Row],[Médico]]&amp;" ("&amp;Tabela_tudo[[#This Row],[Obs]]&amp;")"</f>
        <v>EDU ()</v>
      </c>
    </row>
    <row r="251" spans="1:14" x14ac:dyDescent="0.3">
      <c r="A251" s="1">
        <v>45226</v>
      </c>
      <c r="B251" t="s">
        <v>7</v>
      </c>
      <c r="C251" t="s">
        <v>26</v>
      </c>
      <c r="D251" s="8">
        <v>0.54166666666666663</v>
      </c>
      <c r="E251" s="8">
        <v>0.66666666666666663</v>
      </c>
      <c r="I251" t="s">
        <v>565</v>
      </c>
      <c r="M251" t="s">
        <v>478</v>
      </c>
      <c r="N251" t="str">
        <f>Tabela_tudo[[#This Row],[Médico]]&amp;" ("&amp;Tabela_tudo[[#This Row],[Obs]]&amp;")"</f>
        <v>ARI ()</v>
      </c>
    </row>
    <row r="252" spans="1:14" x14ac:dyDescent="0.3">
      <c r="A252" s="1">
        <v>45225</v>
      </c>
      <c r="B252" t="s">
        <v>17</v>
      </c>
      <c r="C252" t="s">
        <v>26</v>
      </c>
      <c r="D252" s="8">
        <v>0.66666666666666663</v>
      </c>
      <c r="E252" s="8">
        <v>0.79166666666666663</v>
      </c>
      <c r="J252" t="s">
        <v>565</v>
      </c>
      <c r="M252" t="s">
        <v>478</v>
      </c>
      <c r="N252" t="str">
        <f>Tabela_tudo[[#This Row],[Médico]]&amp;" ("&amp;Tabela_tudo[[#This Row],[Obs]]&amp;")"</f>
        <v>FAB ()</v>
      </c>
    </row>
    <row r="253" spans="1:14" x14ac:dyDescent="0.3">
      <c r="A253" s="1">
        <v>45239</v>
      </c>
      <c r="B253" t="s">
        <v>94</v>
      </c>
      <c r="C253" t="s">
        <v>26</v>
      </c>
      <c r="D253" s="8">
        <v>0.29166666666666669</v>
      </c>
      <c r="E253" s="8">
        <v>0.41666666666666669</v>
      </c>
      <c r="G253" t="s">
        <v>565</v>
      </c>
      <c r="M253" t="s">
        <v>478</v>
      </c>
      <c r="N253" t="str">
        <f>Tabela_tudo[[#This Row],[Médico]]&amp;" ("&amp;Tabela_tudo[[#This Row],[Obs]]&amp;")"</f>
        <v>TOT ()</v>
      </c>
    </row>
    <row r="254" spans="1:14" x14ac:dyDescent="0.3">
      <c r="A254" s="1">
        <v>45139</v>
      </c>
      <c r="B254" t="s">
        <v>44</v>
      </c>
      <c r="C254" t="s">
        <v>26</v>
      </c>
      <c r="D254" s="8">
        <v>0.41666666666666669</v>
      </c>
      <c r="E254" s="8">
        <v>0.54166666666666663</v>
      </c>
      <c r="H254" t="s">
        <v>565</v>
      </c>
      <c r="M254" t="s">
        <v>478</v>
      </c>
      <c r="N254" t="str">
        <f>Tabela_tudo[[#This Row],[Médico]]&amp;" ("&amp;Tabela_tudo[[#This Row],[Obs]]&amp;")"</f>
        <v>REI ()</v>
      </c>
    </row>
    <row r="255" spans="1:14" x14ac:dyDescent="0.3">
      <c r="A255" s="1">
        <v>45017</v>
      </c>
      <c r="B255" t="s">
        <v>23</v>
      </c>
      <c r="C255" t="s">
        <v>26</v>
      </c>
      <c r="D255" s="8">
        <v>0.29166666666666669</v>
      </c>
      <c r="E255" s="8">
        <v>0.41666666666666669</v>
      </c>
      <c r="G255" t="s">
        <v>565</v>
      </c>
      <c r="M255" t="s">
        <v>478</v>
      </c>
      <c r="N255" t="str">
        <f>Tabela_tudo[[#This Row],[Médico]]&amp;" ("&amp;Tabela_tudo[[#This Row],[Obs]]&amp;")"</f>
        <v>BG ()</v>
      </c>
    </row>
    <row r="256" spans="1:14" x14ac:dyDescent="0.3">
      <c r="A256" s="1">
        <v>45017</v>
      </c>
      <c r="B256" t="s">
        <v>16</v>
      </c>
      <c r="C256" t="s">
        <v>26</v>
      </c>
      <c r="D256" s="8">
        <v>0.29166666666666669</v>
      </c>
      <c r="E256" s="8">
        <v>0.41666666666666669</v>
      </c>
      <c r="G256" t="s">
        <v>565</v>
      </c>
      <c r="M256" t="s">
        <v>478</v>
      </c>
      <c r="N256" t="str">
        <f>Tabela_tudo[[#This Row],[Médico]]&amp;" ("&amp;Tabela_tudo[[#This Row],[Obs]]&amp;")"</f>
        <v>PP ()</v>
      </c>
    </row>
    <row r="257" spans="1:14" x14ac:dyDescent="0.3">
      <c r="A257" s="1">
        <v>45017</v>
      </c>
      <c r="B257" t="s">
        <v>73</v>
      </c>
      <c r="C257" t="s">
        <v>26</v>
      </c>
      <c r="D257" s="8">
        <v>0.54166666666666663</v>
      </c>
      <c r="E257" s="8">
        <v>0.66666666666666663</v>
      </c>
      <c r="I257" t="s">
        <v>565</v>
      </c>
      <c r="M257" t="s">
        <v>478</v>
      </c>
      <c r="N257" t="str">
        <f>Tabela_tudo[[#This Row],[Médico]]&amp;" ("&amp;Tabela_tudo[[#This Row],[Obs]]&amp;")"</f>
        <v>RT ()</v>
      </c>
    </row>
    <row r="258" spans="1:14" x14ac:dyDescent="0.3">
      <c r="A258" s="1">
        <v>45147</v>
      </c>
      <c r="B258" t="s">
        <v>71</v>
      </c>
      <c r="C258" t="s">
        <v>26</v>
      </c>
      <c r="D258" s="8">
        <v>0.79166666666666663</v>
      </c>
      <c r="E258" s="8">
        <v>0.91666666666666663</v>
      </c>
      <c r="K258" t="s">
        <v>565</v>
      </c>
      <c r="M258" t="s">
        <v>478</v>
      </c>
      <c r="N258" t="str">
        <f>Tabela_tudo[[#This Row],[Médico]]&amp;" ("&amp;Tabela_tudo[[#This Row],[Obs]]&amp;")"</f>
        <v>BRU ()</v>
      </c>
    </row>
    <row r="259" spans="1:14" x14ac:dyDescent="0.3">
      <c r="A259" s="1">
        <v>45139</v>
      </c>
      <c r="B259" t="s">
        <v>68</v>
      </c>
      <c r="C259" t="s">
        <v>26</v>
      </c>
      <c r="D259" s="8">
        <v>0.79166666666666663</v>
      </c>
      <c r="E259" s="8">
        <v>0.91666666666666663</v>
      </c>
      <c r="K259" t="s">
        <v>565</v>
      </c>
      <c r="M259" t="s">
        <v>478</v>
      </c>
      <c r="N259" t="str">
        <f>Tabela_tudo[[#This Row],[Médico]]&amp;" ("&amp;Tabela_tudo[[#This Row],[Obs]]&amp;")"</f>
        <v>PED ()</v>
      </c>
    </row>
    <row r="260" spans="1:14" x14ac:dyDescent="0.3">
      <c r="A260" s="1">
        <v>45139</v>
      </c>
      <c r="B260" t="s">
        <v>68</v>
      </c>
      <c r="C260" t="s">
        <v>26</v>
      </c>
      <c r="D260" s="8">
        <v>0.66666666666666663</v>
      </c>
      <c r="E260" s="8">
        <v>0.79166666666666663</v>
      </c>
      <c r="J260" t="s">
        <v>565</v>
      </c>
      <c r="M260" t="s">
        <v>478</v>
      </c>
      <c r="N260" t="str">
        <f>Tabela_tudo[[#This Row],[Médico]]&amp;" ("&amp;Tabela_tudo[[#This Row],[Obs]]&amp;")"</f>
        <v>PED ()</v>
      </c>
    </row>
    <row r="261" spans="1:14" x14ac:dyDescent="0.3">
      <c r="A261" s="1">
        <v>45071</v>
      </c>
      <c r="B261" t="s">
        <v>20</v>
      </c>
      <c r="C261" t="s">
        <v>26</v>
      </c>
      <c r="D261" s="8">
        <v>0.66666666666666663</v>
      </c>
      <c r="E261" s="8">
        <v>0.79166666666666663</v>
      </c>
      <c r="F261" t="s">
        <v>105</v>
      </c>
      <c r="J261" t="s">
        <v>565</v>
      </c>
      <c r="M261" t="s">
        <v>478</v>
      </c>
      <c r="N261" t="str">
        <f>Tabela_tudo[[#This Row],[Médico]]&amp;" ("&amp;Tabela_tudo[[#This Row],[Obs]]&amp;")"</f>
        <v>ROB (4° PERÍODO )</v>
      </c>
    </row>
    <row r="262" spans="1:14" x14ac:dyDescent="0.3">
      <c r="A262" s="1">
        <v>45071</v>
      </c>
      <c r="B262" t="s">
        <v>20</v>
      </c>
      <c r="C262" t="s">
        <v>26</v>
      </c>
      <c r="D262" s="8">
        <v>0.54166666666666663</v>
      </c>
      <c r="E262" s="8">
        <v>0.66666666666666663</v>
      </c>
      <c r="F262" t="s">
        <v>104</v>
      </c>
      <c r="I262" t="s">
        <v>565</v>
      </c>
      <c r="M262" t="s">
        <v>478</v>
      </c>
      <c r="N262" t="str">
        <f>Tabela_tudo[[#This Row],[Médico]]&amp;" ("&amp;Tabela_tudo[[#This Row],[Obs]]&amp;")"</f>
        <v>ROB (3° PERÍODO )</v>
      </c>
    </row>
    <row r="263" spans="1:14" x14ac:dyDescent="0.3">
      <c r="A263" s="1">
        <v>45236</v>
      </c>
      <c r="B263" t="s">
        <v>63</v>
      </c>
      <c r="C263" t="s">
        <v>26</v>
      </c>
      <c r="D263" s="8">
        <v>0.41666666666666669</v>
      </c>
      <c r="E263" s="8">
        <v>0.54166666666666663</v>
      </c>
      <c r="H263" t="s">
        <v>565</v>
      </c>
      <c r="M263" t="s">
        <v>478</v>
      </c>
      <c r="N263" t="str">
        <f>Tabela_tudo[[#This Row],[Médico]]&amp;" ("&amp;Tabela_tudo[[#This Row],[Obs]]&amp;")"</f>
        <v>FQ ()</v>
      </c>
    </row>
    <row r="264" spans="1:14" x14ac:dyDescent="0.3">
      <c r="A264" s="1">
        <v>45071</v>
      </c>
      <c r="B264" t="s">
        <v>84</v>
      </c>
      <c r="C264" t="s">
        <v>26</v>
      </c>
      <c r="D264" s="8">
        <v>0.66666666666666663</v>
      </c>
      <c r="E264" s="8">
        <v>0.79166666666666663</v>
      </c>
      <c r="F264" t="s">
        <v>105</v>
      </c>
      <c r="J264" t="s">
        <v>565</v>
      </c>
      <c r="M264" t="s">
        <v>478</v>
      </c>
      <c r="N264" t="str">
        <f>Tabela_tudo[[#This Row],[Médico]]&amp;" ("&amp;Tabela_tudo[[#This Row],[Obs]]&amp;")"</f>
        <v>ANO (4° PERÍODO )</v>
      </c>
    </row>
    <row r="265" spans="1:14" x14ac:dyDescent="0.3">
      <c r="A265" s="1">
        <v>45147</v>
      </c>
      <c r="B265" t="s">
        <v>37</v>
      </c>
      <c r="C265" t="s">
        <v>26</v>
      </c>
      <c r="D265" s="8">
        <v>0.41666666666666669</v>
      </c>
      <c r="E265" s="8">
        <v>0.54166666666666663</v>
      </c>
      <c r="H265" t="s">
        <v>565</v>
      </c>
      <c r="M265" t="s">
        <v>478</v>
      </c>
      <c r="N265" t="str">
        <f>Tabela_tudo[[#This Row],[Médico]]&amp;" ("&amp;Tabela_tudo[[#This Row],[Obs]]&amp;")"</f>
        <v>EBB ()</v>
      </c>
    </row>
    <row r="266" spans="1:14" x14ac:dyDescent="0.3">
      <c r="A266" s="1">
        <v>45236</v>
      </c>
      <c r="B266" t="s">
        <v>142</v>
      </c>
      <c r="C266" t="s">
        <v>26</v>
      </c>
      <c r="D266" s="8">
        <v>0.29166666666666669</v>
      </c>
      <c r="E266" s="8">
        <v>0.41666666666666669</v>
      </c>
      <c r="G266" t="s">
        <v>565</v>
      </c>
      <c r="M266" t="s">
        <v>478</v>
      </c>
      <c r="N266" t="str">
        <f>Tabela_tudo[[#This Row],[Médico]]&amp;" ("&amp;Tabela_tudo[[#This Row],[Obs]]&amp;")"</f>
        <v>VIV ()</v>
      </c>
    </row>
    <row r="267" spans="1:14" x14ac:dyDescent="0.3">
      <c r="A267" s="1">
        <v>45071</v>
      </c>
      <c r="B267" t="s">
        <v>7</v>
      </c>
      <c r="C267" t="s">
        <v>26</v>
      </c>
      <c r="D267" s="8">
        <v>0.79166666666666663</v>
      </c>
      <c r="E267" s="8">
        <v>0.83333333333333337</v>
      </c>
      <c r="F267" t="s">
        <v>99</v>
      </c>
      <c r="K267" t="s">
        <v>565</v>
      </c>
      <c r="M267" t="s">
        <v>478</v>
      </c>
      <c r="N267" t="str">
        <f>Tabela_tudo[[#This Row],[Médico]]&amp;" ("&amp;Tabela_tudo[[#This Row],[Obs]]&amp;")"</f>
        <v>ARI (5° PERÍODO)</v>
      </c>
    </row>
    <row r="268" spans="1:14" x14ac:dyDescent="0.3">
      <c r="A268" s="1">
        <v>45226</v>
      </c>
      <c r="B268" t="s">
        <v>14</v>
      </c>
      <c r="C268" t="s">
        <v>26</v>
      </c>
      <c r="D268" s="8">
        <v>0.66666666666666663</v>
      </c>
      <c r="E268" s="8">
        <v>0.79166666666666663</v>
      </c>
      <c r="J268" t="s">
        <v>565</v>
      </c>
      <c r="M268" t="s">
        <v>478</v>
      </c>
      <c r="N268" t="str">
        <f>Tabela_tudo[[#This Row],[Médico]]&amp;" ("&amp;Tabela_tudo[[#This Row],[Obs]]&amp;")"</f>
        <v>PW ()</v>
      </c>
    </row>
    <row r="269" spans="1:14" x14ac:dyDescent="0.3">
      <c r="A269" s="1">
        <v>45226</v>
      </c>
      <c r="B269" t="s">
        <v>14</v>
      </c>
      <c r="C269" t="s">
        <v>26</v>
      </c>
      <c r="D269" s="8">
        <v>0.79166666666666663</v>
      </c>
      <c r="E269" s="8">
        <v>0.83333333333333337</v>
      </c>
      <c r="K269" t="s">
        <v>565</v>
      </c>
      <c r="M269" t="s">
        <v>478</v>
      </c>
      <c r="N269" t="str">
        <f>Tabela_tudo[[#This Row],[Médico]]&amp;" ("&amp;Tabela_tudo[[#This Row],[Obs]]&amp;")"</f>
        <v>PW ()</v>
      </c>
    </row>
    <row r="270" spans="1:14" x14ac:dyDescent="0.3">
      <c r="A270" s="1">
        <v>45226</v>
      </c>
      <c r="B270" t="s">
        <v>7</v>
      </c>
      <c r="C270" t="s">
        <v>26</v>
      </c>
      <c r="D270" s="8">
        <v>0.66666666666666663</v>
      </c>
      <c r="E270" s="8">
        <v>0.79166666666666663</v>
      </c>
      <c r="J270" t="s">
        <v>565</v>
      </c>
      <c r="M270" t="s">
        <v>478</v>
      </c>
      <c r="N270" t="str">
        <f>Tabela_tudo[[#This Row],[Médico]]&amp;" ("&amp;Tabela_tudo[[#This Row],[Obs]]&amp;")"</f>
        <v>ARI ()</v>
      </c>
    </row>
    <row r="271" spans="1:14" x14ac:dyDescent="0.3">
      <c r="A271" s="1">
        <v>45225</v>
      </c>
      <c r="B271" t="s">
        <v>50</v>
      </c>
      <c r="C271" t="s">
        <v>26</v>
      </c>
      <c r="D271" s="8">
        <v>0.79166666666666663</v>
      </c>
      <c r="E271" s="8">
        <v>0.98958333333333337</v>
      </c>
      <c r="K271" t="s">
        <v>565</v>
      </c>
      <c r="M271" t="s">
        <v>478</v>
      </c>
      <c r="N271" t="str">
        <f>Tabela_tudo[[#This Row],[Médico]]&amp;" ("&amp;Tabela_tudo[[#This Row],[Obs]]&amp;")"</f>
        <v>PJP ()</v>
      </c>
    </row>
    <row r="272" spans="1:14" x14ac:dyDescent="0.3">
      <c r="A272" s="1">
        <v>45147</v>
      </c>
      <c r="B272" t="s">
        <v>142</v>
      </c>
      <c r="C272" t="s">
        <v>26</v>
      </c>
      <c r="D272" s="8">
        <v>0.79166666666666663</v>
      </c>
      <c r="E272" s="8">
        <v>0.91666666666666663</v>
      </c>
      <c r="K272" t="s">
        <v>565</v>
      </c>
      <c r="M272" t="s">
        <v>478</v>
      </c>
      <c r="N272" t="str">
        <f>Tabela_tudo[[#This Row],[Médico]]&amp;" ("&amp;Tabela_tudo[[#This Row],[Obs]]&amp;")"</f>
        <v>VIV ()</v>
      </c>
    </row>
    <row r="273" spans="1:14" x14ac:dyDescent="0.3">
      <c r="A273" s="1">
        <v>45070</v>
      </c>
      <c r="B273" t="s">
        <v>34</v>
      </c>
      <c r="C273" t="s">
        <v>26</v>
      </c>
      <c r="D273" s="8">
        <v>0.79166666666666663</v>
      </c>
      <c r="E273" s="8">
        <v>0.83333333333333337</v>
      </c>
      <c r="F273" t="s">
        <v>70</v>
      </c>
      <c r="K273" t="s">
        <v>565</v>
      </c>
      <c r="M273" t="s">
        <v>478</v>
      </c>
      <c r="N273" t="str">
        <f>Tabela_tudo[[#This Row],[Médico]]&amp;" ("&amp;Tabela_tudo[[#This Row],[Obs]]&amp;")"</f>
        <v>LIP (5° PERÍODO )</v>
      </c>
    </row>
    <row r="274" spans="1:14" x14ac:dyDescent="0.3">
      <c r="A274" s="1">
        <v>45147</v>
      </c>
      <c r="B274" t="s">
        <v>84</v>
      </c>
      <c r="C274" t="s">
        <v>26</v>
      </c>
      <c r="D274" s="8">
        <v>0.79166666666666663</v>
      </c>
      <c r="E274" s="8">
        <v>0.91666666666666663</v>
      </c>
      <c r="K274" t="s">
        <v>565</v>
      </c>
      <c r="M274" t="s">
        <v>478</v>
      </c>
      <c r="N274" t="str">
        <f>Tabela_tudo[[#This Row],[Médico]]&amp;" ("&amp;Tabela_tudo[[#This Row],[Obs]]&amp;")"</f>
        <v>ANO ()</v>
      </c>
    </row>
    <row r="275" spans="1:14" x14ac:dyDescent="0.3">
      <c r="A275" s="1">
        <v>45068</v>
      </c>
      <c r="B275" t="s">
        <v>29</v>
      </c>
      <c r="C275" t="s">
        <v>26</v>
      </c>
      <c r="D275" s="8">
        <v>0.41666666666666669</v>
      </c>
      <c r="E275" s="8">
        <v>0.54166666666666663</v>
      </c>
      <c r="H275" t="s">
        <v>565</v>
      </c>
      <c r="M275" t="s">
        <v>478</v>
      </c>
      <c r="N275" t="str">
        <f>Tabela_tudo[[#This Row],[Médico]]&amp;" ("&amp;Tabela_tudo[[#This Row],[Obs]]&amp;")"</f>
        <v>JOA ()</v>
      </c>
    </row>
    <row r="276" spans="1:14" x14ac:dyDescent="0.3">
      <c r="A276" s="1">
        <v>45134</v>
      </c>
      <c r="B276" t="s">
        <v>16</v>
      </c>
      <c r="C276" t="s">
        <v>26</v>
      </c>
      <c r="D276" s="8">
        <v>0.29166666666666669</v>
      </c>
      <c r="E276" s="8">
        <v>0.41666666666666669</v>
      </c>
      <c r="G276" t="s">
        <v>565</v>
      </c>
      <c r="M276" t="s">
        <v>478</v>
      </c>
      <c r="N276" t="str">
        <f>Tabela_tudo[[#This Row],[Médico]]&amp;" ("&amp;Tabela_tudo[[#This Row],[Obs]]&amp;")"</f>
        <v>PP ()</v>
      </c>
    </row>
    <row r="277" spans="1:14" x14ac:dyDescent="0.3">
      <c r="A277" s="1">
        <v>45141</v>
      </c>
      <c r="B277" t="s">
        <v>71</v>
      </c>
      <c r="C277" t="s">
        <v>26</v>
      </c>
      <c r="D277" s="8">
        <v>0.79166666666666663</v>
      </c>
      <c r="E277" s="8">
        <v>0.91666666666666663</v>
      </c>
      <c r="K277" t="s">
        <v>565</v>
      </c>
      <c r="M277" t="s">
        <v>478</v>
      </c>
      <c r="N277" t="str">
        <f>Tabela_tudo[[#This Row],[Médico]]&amp;" ("&amp;Tabela_tudo[[#This Row],[Obs]]&amp;")"</f>
        <v>BRU ()</v>
      </c>
    </row>
    <row r="278" spans="1:14" x14ac:dyDescent="0.3">
      <c r="A278" s="1">
        <v>45174</v>
      </c>
      <c r="B278" t="s">
        <v>48</v>
      </c>
      <c r="C278" t="s">
        <v>26</v>
      </c>
      <c r="D278" s="8">
        <v>0.66666666666666663</v>
      </c>
      <c r="E278" s="8">
        <v>0.79166666666666663</v>
      </c>
      <c r="J278" t="s">
        <v>565</v>
      </c>
      <c r="M278" t="s">
        <v>478</v>
      </c>
      <c r="N278" t="str">
        <f>Tabela_tudo[[#This Row],[Médico]]&amp;" ("&amp;Tabela_tudo[[#This Row],[Obs]]&amp;")"</f>
        <v>MAF ()</v>
      </c>
    </row>
    <row r="279" spans="1:14" x14ac:dyDescent="0.3">
      <c r="A279" s="1">
        <v>45042</v>
      </c>
      <c r="B279" t="s">
        <v>25</v>
      </c>
      <c r="C279" t="s">
        <v>26</v>
      </c>
      <c r="D279" s="8">
        <v>0.29166666666666669</v>
      </c>
      <c r="E279" s="8">
        <v>0.41666666666666669</v>
      </c>
      <c r="G279" t="s">
        <v>565</v>
      </c>
      <c r="M279" t="s">
        <v>478</v>
      </c>
      <c r="N279" t="str">
        <f>Tabela_tudo[[#This Row],[Médico]]&amp;" ("&amp;Tabela_tudo[[#This Row],[Obs]]&amp;")"</f>
        <v>HEN ()</v>
      </c>
    </row>
    <row r="280" spans="1:14" x14ac:dyDescent="0.3">
      <c r="A280" s="1">
        <v>45182</v>
      </c>
      <c r="B280" t="s">
        <v>21</v>
      </c>
      <c r="C280" t="s">
        <v>26</v>
      </c>
      <c r="D280" s="8">
        <v>0.29166666666666669</v>
      </c>
      <c r="E280" s="8">
        <v>0.41666666666666669</v>
      </c>
      <c r="G280" t="s">
        <v>565</v>
      </c>
      <c r="M280" t="s">
        <v>478</v>
      </c>
      <c r="N280" t="str">
        <f>Tabela_tudo[[#This Row],[Médico]]&amp;" ("&amp;Tabela_tudo[[#This Row],[Obs]]&amp;")"</f>
        <v>RA ()</v>
      </c>
    </row>
    <row r="281" spans="1:14" x14ac:dyDescent="0.3">
      <c r="A281" s="1">
        <v>45182</v>
      </c>
      <c r="B281" t="s">
        <v>21</v>
      </c>
      <c r="C281" t="s">
        <v>26</v>
      </c>
      <c r="D281" s="8">
        <v>0.41666666666666669</v>
      </c>
      <c r="E281" s="8">
        <v>0.54166666666666663</v>
      </c>
      <c r="H281" t="s">
        <v>565</v>
      </c>
      <c r="M281" t="s">
        <v>478</v>
      </c>
      <c r="N281" t="str">
        <f>Tabela_tudo[[#This Row],[Médico]]&amp;" ("&amp;Tabela_tudo[[#This Row],[Obs]]&amp;")"</f>
        <v>RA ()</v>
      </c>
    </row>
    <row r="282" spans="1:14" x14ac:dyDescent="0.3">
      <c r="A282" s="1">
        <v>45247</v>
      </c>
      <c r="B282" t="s">
        <v>94</v>
      </c>
      <c r="C282" t="s">
        <v>26</v>
      </c>
      <c r="D282" s="8">
        <v>0.79166666666666663</v>
      </c>
      <c r="E282" s="8">
        <v>0.91666666666666663</v>
      </c>
      <c r="K282" t="s">
        <v>565</v>
      </c>
      <c r="M282" t="s">
        <v>478</v>
      </c>
      <c r="N282" t="str">
        <f>Tabela_tudo[[#This Row],[Médico]]&amp;" ("&amp;Tabela_tudo[[#This Row],[Obs]]&amp;")"</f>
        <v>TOT ()</v>
      </c>
    </row>
    <row r="283" spans="1:14" x14ac:dyDescent="0.3">
      <c r="A283" s="1">
        <v>45247</v>
      </c>
      <c r="B283" t="s">
        <v>94</v>
      </c>
      <c r="C283" t="s">
        <v>26</v>
      </c>
      <c r="D283" s="8">
        <v>0.66666666666666663</v>
      </c>
      <c r="E283" s="8">
        <v>0.79166666666666663</v>
      </c>
      <c r="J283" t="s">
        <v>565</v>
      </c>
      <c r="M283" t="s">
        <v>478</v>
      </c>
      <c r="N283" t="str">
        <f>Tabela_tudo[[#This Row],[Médico]]&amp;" ("&amp;Tabela_tudo[[#This Row],[Obs]]&amp;")"</f>
        <v>TOT ()</v>
      </c>
    </row>
    <row r="284" spans="1:14" x14ac:dyDescent="0.3">
      <c r="A284" s="1">
        <v>45146</v>
      </c>
      <c r="B284" t="s">
        <v>14</v>
      </c>
      <c r="C284" t="s">
        <v>26</v>
      </c>
      <c r="D284" s="8">
        <v>0.79166666666666663</v>
      </c>
      <c r="E284" s="8">
        <v>0.91666666666666663</v>
      </c>
      <c r="K284" t="s">
        <v>565</v>
      </c>
      <c r="M284" t="s">
        <v>478</v>
      </c>
      <c r="N284" t="str">
        <f>Tabela_tudo[[#This Row],[Médico]]&amp;" ("&amp;Tabela_tudo[[#This Row],[Obs]]&amp;")"</f>
        <v>PW ()</v>
      </c>
    </row>
    <row r="285" spans="1:14" x14ac:dyDescent="0.3">
      <c r="A285" s="1">
        <v>45114</v>
      </c>
      <c r="B285" t="s">
        <v>29</v>
      </c>
      <c r="C285" t="s">
        <v>26</v>
      </c>
      <c r="D285" s="8">
        <v>0.79166666666666663</v>
      </c>
      <c r="E285" s="8">
        <v>0.91666666666666663</v>
      </c>
      <c r="K285" t="s">
        <v>565</v>
      </c>
      <c r="M285" t="s">
        <v>478</v>
      </c>
      <c r="N285" t="str">
        <f>Tabela_tudo[[#This Row],[Médico]]&amp;" ("&amp;Tabela_tudo[[#This Row],[Obs]]&amp;")"</f>
        <v>JOA ()</v>
      </c>
    </row>
    <row r="286" spans="1:14" x14ac:dyDescent="0.3">
      <c r="A286" s="1">
        <v>45146</v>
      </c>
      <c r="B286" t="s">
        <v>75</v>
      </c>
      <c r="C286" t="s">
        <v>26</v>
      </c>
      <c r="D286" s="8">
        <v>0.79166666666666663</v>
      </c>
      <c r="E286" s="8">
        <v>0.91666666666666663</v>
      </c>
      <c r="K286" t="s">
        <v>565</v>
      </c>
      <c r="M286" t="s">
        <v>478</v>
      </c>
      <c r="N286" t="str">
        <f>Tabela_tudo[[#This Row],[Médico]]&amp;" ("&amp;Tabela_tudo[[#This Row],[Obs]]&amp;")"</f>
        <v>KOP ()</v>
      </c>
    </row>
    <row r="287" spans="1:14" x14ac:dyDescent="0.3">
      <c r="A287" s="1">
        <v>45254</v>
      </c>
      <c r="B287" t="s">
        <v>48</v>
      </c>
      <c r="C287" t="s">
        <v>26</v>
      </c>
      <c r="D287" s="8">
        <v>0.79166666666666663</v>
      </c>
      <c r="E287" s="8">
        <v>0.98958333333333337</v>
      </c>
      <c r="K287" t="s">
        <v>565</v>
      </c>
      <c r="M287" t="s">
        <v>478</v>
      </c>
      <c r="N287" t="str">
        <f>Tabela_tudo[[#This Row],[Médico]]&amp;" ("&amp;Tabela_tudo[[#This Row],[Obs]]&amp;")"</f>
        <v>MAF ()</v>
      </c>
    </row>
    <row r="288" spans="1:14" x14ac:dyDescent="0.3">
      <c r="A288" s="1">
        <v>45246</v>
      </c>
      <c r="B288" t="s">
        <v>16</v>
      </c>
      <c r="C288" t="s">
        <v>26</v>
      </c>
      <c r="D288" s="8">
        <v>0.79166666666666663</v>
      </c>
      <c r="E288" s="8">
        <v>0.91666666666666663</v>
      </c>
      <c r="K288" t="s">
        <v>565</v>
      </c>
      <c r="M288" t="s">
        <v>478</v>
      </c>
      <c r="N288" t="str">
        <f>Tabela_tudo[[#This Row],[Médico]]&amp;" ("&amp;Tabela_tudo[[#This Row],[Obs]]&amp;")"</f>
        <v>PP ()</v>
      </c>
    </row>
    <row r="289" spans="1:14" x14ac:dyDescent="0.3">
      <c r="A289" s="1">
        <v>45041</v>
      </c>
      <c r="B289" t="s">
        <v>20</v>
      </c>
      <c r="C289" t="s">
        <v>26</v>
      </c>
      <c r="D289" s="8"/>
      <c r="E289" s="8"/>
      <c r="M289" t="s">
        <v>478</v>
      </c>
      <c r="N289" t="str">
        <f>Tabela_tudo[[#This Row],[Médico]]&amp;" ("&amp;Tabela_tudo[[#This Row],[Obs]]&amp;")"</f>
        <v>ROB ()</v>
      </c>
    </row>
    <row r="290" spans="1:14" x14ac:dyDescent="0.3">
      <c r="A290" s="1">
        <v>45246</v>
      </c>
      <c r="B290" t="s">
        <v>66</v>
      </c>
      <c r="C290" t="s">
        <v>26</v>
      </c>
      <c r="D290" s="8">
        <v>0.79166666666666663</v>
      </c>
      <c r="E290" s="8">
        <v>0.91666666666666663</v>
      </c>
      <c r="K290" t="s">
        <v>565</v>
      </c>
      <c r="M290" t="s">
        <v>478</v>
      </c>
      <c r="N290" t="str">
        <f>Tabela_tudo[[#This Row],[Médico]]&amp;" ("&amp;Tabela_tudo[[#This Row],[Obs]]&amp;")"</f>
        <v>MOZ ()</v>
      </c>
    </row>
    <row r="291" spans="1:14" x14ac:dyDescent="0.3">
      <c r="A291" s="1">
        <v>45146</v>
      </c>
      <c r="B291" t="s">
        <v>33</v>
      </c>
      <c r="C291" t="s">
        <v>26</v>
      </c>
      <c r="D291" s="8">
        <v>0.66666666666666663</v>
      </c>
      <c r="E291" s="8">
        <v>0.79166666666666663</v>
      </c>
      <c r="J291" t="s">
        <v>565</v>
      </c>
      <c r="M291" t="s">
        <v>478</v>
      </c>
      <c r="N291" t="str">
        <f>Tabela_tudo[[#This Row],[Médico]]&amp;" ("&amp;Tabela_tudo[[#This Row],[Obs]]&amp;")"</f>
        <v>DIF ()</v>
      </c>
    </row>
    <row r="292" spans="1:14" x14ac:dyDescent="0.3">
      <c r="A292" s="1">
        <v>45072</v>
      </c>
      <c r="B292" t="s">
        <v>34</v>
      </c>
      <c r="C292" t="s">
        <v>26</v>
      </c>
      <c r="D292" s="8">
        <v>0.79166666666666663</v>
      </c>
      <c r="E292" s="8">
        <v>0.83333333333333337</v>
      </c>
      <c r="F292" t="s">
        <v>70</v>
      </c>
      <c r="K292" t="s">
        <v>565</v>
      </c>
      <c r="M292" t="s">
        <v>478</v>
      </c>
      <c r="N292" t="str">
        <f>Tabela_tudo[[#This Row],[Médico]]&amp;" ("&amp;Tabela_tudo[[#This Row],[Obs]]&amp;")"</f>
        <v>LIP (5° PERÍODO )</v>
      </c>
    </row>
    <row r="293" spans="1:14" x14ac:dyDescent="0.3">
      <c r="A293" s="1">
        <v>45072</v>
      </c>
      <c r="B293" t="s">
        <v>72</v>
      </c>
      <c r="C293" t="s">
        <v>26</v>
      </c>
      <c r="D293" s="8">
        <v>0.54166666666666663</v>
      </c>
      <c r="E293" s="8">
        <v>0.66666666666666663</v>
      </c>
      <c r="F293" t="s">
        <v>104</v>
      </c>
      <c r="I293" t="s">
        <v>565</v>
      </c>
      <c r="M293" t="s">
        <v>478</v>
      </c>
      <c r="N293" t="str">
        <f>Tabela_tudo[[#This Row],[Médico]]&amp;" ("&amp;Tabela_tudo[[#This Row],[Obs]]&amp;")"</f>
        <v>GRA (3° PERÍODO )</v>
      </c>
    </row>
    <row r="294" spans="1:14" x14ac:dyDescent="0.3">
      <c r="A294" s="1">
        <v>45146</v>
      </c>
      <c r="B294" t="s">
        <v>66</v>
      </c>
      <c r="C294" t="s">
        <v>26</v>
      </c>
      <c r="D294" s="8">
        <v>0.79166666666666663</v>
      </c>
      <c r="E294" s="8">
        <v>0.91666666666666663</v>
      </c>
      <c r="K294" t="s">
        <v>565</v>
      </c>
      <c r="M294" t="s">
        <v>478</v>
      </c>
      <c r="N294" t="str">
        <f>Tabela_tudo[[#This Row],[Médico]]&amp;" ("&amp;Tabela_tudo[[#This Row],[Obs]]&amp;")"</f>
        <v>MOZ ()</v>
      </c>
    </row>
    <row r="295" spans="1:14" x14ac:dyDescent="0.3">
      <c r="A295" s="1">
        <v>45146</v>
      </c>
      <c r="B295" t="s">
        <v>12</v>
      </c>
      <c r="C295" t="s">
        <v>26</v>
      </c>
      <c r="D295" s="8">
        <v>0.79166666666666663</v>
      </c>
      <c r="E295" s="8">
        <v>0.91666666666666663</v>
      </c>
      <c r="K295" t="s">
        <v>565</v>
      </c>
      <c r="M295" t="s">
        <v>478</v>
      </c>
      <c r="N295" t="str">
        <f>Tabela_tudo[[#This Row],[Médico]]&amp;" ("&amp;Tabela_tudo[[#This Row],[Obs]]&amp;")"</f>
        <v>EDU ()</v>
      </c>
    </row>
    <row r="296" spans="1:14" x14ac:dyDescent="0.3">
      <c r="A296" s="1">
        <v>45246</v>
      </c>
      <c r="B296" t="s">
        <v>66</v>
      </c>
      <c r="C296" t="s">
        <v>26</v>
      </c>
      <c r="D296" s="8">
        <v>0.66666666666666663</v>
      </c>
      <c r="E296" s="8">
        <v>0.79166666666666663</v>
      </c>
      <c r="J296" t="s">
        <v>565</v>
      </c>
      <c r="M296" t="s">
        <v>478</v>
      </c>
      <c r="N296" t="str">
        <f>Tabela_tudo[[#This Row],[Médico]]&amp;" ("&amp;Tabela_tudo[[#This Row],[Obs]]&amp;")"</f>
        <v>MOZ ()</v>
      </c>
    </row>
    <row r="297" spans="1:14" x14ac:dyDescent="0.3">
      <c r="A297" s="1">
        <v>45141</v>
      </c>
      <c r="B297" t="s">
        <v>63</v>
      </c>
      <c r="C297" t="s">
        <v>26</v>
      </c>
      <c r="D297" s="8">
        <v>0.41666666666666669</v>
      </c>
      <c r="E297" s="8">
        <v>0.54166666666666663</v>
      </c>
      <c r="H297" t="s">
        <v>565</v>
      </c>
      <c r="M297" t="s">
        <v>478</v>
      </c>
      <c r="N297" t="str">
        <f>Tabela_tudo[[#This Row],[Médico]]&amp;" ("&amp;Tabela_tudo[[#This Row],[Obs]]&amp;")"</f>
        <v>FQ ()</v>
      </c>
    </row>
    <row r="298" spans="1:14" x14ac:dyDescent="0.3">
      <c r="A298" s="1">
        <v>45069</v>
      </c>
      <c r="B298" t="s">
        <v>47</v>
      </c>
      <c r="C298" t="s">
        <v>26</v>
      </c>
      <c r="D298" s="8">
        <v>0.41666666666666669</v>
      </c>
      <c r="E298" s="8">
        <v>0.54166666666666663</v>
      </c>
      <c r="F298" t="s">
        <v>87</v>
      </c>
      <c r="H298" t="s">
        <v>565</v>
      </c>
      <c r="M298" t="s">
        <v>478</v>
      </c>
      <c r="N298" t="str">
        <f>Tabela_tudo[[#This Row],[Médico]]&amp;" ("&amp;Tabela_tudo[[#This Row],[Obs]]&amp;")"</f>
        <v>VIN (2° PERIODO)</v>
      </c>
    </row>
    <row r="299" spans="1:14" x14ac:dyDescent="0.3">
      <c r="A299" s="1">
        <v>45173</v>
      </c>
      <c r="B299" t="s">
        <v>12</v>
      </c>
      <c r="C299" t="s">
        <v>26</v>
      </c>
      <c r="D299" s="8">
        <v>0.79166666666666663</v>
      </c>
      <c r="E299" s="8">
        <v>0.91666666666666663</v>
      </c>
      <c r="K299" t="s">
        <v>565</v>
      </c>
      <c r="M299" t="s">
        <v>478</v>
      </c>
      <c r="N299" t="str">
        <f>Tabela_tudo[[#This Row],[Médico]]&amp;" ("&amp;Tabela_tudo[[#This Row],[Obs]]&amp;")"</f>
        <v>EDU ()</v>
      </c>
    </row>
    <row r="300" spans="1:14" x14ac:dyDescent="0.3">
      <c r="A300" s="1">
        <v>45246</v>
      </c>
      <c r="B300" t="s">
        <v>16</v>
      </c>
      <c r="C300" t="s">
        <v>26</v>
      </c>
      <c r="D300" s="8">
        <v>0.66666666666666663</v>
      </c>
      <c r="E300" s="8">
        <v>0.79166666666666663</v>
      </c>
      <c r="J300" t="s">
        <v>565</v>
      </c>
      <c r="M300" t="s">
        <v>478</v>
      </c>
      <c r="N300" t="str">
        <f>Tabela_tudo[[#This Row],[Médico]]&amp;" ("&amp;Tabela_tudo[[#This Row],[Obs]]&amp;")"</f>
        <v>PP ()</v>
      </c>
    </row>
    <row r="301" spans="1:14" x14ac:dyDescent="0.3">
      <c r="A301" s="1">
        <v>45146</v>
      </c>
      <c r="B301" t="s">
        <v>34</v>
      </c>
      <c r="C301" t="s">
        <v>26</v>
      </c>
      <c r="D301" s="8">
        <v>0.79166666666666663</v>
      </c>
      <c r="E301" s="8">
        <v>0.91666666666666663</v>
      </c>
      <c r="K301" t="s">
        <v>565</v>
      </c>
      <c r="M301" t="s">
        <v>478</v>
      </c>
      <c r="N301" t="str">
        <f>Tabela_tudo[[#This Row],[Médico]]&amp;" ("&amp;Tabela_tudo[[#This Row],[Obs]]&amp;")"</f>
        <v>LIP ()</v>
      </c>
    </row>
    <row r="302" spans="1:14" x14ac:dyDescent="0.3">
      <c r="A302" s="1">
        <v>45138</v>
      </c>
      <c r="B302" t="s">
        <v>68</v>
      </c>
      <c r="C302" t="s">
        <v>26</v>
      </c>
      <c r="D302" s="8">
        <v>0.29166666666666669</v>
      </c>
      <c r="E302" s="8">
        <v>0.41666666666666669</v>
      </c>
      <c r="G302" t="s">
        <v>565</v>
      </c>
      <c r="M302" t="s">
        <v>478</v>
      </c>
      <c r="N302" t="str">
        <f>Tabela_tudo[[#This Row],[Médico]]&amp;" ("&amp;Tabela_tudo[[#This Row],[Obs]]&amp;")"</f>
        <v>PED ()</v>
      </c>
    </row>
    <row r="303" spans="1:14" x14ac:dyDescent="0.3">
      <c r="A303" s="1">
        <v>45155</v>
      </c>
      <c r="B303" t="s">
        <v>25</v>
      </c>
      <c r="C303" t="s">
        <v>26</v>
      </c>
      <c r="D303" s="8">
        <v>0.29166666666666669</v>
      </c>
      <c r="E303" s="8">
        <v>0.41666666666666669</v>
      </c>
      <c r="G303" t="s">
        <v>565</v>
      </c>
      <c r="M303" t="s">
        <v>478</v>
      </c>
      <c r="N303" t="str">
        <f>Tabela_tudo[[#This Row],[Médico]]&amp;" ("&amp;Tabela_tudo[[#This Row],[Obs]]&amp;")"</f>
        <v>HEN ()</v>
      </c>
    </row>
    <row r="304" spans="1:14" x14ac:dyDescent="0.3">
      <c r="A304" s="1">
        <v>45180</v>
      </c>
      <c r="B304" t="s">
        <v>14</v>
      </c>
      <c r="C304" t="s">
        <v>26</v>
      </c>
      <c r="D304" s="8">
        <v>0.66666666666666663</v>
      </c>
      <c r="E304" s="8">
        <v>0.79166666666666663</v>
      </c>
      <c r="J304" t="s">
        <v>565</v>
      </c>
      <c r="M304" t="s">
        <v>478</v>
      </c>
      <c r="N304" t="str">
        <f>Tabela_tudo[[#This Row],[Médico]]&amp;" ("&amp;Tabela_tudo[[#This Row],[Obs]]&amp;")"</f>
        <v>PW ()</v>
      </c>
    </row>
    <row r="305" spans="1:14" x14ac:dyDescent="0.3">
      <c r="A305" s="1">
        <v>45247</v>
      </c>
      <c r="B305" t="s">
        <v>66</v>
      </c>
      <c r="C305" t="s">
        <v>26</v>
      </c>
      <c r="D305" s="8">
        <v>0.29166666666666669</v>
      </c>
      <c r="E305" s="8">
        <v>0.41666666666666669</v>
      </c>
      <c r="G305" t="s">
        <v>565</v>
      </c>
      <c r="M305" t="s">
        <v>478</v>
      </c>
      <c r="N305" t="str">
        <f>Tabela_tudo[[#This Row],[Médico]]&amp;" ("&amp;Tabela_tudo[[#This Row],[Obs]]&amp;")"</f>
        <v>MOZ ()</v>
      </c>
    </row>
    <row r="306" spans="1:14" x14ac:dyDescent="0.3">
      <c r="A306" s="1">
        <v>45180</v>
      </c>
      <c r="B306" t="s">
        <v>12</v>
      </c>
      <c r="C306" t="s">
        <v>26</v>
      </c>
      <c r="D306" s="8">
        <v>0.79166666666666663</v>
      </c>
      <c r="E306" s="8">
        <v>0.98958333333333337</v>
      </c>
      <c r="K306" t="s">
        <v>565</v>
      </c>
      <c r="M306" t="s">
        <v>478</v>
      </c>
      <c r="N306" t="str">
        <f>Tabela_tudo[[#This Row],[Médico]]&amp;" ("&amp;Tabela_tudo[[#This Row],[Obs]]&amp;")"</f>
        <v>EDU ()</v>
      </c>
    </row>
    <row r="307" spans="1:14" x14ac:dyDescent="0.3">
      <c r="A307" s="1">
        <v>45174</v>
      </c>
      <c r="B307" t="s">
        <v>29</v>
      </c>
      <c r="C307" t="s">
        <v>26</v>
      </c>
      <c r="D307" s="8">
        <v>0.41666666666666669</v>
      </c>
      <c r="E307" s="8">
        <v>0.54166666666666663</v>
      </c>
      <c r="H307" t="s">
        <v>565</v>
      </c>
      <c r="M307" t="s">
        <v>478</v>
      </c>
      <c r="N307" t="str">
        <f>Tabela_tudo[[#This Row],[Médico]]&amp;" ("&amp;Tabela_tudo[[#This Row],[Obs]]&amp;")"</f>
        <v>JOA ()</v>
      </c>
    </row>
    <row r="308" spans="1:14" x14ac:dyDescent="0.3">
      <c r="A308" s="1">
        <v>45229</v>
      </c>
      <c r="B308" t="s">
        <v>85</v>
      </c>
      <c r="C308" t="s">
        <v>26</v>
      </c>
      <c r="D308" s="8">
        <v>0.79166666666666663</v>
      </c>
      <c r="E308" s="8">
        <v>0.91666666666666663</v>
      </c>
      <c r="K308" t="s">
        <v>565</v>
      </c>
      <c r="M308" t="s">
        <v>478</v>
      </c>
      <c r="N308" t="str">
        <f>Tabela_tudo[[#This Row],[Médico]]&amp;" ("&amp;Tabela_tudo[[#This Row],[Obs]]&amp;")"</f>
        <v>ELF ()</v>
      </c>
    </row>
    <row r="309" spans="1:14" x14ac:dyDescent="0.3">
      <c r="A309" s="1">
        <v>45142</v>
      </c>
      <c r="B309" t="s">
        <v>48</v>
      </c>
      <c r="C309" t="s">
        <v>26</v>
      </c>
      <c r="D309" s="8">
        <v>0.29166666666666669</v>
      </c>
      <c r="E309" s="8">
        <v>0.41666666666666669</v>
      </c>
      <c r="G309" t="s">
        <v>565</v>
      </c>
      <c r="M309" t="s">
        <v>478</v>
      </c>
      <c r="N309" t="str">
        <f>Tabela_tudo[[#This Row],[Médico]]&amp;" ("&amp;Tabela_tudo[[#This Row],[Obs]]&amp;")"</f>
        <v>MAF ()</v>
      </c>
    </row>
    <row r="310" spans="1:14" x14ac:dyDescent="0.3">
      <c r="A310" s="1">
        <v>45142</v>
      </c>
      <c r="B310" t="s">
        <v>48</v>
      </c>
      <c r="C310" t="s">
        <v>26</v>
      </c>
      <c r="D310" s="8">
        <v>0.41666666666666669</v>
      </c>
      <c r="E310" s="8">
        <v>0.54166666666666663</v>
      </c>
      <c r="H310" t="s">
        <v>565</v>
      </c>
      <c r="M310" t="s">
        <v>478</v>
      </c>
      <c r="N310" t="str">
        <f>Tabela_tudo[[#This Row],[Médico]]&amp;" ("&amp;Tabela_tudo[[#This Row],[Obs]]&amp;")"</f>
        <v>MAF ()</v>
      </c>
    </row>
    <row r="311" spans="1:14" x14ac:dyDescent="0.3">
      <c r="A311" s="1">
        <v>45146</v>
      </c>
      <c r="B311" t="s">
        <v>34</v>
      </c>
      <c r="C311" t="s">
        <v>26</v>
      </c>
      <c r="D311" s="8">
        <v>0.66666666666666663</v>
      </c>
      <c r="E311" s="8">
        <v>0.79166666666666663</v>
      </c>
      <c r="J311" t="s">
        <v>565</v>
      </c>
      <c r="M311" t="s">
        <v>478</v>
      </c>
      <c r="N311" t="str">
        <f>Tabela_tudo[[#This Row],[Médico]]&amp;" ("&amp;Tabela_tudo[[#This Row],[Obs]]&amp;")"</f>
        <v>LIP ()</v>
      </c>
    </row>
    <row r="312" spans="1:14" x14ac:dyDescent="0.3">
      <c r="A312" s="1">
        <v>45174</v>
      </c>
      <c r="B312" t="s">
        <v>48</v>
      </c>
      <c r="C312" t="s">
        <v>26</v>
      </c>
      <c r="D312" s="8">
        <v>0.79166666666666663</v>
      </c>
      <c r="E312" s="8">
        <v>0.91666666666666663</v>
      </c>
      <c r="K312" t="s">
        <v>565</v>
      </c>
      <c r="M312" t="s">
        <v>478</v>
      </c>
      <c r="N312" t="str">
        <f>Tabela_tudo[[#This Row],[Médico]]&amp;" ("&amp;Tabela_tudo[[#This Row],[Obs]]&amp;")"</f>
        <v>MAF ()</v>
      </c>
    </row>
    <row r="313" spans="1:14" x14ac:dyDescent="0.3">
      <c r="A313" s="1">
        <v>45139</v>
      </c>
      <c r="B313" t="s">
        <v>17</v>
      </c>
      <c r="C313" t="s">
        <v>26</v>
      </c>
      <c r="D313" s="8">
        <v>0.29166666666666669</v>
      </c>
      <c r="E313" s="8">
        <v>0.41666666666666669</v>
      </c>
      <c r="G313" t="s">
        <v>565</v>
      </c>
      <c r="M313" t="s">
        <v>478</v>
      </c>
      <c r="N313" t="str">
        <f>Tabela_tudo[[#This Row],[Médico]]&amp;" ("&amp;Tabela_tudo[[#This Row],[Obs]]&amp;")"</f>
        <v>FAB ()</v>
      </c>
    </row>
    <row r="314" spans="1:14" x14ac:dyDescent="0.3">
      <c r="A314" s="1">
        <v>45114</v>
      </c>
      <c r="B314" t="s">
        <v>29</v>
      </c>
      <c r="C314" t="s">
        <v>26</v>
      </c>
      <c r="D314" s="8">
        <v>0.66666666666666663</v>
      </c>
      <c r="E314" s="8">
        <v>0.79166666666666663</v>
      </c>
      <c r="J314" t="s">
        <v>565</v>
      </c>
      <c r="M314" t="s">
        <v>478</v>
      </c>
      <c r="N314" t="str">
        <f>Tabela_tudo[[#This Row],[Médico]]&amp;" ("&amp;Tabela_tudo[[#This Row],[Obs]]&amp;")"</f>
        <v>JOA ()</v>
      </c>
    </row>
    <row r="315" spans="1:14" x14ac:dyDescent="0.3">
      <c r="A315" s="1">
        <v>45140</v>
      </c>
      <c r="B315" t="s">
        <v>85</v>
      </c>
      <c r="C315" t="s">
        <v>26</v>
      </c>
      <c r="D315" s="8">
        <v>0.41666666666666669</v>
      </c>
      <c r="E315" s="8">
        <v>0.54166666666666663</v>
      </c>
      <c r="H315" t="s">
        <v>565</v>
      </c>
      <c r="M315" t="s">
        <v>478</v>
      </c>
      <c r="N315" t="str">
        <f>Tabela_tudo[[#This Row],[Médico]]&amp;" ("&amp;Tabela_tudo[[#This Row],[Obs]]&amp;")"</f>
        <v>ELF ()</v>
      </c>
    </row>
    <row r="316" spans="1:14" x14ac:dyDescent="0.3">
      <c r="A316" s="1">
        <v>45254</v>
      </c>
      <c r="B316" t="s">
        <v>48</v>
      </c>
      <c r="C316" t="s">
        <v>26</v>
      </c>
      <c r="D316" s="8">
        <v>0.66666666666666663</v>
      </c>
      <c r="E316" s="8">
        <v>0.79166666666666663</v>
      </c>
      <c r="J316" t="s">
        <v>565</v>
      </c>
      <c r="M316" t="s">
        <v>478</v>
      </c>
      <c r="N316" t="str">
        <f>Tabela_tudo[[#This Row],[Médico]]&amp;" ("&amp;Tabela_tudo[[#This Row],[Obs]]&amp;")"</f>
        <v>MAF ()</v>
      </c>
    </row>
    <row r="317" spans="1:14" x14ac:dyDescent="0.3">
      <c r="A317" s="1">
        <v>45068</v>
      </c>
      <c r="B317" t="s">
        <v>29</v>
      </c>
      <c r="C317" t="s">
        <v>26</v>
      </c>
      <c r="D317" s="8">
        <v>0.29166666666666669</v>
      </c>
      <c r="E317" s="8">
        <v>0.41666666666666669</v>
      </c>
      <c r="G317" t="s">
        <v>565</v>
      </c>
      <c r="M317" t="s">
        <v>478</v>
      </c>
      <c r="N317" t="str">
        <f>Tabela_tudo[[#This Row],[Médico]]&amp;" ("&amp;Tabela_tudo[[#This Row],[Obs]]&amp;")"</f>
        <v>JOA ()</v>
      </c>
    </row>
    <row r="318" spans="1:14" x14ac:dyDescent="0.3">
      <c r="A318" s="1">
        <v>45404</v>
      </c>
      <c r="B318" t="s">
        <v>23</v>
      </c>
      <c r="C318" t="s">
        <v>53</v>
      </c>
      <c r="D318" s="8">
        <v>0.54166666666666663</v>
      </c>
      <c r="E318" s="8">
        <v>0.75</v>
      </c>
      <c r="F318" t="s">
        <v>106</v>
      </c>
      <c r="L318" t="s">
        <v>563</v>
      </c>
      <c r="M318" t="s">
        <v>478</v>
      </c>
      <c r="N318" t="str">
        <f>Tabela_tudo[[#This Row],[Médico]]&amp;" ("&amp;Tabela_tudo[[#This Row],[Obs]]&amp;")"</f>
        <v>BG (REUNIÃO UNIMED)</v>
      </c>
    </row>
    <row r="319" spans="1:14" x14ac:dyDescent="0.3">
      <c r="A319" s="1">
        <v>45397</v>
      </c>
      <c r="B319" t="s">
        <v>23</v>
      </c>
      <c r="C319" t="s">
        <v>53</v>
      </c>
      <c r="D319" s="8">
        <v>0.54166666666666663</v>
      </c>
      <c r="E319" s="8">
        <v>0.75</v>
      </c>
      <c r="F319" t="s">
        <v>106</v>
      </c>
      <c r="L319" t="s">
        <v>563</v>
      </c>
      <c r="M319" t="s">
        <v>478</v>
      </c>
      <c r="N319" t="str">
        <f>Tabela_tudo[[#This Row],[Médico]]&amp;" ("&amp;Tabela_tudo[[#This Row],[Obs]]&amp;")"</f>
        <v>BG (REUNIÃO UNIMED)</v>
      </c>
    </row>
    <row r="320" spans="1:14" x14ac:dyDescent="0.3">
      <c r="A320" s="1">
        <v>45390</v>
      </c>
      <c r="B320" t="s">
        <v>23</v>
      </c>
      <c r="C320" t="s">
        <v>53</v>
      </c>
      <c r="D320" s="8">
        <v>0.54166666666666663</v>
      </c>
      <c r="E320" s="8">
        <v>0.75</v>
      </c>
      <c r="F320" t="s">
        <v>106</v>
      </c>
      <c r="L320" t="s">
        <v>563</v>
      </c>
      <c r="M320" t="s">
        <v>478</v>
      </c>
      <c r="N320" t="str">
        <f>Tabela_tudo[[#This Row],[Médico]]&amp;" ("&amp;Tabela_tudo[[#This Row],[Obs]]&amp;")"</f>
        <v>BG (REUNIÃO UNIMED)</v>
      </c>
    </row>
    <row r="321" spans="1:14" x14ac:dyDescent="0.3">
      <c r="A321" s="1">
        <v>45411</v>
      </c>
      <c r="B321" t="s">
        <v>23</v>
      </c>
      <c r="C321" t="s">
        <v>53</v>
      </c>
      <c r="D321" s="8">
        <v>0.54166666666666663</v>
      </c>
      <c r="E321" s="8">
        <v>0.75</v>
      </c>
      <c r="F321" t="s">
        <v>106</v>
      </c>
      <c r="L321" t="s">
        <v>563</v>
      </c>
      <c r="M321" t="s">
        <v>478</v>
      </c>
      <c r="N321" t="str">
        <f>Tabela_tudo[[#This Row],[Médico]]&amp;" ("&amp;Tabela_tudo[[#This Row],[Obs]]&amp;")"</f>
        <v>BG (REUNIÃO UNIMED)</v>
      </c>
    </row>
    <row r="322" spans="1:14" x14ac:dyDescent="0.3">
      <c r="A322" s="1">
        <v>45432</v>
      </c>
      <c r="B322" t="s">
        <v>23</v>
      </c>
      <c r="C322" t="s">
        <v>53</v>
      </c>
      <c r="D322" s="8">
        <v>0.54166666666666663</v>
      </c>
      <c r="E322" s="8">
        <v>0.75</v>
      </c>
      <c r="F322" t="s">
        <v>106</v>
      </c>
      <c r="L322" t="s">
        <v>563</v>
      </c>
      <c r="M322" t="s">
        <v>478</v>
      </c>
      <c r="N322" t="str">
        <f>Tabela_tudo[[#This Row],[Médico]]&amp;" ("&amp;Tabela_tudo[[#This Row],[Obs]]&amp;")"</f>
        <v>BG (REUNIÃO UNIMED)</v>
      </c>
    </row>
    <row r="323" spans="1:14" x14ac:dyDescent="0.3">
      <c r="A323" s="1">
        <v>45425</v>
      </c>
      <c r="B323" t="s">
        <v>23</v>
      </c>
      <c r="C323" t="s">
        <v>53</v>
      </c>
      <c r="D323" s="8">
        <v>0.54166666666666663</v>
      </c>
      <c r="E323" s="8">
        <v>0.75</v>
      </c>
      <c r="F323" t="s">
        <v>106</v>
      </c>
      <c r="L323" t="s">
        <v>563</v>
      </c>
      <c r="M323" t="s">
        <v>478</v>
      </c>
      <c r="N323" t="str">
        <f>Tabela_tudo[[#This Row],[Médico]]&amp;" ("&amp;Tabela_tudo[[#This Row],[Obs]]&amp;")"</f>
        <v>BG (REUNIÃO UNIMED)</v>
      </c>
    </row>
    <row r="324" spans="1:14" x14ac:dyDescent="0.3">
      <c r="A324" s="1">
        <v>45418</v>
      </c>
      <c r="B324" t="s">
        <v>23</v>
      </c>
      <c r="C324" t="s">
        <v>53</v>
      </c>
      <c r="D324" s="8">
        <v>0.54166666666666663</v>
      </c>
      <c r="E324" s="8">
        <v>0.75</v>
      </c>
      <c r="F324" t="s">
        <v>106</v>
      </c>
      <c r="L324" t="s">
        <v>563</v>
      </c>
      <c r="M324" t="s">
        <v>478</v>
      </c>
      <c r="N324" t="str">
        <f>Tabela_tudo[[#This Row],[Médico]]&amp;" ("&amp;Tabela_tudo[[#This Row],[Obs]]&amp;")"</f>
        <v>BG (REUNIÃO UNIMED)</v>
      </c>
    </row>
    <row r="325" spans="1:14" x14ac:dyDescent="0.3">
      <c r="A325" s="1">
        <v>45355</v>
      </c>
      <c r="B325" t="s">
        <v>23</v>
      </c>
      <c r="C325" t="s">
        <v>53</v>
      </c>
      <c r="D325" s="8">
        <v>0.54166666666666663</v>
      </c>
      <c r="E325" s="8">
        <v>0.75</v>
      </c>
      <c r="F325" t="s">
        <v>106</v>
      </c>
      <c r="L325" t="s">
        <v>563</v>
      </c>
      <c r="M325" t="s">
        <v>478</v>
      </c>
      <c r="N325" t="str">
        <f>Tabela_tudo[[#This Row],[Médico]]&amp;" ("&amp;Tabela_tudo[[#This Row],[Obs]]&amp;")"</f>
        <v>BG (REUNIÃO UNIMED)</v>
      </c>
    </row>
    <row r="326" spans="1:14" x14ac:dyDescent="0.3">
      <c r="A326" s="1">
        <v>45348</v>
      </c>
      <c r="B326" t="s">
        <v>23</v>
      </c>
      <c r="C326" t="s">
        <v>53</v>
      </c>
      <c r="D326" s="8">
        <v>0.54166666666666663</v>
      </c>
      <c r="E326" s="8">
        <v>0.75</v>
      </c>
      <c r="F326" t="s">
        <v>106</v>
      </c>
      <c r="L326" t="s">
        <v>563</v>
      </c>
      <c r="M326" t="s">
        <v>478</v>
      </c>
      <c r="N326" t="str">
        <f>Tabela_tudo[[#This Row],[Médico]]&amp;" ("&amp;Tabela_tudo[[#This Row],[Obs]]&amp;")"</f>
        <v>BG (REUNIÃO UNIMED)</v>
      </c>
    </row>
    <row r="327" spans="1:14" x14ac:dyDescent="0.3">
      <c r="A327" s="1">
        <v>45341</v>
      </c>
      <c r="B327" t="s">
        <v>23</v>
      </c>
      <c r="C327" t="s">
        <v>53</v>
      </c>
      <c r="D327" s="8">
        <v>0.54166666666666663</v>
      </c>
      <c r="E327" s="8">
        <v>0.75</v>
      </c>
      <c r="F327" t="s">
        <v>106</v>
      </c>
      <c r="L327" t="s">
        <v>563</v>
      </c>
      <c r="M327" t="s">
        <v>478</v>
      </c>
      <c r="N327" t="str">
        <f>Tabela_tudo[[#This Row],[Médico]]&amp;" ("&amp;Tabela_tudo[[#This Row],[Obs]]&amp;")"</f>
        <v>BG (REUNIÃO UNIMED)</v>
      </c>
    </row>
    <row r="328" spans="1:14" x14ac:dyDescent="0.3">
      <c r="A328" s="1">
        <v>45362</v>
      </c>
      <c r="B328" t="s">
        <v>23</v>
      </c>
      <c r="C328" t="s">
        <v>53</v>
      </c>
      <c r="D328" s="8">
        <v>0.54166666666666663</v>
      </c>
      <c r="E328" s="8">
        <v>0.75</v>
      </c>
      <c r="F328" t="s">
        <v>106</v>
      </c>
      <c r="L328" t="s">
        <v>563</v>
      </c>
      <c r="M328" t="s">
        <v>478</v>
      </c>
      <c r="N328" t="str">
        <f>Tabela_tudo[[#This Row],[Médico]]&amp;" ("&amp;Tabela_tudo[[#This Row],[Obs]]&amp;")"</f>
        <v>BG (REUNIÃO UNIMED)</v>
      </c>
    </row>
    <row r="329" spans="1:14" x14ac:dyDescent="0.3">
      <c r="A329" s="1">
        <v>45383</v>
      </c>
      <c r="B329" t="s">
        <v>23</v>
      </c>
      <c r="C329" t="s">
        <v>53</v>
      </c>
      <c r="D329" s="8">
        <v>0.54166666666666663</v>
      </c>
      <c r="E329" s="8">
        <v>0.75</v>
      </c>
      <c r="F329" t="s">
        <v>106</v>
      </c>
      <c r="L329" t="s">
        <v>563</v>
      </c>
      <c r="M329" t="s">
        <v>478</v>
      </c>
      <c r="N329" t="str">
        <f>Tabela_tudo[[#This Row],[Médico]]&amp;" ("&amp;Tabela_tudo[[#This Row],[Obs]]&amp;")"</f>
        <v>BG (REUNIÃO UNIMED)</v>
      </c>
    </row>
    <row r="330" spans="1:14" x14ac:dyDescent="0.3">
      <c r="A330" s="1">
        <v>45376</v>
      </c>
      <c r="B330" t="s">
        <v>23</v>
      </c>
      <c r="C330" t="s">
        <v>53</v>
      </c>
      <c r="D330" s="8">
        <v>0.54166666666666663</v>
      </c>
      <c r="E330" s="8">
        <v>0.75</v>
      </c>
      <c r="F330" t="s">
        <v>106</v>
      </c>
      <c r="L330" t="s">
        <v>563</v>
      </c>
      <c r="M330" t="s">
        <v>478</v>
      </c>
      <c r="N330" t="str">
        <f>Tabela_tudo[[#This Row],[Médico]]&amp;" ("&amp;Tabela_tudo[[#This Row],[Obs]]&amp;")"</f>
        <v>BG (REUNIÃO UNIMED)</v>
      </c>
    </row>
    <row r="331" spans="1:14" x14ac:dyDescent="0.3">
      <c r="A331" s="1">
        <v>45369</v>
      </c>
      <c r="B331" t="s">
        <v>23</v>
      </c>
      <c r="C331" t="s">
        <v>53</v>
      </c>
      <c r="D331" s="8">
        <v>0.54166666666666663</v>
      </c>
      <c r="E331" s="8">
        <v>0.75</v>
      </c>
      <c r="F331" t="s">
        <v>106</v>
      </c>
      <c r="L331" t="s">
        <v>563</v>
      </c>
      <c r="M331" t="s">
        <v>478</v>
      </c>
      <c r="N331" t="str">
        <f>Tabela_tudo[[#This Row],[Médico]]&amp;" ("&amp;Tabela_tudo[[#This Row],[Obs]]&amp;")"</f>
        <v>BG (REUNIÃO UNIMED)</v>
      </c>
    </row>
    <row r="332" spans="1:14" x14ac:dyDescent="0.3">
      <c r="A332" s="1">
        <v>45439</v>
      </c>
      <c r="B332" t="s">
        <v>23</v>
      </c>
      <c r="C332" t="s">
        <v>53</v>
      </c>
      <c r="D332" s="8">
        <v>0.54166666666666663</v>
      </c>
      <c r="E332" s="8">
        <v>0.75</v>
      </c>
      <c r="F332" t="s">
        <v>106</v>
      </c>
      <c r="L332" t="s">
        <v>563</v>
      </c>
      <c r="M332" t="s">
        <v>478</v>
      </c>
      <c r="N332" t="str">
        <f>Tabela_tudo[[#This Row],[Médico]]&amp;" ("&amp;Tabela_tudo[[#This Row],[Obs]]&amp;")"</f>
        <v>BG (REUNIÃO UNIMED)</v>
      </c>
    </row>
    <row r="333" spans="1:14" x14ac:dyDescent="0.3">
      <c r="A333" s="1">
        <v>45509</v>
      </c>
      <c r="B333" t="s">
        <v>23</v>
      </c>
      <c r="C333" t="s">
        <v>53</v>
      </c>
      <c r="D333" s="8">
        <v>0.54166666666666663</v>
      </c>
      <c r="E333" s="8">
        <v>0.75</v>
      </c>
      <c r="F333" t="s">
        <v>106</v>
      </c>
      <c r="L333" t="s">
        <v>563</v>
      </c>
      <c r="M333" t="s">
        <v>478</v>
      </c>
      <c r="N333" t="str">
        <f>Tabela_tudo[[#This Row],[Médico]]&amp;" ("&amp;Tabela_tudo[[#This Row],[Obs]]&amp;")"</f>
        <v>BG (REUNIÃO UNIMED)</v>
      </c>
    </row>
    <row r="334" spans="1:14" x14ac:dyDescent="0.3">
      <c r="A334" s="1">
        <v>45502</v>
      </c>
      <c r="B334" t="s">
        <v>23</v>
      </c>
      <c r="C334" t="s">
        <v>53</v>
      </c>
      <c r="D334" s="8">
        <v>0.54166666666666663</v>
      </c>
      <c r="E334" s="8">
        <v>0.75</v>
      </c>
      <c r="F334" t="s">
        <v>106</v>
      </c>
      <c r="L334" t="s">
        <v>563</v>
      </c>
      <c r="M334" t="s">
        <v>478</v>
      </c>
      <c r="N334" t="str">
        <f>Tabela_tudo[[#This Row],[Médico]]&amp;" ("&amp;Tabela_tudo[[#This Row],[Obs]]&amp;")"</f>
        <v>BG (REUNIÃO UNIMED)</v>
      </c>
    </row>
    <row r="335" spans="1:14" x14ac:dyDescent="0.3">
      <c r="A335" s="1">
        <v>45495</v>
      </c>
      <c r="B335" t="s">
        <v>23</v>
      </c>
      <c r="C335" t="s">
        <v>53</v>
      </c>
      <c r="D335" s="8">
        <v>0.54166666666666663</v>
      </c>
      <c r="E335" s="8">
        <v>0.75</v>
      </c>
      <c r="F335" t="s">
        <v>106</v>
      </c>
      <c r="L335" t="s">
        <v>563</v>
      </c>
      <c r="M335" t="s">
        <v>478</v>
      </c>
      <c r="N335" t="str">
        <f>Tabela_tudo[[#This Row],[Médico]]&amp;" ("&amp;Tabela_tudo[[#This Row],[Obs]]&amp;")"</f>
        <v>BG (REUNIÃO UNIMED)</v>
      </c>
    </row>
    <row r="336" spans="1:14" x14ac:dyDescent="0.3">
      <c r="A336" s="1">
        <v>45516</v>
      </c>
      <c r="B336" t="s">
        <v>23</v>
      </c>
      <c r="C336" t="s">
        <v>53</v>
      </c>
      <c r="D336" s="8">
        <v>0.54166666666666663</v>
      </c>
      <c r="E336" s="8">
        <v>0.75</v>
      </c>
      <c r="F336" t="s">
        <v>106</v>
      </c>
      <c r="L336" t="s">
        <v>563</v>
      </c>
      <c r="M336" t="s">
        <v>478</v>
      </c>
      <c r="N336" t="str">
        <f>Tabela_tudo[[#This Row],[Médico]]&amp;" ("&amp;Tabela_tudo[[#This Row],[Obs]]&amp;")"</f>
        <v>BG (REUNIÃO UNIMED)</v>
      </c>
    </row>
    <row r="337" spans="1:14" x14ac:dyDescent="0.3">
      <c r="A337" s="1">
        <v>45537</v>
      </c>
      <c r="B337" t="s">
        <v>23</v>
      </c>
      <c r="C337" t="s">
        <v>53</v>
      </c>
      <c r="D337" s="8">
        <v>0.54166666666666663</v>
      </c>
      <c r="E337" s="8">
        <v>0.75</v>
      </c>
      <c r="F337" t="s">
        <v>106</v>
      </c>
      <c r="L337" t="s">
        <v>563</v>
      </c>
      <c r="M337" t="s">
        <v>478</v>
      </c>
      <c r="N337" t="str">
        <f>Tabela_tudo[[#This Row],[Médico]]&amp;" ("&amp;Tabela_tudo[[#This Row],[Obs]]&amp;")"</f>
        <v>BG (REUNIÃO UNIMED)</v>
      </c>
    </row>
    <row r="338" spans="1:14" x14ac:dyDescent="0.3">
      <c r="A338" s="1">
        <v>45530</v>
      </c>
      <c r="B338" t="s">
        <v>23</v>
      </c>
      <c r="C338" t="s">
        <v>53</v>
      </c>
      <c r="D338" s="8">
        <v>0.54166666666666663</v>
      </c>
      <c r="E338" s="8">
        <v>0.75</v>
      </c>
      <c r="F338" t="s">
        <v>106</v>
      </c>
      <c r="L338" t="s">
        <v>563</v>
      </c>
      <c r="M338" t="s">
        <v>478</v>
      </c>
      <c r="N338" t="str">
        <f>Tabela_tudo[[#This Row],[Médico]]&amp;" ("&amp;Tabela_tudo[[#This Row],[Obs]]&amp;")"</f>
        <v>BG (REUNIÃO UNIMED)</v>
      </c>
    </row>
    <row r="339" spans="1:14" x14ac:dyDescent="0.3">
      <c r="A339" s="1">
        <v>45523</v>
      </c>
      <c r="B339" t="s">
        <v>23</v>
      </c>
      <c r="C339" t="s">
        <v>53</v>
      </c>
      <c r="D339" s="8">
        <v>0.54166666666666663</v>
      </c>
      <c r="E339" s="8">
        <v>0.75</v>
      </c>
      <c r="F339" t="s">
        <v>106</v>
      </c>
      <c r="L339" t="s">
        <v>563</v>
      </c>
      <c r="M339" t="s">
        <v>478</v>
      </c>
      <c r="N339" t="str">
        <f>Tabela_tudo[[#This Row],[Médico]]&amp;" ("&amp;Tabela_tudo[[#This Row],[Obs]]&amp;")"</f>
        <v>BG (REUNIÃO UNIMED)</v>
      </c>
    </row>
    <row r="340" spans="1:14" x14ac:dyDescent="0.3">
      <c r="A340" s="1">
        <v>45460</v>
      </c>
      <c r="B340" t="s">
        <v>23</v>
      </c>
      <c r="C340" t="s">
        <v>53</v>
      </c>
      <c r="D340" s="8">
        <v>0.54166666666666663</v>
      </c>
      <c r="E340" s="8">
        <v>0.75</v>
      </c>
      <c r="F340" t="s">
        <v>106</v>
      </c>
      <c r="L340" t="s">
        <v>563</v>
      </c>
      <c r="M340" t="s">
        <v>478</v>
      </c>
      <c r="N340" t="str">
        <f>Tabela_tudo[[#This Row],[Médico]]&amp;" ("&amp;Tabela_tudo[[#This Row],[Obs]]&amp;")"</f>
        <v>BG (REUNIÃO UNIMED)</v>
      </c>
    </row>
    <row r="341" spans="1:14" x14ac:dyDescent="0.3">
      <c r="A341" s="1">
        <v>45453</v>
      </c>
      <c r="B341" t="s">
        <v>23</v>
      </c>
      <c r="C341" t="s">
        <v>53</v>
      </c>
      <c r="D341" s="8">
        <v>0.54166666666666663</v>
      </c>
      <c r="E341" s="8">
        <v>0.75</v>
      </c>
      <c r="F341" t="s">
        <v>106</v>
      </c>
      <c r="L341" t="s">
        <v>563</v>
      </c>
      <c r="M341" t="s">
        <v>478</v>
      </c>
      <c r="N341" t="str">
        <f>Tabela_tudo[[#This Row],[Médico]]&amp;" ("&amp;Tabela_tudo[[#This Row],[Obs]]&amp;")"</f>
        <v>BG (REUNIÃO UNIMED)</v>
      </c>
    </row>
    <row r="342" spans="1:14" x14ac:dyDescent="0.3">
      <c r="A342" s="1">
        <v>45446</v>
      </c>
      <c r="B342" t="s">
        <v>23</v>
      </c>
      <c r="C342" t="s">
        <v>53</v>
      </c>
      <c r="D342" s="8">
        <v>0.54166666666666663</v>
      </c>
      <c r="E342" s="8">
        <v>0.75</v>
      </c>
      <c r="F342" t="s">
        <v>106</v>
      </c>
      <c r="L342" t="s">
        <v>563</v>
      </c>
      <c r="M342" t="s">
        <v>478</v>
      </c>
      <c r="N342" t="str">
        <f>Tabela_tudo[[#This Row],[Médico]]&amp;" ("&amp;Tabela_tudo[[#This Row],[Obs]]&amp;")"</f>
        <v>BG (REUNIÃO UNIMED)</v>
      </c>
    </row>
    <row r="343" spans="1:14" x14ac:dyDescent="0.3">
      <c r="A343" s="1">
        <v>45467</v>
      </c>
      <c r="B343" t="s">
        <v>23</v>
      </c>
      <c r="C343" t="s">
        <v>53</v>
      </c>
      <c r="D343" s="8">
        <v>0.54166666666666663</v>
      </c>
      <c r="E343" s="8">
        <v>0.75</v>
      </c>
      <c r="F343" t="s">
        <v>106</v>
      </c>
      <c r="L343" t="s">
        <v>563</v>
      </c>
      <c r="M343" t="s">
        <v>478</v>
      </c>
      <c r="N343" t="str">
        <f>Tabela_tudo[[#This Row],[Médico]]&amp;" ("&amp;Tabela_tudo[[#This Row],[Obs]]&amp;")"</f>
        <v>BG (REUNIÃO UNIMED)</v>
      </c>
    </row>
    <row r="344" spans="1:14" x14ac:dyDescent="0.3">
      <c r="A344" s="1">
        <v>45488</v>
      </c>
      <c r="B344" t="s">
        <v>23</v>
      </c>
      <c r="C344" t="s">
        <v>53</v>
      </c>
      <c r="D344" s="8">
        <v>0.54166666666666663</v>
      </c>
      <c r="E344" s="8">
        <v>0.75</v>
      </c>
      <c r="F344" t="s">
        <v>106</v>
      </c>
      <c r="L344" t="s">
        <v>563</v>
      </c>
      <c r="M344" t="s">
        <v>478</v>
      </c>
      <c r="N344" t="str">
        <f>Tabela_tudo[[#This Row],[Médico]]&amp;" ("&amp;Tabela_tudo[[#This Row],[Obs]]&amp;")"</f>
        <v>BG (REUNIÃO UNIMED)</v>
      </c>
    </row>
    <row r="345" spans="1:14" x14ac:dyDescent="0.3">
      <c r="A345" s="1">
        <v>45481</v>
      </c>
      <c r="B345" t="s">
        <v>23</v>
      </c>
      <c r="C345" t="s">
        <v>53</v>
      </c>
      <c r="D345" s="8">
        <v>0.54166666666666663</v>
      </c>
      <c r="E345" s="8">
        <v>0.75</v>
      </c>
      <c r="F345" t="s">
        <v>106</v>
      </c>
      <c r="L345" t="s">
        <v>563</v>
      </c>
      <c r="M345" t="s">
        <v>478</v>
      </c>
      <c r="N345" t="str">
        <f>Tabela_tudo[[#This Row],[Médico]]&amp;" ("&amp;Tabela_tudo[[#This Row],[Obs]]&amp;")"</f>
        <v>BG (REUNIÃO UNIMED)</v>
      </c>
    </row>
    <row r="346" spans="1:14" x14ac:dyDescent="0.3">
      <c r="A346" s="1">
        <v>45474</v>
      </c>
      <c r="B346" t="s">
        <v>23</v>
      </c>
      <c r="C346" t="s">
        <v>53</v>
      </c>
      <c r="D346" s="8">
        <v>0.54166666666666663</v>
      </c>
      <c r="E346" s="8">
        <v>0.75</v>
      </c>
      <c r="F346" t="s">
        <v>106</v>
      </c>
      <c r="L346" t="s">
        <v>563</v>
      </c>
      <c r="M346" t="s">
        <v>478</v>
      </c>
      <c r="N346" t="str">
        <f>Tabela_tudo[[#This Row],[Médico]]&amp;" ("&amp;Tabela_tudo[[#This Row],[Obs]]&amp;")"</f>
        <v>BG (REUNIÃO UNIMED)</v>
      </c>
    </row>
    <row r="347" spans="1:14" x14ac:dyDescent="0.3">
      <c r="A347" s="1">
        <v>45334</v>
      </c>
      <c r="B347" t="s">
        <v>23</v>
      </c>
      <c r="C347" t="s">
        <v>53</v>
      </c>
      <c r="D347" s="8">
        <v>0.54166666666666663</v>
      </c>
      <c r="E347" s="8">
        <v>0.75</v>
      </c>
      <c r="F347" t="s">
        <v>106</v>
      </c>
      <c r="L347" t="s">
        <v>563</v>
      </c>
      <c r="M347" t="s">
        <v>478</v>
      </c>
      <c r="N347" t="str">
        <f>Tabela_tudo[[#This Row],[Médico]]&amp;" ("&amp;Tabela_tudo[[#This Row],[Obs]]&amp;")"</f>
        <v>BG (REUNIÃO UNIMED)</v>
      </c>
    </row>
    <row r="348" spans="1:14" x14ac:dyDescent="0.3">
      <c r="A348" s="1">
        <v>45194</v>
      </c>
      <c r="B348" t="s">
        <v>23</v>
      </c>
      <c r="C348" t="s">
        <v>53</v>
      </c>
      <c r="D348" s="8">
        <v>0.54166666666666663</v>
      </c>
      <c r="E348" s="8">
        <v>0.75</v>
      </c>
      <c r="F348" t="s">
        <v>106</v>
      </c>
      <c r="L348" t="s">
        <v>563</v>
      </c>
      <c r="M348" t="s">
        <v>478</v>
      </c>
      <c r="N348" t="str">
        <f>Tabela_tudo[[#This Row],[Médico]]&amp;" ("&amp;Tabela_tudo[[#This Row],[Obs]]&amp;")"</f>
        <v>BG (REUNIÃO UNIMED)</v>
      </c>
    </row>
    <row r="349" spans="1:14" x14ac:dyDescent="0.3">
      <c r="A349" s="1">
        <v>45187</v>
      </c>
      <c r="B349" t="s">
        <v>23</v>
      </c>
      <c r="C349" t="s">
        <v>53</v>
      </c>
      <c r="D349" s="8">
        <v>0.54166666666666663</v>
      </c>
      <c r="E349" s="8">
        <v>0.75</v>
      </c>
      <c r="F349" t="s">
        <v>106</v>
      </c>
      <c r="L349" t="s">
        <v>563</v>
      </c>
      <c r="M349" t="s">
        <v>478</v>
      </c>
      <c r="N349" t="str">
        <f>Tabela_tudo[[#This Row],[Médico]]&amp;" ("&amp;Tabela_tudo[[#This Row],[Obs]]&amp;")"</f>
        <v>BG (REUNIÃO UNIMED)</v>
      </c>
    </row>
    <row r="350" spans="1:14" x14ac:dyDescent="0.3">
      <c r="A350" s="1">
        <v>45180</v>
      </c>
      <c r="B350" t="s">
        <v>23</v>
      </c>
      <c r="C350" t="s">
        <v>53</v>
      </c>
      <c r="D350" s="8">
        <v>0.54166666666666663</v>
      </c>
      <c r="E350" s="8">
        <v>0.75</v>
      </c>
      <c r="F350" t="s">
        <v>106</v>
      </c>
      <c r="L350" t="s">
        <v>563</v>
      </c>
      <c r="M350" t="s">
        <v>478</v>
      </c>
      <c r="N350" t="str">
        <f>Tabela_tudo[[#This Row],[Médico]]&amp;" ("&amp;Tabela_tudo[[#This Row],[Obs]]&amp;")"</f>
        <v>BG (REUNIÃO UNIMED)</v>
      </c>
    </row>
    <row r="351" spans="1:14" x14ac:dyDescent="0.3">
      <c r="A351" s="1">
        <v>45201</v>
      </c>
      <c r="B351" t="s">
        <v>23</v>
      </c>
      <c r="C351" t="s">
        <v>53</v>
      </c>
      <c r="D351" s="8">
        <v>0.54166666666666663</v>
      </c>
      <c r="E351" s="8">
        <v>0.75</v>
      </c>
      <c r="F351" t="s">
        <v>106</v>
      </c>
      <c r="L351" t="s">
        <v>563</v>
      </c>
      <c r="M351" t="s">
        <v>478</v>
      </c>
      <c r="N351" t="str">
        <f>Tabela_tudo[[#This Row],[Médico]]&amp;" ("&amp;Tabela_tudo[[#This Row],[Obs]]&amp;")"</f>
        <v>BG (REUNIÃO UNIMED)</v>
      </c>
    </row>
    <row r="352" spans="1:14" x14ac:dyDescent="0.3">
      <c r="A352" s="1">
        <v>45222</v>
      </c>
      <c r="B352" t="s">
        <v>23</v>
      </c>
      <c r="C352" t="s">
        <v>53</v>
      </c>
      <c r="D352" s="8">
        <v>0.54166666666666663</v>
      </c>
      <c r="E352" s="8">
        <v>0.75</v>
      </c>
      <c r="F352" t="s">
        <v>106</v>
      </c>
      <c r="L352" t="s">
        <v>563</v>
      </c>
      <c r="M352" t="s">
        <v>478</v>
      </c>
      <c r="N352" t="str">
        <f>Tabela_tudo[[#This Row],[Médico]]&amp;" ("&amp;Tabela_tudo[[#This Row],[Obs]]&amp;")"</f>
        <v>BG (REUNIÃO UNIMED)</v>
      </c>
    </row>
    <row r="353" spans="1:14" x14ac:dyDescent="0.3">
      <c r="A353" s="1">
        <v>45215</v>
      </c>
      <c r="B353" t="s">
        <v>23</v>
      </c>
      <c r="C353" t="s">
        <v>53</v>
      </c>
      <c r="D353" s="8">
        <v>0.54166666666666663</v>
      </c>
      <c r="E353" s="8">
        <v>0.75</v>
      </c>
      <c r="F353" t="s">
        <v>106</v>
      </c>
      <c r="L353" t="s">
        <v>563</v>
      </c>
      <c r="M353" t="s">
        <v>478</v>
      </c>
      <c r="N353" t="str">
        <f>Tabela_tudo[[#This Row],[Médico]]&amp;" ("&amp;Tabela_tudo[[#This Row],[Obs]]&amp;")"</f>
        <v>BG (REUNIÃO UNIMED)</v>
      </c>
    </row>
    <row r="354" spans="1:14" x14ac:dyDescent="0.3">
      <c r="A354" s="1">
        <v>45208</v>
      </c>
      <c r="B354" t="s">
        <v>23</v>
      </c>
      <c r="C354" t="s">
        <v>53</v>
      </c>
      <c r="D354" s="8">
        <v>0.54166666666666663</v>
      </c>
      <c r="E354" s="8">
        <v>0.75</v>
      </c>
      <c r="F354" t="s">
        <v>106</v>
      </c>
      <c r="L354" t="s">
        <v>563</v>
      </c>
      <c r="M354" t="s">
        <v>478</v>
      </c>
      <c r="N354" t="str">
        <f>Tabela_tudo[[#This Row],[Médico]]&amp;" ("&amp;Tabela_tudo[[#This Row],[Obs]]&amp;")"</f>
        <v>BG (REUNIÃO UNIMED)</v>
      </c>
    </row>
    <row r="355" spans="1:14" x14ac:dyDescent="0.3">
      <c r="A355" s="1">
        <v>45131</v>
      </c>
      <c r="B355" t="s">
        <v>23</v>
      </c>
      <c r="C355" t="s">
        <v>53</v>
      </c>
      <c r="D355" s="8">
        <v>0.54166666666666663</v>
      </c>
      <c r="E355" s="8">
        <v>0.75</v>
      </c>
      <c r="F355" t="s">
        <v>106</v>
      </c>
      <c r="L355" t="s">
        <v>563</v>
      </c>
      <c r="M355" t="s">
        <v>478</v>
      </c>
      <c r="N355" t="str">
        <f>Tabela_tudo[[#This Row],[Médico]]&amp;" ("&amp;Tabela_tudo[[#This Row],[Obs]]&amp;")"</f>
        <v>BG (REUNIÃO UNIMED)</v>
      </c>
    </row>
    <row r="356" spans="1:14" x14ac:dyDescent="0.3">
      <c r="A356" s="1">
        <v>45124</v>
      </c>
      <c r="B356" t="s">
        <v>23</v>
      </c>
      <c r="C356" t="s">
        <v>53</v>
      </c>
      <c r="D356" s="8">
        <v>0.54166666666666663</v>
      </c>
      <c r="E356" s="8">
        <v>0.75</v>
      </c>
      <c r="F356" t="s">
        <v>106</v>
      </c>
      <c r="L356" t="s">
        <v>563</v>
      </c>
      <c r="M356" t="s">
        <v>478</v>
      </c>
      <c r="N356" t="str">
        <f>Tabela_tudo[[#This Row],[Médico]]&amp;" ("&amp;Tabela_tudo[[#This Row],[Obs]]&amp;")"</f>
        <v>BG (REUNIÃO UNIMED)</v>
      </c>
    </row>
    <row r="357" spans="1:14" x14ac:dyDescent="0.3">
      <c r="A357" s="1">
        <v>45117</v>
      </c>
      <c r="B357" t="s">
        <v>23</v>
      </c>
      <c r="C357" t="s">
        <v>53</v>
      </c>
      <c r="D357" s="8">
        <v>0.54166666666666663</v>
      </c>
      <c r="E357" s="8">
        <v>0.75</v>
      </c>
      <c r="F357" t="s">
        <v>106</v>
      </c>
      <c r="L357" t="s">
        <v>563</v>
      </c>
      <c r="M357" t="s">
        <v>478</v>
      </c>
      <c r="N357" t="str">
        <f>Tabela_tudo[[#This Row],[Médico]]&amp;" ("&amp;Tabela_tudo[[#This Row],[Obs]]&amp;")"</f>
        <v>BG (REUNIÃO UNIMED)</v>
      </c>
    </row>
    <row r="358" spans="1:14" x14ac:dyDescent="0.3">
      <c r="A358" s="1">
        <v>45138</v>
      </c>
      <c r="B358" t="s">
        <v>23</v>
      </c>
      <c r="C358" t="s">
        <v>53</v>
      </c>
      <c r="D358" s="8">
        <v>0.54166666666666663</v>
      </c>
      <c r="E358" s="8">
        <v>0.75</v>
      </c>
      <c r="F358" t="s">
        <v>106</v>
      </c>
      <c r="L358" t="s">
        <v>563</v>
      </c>
      <c r="M358" t="s">
        <v>478</v>
      </c>
      <c r="N358" t="str">
        <f>Tabela_tudo[[#This Row],[Médico]]&amp;" ("&amp;Tabela_tudo[[#This Row],[Obs]]&amp;")"</f>
        <v>BG (REUNIÃO UNIMED)</v>
      </c>
    </row>
    <row r="359" spans="1:14" x14ac:dyDescent="0.3">
      <c r="A359" s="1">
        <v>45173</v>
      </c>
      <c r="B359" t="s">
        <v>23</v>
      </c>
      <c r="C359" t="s">
        <v>53</v>
      </c>
      <c r="D359" s="8">
        <v>0.54166666666666663</v>
      </c>
      <c r="E359" s="8">
        <v>0.75</v>
      </c>
      <c r="F359" t="s">
        <v>106</v>
      </c>
      <c r="L359" t="s">
        <v>563</v>
      </c>
      <c r="M359" t="s">
        <v>478</v>
      </c>
      <c r="N359" t="str">
        <f>Tabela_tudo[[#This Row],[Médico]]&amp;" ("&amp;Tabela_tudo[[#This Row],[Obs]]&amp;")"</f>
        <v>BG (REUNIÃO UNIMED)</v>
      </c>
    </row>
    <row r="360" spans="1:14" x14ac:dyDescent="0.3">
      <c r="A360" s="1">
        <v>45166</v>
      </c>
      <c r="B360" t="s">
        <v>23</v>
      </c>
      <c r="C360" t="s">
        <v>53</v>
      </c>
      <c r="D360" s="8">
        <v>0.54166666666666663</v>
      </c>
      <c r="E360" s="8">
        <v>0.75</v>
      </c>
      <c r="F360" t="s">
        <v>106</v>
      </c>
      <c r="L360" t="s">
        <v>563</v>
      </c>
      <c r="M360" t="s">
        <v>478</v>
      </c>
      <c r="N360" t="str">
        <f>Tabela_tudo[[#This Row],[Médico]]&amp;" ("&amp;Tabela_tudo[[#This Row],[Obs]]&amp;")"</f>
        <v>BG (REUNIÃO UNIMED)</v>
      </c>
    </row>
    <row r="361" spans="1:14" x14ac:dyDescent="0.3">
      <c r="A361" s="1">
        <v>45159</v>
      </c>
      <c r="B361" t="s">
        <v>23</v>
      </c>
      <c r="C361" t="s">
        <v>53</v>
      </c>
      <c r="D361" s="8">
        <v>0.54166666666666663</v>
      </c>
      <c r="E361" s="8">
        <v>0.75</v>
      </c>
      <c r="F361" t="s">
        <v>106</v>
      </c>
      <c r="L361" t="s">
        <v>563</v>
      </c>
      <c r="M361" t="s">
        <v>478</v>
      </c>
      <c r="N361" t="str">
        <f>Tabela_tudo[[#This Row],[Médico]]&amp;" ("&amp;Tabela_tudo[[#This Row],[Obs]]&amp;")"</f>
        <v>BG (REUNIÃO UNIMED)</v>
      </c>
    </row>
    <row r="362" spans="1:14" x14ac:dyDescent="0.3">
      <c r="A362" s="1">
        <v>45229</v>
      </c>
      <c r="B362" t="s">
        <v>23</v>
      </c>
      <c r="C362" t="s">
        <v>53</v>
      </c>
      <c r="D362" s="8">
        <v>0.54166666666666663</v>
      </c>
      <c r="E362" s="8">
        <v>0.75</v>
      </c>
      <c r="F362" t="s">
        <v>106</v>
      </c>
      <c r="L362" t="s">
        <v>563</v>
      </c>
      <c r="M362" t="s">
        <v>478</v>
      </c>
      <c r="N362" t="str">
        <f>Tabela_tudo[[#This Row],[Médico]]&amp;" ("&amp;Tabela_tudo[[#This Row],[Obs]]&amp;")"</f>
        <v>BG (REUNIÃO UNIMED)</v>
      </c>
    </row>
    <row r="363" spans="1:14" x14ac:dyDescent="0.3">
      <c r="A363" s="1">
        <v>45299</v>
      </c>
      <c r="B363" t="s">
        <v>23</v>
      </c>
      <c r="C363" t="s">
        <v>53</v>
      </c>
      <c r="D363" s="8">
        <v>0.54166666666666663</v>
      </c>
      <c r="E363" s="8">
        <v>0.75</v>
      </c>
      <c r="F363" t="s">
        <v>106</v>
      </c>
      <c r="L363" t="s">
        <v>563</v>
      </c>
      <c r="M363" t="s">
        <v>478</v>
      </c>
      <c r="N363" t="str">
        <f>Tabela_tudo[[#This Row],[Médico]]&amp;" ("&amp;Tabela_tudo[[#This Row],[Obs]]&amp;")"</f>
        <v>BG (REUNIÃO UNIMED)</v>
      </c>
    </row>
    <row r="364" spans="1:14" x14ac:dyDescent="0.3">
      <c r="A364" s="1">
        <v>45292</v>
      </c>
      <c r="B364" t="s">
        <v>23</v>
      </c>
      <c r="C364" t="s">
        <v>53</v>
      </c>
      <c r="D364" s="8">
        <v>0.54166666666666663</v>
      </c>
      <c r="E364" s="8">
        <v>0.75</v>
      </c>
      <c r="F364" t="s">
        <v>106</v>
      </c>
      <c r="L364" t="s">
        <v>563</v>
      </c>
      <c r="M364" t="s">
        <v>478</v>
      </c>
      <c r="N364" t="str">
        <f>Tabela_tudo[[#This Row],[Médico]]&amp;" ("&amp;Tabela_tudo[[#This Row],[Obs]]&amp;")"</f>
        <v>BG (REUNIÃO UNIMED)</v>
      </c>
    </row>
    <row r="365" spans="1:14" x14ac:dyDescent="0.3">
      <c r="A365" s="1">
        <v>45285</v>
      </c>
      <c r="B365" t="s">
        <v>23</v>
      </c>
      <c r="C365" t="s">
        <v>53</v>
      </c>
      <c r="D365" s="8">
        <v>0.54166666666666663</v>
      </c>
      <c r="E365" s="8">
        <v>0.75</v>
      </c>
      <c r="F365" t="s">
        <v>106</v>
      </c>
      <c r="L365" t="s">
        <v>563</v>
      </c>
      <c r="M365" t="s">
        <v>478</v>
      </c>
      <c r="N365" t="str">
        <f>Tabela_tudo[[#This Row],[Médico]]&amp;" ("&amp;Tabela_tudo[[#This Row],[Obs]]&amp;")"</f>
        <v>BG (REUNIÃO UNIMED)</v>
      </c>
    </row>
    <row r="366" spans="1:14" x14ac:dyDescent="0.3">
      <c r="A366" s="1">
        <v>45306</v>
      </c>
      <c r="B366" t="s">
        <v>23</v>
      </c>
      <c r="C366" t="s">
        <v>53</v>
      </c>
      <c r="D366" s="8">
        <v>0.54166666666666663</v>
      </c>
      <c r="E366" s="8">
        <v>0.75</v>
      </c>
      <c r="F366" t="s">
        <v>106</v>
      </c>
      <c r="L366" t="s">
        <v>563</v>
      </c>
      <c r="M366" t="s">
        <v>478</v>
      </c>
      <c r="N366" t="str">
        <f>Tabela_tudo[[#This Row],[Médico]]&amp;" ("&amp;Tabela_tudo[[#This Row],[Obs]]&amp;")"</f>
        <v>BG (REUNIÃO UNIMED)</v>
      </c>
    </row>
    <row r="367" spans="1:14" x14ac:dyDescent="0.3">
      <c r="A367" s="1">
        <v>45327</v>
      </c>
      <c r="B367" t="s">
        <v>23</v>
      </c>
      <c r="C367" t="s">
        <v>53</v>
      </c>
      <c r="D367" s="8">
        <v>0.54166666666666663</v>
      </c>
      <c r="E367" s="8">
        <v>0.75</v>
      </c>
      <c r="F367" t="s">
        <v>106</v>
      </c>
      <c r="L367" t="s">
        <v>563</v>
      </c>
      <c r="M367" t="s">
        <v>478</v>
      </c>
      <c r="N367" t="str">
        <f>Tabela_tudo[[#This Row],[Médico]]&amp;" ("&amp;Tabela_tudo[[#This Row],[Obs]]&amp;")"</f>
        <v>BG (REUNIÃO UNIMED)</v>
      </c>
    </row>
    <row r="368" spans="1:14" x14ac:dyDescent="0.3">
      <c r="A368" s="1">
        <v>45320</v>
      </c>
      <c r="B368" t="s">
        <v>23</v>
      </c>
      <c r="C368" t="s">
        <v>53</v>
      </c>
      <c r="D368" s="8">
        <v>0.54166666666666663</v>
      </c>
      <c r="E368" s="8">
        <v>0.75</v>
      </c>
      <c r="F368" t="s">
        <v>106</v>
      </c>
      <c r="L368" t="s">
        <v>563</v>
      </c>
      <c r="M368" t="s">
        <v>478</v>
      </c>
      <c r="N368" t="str">
        <f>Tabela_tudo[[#This Row],[Médico]]&amp;" ("&amp;Tabela_tudo[[#This Row],[Obs]]&amp;")"</f>
        <v>BG (REUNIÃO UNIMED)</v>
      </c>
    </row>
    <row r="369" spans="1:14" x14ac:dyDescent="0.3">
      <c r="A369" s="1">
        <v>45313</v>
      </c>
      <c r="B369" t="s">
        <v>23</v>
      </c>
      <c r="C369" t="s">
        <v>53</v>
      </c>
      <c r="D369" s="8">
        <v>0.54166666666666663</v>
      </c>
      <c r="E369" s="8">
        <v>0.75</v>
      </c>
      <c r="F369" t="s">
        <v>106</v>
      </c>
      <c r="L369" t="s">
        <v>563</v>
      </c>
      <c r="M369" t="s">
        <v>478</v>
      </c>
      <c r="N369" t="str">
        <f>Tabela_tudo[[#This Row],[Médico]]&amp;" ("&amp;Tabela_tudo[[#This Row],[Obs]]&amp;")"</f>
        <v>BG (REUNIÃO UNIMED)</v>
      </c>
    </row>
    <row r="370" spans="1:14" x14ac:dyDescent="0.3">
      <c r="A370" s="1">
        <v>45250</v>
      </c>
      <c r="B370" t="s">
        <v>23</v>
      </c>
      <c r="C370" t="s">
        <v>53</v>
      </c>
      <c r="D370" s="8">
        <v>0.54166666666666663</v>
      </c>
      <c r="E370" s="8">
        <v>0.75</v>
      </c>
      <c r="F370" t="s">
        <v>106</v>
      </c>
      <c r="L370" t="s">
        <v>563</v>
      </c>
      <c r="M370" t="s">
        <v>478</v>
      </c>
      <c r="N370" t="str">
        <f>Tabela_tudo[[#This Row],[Médico]]&amp;" ("&amp;Tabela_tudo[[#This Row],[Obs]]&amp;")"</f>
        <v>BG (REUNIÃO UNIMED)</v>
      </c>
    </row>
    <row r="371" spans="1:14" x14ac:dyDescent="0.3">
      <c r="A371" s="1">
        <v>45243</v>
      </c>
      <c r="B371" t="s">
        <v>23</v>
      </c>
      <c r="C371" t="s">
        <v>53</v>
      </c>
      <c r="D371" s="8">
        <v>0.54166666666666663</v>
      </c>
      <c r="E371" s="8">
        <v>0.75</v>
      </c>
      <c r="F371" t="s">
        <v>106</v>
      </c>
      <c r="L371" t="s">
        <v>563</v>
      </c>
      <c r="M371" t="s">
        <v>478</v>
      </c>
      <c r="N371" t="str">
        <f>Tabela_tudo[[#This Row],[Médico]]&amp;" ("&amp;Tabela_tudo[[#This Row],[Obs]]&amp;")"</f>
        <v>BG (REUNIÃO UNIMED)</v>
      </c>
    </row>
    <row r="372" spans="1:14" x14ac:dyDescent="0.3">
      <c r="A372" s="1">
        <v>45236</v>
      </c>
      <c r="B372" t="s">
        <v>23</v>
      </c>
      <c r="C372" t="s">
        <v>53</v>
      </c>
      <c r="D372" s="8">
        <v>0.54166666666666663</v>
      </c>
      <c r="E372" s="8">
        <v>0.75</v>
      </c>
      <c r="F372" t="s">
        <v>106</v>
      </c>
      <c r="L372" t="s">
        <v>563</v>
      </c>
      <c r="M372" t="s">
        <v>478</v>
      </c>
      <c r="N372" t="str">
        <f>Tabela_tudo[[#This Row],[Médico]]&amp;" ("&amp;Tabela_tudo[[#This Row],[Obs]]&amp;")"</f>
        <v>BG (REUNIÃO UNIMED)</v>
      </c>
    </row>
    <row r="373" spans="1:14" x14ac:dyDescent="0.3">
      <c r="A373" s="1">
        <v>45257</v>
      </c>
      <c r="B373" t="s">
        <v>23</v>
      </c>
      <c r="C373" t="s">
        <v>53</v>
      </c>
      <c r="D373" s="8">
        <v>0.54166666666666663</v>
      </c>
      <c r="E373" s="8">
        <v>0.75</v>
      </c>
      <c r="F373" t="s">
        <v>106</v>
      </c>
      <c r="L373" t="s">
        <v>563</v>
      </c>
      <c r="M373" t="s">
        <v>478</v>
      </c>
      <c r="N373" t="str">
        <f>Tabela_tudo[[#This Row],[Médico]]&amp;" ("&amp;Tabela_tudo[[#This Row],[Obs]]&amp;")"</f>
        <v>BG (REUNIÃO UNIMED)</v>
      </c>
    </row>
    <row r="374" spans="1:14" x14ac:dyDescent="0.3">
      <c r="A374" s="1">
        <v>45278</v>
      </c>
      <c r="B374" t="s">
        <v>23</v>
      </c>
      <c r="C374" t="s">
        <v>53</v>
      </c>
      <c r="D374" s="8">
        <v>0.54166666666666663</v>
      </c>
      <c r="E374" s="8">
        <v>0.75</v>
      </c>
      <c r="F374" t="s">
        <v>106</v>
      </c>
      <c r="L374" t="s">
        <v>563</v>
      </c>
      <c r="M374" t="s">
        <v>478</v>
      </c>
      <c r="N374" t="str">
        <f>Tabela_tudo[[#This Row],[Médico]]&amp;" ("&amp;Tabela_tudo[[#This Row],[Obs]]&amp;")"</f>
        <v>BG (REUNIÃO UNIMED)</v>
      </c>
    </row>
    <row r="375" spans="1:14" x14ac:dyDescent="0.3">
      <c r="A375" s="1">
        <v>45271</v>
      </c>
      <c r="B375" t="s">
        <v>23</v>
      </c>
      <c r="C375" t="s">
        <v>53</v>
      </c>
      <c r="D375" s="8">
        <v>0.54166666666666663</v>
      </c>
      <c r="E375" s="8">
        <v>0.75</v>
      </c>
      <c r="F375" t="s">
        <v>106</v>
      </c>
      <c r="L375" t="s">
        <v>563</v>
      </c>
      <c r="M375" t="s">
        <v>478</v>
      </c>
      <c r="N375" t="str">
        <f>Tabela_tudo[[#This Row],[Médico]]&amp;" ("&amp;Tabela_tudo[[#This Row],[Obs]]&amp;")"</f>
        <v>BG (REUNIÃO UNIMED)</v>
      </c>
    </row>
    <row r="376" spans="1:14" x14ac:dyDescent="0.3">
      <c r="A376" s="1">
        <v>45264</v>
      </c>
      <c r="B376" t="s">
        <v>23</v>
      </c>
      <c r="C376" t="s">
        <v>53</v>
      </c>
      <c r="D376" s="8">
        <v>0.54166666666666663</v>
      </c>
      <c r="E376" s="8">
        <v>0.75</v>
      </c>
      <c r="F376" t="s">
        <v>106</v>
      </c>
      <c r="L376" t="s">
        <v>563</v>
      </c>
      <c r="M376" t="s">
        <v>478</v>
      </c>
      <c r="N376" t="str">
        <f>Tabela_tudo[[#This Row],[Médico]]&amp;" ("&amp;Tabela_tudo[[#This Row],[Obs]]&amp;")"</f>
        <v>BG (REUNIÃO UNIMED)</v>
      </c>
    </row>
    <row r="377" spans="1:14" x14ac:dyDescent="0.3">
      <c r="A377" s="1">
        <v>45544</v>
      </c>
      <c r="B377" t="s">
        <v>23</v>
      </c>
      <c r="C377" t="s">
        <v>53</v>
      </c>
      <c r="D377" s="8">
        <v>0.54166666666666663</v>
      </c>
      <c r="E377" s="8">
        <v>0.75</v>
      </c>
      <c r="F377" t="s">
        <v>106</v>
      </c>
      <c r="L377" t="s">
        <v>563</v>
      </c>
      <c r="M377" t="s">
        <v>478</v>
      </c>
      <c r="N377" t="str">
        <f>Tabela_tudo[[#This Row],[Médico]]&amp;" ("&amp;Tabela_tudo[[#This Row],[Obs]]&amp;")"</f>
        <v>BG (REUNIÃO UNIMED)</v>
      </c>
    </row>
    <row r="378" spans="1:14" x14ac:dyDescent="0.3">
      <c r="A378" s="1">
        <v>45098</v>
      </c>
      <c r="B378" t="s">
        <v>23</v>
      </c>
      <c r="C378" t="s">
        <v>53</v>
      </c>
      <c r="D378" s="8">
        <v>0.33333333333333331</v>
      </c>
      <c r="E378" s="8">
        <v>0.5</v>
      </c>
      <c r="F378" t="s">
        <v>461</v>
      </c>
      <c r="L378" t="s">
        <v>563</v>
      </c>
      <c r="M378" t="s">
        <v>478</v>
      </c>
      <c r="N378" t="str">
        <f>Tabela_tudo[[#This Row],[Médico]]&amp;" ("&amp;Tabela_tudo[[#This Row],[Obs]]&amp;")"</f>
        <v>BG (REUNIÃO HED)</v>
      </c>
    </row>
    <row r="379" spans="1:14" x14ac:dyDescent="0.3">
      <c r="A379" s="1">
        <v>45091</v>
      </c>
      <c r="B379" t="s">
        <v>23</v>
      </c>
      <c r="C379" t="s">
        <v>53</v>
      </c>
      <c r="D379" s="8">
        <v>0.33333333333333331</v>
      </c>
      <c r="E379" s="8">
        <v>0.5</v>
      </c>
      <c r="F379" t="s">
        <v>461</v>
      </c>
      <c r="L379" t="s">
        <v>563</v>
      </c>
      <c r="M379" t="s">
        <v>478</v>
      </c>
      <c r="N379" t="str">
        <f>Tabela_tudo[[#This Row],[Médico]]&amp;" ("&amp;Tabela_tudo[[#This Row],[Obs]]&amp;")"</f>
        <v>BG (REUNIÃO HED)</v>
      </c>
    </row>
    <row r="380" spans="1:14" x14ac:dyDescent="0.3">
      <c r="A380" s="1">
        <v>45084</v>
      </c>
      <c r="B380" t="s">
        <v>23</v>
      </c>
      <c r="C380" t="s">
        <v>53</v>
      </c>
      <c r="D380" s="8">
        <v>0.33333333333333331</v>
      </c>
      <c r="E380" s="8">
        <v>0.5</v>
      </c>
      <c r="F380" t="s">
        <v>461</v>
      </c>
      <c r="L380" t="s">
        <v>563</v>
      </c>
      <c r="M380" t="s">
        <v>478</v>
      </c>
      <c r="N380" t="str">
        <f>Tabela_tudo[[#This Row],[Médico]]&amp;" ("&amp;Tabela_tudo[[#This Row],[Obs]]&amp;")"</f>
        <v>BG (REUNIÃO HED)</v>
      </c>
    </row>
    <row r="381" spans="1:14" x14ac:dyDescent="0.3">
      <c r="A381" s="1">
        <v>45105</v>
      </c>
      <c r="B381" t="s">
        <v>23</v>
      </c>
      <c r="C381" t="s">
        <v>53</v>
      </c>
      <c r="D381" s="8">
        <v>0.33333333333333331</v>
      </c>
      <c r="E381" s="8">
        <v>0.5</v>
      </c>
      <c r="F381" t="s">
        <v>461</v>
      </c>
      <c r="L381" t="s">
        <v>563</v>
      </c>
      <c r="M381" t="s">
        <v>478</v>
      </c>
      <c r="N381" t="str">
        <f>Tabela_tudo[[#This Row],[Médico]]&amp;" ("&amp;Tabela_tudo[[#This Row],[Obs]]&amp;")"</f>
        <v>BG (REUNIÃO HED)</v>
      </c>
    </row>
    <row r="382" spans="1:14" x14ac:dyDescent="0.3">
      <c r="A382" s="1">
        <v>45126</v>
      </c>
      <c r="B382" t="s">
        <v>23</v>
      </c>
      <c r="C382" t="s">
        <v>53</v>
      </c>
      <c r="D382" s="8">
        <v>0.33333333333333331</v>
      </c>
      <c r="E382" s="8">
        <v>0.5</v>
      </c>
      <c r="F382" t="s">
        <v>461</v>
      </c>
      <c r="L382" t="s">
        <v>563</v>
      </c>
      <c r="M382" t="s">
        <v>478</v>
      </c>
      <c r="N382" t="str">
        <f>Tabela_tudo[[#This Row],[Médico]]&amp;" ("&amp;Tabela_tudo[[#This Row],[Obs]]&amp;")"</f>
        <v>BG (REUNIÃO HED)</v>
      </c>
    </row>
    <row r="383" spans="1:14" x14ac:dyDescent="0.3">
      <c r="A383" s="1">
        <v>45119</v>
      </c>
      <c r="B383" t="s">
        <v>23</v>
      </c>
      <c r="C383" t="s">
        <v>53</v>
      </c>
      <c r="D383" s="8">
        <v>0.33333333333333331</v>
      </c>
      <c r="E383" s="8">
        <v>0.5</v>
      </c>
      <c r="F383" t="s">
        <v>461</v>
      </c>
      <c r="L383" t="s">
        <v>563</v>
      </c>
      <c r="M383" t="s">
        <v>478</v>
      </c>
      <c r="N383" t="str">
        <f>Tabela_tudo[[#This Row],[Médico]]&amp;" ("&amp;Tabela_tudo[[#This Row],[Obs]]&amp;")"</f>
        <v>BG (REUNIÃO HED)</v>
      </c>
    </row>
    <row r="384" spans="1:14" x14ac:dyDescent="0.3">
      <c r="A384" s="1">
        <v>45112</v>
      </c>
      <c r="B384" t="s">
        <v>23</v>
      </c>
      <c r="C384" t="s">
        <v>53</v>
      </c>
      <c r="D384" s="8">
        <v>0.33333333333333331</v>
      </c>
      <c r="E384" s="8">
        <v>0.5</v>
      </c>
      <c r="F384" t="s">
        <v>461</v>
      </c>
      <c r="L384" t="s">
        <v>563</v>
      </c>
      <c r="M384" t="s">
        <v>478</v>
      </c>
      <c r="N384" t="str">
        <f>Tabela_tudo[[#This Row],[Médico]]&amp;" ("&amp;Tabela_tudo[[#This Row],[Obs]]&amp;")"</f>
        <v>BG (REUNIÃO HED)</v>
      </c>
    </row>
    <row r="385" spans="1:14" x14ac:dyDescent="0.3">
      <c r="A385" s="1">
        <v>45049</v>
      </c>
      <c r="B385" t="s">
        <v>23</v>
      </c>
      <c r="C385" t="s">
        <v>53</v>
      </c>
      <c r="D385" s="8">
        <v>0.33333333333333331</v>
      </c>
      <c r="E385" s="8">
        <v>0.5</v>
      </c>
      <c r="F385" t="s">
        <v>461</v>
      </c>
      <c r="L385" t="s">
        <v>563</v>
      </c>
      <c r="M385" t="s">
        <v>478</v>
      </c>
      <c r="N385" t="str">
        <f>Tabela_tudo[[#This Row],[Médico]]&amp;" ("&amp;Tabela_tudo[[#This Row],[Obs]]&amp;")"</f>
        <v>BG (REUNIÃO HED)</v>
      </c>
    </row>
    <row r="386" spans="1:14" x14ac:dyDescent="0.3">
      <c r="A386" s="1">
        <v>45042</v>
      </c>
      <c r="B386" t="s">
        <v>23</v>
      </c>
      <c r="C386" t="s">
        <v>53</v>
      </c>
      <c r="D386" s="8">
        <v>0.33333333333333331</v>
      </c>
      <c r="E386" s="8">
        <v>0.5</v>
      </c>
      <c r="F386" t="s">
        <v>461</v>
      </c>
      <c r="L386" t="s">
        <v>563</v>
      </c>
      <c r="M386" t="s">
        <v>478</v>
      </c>
      <c r="N386" t="str">
        <f>Tabela_tudo[[#This Row],[Médico]]&amp;" ("&amp;Tabela_tudo[[#This Row],[Obs]]&amp;")"</f>
        <v>BG (REUNIÃO HED)</v>
      </c>
    </row>
    <row r="387" spans="1:14" x14ac:dyDescent="0.3">
      <c r="A387" s="1">
        <v>45035</v>
      </c>
      <c r="B387" t="s">
        <v>23</v>
      </c>
      <c r="C387" t="s">
        <v>53</v>
      </c>
      <c r="D387" s="8">
        <v>0.33333333333333331</v>
      </c>
      <c r="E387" s="8">
        <v>0.5</v>
      </c>
      <c r="F387" t="s">
        <v>461</v>
      </c>
      <c r="L387" t="s">
        <v>563</v>
      </c>
      <c r="M387" t="s">
        <v>478</v>
      </c>
      <c r="N387" t="str">
        <f>Tabela_tudo[[#This Row],[Médico]]&amp;" ("&amp;Tabela_tudo[[#This Row],[Obs]]&amp;")"</f>
        <v>BG (REUNIÃO HED)</v>
      </c>
    </row>
    <row r="388" spans="1:14" x14ac:dyDescent="0.3">
      <c r="A388" s="1">
        <v>45056</v>
      </c>
      <c r="B388" t="s">
        <v>23</v>
      </c>
      <c r="C388" t="s">
        <v>53</v>
      </c>
      <c r="D388" s="8">
        <v>0.33333333333333331</v>
      </c>
      <c r="E388" s="8">
        <v>0.5</v>
      </c>
      <c r="F388" t="s">
        <v>461</v>
      </c>
      <c r="L388" t="s">
        <v>563</v>
      </c>
      <c r="M388" t="s">
        <v>478</v>
      </c>
      <c r="N388" t="str">
        <f>Tabela_tudo[[#This Row],[Médico]]&amp;" ("&amp;Tabela_tudo[[#This Row],[Obs]]&amp;")"</f>
        <v>BG (REUNIÃO HED)</v>
      </c>
    </row>
    <row r="389" spans="1:14" x14ac:dyDescent="0.3">
      <c r="A389" s="1">
        <v>45077</v>
      </c>
      <c r="B389" t="s">
        <v>23</v>
      </c>
      <c r="C389" t="s">
        <v>53</v>
      </c>
      <c r="D389" s="8">
        <v>0.33333333333333331</v>
      </c>
      <c r="E389" s="8">
        <v>0.5</v>
      </c>
      <c r="F389" t="s">
        <v>461</v>
      </c>
      <c r="L389" t="s">
        <v>563</v>
      </c>
      <c r="M389" t="s">
        <v>478</v>
      </c>
      <c r="N389" t="str">
        <f>Tabela_tudo[[#This Row],[Médico]]&amp;" ("&amp;Tabela_tudo[[#This Row],[Obs]]&amp;")"</f>
        <v>BG (REUNIÃO HED)</v>
      </c>
    </row>
    <row r="390" spans="1:14" x14ac:dyDescent="0.3">
      <c r="A390" s="1">
        <v>45070</v>
      </c>
      <c r="B390" t="s">
        <v>23</v>
      </c>
      <c r="C390" t="s">
        <v>53</v>
      </c>
      <c r="D390" s="8">
        <v>0.33333333333333331</v>
      </c>
      <c r="E390" s="8">
        <v>0.5</v>
      </c>
      <c r="F390" t="s">
        <v>461</v>
      </c>
      <c r="L390" t="s">
        <v>563</v>
      </c>
      <c r="M390" t="s">
        <v>478</v>
      </c>
      <c r="N390" t="str">
        <f>Tabela_tudo[[#This Row],[Médico]]&amp;" ("&amp;Tabela_tudo[[#This Row],[Obs]]&amp;")"</f>
        <v>BG (REUNIÃO HED)</v>
      </c>
    </row>
    <row r="391" spans="1:14" x14ac:dyDescent="0.3">
      <c r="A391" s="1">
        <v>45063</v>
      </c>
      <c r="B391" t="s">
        <v>23</v>
      </c>
      <c r="C391" t="s">
        <v>53</v>
      </c>
      <c r="D391" s="8">
        <v>0.33333333333333331</v>
      </c>
      <c r="E391" s="8">
        <v>0.5</v>
      </c>
      <c r="F391" t="s">
        <v>461</v>
      </c>
      <c r="L391" t="s">
        <v>563</v>
      </c>
      <c r="M391" t="s">
        <v>478</v>
      </c>
      <c r="N391" t="str">
        <f>Tabela_tudo[[#This Row],[Médico]]&amp;" ("&amp;Tabela_tudo[[#This Row],[Obs]]&amp;")"</f>
        <v>BG (REUNIÃO HED)</v>
      </c>
    </row>
    <row r="392" spans="1:14" x14ac:dyDescent="0.3">
      <c r="A392" s="1">
        <v>45133</v>
      </c>
      <c r="B392" t="s">
        <v>23</v>
      </c>
      <c r="C392" t="s">
        <v>53</v>
      </c>
      <c r="D392" s="8">
        <v>0.33333333333333331</v>
      </c>
      <c r="E392" s="8">
        <v>0.5</v>
      </c>
      <c r="F392" t="s">
        <v>461</v>
      </c>
      <c r="L392" t="s">
        <v>563</v>
      </c>
      <c r="M392" t="s">
        <v>478</v>
      </c>
      <c r="N392" t="str">
        <f>Tabela_tudo[[#This Row],[Médico]]&amp;" ("&amp;Tabela_tudo[[#This Row],[Obs]]&amp;")"</f>
        <v>BG (REUNIÃO HED)</v>
      </c>
    </row>
    <row r="393" spans="1:14" x14ac:dyDescent="0.3">
      <c r="A393" s="1">
        <v>45203</v>
      </c>
      <c r="B393" t="s">
        <v>23</v>
      </c>
      <c r="C393" t="s">
        <v>53</v>
      </c>
      <c r="D393" s="8">
        <v>0.33333333333333331</v>
      </c>
      <c r="E393" s="8">
        <v>0.5</v>
      </c>
      <c r="F393" t="s">
        <v>461</v>
      </c>
      <c r="L393" t="s">
        <v>563</v>
      </c>
      <c r="M393" t="s">
        <v>478</v>
      </c>
      <c r="N393" t="str">
        <f>Tabela_tudo[[#This Row],[Médico]]&amp;" ("&amp;Tabela_tudo[[#This Row],[Obs]]&amp;")"</f>
        <v>BG (REUNIÃO HED)</v>
      </c>
    </row>
    <row r="394" spans="1:14" x14ac:dyDescent="0.3">
      <c r="A394" s="1">
        <v>45196</v>
      </c>
      <c r="B394" t="s">
        <v>23</v>
      </c>
      <c r="C394" t="s">
        <v>53</v>
      </c>
      <c r="D394" s="8">
        <v>0.33333333333333331</v>
      </c>
      <c r="E394" s="8">
        <v>0.5</v>
      </c>
      <c r="F394" t="s">
        <v>461</v>
      </c>
      <c r="L394" t="s">
        <v>563</v>
      </c>
      <c r="M394" t="s">
        <v>478</v>
      </c>
      <c r="N394" t="str">
        <f>Tabela_tudo[[#This Row],[Médico]]&amp;" ("&amp;Tabela_tudo[[#This Row],[Obs]]&amp;")"</f>
        <v>BG (REUNIÃO HED)</v>
      </c>
    </row>
    <row r="395" spans="1:14" x14ac:dyDescent="0.3">
      <c r="A395" s="1">
        <v>45189</v>
      </c>
      <c r="B395" t="s">
        <v>23</v>
      </c>
      <c r="C395" t="s">
        <v>53</v>
      </c>
      <c r="D395" s="8">
        <v>0.33333333333333331</v>
      </c>
      <c r="E395" s="8">
        <v>0.5</v>
      </c>
      <c r="F395" t="s">
        <v>461</v>
      </c>
      <c r="L395" t="s">
        <v>563</v>
      </c>
      <c r="M395" t="s">
        <v>478</v>
      </c>
      <c r="N395" t="str">
        <f>Tabela_tudo[[#This Row],[Médico]]&amp;" ("&amp;Tabela_tudo[[#This Row],[Obs]]&amp;")"</f>
        <v>BG (REUNIÃO HED)</v>
      </c>
    </row>
    <row r="396" spans="1:14" x14ac:dyDescent="0.3">
      <c r="A396" s="1">
        <v>45210</v>
      </c>
      <c r="B396" t="s">
        <v>23</v>
      </c>
      <c r="C396" t="s">
        <v>53</v>
      </c>
      <c r="D396" s="8">
        <v>0.33333333333333331</v>
      </c>
      <c r="E396" s="8">
        <v>0.5</v>
      </c>
      <c r="F396" t="s">
        <v>461</v>
      </c>
      <c r="L396" t="s">
        <v>563</v>
      </c>
      <c r="M396" t="s">
        <v>478</v>
      </c>
      <c r="N396" t="str">
        <f>Tabela_tudo[[#This Row],[Médico]]&amp;" ("&amp;Tabela_tudo[[#This Row],[Obs]]&amp;")"</f>
        <v>BG (REUNIÃO HED)</v>
      </c>
    </row>
    <row r="397" spans="1:14" x14ac:dyDescent="0.3">
      <c r="A397" s="1">
        <v>45231</v>
      </c>
      <c r="B397" t="s">
        <v>23</v>
      </c>
      <c r="C397" t="s">
        <v>53</v>
      </c>
      <c r="D397" s="8">
        <v>0.33333333333333331</v>
      </c>
      <c r="E397" s="8">
        <v>0.5</v>
      </c>
      <c r="F397" t="s">
        <v>461</v>
      </c>
      <c r="L397" t="s">
        <v>563</v>
      </c>
      <c r="M397" t="s">
        <v>478</v>
      </c>
      <c r="N397" t="str">
        <f>Tabela_tudo[[#This Row],[Médico]]&amp;" ("&amp;Tabela_tudo[[#This Row],[Obs]]&amp;")"</f>
        <v>BG (REUNIÃO HED)</v>
      </c>
    </row>
    <row r="398" spans="1:14" x14ac:dyDescent="0.3">
      <c r="A398" s="1">
        <v>45224</v>
      </c>
      <c r="B398" t="s">
        <v>23</v>
      </c>
      <c r="C398" t="s">
        <v>53</v>
      </c>
      <c r="D398" s="8">
        <v>0.33333333333333331</v>
      </c>
      <c r="E398" s="8">
        <v>0.5</v>
      </c>
      <c r="F398" t="s">
        <v>461</v>
      </c>
      <c r="L398" t="s">
        <v>563</v>
      </c>
      <c r="M398" t="s">
        <v>478</v>
      </c>
      <c r="N398" t="str">
        <f>Tabela_tudo[[#This Row],[Médico]]&amp;" ("&amp;Tabela_tudo[[#This Row],[Obs]]&amp;")"</f>
        <v>BG (REUNIÃO HED)</v>
      </c>
    </row>
    <row r="399" spans="1:14" x14ac:dyDescent="0.3">
      <c r="A399" s="1">
        <v>45217</v>
      </c>
      <c r="B399" t="s">
        <v>23</v>
      </c>
      <c r="C399" t="s">
        <v>53</v>
      </c>
      <c r="D399" s="8">
        <v>0.33333333333333331</v>
      </c>
      <c r="E399" s="8">
        <v>0.5</v>
      </c>
      <c r="F399" t="s">
        <v>461</v>
      </c>
      <c r="L399" t="s">
        <v>563</v>
      </c>
      <c r="M399" t="s">
        <v>478</v>
      </c>
      <c r="N399" t="str">
        <f>Tabela_tudo[[#This Row],[Médico]]&amp;" ("&amp;Tabela_tudo[[#This Row],[Obs]]&amp;")"</f>
        <v>BG (REUNIÃO HED)</v>
      </c>
    </row>
    <row r="400" spans="1:14" x14ac:dyDescent="0.3">
      <c r="A400" s="1">
        <v>45154</v>
      </c>
      <c r="B400" t="s">
        <v>23</v>
      </c>
      <c r="C400" t="s">
        <v>53</v>
      </c>
      <c r="D400" s="8">
        <v>0.33333333333333331</v>
      </c>
      <c r="E400" s="8">
        <v>0.5</v>
      </c>
      <c r="F400" t="s">
        <v>461</v>
      </c>
      <c r="L400" t="s">
        <v>563</v>
      </c>
      <c r="M400" t="s">
        <v>478</v>
      </c>
      <c r="N400" t="str">
        <f>Tabela_tudo[[#This Row],[Médico]]&amp;" ("&amp;Tabela_tudo[[#This Row],[Obs]]&amp;")"</f>
        <v>BG (REUNIÃO HED)</v>
      </c>
    </row>
    <row r="401" spans="1:14" x14ac:dyDescent="0.3">
      <c r="A401" s="1">
        <v>45147</v>
      </c>
      <c r="B401" t="s">
        <v>23</v>
      </c>
      <c r="C401" t="s">
        <v>53</v>
      </c>
      <c r="D401" s="8">
        <v>0.33333333333333331</v>
      </c>
      <c r="E401" s="8">
        <v>0.5</v>
      </c>
      <c r="F401" t="s">
        <v>461</v>
      </c>
      <c r="L401" t="s">
        <v>563</v>
      </c>
      <c r="M401" t="s">
        <v>478</v>
      </c>
      <c r="N401" t="str">
        <f>Tabela_tudo[[#This Row],[Médico]]&amp;" ("&amp;Tabela_tudo[[#This Row],[Obs]]&amp;")"</f>
        <v>BG (REUNIÃO HED)</v>
      </c>
    </row>
    <row r="402" spans="1:14" x14ac:dyDescent="0.3">
      <c r="A402" s="1">
        <v>45140</v>
      </c>
      <c r="B402" t="s">
        <v>23</v>
      </c>
      <c r="C402" t="s">
        <v>53</v>
      </c>
      <c r="D402" s="8">
        <v>0.33333333333333331</v>
      </c>
      <c r="E402" s="8">
        <v>0.5</v>
      </c>
      <c r="F402" t="s">
        <v>461</v>
      </c>
      <c r="L402" t="s">
        <v>563</v>
      </c>
      <c r="M402" t="s">
        <v>478</v>
      </c>
      <c r="N402" t="str">
        <f>Tabela_tudo[[#This Row],[Médico]]&amp;" ("&amp;Tabela_tudo[[#This Row],[Obs]]&amp;")"</f>
        <v>BG (REUNIÃO HED)</v>
      </c>
    </row>
    <row r="403" spans="1:14" x14ac:dyDescent="0.3">
      <c r="A403" s="1">
        <v>45161</v>
      </c>
      <c r="B403" t="s">
        <v>23</v>
      </c>
      <c r="C403" t="s">
        <v>53</v>
      </c>
      <c r="D403" s="8">
        <v>0.33333333333333331</v>
      </c>
      <c r="E403" s="8">
        <v>0.5</v>
      </c>
      <c r="F403" t="s">
        <v>461</v>
      </c>
      <c r="L403" t="s">
        <v>563</v>
      </c>
      <c r="M403" t="s">
        <v>478</v>
      </c>
      <c r="N403" t="str">
        <f>Tabela_tudo[[#This Row],[Médico]]&amp;" ("&amp;Tabela_tudo[[#This Row],[Obs]]&amp;")"</f>
        <v>BG (REUNIÃO HED)</v>
      </c>
    </row>
    <row r="404" spans="1:14" x14ac:dyDescent="0.3">
      <c r="A404" s="1">
        <v>45182</v>
      </c>
      <c r="B404" t="s">
        <v>23</v>
      </c>
      <c r="C404" t="s">
        <v>53</v>
      </c>
      <c r="D404" s="8">
        <v>0.33333333333333331</v>
      </c>
      <c r="E404" s="8">
        <v>0.5</v>
      </c>
      <c r="F404" t="s">
        <v>461</v>
      </c>
      <c r="L404" t="s">
        <v>563</v>
      </c>
      <c r="M404" t="s">
        <v>478</v>
      </c>
      <c r="N404" t="str">
        <f>Tabela_tudo[[#This Row],[Médico]]&amp;" ("&amp;Tabela_tudo[[#This Row],[Obs]]&amp;")"</f>
        <v>BG (REUNIÃO HED)</v>
      </c>
    </row>
    <row r="405" spans="1:14" x14ac:dyDescent="0.3">
      <c r="A405" s="1">
        <v>45175</v>
      </c>
      <c r="B405" t="s">
        <v>23</v>
      </c>
      <c r="C405" t="s">
        <v>53</v>
      </c>
      <c r="D405" s="8">
        <v>0.33333333333333331</v>
      </c>
      <c r="E405" s="8">
        <v>0.5</v>
      </c>
      <c r="F405" t="s">
        <v>461</v>
      </c>
      <c r="L405" t="s">
        <v>563</v>
      </c>
      <c r="M405" t="s">
        <v>478</v>
      </c>
      <c r="N405" t="str">
        <f>Tabela_tudo[[#This Row],[Médico]]&amp;" ("&amp;Tabela_tudo[[#This Row],[Obs]]&amp;")"</f>
        <v>BG (REUNIÃO HED)</v>
      </c>
    </row>
    <row r="406" spans="1:14" x14ac:dyDescent="0.3">
      <c r="A406" s="1">
        <v>45168</v>
      </c>
      <c r="B406" t="s">
        <v>23</v>
      </c>
      <c r="C406" t="s">
        <v>53</v>
      </c>
      <c r="D406" s="8">
        <v>0.33333333333333331</v>
      </c>
      <c r="E406" s="8">
        <v>0.5</v>
      </c>
      <c r="F406" t="s">
        <v>461</v>
      </c>
      <c r="L406" t="s">
        <v>563</v>
      </c>
      <c r="M406" t="s">
        <v>478</v>
      </c>
      <c r="N406" t="str">
        <f>Tabela_tudo[[#This Row],[Médico]]&amp;" ("&amp;Tabela_tudo[[#This Row],[Obs]]&amp;")"</f>
        <v>BG (REUNIÃO HED)</v>
      </c>
    </row>
    <row r="407" spans="1:14" x14ac:dyDescent="0.3">
      <c r="A407" s="1">
        <v>45028</v>
      </c>
      <c r="B407" t="s">
        <v>23</v>
      </c>
      <c r="C407" t="s">
        <v>53</v>
      </c>
      <c r="D407" s="8">
        <v>0.33333333333333331</v>
      </c>
      <c r="E407" s="8">
        <v>0.5</v>
      </c>
      <c r="F407" t="s">
        <v>461</v>
      </c>
      <c r="L407" t="s">
        <v>563</v>
      </c>
      <c r="M407" t="s">
        <v>478</v>
      </c>
      <c r="N407" t="str">
        <f>Tabela_tudo[[#This Row],[Médico]]&amp;" ("&amp;Tabela_tudo[[#This Row],[Obs]]&amp;")"</f>
        <v>BG (REUNIÃO HED)</v>
      </c>
    </row>
    <row r="408" spans="1:14" x14ac:dyDescent="0.3">
      <c r="A408" s="1">
        <v>45614</v>
      </c>
      <c r="B408" t="s">
        <v>23</v>
      </c>
      <c r="C408" t="s">
        <v>53</v>
      </c>
      <c r="D408" s="8">
        <v>0.54166666666666663</v>
      </c>
      <c r="E408" s="8">
        <v>0.75</v>
      </c>
      <c r="F408" t="s">
        <v>106</v>
      </c>
      <c r="L408" t="s">
        <v>563</v>
      </c>
      <c r="M408" t="s">
        <v>478</v>
      </c>
      <c r="N408" t="str">
        <f>Tabela_tudo[[#This Row],[Médico]]&amp;" ("&amp;Tabela_tudo[[#This Row],[Obs]]&amp;")"</f>
        <v>BG (REUNIÃO UNIMED)</v>
      </c>
    </row>
    <row r="409" spans="1:14" x14ac:dyDescent="0.3">
      <c r="A409" s="1">
        <v>45607</v>
      </c>
      <c r="B409" t="s">
        <v>23</v>
      </c>
      <c r="C409" t="s">
        <v>53</v>
      </c>
      <c r="D409" s="8">
        <v>0.54166666666666663</v>
      </c>
      <c r="E409" s="8">
        <v>0.75</v>
      </c>
      <c r="F409" t="s">
        <v>106</v>
      </c>
      <c r="L409" t="s">
        <v>563</v>
      </c>
      <c r="M409" t="s">
        <v>478</v>
      </c>
      <c r="N409" t="str">
        <f>Tabela_tudo[[#This Row],[Médico]]&amp;" ("&amp;Tabela_tudo[[#This Row],[Obs]]&amp;")"</f>
        <v>BG (REUNIÃO UNIMED)</v>
      </c>
    </row>
    <row r="410" spans="1:14" x14ac:dyDescent="0.3">
      <c r="A410" s="1">
        <v>45600</v>
      </c>
      <c r="B410" t="s">
        <v>23</v>
      </c>
      <c r="C410" t="s">
        <v>53</v>
      </c>
      <c r="D410" s="8">
        <v>0.54166666666666663</v>
      </c>
      <c r="E410" s="8">
        <v>0.75</v>
      </c>
      <c r="F410" t="s">
        <v>106</v>
      </c>
      <c r="L410" t="s">
        <v>563</v>
      </c>
      <c r="M410" t="s">
        <v>478</v>
      </c>
      <c r="N410" t="str">
        <f>Tabela_tudo[[#This Row],[Médico]]&amp;" ("&amp;Tabela_tudo[[#This Row],[Obs]]&amp;")"</f>
        <v>BG (REUNIÃO UNIMED)</v>
      </c>
    </row>
    <row r="411" spans="1:14" x14ac:dyDescent="0.3">
      <c r="A411" s="1">
        <v>45621</v>
      </c>
      <c r="B411" t="s">
        <v>23</v>
      </c>
      <c r="C411" t="s">
        <v>53</v>
      </c>
      <c r="D411" s="8">
        <v>0.54166666666666663</v>
      </c>
      <c r="E411" s="8">
        <v>0.75</v>
      </c>
      <c r="F411" t="s">
        <v>106</v>
      </c>
      <c r="L411" t="s">
        <v>563</v>
      </c>
      <c r="M411" t="s">
        <v>478</v>
      </c>
      <c r="N411" t="str">
        <f>Tabela_tudo[[#This Row],[Médico]]&amp;" ("&amp;Tabela_tudo[[#This Row],[Obs]]&amp;")"</f>
        <v>BG (REUNIÃO UNIMED)</v>
      </c>
    </row>
    <row r="412" spans="1:14" x14ac:dyDescent="0.3">
      <c r="A412" s="1">
        <v>45642</v>
      </c>
      <c r="B412" t="s">
        <v>23</v>
      </c>
      <c r="C412" t="s">
        <v>53</v>
      </c>
      <c r="D412" s="8">
        <v>0.54166666666666663</v>
      </c>
      <c r="E412" s="8">
        <v>0.75</v>
      </c>
      <c r="F412" t="s">
        <v>106</v>
      </c>
      <c r="L412" t="s">
        <v>563</v>
      </c>
      <c r="M412" t="s">
        <v>478</v>
      </c>
      <c r="N412" t="str">
        <f>Tabela_tudo[[#This Row],[Médico]]&amp;" ("&amp;Tabela_tudo[[#This Row],[Obs]]&amp;")"</f>
        <v>BG (REUNIÃO UNIMED)</v>
      </c>
    </row>
    <row r="413" spans="1:14" x14ac:dyDescent="0.3">
      <c r="A413" s="1">
        <v>45635</v>
      </c>
      <c r="B413" t="s">
        <v>23</v>
      </c>
      <c r="C413" t="s">
        <v>53</v>
      </c>
      <c r="D413" s="8">
        <v>0.54166666666666663</v>
      </c>
      <c r="E413" s="8">
        <v>0.75</v>
      </c>
      <c r="F413" t="s">
        <v>106</v>
      </c>
      <c r="L413" t="s">
        <v>563</v>
      </c>
      <c r="M413" t="s">
        <v>478</v>
      </c>
      <c r="N413" t="str">
        <f>Tabela_tudo[[#This Row],[Médico]]&amp;" ("&amp;Tabela_tudo[[#This Row],[Obs]]&amp;")"</f>
        <v>BG (REUNIÃO UNIMED)</v>
      </c>
    </row>
    <row r="414" spans="1:14" x14ac:dyDescent="0.3">
      <c r="A414" s="1">
        <v>45628</v>
      </c>
      <c r="B414" t="s">
        <v>23</v>
      </c>
      <c r="C414" t="s">
        <v>53</v>
      </c>
      <c r="D414" s="8">
        <v>0.54166666666666663</v>
      </c>
      <c r="E414" s="8">
        <v>0.75</v>
      </c>
      <c r="F414" t="s">
        <v>106</v>
      </c>
      <c r="L414" t="s">
        <v>563</v>
      </c>
      <c r="M414" t="s">
        <v>478</v>
      </c>
      <c r="N414" t="str">
        <f>Tabela_tudo[[#This Row],[Médico]]&amp;" ("&amp;Tabela_tudo[[#This Row],[Obs]]&amp;")"</f>
        <v>BG (REUNIÃO UNIMED)</v>
      </c>
    </row>
    <row r="415" spans="1:14" x14ac:dyDescent="0.3">
      <c r="A415" s="1">
        <v>45565</v>
      </c>
      <c r="B415" t="s">
        <v>23</v>
      </c>
      <c r="C415" t="s">
        <v>53</v>
      </c>
      <c r="D415" s="8">
        <v>0.54166666666666663</v>
      </c>
      <c r="E415" s="8">
        <v>0.75</v>
      </c>
      <c r="F415" t="s">
        <v>106</v>
      </c>
      <c r="L415" t="s">
        <v>563</v>
      </c>
      <c r="M415" t="s">
        <v>478</v>
      </c>
      <c r="N415" t="str">
        <f>Tabela_tudo[[#This Row],[Médico]]&amp;" ("&amp;Tabela_tudo[[#This Row],[Obs]]&amp;")"</f>
        <v>BG (REUNIÃO UNIMED)</v>
      </c>
    </row>
    <row r="416" spans="1:14" x14ac:dyDescent="0.3">
      <c r="A416" s="1">
        <v>45558</v>
      </c>
      <c r="B416" t="s">
        <v>23</v>
      </c>
      <c r="C416" t="s">
        <v>53</v>
      </c>
      <c r="D416" s="8">
        <v>0.54166666666666663</v>
      </c>
      <c r="E416" s="8">
        <v>0.75</v>
      </c>
      <c r="F416" t="s">
        <v>106</v>
      </c>
      <c r="L416" t="s">
        <v>563</v>
      </c>
      <c r="M416" t="s">
        <v>478</v>
      </c>
      <c r="N416" t="str">
        <f>Tabela_tudo[[#This Row],[Médico]]&amp;" ("&amp;Tabela_tudo[[#This Row],[Obs]]&amp;")"</f>
        <v>BG (REUNIÃO UNIMED)</v>
      </c>
    </row>
    <row r="417" spans="1:14" x14ac:dyDescent="0.3">
      <c r="A417" s="1">
        <v>45551</v>
      </c>
      <c r="B417" t="s">
        <v>23</v>
      </c>
      <c r="C417" t="s">
        <v>53</v>
      </c>
      <c r="D417" s="8">
        <v>0.54166666666666663</v>
      </c>
      <c r="E417" s="8">
        <v>0.75</v>
      </c>
      <c r="F417" t="s">
        <v>106</v>
      </c>
      <c r="L417" t="s">
        <v>563</v>
      </c>
      <c r="M417" t="s">
        <v>478</v>
      </c>
      <c r="N417" t="str">
        <f>Tabela_tudo[[#This Row],[Médico]]&amp;" ("&amp;Tabela_tudo[[#This Row],[Obs]]&amp;")"</f>
        <v>BG (REUNIÃO UNIMED)</v>
      </c>
    </row>
    <row r="418" spans="1:14" x14ac:dyDescent="0.3">
      <c r="A418" s="1">
        <v>45572</v>
      </c>
      <c r="B418" t="s">
        <v>23</v>
      </c>
      <c r="C418" t="s">
        <v>53</v>
      </c>
      <c r="D418" s="8">
        <v>0.54166666666666663</v>
      </c>
      <c r="E418" s="8">
        <v>0.75</v>
      </c>
      <c r="F418" t="s">
        <v>106</v>
      </c>
      <c r="L418" t="s">
        <v>563</v>
      </c>
      <c r="M418" t="s">
        <v>478</v>
      </c>
      <c r="N418" t="str">
        <f>Tabela_tudo[[#This Row],[Médico]]&amp;" ("&amp;Tabela_tudo[[#This Row],[Obs]]&amp;")"</f>
        <v>BG (REUNIÃO UNIMED)</v>
      </c>
    </row>
    <row r="419" spans="1:14" x14ac:dyDescent="0.3">
      <c r="A419" s="1">
        <v>45593</v>
      </c>
      <c r="B419" t="s">
        <v>23</v>
      </c>
      <c r="C419" t="s">
        <v>53</v>
      </c>
      <c r="D419" s="8">
        <v>0.54166666666666663</v>
      </c>
      <c r="E419" s="8">
        <v>0.75</v>
      </c>
      <c r="F419" t="s">
        <v>106</v>
      </c>
      <c r="L419" t="s">
        <v>563</v>
      </c>
      <c r="M419" t="s">
        <v>478</v>
      </c>
      <c r="N419" t="str">
        <f>Tabela_tudo[[#This Row],[Médico]]&amp;" ("&amp;Tabela_tudo[[#This Row],[Obs]]&amp;")"</f>
        <v>BG (REUNIÃO UNIMED)</v>
      </c>
    </row>
    <row r="420" spans="1:14" x14ac:dyDescent="0.3">
      <c r="A420" s="1">
        <v>45586</v>
      </c>
      <c r="B420" t="s">
        <v>23</v>
      </c>
      <c r="C420" t="s">
        <v>53</v>
      </c>
      <c r="D420" s="8">
        <v>0.54166666666666663</v>
      </c>
      <c r="E420" s="8">
        <v>0.75</v>
      </c>
      <c r="F420" t="s">
        <v>106</v>
      </c>
      <c r="L420" t="s">
        <v>563</v>
      </c>
      <c r="M420" t="s">
        <v>478</v>
      </c>
      <c r="N420" t="str">
        <f>Tabela_tudo[[#This Row],[Médico]]&amp;" ("&amp;Tabela_tudo[[#This Row],[Obs]]&amp;")"</f>
        <v>BG (REUNIÃO UNIMED)</v>
      </c>
    </row>
    <row r="421" spans="1:14" x14ac:dyDescent="0.3">
      <c r="A421" s="1">
        <v>45579</v>
      </c>
      <c r="B421" t="s">
        <v>23</v>
      </c>
      <c r="C421" t="s">
        <v>53</v>
      </c>
      <c r="D421" s="8">
        <v>0.54166666666666663</v>
      </c>
      <c r="E421" s="8">
        <v>0.75</v>
      </c>
      <c r="F421" t="s">
        <v>106</v>
      </c>
      <c r="L421" t="s">
        <v>563</v>
      </c>
      <c r="M421" t="s">
        <v>478</v>
      </c>
      <c r="N421" t="str">
        <f>Tabela_tudo[[#This Row],[Médico]]&amp;" ("&amp;Tabela_tudo[[#This Row],[Obs]]&amp;")"</f>
        <v>BG (REUNIÃO UNIMED)</v>
      </c>
    </row>
    <row r="422" spans="1:14" x14ac:dyDescent="0.3">
      <c r="A422" s="1">
        <v>45649</v>
      </c>
      <c r="B422" t="s">
        <v>23</v>
      </c>
      <c r="C422" t="s">
        <v>53</v>
      </c>
      <c r="D422" s="8">
        <v>0.54166666666666663</v>
      </c>
      <c r="E422" s="8">
        <v>0.75</v>
      </c>
      <c r="F422" t="s">
        <v>106</v>
      </c>
      <c r="L422" t="s">
        <v>563</v>
      </c>
      <c r="M422" t="s">
        <v>478</v>
      </c>
      <c r="N422" t="str">
        <f>Tabela_tudo[[#This Row],[Médico]]&amp;" ("&amp;Tabela_tudo[[#This Row],[Obs]]&amp;")"</f>
        <v>BG (REUNIÃO UNIMED)</v>
      </c>
    </row>
    <row r="423" spans="1:14" x14ac:dyDescent="0.3">
      <c r="A423" s="1">
        <v>44993</v>
      </c>
      <c r="B423" t="s">
        <v>23</v>
      </c>
      <c r="C423" t="s">
        <v>53</v>
      </c>
      <c r="D423" s="8">
        <v>0.33333333333333331</v>
      </c>
      <c r="E423" s="8">
        <v>0.5</v>
      </c>
      <c r="F423" t="s">
        <v>461</v>
      </c>
      <c r="L423" t="s">
        <v>563</v>
      </c>
      <c r="M423" t="s">
        <v>478</v>
      </c>
      <c r="N423" t="str">
        <f>Tabela_tudo[[#This Row],[Médico]]&amp;" ("&amp;Tabela_tudo[[#This Row],[Obs]]&amp;")"</f>
        <v>BG (REUNIÃO HED)</v>
      </c>
    </row>
    <row r="424" spans="1:14" x14ac:dyDescent="0.3">
      <c r="A424" s="1">
        <v>44986</v>
      </c>
      <c r="B424" t="s">
        <v>23</v>
      </c>
      <c r="C424" t="s">
        <v>53</v>
      </c>
      <c r="D424" s="8">
        <v>0.33333333333333331</v>
      </c>
      <c r="E424" s="8">
        <v>0.5</v>
      </c>
      <c r="F424" t="s">
        <v>461</v>
      </c>
      <c r="L424" t="s">
        <v>563</v>
      </c>
      <c r="M424" t="s">
        <v>478</v>
      </c>
      <c r="N424" t="str">
        <f>Tabela_tudo[[#This Row],[Médico]]&amp;" ("&amp;Tabela_tudo[[#This Row],[Obs]]&amp;")"</f>
        <v>BG (REUNIÃO HED)</v>
      </c>
    </row>
    <row r="425" spans="1:14" x14ac:dyDescent="0.3">
      <c r="A425" s="1">
        <v>44979</v>
      </c>
      <c r="B425" t="s">
        <v>23</v>
      </c>
      <c r="C425" t="s">
        <v>53</v>
      </c>
      <c r="D425" s="8">
        <v>0.33333333333333331</v>
      </c>
      <c r="E425" s="8">
        <v>0.5</v>
      </c>
      <c r="F425" t="s">
        <v>461</v>
      </c>
      <c r="L425" t="s">
        <v>563</v>
      </c>
      <c r="M425" t="s">
        <v>478</v>
      </c>
      <c r="N425" t="str">
        <f>Tabela_tudo[[#This Row],[Médico]]&amp;" ("&amp;Tabela_tudo[[#This Row],[Obs]]&amp;")"</f>
        <v>BG (REUNIÃO HED)</v>
      </c>
    </row>
    <row r="426" spans="1:14" x14ac:dyDescent="0.3">
      <c r="A426" s="1">
        <v>45000</v>
      </c>
      <c r="B426" t="s">
        <v>23</v>
      </c>
      <c r="C426" t="s">
        <v>53</v>
      </c>
      <c r="D426" s="8">
        <v>0.33333333333333331</v>
      </c>
      <c r="E426" s="8">
        <v>0.5</v>
      </c>
      <c r="F426" t="s">
        <v>461</v>
      </c>
      <c r="L426" t="s">
        <v>563</v>
      </c>
      <c r="M426" t="s">
        <v>478</v>
      </c>
      <c r="N426" t="str">
        <f>Tabela_tudo[[#This Row],[Médico]]&amp;" ("&amp;Tabela_tudo[[#This Row],[Obs]]&amp;")"</f>
        <v>BG (REUNIÃO HED)</v>
      </c>
    </row>
    <row r="427" spans="1:14" x14ac:dyDescent="0.3">
      <c r="A427" s="1">
        <v>45021</v>
      </c>
      <c r="B427" t="s">
        <v>23</v>
      </c>
      <c r="C427" t="s">
        <v>53</v>
      </c>
      <c r="D427" s="8">
        <v>0.33333333333333331</v>
      </c>
      <c r="E427" s="8">
        <v>0.5</v>
      </c>
      <c r="F427" t="s">
        <v>461</v>
      </c>
      <c r="L427" t="s">
        <v>563</v>
      </c>
      <c r="M427" t="s">
        <v>478</v>
      </c>
      <c r="N427" t="str">
        <f>Tabela_tudo[[#This Row],[Médico]]&amp;" ("&amp;Tabela_tudo[[#This Row],[Obs]]&amp;")"</f>
        <v>BG (REUNIÃO HED)</v>
      </c>
    </row>
    <row r="428" spans="1:14" x14ac:dyDescent="0.3">
      <c r="A428" s="1">
        <v>45014</v>
      </c>
      <c r="B428" t="s">
        <v>23</v>
      </c>
      <c r="C428" t="s">
        <v>53</v>
      </c>
      <c r="D428" s="8">
        <v>0.33333333333333331</v>
      </c>
      <c r="E428" s="8">
        <v>0.5</v>
      </c>
      <c r="F428" t="s">
        <v>461</v>
      </c>
      <c r="L428" t="s">
        <v>563</v>
      </c>
      <c r="M428" t="s">
        <v>478</v>
      </c>
      <c r="N428" t="str">
        <f>Tabela_tudo[[#This Row],[Médico]]&amp;" ("&amp;Tabela_tudo[[#This Row],[Obs]]&amp;")"</f>
        <v>BG (REUNIÃO HED)</v>
      </c>
    </row>
    <row r="429" spans="1:14" x14ac:dyDescent="0.3">
      <c r="A429" s="1">
        <v>45007</v>
      </c>
      <c r="B429" t="s">
        <v>23</v>
      </c>
      <c r="C429" t="s">
        <v>53</v>
      </c>
      <c r="D429" s="8">
        <v>0.33333333333333331</v>
      </c>
      <c r="E429" s="8">
        <v>0.5</v>
      </c>
      <c r="F429" t="s">
        <v>461</v>
      </c>
      <c r="L429" t="s">
        <v>563</v>
      </c>
      <c r="M429" t="s">
        <v>478</v>
      </c>
      <c r="N429" t="str">
        <f>Tabela_tudo[[#This Row],[Médico]]&amp;" ("&amp;Tabela_tudo[[#This Row],[Obs]]&amp;")"</f>
        <v>BG (REUNIÃO HED)</v>
      </c>
    </row>
    <row r="430" spans="1:14" x14ac:dyDescent="0.3">
      <c r="A430" s="1">
        <v>44944</v>
      </c>
      <c r="B430" t="s">
        <v>23</v>
      </c>
      <c r="C430" t="s">
        <v>53</v>
      </c>
      <c r="D430" s="8">
        <v>0.33333333333333331</v>
      </c>
      <c r="E430" s="8">
        <v>0.5</v>
      </c>
      <c r="F430" t="s">
        <v>461</v>
      </c>
      <c r="L430" t="s">
        <v>563</v>
      </c>
      <c r="M430" t="s">
        <v>478</v>
      </c>
      <c r="N430" t="str">
        <f>Tabela_tudo[[#This Row],[Médico]]&amp;" ("&amp;Tabela_tudo[[#This Row],[Obs]]&amp;")"</f>
        <v>BG (REUNIÃO HED)</v>
      </c>
    </row>
    <row r="431" spans="1:14" x14ac:dyDescent="0.3">
      <c r="A431" s="1">
        <v>44937</v>
      </c>
      <c r="B431" t="s">
        <v>23</v>
      </c>
      <c r="C431" t="s">
        <v>53</v>
      </c>
      <c r="D431" s="8">
        <v>0.33333333333333331</v>
      </c>
      <c r="E431" s="8">
        <v>0.5</v>
      </c>
      <c r="F431" t="s">
        <v>461</v>
      </c>
      <c r="L431" t="s">
        <v>563</v>
      </c>
      <c r="M431" t="s">
        <v>478</v>
      </c>
      <c r="N431" t="str">
        <f>Tabela_tudo[[#This Row],[Médico]]&amp;" ("&amp;Tabela_tudo[[#This Row],[Obs]]&amp;")"</f>
        <v>BG (REUNIÃO HED)</v>
      </c>
    </row>
    <row r="432" spans="1:14" x14ac:dyDescent="0.3">
      <c r="A432" s="1">
        <v>44930</v>
      </c>
      <c r="B432" t="s">
        <v>23</v>
      </c>
      <c r="C432" t="s">
        <v>53</v>
      </c>
      <c r="D432" s="8">
        <v>0.33333333333333331</v>
      </c>
      <c r="E432" s="8">
        <v>0.5</v>
      </c>
      <c r="F432" t="s">
        <v>461</v>
      </c>
      <c r="L432" t="s">
        <v>563</v>
      </c>
      <c r="M432" t="s">
        <v>478</v>
      </c>
      <c r="N432" t="str">
        <f>Tabela_tudo[[#This Row],[Médico]]&amp;" ("&amp;Tabela_tudo[[#This Row],[Obs]]&amp;")"</f>
        <v>BG (REUNIÃO HED)</v>
      </c>
    </row>
    <row r="433" spans="1:14" x14ac:dyDescent="0.3">
      <c r="A433" s="1">
        <v>44951</v>
      </c>
      <c r="B433" t="s">
        <v>23</v>
      </c>
      <c r="C433" t="s">
        <v>53</v>
      </c>
      <c r="D433" s="8">
        <v>0.33333333333333331</v>
      </c>
      <c r="E433" s="8">
        <v>0.5</v>
      </c>
      <c r="F433" t="s">
        <v>461</v>
      </c>
      <c r="L433" t="s">
        <v>563</v>
      </c>
      <c r="M433" t="s">
        <v>478</v>
      </c>
      <c r="N433" t="str">
        <f>Tabela_tudo[[#This Row],[Médico]]&amp;" ("&amp;Tabela_tudo[[#This Row],[Obs]]&amp;")"</f>
        <v>BG (REUNIÃO HED)</v>
      </c>
    </row>
    <row r="434" spans="1:14" x14ac:dyDescent="0.3">
      <c r="A434" s="1">
        <v>44972</v>
      </c>
      <c r="B434" t="s">
        <v>23</v>
      </c>
      <c r="C434" t="s">
        <v>53</v>
      </c>
      <c r="D434" s="8">
        <v>0.33333333333333331</v>
      </c>
      <c r="E434" s="8">
        <v>0.5</v>
      </c>
      <c r="F434" t="s">
        <v>461</v>
      </c>
      <c r="L434" t="s">
        <v>563</v>
      </c>
      <c r="M434" t="s">
        <v>478</v>
      </c>
      <c r="N434" t="str">
        <f>Tabela_tudo[[#This Row],[Médico]]&amp;" ("&amp;Tabela_tudo[[#This Row],[Obs]]&amp;")"</f>
        <v>BG (REUNIÃO HED)</v>
      </c>
    </row>
    <row r="435" spans="1:14" x14ac:dyDescent="0.3">
      <c r="A435" s="1">
        <v>44965</v>
      </c>
      <c r="B435" t="s">
        <v>23</v>
      </c>
      <c r="C435" t="s">
        <v>53</v>
      </c>
      <c r="D435" s="8">
        <v>0.33333333333333331</v>
      </c>
      <c r="E435" s="8">
        <v>0.5</v>
      </c>
      <c r="F435" t="s">
        <v>461</v>
      </c>
      <c r="L435" t="s">
        <v>563</v>
      </c>
      <c r="M435" t="s">
        <v>478</v>
      </c>
      <c r="N435" t="str">
        <f>Tabela_tudo[[#This Row],[Médico]]&amp;" ("&amp;Tabela_tudo[[#This Row],[Obs]]&amp;")"</f>
        <v>BG (REUNIÃO HED)</v>
      </c>
    </row>
    <row r="436" spans="1:14" x14ac:dyDescent="0.3">
      <c r="A436" s="1">
        <v>44958</v>
      </c>
      <c r="B436" t="s">
        <v>23</v>
      </c>
      <c r="C436" t="s">
        <v>53</v>
      </c>
      <c r="D436" s="8">
        <v>0.33333333333333331</v>
      </c>
      <c r="E436" s="8">
        <v>0.5</v>
      </c>
      <c r="F436" t="s">
        <v>461</v>
      </c>
      <c r="L436" t="s">
        <v>563</v>
      </c>
      <c r="M436" t="s">
        <v>478</v>
      </c>
      <c r="N436" t="str">
        <f>Tabela_tudo[[#This Row],[Médico]]&amp;" ("&amp;Tabela_tudo[[#This Row],[Obs]]&amp;")"</f>
        <v>BG (REUNIÃO HED)</v>
      </c>
    </row>
    <row r="437" spans="1:14" x14ac:dyDescent="0.3">
      <c r="A437" s="1">
        <v>45110</v>
      </c>
      <c r="B437" t="s">
        <v>23</v>
      </c>
      <c r="C437" t="s">
        <v>53</v>
      </c>
      <c r="D437" s="8">
        <v>0.54166666666666663</v>
      </c>
      <c r="E437" s="8">
        <v>0.75</v>
      </c>
      <c r="F437" t="s">
        <v>106</v>
      </c>
      <c r="L437" t="s">
        <v>563</v>
      </c>
      <c r="M437" t="s">
        <v>478</v>
      </c>
      <c r="N437" t="str">
        <f>Tabela_tudo[[#This Row],[Médico]]&amp;" ("&amp;Tabela_tudo[[#This Row],[Obs]]&amp;")"</f>
        <v>BG (REUNIÃO UNIMED)</v>
      </c>
    </row>
    <row r="438" spans="1:14" x14ac:dyDescent="0.3">
      <c r="A438" s="1">
        <v>45282</v>
      </c>
      <c r="B438" t="s">
        <v>44</v>
      </c>
      <c r="C438" t="s">
        <v>460</v>
      </c>
      <c r="D438" s="8">
        <v>0.54166666666666663</v>
      </c>
      <c r="E438" s="8">
        <v>0.83333333333333337</v>
      </c>
      <c r="L438" t="s">
        <v>563</v>
      </c>
      <c r="M438" t="s">
        <v>478</v>
      </c>
      <c r="N438" t="str">
        <f>Tabela_tudo[[#This Row],[Médico]]&amp;" ("&amp;Tabela_tudo[[#This Row],[Obs]]&amp;")"</f>
        <v>REI ()</v>
      </c>
    </row>
    <row r="439" spans="1:14" x14ac:dyDescent="0.3">
      <c r="A439" s="1">
        <v>45275</v>
      </c>
      <c r="B439" t="s">
        <v>44</v>
      </c>
      <c r="C439" t="s">
        <v>460</v>
      </c>
      <c r="D439" s="8">
        <v>0.54166666666666663</v>
      </c>
      <c r="E439" s="8">
        <v>0.83333333333333337</v>
      </c>
      <c r="L439" t="s">
        <v>563</v>
      </c>
      <c r="M439" t="s">
        <v>478</v>
      </c>
      <c r="N439" t="str">
        <f>Tabela_tudo[[#This Row],[Médico]]&amp;" ("&amp;Tabela_tudo[[#This Row],[Obs]]&amp;")"</f>
        <v>REI ()</v>
      </c>
    </row>
    <row r="440" spans="1:14" x14ac:dyDescent="0.3">
      <c r="A440" s="1">
        <v>45268</v>
      </c>
      <c r="B440" t="s">
        <v>44</v>
      </c>
      <c r="C440" t="s">
        <v>460</v>
      </c>
      <c r="D440" s="8">
        <v>0.54166666666666663</v>
      </c>
      <c r="E440" s="8">
        <v>0.83333333333333337</v>
      </c>
      <c r="L440" t="s">
        <v>563</v>
      </c>
      <c r="M440" t="s">
        <v>478</v>
      </c>
      <c r="N440" t="str">
        <f>Tabela_tudo[[#This Row],[Médico]]&amp;" ("&amp;Tabela_tudo[[#This Row],[Obs]]&amp;")"</f>
        <v>REI ()</v>
      </c>
    </row>
    <row r="441" spans="1:14" x14ac:dyDescent="0.3">
      <c r="A441" s="1">
        <v>45289</v>
      </c>
      <c r="B441" t="s">
        <v>44</v>
      </c>
      <c r="C441" t="s">
        <v>460</v>
      </c>
      <c r="D441" s="8">
        <v>0.54166666666666663</v>
      </c>
      <c r="E441" s="8">
        <v>0.83333333333333337</v>
      </c>
      <c r="L441" t="s">
        <v>563</v>
      </c>
      <c r="M441" t="s">
        <v>478</v>
      </c>
      <c r="N441" t="str">
        <f>Tabela_tudo[[#This Row],[Médico]]&amp;" ("&amp;Tabela_tudo[[#This Row],[Obs]]&amp;")"</f>
        <v>REI ()</v>
      </c>
    </row>
    <row r="442" spans="1:14" x14ac:dyDescent="0.3">
      <c r="A442" s="1">
        <v>45310</v>
      </c>
      <c r="B442" t="s">
        <v>44</v>
      </c>
      <c r="C442" t="s">
        <v>460</v>
      </c>
      <c r="D442" s="8">
        <v>0.54166666666666663</v>
      </c>
      <c r="E442" s="8">
        <v>0.83333333333333337</v>
      </c>
      <c r="L442" t="s">
        <v>563</v>
      </c>
      <c r="M442" t="s">
        <v>478</v>
      </c>
      <c r="N442" t="str">
        <f>Tabela_tudo[[#This Row],[Médico]]&amp;" ("&amp;Tabela_tudo[[#This Row],[Obs]]&amp;")"</f>
        <v>REI ()</v>
      </c>
    </row>
    <row r="443" spans="1:14" x14ac:dyDescent="0.3">
      <c r="A443" s="1">
        <v>45303</v>
      </c>
      <c r="B443" t="s">
        <v>44</v>
      </c>
      <c r="C443" t="s">
        <v>460</v>
      </c>
      <c r="D443" s="8">
        <v>0.54166666666666663</v>
      </c>
      <c r="E443" s="8">
        <v>0.83333333333333337</v>
      </c>
      <c r="L443" t="s">
        <v>563</v>
      </c>
      <c r="M443" t="s">
        <v>478</v>
      </c>
      <c r="N443" t="str">
        <f>Tabela_tudo[[#This Row],[Médico]]&amp;" ("&amp;Tabela_tudo[[#This Row],[Obs]]&amp;")"</f>
        <v>REI ()</v>
      </c>
    </row>
    <row r="444" spans="1:14" x14ac:dyDescent="0.3">
      <c r="A444" s="1">
        <v>45296</v>
      </c>
      <c r="B444" t="s">
        <v>44</v>
      </c>
      <c r="C444" t="s">
        <v>460</v>
      </c>
      <c r="D444" s="8">
        <v>0.54166666666666663</v>
      </c>
      <c r="E444" s="8">
        <v>0.83333333333333337</v>
      </c>
      <c r="L444" t="s">
        <v>563</v>
      </c>
      <c r="M444" t="s">
        <v>478</v>
      </c>
      <c r="N444" t="str">
        <f>Tabela_tudo[[#This Row],[Médico]]&amp;" ("&amp;Tabela_tudo[[#This Row],[Obs]]&amp;")"</f>
        <v>REI ()</v>
      </c>
    </row>
    <row r="445" spans="1:14" x14ac:dyDescent="0.3">
      <c r="A445" s="1">
        <v>45226</v>
      </c>
      <c r="B445" t="s">
        <v>44</v>
      </c>
      <c r="C445" t="s">
        <v>460</v>
      </c>
      <c r="D445" s="8">
        <v>0.54166666666666663</v>
      </c>
      <c r="E445" s="8">
        <v>0.83333333333333337</v>
      </c>
      <c r="L445" t="s">
        <v>563</v>
      </c>
      <c r="M445" t="s">
        <v>478</v>
      </c>
      <c r="N445" t="str">
        <f>Tabela_tudo[[#This Row],[Médico]]&amp;" ("&amp;Tabela_tudo[[#This Row],[Obs]]&amp;")"</f>
        <v>REI ()</v>
      </c>
    </row>
    <row r="446" spans="1:14" x14ac:dyDescent="0.3">
      <c r="A446" s="1">
        <v>45219</v>
      </c>
      <c r="B446" t="s">
        <v>44</v>
      </c>
      <c r="C446" t="s">
        <v>460</v>
      </c>
      <c r="D446" s="8">
        <v>0.54166666666666663</v>
      </c>
      <c r="E446" s="8">
        <v>0.83333333333333337</v>
      </c>
      <c r="L446" t="s">
        <v>563</v>
      </c>
      <c r="M446" t="s">
        <v>478</v>
      </c>
      <c r="N446" t="str">
        <f>Tabela_tudo[[#This Row],[Médico]]&amp;" ("&amp;Tabela_tudo[[#This Row],[Obs]]&amp;")"</f>
        <v>REI ()</v>
      </c>
    </row>
    <row r="447" spans="1:14" x14ac:dyDescent="0.3">
      <c r="A447" s="1">
        <v>45212</v>
      </c>
      <c r="B447" t="s">
        <v>44</v>
      </c>
      <c r="C447" t="s">
        <v>460</v>
      </c>
      <c r="D447" s="8">
        <v>0.54166666666666663</v>
      </c>
      <c r="E447" s="8">
        <v>0.83333333333333337</v>
      </c>
      <c r="L447" t="s">
        <v>563</v>
      </c>
      <c r="M447" t="s">
        <v>478</v>
      </c>
      <c r="N447" t="str">
        <f>Tabela_tudo[[#This Row],[Médico]]&amp;" ("&amp;Tabela_tudo[[#This Row],[Obs]]&amp;")"</f>
        <v>REI ()</v>
      </c>
    </row>
    <row r="448" spans="1:14" x14ac:dyDescent="0.3">
      <c r="A448" s="1">
        <v>45233</v>
      </c>
      <c r="B448" t="s">
        <v>44</v>
      </c>
      <c r="C448" t="s">
        <v>460</v>
      </c>
      <c r="D448" s="8">
        <v>0.54166666666666663</v>
      </c>
      <c r="E448" s="8">
        <v>0.83333333333333337</v>
      </c>
      <c r="L448" t="s">
        <v>563</v>
      </c>
      <c r="M448" t="s">
        <v>478</v>
      </c>
      <c r="N448" t="str">
        <f>Tabela_tudo[[#This Row],[Médico]]&amp;" ("&amp;Tabela_tudo[[#This Row],[Obs]]&amp;")"</f>
        <v>REI ()</v>
      </c>
    </row>
    <row r="449" spans="1:14" x14ac:dyDescent="0.3">
      <c r="A449" s="1">
        <v>45261</v>
      </c>
      <c r="B449" t="s">
        <v>44</v>
      </c>
      <c r="C449" t="s">
        <v>460</v>
      </c>
      <c r="D449" s="8">
        <v>0.54166666666666663</v>
      </c>
      <c r="E449" s="8">
        <v>0.83333333333333337</v>
      </c>
      <c r="L449" t="s">
        <v>563</v>
      </c>
      <c r="M449" t="s">
        <v>478</v>
      </c>
      <c r="N449" t="str">
        <f>Tabela_tudo[[#This Row],[Médico]]&amp;" ("&amp;Tabela_tudo[[#This Row],[Obs]]&amp;")"</f>
        <v>REI ()</v>
      </c>
    </row>
    <row r="450" spans="1:14" x14ac:dyDescent="0.3">
      <c r="A450" s="1">
        <v>45254</v>
      </c>
      <c r="B450" t="s">
        <v>44</v>
      </c>
      <c r="C450" t="s">
        <v>460</v>
      </c>
      <c r="D450" s="8">
        <v>0.54166666666666663</v>
      </c>
      <c r="E450" s="8">
        <v>0.83333333333333337</v>
      </c>
      <c r="L450" t="s">
        <v>563</v>
      </c>
      <c r="M450" t="s">
        <v>478</v>
      </c>
      <c r="N450" t="str">
        <f>Tabela_tudo[[#This Row],[Médico]]&amp;" ("&amp;Tabela_tudo[[#This Row],[Obs]]&amp;")"</f>
        <v>REI ()</v>
      </c>
    </row>
    <row r="451" spans="1:14" x14ac:dyDescent="0.3">
      <c r="A451" s="1">
        <v>45247</v>
      </c>
      <c r="B451" t="s">
        <v>44</v>
      </c>
      <c r="C451" t="s">
        <v>460</v>
      </c>
      <c r="D451" s="8">
        <v>0.54166666666666663</v>
      </c>
      <c r="E451" s="8">
        <v>0.83333333333333337</v>
      </c>
      <c r="L451" t="s">
        <v>563</v>
      </c>
      <c r="M451" t="s">
        <v>478</v>
      </c>
      <c r="N451" t="str">
        <f>Tabela_tudo[[#This Row],[Médico]]&amp;" ("&amp;Tabela_tudo[[#This Row],[Obs]]&amp;")"</f>
        <v>REI ()</v>
      </c>
    </row>
    <row r="452" spans="1:14" x14ac:dyDescent="0.3">
      <c r="A452" s="1">
        <v>45317</v>
      </c>
      <c r="B452" t="s">
        <v>44</v>
      </c>
      <c r="C452" t="s">
        <v>460</v>
      </c>
      <c r="D452" s="8">
        <v>0.54166666666666663</v>
      </c>
      <c r="E452" s="8">
        <v>0.83333333333333337</v>
      </c>
      <c r="L452" t="s">
        <v>563</v>
      </c>
      <c r="M452" t="s">
        <v>478</v>
      </c>
      <c r="N452" t="str">
        <f>Tabela_tudo[[#This Row],[Médico]]&amp;" ("&amp;Tabela_tudo[[#This Row],[Obs]]&amp;")"</f>
        <v>REI ()</v>
      </c>
    </row>
    <row r="453" spans="1:14" x14ac:dyDescent="0.3">
      <c r="A453" s="1">
        <v>45387</v>
      </c>
      <c r="B453" t="s">
        <v>44</v>
      </c>
      <c r="C453" t="s">
        <v>460</v>
      </c>
      <c r="D453" s="8">
        <v>0.54166666666666663</v>
      </c>
      <c r="E453" s="8">
        <v>0.83333333333333337</v>
      </c>
      <c r="L453" t="s">
        <v>563</v>
      </c>
      <c r="M453" t="s">
        <v>478</v>
      </c>
      <c r="N453" t="str">
        <f>Tabela_tudo[[#This Row],[Médico]]&amp;" ("&amp;Tabela_tudo[[#This Row],[Obs]]&amp;")"</f>
        <v>REI ()</v>
      </c>
    </row>
    <row r="454" spans="1:14" x14ac:dyDescent="0.3">
      <c r="A454" s="1">
        <v>45380</v>
      </c>
      <c r="B454" t="s">
        <v>44</v>
      </c>
      <c r="C454" t="s">
        <v>460</v>
      </c>
      <c r="D454" s="8">
        <v>0.54166666666666663</v>
      </c>
      <c r="E454" s="8">
        <v>0.83333333333333337</v>
      </c>
      <c r="L454" t="s">
        <v>563</v>
      </c>
      <c r="M454" t="s">
        <v>478</v>
      </c>
      <c r="N454" t="str">
        <f>Tabela_tudo[[#This Row],[Médico]]&amp;" ("&amp;Tabela_tudo[[#This Row],[Obs]]&amp;")"</f>
        <v>REI ()</v>
      </c>
    </row>
    <row r="455" spans="1:14" x14ac:dyDescent="0.3">
      <c r="A455" s="1">
        <v>45373</v>
      </c>
      <c r="B455" t="s">
        <v>44</v>
      </c>
      <c r="C455" t="s">
        <v>460</v>
      </c>
      <c r="D455" s="8">
        <v>0.54166666666666663</v>
      </c>
      <c r="E455" s="8">
        <v>0.83333333333333337</v>
      </c>
      <c r="L455" t="s">
        <v>563</v>
      </c>
      <c r="M455" t="s">
        <v>478</v>
      </c>
      <c r="N455" t="str">
        <f>Tabela_tudo[[#This Row],[Médico]]&amp;" ("&amp;Tabela_tudo[[#This Row],[Obs]]&amp;")"</f>
        <v>REI ()</v>
      </c>
    </row>
    <row r="456" spans="1:14" x14ac:dyDescent="0.3">
      <c r="A456" s="1">
        <v>45394</v>
      </c>
      <c r="B456" t="s">
        <v>44</v>
      </c>
      <c r="C456" t="s">
        <v>460</v>
      </c>
      <c r="D456" s="8">
        <v>0.54166666666666663</v>
      </c>
      <c r="E456" s="8">
        <v>0.83333333333333337</v>
      </c>
      <c r="L456" t="s">
        <v>563</v>
      </c>
      <c r="M456" t="s">
        <v>478</v>
      </c>
      <c r="N456" t="str">
        <f>Tabela_tudo[[#This Row],[Médico]]&amp;" ("&amp;Tabela_tudo[[#This Row],[Obs]]&amp;")"</f>
        <v>REI ()</v>
      </c>
    </row>
    <row r="457" spans="1:14" x14ac:dyDescent="0.3">
      <c r="A457" s="1">
        <v>45415</v>
      </c>
      <c r="B457" t="s">
        <v>44</v>
      </c>
      <c r="C457" t="s">
        <v>460</v>
      </c>
      <c r="D457" s="8">
        <v>0.54166666666666663</v>
      </c>
      <c r="E457" s="8">
        <v>0.83333333333333337</v>
      </c>
      <c r="L457" t="s">
        <v>563</v>
      </c>
      <c r="M457" t="s">
        <v>478</v>
      </c>
      <c r="N457" t="str">
        <f>Tabela_tudo[[#This Row],[Médico]]&amp;" ("&amp;Tabela_tudo[[#This Row],[Obs]]&amp;")"</f>
        <v>REI ()</v>
      </c>
    </row>
    <row r="458" spans="1:14" x14ac:dyDescent="0.3">
      <c r="A458" s="1">
        <v>45408</v>
      </c>
      <c r="B458" t="s">
        <v>44</v>
      </c>
      <c r="C458" t="s">
        <v>460</v>
      </c>
      <c r="D458" s="8">
        <v>0.54166666666666663</v>
      </c>
      <c r="E458" s="8">
        <v>0.83333333333333337</v>
      </c>
      <c r="L458" t="s">
        <v>563</v>
      </c>
      <c r="M458" t="s">
        <v>478</v>
      </c>
      <c r="N458" t="str">
        <f>Tabela_tudo[[#This Row],[Médico]]&amp;" ("&amp;Tabela_tudo[[#This Row],[Obs]]&amp;")"</f>
        <v>REI ()</v>
      </c>
    </row>
    <row r="459" spans="1:14" x14ac:dyDescent="0.3">
      <c r="A459" s="1">
        <v>45401</v>
      </c>
      <c r="B459" t="s">
        <v>44</v>
      </c>
      <c r="C459" t="s">
        <v>460</v>
      </c>
      <c r="D459" s="8">
        <v>0.54166666666666663</v>
      </c>
      <c r="E459" s="8">
        <v>0.83333333333333337</v>
      </c>
      <c r="L459" t="s">
        <v>563</v>
      </c>
      <c r="M459" t="s">
        <v>478</v>
      </c>
      <c r="N459" t="str">
        <f>Tabela_tudo[[#This Row],[Médico]]&amp;" ("&amp;Tabela_tudo[[#This Row],[Obs]]&amp;")"</f>
        <v>REI ()</v>
      </c>
    </row>
    <row r="460" spans="1:14" x14ac:dyDescent="0.3">
      <c r="A460" s="1">
        <v>45338</v>
      </c>
      <c r="B460" t="s">
        <v>44</v>
      </c>
      <c r="C460" t="s">
        <v>460</v>
      </c>
      <c r="D460" s="8">
        <v>0.54166666666666663</v>
      </c>
      <c r="E460" s="8">
        <v>0.83333333333333337</v>
      </c>
      <c r="L460" t="s">
        <v>563</v>
      </c>
      <c r="M460" t="s">
        <v>478</v>
      </c>
      <c r="N460" t="str">
        <f>Tabela_tudo[[#This Row],[Médico]]&amp;" ("&amp;Tabela_tudo[[#This Row],[Obs]]&amp;")"</f>
        <v>REI ()</v>
      </c>
    </row>
    <row r="461" spans="1:14" x14ac:dyDescent="0.3">
      <c r="A461" s="1">
        <v>45331</v>
      </c>
      <c r="B461" t="s">
        <v>44</v>
      </c>
      <c r="C461" t="s">
        <v>460</v>
      </c>
      <c r="D461" s="8">
        <v>0.54166666666666663</v>
      </c>
      <c r="E461" s="8">
        <v>0.83333333333333337</v>
      </c>
      <c r="L461" t="s">
        <v>563</v>
      </c>
      <c r="M461" t="s">
        <v>478</v>
      </c>
      <c r="N461" t="str">
        <f>Tabela_tudo[[#This Row],[Médico]]&amp;" ("&amp;Tabela_tudo[[#This Row],[Obs]]&amp;")"</f>
        <v>REI ()</v>
      </c>
    </row>
    <row r="462" spans="1:14" x14ac:dyDescent="0.3">
      <c r="A462" s="1">
        <v>45324</v>
      </c>
      <c r="B462" t="s">
        <v>44</v>
      </c>
      <c r="C462" t="s">
        <v>460</v>
      </c>
      <c r="D462" s="8">
        <v>0.54166666666666663</v>
      </c>
      <c r="E462" s="8">
        <v>0.83333333333333337</v>
      </c>
      <c r="L462" t="s">
        <v>563</v>
      </c>
      <c r="M462" t="s">
        <v>478</v>
      </c>
      <c r="N462" t="str">
        <f>Tabela_tudo[[#This Row],[Médico]]&amp;" ("&amp;Tabela_tudo[[#This Row],[Obs]]&amp;")"</f>
        <v>REI ()</v>
      </c>
    </row>
    <row r="463" spans="1:14" x14ac:dyDescent="0.3">
      <c r="A463" s="1">
        <v>45345</v>
      </c>
      <c r="B463" t="s">
        <v>44</v>
      </c>
      <c r="C463" t="s">
        <v>460</v>
      </c>
      <c r="D463" s="8">
        <v>0.54166666666666663</v>
      </c>
      <c r="E463" s="8">
        <v>0.83333333333333337</v>
      </c>
      <c r="L463" t="s">
        <v>563</v>
      </c>
      <c r="M463" t="s">
        <v>478</v>
      </c>
      <c r="N463" t="str">
        <f>Tabela_tudo[[#This Row],[Médico]]&amp;" ("&amp;Tabela_tudo[[#This Row],[Obs]]&amp;")"</f>
        <v>REI ()</v>
      </c>
    </row>
    <row r="464" spans="1:14" x14ac:dyDescent="0.3">
      <c r="A464" s="1">
        <v>45366</v>
      </c>
      <c r="B464" t="s">
        <v>44</v>
      </c>
      <c r="C464" t="s">
        <v>460</v>
      </c>
      <c r="D464" s="8">
        <v>0.54166666666666663</v>
      </c>
      <c r="E464" s="8">
        <v>0.83333333333333337</v>
      </c>
      <c r="L464" t="s">
        <v>563</v>
      </c>
      <c r="M464" t="s">
        <v>478</v>
      </c>
      <c r="N464" t="str">
        <f>Tabela_tudo[[#This Row],[Médico]]&amp;" ("&amp;Tabela_tudo[[#This Row],[Obs]]&amp;")"</f>
        <v>REI ()</v>
      </c>
    </row>
    <row r="465" spans="1:14" x14ac:dyDescent="0.3">
      <c r="A465" s="1">
        <v>45359</v>
      </c>
      <c r="B465" t="s">
        <v>44</v>
      </c>
      <c r="C465" t="s">
        <v>460</v>
      </c>
      <c r="D465" s="8">
        <v>0.54166666666666663</v>
      </c>
      <c r="E465" s="8">
        <v>0.83333333333333337</v>
      </c>
      <c r="L465" t="s">
        <v>563</v>
      </c>
      <c r="M465" t="s">
        <v>478</v>
      </c>
      <c r="N465" t="str">
        <f>Tabela_tudo[[#This Row],[Médico]]&amp;" ("&amp;Tabela_tudo[[#This Row],[Obs]]&amp;")"</f>
        <v>REI ()</v>
      </c>
    </row>
    <row r="466" spans="1:14" x14ac:dyDescent="0.3">
      <c r="A466" s="1">
        <v>45352</v>
      </c>
      <c r="B466" t="s">
        <v>44</v>
      </c>
      <c r="C466" t="s">
        <v>460</v>
      </c>
      <c r="D466" s="8">
        <v>0.54166666666666663</v>
      </c>
      <c r="E466" s="8">
        <v>0.83333333333333337</v>
      </c>
      <c r="L466" t="s">
        <v>563</v>
      </c>
      <c r="M466" t="s">
        <v>478</v>
      </c>
      <c r="N466" t="str">
        <f>Tabela_tudo[[#This Row],[Médico]]&amp;" ("&amp;Tabela_tudo[[#This Row],[Obs]]&amp;")"</f>
        <v>REI ()</v>
      </c>
    </row>
    <row r="467" spans="1:14" x14ac:dyDescent="0.3">
      <c r="A467" s="1">
        <v>45205</v>
      </c>
      <c r="B467" t="s">
        <v>44</v>
      </c>
      <c r="C467" t="s">
        <v>460</v>
      </c>
      <c r="D467" s="8">
        <v>0.54166666666666663</v>
      </c>
      <c r="E467" s="8">
        <v>0.83333333333333337</v>
      </c>
      <c r="L467" t="s">
        <v>563</v>
      </c>
      <c r="M467" t="s">
        <v>478</v>
      </c>
      <c r="N467" t="str">
        <f>Tabela_tudo[[#This Row],[Médico]]&amp;" ("&amp;Tabela_tudo[[#This Row],[Obs]]&amp;")"</f>
        <v>REI ()</v>
      </c>
    </row>
    <row r="468" spans="1:14" x14ac:dyDescent="0.3">
      <c r="A468" s="1">
        <v>45058</v>
      </c>
      <c r="B468" t="s">
        <v>44</v>
      </c>
      <c r="C468" t="s">
        <v>460</v>
      </c>
      <c r="D468" s="8">
        <v>0.54166666666666663</v>
      </c>
      <c r="E468" s="8">
        <v>0.83333333333333337</v>
      </c>
      <c r="L468" t="s">
        <v>563</v>
      </c>
      <c r="M468" t="s">
        <v>478</v>
      </c>
      <c r="N468" t="str">
        <f>Tabela_tudo[[#This Row],[Médico]]&amp;" ("&amp;Tabela_tudo[[#This Row],[Obs]]&amp;")"</f>
        <v>REI ()</v>
      </c>
    </row>
    <row r="469" spans="1:14" x14ac:dyDescent="0.3">
      <c r="A469" s="1">
        <v>45051</v>
      </c>
      <c r="B469" t="s">
        <v>44</v>
      </c>
      <c r="C469" t="s">
        <v>460</v>
      </c>
      <c r="D469" s="8">
        <v>0.54166666666666663</v>
      </c>
      <c r="E469" s="8">
        <v>0.83333333333333337</v>
      </c>
      <c r="L469" t="s">
        <v>563</v>
      </c>
      <c r="M469" t="s">
        <v>478</v>
      </c>
      <c r="N469" t="str">
        <f>Tabela_tudo[[#This Row],[Médico]]&amp;" ("&amp;Tabela_tudo[[#This Row],[Obs]]&amp;")"</f>
        <v>REI ()</v>
      </c>
    </row>
    <row r="470" spans="1:14" x14ac:dyDescent="0.3">
      <c r="A470" s="1">
        <v>45044</v>
      </c>
      <c r="B470" t="s">
        <v>44</v>
      </c>
      <c r="C470" t="s">
        <v>460</v>
      </c>
      <c r="D470" s="8">
        <v>0.54166666666666663</v>
      </c>
      <c r="E470" s="8">
        <v>0.83333333333333337</v>
      </c>
      <c r="L470" t="s">
        <v>563</v>
      </c>
      <c r="M470" t="s">
        <v>478</v>
      </c>
      <c r="N470" t="str">
        <f>Tabela_tudo[[#This Row],[Médico]]&amp;" ("&amp;Tabela_tudo[[#This Row],[Obs]]&amp;")"</f>
        <v>REI ()</v>
      </c>
    </row>
    <row r="471" spans="1:14" x14ac:dyDescent="0.3">
      <c r="A471" s="1">
        <v>45065</v>
      </c>
      <c r="B471" t="s">
        <v>44</v>
      </c>
      <c r="C471" t="s">
        <v>460</v>
      </c>
      <c r="D471" s="8">
        <v>0.54166666666666663</v>
      </c>
      <c r="E471" s="8">
        <v>0.83333333333333337</v>
      </c>
      <c r="L471" t="s">
        <v>563</v>
      </c>
      <c r="M471" t="s">
        <v>478</v>
      </c>
      <c r="N471" t="str">
        <f>Tabela_tudo[[#This Row],[Médico]]&amp;" ("&amp;Tabela_tudo[[#This Row],[Obs]]&amp;")"</f>
        <v>REI ()</v>
      </c>
    </row>
    <row r="472" spans="1:14" x14ac:dyDescent="0.3">
      <c r="A472" s="1">
        <v>45086</v>
      </c>
      <c r="B472" t="s">
        <v>44</v>
      </c>
      <c r="C472" t="s">
        <v>460</v>
      </c>
      <c r="D472" s="8">
        <v>0.54166666666666663</v>
      </c>
      <c r="E472" s="8">
        <v>0.83333333333333337</v>
      </c>
      <c r="L472" t="s">
        <v>563</v>
      </c>
      <c r="M472" t="s">
        <v>478</v>
      </c>
      <c r="N472" t="str">
        <f>Tabela_tudo[[#This Row],[Médico]]&amp;" ("&amp;Tabela_tudo[[#This Row],[Obs]]&amp;")"</f>
        <v>REI ()</v>
      </c>
    </row>
    <row r="473" spans="1:14" x14ac:dyDescent="0.3">
      <c r="A473" s="1">
        <v>45079</v>
      </c>
      <c r="B473" t="s">
        <v>44</v>
      </c>
      <c r="C473" t="s">
        <v>460</v>
      </c>
      <c r="D473" s="8">
        <v>0.54166666666666663</v>
      </c>
      <c r="E473" s="8">
        <v>0.83333333333333337</v>
      </c>
      <c r="L473" t="s">
        <v>563</v>
      </c>
      <c r="M473" t="s">
        <v>478</v>
      </c>
      <c r="N473" t="str">
        <f>Tabela_tudo[[#This Row],[Médico]]&amp;" ("&amp;Tabela_tudo[[#This Row],[Obs]]&amp;")"</f>
        <v>REI ()</v>
      </c>
    </row>
    <row r="474" spans="1:14" x14ac:dyDescent="0.3">
      <c r="A474" s="1">
        <v>45072</v>
      </c>
      <c r="B474" t="s">
        <v>44</v>
      </c>
      <c r="C474" t="s">
        <v>460</v>
      </c>
      <c r="D474" s="8">
        <v>0.54166666666666663</v>
      </c>
      <c r="E474" s="8">
        <v>0.83333333333333337</v>
      </c>
      <c r="L474" t="s">
        <v>563</v>
      </c>
      <c r="M474" t="s">
        <v>478</v>
      </c>
      <c r="N474" t="str">
        <f>Tabela_tudo[[#This Row],[Médico]]&amp;" ("&amp;Tabela_tudo[[#This Row],[Obs]]&amp;")"</f>
        <v>REI ()</v>
      </c>
    </row>
    <row r="475" spans="1:14" x14ac:dyDescent="0.3">
      <c r="A475" s="1">
        <v>45009</v>
      </c>
      <c r="B475" t="s">
        <v>44</v>
      </c>
      <c r="C475" t="s">
        <v>460</v>
      </c>
      <c r="D475" s="8">
        <v>0.54166666666666663</v>
      </c>
      <c r="E475" s="8">
        <v>0.83333333333333337</v>
      </c>
      <c r="L475" t="s">
        <v>563</v>
      </c>
      <c r="M475" t="s">
        <v>478</v>
      </c>
      <c r="N475" t="str">
        <f>Tabela_tudo[[#This Row],[Médico]]&amp;" ("&amp;Tabela_tudo[[#This Row],[Obs]]&amp;")"</f>
        <v>REI ()</v>
      </c>
    </row>
    <row r="476" spans="1:14" x14ac:dyDescent="0.3">
      <c r="A476" s="1">
        <v>45002</v>
      </c>
      <c r="B476" t="s">
        <v>44</v>
      </c>
      <c r="C476" t="s">
        <v>460</v>
      </c>
      <c r="D476" s="8">
        <v>0.54166666666666663</v>
      </c>
      <c r="E476" s="8">
        <v>0.83333333333333337</v>
      </c>
      <c r="L476" t="s">
        <v>563</v>
      </c>
      <c r="M476" t="s">
        <v>478</v>
      </c>
      <c r="N476" t="str">
        <f>Tabela_tudo[[#This Row],[Médico]]&amp;" ("&amp;Tabela_tudo[[#This Row],[Obs]]&amp;")"</f>
        <v>REI ()</v>
      </c>
    </row>
    <row r="477" spans="1:14" x14ac:dyDescent="0.3">
      <c r="A477" s="1">
        <v>44995</v>
      </c>
      <c r="B477" t="s">
        <v>44</v>
      </c>
      <c r="C477" t="s">
        <v>460</v>
      </c>
      <c r="D477" s="8">
        <v>0.54166666666666663</v>
      </c>
      <c r="E477" s="8">
        <v>0.83333333333333337</v>
      </c>
      <c r="L477" t="s">
        <v>563</v>
      </c>
      <c r="M477" t="s">
        <v>478</v>
      </c>
      <c r="N477" t="str">
        <f>Tabela_tudo[[#This Row],[Médico]]&amp;" ("&amp;Tabela_tudo[[#This Row],[Obs]]&amp;")"</f>
        <v>REI ()</v>
      </c>
    </row>
    <row r="478" spans="1:14" x14ac:dyDescent="0.3">
      <c r="A478" s="1">
        <v>45016</v>
      </c>
      <c r="B478" t="s">
        <v>44</v>
      </c>
      <c r="C478" t="s">
        <v>460</v>
      </c>
      <c r="D478" s="8">
        <v>0.54166666666666663</v>
      </c>
      <c r="E478" s="8">
        <v>0.83333333333333337</v>
      </c>
      <c r="L478" t="s">
        <v>563</v>
      </c>
      <c r="M478" t="s">
        <v>478</v>
      </c>
      <c r="N478" t="str">
        <f>Tabela_tudo[[#This Row],[Médico]]&amp;" ("&amp;Tabela_tudo[[#This Row],[Obs]]&amp;")"</f>
        <v>REI ()</v>
      </c>
    </row>
    <row r="479" spans="1:14" x14ac:dyDescent="0.3">
      <c r="A479" s="1">
        <v>45037</v>
      </c>
      <c r="B479" t="s">
        <v>44</v>
      </c>
      <c r="C479" t="s">
        <v>460</v>
      </c>
      <c r="D479" s="8">
        <v>0.54166666666666663</v>
      </c>
      <c r="E479" s="8">
        <v>0.83333333333333337</v>
      </c>
      <c r="L479" t="s">
        <v>563</v>
      </c>
      <c r="M479" t="s">
        <v>478</v>
      </c>
      <c r="N479" t="str">
        <f>Tabela_tudo[[#This Row],[Médico]]&amp;" ("&amp;Tabela_tudo[[#This Row],[Obs]]&amp;")"</f>
        <v>REI ()</v>
      </c>
    </row>
    <row r="480" spans="1:14" x14ac:dyDescent="0.3">
      <c r="A480" s="1">
        <v>45030</v>
      </c>
      <c r="B480" t="s">
        <v>44</v>
      </c>
      <c r="C480" t="s">
        <v>460</v>
      </c>
      <c r="D480" s="8">
        <v>0.54166666666666663</v>
      </c>
      <c r="E480" s="8">
        <v>0.83333333333333337</v>
      </c>
      <c r="L480" t="s">
        <v>563</v>
      </c>
      <c r="M480" t="s">
        <v>478</v>
      </c>
      <c r="N480" t="str">
        <f>Tabela_tudo[[#This Row],[Médico]]&amp;" ("&amp;Tabela_tudo[[#This Row],[Obs]]&amp;")"</f>
        <v>REI ()</v>
      </c>
    </row>
    <row r="481" spans="1:14" x14ac:dyDescent="0.3">
      <c r="A481" s="1">
        <v>45023</v>
      </c>
      <c r="B481" t="s">
        <v>44</v>
      </c>
      <c r="C481" t="s">
        <v>460</v>
      </c>
      <c r="D481" s="8">
        <v>0.54166666666666663</v>
      </c>
      <c r="E481" s="8">
        <v>0.83333333333333337</v>
      </c>
      <c r="L481" t="s">
        <v>563</v>
      </c>
      <c r="M481" t="s">
        <v>478</v>
      </c>
      <c r="N481" t="str">
        <f>Tabela_tudo[[#This Row],[Médico]]&amp;" ("&amp;Tabela_tudo[[#This Row],[Obs]]&amp;")"</f>
        <v>REI ()</v>
      </c>
    </row>
    <row r="482" spans="1:14" x14ac:dyDescent="0.3">
      <c r="A482" s="1">
        <v>45093</v>
      </c>
      <c r="B482" t="s">
        <v>44</v>
      </c>
      <c r="C482" t="s">
        <v>460</v>
      </c>
      <c r="D482" s="8">
        <v>0.54166666666666663</v>
      </c>
      <c r="E482" s="8">
        <v>0.83333333333333337</v>
      </c>
      <c r="L482" t="s">
        <v>563</v>
      </c>
      <c r="M482" t="s">
        <v>478</v>
      </c>
      <c r="N482" t="str">
        <f>Tabela_tudo[[#This Row],[Médico]]&amp;" ("&amp;Tabela_tudo[[#This Row],[Obs]]&amp;")"</f>
        <v>REI ()</v>
      </c>
    </row>
    <row r="483" spans="1:14" x14ac:dyDescent="0.3">
      <c r="A483" s="1">
        <v>45170</v>
      </c>
      <c r="B483" t="s">
        <v>44</v>
      </c>
      <c r="C483" t="s">
        <v>460</v>
      </c>
      <c r="D483" s="8">
        <v>0.54166666666666663</v>
      </c>
      <c r="E483" s="8">
        <v>0.83333333333333337</v>
      </c>
      <c r="L483" t="s">
        <v>563</v>
      </c>
      <c r="M483" t="s">
        <v>478</v>
      </c>
      <c r="N483" t="str">
        <f>Tabela_tudo[[#This Row],[Médico]]&amp;" ("&amp;Tabela_tudo[[#This Row],[Obs]]&amp;")"</f>
        <v>REI ()</v>
      </c>
    </row>
    <row r="484" spans="1:14" x14ac:dyDescent="0.3">
      <c r="A484" s="1">
        <v>45163</v>
      </c>
      <c r="B484" t="s">
        <v>44</v>
      </c>
      <c r="C484" t="s">
        <v>460</v>
      </c>
      <c r="D484" s="8">
        <v>0.54166666666666663</v>
      </c>
      <c r="E484" s="8">
        <v>0.83333333333333337</v>
      </c>
      <c r="L484" t="s">
        <v>563</v>
      </c>
      <c r="M484" t="s">
        <v>478</v>
      </c>
      <c r="N484" t="str">
        <f>Tabela_tudo[[#This Row],[Médico]]&amp;" ("&amp;Tabela_tudo[[#This Row],[Obs]]&amp;")"</f>
        <v>REI ()</v>
      </c>
    </row>
    <row r="485" spans="1:14" x14ac:dyDescent="0.3">
      <c r="A485" s="1">
        <v>45156</v>
      </c>
      <c r="B485" t="s">
        <v>44</v>
      </c>
      <c r="C485" t="s">
        <v>460</v>
      </c>
      <c r="D485" s="8">
        <v>0.54166666666666663</v>
      </c>
      <c r="E485" s="8">
        <v>0.83333333333333337</v>
      </c>
      <c r="L485" t="s">
        <v>563</v>
      </c>
      <c r="M485" t="s">
        <v>478</v>
      </c>
      <c r="N485" t="str">
        <f>Tabela_tudo[[#This Row],[Médico]]&amp;" ("&amp;Tabela_tudo[[#This Row],[Obs]]&amp;")"</f>
        <v>REI ()</v>
      </c>
    </row>
    <row r="486" spans="1:14" x14ac:dyDescent="0.3">
      <c r="A486" s="1">
        <v>45177</v>
      </c>
      <c r="B486" t="s">
        <v>44</v>
      </c>
      <c r="C486" t="s">
        <v>460</v>
      </c>
      <c r="D486" s="8">
        <v>0.54166666666666663</v>
      </c>
      <c r="E486" s="8">
        <v>0.83333333333333337</v>
      </c>
      <c r="L486" t="s">
        <v>563</v>
      </c>
      <c r="M486" t="s">
        <v>478</v>
      </c>
      <c r="N486" t="str">
        <f>Tabela_tudo[[#This Row],[Médico]]&amp;" ("&amp;Tabela_tudo[[#This Row],[Obs]]&amp;")"</f>
        <v>REI ()</v>
      </c>
    </row>
    <row r="487" spans="1:14" x14ac:dyDescent="0.3">
      <c r="A487" s="1">
        <v>45198</v>
      </c>
      <c r="B487" t="s">
        <v>44</v>
      </c>
      <c r="C487" t="s">
        <v>460</v>
      </c>
      <c r="D487" s="8">
        <v>0.54166666666666663</v>
      </c>
      <c r="E487" s="8">
        <v>0.83333333333333337</v>
      </c>
      <c r="L487" t="s">
        <v>563</v>
      </c>
      <c r="M487" t="s">
        <v>478</v>
      </c>
      <c r="N487" t="str">
        <f>Tabela_tudo[[#This Row],[Médico]]&amp;" ("&amp;Tabela_tudo[[#This Row],[Obs]]&amp;")"</f>
        <v>REI ()</v>
      </c>
    </row>
    <row r="488" spans="1:14" x14ac:dyDescent="0.3">
      <c r="A488" s="1">
        <v>45191</v>
      </c>
      <c r="B488" t="s">
        <v>44</v>
      </c>
      <c r="C488" t="s">
        <v>460</v>
      </c>
      <c r="D488" s="8">
        <v>0.54166666666666663</v>
      </c>
      <c r="E488" s="8">
        <v>0.83333333333333337</v>
      </c>
      <c r="L488" t="s">
        <v>563</v>
      </c>
      <c r="M488" t="s">
        <v>478</v>
      </c>
      <c r="N488" t="str">
        <f>Tabela_tudo[[#This Row],[Médico]]&amp;" ("&amp;Tabela_tudo[[#This Row],[Obs]]&amp;")"</f>
        <v>REI ()</v>
      </c>
    </row>
    <row r="489" spans="1:14" x14ac:dyDescent="0.3">
      <c r="A489" s="1">
        <v>45184</v>
      </c>
      <c r="B489" t="s">
        <v>44</v>
      </c>
      <c r="C489" t="s">
        <v>460</v>
      </c>
      <c r="D489" s="8">
        <v>0.54166666666666663</v>
      </c>
      <c r="E489" s="8">
        <v>0.83333333333333337</v>
      </c>
      <c r="L489" t="s">
        <v>563</v>
      </c>
      <c r="M489" t="s">
        <v>478</v>
      </c>
      <c r="N489" t="str">
        <f>Tabela_tudo[[#This Row],[Médico]]&amp;" ("&amp;Tabela_tudo[[#This Row],[Obs]]&amp;")"</f>
        <v>REI ()</v>
      </c>
    </row>
    <row r="490" spans="1:14" x14ac:dyDescent="0.3">
      <c r="A490" s="1">
        <v>45114</v>
      </c>
      <c r="B490" t="s">
        <v>44</v>
      </c>
      <c r="C490" t="s">
        <v>460</v>
      </c>
      <c r="D490" s="8">
        <v>0.54166666666666663</v>
      </c>
      <c r="E490" s="8">
        <v>0.83333333333333337</v>
      </c>
      <c r="L490" t="s">
        <v>563</v>
      </c>
      <c r="M490" t="s">
        <v>478</v>
      </c>
      <c r="N490" t="str">
        <f>Tabela_tudo[[#This Row],[Médico]]&amp;" ("&amp;Tabela_tudo[[#This Row],[Obs]]&amp;")"</f>
        <v>REI ()</v>
      </c>
    </row>
    <row r="491" spans="1:14" x14ac:dyDescent="0.3">
      <c r="A491" s="1">
        <v>45107</v>
      </c>
      <c r="B491" t="s">
        <v>44</v>
      </c>
      <c r="C491" t="s">
        <v>460</v>
      </c>
      <c r="D491" s="8">
        <v>0.54166666666666663</v>
      </c>
      <c r="E491" s="8">
        <v>0.83333333333333337</v>
      </c>
      <c r="L491" t="s">
        <v>563</v>
      </c>
      <c r="M491" t="s">
        <v>478</v>
      </c>
      <c r="N491" t="str">
        <f>Tabela_tudo[[#This Row],[Médico]]&amp;" ("&amp;Tabela_tudo[[#This Row],[Obs]]&amp;")"</f>
        <v>REI ()</v>
      </c>
    </row>
    <row r="492" spans="1:14" x14ac:dyDescent="0.3">
      <c r="A492" s="1">
        <v>45100</v>
      </c>
      <c r="B492" t="s">
        <v>44</v>
      </c>
      <c r="C492" t="s">
        <v>460</v>
      </c>
      <c r="D492" s="8">
        <v>0.54166666666666663</v>
      </c>
      <c r="E492" s="8">
        <v>0.83333333333333337</v>
      </c>
      <c r="L492" t="s">
        <v>563</v>
      </c>
      <c r="M492" t="s">
        <v>478</v>
      </c>
      <c r="N492" t="str">
        <f>Tabela_tudo[[#This Row],[Médico]]&amp;" ("&amp;Tabela_tudo[[#This Row],[Obs]]&amp;")"</f>
        <v>REI ()</v>
      </c>
    </row>
    <row r="493" spans="1:14" x14ac:dyDescent="0.3">
      <c r="A493" s="1">
        <v>45121</v>
      </c>
      <c r="B493" t="s">
        <v>44</v>
      </c>
      <c r="C493" t="s">
        <v>460</v>
      </c>
      <c r="D493" s="8">
        <v>0.54166666666666663</v>
      </c>
      <c r="E493" s="8">
        <v>0.83333333333333337</v>
      </c>
      <c r="L493" t="s">
        <v>563</v>
      </c>
      <c r="M493" t="s">
        <v>478</v>
      </c>
      <c r="N493" t="str">
        <f>Tabela_tudo[[#This Row],[Médico]]&amp;" ("&amp;Tabela_tudo[[#This Row],[Obs]]&amp;")"</f>
        <v>REI ()</v>
      </c>
    </row>
    <row r="494" spans="1:14" x14ac:dyDescent="0.3">
      <c r="A494" s="1">
        <v>45149</v>
      </c>
      <c r="B494" t="s">
        <v>44</v>
      </c>
      <c r="C494" t="s">
        <v>460</v>
      </c>
      <c r="D494" s="8">
        <v>0.54166666666666663</v>
      </c>
      <c r="E494" s="8">
        <v>0.83333333333333337</v>
      </c>
      <c r="L494" t="s">
        <v>563</v>
      </c>
      <c r="M494" t="s">
        <v>478</v>
      </c>
      <c r="N494" t="str">
        <f>Tabela_tudo[[#This Row],[Médico]]&amp;" ("&amp;Tabela_tudo[[#This Row],[Obs]]&amp;")"</f>
        <v>REI ()</v>
      </c>
    </row>
    <row r="495" spans="1:14" x14ac:dyDescent="0.3">
      <c r="A495" s="1">
        <v>45135</v>
      </c>
      <c r="B495" t="s">
        <v>44</v>
      </c>
      <c r="C495" t="s">
        <v>460</v>
      </c>
      <c r="D495" s="8">
        <v>0.54166666666666663</v>
      </c>
      <c r="E495" s="8">
        <v>0.83333333333333337</v>
      </c>
      <c r="L495" t="s">
        <v>563</v>
      </c>
      <c r="M495" t="s">
        <v>478</v>
      </c>
      <c r="N495" t="str">
        <f>Tabela_tudo[[#This Row],[Médico]]&amp;" ("&amp;Tabela_tudo[[#This Row],[Obs]]&amp;")"</f>
        <v>REI ()</v>
      </c>
    </row>
    <row r="496" spans="1:14" x14ac:dyDescent="0.3">
      <c r="A496" s="1">
        <v>45128</v>
      </c>
      <c r="B496" t="s">
        <v>44</v>
      </c>
      <c r="C496" t="s">
        <v>460</v>
      </c>
      <c r="D496" s="8">
        <v>0.54166666666666663</v>
      </c>
      <c r="E496" s="8">
        <v>0.83333333333333337</v>
      </c>
      <c r="L496" t="s">
        <v>563</v>
      </c>
      <c r="M496" t="s">
        <v>478</v>
      </c>
      <c r="N496" t="str">
        <f>Tabela_tudo[[#This Row],[Médico]]&amp;" ("&amp;Tabela_tudo[[#This Row],[Obs]]&amp;")"</f>
        <v>REI ()</v>
      </c>
    </row>
    <row r="497" spans="1:14" x14ac:dyDescent="0.3">
      <c r="A497" s="1">
        <v>45422</v>
      </c>
      <c r="B497" t="s">
        <v>44</v>
      </c>
      <c r="C497" t="s">
        <v>460</v>
      </c>
      <c r="D497" s="8">
        <v>0.54166666666666663</v>
      </c>
      <c r="E497" s="8">
        <v>0.83333333333333337</v>
      </c>
      <c r="L497" t="s">
        <v>563</v>
      </c>
      <c r="M497" t="s">
        <v>478</v>
      </c>
      <c r="N497" t="str">
        <f>Tabela_tudo[[#This Row],[Médico]]&amp;" ("&amp;Tabela_tudo[[#This Row],[Obs]]&amp;")"</f>
        <v>REI ()</v>
      </c>
    </row>
    <row r="498" spans="1:14" x14ac:dyDescent="0.3">
      <c r="A498" s="1">
        <v>44970</v>
      </c>
      <c r="B498" t="s">
        <v>23</v>
      </c>
      <c r="C498" t="s">
        <v>53</v>
      </c>
      <c r="D498" s="8">
        <v>0.54166666666666663</v>
      </c>
      <c r="E498" s="8">
        <v>0.75</v>
      </c>
      <c r="F498" t="s">
        <v>106</v>
      </c>
      <c r="L498" t="s">
        <v>563</v>
      </c>
      <c r="M498" t="s">
        <v>478</v>
      </c>
      <c r="N498" t="str">
        <f>Tabela_tudo[[#This Row],[Médico]]&amp;" ("&amp;Tabela_tudo[[#This Row],[Obs]]&amp;")"</f>
        <v>BG (REUNIÃO UNIMED)</v>
      </c>
    </row>
    <row r="499" spans="1:14" x14ac:dyDescent="0.3">
      <c r="A499" s="1">
        <v>44963</v>
      </c>
      <c r="B499" t="s">
        <v>23</v>
      </c>
      <c r="C499" t="s">
        <v>53</v>
      </c>
      <c r="D499" s="8">
        <v>0.54166666666666663</v>
      </c>
      <c r="E499" s="8">
        <v>0.75</v>
      </c>
      <c r="F499" t="s">
        <v>106</v>
      </c>
      <c r="L499" t="s">
        <v>563</v>
      </c>
      <c r="M499" t="s">
        <v>478</v>
      </c>
      <c r="N499" t="str">
        <f>Tabela_tudo[[#This Row],[Médico]]&amp;" ("&amp;Tabela_tudo[[#This Row],[Obs]]&amp;")"</f>
        <v>BG (REUNIÃO UNIMED)</v>
      </c>
    </row>
    <row r="500" spans="1:14" x14ac:dyDescent="0.3">
      <c r="A500" s="1">
        <v>44956</v>
      </c>
      <c r="B500" t="s">
        <v>23</v>
      </c>
      <c r="C500" t="s">
        <v>53</v>
      </c>
      <c r="D500" s="8">
        <v>0.54166666666666663</v>
      </c>
      <c r="E500" s="8">
        <v>0.75</v>
      </c>
      <c r="F500" t="s">
        <v>106</v>
      </c>
      <c r="L500" t="s">
        <v>563</v>
      </c>
      <c r="M500" t="s">
        <v>478</v>
      </c>
      <c r="N500" t="str">
        <f>Tabela_tudo[[#This Row],[Médico]]&amp;" ("&amp;Tabela_tudo[[#This Row],[Obs]]&amp;")"</f>
        <v>BG (REUNIÃO UNIMED)</v>
      </c>
    </row>
    <row r="501" spans="1:14" x14ac:dyDescent="0.3">
      <c r="A501" s="1">
        <v>44977</v>
      </c>
      <c r="B501" t="s">
        <v>23</v>
      </c>
      <c r="C501" t="s">
        <v>53</v>
      </c>
      <c r="D501" s="8">
        <v>0.54166666666666663</v>
      </c>
      <c r="E501" s="8">
        <v>0.75</v>
      </c>
      <c r="F501" t="s">
        <v>106</v>
      </c>
      <c r="L501" t="s">
        <v>563</v>
      </c>
      <c r="M501" t="s">
        <v>478</v>
      </c>
      <c r="N501" t="str">
        <f>Tabela_tudo[[#This Row],[Médico]]&amp;" ("&amp;Tabela_tudo[[#This Row],[Obs]]&amp;")"</f>
        <v>BG (REUNIÃO UNIMED)</v>
      </c>
    </row>
    <row r="502" spans="1:14" x14ac:dyDescent="0.3">
      <c r="A502" s="1">
        <v>44998</v>
      </c>
      <c r="B502" t="s">
        <v>23</v>
      </c>
      <c r="C502" t="s">
        <v>53</v>
      </c>
      <c r="D502" s="8">
        <v>0.54166666666666663</v>
      </c>
      <c r="E502" s="8">
        <v>0.75</v>
      </c>
      <c r="F502" t="s">
        <v>106</v>
      </c>
      <c r="L502" t="s">
        <v>563</v>
      </c>
      <c r="M502" t="s">
        <v>478</v>
      </c>
      <c r="N502" t="str">
        <f>Tabela_tudo[[#This Row],[Médico]]&amp;" ("&amp;Tabela_tudo[[#This Row],[Obs]]&amp;")"</f>
        <v>BG (REUNIÃO UNIMED)</v>
      </c>
    </row>
    <row r="503" spans="1:14" x14ac:dyDescent="0.3">
      <c r="A503" s="1">
        <v>44991</v>
      </c>
      <c r="B503" t="s">
        <v>23</v>
      </c>
      <c r="C503" t="s">
        <v>53</v>
      </c>
      <c r="D503" s="8">
        <v>0.54166666666666663</v>
      </c>
      <c r="E503" s="8">
        <v>0.75</v>
      </c>
      <c r="F503" t="s">
        <v>106</v>
      </c>
      <c r="L503" t="s">
        <v>563</v>
      </c>
      <c r="M503" t="s">
        <v>478</v>
      </c>
      <c r="N503" t="str">
        <f>Tabela_tudo[[#This Row],[Médico]]&amp;" ("&amp;Tabela_tudo[[#This Row],[Obs]]&amp;")"</f>
        <v>BG (REUNIÃO UNIMED)</v>
      </c>
    </row>
    <row r="504" spans="1:14" x14ac:dyDescent="0.3">
      <c r="A504" s="1">
        <v>44984</v>
      </c>
      <c r="B504" t="s">
        <v>23</v>
      </c>
      <c r="C504" t="s">
        <v>53</v>
      </c>
      <c r="D504" s="8">
        <v>0.54166666666666663</v>
      </c>
      <c r="E504" s="8">
        <v>0.75</v>
      </c>
      <c r="F504" t="s">
        <v>106</v>
      </c>
      <c r="L504" t="s">
        <v>563</v>
      </c>
      <c r="M504" t="s">
        <v>478</v>
      </c>
      <c r="N504" t="str">
        <f>Tabela_tudo[[#This Row],[Médico]]&amp;" ("&amp;Tabela_tudo[[#This Row],[Obs]]&amp;")"</f>
        <v>BG (REUNIÃO UNIMED)</v>
      </c>
    </row>
    <row r="505" spans="1:14" x14ac:dyDescent="0.3">
      <c r="A505" s="1">
        <v>45653</v>
      </c>
      <c r="B505" t="s">
        <v>44</v>
      </c>
      <c r="C505" t="s">
        <v>460</v>
      </c>
      <c r="D505" s="8">
        <v>0.54166666666666663</v>
      </c>
      <c r="E505" s="8">
        <v>0.83333333333333337</v>
      </c>
      <c r="L505" t="s">
        <v>563</v>
      </c>
      <c r="M505" t="s">
        <v>478</v>
      </c>
      <c r="N505" t="str">
        <f>Tabela_tudo[[#This Row],[Médico]]&amp;" ("&amp;Tabela_tudo[[#This Row],[Obs]]&amp;")"</f>
        <v>REI ()</v>
      </c>
    </row>
    <row r="506" spans="1:14" x14ac:dyDescent="0.3">
      <c r="A506" s="1">
        <v>45646</v>
      </c>
      <c r="B506" t="s">
        <v>44</v>
      </c>
      <c r="C506" t="s">
        <v>460</v>
      </c>
      <c r="D506" s="8">
        <v>0.54166666666666663</v>
      </c>
      <c r="E506" s="8">
        <v>0.83333333333333337</v>
      </c>
      <c r="L506" t="s">
        <v>563</v>
      </c>
      <c r="M506" t="s">
        <v>478</v>
      </c>
      <c r="N506" t="str">
        <f>Tabela_tudo[[#This Row],[Médico]]&amp;" ("&amp;Tabela_tudo[[#This Row],[Obs]]&amp;")"</f>
        <v>REI ()</v>
      </c>
    </row>
    <row r="507" spans="1:14" x14ac:dyDescent="0.3">
      <c r="A507" s="1">
        <v>45639</v>
      </c>
      <c r="B507" t="s">
        <v>44</v>
      </c>
      <c r="C507" t="s">
        <v>460</v>
      </c>
      <c r="D507" s="8">
        <v>0.54166666666666663</v>
      </c>
      <c r="E507" s="8">
        <v>0.83333333333333337</v>
      </c>
      <c r="L507" t="s">
        <v>563</v>
      </c>
      <c r="M507" t="s">
        <v>478</v>
      </c>
      <c r="N507" t="str">
        <f>Tabela_tudo[[#This Row],[Médico]]&amp;" ("&amp;Tabela_tudo[[#This Row],[Obs]]&amp;")"</f>
        <v>REI ()</v>
      </c>
    </row>
    <row r="508" spans="1:14" x14ac:dyDescent="0.3">
      <c r="A508" s="1">
        <v>44928</v>
      </c>
      <c r="B508" t="s">
        <v>23</v>
      </c>
      <c r="C508" t="s">
        <v>53</v>
      </c>
      <c r="D508" s="8">
        <v>0.54166666666666663</v>
      </c>
      <c r="E508" s="8">
        <v>0.75</v>
      </c>
      <c r="F508" t="s">
        <v>106</v>
      </c>
      <c r="L508" t="s">
        <v>563</v>
      </c>
      <c r="M508" t="s">
        <v>478</v>
      </c>
      <c r="N508" t="str">
        <f>Tabela_tudo[[#This Row],[Médico]]&amp;" ("&amp;Tabela_tudo[[#This Row],[Obs]]&amp;")"</f>
        <v>BG (REUNIÃO UNIMED)</v>
      </c>
    </row>
    <row r="509" spans="1:14" x14ac:dyDescent="0.3">
      <c r="A509" s="1">
        <v>44949</v>
      </c>
      <c r="B509" t="s">
        <v>23</v>
      </c>
      <c r="C509" t="s">
        <v>53</v>
      </c>
      <c r="D509" s="8">
        <v>0.54166666666666663</v>
      </c>
      <c r="E509" s="8">
        <v>0.75</v>
      </c>
      <c r="F509" t="s">
        <v>106</v>
      </c>
      <c r="L509" t="s">
        <v>563</v>
      </c>
      <c r="M509" t="s">
        <v>478</v>
      </c>
      <c r="N509" t="str">
        <f>Tabela_tudo[[#This Row],[Médico]]&amp;" ("&amp;Tabela_tudo[[#This Row],[Obs]]&amp;")"</f>
        <v>BG (REUNIÃO UNIMED)</v>
      </c>
    </row>
    <row r="510" spans="1:14" x14ac:dyDescent="0.3">
      <c r="A510" s="1">
        <v>44942</v>
      </c>
      <c r="B510" t="s">
        <v>23</v>
      </c>
      <c r="C510" t="s">
        <v>53</v>
      </c>
      <c r="D510" s="8">
        <v>0.54166666666666663</v>
      </c>
      <c r="E510" s="8">
        <v>0.75</v>
      </c>
      <c r="F510" t="s">
        <v>106</v>
      </c>
      <c r="L510" t="s">
        <v>563</v>
      </c>
      <c r="M510" t="s">
        <v>478</v>
      </c>
      <c r="N510" t="str">
        <f>Tabela_tudo[[#This Row],[Médico]]&amp;" ("&amp;Tabela_tudo[[#This Row],[Obs]]&amp;")"</f>
        <v>BG (REUNIÃO UNIMED)</v>
      </c>
    </row>
    <row r="511" spans="1:14" x14ac:dyDescent="0.3">
      <c r="A511" s="1">
        <v>44935</v>
      </c>
      <c r="B511" t="s">
        <v>23</v>
      </c>
      <c r="C511" t="s">
        <v>53</v>
      </c>
      <c r="D511" s="8">
        <v>0.54166666666666663</v>
      </c>
      <c r="E511" s="8">
        <v>0.75</v>
      </c>
      <c r="F511" t="s">
        <v>106</v>
      </c>
      <c r="L511" t="s">
        <v>563</v>
      </c>
      <c r="M511" t="s">
        <v>478</v>
      </c>
      <c r="N511" t="str">
        <f>Tabela_tudo[[#This Row],[Médico]]&amp;" ("&amp;Tabela_tudo[[#This Row],[Obs]]&amp;")"</f>
        <v>BG (REUNIÃO UNIMED)</v>
      </c>
    </row>
    <row r="512" spans="1:14" x14ac:dyDescent="0.3">
      <c r="A512" s="1">
        <v>45005</v>
      </c>
      <c r="B512" t="s">
        <v>23</v>
      </c>
      <c r="C512" t="s">
        <v>53</v>
      </c>
      <c r="D512" s="8">
        <v>0.54166666666666663</v>
      </c>
      <c r="E512" s="8">
        <v>0.75</v>
      </c>
      <c r="F512" t="s">
        <v>106</v>
      </c>
      <c r="L512" t="s">
        <v>563</v>
      </c>
      <c r="M512" t="s">
        <v>478</v>
      </c>
      <c r="N512" t="str">
        <f>Tabela_tudo[[#This Row],[Médico]]&amp;" ("&amp;Tabela_tudo[[#This Row],[Obs]]&amp;")"</f>
        <v>BG (REUNIÃO UNIMED)</v>
      </c>
    </row>
    <row r="513" spans="1:14" x14ac:dyDescent="0.3">
      <c r="A513" s="1">
        <v>45075</v>
      </c>
      <c r="B513" t="s">
        <v>23</v>
      </c>
      <c r="C513" t="s">
        <v>53</v>
      </c>
      <c r="D513" s="8">
        <v>0.54166666666666663</v>
      </c>
      <c r="E513" s="8">
        <v>0.75</v>
      </c>
      <c r="F513" t="s">
        <v>106</v>
      </c>
      <c r="L513" t="s">
        <v>563</v>
      </c>
      <c r="M513" t="s">
        <v>478</v>
      </c>
      <c r="N513" t="str">
        <f>Tabela_tudo[[#This Row],[Médico]]&amp;" ("&amp;Tabela_tudo[[#This Row],[Obs]]&amp;")"</f>
        <v>BG (REUNIÃO UNIMED)</v>
      </c>
    </row>
    <row r="514" spans="1:14" x14ac:dyDescent="0.3">
      <c r="A514" s="1">
        <v>45068</v>
      </c>
      <c r="B514" t="s">
        <v>23</v>
      </c>
      <c r="C514" t="s">
        <v>53</v>
      </c>
      <c r="D514" s="8">
        <v>0.54166666666666663</v>
      </c>
      <c r="E514" s="8">
        <v>0.75</v>
      </c>
      <c r="F514" t="s">
        <v>106</v>
      </c>
      <c r="L514" t="s">
        <v>563</v>
      </c>
      <c r="M514" t="s">
        <v>478</v>
      </c>
      <c r="N514" t="str">
        <f>Tabela_tudo[[#This Row],[Médico]]&amp;" ("&amp;Tabela_tudo[[#This Row],[Obs]]&amp;")"</f>
        <v>BG (REUNIÃO UNIMED)</v>
      </c>
    </row>
    <row r="515" spans="1:14" x14ac:dyDescent="0.3">
      <c r="A515" s="1">
        <v>45061</v>
      </c>
      <c r="B515" t="s">
        <v>23</v>
      </c>
      <c r="C515" t="s">
        <v>53</v>
      </c>
      <c r="D515" s="8">
        <v>0.54166666666666663</v>
      </c>
      <c r="E515" s="8">
        <v>0.75</v>
      </c>
      <c r="F515" t="s">
        <v>106</v>
      </c>
      <c r="L515" t="s">
        <v>563</v>
      </c>
      <c r="M515" t="s">
        <v>478</v>
      </c>
      <c r="N515" t="str">
        <f>Tabela_tudo[[#This Row],[Médico]]&amp;" ("&amp;Tabela_tudo[[#This Row],[Obs]]&amp;")"</f>
        <v>BG (REUNIÃO UNIMED)</v>
      </c>
    </row>
    <row r="516" spans="1:14" x14ac:dyDescent="0.3">
      <c r="A516" s="1">
        <v>45082</v>
      </c>
      <c r="B516" t="s">
        <v>23</v>
      </c>
      <c r="C516" t="s">
        <v>53</v>
      </c>
      <c r="D516" s="8">
        <v>0.54166666666666663</v>
      </c>
      <c r="E516" s="8">
        <v>0.75</v>
      </c>
      <c r="F516" t="s">
        <v>106</v>
      </c>
      <c r="L516" t="s">
        <v>563</v>
      </c>
      <c r="M516" t="s">
        <v>478</v>
      </c>
      <c r="N516" t="str">
        <f>Tabela_tudo[[#This Row],[Médico]]&amp;" ("&amp;Tabela_tudo[[#This Row],[Obs]]&amp;")"</f>
        <v>BG (REUNIÃO UNIMED)</v>
      </c>
    </row>
    <row r="517" spans="1:14" x14ac:dyDescent="0.3">
      <c r="A517" s="1">
        <v>45103</v>
      </c>
      <c r="B517" t="s">
        <v>23</v>
      </c>
      <c r="C517" t="s">
        <v>53</v>
      </c>
      <c r="D517" s="8">
        <v>0.54166666666666663</v>
      </c>
      <c r="E517" s="8">
        <v>0.75</v>
      </c>
      <c r="F517" t="s">
        <v>106</v>
      </c>
      <c r="L517" t="s">
        <v>563</v>
      </c>
      <c r="M517" t="s">
        <v>478</v>
      </c>
      <c r="N517" t="str">
        <f>Tabela_tudo[[#This Row],[Médico]]&amp;" ("&amp;Tabela_tudo[[#This Row],[Obs]]&amp;")"</f>
        <v>BG (REUNIÃO UNIMED)</v>
      </c>
    </row>
    <row r="518" spans="1:14" x14ac:dyDescent="0.3">
      <c r="A518" s="1">
        <v>45096</v>
      </c>
      <c r="B518" t="s">
        <v>23</v>
      </c>
      <c r="C518" t="s">
        <v>53</v>
      </c>
      <c r="D518" s="8">
        <v>0.54166666666666663</v>
      </c>
      <c r="E518" s="8">
        <v>0.75</v>
      </c>
      <c r="F518" t="s">
        <v>106</v>
      </c>
      <c r="L518" t="s">
        <v>563</v>
      </c>
      <c r="M518" t="s">
        <v>478</v>
      </c>
      <c r="N518" t="str">
        <f>Tabela_tudo[[#This Row],[Médico]]&amp;" ("&amp;Tabela_tudo[[#This Row],[Obs]]&amp;")"</f>
        <v>BG (REUNIÃO UNIMED)</v>
      </c>
    </row>
    <row r="519" spans="1:14" x14ac:dyDescent="0.3">
      <c r="A519" s="1">
        <v>45089</v>
      </c>
      <c r="B519" t="s">
        <v>23</v>
      </c>
      <c r="C519" t="s">
        <v>53</v>
      </c>
      <c r="D519" s="8">
        <v>0.54166666666666663</v>
      </c>
      <c r="E519" s="8">
        <v>0.75</v>
      </c>
      <c r="F519" t="s">
        <v>106</v>
      </c>
      <c r="L519" t="s">
        <v>563</v>
      </c>
      <c r="M519" t="s">
        <v>478</v>
      </c>
      <c r="N519" t="str">
        <f>Tabela_tudo[[#This Row],[Médico]]&amp;" ("&amp;Tabela_tudo[[#This Row],[Obs]]&amp;")"</f>
        <v>BG (REUNIÃO UNIMED)</v>
      </c>
    </row>
    <row r="520" spans="1:14" x14ac:dyDescent="0.3">
      <c r="A520" s="1">
        <v>45026</v>
      </c>
      <c r="B520" t="s">
        <v>23</v>
      </c>
      <c r="C520" t="s">
        <v>53</v>
      </c>
      <c r="D520" s="8">
        <v>0.54166666666666663</v>
      </c>
      <c r="E520" s="8">
        <v>0.75</v>
      </c>
      <c r="F520" t="s">
        <v>106</v>
      </c>
      <c r="L520" t="s">
        <v>563</v>
      </c>
      <c r="M520" t="s">
        <v>478</v>
      </c>
      <c r="N520" t="str">
        <f>Tabela_tudo[[#This Row],[Médico]]&amp;" ("&amp;Tabela_tudo[[#This Row],[Obs]]&amp;")"</f>
        <v>BG (REUNIÃO UNIMED)</v>
      </c>
    </row>
    <row r="521" spans="1:14" x14ac:dyDescent="0.3">
      <c r="A521" s="1">
        <v>45019</v>
      </c>
      <c r="B521" t="s">
        <v>23</v>
      </c>
      <c r="C521" t="s">
        <v>53</v>
      </c>
      <c r="D521" s="8">
        <v>0.54166666666666663</v>
      </c>
      <c r="E521" s="8">
        <v>0.75</v>
      </c>
      <c r="F521" t="s">
        <v>106</v>
      </c>
      <c r="L521" t="s">
        <v>563</v>
      </c>
      <c r="M521" t="s">
        <v>478</v>
      </c>
      <c r="N521" t="str">
        <f>Tabela_tudo[[#This Row],[Médico]]&amp;" ("&amp;Tabela_tudo[[#This Row],[Obs]]&amp;")"</f>
        <v>BG (REUNIÃO UNIMED)</v>
      </c>
    </row>
    <row r="522" spans="1:14" x14ac:dyDescent="0.3">
      <c r="A522" s="1">
        <v>45012</v>
      </c>
      <c r="B522" t="s">
        <v>23</v>
      </c>
      <c r="C522" t="s">
        <v>53</v>
      </c>
      <c r="D522" s="8">
        <v>0.54166666666666663</v>
      </c>
      <c r="E522" s="8">
        <v>0.75</v>
      </c>
      <c r="F522" t="s">
        <v>106</v>
      </c>
      <c r="L522" t="s">
        <v>563</v>
      </c>
      <c r="M522" t="s">
        <v>478</v>
      </c>
      <c r="N522" t="str">
        <f>Tabela_tudo[[#This Row],[Médico]]&amp;" ("&amp;Tabela_tudo[[#This Row],[Obs]]&amp;")"</f>
        <v>BG (REUNIÃO UNIMED)</v>
      </c>
    </row>
    <row r="523" spans="1:14" x14ac:dyDescent="0.3">
      <c r="A523" s="1">
        <v>45033</v>
      </c>
      <c r="B523" t="s">
        <v>23</v>
      </c>
      <c r="C523" t="s">
        <v>53</v>
      </c>
      <c r="D523" s="8">
        <v>0.54166666666666663</v>
      </c>
      <c r="E523" s="8">
        <v>0.75</v>
      </c>
      <c r="F523" t="s">
        <v>106</v>
      </c>
      <c r="L523" t="s">
        <v>563</v>
      </c>
      <c r="M523" t="s">
        <v>478</v>
      </c>
      <c r="N523" t="str">
        <f>Tabela_tudo[[#This Row],[Médico]]&amp;" ("&amp;Tabela_tudo[[#This Row],[Obs]]&amp;")"</f>
        <v>BG (REUNIÃO UNIMED)</v>
      </c>
    </row>
    <row r="524" spans="1:14" x14ac:dyDescent="0.3">
      <c r="A524" s="1">
        <v>45054</v>
      </c>
      <c r="B524" t="s">
        <v>23</v>
      </c>
      <c r="C524" t="s">
        <v>53</v>
      </c>
      <c r="D524" s="8">
        <v>0.54166666666666663</v>
      </c>
      <c r="E524" s="8">
        <v>0.75</v>
      </c>
      <c r="F524" t="s">
        <v>106</v>
      </c>
      <c r="L524" t="s">
        <v>563</v>
      </c>
      <c r="M524" t="s">
        <v>478</v>
      </c>
      <c r="N524" t="str">
        <f>Tabela_tudo[[#This Row],[Médico]]&amp;" ("&amp;Tabela_tudo[[#This Row],[Obs]]&amp;")"</f>
        <v>BG (REUNIÃO UNIMED)</v>
      </c>
    </row>
    <row r="525" spans="1:14" x14ac:dyDescent="0.3">
      <c r="A525" s="1">
        <v>45047</v>
      </c>
      <c r="B525" t="s">
        <v>23</v>
      </c>
      <c r="C525" t="s">
        <v>53</v>
      </c>
      <c r="D525" s="8">
        <v>0.54166666666666663</v>
      </c>
      <c r="E525" s="8">
        <v>0.75</v>
      </c>
      <c r="F525" t="s">
        <v>106</v>
      </c>
      <c r="L525" t="s">
        <v>563</v>
      </c>
      <c r="M525" t="s">
        <v>478</v>
      </c>
      <c r="N525" t="str">
        <f>Tabela_tudo[[#This Row],[Médico]]&amp;" ("&amp;Tabela_tudo[[#This Row],[Obs]]&amp;")"</f>
        <v>BG (REUNIÃO UNIMED)</v>
      </c>
    </row>
    <row r="526" spans="1:14" x14ac:dyDescent="0.3">
      <c r="A526" s="1">
        <v>45040</v>
      </c>
      <c r="B526" t="s">
        <v>23</v>
      </c>
      <c r="C526" t="s">
        <v>53</v>
      </c>
      <c r="D526" s="8">
        <v>0.54166666666666663</v>
      </c>
      <c r="E526" s="8">
        <v>0.75</v>
      </c>
      <c r="F526" t="s">
        <v>106</v>
      </c>
      <c r="L526" t="s">
        <v>563</v>
      </c>
      <c r="M526" t="s">
        <v>478</v>
      </c>
      <c r="N526" t="str">
        <f>Tabela_tudo[[#This Row],[Médico]]&amp;" ("&amp;Tabela_tudo[[#This Row],[Obs]]&amp;")"</f>
        <v>BG (REUNIÃO UNIMED)</v>
      </c>
    </row>
    <row r="527" spans="1:14" x14ac:dyDescent="0.3">
      <c r="A527" s="1">
        <v>45632</v>
      </c>
      <c r="B527" t="s">
        <v>44</v>
      </c>
      <c r="C527" t="s">
        <v>460</v>
      </c>
      <c r="D527" s="8">
        <v>0.54166666666666663</v>
      </c>
      <c r="E527" s="8">
        <v>0.83333333333333337</v>
      </c>
      <c r="L527" t="s">
        <v>563</v>
      </c>
      <c r="M527" t="s">
        <v>478</v>
      </c>
      <c r="N527" t="str">
        <f>Tabela_tudo[[#This Row],[Médico]]&amp;" ("&amp;Tabela_tudo[[#This Row],[Obs]]&amp;")"</f>
        <v>REI ()</v>
      </c>
    </row>
    <row r="528" spans="1:14" x14ac:dyDescent="0.3">
      <c r="A528" s="1">
        <v>45492</v>
      </c>
      <c r="B528" t="s">
        <v>44</v>
      </c>
      <c r="C528" t="s">
        <v>460</v>
      </c>
      <c r="D528" s="8">
        <v>0.54166666666666663</v>
      </c>
      <c r="E528" s="8">
        <v>0.83333333333333337</v>
      </c>
      <c r="L528" t="s">
        <v>563</v>
      </c>
      <c r="M528" t="s">
        <v>478</v>
      </c>
      <c r="N528" t="str">
        <f>Tabela_tudo[[#This Row],[Médico]]&amp;" ("&amp;Tabela_tudo[[#This Row],[Obs]]&amp;")"</f>
        <v>REI ()</v>
      </c>
    </row>
    <row r="529" spans="1:14" x14ac:dyDescent="0.3">
      <c r="A529" s="1">
        <v>45485</v>
      </c>
      <c r="B529" t="s">
        <v>44</v>
      </c>
      <c r="C529" t="s">
        <v>460</v>
      </c>
      <c r="D529" s="8">
        <v>0.54166666666666663</v>
      </c>
      <c r="E529" s="8">
        <v>0.83333333333333337</v>
      </c>
      <c r="L529" t="s">
        <v>563</v>
      </c>
      <c r="M529" t="s">
        <v>478</v>
      </c>
      <c r="N529" t="str">
        <f>Tabela_tudo[[#This Row],[Médico]]&amp;" ("&amp;Tabela_tudo[[#This Row],[Obs]]&amp;")"</f>
        <v>REI ()</v>
      </c>
    </row>
    <row r="530" spans="1:14" x14ac:dyDescent="0.3">
      <c r="A530" s="1">
        <v>45478</v>
      </c>
      <c r="B530" t="s">
        <v>44</v>
      </c>
      <c r="C530" t="s">
        <v>460</v>
      </c>
      <c r="D530" s="8">
        <v>0.54166666666666663</v>
      </c>
      <c r="E530" s="8">
        <v>0.83333333333333337</v>
      </c>
      <c r="L530" t="s">
        <v>563</v>
      </c>
      <c r="M530" t="s">
        <v>478</v>
      </c>
      <c r="N530" t="str">
        <f>Tabela_tudo[[#This Row],[Médico]]&amp;" ("&amp;Tabela_tudo[[#This Row],[Obs]]&amp;")"</f>
        <v>REI ()</v>
      </c>
    </row>
    <row r="531" spans="1:14" x14ac:dyDescent="0.3">
      <c r="A531" s="1">
        <v>45499</v>
      </c>
      <c r="B531" t="s">
        <v>44</v>
      </c>
      <c r="C531" t="s">
        <v>460</v>
      </c>
      <c r="D531" s="8">
        <v>0.54166666666666663</v>
      </c>
      <c r="E531" s="8">
        <v>0.83333333333333337</v>
      </c>
      <c r="L531" t="s">
        <v>563</v>
      </c>
      <c r="M531" t="s">
        <v>478</v>
      </c>
      <c r="N531" t="str">
        <f>Tabela_tudo[[#This Row],[Médico]]&amp;" ("&amp;Tabela_tudo[[#This Row],[Obs]]&amp;")"</f>
        <v>REI ()</v>
      </c>
    </row>
    <row r="532" spans="1:14" x14ac:dyDescent="0.3">
      <c r="A532" s="1">
        <v>45520</v>
      </c>
      <c r="B532" t="s">
        <v>44</v>
      </c>
      <c r="C532" t="s">
        <v>460</v>
      </c>
      <c r="D532" s="8">
        <v>0.54166666666666663</v>
      </c>
      <c r="E532" s="8">
        <v>0.83333333333333337</v>
      </c>
      <c r="L532" t="s">
        <v>563</v>
      </c>
      <c r="M532" t="s">
        <v>478</v>
      </c>
      <c r="N532" t="str">
        <f>Tabela_tudo[[#This Row],[Médico]]&amp;" ("&amp;Tabela_tudo[[#This Row],[Obs]]&amp;")"</f>
        <v>REI ()</v>
      </c>
    </row>
    <row r="533" spans="1:14" x14ac:dyDescent="0.3">
      <c r="A533" s="1">
        <v>45513</v>
      </c>
      <c r="B533" t="s">
        <v>44</v>
      </c>
      <c r="C533" t="s">
        <v>460</v>
      </c>
      <c r="D533" s="8">
        <v>0.54166666666666663</v>
      </c>
      <c r="E533" s="8">
        <v>0.83333333333333337</v>
      </c>
      <c r="L533" t="s">
        <v>563</v>
      </c>
      <c r="M533" t="s">
        <v>478</v>
      </c>
      <c r="N533" t="str">
        <f>Tabela_tudo[[#This Row],[Médico]]&amp;" ("&amp;Tabela_tudo[[#This Row],[Obs]]&amp;")"</f>
        <v>REI ()</v>
      </c>
    </row>
    <row r="534" spans="1:14" x14ac:dyDescent="0.3">
      <c r="A534" s="1">
        <v>45506</v>
      </c>
      <c r="B534" t="s">
        <v>44</v>
      </c>
      <c r="C534" t="s">
        <v>460</v>
      </c>
      <c r="D534" s="8">
        <v>0.54166666666666663</v>
      </c>
      <c r="E534" s="8">
        <v>0.83333333333333337</v>
      </c>
      <c r="L534" t="s">
        <v>563</v>
      </c>
      <c r="M534" t="s">
        <v>478</v>
      </c>
      <c r="N534" t="str">
        <f>Tabela_tudo[[#This Row],[Médico]]&amp;" ("&amp;Tabela_tudo[[#This Row],[Obs]]&amp;")"</f>
        <v>REI ()</v>
      </c>
    </row>
    <row r="535" spans="1:14" x14ac:dyDescent="0.3">
      <c r="A535" s="1">
        <v>45443</v>
      </c>
      <c r="B535" t="s">
        <v>44</v>
      </c>
      <c r="C535" t="s">
        <v>460</v>
      </c>
      <c r="D535" s="8">
        <v>0.54166666666666663</v>
      </c>
      <c r="E535" s="8">
        <v>0.83333333333333337</v>
      </c>
      <c r="L535" t="s">
        <v>563</v>
      </c>
      <c r="M535" t="s">
        <v>478</v>
      </c>
      <c r="N535" t="str">
        <f>Tabela_tudo[[#This Row],[Médico]]&amp;" ("&amp;Tabela_tudo[[#This Row],[Obs]]&amp;")"</f>
        <v>REI ()</v>
      </c>
    </row>
    <row r="536" spans="1:14" x14ac:dyDescent="0.3">
      <c r="A536" s="1">
        <v>45436</v>
      </c>
      <c r="B536" t="s">
        <v>44</v>
      </c>
      <c r="C536" t="s">
        <v>460</v>
      </c>
      <c r="D536" s="8">
        <v>0.54166666666666663</v>
      </c>
      <c r="E536" s="8">
        <v>0.83333333333333337</v>
      </c>
      <c r="L536" t="s">
        <v>563</v>
      </c>
      <c r="M536" t="s">
        <v>478</v>
      </c>
      <c r="N536" t="str">
        <f>Tabela_tudo[[#This Row],[Médico]]&amp;" ("&amp;Tabela_tudo[[#This Row],[Obs]]&amp;")"</f>
        <v>REI ()</v>
      </c>
    </row>
    <row r="537" spans="1:14" x14ac:dyDescent="0.3">
      <c r="A537" s="1">
        <v>45429</v>
      </c>
      <c r="B537" t="s">
        <v>44</v>
      </c>
      <c r="C537" t="s">
        <v>460</v>
      </c>
      <c r="D537" s="8">
        <v>0.54166666666666663</v>
      </c>
      <c r="E537" s="8">
        <v>0.83333333333333337</v>
      </c>
      <c r="L537" t="s">
        <v>563</v>
      </c>
      <c r="M537" t="s">
        <v>478</v>
      </c>
      <c r="N537" t="str">
        <f>Tabela_tudo[[#This Row],[Médico]]&amp;" ("&amp;Tabela_tudo[[#This Row],[Obs]]&amp;")"</f>
        <v>REI ()</v>
      </c>
    </row>
    <row r="538" spans="1:14" x14ac:dyDescent="0.3">
      <c r="A538" s="1">
        <v>45450</v>
      </c>
      <c r="B538" t="s">
        <v>44</v>
      </c>
      <c r="C538" t="s">
        <v>460</v>
      </c>
      <c r="D538" s="8">
        <v>0.54166666666666663</v>
      </c>
      <c r="E538" s="8">
        <v>0.83333333333333337</v>
      </c>
      <c r="L538" t="s">
        <v>563</v>
      </c>
      <c r="M538" t="s">
        <v>478</v>
      </c>
      <c r="N538" t="str">
        <f>Tabela_tudo[[#This Row],[Médico]]&amp;" ("&amp;Tabela_tudo[[#This Row],[Obs]]&amp;")"</f>
        <v>REI ()</v>
      </c>
    </row>
    <row r="539" spans="1:14" x14ac:dyDescent="0.3">
      <c r="A539" s="1">
        <v>45471</v>
      </c>
      <c r="B539" t="s">
        <v>44</v>
      </c>
      <c r="C539" t="s">
        <v>460</v>
      </c>
      <c r="D539" s="8">
        <v>0.54166666666666663</v>
      </c>
      <c r="E539" s="8">
        <v>0.83333333333333337</v>
      </c>
      <c r="L539" t="s">
        <v>563</v>
      </c>
      <c r="M539" t="s">
        <v>478</v>
      </c>
      <c r="N539" t="str">
        <f>Tabela_tudo[[#This Row],[Médico]]&amp;" ("&amp;Tabela_tudo[[#This Row],[Obs]]&amp;")"</f>
        <v>REI ()</v>
      </c>
    </row>
    <row r="540" spans="1:14" x14ac:dyDescent="0.3">
      <c r="A540" s="1">
        <v>45464</v>
      </c>
      <c r="B540" t="s">
        <v>44</v>
      </c>
      <c r="C540" t="s">
        <v>460</v>
      </c>
      <c r="D540" s="8">
        <v>0.54166666666666663</v>
      </c>
      <c r="E540" s="8">
        <v>0.83333333333333337</v>
      </c>
      <c r="L540" t="s">
        <v>563</v>
      </c>
      <c r="M540" t="s">
        <v>478</v>
      </c>
      <c r="N540" t="str">
        <f>Tabela_tudo[[#This Row],[Médico]]&amp;" ("&amp;Tabela_tudo[[#This Row],[Obs]]&amp;")"</f>
        <v>REI ()</v>
      </c>
    </row>
    <row r="541" spans="1:14" x14ac:dyDescent="0.3">
      <c r="A541" s="1">
        <v>45457</v>
      </c>
      <c r="B541" t="s">
        <v>44</v>
      </c>
      <c r="C541" t="s">
        <v>460</v>
      </c>
      <c r="D541" s="8">
        <v>0.54166666666666663</v>
      </c>
      <c r="E541" s="8">
        <v>0.83333333333333337</v>
      </c>
      <c r="L541" t="s">
        <v>563</v>
      </c>
      <c r="M541" t="s">
        <v>478</v>
      </c>
      <c r="N541" t="str">
        <f>Tabela_tudo[[#This Row],[Médico]]&amp;" ("&amp;Tabela_tudo[[#This Row],[Obs]]&amp;")"</f>
        <v>REI ()</v>
      </c>
    </row>
    <row r="542" spans="1:14" x14ac:dyDescent="0.3">
      <c r="A542" s="1">
        <v>45527</v>
      </c>
      <c r="B542" t="s">
        <v>44</v>
      </c>
      <c r="C542" t="s">
        <v>460</v>
      </c>
      <c r="D542" s="8">
        <v>0.54166666666666663</v>
      </c>
      <c r="E542" s="8">
        <v>0.83333333333333337</v>
      </c>
      <c r="L542" t="s">
        <v>563</v>
      </c>
      <c r="M542" t="s">
        <v>478</v>
      </c>
      <c r="N542" t="str">
        <f>Tabela_tudo[[#This Row],[Médico]]&amp;" ("&amp;Tabela_tudo[[#This Row],[Obs]]&amp;")"</f>
        <v>REI ()</v>
      </c>
    </row>
    <row r="543" spans="1:14" x14ac:dyDescent="0.3">
      <c r="A543" s="1">
        <v>45597</v>
      </c>
      <c r="B543" t="s">
        <v>44</v>
      </c>
      <c r="C543" t="s">
        <v>460</v>
      </c>
      <c r="D543" s="8">
        <v>0.54166666666666663</v>
      </c>
      <c r="E543" s="8">
        <v>0.83333333333333337</v>
      </c>
      <c r="L543" t="s">
        <v>563</v>
      </c>
      <c r="M543" t="s">
        <v>478</v>
      </c>
      <c r="N543" t="str">
        <f>Tabela_tudo[[#This Row],[Médico]]&amp;" ("&amp;Tabela_tudo[[#This Row],[Obs]]&amp;")"</f>
        <v>REI ()</v>
      </c>
    </row>
    <row r="544" spans="1:14" x14ac:dyDescent="0.3">
      <c r="A544" s="1">
        <v>45590</v>
      </c>
      <c r="B544" t="s">
        <v>44</v>
      </c>
      <c r="C544" t="s">
        <v>460</v>
      </c>
      <c r="D544" s="8">
        <v>0.54166666666666663</v>
      </c>
      <c r="E544" s="8">
        <v>0.83333333333333337</v>
      </c>
      <c r="L544" t="s">
        <v>563</v>
      </c>
      <c r="M544" t="s">
        <v>478</v>
      </c>
      <c r="N544" t="str">
        <f>Tabela_tudo[[#This Row],[Médico]]&amp;" ("&amp;Tabela_tudo[[#This Row],[Obs]]&amp;")"</f>
        <v>REI ()</v>
      </c>
    </row>
    <row r="545" spans="1:14" x14ac:dyDescent="0.3">
      <c r="A545" s="1">
        <v>45583</v>
      </c>
      <c r="B545" t="s">
        <v>44</v>
      </c>
      <c r="C545" t="s">
        <v>460</v>
      </c>
      <c r="D545" s="8">
        <v>0.54166666666666663</v>
      </c>
      <c r="E545" s="8">
        <v>0.83333333333333337</v>
      </c>
      <c r="L545" t="s">
        <v>563</v>
      </c>
      <c r="M545" t="s">
        <v>478</v>
      </c>
      <c r="N545" t="str">
        <f>Tabela_tudo[[#This Row],[Médico]]&amp;" ("&amp;Tabela_tudo[[#This Row],[Obs]]&amp;")"</f>
        <v>REI ()</v>
      </c>
    </row>
    <row r="546" spans="1:14" x14ac:dyDescent="0.3">
      <c r="A546" s="1">
        <v>45604</v>
      </c>
      <c r="B546" t="s">
        <v>44</v>
      </c>
      <c r="C546" t="s">
        <v>460</v>
      </c>
      <c r="D546" s="8">
        <v>0.54166666666666663</v>
      </c>
      <c r="E546" s="8">
        <v>0.83333333333333337</v>
      </c>
      <c r="L546" t="s">
        <v>563</v>
      </c>
      <c r="M546" t="s">
        <v>478</v>
      </c>
      <c r="N546" t="str">
        <f>Tabela_tudo[[#This Row],[Médico]]&amp;" ("&amp;Tabela_tudo[[#This Row],[Obs]]&amp;")"</f>
        <v>REI ()</v>
      </c>
    </row>
    <row r="547" spans="1:14" x14ac:dyDescent="0.3">
      <c r="A547" s="1">
        <v>45625</v>
      </c>
      <c r="B547" t="s">
        <v>44</v>
      </c>
      <c r="C547" t="s">
        <v>460</v>
      </c>
      <c r="D547" s="8">
        <v>0.54166666666666663</v>
      </c>
      <c r="E547" s="8">
        <v>0.83333333333333337</v>
      </c>
      <c r="L547" t="s">
        <v>563</v>
      </c>
      <c r="M547" t="s">
        <v>478</v>
      </c>
      <c r="N547" t="str">
        <f>Tabela_tudo[[#This Row],[Médico]]&amp;" ("&amp;Tabela_tudo[[#This Row],[Obs]]&amp;")"</f>
        <v>REI ()</v>
      </c>
    </row>
    <row r="548" spans="1:14" x14ac:dyDescent="0.3">
      <c r="A548" s="1">
        <v>45618</v>
      </c>
      <c r="B548" t="s">
        <v>44</v>
      </c>
      <c r="C548" t="s">
        <v>460</v>
      </c>
      <c r="D548" s="8">
        <v>0.54166666666666663</v>
      </c>
      <c r="E548" s="8">
        <v>0.83333333333333337</v>
      </c>
      <c r="L548" t="s">
        <v>563</v>
      </c>
      <c r="M548" t="s">
        <v>478</v>
      </c>
      <c r="N548" t="str">
        <f>Tabela_tudo[[#This Row],[Médico]]&amp;" ("&amp;Tabela_tudo[[#This Row],[Obs]]&amp;")"</f>
        <v>REI ()</v>
      </c>
    </row>
    <row r="549" spans="1:14" x14ac:dyDescent="0.3">
      <c r="A549" s="1">
        <v>45611</v>
      </c>
      <c r="B549" t="s">
        <v>44</v>
      </c>
      <c r="C549" t="s">
        <v>460</v>
      </c>
      <c r="D549" s="8">
        <v>0.54166666666666663</v>
      </c>
      <c r="E549" s="8">
        <v>0.83333333333333337</v>
      </c>
      <c r="L549" t="s">
        <v>563</v>
      </c>
      <c r="M549" t="s">
        <v>478</v>
      </c>
      <c r="N549" t="str">
        <f>Tabela_tudo[[#This Row],[Médico]]&amp;" ("&amp;Tabela_tudo[[#This Row],[Obs]]&amp;")"</f>
        <v>REI ()</v>
      </c>
    </row>
    <row r="550" spans="1:14" x14ac:dyDescent="0.3">
      <c r="A550" s="1">
        <v>45548</v>
      </c>
      <c r="B550" t="s">
        <v>44</v>
      </c>
      <c r="C550" t="s">
        <v>460</v>
      </c>
      <c r="D550" s="8">
        <v>0.54166666666666663</v>
      </c>
      <c r="E550" s="8">
        <v>0.83333333333333337</v>
      </c>
      <c r="L550" t="s">
        <v>563</v>
      </c>
      <c r="M550" t="s">
        <v>478</v>
      </c>
      <c r="N550" t="str">
        <f>Tabela_tudo[[#This Row],[Médico]]&amp;" ("&amp;Tabela_tudo[[#This Row],[Obs]]&amp;")"</f>
        <v>REI ()</v>
      </c>
    </row>
    <row r="551" spans="1:14" x14ac:dyDescent="0.3">
      <c r="A551" s="1">
        <v>45541</v>
      </c>
      <c r="B551" t="s">
        <v>44</v>
      </c>
      <c r="C551" t="s">
        <v>460</v>
      </c>
      <c r="D551" s="8">
        <v>0.54166666666666663</v>
      </c>
      <c r="E551" s="8">
        <v>0.83333333333333337</v>
      </c>
      <c r="L551" t="s">
        <v>563</v>
      </c>
      <c r="M551" t="s">
        <v>478</v>
      </c>
      <c r="N551" t="str">
        <f>Tabela_tudo[[#This Row],[Médico]]&amp;" ("&amp;Tabela_tudo[[#This Row],[Obs]]&amp;")"</f>
        <v>REI ()</v>
      </c>
    </row>
    <row r="552" spans="1:14" x14ac:dyDescent="0.3">
      <c r="A552" s="1">
        <v>45534</v>
      </c>
      <c r="B552" t="s">
        <v>44</v>
      </c>
      <c r="C552" t="s">
        <v>460</v>
      </c>
      <c r="D552" s="8">
        <v>0.54166666666666663</v>
      </c>
      <c r="E552" s="8">
        <v>0.83333333333333337</v>
      </c>
      <c r="L552" t="s">
        <v>563</v>
      </c>
      <c r="M552" t="s">
        <v>478</v>
      </c>
      <c r="N552" t="str">
        <f>Tabela_tudo[[#This Row],[Médico]]&amp;" ("&amp;Tabela_tudo[[#This Row],[Obs]]&amp;")"</f>
        <v>REI ()</v>
      </c>
    </row>
    <row r="553" spans="1:14" x14ac:dyDescent="0.3">
      <c r="A553" s="1">
        <v>45555</v>
      </c>
      <c r="B553" t="s">
        <v>44</v>
      </c>
      <c r="C553" t="s">
        <v>460</v>
      </c>
      <c r="D553" s="8">
        <v>0.54166666666666663</v>
      </c>
      <c r="E553" s="8">
        <v>0.83333333333333337</v>
      </c>
      <c r="L553" t="s">
        <v>563</v>
      </c>
      <c r="M553" t="s">
        <v>478</v>
      </c>
      <c r="N553" t="str">
        <f>Tabela_tudo[[#This Row],[Médico]]&amp;" ("&amp;Tabela_tudo[[#This Row],[Obs]]&amp;")"</f>
        <v>REI ()</v>
      </c>
    </row>
    <row r="554" spans="1:14" x14ac:dyDescent="0.3">
      <c r="A554" s="1">
        <v>45576</v>
      </c>
      <c r="B554" t="s">
        <v>44</v>
      </c>
      <c r="C554" t="s">
        <v>460</v>
      </c>
      <c r="D554" s="8">
        <v>0.54166666666666663</v>
      </c>
      <c r="E554" s="8">
        <v>0.83333333333333337</v>
      </c>
      <c r="L554" t="s">
        <v>563</v>
      </c>
      <c r="M554" t="s">
        <v>478</v>
      </c>
      <c r="N554" t="str">
        <f>Tabela_tudo[[#This Row],[Médico]]&amp;" ("&amp;Tabela_tudo[[#This Row],[Obs]]&amp;")"</f>
        <v>REI ()</v>
      </c>
    </row>
    <row r="555" spans="1:14" x14ac:dyDescent="0.3">
      <c r="A555" s="1">
        <v>45569</v>
      </c>
      <c r="B555" t="s">
        <v>44</v>
      </c>
      <c r="C555" t="s">
        <v>460</v>
      </c>
      <c r="D555" s="8">
        <v>0.54166666666666663</v>
      </c>
      <c r="E555" s="8">
        <v>0.83333333333333337</v>
      </c>
      <c r="L555" t="s">
        <v>563</v>
      </c>
      <c r="M555" t="s">
        <v>478</v>
      </c>
      <c r="N555" t="str">
        <f>Tabela_tudo[[#This Row],[Médico]]&amp;" ("&amp;Tabela_tudo[[#This Row],[Obs]]&amp;")"</f>
        <v>REI ()</v>
      </c>
    </row>
    <row r="556" spans="1:14" x14ac:dyDescent="0.3">
      <c r="A556" s="1">
        <v>45562</v>
      </c>
      <c r="B556" t="s">
        <v>44</v>
      </c>
      <c r="C556" t="s">
        <v>460</v>
      </c>
      <c r="D556" s="8">
        <v>0.54166666666666663</v>
      </c>
      <c r="E556" s="8">
        <v>0.83333333333333337</v>
      </c>
      <c r="L556" t="s">
        <v>563</v>
      </c>
      <c r="M556" t="s">
        <v>478</v>
      </c>
      <c r="N556" t="str">
        <f>Tabela_tudo[[#This Row],[Médico]]&amp;" ("&amp;Tabela_tudo[[#This Row],[Obs]]&amp;")"</f>
        <v>REI ()</v>
      </c>
    </row>
    <row r="557" spans="1:14" x14ac:dyDescent="0.3">
      <c r="A557" s="1">
        <v>45631</v>
      </c>
      <c r="B557" t="s">
        <v>47</v>
      </c>
      <c r="C557" t="s">
        <v>24</v>
      </c>
      <c r="D557" s="8">
        <v>0.29166666666666669</v>
      </c>
      <c r="E557" s="8">
        <v>0.91666666666666663</v>
      </c>
      <c r="F557" t="s">
        <v>462</v>
      </c>
      <c r="L557" t="s">
        <v>563</v>
      </c>
      <c r="M557" t="s">
        <v>478</v>
      </c>
      <c r="N557" t="str">
        <f>Tabela_tudo[[#This Row],[Médico]]&amp;" ("&amp;Tabela_tudo[[#This Row],[Obs]]&amp;")"</f>
        <v>VIN (HED ALUNOS O DIA INTEIRO)</v>
      </c>
    </row>
    <row r="558" spans="1:14" x14ac:dyDescent="0.3">
      <c r="A558" s="1">
        <v>45624</v>
      </c>
      <c r="B558" t="s">
        <v>47</v>
      </c>
      <c r="C558" t="s">
        <v>24</v>
      </c>
      <c r="D558" s="8">
        <v>0.29166666666666669</v>
      </c>
      <c r="E558" s="8">
        <v>0.91666666666666663</v>
      </c>
      <c r="F558" t="s">
        <v>462</v>
      </c>
      <c r="L558" t="s">
        <v>563</v>
      </c>
      <c r="M558" t="s">
        <v>478</v>
      </c>
      <c r="N558" t="str">
        <f>Tabela_tudo[[#This Row],[Médico]]&amp;" ("&amp;Tabela_tudo[[#This Row],[Obs]]&amp;")"</f>
        <v>VIN (HED ALUNOS O DIA INTEIRO)</v>
      </c>
    </row>
    <row r="559" spans="1:14" x14ac:dyDescent="0.3">
      <c r="A559" s="1">
        <v>45617</v>
      </c>
      <c r="B559" t="s">
        <v>47</v>
      </c>
      <c r="C559" t="s">
        <v>24</v>
      </c>
      <c r="D559" s="8">
        <v>0.29166666666666669</v>
      </c>
      <c r="E559" s="8">
        <v>0.91666666666666663</v>
      </c>
      <c r="F559" t="s">
        <v>462</v>
      </c>
      <c r="L559" t="s">
        <v>563</v>
      </c>
      <c r="M559" t="s">
        <v>478</v>
      </c>
      <c r="N559" t="str">
        <f>Tabela_tudo[[#This Row],[Médico]]&amp;" ("&amp;Tabela_tudo[[#This Row],[Obs]]&amp;")"</f>
        <v>VIN (HED ALUNOS O DIA INTEIRO)</v>
      </c>
    </row>
    <row r="560" spans="1:14" x14ac:dyDescent="0.3">
      <c r="A560" s="1">
        <v>45638</v>
      </c>
      <c r="B560" t="s">
        <v>47</v>
      </c>
      <c r="C560" t="s">
        <v>24</v>
      </c>
      <c r="D560" s="8">
        <v>0.29166666666666669</v>
      </c>
      <c r="E560" s="8">
        <v>0.91666666666666663</v>
      </c>
      <c r="F560" t="s">
        <v>462</v>
      </c>
      <c r="L560" t="s">
        <v>563</v>
      </c>
      <c r="M560" t="s">
        <v>478</v>
      </c>
      <c r="N560" t="str">
        <f>Tabela_tudo[[#This Row],[Médico]]&amp;" ("&amp;Tabela_tudo[[#This Row],[Obs]]&amp;")"</f>
        <v>VIN (HED ALUNOS O DIA INTEIRO)</v>
      </c>
    </row>
    <row r="561" spans="1:14" x14ac:dyDescent="0.3">
      <c r="A561" s="1">
        <v>44929</v>
      </c>
      <c r="B561" t="s">
        <v>20</v>
      </c>
      <c r="C561" t="s">
        <v>463</v>
      </c>
      <c r="D561" s="8">
        <v>0.75</v>
      </c>
      <c r="E561" s="8">
        <v>0.79166666666666663</v>
      </c>
      <c r="L561" t="s">
        <v>563</v>
      </c>
      <c r="M561" t="s">
        <v>478</v>
      </c>
      <c r="N561" t="str">
        <f>Tabela_tudo[[#This Row],[Médico]]&amp;" ("&amp;Tabela_tudo[[#This Row],[Obs]]&amp;")"</f>
        <v>ROB ()</v>
      </c>
    </row>
    <row r="562" spans="1:14" x14ac:dyDescent="0.3">
      <c r="A562" s="1">
        <v>45652</v>
      </c>
      <c r="B562" t="s">
        <v>47</v>
      </c>
      <c r="C562" t="s">
        <v>24</v>
      </c>
      <c r="D562" s="8">
        <v>0.29166666666666669</v>
      </c>
      <c r="E562" s="8">
        <v>0.91666666666666663</v>
      </c>
      <c r="F562" t="s">
        <v>462</v>
      </c>
      <c r="L562" t="s">
        <v>563</v>
      </c>
      <c r="M562" t="s">
        <v>478</v>
      </c>
      <c r="N562" t="str">
        <f>Tabela_tudo[[#This Row],[Médico]]&amp;" ("&amp;Tabela_tudo[[#This Row],[Obs]]&amp;")"</f>
        <v>VIN (HED ALUNOS O DIA INTEIRO)</v>
      </c>
    </row>
    <row r="563" spans="1:14" x14ac:dyDescent="0.3">
      <c r="A563" s="1">
        <v>45645</v>
      </c>
      <c r="B563" t="s">
        <v>47</v>
      </c>
      <c r="C563" t="s">
        <v>24</v>
      </c>
      <c r="D563" s="8">
        <v>0.29166666666666669</v>
      </c>
      <c r="E563" s="8">
        <v>0.91666666666666663</v>
      </c>
      <c r="F563" t="s">
        <v>462</v>
      </c>
      <c r="L563" t="s">
        <v>563</v>
      </c>
      <c r="M563" t="s">
        <v>478</v>
      </c>
      <c r="N563" t="str">
        <f>Tabela_tudo[[#This Row],[Médico]]&amp;" ("&amp;Tabela_tudo[[#This Row],[Obs]]&amp;")"</f>
        <v>VIN (HED ALUNOS O DIA INTEIRO)</v>
      </c>
    </row>
    <row r="564" spans="1:14" x14ac:dyDescent="0.3">
      <c r="A564" s="1">
        <v>45582</v>
      </c>
      <c r="B564" t="s">
        <v>47</v>
      </c>
      <c r="C564" t="s">
        <v>24</v>
      </c>
      <c r="D564" s="8">
        <v>0.29166666666666669</v>
      </c>
      <c r="E564" s="8">
        <v>0.91666666666666663</v>
      </c>
      <c r="F564" t="s">
        <v>462</v>
      </c>
      <c r="L564" t="s">
        <v>563</v>
      </c>
      <c r="M564" t="s">
        <v>478</v>
      </c>
      <c r="N564" t="str">
        <f>Tabela_tudo[[#This Row],[Médico]]&amp;" ("&amp;Tabela_tudo[[#This Row],[Obs]]&amp;")"</f>
        <v>VIN (HED ALUNOS O DIA INTEIRO)</v>
      </c>
    </row>
    <row r="565" spans="1:14" x14ac:dyDescent="0.3">
      <c r="A565" s="1">
        <v>45575</v>
      </c>
      <c r="B565" t="s">
        <v>47</v>
      </c>
      <c r="C565" t="s">
        <v>24</v>
      </c>
      <c r="D565" s="8">
        <v>0.29166666666666669</v>
      </c>
      <c r="E565" s="8">
        <v>0.91666666666666663</v>
      </c>
      <c r="F565" t="s">
        <v>462</v>
      </c>
      <c r="L565" t="s">
        <v>563</v>
      </c>
      <c r="M565" t="s">
        <v>478</v>
      </c>
      <c r="N565" t="str">
        <f>Tabela_tudo[[#This Row],[Médico]]&amp;" ("&amp;Tabela_tudo[[#This Row],[Obs]]&amp;")"</f>
        <v>VIN (HED ALUNOS O DIA INTEIRO)</v>
      </c>
    </row>
    <row r="566" spans="1:14" x14ac:dyDescent="0.3">
      <c r="A566" s="1">
        <v>45568</v>
      </c>
      <c r="B566" t="s">
        <v>47</v>
      </c>
      <c r="C566" t="s">
        <v>24</v>
      </c>
      <c r="D566" s="8">
        <v>0.29166666666666669</v>
      </c>
      <c r="E566" s="8">
        <v>0.91666666666666663</v>
      </c>
      <c r="F566" t="s">
        <v>462</v>
      </c>
      <c r="L566" t="s">
        <v>563</v>
      </c>
      <c r="M566" t="s">
        <v>478</v>
      </c>
      <c r="N566" t="str">
        <f>Tabela_tudo[[#This Row],[Médico]]&amp;" ("&amp;Tabela_tudo[[#This Row],[Obs]]&amp;")"</f>
        <v>VIN (HED ALUNOS O DIA INTEIRO)</v>
      </c>
    </row>
    <row r="567" spans="1:14" x14ac:dyDescent="0.3">
      <c r="A567" s="1">
        <v>45589</v>
      </c>
      <c r="B567" t="s">
        <v>47</v>
      </c>
      <c r="C567" t="s">
        <v>24</v>
      </c>
      <c r="D567" s="8">
        <v>0.29166666666666669</v>
      </c>
      <c r="E567" s="8">
        <v>0.91666666666666663</v>
      </c>
      <c r="F567" t="s">
        <v>462</v>
      </c>
      <c r="L567" t="s">
        <v>563</v>
      </c>
      <c r="M567" t="s">
        <v>478</v>
      </c>
      <c r="N567" t="str">
        <f>Tabela_tudo[[#This Row],[Médico]]&amp;" ("&amp;Tabela_tudo[[#This Row],[Obs]]&amp;")"</f>
        <v>VIN (HED ALUNOS O DIA INTEIRO)</v>
      </c>
    </row>
    <row r="568" spans="1:14" x14ac:dyDescent="0.3">
      <c r="A568" s="1">
        <v>45610</v>
      </c>
      <c r="B568" t="s">
        <v>47</v>
      </c>
      <c r="C568" t="s">
        <v>24</v>
      </c>
      <c r="D568" s="8">
        <v>0.29166666666666669</v>
      </c>
      <c r="E568" s="8">
        <v>0.91666666666666663</v>
      </c>
      <c r="F568" t="s">
        <v>462</v>
      </c>
      <c r="L568" t="s">
        <v>563</v>
      </c>
      <c r="M568" t="s">
        <v>478</v>
      </c>
      <c r="N568" t="str">
        <f>Tabela_tudo[[#This Row],[Médico]]&amp;" ("&amp;Tabela_tudo[[#This Row],[Obs]]&amp;")"</f>
        <v>VIN (HED ALUNOS O DIA INTEIRO)</v>
      </c>
    </row>
    <row r="569" spans="1:14" x14ac:dyDescent="0.3">
      <c r="A569" s="1">
        <v>45603</v>
      </c>
      <c r="B569" t="s">
        <v>47</v>
      </c>
      <c r="C569" t="s">
        <v>24</v>
      </c>
      <c r="D569" s="8">
        <v>0.29166666666666669</v>
      </c>
      <c r="E569" s="8">
        <v>0.91666666666666663</v>
      </c>
      <c r="F569" t="s">
        <v>462</v>
      </c>
      <c r="L569" t="s">
        <v>563</v>
      </c>
      <c r="M569" t="s">
        <v>478</v>
      </c>
      <c r="N569" t="str">
        <f>Tabela_tudo[[#This Row],[Médico]]&amp;" ("&amp;Tabela_tudo[[#This Row],[Obs]]&amp;")"</f>
        <v>VIN (HED ALUNOS O DIA INTEIRO)</v>
      </c>
    </row>
    <row r="570" spans="1:14" x14ac:dyDescent="0.3">
      <c r="A570" s="1">
        <v>45596</v>
      </c>
      <c r="B570" t="s">
        <v>47</v>
      </c>
      <c r="C570" t="s">
        <v>24</v>
      </c>
      <c r="D570" s="8">
        <v>0.29166666666666669</v>
      </c>
      <c r="E570" s="8">
        <v>0.91666666666666663</v>
      </c>
      <c r="F570" t="s">
        <v>462</v>
      </c>
      <c r="L570" t="s">
        <v>563</v>
      </c>
      <c r="M570" t="s">
        <v>478</v>
      </c>
      <c r="N570" t="str">
        <f>Tabela_tudo[[#This Row],[Médico]]&amp;" ("&amp;Tabela_tudo[[#This Row],[Obs]]&amp;")"</f>
        <v>VIN (HED ALUNOS O DIA INTEIRO)</v>
      </c>
    </row>
    <row r="571" spans="1:14" x14ac:dyDescent="0.3">
      <c r="A571" s="1">
        <v>44936</v>
      </c>
      <c r="B571" t="s">
        <v>20</v>
      </c>
      <c r="C571" t="s">
        <v>463</v>
      </c>
      <c r="D571" s="8">
        <v>0.75</v>
      </c>
      <c r="E571" s="8">
        <v>0.79166666666666663</v>
      </c>
      <c r="L571" t="s">
        <v>563</v>
      </c>
      <c r="M571" t="s">
        <v>478</v>
      </c>
      <c r="N571" t="str">
        <f>Tabela_tudo[[#This Row],[Médico]]&amp;" ("&amp;Tabela_tudo[[#This Row],[Obs]]&amp;")"</f>
        <v>ROB ()</v>
      </c>
    </row>
    <row r="572" spans="1:14" x14ac:dyDescent="0.3">
      <c r="A572" s="1">
        <v>45006</v>
      </c>
      <c r="B572" t="s">
        <v>20</v>
      </c>
      <c r="C572" t="s">
        <v>463</v>
      </c>
      <c r="D572" s="8">
        <v>0.75</v>
      </c>
      <c r="E572" s="8">
        <v>0.79166666666666663</v>
      </c>
      <c r="L572" t="s">
        <v>563</v>
      </c>
      <c r="M572" t="s">
        <v>478</v>
      </c>
      <c r="N572" t="str">
        <f>Tabela_tudo[[#This Row],[Médico]]&amp;" ("&amp;Tabela_tudo[[#This Row],[Obs]]&amp;")"</f>
        <v>ROB ()</v>
      </c>
    </row>
    <row r="573" spans="1:14" x14ac:dyDescent="0.3">
      <c r="A573" s="1">
        <v>44999</v>
      </c>
      <c r="B573" t="s">
        <v>20</v>
      </c>
      <c r="C573" t="s">
        <v>463</v>
      </c>
      <c r="D573" s="8">
        <v>0.75</v>
      </c>
      <c r="E573" s="8">
        <v>0.79166666666666663</v>
      </c>
      <c r="L573" t="s">
        <v>563</v>
      </c>
      <c r="M573" t="s">
        <v>478</v>
      </c>
      <c r="N573" t="str">
        <f>Tabela_tudo[[#This Row],[Médico]]&amp;" ("&amp;Tabela_tudo[[#This Row],[Obs]]&amp;")"</f>
        <v>ROB ()</v>
      </c>
    </row>
    <row r="574" spans="1:14" x14ac:dyDescent="0.3">
      <c r="A574" s="1">
        <v>44992</v>
      </c>
      <c r="B574" t="s">
        <v>20</v>
      </c>
      <c r="C574" t="s">
        <v>463</v>
      </c>
      <c r="D574" s="8">
        <v>0.75</v>
      </c>
      <c r="E574" s="8">
        <v>0.79166666666666663</v>
      </c>
      <c r="L574" t="s">
        <v>563</v>
      </c>
      <c r="M574" t="s">
        <v>478</v>
      </c>
      <c r="N574" t="str">
        <f>Tabela_tudo[[#This Row],[Médico]]&amp;" ("&amp;Tabela_tudo[[#This Row],[Obs]]&amp;")"</f>
        <v>ROB ()</v>
      </c>
    </row>
    <row r="575" spans="1:14" x14ac:dyDescent="0.3">
      <c r="A575" s="1">
        <v>45013</v>
      </c>
      <c r="B575" t="s">
        <v>20</v>
      </c>
      <c r="C575" t="s">
        <v>463</v>
      </c>
      <c r="D575" s="8">
        <v>0.75</v>
      </c>
      <c r="E575" s="8">
        <v>0.79166666666666663</v>
      </c>
      <c r="L575" t="s">
        <v>563</v>
      </c>
      <c r="M575" t="s">
        <v>478</v>
      </c>
      <c r="N575" t="str">
        <f>Tabela_tudo[[#This Row],[Médico]]&amp;" ("&amp;Tabela_tudo[[#This Row],[Obs]]&amp;")"</f>
        <v>ROB ()</v>
      </c>
    </row>
    <row r="576" spans="1:14" x14ac:dyDescent="0.3">
      <c r="A576" s="1">
        <v>45034</v>
      </c>
      <c r="B576" t="s">
        <v>20</v>
      </c>
      <c r="C576" t="s">
        <v>463</v>
      </c>
      <c r="D576" s="8">
        <v>0.75</v>
      </c>
      <c r="E576" s="8">
        <v>0.79166666666666663</v>
      </c>
      <c r="L576" t="s">
        <v>563</v>
      </c>
      <c r="M576" t="s">
        <v>478</v>
      </c>
      <c r="N576" t="str">
        <f>Tabela_tudo[[#This Row],[Médico]]&amp;" ("&amp;Tabela_tudo[[#This Row],[Obs]]&amp;")"</f>
        <v>ROB ()</v>
      </c>
    </row>
    <row r="577" spans="1:14" x14ac:dyDescent="0.3">
      <c r="A577" s="1">
        <v>45027</v>
      </c>
      <c r="B577" t="s">
        <v>20</v>
      </c>
      <c r="C577" t="s">
        <v>463</v>
      </c>
      <c r="D577" s="8">
        <v>0.75</v>
      </c>
      <c r="E577" s="8">
        <v>0.79166666666666663</v>
      </c>
      <c r="L577" t="s">
        <v>563</v>
      </c>
      <c r="M577" t="s">
        <v>478</v>
      </c>
      <c r="N577" t="str">
        <f>Tabela_tudo[[#This Row],[Médico]]&amp;" ("&amp;Tabela_tudo[[#This Row],[Obs]]&amp;")"</f>
        <v>ROB ()</v>
      </c>
    </row>
    <row r="578" spans="1:14" x14ac:dyDescent="0.3">
      <c r="A578" s="1">
        <v>45020</v>
      </c>
      <c r="B578" t="s">
        <v>20</v>
      </c>
      <c r="C578" t="s">
        <v>463</v>
      </c>
      <c r="D578" s="8">
        <v>0.75</v>
      </c>
      <c r="E578" s="8">
        <v>0.79166666666666663</v>
      </c>
      <c r="L578" t="s">
        <v>563</v>
      </c>
      <c r="M578" t="s">
        <v>478</v>
      </c>
      <c r="N578" t="str">
        <f>Tabela_tudo[[#This Row],[Médico]]&amp;" ("&amp;Tabela_tudo[[#This Row],[Obs]]&amp;")"</f>
        <v>ROB ()</v>
      </c>
    </row>
    <row r="579" spans="1:14" x14ac:dyDescent="0.3">
      <c r="A579" s="1">
        <v>44957</v>
      </c>
      <c r="B579" t="s">
        <v>20</v>
      </c>
      <c r="C579" t="s">
        <v>463</v>
      </c>
      <c r="D579" s="8">
        <v>0.75</v>
      </c>
      <c r="E579" s="8">
        <v>0.79166666666666663</v>
      </c>
      <c r="L579" t="s">
        <v>563</v>
      </c>
      <c r="M579" t="s">
        <v>478</v>
      </c>
      <c r="N579" t="str">
        <f>Tabela_tudo[[#This Row],[Médico]]&amp;" ("&amp;Tabela_tudo[[#This Row],[Obs]]&amp;")"</f>
        <v>ROB ()</v>
      </c>
    </row>
    <row r="580" spans="1:14" x14ac:dyDescent="0.3">
      <c r="A580" s="1">
        <v>44950</v>
      </c>
      <c r="B580" t="s">
        <v>20</v>
      </c>
      <c r="C580" t="s">
        <v>463</v>
      </c>
      <c r="D580" s="8">
        <v>0.75</v>
      </c>
      <c r="E580" s="8">
        <v>0.79166666666666663</v>
      </c>
      <c r="L580" t="s">
        <v>563</v>
      </c>
      <c r="M580" t="s">
        <v>478</v>
      </c>
      <c r="N580" t="str">
        <f>Tabela_tudo[[#This Row],[Médico]]&amp;" ("&amp;Tabela_tudo[[#This Row],[Obs]]&amp;")"</f>
        <v>ROB ()</v>
      </c>
    </row>
    <row r="581" spans="1:14" x14ac:dyDescent="0.3">
      <c r="A581" s="1">
        <v>44943</v>
      </c>
      <c r="B581" t="s">
        <v>20</v>
      </c>
      <c r="C581" t="s">
        <v>463</v>
      </c>
      <c r="D581" s="8">
        <v>0.75</v>
      </c>
      <c r="E581" s="8">
        <v>0.79166666666666663</v>
      </c>
      <c r="L581" t="s">
        <v>563</v>
      </c>
      <c r="M581" t="s">
        <v>478</v>
      </c>
      <c r="N581" t="str">
        <f>Tabela_tudo[[#This Row],[Médico]]&amp;" ("&amp;Tabela_tudo[[#This Row],[Obs]]&amp;")"</f>
        <v>ROB ()</v>
      </c>
    </row>
    <row r="582" spans="1:14" x14ac:dyDescent="0.3">
      <c r="A582" s="1">
        <v>44964</v>
      </c>
      <c r="B582" t="s">
        <v>20</v>
      </c>
      <c r="C582" t="s">
        <v>463</v>
      </c>
      <c r="D582" s="8">
        <v>0.75</v>
      </c>
      <c r="E582" s="8">
        <v>0.79166666666666663</v>
      </c>
      <c r="L582" t="s">
        <v>563</v>
      </c>
      <c r="M582" t="s">
        <v>478</v>
      </c>
      <c r="N582" t="str">
        <f>Tabela_tudo[[#This Row],[Médico]]&amp;" ("&amp;Tabela_tudo[[#This Row],[Obs]]&amp;")"</f>
        <v>ROB ()</v>
      </c>
    </row>
    <row r="583" spans="1:14" x14ac:dyDescent="0.3">
      <c r="A583" s="1">
        <v>44985</v>
      </c>
      <c r="B583" t="s">
        <v>20</v>
      </c>
      <c r="C583" t="s">
        <v>463</v>
      </c>
      <c r="D583" s="8">
        <v>0.75</v>
      </c>
      <c r="E583" s="8">
        <v>0.79166666666666663</v>
      </c>
      <c r="L583" t="s">
        <v>563</v>
      </c>
      <c r="M583" t="s">
        <v>478</v>
      </c>
      <c r="N583" t="str">
        <f>Tabela_tudo[[#This Row],[Médico]]&amp;" ("&amp;Tabela_tudo[[#This Row],[Obs]]&amp;")"</f>
        <v>ROB ()</v>
      </c>
    </row>
    <row r="584" spans="1:14" x14ac:dyDescent="0.3">
      <c r="A584" s="1">
        <v>44978</v>
      </c>
      <c r="B584" t="s">
        <v>20</v>
      </c>
      <c r="C584" t="s">
        <v>463</v>
      </c>
      <c r="D584" s="8">
        <v>0.75</v>
      </c>
      <c r="E584" s="8">
        <v>0.79166666666666663</v>
      </c>
      <c r="L584" t="s">
        <v>563</v>
      </c>
      <c r="M584" t="s">
        <v>478</v>
      </c>
      <c r="N584" t="str">
        <f>Tabela_tudo[[#This Row],[Médico]]&amp;" ("&amp;Tabela_tudo[[#This Row],[Obs]]&amp;")"</f>
        <v>ROB ()</v>
      </c>
    </row>
    <row r="585" spans="1:14" x14ac:dyDescent="0.3">
      <c r="A585" s="1">
        <v>44971</v>
      </c>
      <c r="B585" t="s">
        <v>20</v>
      </c>
      <c r="C585" t="s">
        <v>463</v>
      </c>
      <c r="D585" s="8">
        <v>0.75</v>
      </c>
      <c r="E585" s="8">
        <v>0.79166666666666663</v>
      </c>
      <c r="L585" t="s">
        <v>563</v>
      </c>
      <c r="M585" t="s">
        <v>478</v>
      </c>
      <c r="N585" t="str">
        <f>Tabela_tudo[[#This Row],[Médico]]&amp;" ("&amp;Tabela_tudo[[#This Row],[Obs]]&amp;")"</f>
        <v>ROB ()</v>
      </c>
    </row>
    <row r="586" spans="1:14" x14ac:dyDescent="0.3">
      <c r="A586" s="1">
        <v>45561</v>
      </c>
      <c r="B586" t="s">
        <v>47</v>
      </c>
      <c r="C586" t="s">
        <v>24</v>
      </c>
      <c r="D586" s="8">
        <v>0.29166666666666669</v>
      </c>
      <c r="E586" s="8">
        <v>0.91666666666666663</v>
      </c>
      <c r="F586" t="s">
        <v>462</v>
      </c>
      <c r="L586" t="s">
        <v>563</v>
      </c>
      <c r="M586" t="s">
        <v>478</v>
      </c>
      <c r="N586" t="str">
        <f>Tabela_tudo[[#This Row],[Médico]]&amp;" ("&amp;Tabela_tudo[[#This Row],[Obs]]&amp;")"</f>
        <v>VIN (HED ALUNOS O DIA INTEIRO)</v>
      </c>
    </row>
    <row r="587" spans="1:14" x14ac:dyDescent="0.3">
      <c r="A587" s="1">
        <v>45421</v>
      </c>
      <c r="B587" t="s">
        <v>47</v>
      </c>
      <c r="C587" t="s">
        <v>24</v>
      </c>
      <c r="D587" s="8">
        <v>0.29166666666666669</v>
      </c>
      <c r="E587" s="8">
        <v>0.91666666666666663</v>
      </c>
      <c r="F587" t="s">
        <v>462</v>
      </c>
      <c r="L587" t="s">
        <v>563</v>
      </c>
      <c r="M587" t="s">
        <v>478</v>
      </c>
      <c r="N587" t="str">
        <f>Tabela_tudo[[#This Row],[Médico]]&amp;" ("&amp;Tabela_tudo[[#This Row],[Obs]]&amp;")"</f>
        <v>VIN (HED ALUNOS O DIA INTEIRO)</v>
      </c>
    </row>
    <row r="588" spans="1:14" x14ac:dyDescent="0.3">
      <c r="A588" s="1">
        <v>45414</v>
      </c>
      <c r="B588" t="s">
        <v>47</v>
      </c>
      <c r="C588" t="s">
        <v>24</v>
      </c>
      <c r="D588" s="8">
        <v>0.29166666666666669</v>
      </c>
      <c r="E588" s="8">
        <v>0.91666666666666663</v>
      </c>
      <c r="F588" t="s">
        <v>462</v>
      </c>
      <c r="L588" t="s">
        <v>563</v>
      </c>
      <c r="M588" t="s">
        <v>478</v>
      </c>
      <c r="N588" t="str">
        <f>Tabela_tudo[[#This Row],[Médico]]&amp;" ("&amp;Tabela_tudo[[#This Row],[Obs]]&amp;")"</f>
        <v>VIN (HED ALUNOS O DIA INTEIRO)</v>
      </c>
    </row>
    <row r="589" spans="1:14" x14ac:dyDescent="0.3">
      <c r="A589" s="1">
        <v>45407</v>
      </c>
      <c r="B589" t="s">
        <v>47</v>
      </c>
      <c r="C589" t="s">
        <v>24</v>
      </c>
      <c r="D589" s="8">
        <v>0.29166666666666669</v>
      </c>
      <c r="E589" s="8">
        <v>0.91666666666666663</v>
      </c>
      <c r="F589" t="s">
        <v>462</v>
      </c>
      <c r="L589" t="s">
        <v>563</v>
      </c>
      <c r="M589" t="s">
        <v>478</v>
      </c>
      <c r="N589" t="str">
        <f>Tabela_tudo[[#This Row],[Médico]]&amp;" ("&amp;Tabela_tudo[[#This Row],[Obs]]&amp;")"</f>
        <v>VIN (HED ALUNOS O DIA INTEIRO)</v>
      </c>
    </row>
    <row r="590" spans="1:14" x14ac:dyDescent="0.3">
      <c r="A590" s="1">
        <v>45428</v>
      </c>
      <c r="B590" t="s">
        <v>47</v>
      </c>
      <c r="C590" t="s">
        <v>24</v>
      </c>
      <c r="D590" s="8">
        <v>0.29166666666666669</v>
      </c>
      <c r="E590" s="8">
        <v>0.91666666666666663</v>
      </c>
      <c r="F590" t="s">
        <v>462</v>
      </c>
      <c r="L590" t="s">
        <v>563</v>
      </c>
      <c r="M590" t="s">
        <v>478</v>
      </c>
      <c r="N590" t="str">
        <f>Tabela_tudo[[#This Row],[Médico]]&amp;" ("&amp;Tabela_tudo[[#This Row],[Obs]]&amp;")"</f>
        <v>VIN (HED ALUNOS O DIA INTEIRO)</v>
      </c>
    </row>
    <row r="591" spans="1:14" x14ac:dyDescent="0.3">
      <c r="A591" s="1">
        <v>45449</v>
      </c>
      <c r="B591" t="s">
        <v>47</v>
      </c>
      <c r="C591" t="s">
        <v>24</v>
      </c>
      <c r="D591" s="8">
        <v>0.29166666666666669</v>
      </c>
      <c r="E591" s="8">
        <v>0.91666666666666663</v>
      </c>
      <c r="F591" t="s">
        <v>462</v>
      </c>
      <c r="L591" t="s">
        <v>563</v>
      </c>
      <c r="M591" t="s">
        <v>478</v>
      </c>
      <c r="N591" t="str">
        <f>Tabela_tudo[[#This Row],[Médico]]&amp;" ("&amp;Tabela_tudo[[#This Row],[Obs]]&amp;")"</f>
        <v>VIN (HED ALUNOS O DIA INTEIRO)</v>
      </c>
    </row>
    <row r="592" spans="1:14" x14ac:dyDescent="0.3">
      <c r="A592" s="1">
        <v>45442</v>
      </c>
      <c r="B592" t="s">
        <v>47</v>
      </c>
      <c r="C592" t="s">
        <v>24</v>
      </c>
      <c r="D592" s="8">
        <v>0.29166666666666669</v>
      </c>
      <c r="E592" s="8">
        <v>0.91666666666666663</v>
      </c>
      <c r="F592" t="s">
        <v>462</v>
      </c>
      <c r="L592" t="s">
        <v>563</v>
      </c>
      <c r="M592" t="s">
        <v>478</v>
      </c>
      <c r="N592" t="str">
        <f>Tabela_tudo[[#This Row],[Médico]]&amp;" ("&amp;Tabela_tudo[[#This Row],[Obs]]&amp;")"</f>
        <v>VIN (HED ALUNOS O DIA INTEIRO)</v>
      </c>
    </row>
    <row r="593" spans="1:14" x14ac:dyDescent="0.3">
      <c r="A593" s="1">
        <v>45435</v>
      </c>
      <c r="B593" t="s">
        <v>47</v>
      </c>
      <c r="C593" t="s">
        <v>24</v>
      </c>
      <c r="D593" s="8">
        <v>0.29166666666666669</v>
      </c>
      <c r="E593" s="8">
        <v>0.91666666666666663</v>
      </c>
      <c r="F593" t="s">
        <v>462</v>
      </c>
      <c r="L593" t="s">
        <v>563</v>
      </c>
      <c r="M593" t="s">
        <v>478</v>
      </c>
      <c r="N593" t="str">
        <f>Tabela_tudo[[#This Row],[Médico]]&amp;" ("&amp;Tabela_tudo[[#This Row],[Obs]]&amp;")"</f>
        <v>VIN (HED ALUNOS O DIA INTEIRO)</v>
      </c>
    </row>
    <row r="594" spans="1:14" x14ac:dyDescent="0.3">
      <c r="A594" s="1">
        <v>45372</v>
      </c>
      <c r="B594" t="s">
        <v>47</v>
      </c>
      <c r="C594" t="s">
        <v>24</v>
      </c>
      <c r="D594" s="8">
        <v>0.29166666666666669</v>
      </c>
      <c r="E594" s="8">
        <v>0.91666666666666663</v>
      </c>
      <c r="F594" t="s">
        <v>462</v>
      </c>
      <c r="L594" t="s">
        <v>563</v>
      </c>
      <c r="M594" t="s">
        <v>478</v>
      </c>
      <c r="N594" t="str">
        <f>Tabela_tudo[[#This Row],[Médico]]&amp;" ("&amp;Tabela_tudo[[#This Row],[Obs]]&amp;")"</f>
        <v>VIN (HED ALUNOS O DIA INTEIRO)</v>
      </c>
    </row>
    <row r="595" spans="1:14" x14ac:dyDescent="0.3">
      <c r="A595" s="1">
        <v>45365</v>
      </c>
      <c r="B595" t="s">
        <v>47</v>
      </c>
      <c r="C595" t="s">
        <v>24</v>
      </c>
      <c r="D595" s="8">
        <v>0.29166666666666669</v>
      </c>
      <c r="E595" s="8">
        <v>0.91666666666666663</v>
      </c>
      <c r="F595" t="s">
        <v>462</v>
      </c>
      <c r="L595" t="s">
        <v>563</v>
      </c>
      <c r="M595" t="s">
        <v>478</v>
      </c>
      <c r="N595" t="str">
        <f>Tabela_tudo[[#This Row],[Médico]]&amp;" ("&amp;Tabela_tudo[[#This Row],[Obs]]&amp;")"</f>
        <v>VIN (HED ALUNOS O DIA INTEIRO)</v>
      </c>
    </row>
    <row r="596" spans="1:14" x14ac:dyDescent="0.3">
      <c r="A596" s="1">
        <v>45358</v>
      </c>
      <c r="B596" t="s">
        <v>47</v>
      </c>
      <c r="C596" t="s">
        <v>24</v>
      </c>
      <c r="D596" s="8">
        <v>0.29166666666666669</v>
      </c>
      <c r="E596" s="8">
        <v>0.91666666666666663</v>
      </c>
      <c r="F596" t="s">
        <v>462</v>
      </c>
      <c r="L596" t="s">
        <v>563</v>
      </c>
      <c r="M596" t="s">
        <v>478</v>
      </c>
      <c r="N596" t="str">
        <f>Tabela_tudo[[#This Row],[Médico]]&amp;" ("&amp;Tabela_tudo[[#This Row],[Obs]]&amp;")"</f>
        <v>VIN (HED ALUNOS O DIA INTEIRO)</v>
      </c>
    </row>
    <row r="597" spans="1:14" x14ac:dyDescent="0.3">
      <c r="A597" s="1">
        <v>45379</v>
      </c>
      <c r="B597" t="s">
        <v>47</v>
      </c>
      <c r="C597" t="s">
        <v>24</v>
      </c>
      <c r="D597" s="8">
        <v>0.29166666666666669</v>
      </c>
      <c r="E597" s="8">
        <v>0.91666666666666663</v>
      </c>
      <c r="F597" t="s">
        <v>462</v>
      </c>
      <c r="L597" t="s">
        <v>563</v>
      </c>
      <c r="M597" t="s">
        <v>478</v>
      </c>
      <c r="N597" t="str">
        <f>Tabela_tudo[[#This Row],[Médico]]&amp;" ("&amp;Tabela_tudo[[#This Row],[Obs]]&amp;")"</f>
        <v>VIN (HED ALUNOS O DIA INTEIRO)</v>
      </c>
    </row>
    <row r="598" spans="1:14" x14ac:dyDescent="0.3">
      <c r="A598" s="1">
        <v>45400</v>
      </c>
      <c r="B598" t="s">
        <v>47</v>
      </c>
      <c r="C598" t="s">
        <v>24</v>
      </c>
      <c r="D598" s="8">
        <v>0.29166666666666669</v>
      </c>
      <c r="E598" s="8">
        <v>0.91666666666666663</v>
      </c>
      <c r="F598" t="s">
        <v>462</v>
      </c>
      <c r="L598" t="s">
        <v>563</v>
      </c>
      <c r="M598" t="s">
        <v>478</v>
      </c>
      <c r="N598" t="str">
        <f>Tabela_tudo[[#This Row],[Médico]]&amp;" ("&amp;Tabela_tudo[[#This Row],[Obs]]&amp;")"</f>
        <v>VIN (HED ALUNOS O DIA INTEIRO)</v>
      </c>
    </row>
    <row r="599" spans="1:14" x14ac:dyDescent="0.3">
      <c r="A599" s="1">
        <v>45393</v>
      </c>
      <c r="B599" t="s">
        <v>47</v>
      </c>
      <c r="C599" t="s">
        <v>24</v>
      </c>
      <c r="D599" s="8">
        <v>0.29166666666666669</v>
      </c>
      <c r="E599" s="8">
        <v>0.91666666666666663</v>
      </c>
      <c r="F599" t="s">
        <v>462</v>
      </c>
      <c r="L599" t="s">
        <v>563</v>
      </c>
      <c r="M599" t="s">
        <v>478</v>
      </c>
      <c r="N599" t="str">
        <f>Tabela_tudo[[#This Row],[Médico]]&amp;" ("&amp;Tabela_tudo[[#This Row],[Obs]]&amp;")"</f>
        <v>VIN (HED ALUNOS O DIA INTEIRO)</v>
      </c>
    </row>
    <row r="600" spans="1:14" x14ac:dyDescent="0.3">
      <c r="A600" s="1">
        <v>45386</v>
      </c>
      <c r="B600" t="s">
        <v>47</v>
      </c>
      <c r="C600" t="s">
        <v>24</v>
      </c>
      <c r="D600" s="8">
        <v>0.29166666666666669</v>
      </c>
      <c r="E600" s="8">
        <v>0.91666666666666663</v>
      </c>
      <c r="F600" t="s">
        <v>462</v>
      </c>
      <c r="L600" t="s">
        <v>563</v>
      </c>
      <c r="M600" t="s">
        <v>478</v>
      </c>
      <c r="N600" t="str">
        <f>Tabela_tudo[[#This Row],[Médico]]&amp;" ("&amp;Tabela_tudo[[#This Row],[Obs]]&amp;")"</f>
        <v>VIN (HED ALUNOS O DIA INTEIRO)</v>
      </c>
    </row>
    <row r="601" spans="1:14" x14ac:dyDescent="0.3">
      <c r="A601" s="1">
        <v>45456</v>
      </c>
      <c r="B601" t="s">
        <v>47</v>
      </c>
      <c r="C601" t="s">
        <v>24</v>
      </c>
      <c r="D601" s="8">
        <v>0.29166666666666669</v>
      </c>
      <c r="E601" s="8">
        <v>0.91666666666666663</v>
      </c>
      <c r="F601" t="s">
        <v>462</v>
      </c>
      <c r="L601" t="s">
        <v>563</v>
      </c>
      <c r="M601" t="s">
        <v>478</v>
      </c>
      <c r="N601" t="str">
        <f>Tabela_tudo[[#This Row],[Médico]]&amp;" ("&amp;Tabela_tudo[[#This Row],[Obs]]&amp;")"</f>
        <v>VIN (HED ALUNOS O DIA INTEIRO)</v>
      </c>
    </row>
    <row r="602" spans="1:14" x14ac:dyDescent="0.3">
      <c r="A602" s="1">
        <v>45526</v>
      </c>
      <c r="B602" t="s">
        <v>47</v>
      </c>
      <c r="C602" t="s">
        <v>24</v>
      </c>
      <c r="D602" s="8">
        <v>0.29166666666666669</v>
      </c>
      <c r="E602" s="8">
        <v>0.91666666666666663</v>
      </c>
      <c r="F602" t="s">
        <v>462</v>
      </c>
      <c r="L602" t="s">
        <v>563</v>
      </c>
      <c r="M602" t="s">
        <v>478</v>
      </c>
      <c r="N602" t="str">
        <f>Tabela_tudo[[#This Row],[Médico]]&amp;" ("&amp;Tabela_tudo[[#This Row],[Obs]]&amp;")"</f>
        <v>VIN (HED ALUNOS O DIA INTEIRO)</v>
      </c>
    </row>
    <row r="603" spans="1:14" x14ac:dyDescent="0.3">
      <c r="A603" s="1">
        <v>45519</v>
      </c>
      <c r="B603" t="s">
        <v>47</v>
      </c>
      <c r="C603" t="s">
        <v>24</v>
      </c>
      <c r="D603" s="8">
        <v>0.29166666666666669</v>
      </c>
      <c r="E603" s="8">
        <v>0.91666666666666663</v>
      </c>
      <c r="F603" t="s">
        <v>462</v>
      </c>
      <c r="L603" t="s">
        <v>563</v>
      </c>
      <c r="M603" t="s">
        <v>478</v>
      </c>
      <c r="N603" t="str">
        <f>Tabela_tudo[[#This Row],[Médico]]&amp;" ("&amp;Tabela_tudo[[#This Row],[Obs]]&amp;")"</f>
        <v>VIN (HED ALUNOS O DIA INTEIRO)</v>
      </c>
    </row>
    <row r="604" spans="1:14" x14ac:dyDescent="0.3">
      <c r="A604" s="1">
        <v>45512</v>
      </c>
      <c r="B604" t="s">
        <v>47</v>
      </c>
      <c r="C604" t="s">
        <v>24</v>
      </c>
      <c r="D604" s="8">
        <v>0.29166666666666669</v>
      </c>
      <c r="E604" s="8">
        <v>0.91666666666666663</v>
      </c>
      <c r="F604" t="s">
        <v>462</v>
      </c>
      <c r="L604" t="s">
        <v>563</v>
      </c>
      <c r="M604" t="s">
        <v>478</v>
      </c>
      <c r="N604" t="str">
        <f>Tabela_tudo[[#This Row],[Médico]]&amp;" ("&amp;Tabela_tudo[[#This Row],[Obs]]&amp;")"</f>
        <v>VIN (HED ALUNOS O DIA INTEIRO)</v>
      </c>
    </row>
    <row r="605" spans="1:14" x14ac:dyDescent="0.3">
      <c r="A605" s="1">
        <v>45533</v>
      </c>
      <c r="B605" t="s">
        <v>47</v>
      </c>
      <c r="C605" t="s">
        <v>24</v>
      </c>
      <c r="D605" s="8">
        <v>0.29166666666666669</v>
      </c>
      <c r="E605" s="8">
        <v>0.91666666666666663</v>
      </c>
      <c r="F605" t="s">
        <v>462</v>
      </c>
      <c r="L605" t="s">
        <v>563</v>
      </c>
      <c r="M605" t="s">
        <v>478</v>
      </c>
      <c r="N605" t="str">
        <f>Tabela_tudo[[#This Row],[Médico]]&amp;" ("&amp;Tabela_tudo[[#This Row],[Obs]]&amp;")"</f>
        <v>VIN (HED ALUNOS O DIA INTEIRO)</v>
      </c>
    </row>
    <row r="606" spans="1:14" x14ac:dyDescent="0.3">
      <c r="A606" s="1">
        <v>45554</v>
      </c>
      <c r="B606" t="s">
        <v>47</v>
      </c>
      <c r="C606" t="s">
        <v>24</v>
      </c>
      <c r="D606" s="8">
        <v>0.29166666666666669</v>
      </c>
      <c r="E606" s="8">
        <v>0.91666666666666663</v>
      </c>
      <c r="F606" t="s">
        <v>462</v>
      </c>
      <c r="L606" t="s">
        <v>563</v>
      </c>
      <c r="M606" t="s">
        <v>478</v>
      </c>
      <c r="N606" t="str">
        <f>Tabela_tudo[[#This Row],[Médico]]&amp;" ("&amp;Tabela_tudo[[#This Row],[Obs]]&amp;")"</f>
        <v>VIN (HED ALUNOS O DIA INTEIRO)</v>
      </c>
    </row>
    <row r="607" spans="1:14" x14ac:dyDescent="0.3">
      <c r="A607" s="1">
        <v>45547</v>
      </c>
      <c r="B607" t="s">
        <v>47</v>
      </c>
      <c r="C607" t="s">
        <v>24</v>
      </c>
      <c r="D607" s="8">
        <v>0.29166666666666669</v>
      </c>
      <c r="E607" s="8">
        <v>0.91666666666666663</v>
      </c>
      <c r="F607" t="s">
        <v>462</v>
      </c>
      <c r="L607" t="s">
        <v>563</v>
      </c>
      <c r="M607" t="s">
        <v>478</v>
      </c>
      <c r="N607" t="str">
        <f>Tabela_tudo[[#This Row],[Médico]]&amp;" ("&amp;Tabela_tudo[[#This Row],[Obs]]&amp;")"</f>
        <v>VIN (HED ALUNOS O DIA INTEIRO)</v>
      </c>
    </row>
    <row r="608" spans="1:14" x14ac:dyDescent="0.3">
      <c r="A608" s="1">
        <v>45540</v>
      </c>
      <c r="B608" t="s">
        <v>47</v>
      </c>
      <c r="C608" t="s">
        <v>24</v>
      </c>
      <c r="D608" s="8">
        <v>0.29166666666666669</v>
      </c>
      <c r="E608" s="8">
        <v>0.91666666666666663</v>
      </c>
      <c r="F608" t="s">
        <v>462</v>
      </c>
      <c r="L608" t="s">
        <v>563</v>
      </c>
      <c r="M608" t="s">
        <v>478</v>
      </c>
      <c r="N608" t="str">
        <f>Tabela_tudo[[#This Row],[Médico]]&amp;" ("&amp;Tabela_tudo[[#This Row],[Obs]]&amp;")"</f>
        <v>VIN (HED ALUNOS O DIA INTEIRO)</v>
      </c>
    </row>
    <row r="609" spans="1:14" x14ac:dyDescent="0.3">
      <c r="A609" s="1">
        <v>45477</v>
      </c>
      <c r="B609" t="s">
        <v>47</v>
      </c>
      <c r="C609" t="s">
        <v>24</v>
      </c>
      <c r="D609" s="8">
        <v>0.29166666666666669</v>
      </c>
      <c r="E609" s="8">
        <v>0.91666666666666663</v>
      </c>
      <c r="F609" t="s">
        <v>462</v>
      </c>
      <c r="L609" t="s">
        <v>563</v>
      </c>
      <c r="M609" t="s">
        <v>478</v>
      </c>
      <c r="N609" t="str">
        <f>Tabela_tudo[[#This Row],[Médico]]&amp;" ("&amp;Tabela_tudo[[#This Row],[Obs]]&amp;")"</f>
        <v>VIN (HED ALUNOS O DIA INTEIRO)</v>
      </c>
    </row>
    <row r="610" spans="1:14" x14ac:dyDescent="0.3">
      <c r="A610" s="1">
        <v>45470</v>
      </c>
      <c r="B610" t="s">
        <v>47</v>
      </c>
      <c r="C610" t="s">
        <v>24</v>
      </c>
      <c r="D610" s="8">
        <v>0.29166666666666669</v>
      </c>
      <c r="E610" s="8">
        <v>0.91666666666666663</v>
      </c>
      <c r="F610" t="s">
        <v>462</v>
      </c>
      <c r="L610" t="s">
        <v>563</v>
      </c>
      <c r="M610" t="s">
        <v>478</v>
      </c>
      <c r="N610" t="str">
        <f>Tabela_tudo[[#This Row],[Médico]]&amp;" ("&amp;Tabela_tudo[[#This Row],[Obs]]&amp;")"</f>
        <v>VIN (HED ALUNOS O DIA INTEIRO)</v>
      </c>
    </row>
    <row r="611" spans="1:14" x14ac:dyDescent="0.3">
      <c r="A611" s="1">
        <v>45463</v>
      </c>
      <c r="B611" t="s">
        <v>47</v>
      </c>
      <c r="C611" t="s">
        <v>24</v>
      </c>
      <c r="D611" s="8">
        <v>0.29166666666666669</v>
      </c>
      <c r="E611" s="8">
        <v>0.91666666666666663</v>
      </c>
      <c r="F611" t="s">
        <v>462</v>
      </c>
      <c r="L611" t="s">
        <v>563</v>
      </c>
      <c r="M611" t="s">
        <v>478</v>
      </c>
      <c r="N611" t="str">
        <f>Tabela_tudo[[#This Row],[Médico]]&amp;" ("&amp;Tabela_tudo[[#This Row],[Obs]]&amp;")"</f>
        <v>VIN (HED ALUNOS O DIA INTEIRO)</v>
      </c>
    </row>
    <row r="612" spans="1:14" x14ac:dyDescent="0.3">
      <c r="A612" s="1">
        <v>45484</v>
      </c>
      <c r="B612" t="s">
        <v>47</v>
      </c>
      <c r="C612" t="s">
        <v>24</v>
      </c>
      <c r="D612" s="8">
        <v>0.29166666666666669</v>
      </c>
      <c r="E612" s="8">
        <v>0.91666666666666663</v>
      </c>
      <c r="F612" t="s">
        <v>462</v>
      </c>
      <c r="L612" t="s">
        <v>563</v>
      </c>
      <c r="M612" t="s">
        <v>478</v>
      </c>
      <c r="N612" t="str">
        <f>Tabela_tudo[[#This Row],[Médico]]&amp;" ("&amp;Tabela_tudo[[#This Row],[Obs]]&amp;")"</f>
        <v>VIN (HED ALUNOS O DIA INTEIRO)</v>
      </c>
    </row>
    <row r="613" spans="1:14" x14ac:dyDescent="0.3">
      <c r="A613" s="1">
        <v>45505</v>
      </c>
      <c r="B613" t="s">
        <v>47</v>
      </c>
      <c r="C613" t="s">
        <v>24</v>
      </c>
      <c r="D613" s="8">
        <v>0.29166666666666669</v>
      </c>
      <c r="E613" s="8">
        <v>0.91666666666666663</v>
      </c>
      <c r="F613" t="s">
        <v>462</v>
      </c>
      <c r="L613" t="s">
        <v>563</v>
      </c>
      <c r="M613" t="s">
        <v>478</v>
      </c>
      <c r="N613" t="str">
        <f>Tabela_tudo[[#This Row],[Médico]]&amp;" ("&amp;Tabela_tudo[[#This Row],[Obs]]&amp;")"</f>
        <v>VIN (HED ALUNOS O DIA INTEIRO)</v>
      </c>
    </row>
    <row r="614" spans="1:14" x14ac:dyDescent="0.3">
      <c r="A614" s="1">
        <v>45498</v>
      </c>
      <c r="B614" t="s">
        <v>47</v>
      </c>
      <c r="C614" t="s">
        <v>24</v>
      </c>
      <c r="D614" s="8">
        <v>0.29166666666666669</v>
      </c>
      <c r="E614" s="8">
        <v>0.91666666666666663</v>
      </c>
      <c r="F614" t="s">
        <v>462</v>
      </c>
      <c r="L614" t="s">
        <v>563</v>
      </c>
      <c r="M614" t="s">
        <v>478</v>
      </c>
      <c r="N614" t="str">
        <f>Tabela_tudo[[#This Row],[Médico]]&amp;" ("&amp;Tabela_tudo[[#This Row],[Obs]]&amp;")"</f>
        <v>VIN (HED ALUNOS O DIA INTEIRO)</v>
      </c>
    </row>
    <row r="615" spans="1:14" x14ac:dyDescent="0.3">
      <c r="A615" s="1">
        <v>45491</v>
      </c>
      <c r="B615" t="s">
        <v>47</v>
      </c>
      <c r="C615" t="s">
        <v>24</v>
      </c>
      <c r="D615" s="8">
        <v>0.29166666666666669</v>
      </c>
      <c r="E615" s="8">
        <v>0.91666666666666663</v>
      </c>
      <c r="F615" t="s">
        <v>462</v>
      </c>
      <c r="L615" t="s">
        <v>563</v>
      </c>
      <c r="M615" t="s">
        <v>478</v>
      </c>
      <c r="N615" t="str">
        <f>Tabela_tudo[[#This Row],[Médico]]&amp;" ("&amp;Tabela_tudo[[#This Row],[Obs]]&amp;")"</f>
        <v>VIN (HED ALUNOS O DIA INTEIRO)</v>
      </c>
    </row>
    <row r="616" spans="1:14" x14ac:dyDescent="0.3">
      <c r="A616" s="1">
        <v>45041</v>
      </c>
      <c r="B616" t="s">
        <v>20</v>
      </c>
      <c r="C616" t="s">
        <v>463</v>
      </c>
      <c r="D616" s="8">
        <v>0.75</v>
      </c>
      <c r="E616" s="8">
        <v>0.79166666666666663</v>
      </c>
      <c r="L616" t="s">
        <v>563</v>
      </c>
      <c r="M616" t="s">
        <v>478</v>
      </c>
      <c r="N616" t="str">
        <f>Tabela_tudo[[#This Row],[Médico]]&amp;" ("&amp;Tabela_tudo[[#This Row],[Obs]]&amp;")"</f>
        <v>ROB ()</v>
      </c>
    </row>
    <row r="617" spans="1:14" x14ac:dyDescent="0.3">
      <c r="A617" s="1">
        <v>45328</v>
      </c>
      <c r="B617" t="s">
        <v>20</v>
      </c>
      <c r="C617" t="s">
        <v>463</v>
      </c>
      <c r="D617" s="8">
        <v>0.75</v>
      </c>
      <c r="E617" s="8">
        <v>0.79166666666666663</v>
      </c>
      <c r="L617" t="s">
        <v>563</v>
      </c>
      <c r="M617" t="s">
        <v>478</v>
      </c>
      <c r="N617" t="str">
        <f>Tabela_tudo[[#This Row],[Médico]]&amp;" ("&amp;Tabela_tudo[[#This Row],[Obs]]&amp;")"</f>
        <v>ROB ()</v>
      </c>
    </row>
    <row r="618" spans="1:14" x14ac:dyDescent="0.3">
      <c r="A618" s="1">
        <v>45321</v>
      </c>
      <c r="B618" t="s">
        <v>20</v>
      </c>
      <c r="C618" t="s">
        <v>463</v>
      </c>
      <c r="D618" s="8">
        <v>0.75</v>
      </c>
      <c r="E618" s="8">
        <v>0.79166666666666663</v>
      </c>
      <c r="L618" t="s">
        <v>563</v>
      </c>
      <c r="M618" t="s">
        <v>478</v>
      </c>
      <c r="N618" t="str">
        <f>Tabela_tudo[[#This Row],[Médico]]&amp;" ("&amp;Tabela_tudo[[#This Row],[Obs]]&amp;")"</f>
        <v>ROB ()</v>
      </c>
    </row>
    <row r="619" spans="1:14" x14ac:dyDescent="0.3">
      <c r="A619" s="1">
        <v>45314</v>
      </c>
      <c r="B619" t="s">
        <v>20</v>
      </c>
      <c r="C619" t="s">
        <v>463</v>
      </c>
      <c r="D619" s="8">
        <v>0.75</v>
      </c>
      <c r="E619" s="8">
        <v>0.79166666666666663</v>
      </c>
      <c r="L619" t="s">
        <v>563</v>
      </c>
      <c r="M619" t="s">
        <v>478</v>
      </c>
      <c r="N619" t="str">
        <f>Tabela_tudo[[#This Row],[Médico]]&amp;" ("&amp;Tabela_tudo[[#This Row],[Obs]]&amp;")"</f>
        <v>ROB ()</v>
      </c>
    </row>
    <row r="620" spans="1:14" x14ac:dyDescent="0.3">
      <c r="A620" s="1">
        <v>45335</v>
      </c>
      <c r="B620" t="s">
        <v>20</v>
      </c>
      <c r="C620" t="s">
        <v>463</v>
      </c>
      <c r="D620" s="8">
        <v>0.75</v>
      </c>
      <c r="E620" s="8">
        <v>0.79166666666666663</v>
      </c>
      <c r="L620" t="s">
        <v>563</v>
      </c>
      <c r="M620" t="s">
        <v>478</v>
      </c>
      <c r="N620" t="str">
        <f>Tabela_tudo[[#This Row],[Médico]]&amp;" ("&amp;Tabela_tudo[[#This Row],[Obs]]&amp;")"</f>
        <v>ROB ()</v>
      </c>
    </row>
    <row r="621" spans="1:14" x14ac:dyDescent="0.3">
      <c r="A621" s="1">
        <v>45356</v>
      </c>
      <c r="B621" t="s">
        <v>20</v>
      </c>
      <c r="C621" t="s">
        <v>463</v>
      </c>
      <c r="D621" s="8">
        <v>0.75</v>
      </c>
      <c r="E621" s="8">
        <v>0.79166666666666663</v>
      </c>
      <c r="L621" t="s">
        <v>563</v>
      </c>
      <c r="M621" t="s">
        <v>478</v>
      </c>
      <c r="N621" t="str">
        <f>Tabela_tudo[[#This Row],[Médico]]&amp;" ("&amp;Tabela_tudo[[#This Row],[Obs]]&amp;")"</f>
        <v>ROB ()</v>
      </c>
    </row>
    <row r="622" spans="1:14" x14ac:dyDescent="0.3">
      <c r="A622" s="1">
        <v>45349</v>
      </c>
      <c r="B622" t="s">
        <v>20</v>
      </c>
      <c r="C622" t="s">
        <v>463</v>
      </c>
      <c r="D622" s="8">
        <v>0.75</v>
      </c>
      <c r="E622" s="8">
        <v>0.79166666666666663</v>
      </c>
      <c r="L622" t="s">
        <v>563</v>
      </c>
      <c r="M622" t="s">
        <v>478</v>
      </c>
      <c r="N622" t="str">
        <f>Tabela_tudo[[#This Row],[Médico]]&amp;" ("&amp;Tabela_tudo[[#This Row],[Obs]]&amp;")"</f>
        <v>ROB ()</v>
      </c>
    </row>
    <row r="623" spans="1:14" x14ac:dyDescent="0.3">
      <c r="A623" s="1">
        <v>45342</v>
      </c>
      <c r="B623" t="s">
        <v>20</v>
      </c>
      <c r="C623" t="s">
        <v>463</v>
      </c>
      <c r="D623" s="8">
        <v>0.75</v>
      </c>
      <c r="E623" s="8">
        <v>0.79166666666666663</v>
      </c>
      <c r="L623" t="s">
        <v>563</v>
      </c>
      <c r="M623" t="s">
        <v>478</v>
      </c>
      <c r="N623" t="str">
        <f>Tabela_tudo[[#This Row],[Médico]]&amp;" ("&amp;Tabela_tudo[[#This Row],[Obs]]&amp;")"</f>
        <v>ROB ()</v>
      </c>
    </row>
    <row r="624" spans="1:14" x14ac:dyDescent="0.3">
      <c r="A624" s="1">
        <v>45279</v>
      </c>
      <c r="B624" t="s">
        <v>20</v>
      </c>
      <c r="C624" t="s">
        <v>463</v>
      </c>
      <c r="D624" s="8">
        <v>0.75</v>
      </c>
      <c r="E624" s="8">
        <v>0.79166666666666663</v>
      </c>
      <c r="L624" t="s">
        <v>563</v>
      </c>
      <c r="M624" t="s">
        <v>478</v>
      </c>
      <c r="N624" t="str">
        <f>Tabela_tudo[[#This Row],[Médico]]&amp;" ("&amp;Tabela_tudo[[#This Row],[Obs]]&amp;")"</f>
        <v>ROB ()</v>
      </c>
    </row>
    <row r="625" spans="1:14" x14ac:dyDescent="0.3">
      <c r="A625" s="1">
        <v>45272</v>
      </c>
      <c r="B625" t="s">
        <v>20</v>
      </c>
      <c r="C625" t="s">
        <v>463</v>
      </c>
      <c r="D625" s="8">
        <v>0.75</v>
      </c>
      <c r="E625" s="8">
        <v>0.79166666666666663</v>
      </c>
      <c r="L625" t="s">
        <v>563</v>
      </c>
      <c r="M625" t="s">
        <v>478</v>
      </c>
      <c r="N625" t="str">
        <f>Tabela_tudo[[#This Row],[Médico]]&amp;" ("&amp;Tabela_tudo[[#This Row],[Obs]]&amp;")"</f>
        <v>ROB ()</v>
      </c>
    </row>
    <row r="626" spans="1:14" x14ac:dyDescent="0.3">
      <c r="A626" s="1">
        <v>45265</v>
      </c>
      <c r="B626" t="s">
        <v>20</v>
      </c>
      <c r="C626" t="s">
        <v>463</v>
      </c>
      <c r="D626" s="8">
        <v>0.75</v>
      </c>
      <c r="E626" s="8">
        <v>0.79166666666666663</v>
      </c>
      <c r="L626" t="s">
        <v>563</v>
      </c>
      <c r="M626" t="s">
        <v>478</v>
      </c>
      <c r="N626" t="str">
        <f>Tabela_tudo[[#This Row],[Médico]]&amp;" ("&amp;Tabela_tudo[[#This Row],[Obs]]&amp;")"</f>
        <v>ROB ()</v>
      </c>
    </row>
    <row r="627" spans="1:14" x14ac:dyDescent="0.3">
      <c r="A627" s="1">
        <v>45286</v>
      </c>
      <c r="B627" t="s">
        <v>20</v>
      </c>
      <c r="C627" t="s">
        <v>463</v>
      </c>
      <c r="D627" s="8">
        <v>0.75</v>
      </c>
      <c r="E627" s="8">
        <v>0.79166666666666663</v>
      </c>
      <c r="L627" t="s">
        <v>563</v>
      </c>
      <c r="M627" t="s">
        <v>478</v>
      </c>
      <c r="N627" t="str">
        <f>Tabela_tudo[[#This Row],[Médico]]&amp;" ("&amp;Tabela_tudo[[#This Row],[Obs]]&amp;")"</f>
        <v>ROB ()</v>
      </c>
    </row>
    <row r="628" spans="1:14" x14ac:dyDescent="0.3">
      <c r="A628" s="1">
        <v>45307</v>
      </c>
      <c r="B628" t="s">
        <v>20</v>
      </c>
      <c r="C628" t="s">
        <v>463</v>
      </c>
      <c r="D628" s="8">
        <v>0.75</v>
      </c>
      <c r="E628" s="8">
        <v>0.79166666666666663</v>
      </c>
      <c r="L628" t="s">
        <v>563</v>
      </c>
      <c r="M628" t="s">
        <v>478</v>
      </c>
      <c r="N628" t="str">
        <f>Tabela_tudo[[#This Row],[Médico]]&amp;" ("&amp;Tabela_tudo[[#This Row],[Obs]]&amp;")"</f>
        <v>ROB ()</v>
      </c>
    </row>
    <row r="629" spans="1:14" x14ac:dyDescent="0.3">
      <c r="A629" s="1">
        <v>45300</v>
      </c>
      <c r="B629" t="s">
        <v>20</v>
      </c>
      <c r="C629" t="s">
        <v>463</v>
      </c>
      <c r="D629" s="8">
        <v>0.75</v>
      </c>
      <c r="E629" s="8">
        <v>0.79166666666666663</v>
      </c>
      <c r="L629" t="s">
        <v>563</v>
      </c>
      <c r="M629" t="s">
        <v>478</v>
      </c>
      <c r="N629" t="str">
        <f>Tabela_tudo[[#This Row],[Médico]]&amp;" ("&amp;Tabela_tudo[[#This Row],[Obs]]&amp;")"</f>
        <v>ROB ()</v>
      </c>
    </row>
    <row r="630" spans="1:14" x14ac:dyDescent="0.3">
      <c r="A630" s="1">
        <v>45293</v>
      </c>
      <c r="B630" t="s">
        <v>20</v>
      </c>
      <c r="C630" t="s">
        <v>463</v>
      </c>
      <c r="D630" s="8">
        <v>0.75</v>
      </c>
      <c r="E630" s="8">
        <v>0.79166666666666663</v>
      </c>
      <c r="L630" t="s">
        <v>563</v>
      </c>
      <c r="M630" t="s">
        <v>478</v>
      </c>
      <c r="N630" t="str">
        <f>Tabela_tudo[[#This Row],[Médico]]&amp;" ("&amp;Tabela_tudo[[#This Row],[Obs]]&amp;")"</f>
        <v>ROB ()</v>
      </c>
    </row>
    <row r="631" spans="1:14" x14ac:dyDescent="0.3">
      <c r="A631" s="1">
        <v>45363</v>
      </c>
      <c r="B631" t="s">
        <v>20</v>
      </c>
      <c r="C631" t="s">
        <v>463</v>
      </c>
      <c r="D631" s="8">
        <v>0.75</v>
      </c>
      <c r="E631" s="8">
        <v>0.79166666666666663</v>
      </c>
      <c r="L631" t="s">
        <v>563</v>
      </c>
      <c r="M631" t="s">
        <v>478</v>
      </c>
      <c r="N631" t="str">
        <f>Tabela_tudo[[#This Row],[Médico]]&amp;" ("&amp;Tabela_tudo[[#This Row],[Obs]]&amp;")"</f>
        <v>ROB ()</v>
      </c>
    </row>
    <row r="632" spans="1:14" x14ac:dyDescent="0.3">
      <c r="A632" s="1">
        <v>45433</v>
      </c>
      <c r="B632" t="s">
        <v>20</v>
      </c>
      <c r="C632" t="s">
        <v>463</v>
      </c>
      <c r="D632" s="8">
        <v>0.75</v>
      </c>
      <c r="E632" s="8">
        <v>0.79166666666666663</v>
      </c>
      <c r="L632" t="s">
        <v>563</v>
      </c>
      <c r="M632" t="s">
        <v>478</v>
      </c>
      <c r="N632" t="str">
        <f>Tabela_tudo[[#This Row],[Médico]]&amp;" ("&amp;Tabela_tudo[[#This Row],[Obs]]&amp;")"</f>
        <v>ROB ()</v>
      </c>
    </row>
    <row r="633" spans="1:14" x14ac:dyDescent="0.3">
      <c r="A633" s="1">
        <v>45426</v>
      </c>
      <c r="B633" t="s">
        <v>20</v>
      </c>
      <c r="C633" t="s">
        <v>463</v>
      </c>
      <c r="D633" s="8">
        <v>0.75</v>
      </c>
      <c r="E633" s="8">
        <v>0.79166666666666663</v>
      </c>
      <c r="L633" t="s">
        <v>563</v>
      </c>
      <c r="M633" t="s">
        <v>478</v>
      </c>
      <c r="N633" t="str">
        <f>Tabela_tudo[[#This Row],[Médico]]&amp;" ("&amp;Tabela_tudo[[#This Row],[Obs]]&amp;")"</f>
        <v>ROB ()</v>
      </c>
    </row>
    <row r="634" spans="1:14" x14ac:dyDescent="0.3">
      <c r="A634" s="1">
        <v>45419</v>
      </c>
      <c r="B634" t="s">
        <v>20</v>
      </c>
      <c r="C634" t="s">
        <v>463</v>
      </c>
      <c r="D634" s="8">
        <v>0.75</v>
      </c>
      <c r="E634" s="8">
        <v>0.79166666666666663</v>
      </c>
      <c r="L634" t="s">
        <v>563</v>
      </c>
      <c r="M634" t="s">
        <v>478</v>
      </c>
      <c r="N634" t="str">
        <f>Tabela_tudo[[#This Row],[Médico]]&amp;" ("&amp;Tabela_tudo[[#This Row],[Obs]]&amp;")"</f>
        <v>ROB ()</v>
      </c>
    </row>
    <row r="635" spans="1:14" x14ac:dyDescent="0.3">
      <c r="A635" s="1">
        <v>45440</v>
      </c>
      <c r="B635" t="s">
        <v>20</v>
      </c>
      <c r="C635" t="s">
        <v>463</v>
      </c>
      <c r="D635" s="8">
        <v>0.75</v>
      </c>
      <c r="E635" s="8">
        <v>0.79166666666666663</v>
      </c>
      <c r="L635" t="s">
        <v>563</v>
      </c>
      <c r="M635" t="s">
        <v>478</v>
      </c>
      <c r="N635" t="str">
        <f>Tabela_tudo[[#This Row],[Médico]]&amp;" ("&amp;Tabela_tudo[[#This Row],[Obs]]&amp;")"</f>
        <v>ROB ()</v>
      </c>
    </row>
    <row r="636" spans="1:14" x14ac:dyDescent="0.3">
      <c r="A636" s="1">
        <v>45461</v>
      </c>
      <c r="B636" t="s">
        <v>20</v>
      </c>
      <c r="C636" t="s">
        <v>463</v>
      </c>
      <c r="D636" s="8">
        <v>0.75</v>
      </c>
      <c r="E636" s="8">
        <v>0.79166666666666663</v>
      </c>
      <c r="L636" t="s">
        <v>563</v>
      </c>
      <c r="M636" t="s">
        <v>478</v>
      </c>
      <c r="N636" t="str">
        <f>Tabela_tudo[[#This Row],[Médico]]&amp;" ("&amp;Tabela_tudo[[#This Row],[Obs]]&amp;")"</f>
        <v>ROB ()</v>
      </c>
    </row>
    <row r="637" spans="1:14" x14ac:dyDescent="0.3">
      <c r="A637" s="1">
        <v>45454</v>
      </c>
      <c r="B637" t="s">
        <v>20</v>
      </c>
      <c r="C637" t="s">
        <v>463</v>
      </c>
      <c r="D637" s="8">
        <v>0.75</v>
      </c>
      <c r="E637" s="8">
        <v>0.79166666666666663</v>
      </c>
      <c r="L637" t="s">
        <v>563</v>
      </c>
      <c r="M637" t="s">
        <v>478</v>
      </c>
      <c r="N637" t="str">
        <f>Tabela_tudo[[#This Row],[Médico]]&amp;" ("&amp;Tabela_tudo[[#This Row],[Obs]]&amp;")"</f>
        <v>ROB ()</v>
      </c>
    </row>
    <row r="638" spans="1:14" x14ac:dyDescent="0.3">
      <c r="A638" s="1">
        <v>45447</v>
      </c>
      <c r="B638" t="s">
        <v>20</v>
      </c>
      <c r="C638" t="s">
        <v>463</v>
      </c>
      <c r="D638" s="8">
        <v>0.75</v>
      </c>
      <c r="E638" s="8">
        <v>0.79166666666666663</v>
      </c>
      <c r="L638" t="s">
        <v>563</v>
      </c>
      <c r="M638" t="s">
        <v>478</v>
      </c>
      <c r="N638" t="str">
        <f>Tabela_tudo[[#This Row],[Médico]]&amp;" ("&amp;Tabela_tudo[[#This Row],[Obs]]&amp;")"</f>
        <v>ROB ()</v>
      </c>
    </row>
    <row r="639" spans="1:14" x14ac:dyDescent="0.3">
      <c r="A639" s="1">
        <v>45384</v>
      </c>
      <c r="B639" t="s">
        <v>20</v>
      </c>
      <c r="C639" t="s">
        <v>463</v>
      </c>
      <c r="D639" s="8">
        <v>0.75</v>
      </c>
      <c r="E639" s="8">
        <v>0.79166666666666663</v>
      </c>
      <c r="L639" t="s">
        <v>563</v>
      </c>
      <c r="M639" t="s">
        <v>478</v>
      </c>
      <c r="N639" t="str">
        <f>Tabela_tudo[[#This Row],[Médico]]&amp;" ("&amp;Tabela_tudo[[#This Row],[Obs]]&amp;")"</f>
        <v>ROB ()</v>
      </c>
    </row>
    <row r="640" spans="1:14" x14ac:dyDescent="0.3">
      <c r="A640" s="1">
        <v>45377</v>
      </c>
      <c r="B640" t="s">
        <v>20</v>
      </c>
      <c r="C640" t="s">
        <v>463</v>
      </c>
      <c r="D640" s="8">
        <v>0.75</v>
      </c>
      <c r="E640" s="8">
        <v>0.79166666666666663</v>
      </c>
      <c r="L640" t="s">
        <v>563</v>
      </c>
      <c r="M640" t="s">
        <v>478</v>
      </c>
      <c r="N640" t="str">
        <f>Tabela_tudo[[#This Row],[Médico]]&amp;" ("&amp;Tabela_tudo[[#This Row],[Obs]]&amp;")"</f>
        <v>ROB ()</v>
      </c>
    </row>
    <row r="641" spans="1:14" x14ac:dyDescent="0.3">
      <c r="A641" s="1">
        <v>45370</v>
      </c>
      <c r="B641" t="s">
        <v>20</v>
      </c>
      <c r="C641" t="s">
        <v>463</v>
      </c>
      <c r="D641" s="8">
        <v>0.75</v>
      </c>
      <c r="E641" s="8">
        <v>0.79166666666666663</v>
      </c>
      <c r="L641" t="s">
        <v>563</v>
      </c>
      <c r="M641" t="s">
        <v>478</v>
      </c>
      <c r="N641" t="str">
        <f>Tabela_tudo[[#This Row],[Médico]]&amp;" ("&amp;Tabela_tudo[[#This Row],[Obs]]&amp;")"</f>
        <v>ROB ()</v>
      </c>
    </row>
    <row r="642" spans="1:14" x14ac:dyDescent="0.3">
      <c r="A642" s="1">
        <v>45391</v>
      </c>
      <c r="B642" t="s">
        <v>20</v>
      </c>
      <c r="C642" t="s">
        <v>463</v>
      </c>
      <c r="D642" s="8">
        <v>0.75</v>
      </c>
      <c r="E642" s="8">
        <v>0.79166666666666663</v>
      </c>
      <c r="L642" t="s">
        <v>563</v>
      </c>
      <c r="M642" t="s">
        <v>478</v>
      </c>
      <c r="N642" t="str">
        <f>Tabela_tudo[[#This Row],[Médico]]&amp;" ("&amp;Tabela_tudo[[#This Row],[Obs]]&amp;")"</f>
        <v>ROB ()</v>
      </c>
    </row>
    <row r="643" spans="1:14" x14ac:dyDescent="0.3">
      <c r="A643" s="1">
        <v>45412</v>
      </c>
      <c r="B643" t="s">
        <v>20</v>
      </c>
      <c r="C643" t="s">
        <v>463</v>
      </c>
      <c r="D643" s="8">
        <v>0.75</v>
      </c>
      <c r="E643" s="8">
        <v>0.79166666666666663</v>
      </c>
      <c r="L643" t="s">
        <v>563</v>
      </c>
      <c r="M643" t="s">
        <v>478</v>
      </c>
      <c r="N643" t="str">
        <f>Tabela_tudo[[#This Row],[Médico]]&amp;" ("&amp;Tabela_tudo[[#This Row],[Obs]]&amp;")"</f>
        <v>ROB ()</v>
      </c>
    </row>
    <row r="644" spans="1:14" x14ac:dyDescent="0.3">
      <c r="A644" s="1">
        <v>45405</v>
      </c>
      <c r="B644" t="s">
        <v>20</v>
      </c>
      <c r="C644" t="s">
        <v>463</v>
      </c>
      <c r="D644" s="8">
        <v>0.75</v>
      </c>
      <c r="E644" s="8">
        <v>0.79166666666666663</v>
      </c>
      <c r="L644" t="s">
        <v>563</v>
      </c>
      <c r="M644" t="s">
        <v>478</v>
      </c>
      <c r="N644" t="str">
        <f>Tabela_tudo[[#This Row],[Médico]]&amp;" ("&amp;Tabela_tudo[[#This Row],[Obs]]&amp;")"</f>
        <v>ROB ()</v>
      </c>
    </row>
    <row r="645" spans="1:14" x14ac:dyDescent="0.3">
      <c r="A645" s="1">
        <v>45398</v>
      </c>
      <c r="B645" t="s">
        <v>20</v>
      </c>
      <c r="C645" t="s">
        <v>463</v>
      </c>
      <c r="D645" s="8">
        <v>0.75</v>
      </c>
      <c r="E645" s="8">
        <v>0.79166666666666663</v>
      </c>
      <c r="L645" t="s">
        <v>563</v>
      </c>
      <c r="M645" t="s">
        <v>478</v>
      </c>
      <c r="N645" t="str">
        <f>Tabela_tudo[[#This Row],[Médico]]&amp;" ("&amp;Tabela_tudo[[#This Row],[Obs]]&amp;")"</f>
        <v>ROB ()</v>
      </c>
    </row>
    <row r="646" spans="1:14" x14ac:dyDescent="0.3">
      <c r="A646" s="1">
        <v>45258</v>
      </c>
      <c r="B646" t="s">
        <v>20</v>
      </c>
      <c r="C646" t="s">
        <v>463</v>
      </c>
      <c r="D646" s="8">
        <v>0.75</v>
      </c>
      <c r="E646" s="8">
        <v>0.79166666666666663</v>
      </c>
      <c r="L646" t="s">
        <v>563</v>
      </c>
      <c r="M646" t="s">
        <v>478</v>
      </c>
      <c r="N646" t="str">
        <f>Tabela_tudo[[#This Row],[Médico]]&amp;" ("&amp;Tabela_tudo[[#This Row],[Obs]]&amp;")"</f>
        <v>ROB ()</v>
      </c>
    </row>
    <row r="647" spans="1:14" x14ac:dyDescent="0.3">
      <c r="A647" s="1">
        <v>45111</v>
      </c>
      <c r="B647" t="s">
        <v>20</v>
      </c>
      <c r="C647" t="s">
        <v>463</v>
      </c>
      <c r="D647" s="8">
        <v>0.75</v>
      </c>
      <c r="E647" s="8">
        <v>0.79166666666666663</v>
      </c>
      <c r="L647" t="s">
        <v>563</v>
      </c>
      <c r="M647" t="s">
        <v>478</v>
      </c>
      <c r="N647" t="str">
        <f>Tabela_tudo[[#This Row],[Médico]]&amp;" ("&amp;Tabela_tudo[[#This Row],[Obs]]&amp;")"</f>
        <v>ROB ()</v>
      </c>
    </row>
    <row r="648" spans="1:14" x14ac:dyDescent="0.3">
      <c r="A648" s="1">
        <v>45104</v>
      </c>
      <c r="B648" t="s">
        <v>20</v>
      </c>
      <c r="C648" t="s">
        <v>463</v>
      </c>
      <c r="D648" s="8">
        <v>0.75</v>
      </c>
      <c r="E648" s="8">
        <v>0.79166666666666663</v>
      </c>
      <c r="L648" t="s">
        <v>563</v>
      </c>
      <c r="M648" t="s">
        <v>478</v>
      </c>
      <c r="N648" t="str">
        <f>Tabela_tudo[[#This Row],[Médico]]&amp;" ("&amp;Tabela_tudo[[#This Row],[Obs]]&amp;")"</f>
        <v>ROB ()</v>
      </c>
    </row>
    <row r="649" spans="1:14" x14ac:dyDescent="0.3">
      <c r="A649" s="1">
        <v>45097</v>
      </c>
      <c r="B649" t="s">
        <v>20</v>
      </c>
      <c r="C649" t="s">
        <v>463</v>
      </c>
      <c r="D649" s="8">
        <v>0.75</v>
      </c>
      <c r="E649" s="8">
        <v>0.79166666666666663</v>
      </c>
      <c r="L649" t="s">
        <v>563</v>
      </c>
      <c r="M649" t="s">
        <v>478</v>
      </c>
      <c r="N649" t="str">
        <f>Tabela_tudo[[#This Row],[Médico]]&amp;" ("&amp;Tabela_tudo[[#This Row],[Obs]]&amp;")"</f>
        <v>ROB ()</v>
      </c>
    </row>
    <row r="650" spans="1:14" x14ac:dyDescent="0.3">
      <c r="A650" s="1">
        <v>45118</v>
      </c>
      <c r="B650" t="s">
        <v>20</v>
      </c>
      <c r="C650" t="s">
        <v>463</v>
      </c>
      <c r="D650" s="8">
        <v>0.75</v>
      </c>
      <c r="E650" s="8">
        <v>0.79166666666666663</v>
      </c>
      <c r="L650" t="s">
        <v>563</v>
      </c>
      <c r="M650" t="s">
        <v>478</v>
      </c>
      <c r="N650" t="str">
        <f>Tabela_tudo[[#This Row],[Médico]]&amp;" ("&amp;Tabela_tudo[[#This Row],[Obs]]&amp;")"</f>
        <v>ROB ()</v>
      </c>
    </row>
    <row r="651" spans="1:14" x14ac:dyDescent="0.3">
      <c r="A651" s="1">
        <v>45139</v>
      </c>
      <c r="B651" t="s">
        <v>20</v>
      </c>
      <c r="C651" t="s">
        <v>463</v>
      </c>
      <c r="D651" s="8">
        <v>0.75</v>
      </c>
      <c r="E651" s="8">
        <v>0.79166666666666663</v>
      </c>
      <c r="L651" t="s">
        <v>563</v>
      </c>
      <c r="M651" t="s">
        <v>478</v>
      </c>
      <c r="N651" t="str">
        <f>Tabela_tudo[[#This Row],[Médico]]&amp;" ("&amp;Tabela_tudo[[#This Row],[Obs]]&amp;")"</f>
        <v>ROB ()</v>
      </c>
    </row>
    <row r="652" spans="1:14" x14ac:dyDescent="0.3">
      <c r="A652" s="1">
        <v>45132</v>
      </c>
      <c r="B652" t="s">
        <v>20</v>
      </c>
      <c r="C652" t="s">
        <v>463</v>
      </c>
      <c r="D652" s="8">
        <v>0.75</v>
      </c>
      <c r="E652" s="8">
        <v>0.79166666666666663</v>
      </c>
      <c r="L652" t="s">
        <v>563</v>
      </c>
      <c r="M652" t="s">
        <v>478</v>
      </c>
      <c r="N652" t="str">
        <f>Tabela_tudo[[#This Row],[Médico]]&amp;" ("&amp;Tabela_tudo[[#This Row],[Obs]]&amp;")"</f>
        <v>ROB ()</v>
      </c>
    </row>
    <row r="653" spans="1:14" x14ac:dyDescent="0.3">
      <c r="A653" s="1">
        <v>45125</v>
      </c>
      <c r="B653" t="s">
        <v>20</v>
      </c>
      <c r="C653" t="s">
        <v>463</v>
      </c>
      <c r="D653" s="8">
        <v>0.75</v>
      </c>
      <c r="E653" s="8">
        <v>0.79166666666666663</v>
      </c>
      <c r="L653" t="s">
        <v>563</v>
      </c>
      <c r="M653" t="s">
        <v>478</v>
      </c>
      <c r="N653" t="str">
        <f>Tabela_tudo[[#This Row],[Médico]]&amp;" ("&amp;Tabela_tudo[[#This Row],[Obs]]&amp;")"</f>
        <v>ROB ()</v>
      </c>
    </row>
    <row r="654" spans="1:14" x14ac:dyDescent="0.3">
      <c r="A654" s="1">
        <v>45062</v>
      </c>
      <c r="B654" t="s">
        <v>20</v>
      </c>
      <c r="C654" t="s">
        <v>463</v>
      </c>
      <c r="D654" s="8">
        <v>0.75</v>
      </c>
      <c r="E654" s="8">
        <v>0.79166666666666663</v>
      </c>
      <c r="L654" t="s">
        <v>563</v>
      </c>
      <c r="M654" t="s">
        <v>478</v>
      </c>
      <c r="N654" t="str">
        <f>Tabela_tudo[[#This Row],[Médico]]&amp;" ("&amp;Tabela_tudo[[#This Row],[Obs]]&amp;")"</f>
        <v>ROB ()</v>
      </c>
    </row>
    <row r="655" spans="1:14" x14ac:dyDescent="0.3">
      <c r="A655" s="1">
        <v>45055</v>
      </c>
      <c r="B655" t="s">
        <v>20</v>
      </c>
      <c r="C655" t="s">
        <v>463</v>
      </c>
      <c r="D655" s="8">
        <v>0.75</v>
      </c>
      <c r="E655" s="8">
        <v>0.79166666666666663</v>
      </c>
      <c r="L655" t="s">
        <v>563</v>
      </c>
      <c r="M655" t="s">
        <v>478</v>
      </c>
      <c r="N655" t="str">
        <f>Tabela_tudo[[#This Row],[Médico]]&amp;" ("&amp;Tabela_tudo[[#This Row],[Obs]]&amp;")"</f>
        <v>ROB ()</v>
      </c>
    </row>
    <row r="656" spans="1:14" x14ac:dyDescent="0.3">
      <c r="A656" s="1">
        <v>45048</v>
      </c>
      <c r="B656" t="s">
        <v>20</v>
      </c>
      <c r="C656" t="s">
        <v>463</v>
      </c>
      <c r="D656" s="8">
        <v>0.75</v>
      </c>
      <c r="E656" s="8">
        <v>0.79166666666666663</v>
      </c>
      <c r="L656" t="s">
        <v>563</v>
      </c>
      <c r="M656" t="s">
        <v>478</v>
      </c>
      <c r="N656" t="str">
        <f>Tabela_tudo[[#This Row],[Médico]]&amp;" ("&amp;Tabela_tudo[[#This Row],[Obs]]&amp;")"</f>
        <v>ROB ()</v>
      </c>
    </row>
    <row r="657" spans="1:14" x14ac:dyDescent="0.3">
      <c r="A657" s="1">
        <v>45069</v>
      </c>
      <c r="B657" t="s">
        <v>20</v>
      </c>
      <c r="C657" t="s">
        <v>463</v>
      </c>
      <c r="D657" s="8">
        <v>0.75</v>
      </c>
      <c r="E657" s="8">
        <v>0.79166666666666663</v>
      </c>
      <c r="L657" t="s">
        <v>563</v>
      </c>
      <c r="M657" t="s">
        <v>478</v>
      </c>
      <c r="N657" t="str">
        <f>Tabela_tudo[[#This Row],[Médico]]&amp;" ("&amp;Tabela_tudo[[#This Row],[Obs]]&amp;")"</f>
        <v>ROB ()</v>
      </c>
    </row>
    <row r="658" spans="1:14" x14ac:dyDescent="0.3">
      <c r="A658" s="1">
        <v>45090</v>
      </c>
      <c r="B658" t="s">
        <v>20</v>
      </c>
      <c r="C658" t="s">
        <v>463</v>
      </c>
      <c r="D658" s="8">
        <v>0.75</v>
      </c>
      <c r="E658" s="8">
        <v>0.79166666666666663</v>
      </c>
      <c r="L658" t="s">
        <v>563</v>
      </c>
      <c r="M658" t="s">
        <v>478</v>
      </c>
      <c r="N658" t="str">
        <f>Tabela_tudo[[#This Row],[Médico]]&amp;" ("&amp;Tabela_tudo[[#This Row],[Obs]]&amp;")"</f>
        <v>ROB ()</v>
      </c>
    </row>
    <row r="659" spans="1:14" x14ac:dyDescent="0.3">
      <c r="A659" s="1">
        <v>45083</v>
      </c>
      <c r="B659" t="s">
        <v>20</v>
      </c>
      <c r="C659" t="s">
        <v>463</v>
      </c>
      <c r="D659" s="8">
        <v>0.75</v>
      </c>
      <c r="E659" s="8">
        <v>0.79166666666666663</v>
      </c>
      <c r="L659" t="s">
        <v>563</v>
      </c>
      <c r="M659" t="s">
        <v>478</v>
      </c>
      <c r="N659" t="str">
        <f>Tabela_tudo[[#This Row],[Médico]]&amp;" ("&amp;Tabela_tudo[[#This Row],[Obs]]&amp;")"</f>
        <v>ROB ()</v>
      </c>
    </row>
    <row r="660" spans="1:14" x14ac:dyDescent="0.3">
      <c r="A660" s="1">
        <v>45076</v>
      </c>
      <c r="B660" t="s">
        <v>20</v>
      </c>
      <c r="C660" t="s">
        <v>463</v>
      </c>
      <c r="D660" s="8">
        <v>0.75</v>
      </c>
      <c r="E660" s="8">
        <v>0.79166666666666663</v>
      </c>
      <c r="L660" t="s">
        <v>563</v>
      </c>
      <c r="M660" t="s">
        <v>478</v>
      </c>
      <c r="N660" t="str">
        <f>Tabela_tudo[[#This Row],[Médico]]&amp;" ("&amp;Tabela_tudo[[#This Row],[Obs]]&amp;")"</f>
        <v>ROB ()</v>
      </c>
    </row>
    <row r="661" spans="1:14" x14ac:dyDescent="0.3">
      <c r="A661" s="1">
        <v>45146</v>
      </c>
      <c r="B661" t="s">
        <v>20</v>
      </c>
      <c r="C661" t="s">
        <v>463</v>
      </c>
      <c r="D661" s="8">
        <v>0.75</v>
      </c>
      <c r="E661" s="8">
        <v>0.79166666666666663</v>
      </c>
      <c r="L661" t="s">
        <v>563</v>
      </c>
      <c r="M661" t="s">
        <v>478</v>
      </c>
      <c r="N661" t="str">
        <f>Tabela_tudo[[#This Row],[Médico]]&amp;" ("&amp;Tabela_tudo[[#This Row],[Obs]]&amp;")"</f>
        <v>ROB ()</v>
      </c>
    </row>
    <row r="662" spans="1:14" x14ac:dyDescent="0.3">
      <c r="A662" s="1">
        <v>45223</v>
      </c>
      <c r="B662" t="s">
        <v>20</v>
      </c>
      <c r="C662" t="s">
        <v>463</v>
      </c>
      <c r="D662" s="8">
        <v>0.75</v>
      </c>
      <c r="E662" s="8">
        <v>0.79166666666666663</v>
      </c>
      <c r="L662" t="s">
        <v>563</v>
      </c>
      <c r="M662" t="s">
        <v>478</v>
      </c>
      <c r="N662" t="str">
        <f>Tabela_tudo[[#This Row],[Médico]]&amp;" ("&amp;Tabela_tudo[[#This Row],[Obs]]&amp;")"</f>
        <v>ROB ()</v>
      </c>
    </row>
    <row r="663" spans="1:14" x14ac:dyDescent="0.3">
      <c r="A663" s="1">
        <v>45216</v>
      </c>
      <c r="B663" t="s">
        <v>20</v>
      </c>
      <c r="C663" t="s">
        <v>463</v>
      </c>
      <c r="D663" s="8">
        <v>0.75</v>
      </c>
      <c r="E663" s="8">
        <v>0.79166666666666663</v>
      </c>
      <c r="L663" t="s">
        <v>563</v>
      </c>
      <c r="M663" t="s">
        <v>478</v>
      </c>
      <c r="N663" t="str">
        <f>Tabela_tudo[[#This Row],[Médico]]&amp;" ("&amp;Tabela_tudo[[#This Row],[Obs]]&amp;")"</f>
        <v>ROB ()</v>
      </c>
    </row>
    <row r="664" spans="1:14" x14ac:dyDescent="0.3">
      <c r="A664" s="1">
        <v>45209</v>
      </c>
      <c r="B664" t="s">
        <v>20</v>
      </c>
      <c r="C664" t="s">
        <v>463</v>
      </c>
      <c r="D664" s="8">
        <v>0.75</v>
      </c>
      <c r="E664" s="8">
        <v>0.79166666666666663</v>
      </c>
      <c r="L664" t="s">
        <v>563</v>
      </c>
      <c r="M664" t="s">
        <v>478</v>
      </c>
      <c r="N664" t="str">
        <f>Tabela_tudo[[#This Row],[Médico]]&amp;" ("&amp;Tabela_tudo[[#This Row],[Obs]]&amp;")"</f>
        <v>ROB ()</v>
      </c>
    </row>
    <row r="665" spans="1:14" x14ac:dyDescent="0.3">
      <c r="A665" s="1">
        <v>45230</v>
      </c>
      <c r="B665" t="s">
        <v>20</v>
      </c>
      <c r="C665" t="s">
        <v>463</v>
      </c>
      <c r="D665" s="8">
        <v>0.75</v>
      </c>
      <c r="E665" s="8">
        <v>0.79166666666666663</v>
      </c>
      <c r="L665" t="s">
        <v>563</v>
      </c>
      <c r="M665" t="s">
        <v>478</v>
      </c>
      <c r="N665" t="str">
        <f>Tabela_tudo[[#This Row],[Médico]]&amp;" ("&amp;Tabela_tudo[[#This Row],[Obs]]&amp;")"</f>
        <v>ROB ()</v>
      </c>
    </row>
    <row r="666" spans="1:14" x14ac:dyDescent="0.3">
      <c r="A666" s="1">
        <v>45251</v>
      </c>
      <c r="B666" t="s">
        <v>20</v>
      </c>
      <c r="C666" t="s">
        <v>463</v>
      </c>
      <c r="D666" s="8">
        <v>0.75</v>
      </c>
      <c r="E666" s="8">
        <v>0.79166666666666663</v>
      </c>
      <c r="L666" t="s">
        <v>563</v>
      </c>
      <c r="M666" t="s">
        <v>478</v>
      </c>
      <c r="N666" t="str">
        <f>Tabela_tudo[[#This Row],[Médico]]&amp;" ("&amp;Tabela_tudo[[#This Row],[Obs]]&amp;")"</f>
        <v>ROB ()</v>
      </c>
    </row>
    <row r="667" spans="1:14" x14ac:dyDescent="0.3">
      <c r="A667" s="1">
        <v>45244</v>
      </c>
      <c r="B667" t="s">
        <v>20</v>
      </c>
      <c r="C667" t="s">
        <v>463</v>
      </c>
      <c r="D667" s="8">
        <v>0.75</v>
      </c>
      <c r="E667" s="8">
        <v>0.79166666666666663</v>
      </c>
      <c r="L667" t="s">
        <v>563</v>
      </c>
      <c r="M667" t="s">
        <v>478</v>
      </c>
      <c r="N667" t="str">
        <f>Tabela_tudo[[#This Row],[Médico]]&amp;" ("&amp;Tabela_tudo[[#This Row],[Obs]]&amp;")"</f>
        <v>ROB ()</v>
      </c>
    </row>
    <row r="668" spans="1:14" x14ac:dyDescent="0.3">
      <c r="A668" s="1">
        <v>45237</v>
      </c>
      <c r="B668" t="s">
        <v>20</v>
      </c>
      <c r="C668" t="s">
        <v>463</v>
      </c>
      <c r="D668" s="8">
        <v>0.75</v>
      </c>
      <c r="E668" s="8">
        <v>0.79166666666666663</v>
      </c>
      <c r="L668" t="s">
        <v>563</v>
      </c>
      <c r="M668" t="s">
        <v>478</v>
      </c>
      <c r="N668" t="str">
        <f>Tabela_tudo[[#This Row],[Médico]]&amp;" ("&amp;Tabela_tudo[[#This Row],[Obs]]&amp;")"</f>
        <v>ROB ()</v>
      </c>
    </row>
    <row r="669" spans="1:14" x14ac:dyDescent="0.3">
      <c r="A669" s="1">
        <v>45167</v>
      </c>
      <c r="B669" t="s">
        <v>20</v>
      </c>
      <c r="C669" t="s">
        <v>463</v>
      </c>
      <c r="D669" s="8">
        <v>0.75</v>
      </c>
      <c r="E669" s="8">
        <v>0.79166666666666663</v>
      </c>
      <c r="L669" t="s">
        <v>563</v>
      </c>
      <c r="M669" t="s">
        <v>478</v>
      </c>
      <c r="N669" t="str">
        <f>Tabela_tudo[[#This Row],[Médico]]&amp;" ("&amp;Tabela_tudo[[#This Row],[Obs]]&amp;")"</f>
        <v>ROB ()</v>
      </c>
    </row>
    <row r="670" spans="1:14" x14ac:dyDescent="0.3">
      <c r="A670" s="1">
        <v>45160</v>
      </c>
      <c r="B670" t="s">
        <v>20</v>
      </c>
      <c r="C670" t="s">
        <v>463</v>
      </c>
      <c r="D670" s="8">
        <v>0.75</v>
      </c>
      <c r="E670" s="8">
        <v>0.79166666666666663</v>
      </c>
      <c r="L670" t="s">
        <v>563</v>
      </c>
      <c r="M670" t="s">
        <v>478</v>
      </c>
      <c r="N670" t="str">
        <f>Tabela_tudo[[#This Row],[Médico]]&amp;" ("&amp;Tabela_tudo[[#This Row],[Obs]]&amp;")"</f>
        <v>ROB ()</v>
      </c>
    </row>
    <row r="671" spans="1:14" x14ac:dyDescent="0.3">
      <c r="A671" s="1">
        <v>45153</v>
      </c>
      <c r="B671" t="s">
        <v>20</v>
      </c>
      <c r="C671" t="s">
        <v>463</v>
      </c>
      <c r="D671" s="8">
        <v>0.75</v>
      </c>
      <c r="E671" s="8">
        <v>0.79166666666666663</v>
      </c>
      <c r="L671" t="s">
        <v>563</v>
      </c>
      <c r="M671" t="s">
        <v>478</v>
      </c>
      <c r="N671" t="str">
        <f>Tabela_tudo[[#This Row],[Médico]]&amp;" ("&amp;Tabela_tudo[[#This Row],[Obs]]&amp;")"</f>
        <v>ROB ()</v>
      </c>
    </row>
    <row r="672" spans="1:14" x14ac:dyDescent="0.3">
      <c r="A672" s="1">
        <v>45181</v>
      </c>
      <c r="B672" t="s">
        <v>20</v>
      </c>
      <c r="C672" t="s">
        <v>463</v>
      </c>
      <c r="D672" s="8">
        <v>0.75</v>
      </c>
      <c r="E672" s="8">
        <v>0.79166666666666663</v>
      </c>
      <c r="L672" t="s">
        <v>563</v>
      </c>
      <c r="M672" t="s">
        <v>478</v>
      </c>
      <c r="N672" t="str">
        <f>Tabela_tudo[[#This Row],[Médico]]&amp;" ("&amp;Tabela_tudo[[#This Row],[Obs]]&amp;")"</f>
        <v>ROB ()</v>
      </c>
    </row>
    <row r="673" spans="1:14" x14ac:dyDescent="0.3">
      <c r="A673" s="1">
        <v>45202</v>
      </c>
      <c r="B673" t="s">
        <v>20</v>
      </c>
      <c r="C673" t="s">
        <v>463</v>
      </c>
      <c r="D673" s="8">
        <v>0.75</v>
      </c>
      <c r="E673" s="8">
        <v>0.79166666666666663</v>
      </c>
      <c r="L673" t="s">
        <v>563</v>
      </c>
      <c r="M673" t="s">
        <v>478</v>
      </c>
      <c r="N673" t="str">
        <f>Tabela_tudo[[#This Row],[Médico]]&amp;" ("&amp;Tabela_tudo[[#This Row],[Obs]]&amp;")"</f>
        <v>ROB ()</v>
      </c>
    </row>
    <row r="674" spans="1:14" x14ac:dyDescent="0.3">
      <c r="A674" s="1">
        <v>45195</v>
      </c>
      <c r="B674" t="s">
        <v>20</v>
      </c>
      <c r="C674" t="s">
        <v>463</v>
      </c>
      <c r="D674" s="8">
        <v>0.75</v>
      </c>
      <c r="E674" s="8">
        <v>0.79166666666666663</v>
      </c>
      <c r="L674" t="s">
        <v>563</v>
      </c>
      <c r="M674" t="s">
        <v>478</v>
      </c>
      <c r="N674" t="str">
        <f>Tabela_tudo[[#This Row],[Médico]]&amp;" ("&amp;Tabela_tudo[[#This Row],[Obs]]&amp;")"</f>
        <v>ROB ()</v>
      </c>
    </row>
    <row r="675" spans="1:14" x14ac:dyDescent="0.3">
      <c r="A675" s="1">
        <v>45188</v>
      </c>
      <c r="B675" t="s">
        <v>20</v>
      </c>
      <c r="C675" t="s">
        <v>463</v>
      </c>
      <c r="D675" s="8">
        <v>0.75</v>
      </c>
      <c r="E675" s="8">
        <v>0.79166666666666663</v>
      </c>
      <c r="L675" t="s">
        <v>563</v>
      </c>
      <c r="M675" t="s">
        <v>478</v>
      </c>
      <c r="N675" t="str">
        <f>Tabela_tudo[[#This Row],[Médico]]&amp;" ("&amp;Tabela_tudo[[#This Row],[Obs]]&amp;")"</f>
        <v>ROB ()</v>
      </c>
    </row>
    <row r="676" spans="1:14" x14ac:dyDescent="0.3">
      <c r="A676" s="1">
        <v>45351</v>
      </c>
      <c r="B676" t="s">
        <v>47</v>
      </c>
      <c r="C676" t="s">
        <v>24</v>
      </c>
      <c r="D676" s="8">
        <v>0.29166666666666669</v>
      </c>
      <c r="E676" s="8">
        <v>0.91666666666666663</v>
      </c>
      <c r="F676" t="s">
        <v>462</v>
      </c>
      <c r="L676" t="s">
        <v>563</v>
      </c>
      <c r="M676" t="s">
        <v>478</v>
      </c>
      <c r="N676" t="str">
        <f>Tabela_tudo[[#This Row],[Médico]]&amp;" ("&amp;Tabela_tudo[[#This Row],[Obs]]&amp;")"</f>
        <v>VIN (HED ALUNOS O DIA INTEIRO)</v>
      </c>
    </row>
    <row r="677" spans="1:14" x14ac:dyDescent="0.3">
      <c r="A677" s="1">
        <v>45511</v>
      </c>
      <c r="B677" t="s">
        <v>23</v>
      </c>
      <c r="C677" t="s">
        <v>53</v>
      </c>
      <c r="D677" s="8">
        <v>0.33333333333333331</v>
      </c>
      <c r="E677" s="8">
        <v>0.5</v>
      </c>
      <c r="F677" t="s">
        <v>461</v>
      </c>
      <c r="L677" t="s">
        <v>563</v>
      </c>
      <c r="M677" t="s">
        <v>478</v>
      </c>
      <c r="N677" t="str">
        <f>Tabela_tudo[[#This Row],[Médico]]&amp;" ("&amp;Tabela_tudo[[#This Row],[Obs]]&amp;")"</f>
        <v>BG (REUNIÃO HED)</v>
      </c>
    </row>
    <row r="678" spans="1:14" x14ac:dyDescent="0.3">
      <c r="A678" s="1">
        <v>45504</v>
      </c>
      <c r="B678" t="s">
        <v>23</v>
      </c>
      <c r="C678" t="s">
        <v>53</v>
      </c>
      <c r="D678" s="8">
        <v>0.33333333333333331</v>
      </c>
      <c r="E678" s="8">
        <v>0.5</v>
      </c>
      <c r="F678" t="s">
        <v>461</v>
      </c>
      <c r="L678" t="s">
        <v>563</v>
      </c>
      <c r="M678" t="s">
        <v>478</v>
      </c>
      <c r="N678" t="str">
        <f>Tabela_tudo[[#This Row],[Médico]]&amp;" ("&amp;Tabela_tudo[[#This Row],[Obs]]&amp;")"</f>
        <v>BG (REUNIÃO HED)</v>
      </c>
    </row>
    <row r="679" spans="1:14" x14ac:dyDescent="0.3">
      <c r="A679" s="1">
        <v>45497</v>
      </c>
      <c r="B679" t="s">
        <v>23</v>
      </c>
      <c r="C679" t="s">
        <v>53</v>
      </c>
      <c r="D679" s="8">
        <v>0.33333333333333331</v>
      </c>
      <c r="E679" s="8">
        <v>0.5</v>
      </c>
      <c r="F679" t="s">
        <v>461</v>
      </c>
      <c r="L679" t="s">
        <v>563</v>
      </c>
      <c r="M679" t="s">
        <v>478</v>
      </c>
      <c r="N679" t="str">
        <f>Tabela_tudo[[#This Row],[Médico]]&amp;" ("&amp;Tabela_tudo[[#This Row],[Obs]]&amp;")"</f>
        <v>BG (REUNIÃO HED)</v>
      </c>
    </row>
    <row r="680" spans="1:14" x14ac:dyDescent="0.3">
      <c r="A680" s="1">
        <v>45518</v>
      </c>
      <c r="B680" t="s">
        <v>23</v>
      </c>
      <c r="C680" t="s">
        <v>53</v>
      </c>
      <c r="D680" s="8">
        <v>0.33333333333333331</v>
      </c>
      <c r="E680" s="8">
        <v>0.5</v>
      </c>
      <c r="F680" t="s">
        <v>461</v>
      </c>
      <c r="L680" t="s">
        <v>563</v>
      </c>
      <c r="M680" t="s">
        <v>478</v>
      </c>
      <c r="N680" t="str">
        <f>Tabela_tudo[[#This Row],[Médico]]&amp;" ("&amp;Tabela_tudo[[#This Row],[Obs]]&amp;")"</f>
        <v>BG (REUNIÃO HED)</v>
      </c>
    </row>
    <row r="681" spans="1:14" x14ac:dyDescent="0.3">
      <c r="A681" s="1">
        <v>45539</v>
      </c>
      <c r="B681" t="s">
        <v>23</v>
      </c>
      <c r="C681" t="s">
        <v>53</v>
      </c>
      <c r="D681" s="8">
        <v>0.33333333333333331</v>
      </c>
      <c r="E681" s="8">
        <v>0.5</v>
      </c>
      <c r="F681" t="s">
        <v>461</v>
      </c>
      <c r="L681" t="s">
        <v>563</v>
      </c>
      <c r="M681" t="s">
        <v>478</v>
      </c>
      <c r="N681" t="str">
        <f>Tabela_tudo[[#This Row],[Médico]]&amp;" ("&amp;Tabela_tudo[[#This Row],[Obs]]&amp;")"</f>
        <v>BG (REUNIÃO HED)</v>
      </c>
    </row>
    <row r="682" spans="1:14" x14ac:dyDescent="0.3">
      <c r="A682" s="1">
        <v>45532</v>
      </c>
      <c r="B682" t="s">
        <v>23</v>
      </c>
      <c r="C682" t="s">
        <v>53</v>
      </c>
      <c r="D682" s="8">
        <v>0.33333333333333331</v>
      </c>
      <c r="E682" s="8">
        <v>0.5</v>
      </c>
      <c r="F682" t="s">
        <v>461</v>
      </c>
      <c r="L682" t="s">
        <v>563</v>
      </c>
      <c r="M682" t="s">
        <v>478</v>
      </c>
      <c r="N682" t="str">
        <f>Tabela_tudo[[#This Row],[Médico]]&amp;" ("&amp;Tabela_tudo[[#This Row],[Obs]]&amp;")"</f>
        <v>BG (REUNIÃO HED)</v>
      </c>
    </row>
    <row r="683" spans="1:14" x14ac:dyDescent="0.3">
      <c r="A683" s="1">
        <v>45525</v>
      </c>
      <c r="B683" t="s">
        <v>23</v>
      </c>
      <c r="C683" t="s">
        <v>53</v>
      </c>
      <c r="D683" s="8">
        <v>0.33333333333333331</v>
      </c>
      <c r="E683" s="8">
        <v>0.5</v>
      </c>
      <c r="F683" t="s">
        <v>461</v>
      </c>
      <c r="L683" t="s">
        <v>563</v>
      </c>
      <c r="M683" t="s">
        <v>478</v>
      </c>
      <c r="N683" t="str">
        <f>Tabela_tudo[[#This Row],[Médico]]&amp;" ("&amp;Tabela_tudo[[#This Row],[Obs]]&amp;")"</f>
        <v>BG (REUNIÃO HED)</v>
      </c>
    </row>
    <row r="684" spans="1:14" x14ac:dyDescent="0.3">
      <c r="A684" s="1">
        <v>45462</v>
      </c>
      <c r="B684" t="s">
        <v>23</v>
      </c>
      <c r="C684" t="s">
        <v>53</v>
      </c>
      <c r="D684" s="8">
        <v>0.33333333333333331</v>
      </c>
      <c r="E684" s="8">
        <v>0.5</v>
      </c>
      <c r="F684" t="s">
        <v>461</v>
      </c>
      <c r="L684" t="s">
        <v>563</v>
      </c>
      <c r="M684" t="s">
        <v>478</v>
      </c>
      <c r="N684" t="str">
        <f>Tabela_tudo[[#This Row],[Médico]]&amp;" ("&amp;Tabela_tudo[[#This Row],[Obs]]&amp;")"</f>
        <v>BG (REUNIÃO HED)</v>
      </c>
    </row>
    <row r="685" spans="1:14" x14ac:dyDescent="0.3">
      <c r="A685" s="1">
        <v>45455</v>
      </c>
      <c r="B685" t="s">
        <v>23</v>
      </c>
      <c r="C685" t="s">
        <v>53</v>
      </c>
      <c r="D685" s="8">
        <v>0.33333333333333331</v>
      </c>
      <c r="E685" s="8">
        <v>0.5</v>
      </c>
      <c r="F685" t="s">
        <v>461</v>
      </c>
      <c r="L685" t="s">
        <v>563</v>
      </c>
      <c r="M685" t="s">
        <v>478</v>
      </c>
      <c r="N685" t="str">
        <f>Tabela_tudo[[#This Row],[Médico]]&amp;" ("&amp;Tabela_tudo[[#This Row],[Obs]]&amp;")"</f>
        <v>BG (REUNIÃO HED)</v>
      </c>
    </row>
    <row r="686" spans="1:14" x14ac:dyDescent="0.3">
      <c r="A686" s="1">
        <v>45448</v>
      </c>
      <c r="B686" t="s">
        <v>23</v>
      </c>
      <c r="C686" t="s">
        <v>53</v>
      </c>
      <c r="D686" s="8">
        <v>0.33333333333333331</v>
      </c>
      <c r="E686" s="8">
        <v>0.5</v>
      </c>
      <c r="F686" t="s">
        <v>461</v>
      </c>
      <c r="L686" t="s">
        <v>563</v>
      </c>
      <c r="M686" t="s">
        <v>478</v>
      </c>
      <c r="N686" t="str">
        <f>Tabela_tudo[[#This Row],[Médico]]&amp;" ("&amp;Tabela_tudo[[#This Row],[Obs]]&amp;")"</f>
        <v>BG (REUNIÃO HED)</v>
      </c>
    </row>
    <row r="687" spans="1:14" x14ac:dyDescent="0.3">
      <c r="A687" s="1">
        <v>45469</v>
      </c>
      <c r="B687" t="s">
        <v>23</v>
      </c>
      <c r="C687" t="s">
        <v>53</v>
      </c>
      <c r="D687" s="8">
        <v>0.33333333333333331</v>
      </c>
      <c r="E687" s="8">
        <v>0.5</v>
      </c>
      <c r="F687" t="s">
        <v>461</v>
      </c>
      <c r="L687" t="s">
        <v>563</v>
      </c>
      <c r="M687" t="s">
        <v>478</v>
      </c>
      <c r="N687" t="str">
        <f>Tabela_tudo[[#This Row],[Médico]]&amp;" ("&amp;Tabela_tudo[[#This Row],[Obs]]&amp;")"</f>
        <v>BG (REUNIÃO HED)</v>
      </c>
    </row>
    <row r="688" spans="1:14" x14ac:dyDescent="0.3">
      <c r="A688" s="1">
        <v>45490</v>
      </c>
      <c r="B688" t="s">
        <v>23</v>
      </c>
      <c r="C688" t="s">
        <v>53</v>
      </c>
      <c r="D688" s="8">
        <v>0.33333333333333331</v>
      </c>
      <c r="E688" s="8">
        <v>0.5</v>
      </c>
      <c r="F688" t="s">
        <v>461</v>
      </c>
      <c r="L688" t="s">
        <v>563</v>
      </c>
      <c r="M688" t="s">
        <v>478</v>
      </c>
      <c r="N688" t="str">
        <f>Tabela_tudo[[#This Row],[Médico]]&amp;" ("&amp;Tabela_tudo[[#This Row],[Obs]]&amp;")"</f>
        <v>BG (REUNIÃO HED)</v>
      </c>
    </row>
    <row r="689" spans="1:14" x14ac:dyDescent="0.3">
      <c r="A689" s="1">
        <v>45483</v>
      </c>
      <c r="B689" t="s">
        <v>23</v>
      </c>
      <c r="C689" t="s">
        <v>53</v>
      </c>
      <c r="D689" s="8">
        <v>0.33333333333333331</v>
      </c>
      <c r="E689" s="8">
        <v>0.5</v>
      </c>
      <c r="F689" t="s">
        <v>461</v>
      </c>
      <c r="L689" t="s">
        <v>563</v>
      </c>
      <c r="M689" t="s">
        <v>478</v>
      </c>
      <c r="N689" t="str">
        <f>Tabela_tudo[[#This Row],[Médico]]&amp;" ("&amp;Tabela_tudo[[#This Row],[Obs]]&amp;")"</f>
        <v>BG (REUNIÃO HED)</v>
      </c>
    </row>
    <row r="690" spans="1:14" x14ac:dyDescent="0.3">
      <c r="A690" s="1">
        <v>45476</v>
      </c>
      <c r="B690" t="s">
        <v>23</v>
      </c>
      <c r="C690" t="s">
        <v>53</v>
      </c>
      <c r="D690" s="8">
        <v>0.33333333333333331</v>
      </c>
      <c r="E690" s="8">
        <v>0.5</v>
      </c>
      <c r="F690" t="s">
        <v>461</v>
      </c>
      <c r="L690" t="s">
        <v>563</v>
      </c>
      <c r="M690" t="s">
        <v>478</v>
      </c>
      <c r="N690" t="str">
        <f>Tabela_tudo[[#This Row],[Médico]]&amp;" ("&amp;Tabela_tudo[[#This Row],[Obs]]&amp;")"</f>
        <v>BG (REUNIÃO HED)</v>
      </c>
    </row>
    <row r="691" spans="1:14" x14ac:dyDescent="0.3">
      <c r="A691" s="1">
        <v>45546</v>
      </c>
      <c r="B691" t="s">
        <v>23</v>
      </c>
      <c r="C691" t="s">
        <v>53</v>
      </c>
      <c r="D691" s="8">
        <v>0.33333333333333331</v>
      </c>
      <c r="E691" s="8">
        <v>0.5</v>
      </c>
      <c r="F691" t="s">
        <v>461</v>
      </c>
      <c r="L691" t="s">
        <v>563</v>
      </c>
      <c r="M691" t="s">
        <v>478</v>
      </c>
      <c r="N691" t="str">
        <f>Tabela_tudo[[#This Row],[Médico]]&amp;" ("&amp;Tabela_tudo[[#This Row],[Obs]]&amp;")"</f>
        <v>BG (REUNIÃO HED)</v>
      </c>
    </row>
    <row r="692" spans="1:14" x14ac:dyDescent="0.3">
      <c r="A692" s="1">
        <v>45616</v>
      </c>
      <c r="B692" t="s">
        <v>23</v>
      </c>
      <c r="C692" t="s">
        <v>53</v>
      </c>
      <c r="D692" s="8">
        <v>0.33333333333333331</v>
      </c>
      <c r="E692" s="8">
        <v>0.5</v>
      </c>
      <c r="F692" t="s">
        <v>461</v>
      </c>
      <c r="L692" t="s">
        <v>563</v>
      </c>
      <c r="M692" t="s">
        <v>478</v>
      </c>
      <c r="N692" t="str">
        <f>Tabela_tudo[[#This Row],[Médico]]&amp;" ("&amp;Tabela_tudo[[#This Row],[Obs]]&amp;")"</f>
        <v>BG (REUNIÃO HED)</v>
      </c>
    </row>
    <row r="693" spans="1:14" x14ac:dyDescent="0.3">
      <c r="A693" s="1">
        <v>45609</v>
      </c>
      <c r="B693" t="s">
        <v>23</v>
      </c>
      <c r="C693" t="s">
        <v>53</v>
      </c>
      <c r="D693" s="8">
        <v>0.33333333333333331</v>
      </c>
      <c r="E693" s="8">
        <v>0.5</v>
      </c>
      <c r="F693" t="s">
        <v>461</v>
      </c>
      <c r="L693" t="s">
        <v>563</v>
      </c>
      <c r="M693" t="s">
        <v>478</v>
      </c>
      <c r="N693" t="str">
        <f>Tabela_tudo[[#This Row],[Médico]]&amp;" ("&amp;Tabela_tudo[[#This Row],[Obs]]&amp;")"</f>
        <v>BG (REUNIÃO HED)</v>
      </c>
    </row>
    <row r="694" spans="1:14" x14ac:dyDescent="0.3">
      <c r="A694" s="1">
        <v>45602</v>
      </c>
      <c r="B694" t="s">
        <v>23</v>
      </c>
      <c r="C694" t="s">
        <v>53</v>
      </c>
      <c r="D694" s="8">
        <v>0.33333333333333331</v>
      </c>
      <c r="E694" s="8">
        <v>0.5</v>
      </c>
      <c r="F694" t="s">
        <v>461</v>
      </c>
      <c r="L694" t="s">
        <v>563</v>
      </c>
      <c r="M694" t="s">
        <v>478</v>
      </c>
      <c r="N694" t="str">
        <f>Tabela_tudo[[#This Row],[Médico]]&amp;" ("&amp;Tabela_tudo[[#This Row],[Obs]]&amp;")"</f>
        <v>BG (REUNIÃO HED)</v>
      </c>
    </row>
    <row r="695" spans="1:14" x14ac:dyDescent="0.3">
      <c r="A695" s="1">
        <v>45623</v>
      </c>
      <c r="B695" t="s">
        <v>23</v>
      </c>
      <c r="C695" t="s">
        <v>53</v>
      </c>
      <c r="D695" s="8">
        <v>0.33333333333333331</v>
      </c>
      <c r="E695" s="8">
        <v>0.5</v>
      </c>
      <c r="F695" t="s">
        <v>461</v>
      </c>
      <c r="L695" t="s">
        <v>563</v>
      </c>
      <c r="M695" t="s">
        <v>478</v>
      </c>
      <c r="N695" t="str">
        <f>Tabela_tudo[[#This Row],[Médico]]&amp;" ("&amp;Tabela_tudo[[#This Row],[Obs]]&amp;")"</f>
        <v>BG (REUNIÃO HED)</v>
      </c>
    </row>
    <row r="696" spans="1:14" x14ac:dyDescent="0.3">
      <c r="A696" s="1">
        <v>45644</v>
      </c>
      <c r="B696" t="s">
        <v>23</v>
      </c>
      <c r="C696" t="s">
        <v>53</v>
      </c>
      <c r="D696" s="8">
        <v>0.33333333333333331</v>
      </c>
      <c r="E696" s="8">
        <v>0.5</v>
      </c>
      <c r="F696" t="s">
        <v>461</v>
      </c>
      <c r="L696" t="s">
        <v>563</v>
      </c>
      <c r="M696" t="s">
        <v>478</v>
      </c>
      <c r="N696" t="str">
        <f>Tabela_tudo[[#This Row],[Médico]]&amp;" ("&amp;Tabela_tudo[[#This Row],[Obs]]&amp;")"</f>
        <v>BG (REUNIÃO HED)</v>
      </c>
    </row>
    <row r="697" spans="1:14" x14ac:dyDescent="0.3">
      <c r="A697" s="1">
        <v>45637</v>
      </c>
      <c r="B697" t="s">
        <v>23</v>
      </c>
      <c r="C697" t="s">
        <v>53</v>
      </c>
      <c r="D697" s="8">
        <v>0.33333333333333331</v>
      </c>
      <c r="E697" s="8">
        <v>0.5</v>
      </c>
      <c r="F697" t="s">
        <v>461</v>
      </c>
      <c r="L697" t="s">
        <v>563</v>
      </c>
      <c r="M697" t="s">
        <v>478</v>
      </c>
      <c r="N697" t="str">
        <f>Tabela_tudo[[#This Row],[Médico]]&amp;" ("&amp;Tabela_tudo[[#This Row],[Obs]]&amp;")"</f>
        <v>BG (REUNIÃO HED)</v>
      </c>
    </row>
    <row r="698" spans="1:14" x14ac:dyDescent="0.3">
      <c r="A698" s="1">
        <v>45630</v>
      </c>
      <c r="B698" t="s">
        <v>23</v>
      </c>
      <c r="C698" t="s">
        <v>53</v>
      </c>
      <c r="D698" s="8">
        <v>0.33333333333333331</v>
      </c>
      <c r="E698" s="8">
        <v>0.5</v>
      </c>
      <c r="F698" t="s">
        <v>461</v>
      </c>
      <c r="L698" t="s">
        <v>563</v>
      </c>
      <c r="M698" t="s">
        <v>478</v>
      </c>
      <c r="N698" t="str">
        <f>Tabela_tudo[[#This Row],[Médico]]&amp;" ("&amp;Tabela_tudo[[#This Row],[Obs]]&amp;")"</f>
        <v>BG (REUNIÃO HED)</v>
      </c>
    </row>
    <row r="699" spans="1:14" x14ac:dyDescent="0.3">
      <c r="A699" s="1">
        <v>45567</v>
      </c>
      <c r="B699" t="s">
        <v>23</v>
      </c>
      <c r="C699" t="s">
        <v>53</v>
      </c>
      <c r="D699" s="8">
        <v>0.33333333333333331</v>
      </c>
      <c r="E699" s="8">
        <v>0.5</v>
      </c>
      <c r="F699" t="s">
        <v>461</v>
      </c>
      <c r="L699" t="s">
        <v>563</v>
      </c>
      <c r="M699" t="s">
        <v>478</v>
      </c>
      <c r="N699" t="str">
        <f>Tabela_tudo[[#This Row],[Médico]]&amp;" ("&amp;Tabela_tudo[[#This Row],[Obs]]&amp;")"</f>
        <v>BG (REUNIÃO HED)</v>
      </c>
    </row>
    <row r="700" spans="1:14" x14ac:dyDescent="0.3">
      <c r="A700" s="1">
        <v>45560</v>
      </c>
      <c r="B700" t="s">
        <v>23</v>
      </c>
      <c r="C700" t="s">
        <v>53</v>
      </c>
      <c r="D700" s="8">
        <v>0.33333333333333331</v>
      </c>
      <c r="E700" s="8">
        <v>0.5</v>
      </c>
      <c r="F700" t="s">
        <v>461</v>
      </c>
      <c r="L700" t="s">
        <v>563</v>
      </c>
      <c r="M700" t="s">
        <v>478</v>
      </c>
      <c r="N700" t="str">
        <f>Tabela_tudo[[#This Row],[Médico]]&amp;" ("&amp;Tabela_tudo[[#This Row],[Obs]]&amp;")"</f>
        <v>BG (REUNIÃO HED)</v>
      </c>
    </row>
    <row r="701" spans="1:14" x14ac:dyDescent="0.3">
      <c r="A701" s="1">
        <v>45553</v>
      </c>
      <c r="B701" t="s">
        <v>23</v>
      </c>
      <c r="C701" t="s">
        <v>53</v>
      </c>
      <c r="D701" s="8">
        <v>0.33333333333333331</v>
      </c>
      <c r="E701" s="8">
        <v>0.5</v>
      </c>
      <c r="F701" t="s">
        <v>461</v>
      </c>
      <c r="L701" t="s">
        <v>563</v>
      </c>
      <c r="M701" t="s">
        <v>478</v>
      </c>
      <c r="N701" t="str">
        <f>Tabela_tudo[[#This Row],[Médico]]&amp;" ("&amp;Tabela_tudo[[#This Row],[Obs]]&amp;")"</f>
        <v>BG (REUNIÃO HED)</v>
      </c>
    </row>
    <row r="702" spans="1:14" x14ac:dyDescent="0.3">
      <c r="A702" s="1">
        <v>45574</v>
      </c>
      <c r="B702" t="s">
        <v>23</v>
      </c>
      <c r="C702" t="s">
        <v>53</v>
      </c>
      <c r="D702" s="8">
        <v>0.33333333333333331</v>
      </c>
      <c r="E702" s="8">
        <v>0.5</v>
      </c>
      <c r="F702" t="s">
        <v>461</v>
      </c>
      <c r="L702" t="s">
        <v>563</v>
      </c>
      <c r="M702" t="s">
        <v>478</v>
      </c>
      <c r="N702" t="str">
        <f>Tabela_tudo[[#This Row],[Médico]]&amp;" ("&amp;Tabela_tudo[[#This Row],[Obs]]&amp;")"</f>
        <v>BG (REUNIÃO HED)</v>
      </c>
    </row>
    <row r="703" spans="1:14" x14ac:dyDescent="0.3">
      <c r="A703" s="1">
        <v>45595</v>
      </c>
      <c r="B703" t="s">
        <v>23</v>
      </c>
      <c r="C703" t="s">
        <v>53</v>
      </c>
      <c r="D703" s="8">
        <v>0.33333333333333331</v>
      </c>
      <c r="E703" s="8">
        <v>0.5</v>
      </c>
      <c r="F703" t="s">
        <v>461</v>
      </c>
      <c r="L703" t="s">
        <v>563</v>
      </c>
      <c r="M703" t="s">
        <v>478</v>
      </c>
      <c r="N703" t="str">
        <f>Tabela_tudo[[#This Row],[Médico]]&amp;" ("&amp;Tabela_tudo[[#This Row],[Obs]]&amp;")"</f>
        <v>BG (REUNIÃO HED)</v>
      </c>
    </row>
    <row r="704" spans="1:14" x14ac:dyDescent="0.3">
      <c r="A704" s="1">
        <v>45588</v>
      </c>
      <c r="B704" t="s">
        <v>23</v>
      </c>
      <c r="C704" t="s">
        <v>53</v>
      </c>
      <c r="D704" s="8">
        <v>0.33333333333333331</v>
      </c>
      <c r="E704" s="8">
        <v>0.5</v>
      </c>
      <c r="F704" t="s">
        <v>461</v>
      </c>
      <c r="L704" t="s">
        <v>563</v>
      </c>
      <c r="M704" t="s">
        <v>478</v>
      </c>
      <c r="N704" t="str">
        <f>Tabela_tudo[[#This Row],[Médico]]&amp;" ("&amp;Tabela_tudo[[#This Row],[Obs]]&amp;")"</f>
        <v>BG (REUNIÃO HED)</v>
      </c>
    </row>
    <row r="705" spans="1:14" x14ac:dyDescent="0.3">
      <c r="A705" s="1">
        <v>45581</v>
      </c>
      <c r="B705" t="s">
        <v>23</v>
      </c>
      <c r="C705" t="s">
        <v>53</v>
      </c>
      <c r="D705" s="8">
        <v>0.33333333333333331</v>
      </c>
      <c r="E705" s="8">
        <v>0.5</v>
      </c>
      <c r="F705" t="s">
        <v>461</v>
      </c>
      <c r="L705" t="s">
        <v>563</v>
      </c>
      <c r="M705" t="s">
        <v>478</v>
      </c>
      <c r="N705" t="str">
        <f>Tabela_tudo[[#This Row],[Médico]]&amp;" ("&amp;Tabela_tudo[[#This Row],[Obs]]&amp;")"</f>
        <v>BG (REUNIÃO HED)</v>
      </c>
    </row>
    <row r="706" spans="1:14" x14ac:dyDescent="0.3">
      <c r="A706" s="1">
        <v>45441</v>
      </c>
      <c r="B706" t="s">
        <v>23</v>
      </c>
      <c r="C706" t="s">
        <v>53</v>
      </c>
      <c r="D706" s="8">
        <v>0.33333333333333331</v>
      </c>
      <c r="E706" s="8">
        <v>0.5</v>
      </c>
      <c r="F706" t="s">
        <v>461</v>
      </c>
      <c r="L706" t="s">
        <v>563</v>
      </c>
      <c r="M706" t="s">
        <v>478</v>
      </c>
      <c r="N706" t="str">
        <f>Tabela_tudo[[#This Row],[Médico]]&amp;" ("&amp;Tabela_tudo[[#This Row],[Obs]]&amp;")"</f>
        <v>BG (REUNIÃO HED)</v>
      </c>
    </row>
    <row r="707" spans="1:14" x14ac:dyDescent="0.3">
      <c r="A707" s="1">
        <v>45301</v>
      </c>
      <c r="B707" t="s">
        <v>23</v>
      </c>
      <c r="C707" t="s">
        <v>53</v>
      </c>
      <c r="D707" s="8">
        <v>0.33333333333333331</v>
      </c>
      <c r="E707" s="8">
        <v>0.5</v>
      </c>
      <c r="F707" t="s">
        <v>461</v>
      </c>
      <c r="L707" t="s">
        <v>563</v>
      </c>
      <c r="M707" t="s">
        <v>478</v>
      </c>
      <c r="N707" t="str">
        <f>Tabela_tudo[[#This Row],[Médico]]&amp;" ("&amp;Tabela_tudo[[#This Row],[Obs]]&amp;")"</f>
        <v>BG (REUNIÃO HED)</v>
      </c>
    </row>
    <row r="708" spans="1:14" x14ac:dyDescent="0.3">
      <c r="A708" s="1">
        <v>45294</v>
      </c>
      <c r="B708" t="s">
        <v>23</v>
      </c>
      <c r="C708" t="s">
        <v>53</v>
      </c>
      <c r="D708" s="8">
        <v>0.33333333333333331</v>
      </c>
      <c r="E708" s="8">
        <v>0.5</v>
      </c>
      <c r="F708" t="s">
        <v>461</v>
      </c>
      <c r="L708" t="s">
        <v>563</v>
      </c>
      <c r="M708" t="s">
        <v>478</v>
      </c>
      <c r="N708" t="str">
        <f>Tabela_tudo[[#This Row],[Médico]]&amp;" ("&amp;Tabela_tudo[[#This Row],[Obs]]&amp;")"</f>
        <v>BG (REUNIÃO HED)</v>
      </c>
    </row>
    <row r="709" spans="1:14" x14ac:dyDescent="0.3">
      <c r="A709" s="1">
        <v>45287</v>
      </c>
      <c r="B709" t="s">
        <v>23</v>
      </c>
      <c r="C709" t="s">
        <v>53</v>
      </c>
      <c r="D709" s="8">
        <v>0.33333333333333331</v>
      </c>
      <c r="E709" s="8">
        <v>0.5</v>
      </c>
      <c r="F709" t="s">
        <v>461</v>
      </c>
      <c r="L709" t="s">
        <v>563</v>
      </c>
      <c r="M709" t="s">
        <v>478</v>
      </c>
      <c r="N709" t="str">
        <f>Tabela_tudo[[#This Row],[Médico]]&amp;" ("&amp;Tabela_tudo[[#This Row],[Obs]]&amp;")"</f>
        <v>BG (REUNIÃO HED)</v>
      </c>
    </row>
    <row r="710" spans="1:14" x14ac:dyDescent="0.3">
      <c r="A710" s="1">
        <v>45308</v>
      </c>
      <c r="B710" t="s">
        <v>23</v>
      </c>
      <c r="C710" t="s">
        <v>53</v>
      </c>
      <c r="D710" s="8">
        <v>0.33333333333333331</v>
      </c>
      <c r="E710" s="8">
        <v>0.5</v>
      </c>
      <c r="F710" t="s">
        <v>461</v>
      </c>
      <c r="L710" t="s">
        <v>563</v>
      </c>
      <c r="M710" t="s">
        <v>478</v>
      </c>
      <c r="N710" t="str">
        <f>Tabela_tudo[[#This Row],[Médico]]&amp;" ("&amp;Tabela_tudo[[#This Row],[Obs]]&amp;")"</f>
        <v>BG (REUNIÃO HED)</v>
      </c>
    </row>
    <row r="711" spans="1:14" x14ac:dyDescent="0.3">
      <c r="A711" s="1">
        <v>45329</v>
      </c>
      <c r="B711" t="s">
        <v>23</v>
      </c>
      <c r="C711" t="s">
        <v>53</v>
      </c>
      <c r="D711" s="8">
        <v>0.33333333333333331</v>
      </c>
      <c r="E711" s="8">
        <v>0.5</v>
      </c>
      <c r="F711" t="s">
        <v>461</v>
      </c>
      <c r="L711" t="s">
        <v>563</v>
      </c>
      <c r="M711" t="s">
        <v>478</v>
      </c>
      <c r="N711" t="str">
        <f>Tabela_tudo[[#This Row],[Médico]]&amp;" ("&amp;Tabela_tudo[[#This Row],[Obs]]&amp;")"</f>
        <v>BG (REUNIÃO HED)</v>
      </c>
    </row>
    <row r="712" spans="1:14" x14ac:dyDescent="0.3">
      <c r="A712" s="1">
        <v>45322</v>
      </c>
      <c r="B712" t="s">
        <v>23</v>
      </c>
      <c r="C712" t="s">
        <v>53</v>
      </c>
      <c r="D712" s="8">
        <v>0.33333333333333331</v>
      </c>
      <c r="E712" s="8">
        <v>0.5</v>
      </c>
      <c r="F712" t="s">
        <v>461</v>
      </c>
      <c r="L712" t="s">
        <v>563</v>
      </c>
      <c r="M712" t="s">
        <v>478</v>
      </c>
      <c r="N712" t="str">
        <f>Tabela_tudo[[#This Row],[Médico]]&amp;" ("&amp;Tabela_tudo[[#This Row],[Obs]]&amp;")"</f>
        <v>BG (REUNIÃO HED)</v>
      </c>
    </row>
    <row r="713" spans="1:14" x14ac:dyDescent="0.3">
      <c r="A713" s="1">
        <v>45315</v>
      </c>
      <c r="B713" t="s">
        <v>23</v>
      </c>
      <c r="C713" t="s">
        <v>53</v>
      </c>
      <c r="D713" s="8">
        <v>0.33333333333333331</v>
      </c>
      <c r="E713" s="8">
        <v>0.5</v>
      </c>
      <c r="F713" t="s">
        <v>461</v>
      </c>
      <c r="L713" t="s">
        <v>563</v>
      </c>
      <c r="M713" t="s">
        <v>478</v>
      </c>
      <c r="N713" t="str">
        <f>Tabela_tudo[[#This Row],[Médico]]&amp;" ("&amp;Tabela_tudo[[#This Row],[Obs]]&amp;")"</f>
        <v>BG (REUNIÃO HED)</v>
      </c>
    </row>
    <row r="714" spans="1:14" x14ac:dyDescent="0.3">
      <c r="A714" s="1">
        <v>45252</v>
      </c>
      <c r="B714" t="s">
        <v>23</v>
      </c>
      <c r="C714" t="s">
        <v>53</v>
      </c>
      <c r="D714" s="8">
        <v>0.33333333333333331</v>
      </c>
      <c r="E714" s="8">
        <v>0.5</v>
      </c>
      <c r="F714" t="s">
        <v>461</v>
      </c>
      <c r="L714" t="s">
        <v>563</v>
      </c>
      <c r="M714" t="s">
        <v>478</v>
      </c>
      <c r="N714" t="str">
        <f>Tabela_tudo[[#This Row],[Médico]]&amp;" ("&amp;Tabela_tudo[[#This Row],[Obs]]&amp;")"</f>
        <v>BG (REUNIÃO HED)</v>
      </c>
    </row>
    <row r="715" spans="1:14" x14ac:dyDescent="0.3">
      <c r="A715" s="1">
        <v>45245</v>
      </c>
      <c r="B715" t="s">
        <v>23</v>
      </c>
      <c r="C715" t="s">
        <v>53</v>
      </c>
      <c r="D715" s="8">
        <v>0.33333333333333331</v>
      </c>
      <c r="E715" s="8">
        <v>0.5</v>
      </c>
      <c r="F715" t="s">
        <v>461</v>
      </c>
      <c r="L715" t="s">
        <v>563</v>
      </c>
      <c r="M715" t="s">
        <v>478</v>
      </c>
      <c r="N715" t="str">
        <f>Tabela_tudo[[#This Row],[Médico]]&amp;" ("&amp;Tabela_tudo[[#This Row],[Obs]]&amp;")"</f>
        <v>BG (REUNIÃO HED)</v>
      </c>
    </row>
    <row r="716" spans="1:14" x14ac:dyDescent="0.3">
      <c r="A716" s="1">
        <v>45238</v>
      </c>
      <c r="B716" t="s">
        <v>23</v>
      </c>
      <c r="C716" t="s">
        <v>53</v>
      </c>
      <c r="D716" s="8">
        <v>0.33333333333333331</v>
      </c>
      <c r="E716" s="8">
        <v>0.5</v>
      </c>
      <c r="F716" t="s">
        <v>461</v>
      </c>
      <c r="L716" t="s">
        <v>563</v>
      </c>
      <c r="M716" t="s">
        <v>478</v>
      </c>
      <c r="N716" t="str">
        <f>Tabela_tudo[[#This Row],[Médico]]&amp;" ("&amp;Tabela_tudo[[#This Row],[Obs]]&amp;")"</f>
        <v>BG (REUNIÃO HED)</v>
      </c>
    </row>
    <row r="717" spans="1:14" x14ac:dyDescent="0.3">
      <c r="A717" s="1">
        <v>45259</v>
      </c>
      <c r="B717" t="s">
        <v>23</v>
      </c>
      <c r="C717" t="s">
        <v>53</v>
      </c>
      <c r="D717" s="8">
        <v>0.33333333333333331</v>
      </c>
      <c r="E717" s="8">
        <v>0.5</v>
      </c>
      <c r="F717" t="s">
        <v>461</v>
      </c>
      <c r="L717" t="s">
        <v>563</v>
      </c>
      <c r="M717" t="s">
        <v>478</v>
      </c>
      <c r="N717" t="str">
        <f>Tabela_tudo[[#This Row],[Médico]]&amp;" ("&amp;Tabela_tudo[[#This Row],[Obs]]&amp;")"</f>
        <v>BG (REUNIÃO HED)</v>
      </c>
    </row>
    <row r="718" spans="1:14" x14ac:dyDescent="0.3">
      <c r="A718" s="1">
        <v>45280</v>
      </c>
      <c r="B718" t="s">
        <v>23</v>
      </c>
      <c r="C718" t="s">
        <v>53</v>
      </c>
      <c r="D718" s="8">
        <v>0.33333333333333331</v>
      </c>
      <c r="E718" s="8">
        <v>0.5</v>
      </c>
      <c r="F718" t="s">
        <v>461</v>
      </c>
      <c r="L718" t="s">
        <v>563</v>
      </c>
      <c r="M718" t="s">
        <v>478</v>
      </c>
      <c r="N718" t="str">
        <f>Tabela_tudo[[#This Row],[Médico]]&amp;" ("&amp;Tabela_tudo[[#This Row],[Obs]]&amp;")"</f>
        <v>BG (REUNIÃO HED)</v>
      </c>
    </row>
    <row r="719" spans="1:14" x14ac:dyDescent="0.3">
      <c r="A719" s="1">
        <v>45273</v>
      </c>
      <c r="B719" t="s">
        <v>23</v>
      </c>
      <c r="C719" t="s">
        <v>53</v>
      </c>
      <c r="D719" s="8">
        <v>0.33333333333333331</v>
      </c>
      <c r="E719" s="8">
        <v>0.5</v>
      </c>
      <c r="F719" t="s">
        <v>461</v>
      </c>
      <c r="L719" t="s">
        <v>563</v>
      </c>
      <c r="M719" t="s">
        <v>478</v>
      </c>
      <c r="N719" t="str">
        <f>Tabela_tudo[[#This Row],[Médico]]&amp;" ("&amp;Tabela_tudo[[#This Row],[Obs]]&amp;")"</f>
        <v>BG (REUNIÃO HED)</v>
      </c>
    </row>
    <row r="720" spans="1:14" x14ac:dyDescent="0.3">
      <c r="A720" s="1">
        <v>45266</v>
      </c>
      <c r="B720" t="s">
        <v>23</v>
      </c>
      <c r="C720" t="s">
        <v>53</v>
      </c>
      <c r="D720" s="8">
        <v>0.33333333333333331</v>
      </c>
      <c r="E720" s="8">
        <v>0.5</v>
      </c>
      <c r="F720" t="s">
        <v>461</v>
      </c>
      <c r="L720" t="s">
        <v>563</v>
      </c>
      <c r="M720" t="s">
        <v>478</v>
      </c>
      <c r="N720" t="str">
        <f>Tabela_tudo[[#This Row],[Médico]]&amp;" ("&amp;Tabela_tudo[[#This Row],[Obs]]&amp;")"</f>
        <v>BG (REUNIÃO HED)</v>
      </c>
    </row>
    <row r="721" spans="1:14" x14ac:dyDescent="0.3">
      <c r="A721" s="1">
        <v>45336</v>
      </c>
      <c r="B721" t="s">
        <v>23</v>
      </c>
      <c r="C721" t="s">
        <v>53</v>
      </c>
      <c r="D721" s="8">
        <v>0.33333333333333331</v>
      </c>
      <c r="E721" s="8">
        <v>0.5</v>
      </c>
      <c r="F721" t="s">
        <v>461</v>
      </c>
      <c r="L721" t="s">
        <v>563</v>
      </c>
      <c r="M721" t="s">
        <v>478</v>
      </c>
      <c r="N721" t="str">
        <f>Tabela_tudo[[#This Row],[Médico]]&amp;" ("&amp;Tabela_tudo[[#This Row],[Obs]]&amp;")"</f>
        <v>BG (REUNIÃO HED)</v>
      </c>
    </row>
    <row r="722" spans="1:14" x14ac:dyDescent="0.3">
      <c r="A722" s="1">
        <v>45406</v>
      </c>
      <c r="B722" t="s">
        <v>23</v>
      </c>
      <c r="C722" t="s">
        <v>53</v>
      </c>
      <c r="D722" s="8">
        <v>0.33333333333333331</v>
      </c>
      <c r="E722" s="8">
        <v>0.5</v>
      </c>
      <c r="F722" t="s">
        <v>461</v>
      </c>
      <c r="L722" t="s">
        <v>563</v>
      </c>
      <c r="M722" t="s">
        <v>478</v>
      </c>
      <c r="N722" t="str">
        <f>Tabela_tudo[[#This Row],[Médico]]&amp;" ("&amp;Tabela_tudo[[#This Row],[Obs]]&amp;")"</f>
        <v>BG (REUNIÃO HED)</v>
      </c>
    </row>
    <row r="723" spans="1:14" x14ac:dyDescent="0.3">
      <c r="A723" s="1">
        <v>45399</v>
      </c>
      <c r="B723" t="s">
        <v>23</v>
      </c>
      <c r="C723" t="s">
        <v>53</v>
      </c>
      <c r="D723" s="8">
        <v>0.33333333333333331</v>
      </c>
      <c r="E723" s="8">
        <v>0.5</v>
      </c>
      <c r="F723" t="s">
        <v>461</v>
      </c>
      <c r="L723" t="s">
        <v>563</v>
      </c>
      <c r="M723" t="s">
        <v>478</v>
      </c>
      <c r="N723" t="str">
        <f>Tabela_tudo[[#This Row],[Médico]]&amp;" ("&amp;Tabela_tudo[[#This Row],[Obs]]&amp;")"</f>
        <v>BG (REUNIÃO HED)</v>
      </c>
    </row>
    <row r="724" spans="1:14" x14ac:dyDescent="0.3">
      <c r="A724" s="1">
        <v>45392</v>
      </c>
      <c r="B724" t="s">
        <v>23</v>
      </c>
      <c r="C724" t="s">
        <v>53</v>
      </c>
      <c r="D724" s="8">
        <v>0.33333333333333331</v>
      </c>
      <c r="E724" s="8">
        <v>0.5</v>
      </c>
      <c r="F724" t="s">
        <v>461</v>
      </c>
      <c r="L724" t="s">
        <v>563</v>
      </c>
      <c r="M724" t="s">
        <v>478</v>
      </c>
      <c r="N724" t="str">
        <f>Tabela_tudo[[#This Row],[Médico]]&amp;" ("&amp;Tabela_tudo[[#This Row],[Obs]]&amp;")"</f>
        <v>BG (REUNIÃO HED)</v>
      </c>
    </row>
    <row r="725" spans="1:14" x14ac:dyDescent="0.3">
      <c r="A725" s="1">
        <v>45413</v>
      </c>
      <c r="B725" t="s">
        <v>23</v>
      </c>
      <c r="C725" t="s">
        <v>53</v>
      </c>
      <c r="D725" s="8">
        <v>0.33333333333333331</v>
      </c>
      <c r="E725" s="8">
        <v>0.5</v>
      </c>
      <c r="F725" t="s">
        <v>461</v>
      </c>
      <c r="L725" t="s">
        <v>563</v>
      </c>
      <c r="M725" t="s">
        <v>478</v>
      </c>
      <c r="N725" t="str">
        <f>Tabela_tudo[[#This Row],[Médico]]&amp;" ("&amp;Tabela_tudo[[#This Row],[Obs]]&amp;")"</f>
        <v>BG (REUNIÃO HED)</v>
      </c>
    </row>
    <row r="726" spans="1:14" x14ac:dyDescent="0.3">
      <c r="A726" s="1">
        <v>45434</v>
      </c>
      <c r="B726" t="s">
        <v>23</v>
      </c>
      <c r="C726" t="s">
        <v>53</v>
      </c>
      <c r="D726" s="8">
        <v>0.33333333333333331</v>
      </c>
      <c r="E726" s="8">
        <v>0.5</v>
      </c>
      <c r="F726" t="s">
        <v>461</v>
      </c>
      <c r="L726" t="s">
        <v>563</v>
      </c>
      <c r="M726" t="s">
        <v>478</v>
      </c>
      <c r="N726" t="str">
        <f>Tabela_tudo[[#This Row],[Médico]]&amp;" ("&amp;Tabela_tudo[[#This Row],[Obs]]&amp;")"</f>
        <v>BG (REUNIÃO HED)</v>
      </c>
    </row>
    <row r="727" spans="1:14" x14ac:dyDescent="0.3">
      <c r="A727" s="1">
        <v>45427</v>
      </c>
      <c r="B727" t="s">
        <v>23</v>
      </c>
      <c r="C727" t="s">
        <v>53</v>
      </c>
      <c r="D727" s="8">
        <v>0.33333333333333331</v>
      </c>
      <c r="E727" s="8">
        <v>0.5</v>
      </c>
      <c r="F727" t="s">
        <v>461</v>
      </c>
      <c r="L727" t="s">
        <v>563</v>
      </c>
      <c r="M727" t="s">
        <v>478</v>
      </c>
      <c r="N727" t="str">
        <f>Tabela_tudo[[#This Row],[Médico]]&amp;" ("&amp;Tabela_tudo[[#This Row],[Obs]]&amp;")"</f>
        <v>BG (REUNIÃO HED)</v>
      </c>
    </row>
    <row r="728" spans="1:14" x14ac:dyDescent="0.3">
      <c r="A728" s="1">
        <v>45420</v>
      </c>
      <c r="B728" t="s">
        <v>23</v>
      </c>
      <c r="C728" t="s">
        <v>53</v>
      </c>
      <c r="D728" s="8">
        <v>0.33333333333333331</v>
      </c>
      <c r="E728" s="8">
        <v>0.5</v>
      </c>
      <c r="F728" t="s">
        <v>461</v>
      </c>
      <c r="L728" t="s">
        <v>563</v>
      </c>
      <c r="M728" t="s">
        <v>478</v>
      </c>
      <c r="N728" t="str">
        <f>Tabela_tudo[[#This Row],[Médico]]&amp;" ("&amp;Tabela_tudo[[#This Row],[Obs]]&amp;")"</f>
        <v>BG (REUNIÃO HED)</v>
      </c>
    </row>
    <row r="729" spans="1:14" x14ac:dyDescent="0.3">
      <c r="A729" s="1">
        <v>45357</v>
      </c>
      <c r="B729" t="s">
        <v>23</v>
      </c>
      <c r="C729" t="s">
        <v>53</v>
      </c>
      <c r="D729" s="8">
        <v>0.33333333333333331</v>
      </c>
      <c r="E729" s="8">
        <v>0.5</v>
      </c>
      <c r="F729" t="s">
        <v>461</v>
      </c>
      <c r="L729" t="s">
        <v>563</v>
      </c>
      <c r="M729" t="s">
        <v>478</v>
      </c>
      <c r="N729" t="str">
        <f>Tabela_tudo[[#This Row],[Médico]]&amp;" ("&amp;Tabela_tudo[[#This Row],[Obs]]&amp;")"</f>
        <v>BG (REUNIÃO HED)</v>
      </c>
    </row>
    <row r="730" spans="1:14" x14ac:dyDescent="0.3">
      <c r="A730" s="1">
        <v>45350</v>
      </c>
      <c r="B730" t="s">
        <v>23</v>
      </c>
      <c r="C730" t="s">
        <v>53</v>
      </c>
      <c r="D730" s="8">
        <v>0.33333333333333331</v>
      </c>
      <c r="E730" s="8">
        <v>0.5</v>
      </c>
      <c r="F730" t="s">
        <v>461</v>
      </c>
      <c r="L730" t="s">
        <v>563</v>
      </c>
      <c r="M730" t="s">
        <v>478</v>
      </c>
      <c r="N730" t="str">
        <f>Tabela_tudo[[#This Row],[Médico]]&amp;" ("&amp;Tabela_tudo[[#This Row],[Obs]]&amp;")"</f>
        <v>BG (REUNIÃO HED)</v>
      </c>
    </row>
    <row r="731" spans="1:14" x14ac:dyDescent="0.3">
      <c r="A731" s="1">
        <v>45343</v>
      </c>
      <c r="B731" t="s">
        <v>23</v>
      </c>
      <c r="C731" t="s">
        <v>53</v>
      </c>
      <c r="D731" s="8">
        <v>0.33333333333333331</v>
      </c>
      <c r="E731" s="8">
        <v>0.5</v>
      </c>
      <c r="F731" t="s">
        <v>461</v>
      </c>
      <c r="L731" t="s">
        <v>563</v>
      </c>
      <c r="M731" t="s">
        <v>478</v>
      </c>
      <c r="N731" t="str">
        <f>Tabela_tudo[[#This Row],[Médico]]&amp;" ("&amp;Tabela_tudo[[#This Row],[Obs]]&amp;")"</f>
        <v>BG (REUNIÃO HED)</v>
      </c>
    </row>
    <row r="732" spans="1:14" x14ac:dyDescent="0.3">
      <c r="A732" s="1">
        <v>45364</v>
      </c>
      <c r="B732" t="s">
        <v>23</v>
      </c>
      <c r="C732" t="s">
        <v>53</v>
      </c>
      <c r="D732" s="8">
        <v>0.33333333333333331</v>
      </c>
      <c r="E732" s="8">
        <v>0.5</v>
      </c>
      <c r="F732" t="s">
        <v>461</v>
      </c>
      <c r="L732" t="s">
        <v>563</v>
      </c>
      <c r="M732" t="s">
        <v>478</v>
      </c>
      <c r="N732" t="str">
        <f>Tabela_tudo[[#This Row],[Médico]]&amp;" ("&amp;Tabela_tudo[[#This Row],[Obs]]&amp;")"</f>
        <v>BG (REUNIÃO HED)</v>
      </c>
    </row>
    <row r="733" spans="1:14" x14ac:dyDescent="0.3">
      <c r="A733" s="1">
        <v>45385</v>
      </c>
      <c r="B733" t="s">
        <v>23</v>
      </c>
      <c r="C733" t="s">
        <v>53</v>
      </c>
      <c r="D733" s="8">
        <v>0.33333333333333331</v>
      </c>
      <c r="E733" s="8">
        <v>0.5</v>
      </c>
      <c r="F733" t="s">
        <v>461</v>
      </c>
      <c r="L733" t="s">
        <v>563</v>
      </c>
      <c r="M733" t="s">
        <v>478</v>
      </c>
      <c r="N733" t="str">
        <f>Tabela_tudo[[#This Row],[Médico]]&amp;" ("&amp;Tabela_tudo[[#This Row],[Obs]]&amp;")"</f>
        <v>BG (REUNIÃO HED)</v>
      </c>
    </row>
    <row r="734" spans="1:14" x14ac:dyDescent="0.3">
      <c r="A734" s="1">
        <v>45378</v>
      </c>
      <c r="B734" t="s">
        <v>23</v>
      </c>
      <c r="C734" t="s">
        <v>53</v>
      </c>
      <c r="D734" s="8">
        <v>0.33333333333333331</v>
      </c>
      <c r="E734" s="8">
        <v>0.5</v>
      </c>
      <c r="F734" t="s">
        <v>461</v>
      </c>
      <c r="L734" t="s">
        <v>563</v>
      </c>
      <c r="M734" t="s">
        <v>478</v>
      </c>
      <c r="N734" t="str">
        <f>Tabela_tudo[[#This Row],[Médico]]&amp;" ("&amp;Tabela_tudo[[#This Row],[Obs]]&amp;")"</f>
        <v>BG (REUNIÃO HED)</v>
      </c>
    </row>
    <row r="735" spans="1:14" x14ac:dyDescent="0.3">
      <c r="A735" s="1">
        <v>45371</v>
      </c>
      <c r="B735" t="s">
        <v>23</v>
      </c>
      <c r="C735" t="s">
        <v>53</v>
      </c>
      <c r="D735" s="8">
        <v>0.33333333333333331</v>
      </c>
      <c r="E735" s="8">
        <v>0.5</v>
      </c>
      <c r="F735" t="s">
        <v>461</v>
      </c>
      <c r="L735" t="s">
        <v>563</v>
      </c>
      <c r="M735" t="s">
        <v>478</v>
      </c>
      <c r="N735" t="str">
        <f>Tabela_tudo[[#This Row],[Médico]]&amp;" ("&amp;Tabela_tudo[[#This Row],[Obs]]&amp;")"</f>
        <v>BG (REUNIÃO HED)</v>
      </c>
    </row>
    <row r="736" spans="1:14" x14ac:dyDescent="0.3">
      <c r="A736" s="1">
        <v>45651</v>
      </c>
      <c r="B736" t="s">
        <v>23</v>
      </c>
      <c r="C736" t="s">
        <v>53</v>
      </c>
      <c r="D736" s="8">
        <v>0.33333333333333331</v>
      </c>
      <c r="E736" s="8">
        <v>0.5</v>
      </c>
      <c r="F736" t="s">
        <v>461</v>
      </c>
      <c r="L736" t="s">
        <v>563</v>
      </c>
      <c r="M736" t="s">
        <v>478</v>
      </c>
      <c r="N736" t="str">
        <f>Tabela_tudo[[#This Row],[Médico]]&amp;" ("&amp;Tabela_tudo[[#This Row],[Obs]]&amp;")"</f>
        <v>BG (REUNIÃO HED)</v>
      </c>
    </row>
    <row r="737" spans="1:14" x14ac:dyDescent="0.3">
      <c r="A737" s="1">
        <v>45211</v>
      </c>
      <c r="B737" t="s">
        <v>47</v>
      </c>
      <c r="C737" t="s">
        <v>24</v>
      </c>
      <c r="D737" s="8">
        <v>0.29166666666666669</v>
      </c>
      <c r="E737" s="8">
        <v>0.91666666666666663</v>
      </c>
      <c r="F737" t="s">
        <v>462</v>
      </c>
      <c r="L737" t="s">
        <v>563</v>
      </c>
      <c r="M737" t="s">
        <v>478</v>
      </c>
      <c r="N737" t="str">
        <f>Tabela_tudo[[#This Row],[Médico]]&amp;" ("&amp;Tabela_tudo[[#This Row],[Obs]]&amp;")"</f>
        <v>VIN (HED ALUNOS O DIA INTEIRO)</v>
      </c>
    </row>
    <row r="738" spans="1:14" x14ac:dyDescent="0.3">
      <c r="A738" s="1">
        <v>45197</v>
      </c>
      <c r="B738" t="s">
        <v>47</v>
      </c>
      <c r="C738" t="s">
        <v>24</v>
      </c>
      <c r="D738" s="8">
        <v>0.29166666666666669</v>
      </c>
      <c r="E738" s="8">
        <v>0.91666666666666663</v>
      </c>
      <c r="F738" t="s">
        <v>462</v>
      </c>
      <c r="L738" t="s">
        <v>563</v>
      </c>
      <c r="M738" t="s">
        <v>478</v>
      </c>
      <c r="N738" t="str">
        <f>Tabela_tudo[[#This Row],[Médico]]&amp;" ("&amp;Tabela_tudo[[#This Row],[Obs]]&amp;")"</f>
        <v>VIN (HED ALUNOS O DIA INTEIRO)</v>
      </c>
    </row>
    <row r="739" spans="1:14" x14ac:dyDescent="0.3">
      <c r="A739" s="1">
        <v>45190</v>
      </c>
      <c r="B739" t="s">
        <v>47</v>
      </c>
      <c r="C739" t="s">
        <v>24</v>
      </c>
      <c r="D739" s="8">
        <v>0.29166666666666669</v>
      </c>
      <c r="E739" s="8">
        <v>0.91666666666666663</v>
      </c>
      <c r="F739" t="s">
        <v>462</v>
      </c>
      <c r="L739" t="s">
        <v>563</v>
      </c>
      <c r="M739" t="s">
        <v>478</v>
      </c>
      <c r="N739" t="str">
        <f>Tabela_tudo[[#This Row],[Médico]]&amp;" ("&amp;Tabela_tudo[[#This Row],[Obs]]&amp;")"</f>
        <v>VIN (HED ALUNOS O DIA INTEIRO)</v>
      </c>
    </row>
    <row r="740" spans="1:14" x14ac:dyDescent="0.3">
      <c r="A740" s="1">
        <v>45218</v>
      </c>
      <c r="B740" t="s">
        <v>47</v>
      </c>
      <c r="C740" t="s">
        <v>24</v>
      </c>
      <c r="D740" s="8">
        <v>0.29166666666666669</v>
      </c>
      <c r="E740" s="8">
        <v>0.91666666666666663</v>
      </c>
      <c r="F740" t="s">
        <v>462</v>
      </c>
      <c r="L740" t="s">
        <v>563</v>
      </c>
      <c r="M740" t="s">
        <v>478</v>
      </c>
      <c r="N740" t="str">
        <f>Tabela_tudo[[#This Row],[Médico]]&amp;" ("&amp;Tabela_tudo[[#This Row],[Obs]]&amp;")"</f>
        <v>VIN (HED ALUNOS O DIA INTEIRO)</v>
      </c>
    </row>
    <row r="741" spans="1:14" x14ac:dyDescent="0.3">
      <c r="A741" s="1">
        <v>45239</v>
      </c>
      <c r="B741" t="s">
        <v>47</v>
      </c>
      <c r="C741" t="s">
        <v>24</v>
      </c>
      <c r="D741" s="8">
        <v>0.29166666666666669</v>
      </c>
      <c r="E741" s="8">
        <v>0.91666666666666663</v>
      </c>
      <c r="F741" t="s">
        <v>462</v>
      </c>
      <c r="L741" t="s">
        <v>563</v>
      </c>
      <c r="M741" t="s">
        <v>478</v>
      </c>
      <c r="N741" t="str">
        <f>Tabela_tudo[[#This Row],[Médico]]&amp;" ("&amp;Tabela_tudo[[#This Row],[Obs]]&amp;")"</f>
        <v>VIN (HED ALUNOS O DIA INTEIRO)</v>
      </c>
    </row>
    <row r="742" spans="1:14" x14ac:dyDescent="0.3">
      <c r="A742" s="1">
        <v>45232</v>
      </c>
      <c r="B742" t="s">
        <v>47</v>
      </c>
      <c r="C742" t="s">
        <v>24</v>
      </c>
      <c r="D742" s="8">
        <v>0.29166666666666669</v>
      </c>
      <c r="E742" s="8">
        <v>0.91666666666666663</v>
      </c>
      <c r="F742" t="s">
        <v>462</v>
      </c>
      <c r="L742" t="s">
        <v>563</v>
      </c>
      <c r="M742" t="s">
        <v>478</v>
      </c>
      <c r="N742" t="str">
        <f>Tabela_tudo[[#This Row],[Médico]]&amp;" ("&amp;Tabela_tudo[[#This Row],[Obs]]&amp;")"</f>
        <v>VIN (HED ALUNOS O DIA INTEIRO)</v>
      </c>
    </row>
    <row r="743" spans="1:14" x14ac:dyDescent="0.3">
      <c r="A743" s="1">
        <v>45225</v>
      </c>
      <c r="B743" t="s">
        <v>47</v>
      </c>
      <c r="C743" t="s">
        <v>24</v>
      </c>
      <c r="D743" s="8">
        <v>0.29166666666666669</v>
      </c>
      <c r="E743" s="8">
        <v>0.91666666666666663</v>
      </c>
      <c r="F743" t="s">
        <v>462</v>
      </c>
      <c r="L743" t="s">
        <v>563</v>
      </c>
      <c r="M743" t="s">
        <v>478</v>
      </c>
      <c r="N743" t="str">
        <f>Tabela_tudo[[#This Row],[Médico]]&amp;" ("&amp;Tabela_tudo[[#This Row],[Obs]]&amp;")"</f>
        <v>VIN (HED ALUNOS O DIA INTEIRO)</v>
      </c>
    </row>
    <row r="744" spans="1:14" x14ac:dyDescent="0.3">
      <c r="A744" s="1">
        <v>45155</v>
      </c>
      <c r="B744" t="s">
        <v>47</v>
      </c>
      <c r="C744" t="s">
        <v>24</v>
      </c>
      <c r="D744" s="8">
        <v>0.29166666666666669</v>
      </c>
      <c r="E744" s="8">
        <v>0.91666666666666663</v>
      </c>
      <c r="F744" t="s">
        <v>462</v>
      </c>
      <c r="L744" t="s">
        <v>563</v>
      </c>
      <c r="M744" t="s">
        <v>478</v>
      </c>
      <c r="N744" t="str">
        <f>Tabela_tudo[[#This Row],[Médico]]&amp;" ("&amp;Tabela_tudo[[#This Row],[Obs]]&amp;")"</f>
        <v>VIN (HED ALUNOS O DIA INTEIRO)</v>
      </c>
    </row>
    <row r="745" spans="1:14" x14ac:dyDescent="0.3">
      <c r="A745" s="1">
        <v>45148</v>
      </c>
      <c r="B745" t="s">
        <v>47</v>
      </c>
      <c r="C745" t="s">
        <v>24</v>
      </c>
      <c r="D745" s="8">
        <v>0.29166666666666669</v>
      </c>
      <c r="E745" s="8">
        <v>0.91666666666666663</v>
      </c>
      <c r="F745" t="s">
        <v>462</v>
      </c>
      <c r="L745" t="s">
        <v>563</v>
      </c>
      <c r="M745" t="s">
        <v>478</v>
      </c>
      <c r="N745" t="str">
        <f>Tabela_tudo[[#This Row],[Médico]]&amp;" ("&amp;Tabela_tudo[[#This Row],[Obs]]&amp;")"</f>
        <v>VIN (HED ALUNOS O DIA INTEIRO)</v>
      </c>
    </row>
    <row r="746" spans="1:14" x14ac:dyDescent="0.3">
      <c r="A746" s="1">
        <v>45141</v>
      </c>
      <c r="B746" t="s">
        <v>47</v>
      </c>
      <c r="C746" t="s">
        <v>24</v>
      </c>
      <c r="D746" s="8">
        <v>0.29166666666666669</v>
      </c>
      <c r="E746" s="8">
        <v>0.91666666666666663</v>
      </c>
      <c r="F746" t="s">
        <v>462</v>
      </c>
      <c r="L746" t="s">
        <v>563</v>
      </c>
      <c r="M746" t="s">
        <v>478</v>
      </c>
      <c r="N746" t="str">
        <f>Tabela_tudo[[#This Row],[Médico]]&amp;" ("&amp;Tabela_tudo[[#This Row],[Obs]]&amp;")"</f>
        <v>VIN (HED ALUNOS O DIA INTEIRO)</v>
      </c>
    </row>
    <row r="747" spans="1:14" x14ac:dyDescent="0.3">
      <c r="A747" s="1">
        <v>45162</v>
      </c>
      <c r="B747" t="s">
        <v>47</v>
      </c>
      <c r="C747" t="s">
        <v>24</v>
      </c>
      <c r="D747" s="8">
        <v>0.29166666666666669</v>
      </c>
      <c r="E747" s="8">
        <v>0.91666666666666663</v>
      </c>
      <c r="F747" t="s">
        <v>462</v>
      </c>
      <c r="L747" t="s">
        <v>563</v>
      </c>
      <c r="M747" t="s">
        <v>478</v>
      </c>
      <c r="N747" t="str">
        <f>Tabela_tudo[[#This Row],[Médico]]&amp;" ("&amp;Tabela_tudo[[#This Row],[Obs]]&amp;")"</f>
        <v>VIN (HED ALUNOS O DIA INTEIRO)</v>
      </c>
    </row>
    <row r="748" spans="1:14" x14ac:dyDescent="0.3">
      <c r="A748" s="1">
        <v>45183</v>
      </c>
      <c r="B748" t="s">
        <v>47</v>
      </c>
      <c r="C748" t="s">
        <v>24</v>
      </c>
      <c r="D748" s="8">
        <v>0.29166666666666669</v>
      </c>
      <c r="E748" s="8">
        <v>0.91666666666666663</v>
      </c>
      <c r="F748" t="s">
        <v>462</v>
      </c>
      <c r="L748" t="s">
        <v>563</v>
      </c>
      <c r="M748" t="s">
        <v>478</v>
      </c>
      <c r="N748" t="str">
        <f>Tabela_tudo[[#This Row],[Médico]]&amp;" ("&amp;Tabela_tudo[[#This Row],[Obs]]&amp;")"</f>
        <v>VIN (HED ALUNOS O DIA INTEIRO)</v>
      </c>
    </row>
    <row r="749" spans="1:14" x14ac:dyDescent="0.3">
      <c r="A749" s="1">
        <v>45176</v>
      </c>
      <c r="B749" t="s">
        <v>47</v>
      </c>
      <c r="C749" t="s">
        <v>24</v>
      </c>
      <c r="D749" s="8">
        <v>0.29166666666666669</v>
      </c>
      <c r="E749" s="8">
        <v>0.91666666666666663</v>
      </c>
      <c r="F749" t="s">
        <v>462</v>
      </c>
      <c r="L749" t="s">
        <v>563</v>
      </c>
      <c r="M749" t="s">
        <v>478</v>
      </c>
      <c r="N749" t="str">
        <f>Tabela_tudo[[#This Row],[Médico]]&amp;" ("&amp;Tabela_tudo[[#This Row],[Obs]]&amp;")"</f>
        <v>VIN (HED ALUNOS O DIA INTEIRO)</v>
      </c>
    </row>
    <row r="750" spans="1:14" x14ac:dyDescent="0.3">
      <c r="A750" s="1">
        <v>45169</v>
      </c>
      <c r="B750" t="s">
        <v>47</v>
      </c>
      <c r="C750" t="s">
        <v>24</v>
      </c>
      <c r="D750" s="8">
        <v>0.29166666666666669</v>
      </c>
      <c r="E750" s="8">
        <v>0.91666666666666663</v>
      </c>
      <c r="F750" t="s">
        <v>462</v>
      </c>
      <c r="L750" t="s">
        <v>563</v>
      </c>
      <c r="M750" t="s">
        <v>478</v>
      </c>
      <c r="N750" t="str">
        <f>Tabela_tudo[[#This Row],[Médico]]&amp;" ("&amp;Tabela_tudo[[#This Row],[Obs]]&amp;")"</f>
        <v>VIN (HED ALUNOS O DIA INTEIRO)</v>
      </c>
    </row>
    <row r="751" spans="1:14" x14ac:dyDescent="0.3">
      <c r="A751" s="1">
        <v>45246</v>
      </c>
      <c r="B751" t="s">
        <v>47</v>
      </c>
      <c r="C751" t="s">
        <v>24</v>
      </c>
      <c r="D751" s="8">
        <v>0.29166666666666669</v>
      </c>
      <c r="E751" s="8">
        <v>0.91666666666666663</v>
      </c>
      <c r="F751" t="s">
        <v>462</v>
      </c>
      <c r="L751" t="s">
        <v>563</v>
      </c>
      <c r="M751" t="s">
        <v>478</v>
      </c>
      <c r="N751" t="str">
        <f>Tabela_tudo[[#This Row],[Médico]]&amp;" ("&amp;Tabela_tudo[[#This Row],[Obs]]&amp;")"</f>
        <v>VIN (HED ALUNOS O DIA INTEIRO)</v>
      </c>
    </row>
    <row r="752" spans="1:14" x14ac:dyDescent="0.3">
      <c r="A752" s="1">
        <v>45316</v>
      </c>
      <c r="B752" t="s">
        <v>47</v>
      </c>
      <c r="C752" t="s">
        <v>24</v>
      </c>
      <c r="D752" s="8">
        <v>0.29166666666666669</v>
      </c>
      <c r="E752" s="8">
        <v>0.91666666666666663</v>
      </c>
      <c r="F752" t="s">
        <v>462</v>
      </c>
      <c r="L752" t="s">
        <v>563</v>
      </c>
      <c r="M752" t="s">
        <v>478</v>
      </c>
      <c r="N752" t="str">
        <f>Tabela_tudo[[#This Row],[Médico]]&amp;" ("&amp;Tabela_tudo[[#This Row],[Obs]]&amp;")"</f>
        <v>VIN (HED ALUNOS O DIA INTEIRO)</v>
      </c>
    </row>
    <row r="753" spans="1:14" x14ac:dyDescent="0.3">
      <c r="A753" s="1">
        <v>45309</v>
      </c>
      <c r="B753" t="s">
        <v>47</v>
      </c>
      <c r="C753" t="s">
        <v>24</v>
      </c>
      <c r="D753" s="8">
        <v>0.29166666666666669</v>
      </c>
      <c r="E753" s="8">
        <v>0.91666666666666663</v>
      </c>
      <c r="F753" t="s">
        <v>462</v>
      </c>
      <c r="L753" t="s">
        <v>563</v>
      </c>
      <c r="M753" t="s">
        <v>478</v>
      </c>
      <c r="N753" t="str">
        <f>Tabela_tudo[[#This Row],[Médico]]&amp;" ("&amp;Tabela_tudo[[#This Row],[Obs]]&amp;")"</f>
        <v>VIN (HED ALUNOS O DIA INTEIRO)</v>
      </c>
    </row>
    <row r="754" spans="1:14" x14ac:dyDescent="0.3">
      <c r="A754" s="1">
        <v>45302</v>
      </c>
      <c r="B754" t="s">
        <v>47</v>
      </c>
      <c r="C754" t="s">
        <v>24</v>
      </c>
      <c r="D754" s="8">
        <v>0.29166666666666669</v>
      </c>
      <c r="E754" s="8">
        <v>0.91666666666666663</v>
      </c>
      <c r="F754" t="s">
        <v>462</v>
      </c>
      <c r="L754" t="s">
        <v>563</v>
      </c>
      <c r="M754" t="s">
        <v>478</v>
      </c>
      <c r="N754" t="str">
        <f>Tabela_tudo[[#This Row],[Médico]]&amp;" ("&amp;Tabela_tudo[[#This Row],[Obs]]&amp;")"</f>
        <v>VIN (HED ALUNOS O DIA INTEIRO)</v>
      </c>
    </row>
    <row r="755" spans="1:14" x14ac:dyDescent="0.3">
      <c r="A755" s="1">
        <v>45323</v>
      </c>
      <c r="B755" t="s">
        <v>47</v>
      </c>
      <c r="C755" t="s">
        <v>24</v>
      </c>
      <c r="D755" s="8">
        <v>0.29166666666666669</v>
      </c>
      <c r="E755" s="8">
        <v>0.91666666666666663</v>
      </c>
      <c r="F755" t="s">
        <v>462</v>
      </c>
      <c r="L755" t="s">
        <v>563</v>
      </c>
      <c r="M755" t="s">
        <v>478</v>
      </c>
      <c r="N755" t="str">
        <f>Tabela_tudo[[#This Row],[Médico]]&amp;" ("&amp;Tabela_tudo[[#This Row],[Obs]]&amp;")"</f>
        <v>VIN (HED ALUNOS O DIA INTEIRO)</v>
      </c>
    </row>
    <row r="756" spans="1:14" x14ac:dyDescent="0.3">
      <c r="A756" s="1">
        <v>45344</v>
      </c>
      <c r="B756" t="s">
        <v>47</v>
      </c>
      <c r="C756" t="s">
        <v>24</v>
      </c>
      <c r="D756" s="8">
        <v>0.29166666666666669</v>
      </c>
      <c r="E756" s="8">
        <v>0.91666666666666663</v>
      </c>
      <c r="F756" t="s">
        <v>462</v>
      </c>
      <c r="L756" t="s">
        <v>563</v>
      </c>
      <c r="M756" t="s">
        <v>478</v>
      </c>
      <c r="N756" t="str">
        <f>Tabela_tudo[[#This Row],[Médico]]&amp;" ("&amp;Tabela_tudo[[#This Row],[Obs]]&amp;")"</f>
        <v>VIN (HED ALUNOS O DIA INTEIRO)</v>
      </c>
    </row>
    <row r="757" spans="1:14" x14ac:dyDescent="0.3">
      <c r="A757" s="1">
        <v>45337</v>
      </c>
      <c r="B757" t="s">
        <v>47</v>
      </c>
      <c r="C757" t="s">
        <v>24</v>
      </c>
      <c r="D757" s="8">
        <v>0.29166666666666669</v>
      </c>
      <c r="E757" s="8">
        <v>0.91666666666666663</v>
      </c>
      <c r="F757" t="s">
        <v>462</v>
      </c>
      <c r="L757" t="s">
        <v>563</v>
      </c>
      <c r="M757" t="s">
        <v>478</v>
      </c>
      <c r="N757" t="str">
        <f>Tabela_tudo[[#This Row],[Médico]]&amp;" ("&amp;Tabela_tudo[[#This Row],[Obs]]&amp;")"</f>
        <v>VIN (HED ALUNOS O DIA INTEIRO)</v>
      </c>
    </row>
    <row r="758" spans="1:14" x14ac:dyDescent="0.3">
      <c r="A758" s="1">
        <v>45330</v>
      </c>
      <c r="B758" t="s">
        <v>47</v>
      </c>
      <c r="C758" t="s">
        <v>24</v>
      </c>
      <c r="D758" s="8">
        <v>0.29166666666666669</v>
      </c>
      <c r="E758" s="8">
        <v>0.91666666666666663</v>
      </c>
      <c r="F758" t="s">
        <v>462</v>
      </c>
      <c r="L758" t="s">
        <v>563</v>
      </c>
      <c r="M758" t="s">
        <v>478</v>
      </c>
      <c r="N758" t="str">
        <f>Tabela_tudo[[#This Row],[Médico]]&amp;" ("&amp;Tabela_tudo[[#This Row],[Obs]]&amp;")"</f>
        <v>VIN (HED ALUNOS O DIA INTEIRO)</v>
      </c>
    </row>
    <row r="759" spans="1:14" x14ac:dyDescent="0.3">
      <c r="A759" s="1">
        <v>45267</v>
      </c>
      <c r="B759" t="s">
        <v>47</v>
      </c>
      <c r="C759" t="s">
        <v>24</v>
      </c>
      <c r="D759" s="8">
        <v>0.29166666666666669</v>
      </c>
      <c r="E759" s="8">
        <v>0.91666666666666663</v>
      </c>
      <c r="F759" t="s">
        <v>462</v>
      </c>
      <c r="L759" t="s">
        <v>563</v>
      </c>
      <c r="M759" t="s">
        <v>478</v>
      </c>
      <c r="N759" t="str">
        <f>Tabela_tudo[[#This Row],[Médico]]&amp;" ("&amp;Tabela_tudo[[#This Row],[Obs]]&amp;")"</f>
        <v>VIN (HED ALUNOS O DIA INTEIRO)</v>
      </c>
    </row>
    <row r="760" spans="1:14" x14ac:dyDescent="0.3">
      <c r="A760" s="1">
        <v>45260</v>
      </c>
      <c r="B760" t="s">
        <v>47</v>
      </c>
      <c r="C760" t="s">
        <v>24</v>
      </c>
      <c r="D760" s="8">
        <v>0.29166666666666669</v>
      </c>
      <c r="E760" s="8">
        <v>0.91666666666666663</v>
      </c>
      <c r="F760" t="s">
        <v>462</v>
      </c>
      <c r="L760" t="s">
        <v>563</v>
      </c>
      <c r="M760" t="s">
        <v>478</v>
      </c>
      <c r="N760" t="str">
        <f>Tabela_tudo[[#This Row],[Médico]]&amp;" ("&amp;Tabela_tudo[[#This Row],[Obs]]&amp;")"</f>
        <v>VIN (HED ALUNOS O DIA INTEIRO)</v>
      </c>
    </row>
    <row r="761" spans="1:14" x14ac:dyDescent="0.3">
      <c r="A761" s="1">
        <v>45253</v>
      </c>
      <c r="B761" t="s">
        <v>47</v>
      </c>
      <c r="C761" t="s">
        <v>24</v>
      </c>
      <c r="D761" s="8">
        <v>0.29166666666666669</v>
      </c>
      <c r="E761" s="8">
        <v>0.91666666666666663</v>
      </c>
      <c r="F761" t="s">
        <v>462</v>
      </c>
      <c r="L761" t="s">
        <v>563</v>
      </c>
      <c r="M761" t="s">
        <v>478</v>
      </c>
      <c r="N761" t="str">
        <f>Tabela_tudo[[#This Row],[Médico]]&amp;" ("&amp;Tabela_tudo[[#This Row],[Obs]]&amp;")"</f>
        <v>VIN (HED ALUNOS O DIA INTEIRO)</v>
      </c>
    </row>
    <row r="762" spans="1:14" x14ac:dyDescent="0.3">
      <c r="A762" s="1">
        <v>45274</v>
      </c>
      <c r="B762" t="s">
        <v>47</v>
      </c>
      <c r="C762" t="s">
        <v>24</v>
      </c>
      <c r="D762" s="8">
        <v>0.29166666666666669</v>
      </c>
      <c r="E762" s="8">
        <v>0.91666666666666663</v>
      </c>
      <c r="F762" t="s">
        <v>462</v>
      </c>
      <c r="L762" t="s">
        <v>563</v>
      </c>
      <c r="M762" t="s">
        <v>478</v>
      </c>
      <c r="N762" t="str">
        <f>Tabela_tudo[[#This Row],[Médico]]&amp;" ("&amp;Tabela_tudo[[#This Row],[Obs]]&amp;")"</f>
        <v>VIN (HED ALUNOS O DIA INTEIRO)</v>
      </c>
    </row>
    <row r="763" spans="1:14" x14ac:dyDescent="0.3">
      <c r="A763" s="1">
        <v>45295</v>
      </c>
      <c r="B763" t="s">
        <v>47</v>
      </c>
      <c r="C763" t="s">
        <v>24</v>
      </c>
      <c r="D763" s="8">
        <v>0.29166666666666669</v>
      </c>
      <c r="E763" s="8">
        <v>0.91666666666666663</v>
      </c>
      <c r="F763" t="s">
        <v>462</v>
      </c>
      <c r="L763" t="s">
        <v>563</v>
      </c>
      <c r="M763" t="s">
        <v>478</v>
      </c>
      <c r="N763" t="str">
        <f>Tabela_tudo[[#This Row],[Médico]]&amp;" ("&amp;Tabela_tudo[[#This Row],[Obs]]&amp;")"</f>
        <v>VIN (HED ALUNOS O DIA INTEIRO)</v>
      </c>
    </row>
    <row r="764" spans="1:14" x14ac:dyDescent="0.3">
      <c r="A764" s="1">
        <v>45288</v>
      </c>
      <c r="B764" t="s">
        <v>47</v>
      </c>
      <c r="C764" t="s">
        <v>24</v>
      </c>
      <c r="D764" s="8">
        <v>0.29166666666666669</v>
      </c>
      <c r="E764" s="8">
        <v>0.91666666666666663</v>
      </c>
      <c r="F764" t="s">
        <v>462</v>
      </c>
      <c r="L764" t="s">
        <v>563</v>
      </c>
      <c r="M764" t="s">
        <v>478</v>
      </c>
      <c r="N764" t="str">
        <f>Tabela_tudo[[#This Row],[Médico]]&amp;" ("&amp;Tabela_tudo[[#This Row],[Obs]]&amp;")"</f>
        <v>VIN (HED ALUNOS O DIA INTEIRO)</v>
      </c>
    </row>
    <row r="765" spans="1:14" x14ac:dyDescent="0.3">
      <c r="A765" s="1">
        <v>45281</v>
      </c>
      <c r="B765" t="s">
        <v>47</v>
      </c>
      <c r="C765" t="s">
        <v>24</v>
      </c>
      <c r="D765" s="8">
        <v>0.29166666666666669</v>
      </c>
      <c r="E765" s="8">
        <v>0.91666666666666663</v>
      </c>
      <c r="F765" t="s">
        <v>462</v>
      </c>
      <c r="L765" t="s">
        <v>563</v>
      </c>
      <c r="M765" t="s">
        <v>478</v>
      </c>
      <c r="N765" t="str">
        <f>Tabela_tudo[[#This Row],[Médico]]&amp;" ("&amp;Tabela_tudo[[#This Row],[Obs]]&amp;")"</f>
        <v>VIN (HED ALUNOS O DIA INTEIRO)</v>
      </c>
    </row>
    <row r="766" spans="1:14" x14ac:dyDescent="0.3">
      <c r="A766" s="1">
        <v>45134</v>
      </c>
      <c r="B766" t="s">
        <v>47</v>
      </c>
      <c r="C766" t="s">
        <v>24</v>
      </c>
      <c r="D766" s="8">
        <v>0.29166666666666669</v>
      </c>
      <c r="E766" s="8">
        <v>0.91666666666666663</v>
      </c>
      <c r="F766" t="s">
        <v>462</v>
      </c>
      <c r="L766" t="s">
        <v>563</v>
      </c>
      <c r="M766" t="s">
        <v>478</v>
      </c>
      <c r="N766" t="str">
        <f>Tabela_tudo[[#This Row],[Médico]]&amp;" ("&amp;Tabela_tudo[[#This Row],[Obs]]&amp;")"</f>
        <v>VIN (HED ALUNOS O DIA INTEIRO)</v>
      </c>
    </row>
    <row r="767" spans="1:14" x14ac:dyDescent="0.3">
      <c r="A767" s="1">
        <v>44994</v>
      </c>
      <c r="B767" t="s">
        <v>47</v>
      </c>
      <c r="C767" t="s">
        <v>24</v>
      </c>
      <c r="D767" s="8">
        <v>0.29166666666666669</v>
      </c>
      <c r="E767" s="8">
        <v>0.91666666666666663</v>
      </c>
      <c r="F767" t="s">
        <v>462</v>
      </c>
      <c r="L767" t="s">
        <v>563</v>
      </c>
      <c r="M767" t="s">
        <v>478</v>
      </c>
      <c r="N767" t="str">
        <f>Tabela_tudo[[#This Row],[Médico]]&amp;" ("&amp;Tabela_tudo[[#This Row],[Obs]]&amp;")"</f>
        <v>VIN (HED ALUNOS O DIA INTEIRO)</v>
      </c>
    </row>
    <row r="768" spans="1:14" x14ac:dyDescent="0.3">
      <c r="A768" s="1">
        <v>44987</v>
      </c>
      <c r="B768" t="s">
        <v>47</v>
      </c>
      <c r="C768" t="s">
        <v>24</v>
      </c>
      <c r="D768" s="8">
        <v>0.29166666666666669</v>
      </c>
      <c r="E768" s="8">
        <v>0.91666666666666663</v>
      </c>
      <c r="F768" t="s">
        <v>462</v>
      </c>
      <c r="L768" t="s">
        <v>563</v>
      </c>
      <c r="M768" t="s">
        <v>478</v>
      </c>
      <c r="N768" t="str">
        <f>Tabela_tudo[[#This Row],[Médico]]&amp;" ("&amp;Tabela_tudo[[#This Row],[Obs]]&amp;")"</f>
        <v>VIN (HED ALUNOS O DIA INTEIRO)</v>
      </c>
    </row>
    <row r="769" spans="1:14" x14ac:dyDescent="0.3">
      <c r="A769" s="1">
        <v>44980</v>
      </c>
      <c r="B769" t="s">
        <v>47</v>
      </c>
      <c r="C769" t="s">
        <v>24</v>
      </c>
      <c r="D769" s="8">
        <v>0.29166666666666669</v>
      </c>
      <c r="E769" s="8">
        <v>0.91666666666666663</v>
      </c>
      <c r="F769" t="s">
        <v>462</v>
      </c>
      <c r="L769" t="s">
        <v>563</v>
      </c>
      <c r="M769" t="s">
        <v>478</v>
      </c>
      <c r="N769" t="str">
        <f>Tabela_tudo[[#This Row],[Médico]]&amp;" ("&amp;Tabela_tudo[[#This Row],[Obs]]&amp;")"</f>
        <v>VIN (HED ALUNOS O DIA INTEIRO)</v>
      </c>
    </row>
    <row r="770" spans="1:14" x14ac:dyDescent="0.3">
      <c r="A770" s="1">
        <v>45001</v>
      </c>
      <c r="B770" t="s">
        <v>47</v>
      </c>
      <c r="C770" t="s">
        <v>24</v>
      </c>
      <c r="D770" s="8">
        <v>0.29166666666666669</v>
      </c>
      <c r="E770" s="8">
        <v>0.91666666666666663</v>
      </c>
      <c r="F770" t="s">
        <v>462</v>
      </c>
      <c r="L770" t="s">
        <v>563</v>
      </c>
      <c r="M770" t="s">
        <v>478</v>
      </c>
      <c r="N770" t="str">
        <f>Tabela_tudo[[#This Row],[Médico]]&amp;" ("&amp;Tabela_tudo[[#This Row],[Obs]]&amp;")"</f>
        <v>VIN (HED ALUNOS O DIA INTEIRO)</v>
      </c>
    </row>
    <row r="771" spans="1:14" x14ac:dyDescent="0.3">
      <c r="A771" s="1">
        <v>45022</v>
      </c>
      <c r="B771" t="s">
        <v>47</v>
      </c>
      <c r="C771" t="s">
        <v>24</v>
      </c>
      <c r="D771" s="8">
        <v>0.29166666666666669</v>
      </c>
      <c r="E771" s="8">
        <v>0.91666666666666663</v>
      </c>
      <c r="F771" t="s">
        <v>462</v>
      </c>
      <c r="L771" t="s">
        <v>563</v>
      </c>
      <c r="M771" t="s">
        <v>478</v>
      </c>
      <c r="N771" t="str">
        <f>Tabela_tudo[[#This Row],[Médico]]&amp;" ("&amp;Tabela_tudo[[#This Row],[Obs]]&amp;")"</f>
        <v>VIN (HED ALUNOS O DIA INTEIRO)</v>
      </c>
    </row>
    <row r="772" spans="1:14" x14ac:dyDescent="0.3">
      <c r="A772" s="1">
        <v>45015</v>
      </c>
      <c r="B772" t="s">
        <v>47</v>
      </c>
      <c r="C772" t="s">
        <v>24</v>
      </c>
      <c r="D772" s="8">
        <v>0.29166666666666669</v>
      </c>
      <c r="E772" s="8">
        <v>0.91666666666666663</v>
      </c>
      <c r="F772" t="s">
        <v>462</v>
      </c>
      <c r="L772" t="s">
        <v>563</v>
      </c>
      <c r="M772" t="s">
        <v>478</v>
      </c>
      <c r="N772" t="str">
        <f>Tabela_tudo[[#This Row],[Médico]]&amp;" ("&amp;Tabela_tudo[[#This Row],[Obs]]&amp;")"</f>
        <v>VIN (HED ALUNOS O DIA INTEIRO)</v>
      </c>
    </row>
    <row r="773" spans="1:14" x14ac:dyDescent="0.3">
      <c r="A773" s="1">
        <v>45008</v>
      </c>
      <c r="B773" t="s">
        <v>47</v>
      </c>
      <c r="C773" t="s">
        <v>24</v>
      </c>
      <c r="D773" s="8">
        <v>0.29166666666666669</v>
      </c>
      <c r="E773" s="8">
        <v>0.91666666666666663</v>
      </c>
      <c r="F773" t="s">
        <v>462</v>
      </c>
      <c r="L773" t="s">
        <v>563</v>
      </c>
      <c r="M773" t="s">
        <v>478</v>
      </c>
      <c r="N773" t="str">
        <f>Tabela_tudo[[#This Row],[Médico]]&amp;" ("&amp;Tabela_tudo[[#This Row],[Obs]]&amp;")"</f>
        <v>VIN (HED ALUNOS O DIA INTEIRO)</v>
      </c>
    </row>
    <row r="774" spans="1:14" x14ac:dyDescent="0.3">
      <c r="A774" s="1">
        <v>44945</v>
      </c>
      <c r="B774" t="s">
        <v>47</v>
      </c>
      <c r="C774" t="s">
        <v>24</v>
      </c>
      <c r="D774" s="8">
        <v>0.29166666666666669</v>
      </c>
      <c r="E774" s="8">
        <v>0.91666666666666663</v>
      </c>
      <c r="F774" t="s">
        <v>462</v>
      </c>
      <c r="L774" t="s">
        <v>563</v>
      </c>
      <c r="M774" t="s">
        <v>478</v>
      </c>
      <c r="N774" t="str">
        <f>Tabela_tudo[[#This Row],[Médico]]&amp;" ("&amp;Tabela_tudo[[#This Row],[Obs]]&amp;")"</f>
        <v>VIN (HED ALUNOS O DIA INTEIRO)</v>
      </c>
    </row>
    <row r="775" spans="1:14" x14ac:dyDescent="0.3">
      <c r="A775" s="1">
        <v>44938</v>
      </c>
      <c r="B775" t="s">
        <v>47</v>
      </c>
      <c r="C775" t="s">
        <v>24</v>
      </c>
      <c r="D775" s="8">
        <v>0.29166666666666669</v>
      </c>
      <c r="E775" s="8">
        <v>0.91666666666666663</v>
      </c>
      <c r="F775" t="s">
        <v>462</v>
      </c>
      <c r="L775" t="s">
        <v>563</v>
      </c>
      <c r="M775" t="s">
        <v>478</v>
      </c>
      <c r="N775" t="str">
        <f>Tabela_tudo[[#This Row],[Médico]]&amp;" ("&amp;Tabela_tudo[[#This Row],[Obs]]&amp;")"</f>
        <v>VIN (HED ALUNOS O DIA INTEIRO)</v>
      </c>
    </row>
    <row r="776" spans="1:14" x14ac:dyDescent="0.3">
      <c r="A776" s="1">
        <v>44931</v>
      </c>
      <c r="B776" t="s">
        <v>47</v>
      </c>
      <c r="C776" t="s">
        <v>24</v>
      </c>
      <c r="D776" s="8">
        <v>0.29166666666666669</v>
      </c>
      <c r="E776" s="8">
        <v>0.91666666666666663</v>
      </c>
      <c r="F776" t="s">
        <v>462</v>
      </c>
      <c r="L776" t="s">
        <v>563</v>
      </c>
      <c r="M776" t="s">
        <v>478</v>
      </c>
      <c r="N776" t="str">
        <f>Tabela_tudo[[#This Row],[Médico]]&amp;" ("&amp;Tabela_tudo[[#This Row],[Obs]]&amp;")"</f>
        <v>VIN (HED ALUNOS O DIA INTEIRO)</v>
      </c>
    </row>
    <row r="777" spans="1:14" x14ac:dyDescent="0.3">
      <c r="A777" s="1">
        <v>44952</v>
      </c>
      <c r="B777" t="s">
        <v>47</v>
      </c>
      <c r="C777" t="s">
        <v>24</v>
      </c>
      <c r="D777" s="8">
        <v>0.29166666666666669</v>
      </c>
      <c r="E777" s="8">
        <v>0.91666666666666663</v>
      </c>
      <c r="F777" t="s">
        <v>462</v>
      </c>
      <c r="L777" t="s">
        <v>563</v>
      </c>
      <c r="M777" t="s">
        <v>478</v>
      </c>
      <c r="N777" t="str">
        <f>Tabela_tudo[[#This Row],[Médico]]&amp;" ("&amp;Tabela_tudo[[#This Row],[Obs]]&amp;")"</f>
        <v>VIN (HED ALUNOS O DIA INTEIRO)</v>
      </c>
    </row>
    <row r="778" spans="1:14" x14ac:dyDescent="0.3">
      <c r="A778" s="1">
        <v>44973</v>
      </c>
      <c r="B778" t="s">
        <v>47</v>
      </c>
      <c r="C778" t="s">
        <v>24</v>
      </c>
      <c r="D778" s="8">
        <v>0.29166666666666669</v>
      </c>
      <c r="E778" s="8">
        <v>0.91666666666666663</v>
      </c>
      <c r="F778" t="s">
        <v>462</v>
      </c>
      <c r="L778" t="s">
        <v>563</v>
      </c>
      <c r="M778" t="s">
        <v>478</v>
      </c>
      <c r="N778" t="str">
        <f>Tabela_tudo[[#This Row],[Médico]]&amp;" ("&amp;Tabela_tudo[[#This Row],[Obs]]&amp;")"</f>
        <v>VIN (HED ALUNOS O DIA INTEIRO)</v>
      </c>
    </row>
    <row r="779" spans="1:14" x14ac:dyDescent="0.3">
      <c r="A779" s="1">
        <v>44966</v>
      </c>
      <c r="B779" t="s">
        <v>47</v>
      </c>
      <c r="C779" t="s">
        <v>24</v>
      </c>
      <c r="D779" s="8">
        <v>0.29166666666666669</v>
      </c>
      <c r="E779" s="8">
        <v>0.91666666666666663</v>
      </c>
      <c r="F779" t="s">
        <v>462</v>
      </c>
      <c r="L779" t="s">
        <v>563</v>
      </c>
      <c r="M779" t="s">
        <v>478</v>
      </c>
      <c r="N779" t="str">
        <f>Tabela_tudo[[#This Row],[Médico]]&amp;" ("&amp;Tabela_tudo[[#This Row],[Obs]]&amp;")"</f>
        <v>VIN (HED ALUNOS O DIA INTEIRO)</v>
      </c>
    </row>
    <row r="780" spans="1:14" x14ac:dyDescent="0.3">
      <c r="A780" s="1">
        <v>44959</v>
      </c>
      <c r="B780" t="s">
        <v>47</v>
      </c>
      <c r="C780" t="s">
        <v>24</v>
      </c>
      <c r="D780" s="8">
        <v>0.29166666666666669</v>
      </c>
      <c r="E780" s="8">
        <v>0.91666666666666663</v>
      </c>
      <c r="F780" t="s">
        <v>462</v>
      </c>
      <c r="L780" t="s">
        <v>563</v>
      </c>
      <c r="M780" t="s">
        <v>478</v>
      </c>
      <c r="N780" t="str">
        <f>Tabela_tudo[[#This Row],[Médico]]&amp;" ("&amp;Tabela_tudo[[#This Row],[Obs]]&amp;")"</f>
        <v>VIN (HED ALUNOS O DIA INTEIRO)</v>
      </c>
    </row>
    <row r="781" spans="1:14" x14ac:dyDescent="0.3">
      <c r="A781" s="1">
        <v>45029</v>
      </c>
      <c r="B781" t="s">
        <v>47</v>
      </c>
      <c r="C781" t="s">
        <v>24</v>
      </c>
      <c r="D781" s="8">
        <v>0.29166666666666669</v>
      </c>
      <c r="E781" s="8">
        <v>0.91666666666666663</v>
      </c>
      <c r="F781" t="s">
        <v>462</v>
      </c>
      <c r="L781" t="s">
        <v>563</v>
      </c>
      <c r="M781" t="s">
        <v>478</v>
      </c>
      <c r="N781" t="str">
        <f>Tabela_tudo[[#This Row],[Médico]]&amp;" ("&amp;Tabela_tudo[[#This Row],[Obs]]&amp;")"</f>
        <v>VIN (HED ALUNOS O DIA INTEIRO)</v>
      </c>
    </row>
    <row r="782" spans="1:14" x14ac:dyDescent="0.3">
      <c r="A782" s="1">
        <v>45099</v>
      </c>
      <c r="B782" t="s">
        <v>47</v>
      </c>
      <c r="C782" t="s">
        <v>24</v>
      </c>
      <c r="D782" s="8">
        <v>0.29166666666666669</v>
      </c>
      <c r="E782" s="8">
        <v>0.91666666666666663</v>
      </c>
      <c r="F782" t="s">
        <v>462</v>
      </c>
      <c r="L782" t="s">
        <v>563</v>
      </c>
      <c r="M782" t="s">
        <v>478</v>
      </c>
      <c r="N782" t="str">
        <f>Tabela_tudo[[#This Row],[Médico]]&amp;" ("&amp;Tabela_tudo[[#This Row],[Obs]]&amp;")"</f>
        <v>VIN (HED ALUNOS O DIA INTEIRO)</v>
      </c>
    </row>
    <row r="783" spans="1:14" x14ac:dyDescent="0.3">
      <c r="A783" s="1">
        <v>45092</v>
      </c>
      <c r="B783" t="s">
        <v>47</v>
      </c>
      <c r="C783" t="s">
        <v>24</v>
      </c>
      <c r="D783" s="8">
        <v>0.29166666666666669</v>
      </c>
      <c r="E783" s="8">
        <v>0.91666666666666663</v>
      </c>
      <c r="F783" t="s">
        <v>462</v>
      </c>
      <c r="L783" t="s">
        <v>563</v>
      </c>
      <c r="M783" t="s">
        <v>478</v>
      </c>
      <c r="N783" t="str">
        <f>Tabela_tudo[[#This Row],[Médico]]&amp;" ("&amp;Tabela_tudo[[#This Row],[Obs]]&amp;")"</f>
        <v>VIN (HED ALUNOS O DIA INTEIRO)</v>
      </c>
    </row>
    <row r="784" spans="1:14" x14ac:dyDescent="0.3">
      <c r="A784" s="1">
        <v>45085</v>
      </c>
      <c r="B784" t="s">
        <v>47</v>
      </c>
      <c r="C784" t="s">
        <v>24</v>
      </c>
      <c r="D784" s="8">
        <v>0.29166666666666669</v>
      </c>
      <c r="E784" s="8">
        <v>0.91666666666666663</v>
      </c>
      <c r="F784" t="s">
        <v>462</v>
      </c>
      <c r="L784" t="s">
        <v>563</v>
      </c>
      <c r="M784" t="s">
        <v>478</v>
      </c>
      <c r="N784" t="str">
        <f>Tabela_tudo[[#This Row],[Médico]]&amp;" ("&amp;Tabela_tudo[[#This Row],[Obs]]&amp;")"</f>
        <v>VIN (HED ALUNOS O DIA INTEIRO)</v>
      </c>
    </row>
    <row r="785" spans="1:14" x14ac:dyDescent="0.3">
      <c r="A785" s="1">
        <v>45106</v>
      </c>
      <c r="B785" t="s">
        <v>47</v>
      </c>
      <c r="C785" t="s">
        <v>24</v>
      </c>
      <c r="D785" s="8">
        <v>0.29166666666666669</v>
      </c>
      <c r="E785" s="8">
        <v>0.91666666666666663</v>
      </c>
      <c r="F785" t="s">
        <v>462</v>
      </c>
      <c r="L785" t="s">
        <v>563</v>
      </c>
      <c r="M785" t="s">
        <v>478</v>
      </c>
      <c r="N785" t="str">
        <f>Tabela_tudo[[#This Row],[Médico]]&amp;" ("&amp;Tabela_tudo[[#This Row],[Obs]]&amp;")"</f>
        <v>VIN (HED ALUNOS O DIA INTEIRO)</v>
      </c>
    </row>
    <row r="786" spans="1:14" x14ac:dyDescent="0.3">
      <c r="A786" s="1">
        <v>45127</v>
      </c>
      <c r="B786" t="s">
        <v>47</v>
      </c>
      <c r="C786" t="s">
        <v>24</v>
      </c>
      <c r="D786" s="8">
        <v>0.29166666666666669</v>
      </c>
      <c r="E786" s="8">
        <v>0.91666666666666663</v>
      </c>
      <c r="F786" t="s">
        <v>462</v>
      </c>
      <c r="L786" t="s">
        <v>563</v>
      </c>
      <c r="M786" t="s">
        <v>478</v>
      </c>
      <c r="N786" t="str">
        <f>Tabela_tudo[[#This Row],[Médico]]&amp;" ("&amp;Tabela_tudo[[#This Row],[Obs]]&amp;")"</f>
        <v>VIN (HED ALUNOS O DIA INTEIRO)</v>
      </c>
    </row>
    <row r="787" spans="1:14" x14ac:dyDescent="0.3">
      <c r="A787" s="1">
        <v>45120</v>
      </c>
      <c r="B787" t="s">
        <v>47</v>
      </c>
      <c r="C787" t="s">
        <v>24</v>
      </c>
      <c r="D787" s="8">
        <v>0.29166666666666669</v>
      </c>
      <c r="E787" s="8">
        <v>0.91666666666666663</v>
      </c>
      <c r="F787" t="s">
        <v>462</v>
      </c>
      <c r="L787" t="s">
        <v>563</v>
      </c>
      <c r="M787" t="s">
        <v>478</v>
      </c>
      <c r="N787" t="str">
        <f>Tabela_tudo[[#This Row],[Médico]]&amp;" ("&amp;Tabela_tudo[[#This Row],[Obs]]&amp;")"</f>
        <v>VIN (HED ALUNOS O DIA INTEIRO)</v>
      </c>
    </row>
    <row r="788" spans="1:14" x14ac:dyDescent="0.3">
      <c r="A788" s="1">
        <v>45113</v>
      </c>
      <c r="B788" t="s">
        <v>47</v>
      </c>
      <c r="C788" t="s">
        <v>24</v>
      </c>
      <c r="D788" s="8">
        <v>0.29166666666666669</v>
      </c>
      <c r="E788" s="8">
        <v>0.91666666666666663</v>
      </c>
      <c r="F788" t="s">
        <v>462</v>
      </c>
      <c r="L788" t="s">
        <v>563</v>
      </c>
      <c r="M788" t="s">
        <v>478</v>
      </c>
      <c r="N788" t="str">
        <f>Tabela_tudo[[#This Row],[Médico]]&amp;" ("&amp;Tabela_tudo[[#This Row],[Obs]]&amp;")"</f>
        <v>VIN (HED ALUNOS O DIA INTEIRO)</v>
      </c>
    </row>
    <row r="789" spans="1:14" x14ac:dyDescent="0.3">
      <c r="A789" s="1">
        <v>45050</v>
      </c>
      <c r="B789" t="s">
        <v>47</v>
      </c>
      <c r="C789" t="s">
        <v>24</v>
      </c>
      <c r="D789" s="8">
        <v>0.29166666666666669</v>
      </c>
      <c r="E789" s="8">
        <v>0.91666666666666663</v>
      </c>
      <c r="F789" t="s">
        <v>462</v>
      </c>
      <c r="L789" t="s">
        <v>563</v>
      </c>
      <c r="M789" t="s">
        <v>478</v>
      </c>
      <c r="N789" t="str">
        <f>Tabela_tudo[[#This Row],[Médico]]&amp;" ("&amp;Tabela_tudo[[#This Row],[Obs]]&amp;")"</f>
        <v>VIN (HED ALUNOS O DIA INTEIRO)</v>
      </c>
    </row>
    <row r="790" spans="1:14" x14ac:dyDescent="0.3">
      <c r="A790" s="1">
        <v>45043</v>
      </c>
      <c r="B790" t="s">
        <v>47</v>
      </c>
      <c r="C790" t="s">
        <v>24</v>
      </c>
      <c r="D790" s="8">
        <v>0.29166666666666669</v>
      </c>
      <c r="E790" s="8">
        <v>0.91666666666666663</v>
      </c>
      <c r="F790" t="s">
        <v>462</v>
      </c>
      <c r="L790" t="s">
        <v>563</v>
      </c>
      <c r="M790" t="s">
        <v>478</v>
      </c>
      <c r="N790" t="str">
        <f>Tabela_tudo[[#This Row],[Médico]]&amp;" ("&amp;Tabela_tudo[[#This Row],[Obs]]&amp;")"</f>
        <v>VIN (HED ALUNOS O DIA INTEIRO)</v>
      </c>
    </row>
    <row r="791" spans="1:14" x14ac:dyDescent="0.3">
      <c r="A791" s="1">
        <v>45036</v>
      </c>
      <c r="B791" t="s">
        <v>47</v>
      </c>
      <c r="C791" t="s">
        <v>24</v>
      </c>
      <c r="D791" s="8">
        <v>0.29166666666666669</v>
      </c>
      <c r="E791" s="8">
        <v>0.91666666666666663</v>
      </c>
      <c r="F791" t="s">
        <v>462</v>
      </c>
      <c r="L791" t="s">
        <v>563</v>
      </c>
      <c r="M791" t="s">
        <v>478</v>
      </c>
      <c r="N791" t="str">
        <f>Tabela_tudo[[#This Row],[Médico]]&amp;" ("&amp;Tabela_tudo[[#This Row],[Obs]]&amp;")"</f>
        <v>VIN (HED ALUNOS O DIA INTEIRO)</v>
      </c>
    </row>
    <row r="792" spans="1:14" x14ac:dyDescent="0.3">
      <c r="A792" s="1">
        <v>45057</v>
      </c>
      <c r="B792" t="s">
        <v>47</v>
      </c>
      <c r="C792" t="s">
        <v>24</v>
      </c>
      <c r="D792" s="8">
        <v>0.29166666666666669</v>
      </c>
      <c r="E792" s="8">
        <v>0.91666666666666663</v>
      </c>
      <c r="F792" t="s">
        <v>462</v>
      </c>
      <c r="L792" t="s">
        <v>563</v>
      </c>
      <c r="M792" t="s">
        <v>478</v>
      </c>
      <c r="N792" t="str">
        <f>Tabela_tudo[[#This Row],[Médico]]&amp;" ("&amp;Tabela_tudo[[#This Row],[Obs]]&amp;")"</f>
        <v>VIN (HED ALUNOS O DIA INTEIRO)</v>
      </c>
    </row>
    <row r="793" spans="1:14" x14ac:dyDescent="0.3">
      <c r="A793" s="1">
        <v>45078</v>
      </c>
      <c r="B793" t="s">
        <v>47</v>
      </c>
      <c r="C793" t="s">
        <v>24</v>
      </c>
      <c r="D793" s="8">
        <v>0.29166666666666669</v>
      </c>
      <c r="E793" s="8">
        <v>0.91666666666666663</v>
      </c>
      <c r="F793" t="s">
        <v>462</v>
      </c>
      <c r="L793" t="s">
        <v>563</v>
      </c>
      <c r="M793" t="s">
        <v>478</v>
      </c>
      <c r="N793" t="str">
        <f>Tabela_tudo[[#This Row],[Médico]]&amp;" ("&amp;Tabela_tudo[[#This Row],[Obs]]&amp;")"</f>
        <v>VIN (HED ALUNOS O DIA INTEIRO)</v>
      </c>
    </row>
    <row r="794" spans="1:14" x14ac:dyDescent="0.3">
      <c r="A794" s="1">
        <v>45071</v>
      </c>
      <c r="B794" t="s">
        <v>47</v>
      </c>
      <c r="C794" t="s">
        <v>24</v>
      </c>
      <c r="D794" s="8">
        <v>0.29166666666666669</v>
      </c>
      <c r="E794" s="8">
        <v>0.91666666666666663</v>
      </c>
      <c r="F794" t="s">
        <v>462</v>
      </c>
      <c r="L794" t="s">
        <v>563</v>
      </c>
      <c r="M794" t="s">
        <v>478</v>
      </c>
      <c r="N794" t="str">
        <f>Tabela_tudo[[#This Row],[Médico]]&amp;" ("&amp;Tabela_tudo[[#This Row],[Obs]]&amp;")"</f>
        <v>VIN (HED ALUNOS O DIA INTEIRO)</v>
      </c>
    </row>
    <row r="795" spans="1:14" x14ac:dyDescent="0.3">
      <c r="A795" s="1">
        <v>45064</v>
      </c>
      <c r="B795" t="s">
        <v>47</v>
      </c>
      <c r="C795" t="s">
        <v>24</v>
      </c>
      <c r="D795" s="8">
        <v>0.29166666666666669</v>
      </c>
      <c r="E795" s="8">
        <v>0.91666666666666663</v>
      </c>
      <c r="F795" t="s">
        <v>462</v>
      </c>
      <c r="L795" t="s">
        <v>563</v>
      </c>
      <c r="M795" t="s">
        <v>478</v>
      </c>
      <c r="N795" t="str">
        <f>Tabela_tudo[[#This Row],[Médico]]&amp;" ("&amp;Tabela_tudo[[#This Row],[Obs]]&amp;")"</f>
        <v>VIN (HED ALUNOS O DIA INTEIRO)</v>
      </c>
    </row>
    <row r="796" spans="1:14" x14ac:dyDescent="0.3">
      <c r="A796" s="1">
        <v>44937</v>
      </c>
      <c r="B796" t="s">
        <v>32</v>
      </c>
      <c r="C796" t="s">
        <v>460</v>
      </c>
      <c r="D796" s="8">
        <v>0.54166666666666663</v>
      </c>
      <c r="E796" s="8">
        <v>0.83333333333333337</v>
      </c>
      <c r="L796" t="s">
        <v>563</v>
      </c>
      <c r="M796" t="s">
        <v>478</v>
      </c>
      <c r="N796" t="str">
        <f>Tabela_tudo[[#This Row],[Médico]]&amp;" ("&amp;Tabela_tudo[[#This Row],[Obs]]&amp;")"</f>
        <v>JS ()</v>
      </c>
    </row>
    <row r="797" spans="1:14" x14ac:dyDescent="0.3">
      <c r="A797" s="1">
        <v>44930</v>
      </c>
      <c r="B797" t="s">
        <v>32</v>
      </c>
      <c r="C797" t="s">
        <v>460</v>
      </c>
      <c r="D797" s="8">
        <v>0.54166666666666663</v>
      </c>
      <c r="E797" s="8">
        <v>0.83333333333333337</v>
      </c>
      <c r="L797" t="s">
        <v>563</v>
      </c>
      <c r="M797" t="s">
        <v>478</v>
      </c>
      <c r="N797" t="str">
        <f>Tabela_tudo[[#This Row],[Médico]]&amp;" ("&amp;Tabela_tudo[[#This Row],[Obs]]&amp;")"</f>
        <v>JS ()</v>
      </c>
    </row>
    <row r="798" spans="1:14" x14ac:dyDescent="0.3">
      <c r="A798" s="1">
        <v>45650</v>
      </c>
      <c r="B798" t="s">
        <v>64</v>
      </c>
      <c r="C798" t="s">
        <v>460</v>
      </c>
      <c r="D798" s="8">
        <v>0.29166666666666669</v>
      </c>
      <c r="E798" s="8">
        <v>0.54166666666666663</v>
      </c>
      <c r="L798" t="s">
        <v>563</v>
      </c>
      <c r="M798" t="s">
        <v>478</v>
      </c>
      <c r="N798" t="str">
        <f>Tabela_tudo[[#This Row],[Médico]]&amp;" ("&amp;Tabela_tudo[[#This Row],[Obs]]&amp;")"</f>
        <v>SAR ()</v>
      </c>
    </row>
    <row r="799" spans="1:14" x14ac:dyDescent="0.3">
      <c r="A799" s="1">
        <v>44944</v>
      </c>
      <c r="B799" t="s">
        <v>32</v>
      </c>
      <c r="C799" t="s">
        <v>460</v>
      </c>
      <c r="D799" s="8">
        <v>0.54166666666666663</v>
      </c>
      <c r="E799" s="8">
        <v>0.83333333333333337</v>
      </c>
      <c r="L799" t="s">
        <v>563</v>
      </c>
      <c r="M799" t="s">
        <v>478</v>
      </c>
      <c r="N799" t="str">
        <f>Tabela_tudo[[#This Row],[Médico]]&amp;" ("&amp;Tabela_tudo[[#This Row],[Obs]]&amp;")"</f>
        <v>JS ()</v>
      </c>
    </row>
    <row r="800" spans="1:14" x14ac:dyDescent="0.3">
      <c r="A800" s="1">
        <v>44965</v>
      </c>
      <c r="B800" t="s">
        <v>32</v>
      </c>
      <c r="C800" t="s">
        <v>460</v>
      </c>
      <c r="D800" s="8">
        <v>0.54166666666666663</v>
      </c>
      <c r="E800" s="8">
        <v>0.83333333333333337</v>
      </c>
      <c r="L800" t="s">
        <v>563</v>
      </c>
      <c r="M800" t="s">
        <v>478</v>
      </c>
      <c r="N800" t="str">
        <f>Tabela_tudo[[#This Row],[Médico]]&amp;" ("&amp;Tabela_tudo[[#This Row],[Obs]]&amp;")"</f>
        <v>JS ()</v>
      </c>
    </row>
    <row r="801" spans="1:14" x14ac:dyDescent="0.3">
      <c r="A801" s="1">
        <v>44958</v>
      </c>
      <c r="B801" t="s">
        <v>32</v>
      </c>
      <c r="C801" t="s">
        <v>460</v>
      </c>
      <c r="D801" s="8">
        <v>0.54166666666666663</v>
      </c>
      <c r="E801" s="8">
        <v>0.83333333333333337</v>
      </c>
      <c r="L801" t="s">
        <v>563</v>
      </c>
      <c r="M801" t="s">
        <v>478</v>
      </c>
      <c r="N801" t="str">
        <f>Tabela_tudo[[#This Row],[Médico]]&amp;" ("&amp;Tabela_tudo[[#This Row],[Obs]]&amp;")"</f>
        <v>JS ()</v>
      </c>
    </row>
    <row r="802" spans="1:14" x14ac:dyDescent="0.3">
      <c r="A802" s="1">
        <v>44951</v>
      </c>
      <c r="B802" t="s">
        <v>32</v>
      </c>
      <c r="C802" t="s">
        <v>460</v>
      </c>
      <c r="D802" s="8">
        <v>0.54166666666666663</v>
      </c>
      <c r="E802" s="8">
        <v>0.83333333333333337</v>
      </c>
      <c r="L802" t="s">
        <v>563</v>
      </c>
      <c r="M802" t="s">
        <v>478</v>
      </c>
      <c r="N802" t="str">
        <f>Tabela_tudo[[#This Row],[Médico]]&amp;" ("&amp;Tabela_tudo[[#This Row],[Obs]]&amp;")"</f>
        <v>JS ()</v>
      </c>
    </row>
    <row r="803" spans="1:14" x14ac:dyDescent="0.3">
      <c r="A803" s="1">
        <v>45615</v>
      </c>
      <c r="B803" t="s">
        <v>64</v>
      </c>
      <c r="C803" t="s">
        <v>460</v>
      </c>
      <c r="D803" s="8">
        <v>0.29166666666666669</v>
      </c>
      <c r="E803" s="8">
        <v>0.54166666666666663</v>
      </c>
      <c r="L803" t="s">
        <v>563</v>
      </c>
      <c r="M803" t="s">
        <v>478</v>
      </c>
      <c r="N803" t="str">
        <f>Tabela_tudo[[#This Row],[Médico]]&amp;" ("&amp;Tabela_tudo[[#This Row],[Obs]]&amp;")"</f>
        <v>SAR ()</v>
      </c>
    </row>
    <row r="804" spans="1:14" x14ac:dyDescent="0.3">
      <c r="A804" s="1">
        <v>45608</v>
      </c>
      <c r="B804" t="s">
        <v>64</v>
      </c>
      <c r="C804" t="s">
        <v>460</v>
      </c>
      <c r="D804" s="8">
        <v>0.29166666666666669</v>
      </c>
      <c r="E804" s="8">
        <v>0.54166666666666663</v>
      </c>
      <c r="L804" t="s">
        <v>563</v>
      </c>
      <c r="M804" t="s">
        <v>478</v>
      </c>
      <c r="N804" t="str">
        <f>Tabela_tudo[[#This Row],[Médico]]&amp;" ("&amp;Tabela_tudo[[#This Row],[Obs]]&amp;")"</f>
        <v>SAR ()</v>
      </c>
    </row>
    <row r="805" spans="1:14" x14ac:dyDescent="0.3">
      <c r="A805" s="1">
        <v>45601</v>
      </c>
      <c r="B805" t="s">
        <v>64</v>
      </c>
      <c r="C805" t="s">
        <v>460</v>
      </c>
      <c r="D805" s="8">
        <v>0.29166666666666669</v>
      </c>
      <c r="E805" s="8">
        <v>0.54166666666666663</v>
      </c>
      <c r="L805" t="s">
        <v>563</v>
      </c>
      <c r="M805" t="s">
        <v>478</v>
      </c>
      <c r="N805" t="str">
        <f>Tabela_tudo[[#This Row],[Médico]]&amp;" ("&amp;Tabela_tudo[[#This Row],[Obs]]&amp;")"</f>
        <v>SAR ()</v>
      </c>
    </row>
    <row r="806" spans="1:14" x14ac:dyDescent="0.3">
      <c r="A806" s="1">
        <v>45622</v>
      </c>
      <c r="B806" t="s">
        <v>64</v>
      </c>
      <c r="C806" t="s">
        <v>460</v>
      </c>
      <c r="D806" s="8">
        <v>0.29166666666666669</v>
      </c>
      <c r="E806" s="8">
        <v>0.54166666666666663</v>
      </c>
      <c r="L806" t="s">
        <v>563</v>
      </c>
      <c r="M806" t="s">
        <v>478</v>
      </c>
      <c r="N806" t="str">
        <f>Tabela_tudo[[#This Row],[Médico]]&amp;" ("&amp;Tabela_tudo[[#This Row],[Obs]]&amp;")"</f>
        <v>SAR ()</v>
      </c>
    </row>
    <row r="807" spans="1:14" x14ac:dyDescent="0.3">
      <c r="A807" s="1">
        <v>45643</v>
      </c>
      <c r="B807" t="s">
        <v>64</v>
      </c>
      <c r="C807" t="s">
        <v>460</v>
      </c>
      <c r="D807" s="8">
        <v>0.29166666666666669</v>
      </c>
      <c r="E807" s="8">
        <v>0.54166666666666663</v>
      </c>
      <c r="L807" t="s">
        <v>563</v>
      </c>
      <c r="M807" t="s">
        <v>478</v>
      </c>
      <c r="N807" t="str">
        <f>Tabela_tudo[[#This Row],[Médico]]&amp;" ("&amp;Tabela_tudo[[#This Row],[Obs]]&amp;")"</f>
        <v>SAR ()</v>
      </c>
    </row>
    <row r="808" spans="1:14" x14ac:dyDescent="0.3">
      <c r="A808" s="1">
        <v>45636</v>
      </c>
      <c r="B808" t="s">
        <v>64</v>
      </c>
      <c r="C808" t="s">
        <v>460</v>
      </c>
      <c r="D808" s="8">
        <v>0.29166666666666669</v>
      </c>
      <c r="E808" s="8">
        <v>0.54166666666666663</v>
      </c>
      <c r="L808" t="s">
        <v>563</v>
      </c>
      <c r="M808" t="s">
        <v>478</v>
      </c>
      <c r="N808" t="str">
        <f>Tabela_tudo[[#This Row],[Médico]]&amp;" ("&amp;Tabela_tudo[[#This Row],[Obs]]&amp;")"</f>
        <v>SAR ()</v>
      </c>
    </row>
    <row r="809" spans="1:14" x14ac:dyDescent="0.3">
      <c r="A809" s="1">
        <v>45629</v>
      </c>
      <c r="B809" t="s">
        <v>64</v>
      </c>
      <c r="C809" t="s">
        <v>460</v>
      </c>
      <c r="D809" s="8">
        <v>0.29166666666666669</v>
      </c>
      <c r="E809" s="8">
        <v>0.54166666666666663</v>
      </c>
      <c r="L809" t="s">
        <v>563</v>
      </c>
      <c r="M809" t="s">
        <v>478</v>
      </c>
      <c r="N809" t="str">
        <f>Tabela_tudo[[#This Row],[Médico]]&amp;" ("&amp;Tabela_tudo[[#This Row],[Obs]]&amp;")"</f>
        <v>SAR ()</v>
      </c>
    </row>
    <row r="810" spans="1:14" x14ac:dyDescent="0.3">
      <c r="A810" s="1">
        <v>44972</v>
      </c>
      <c r="B810" t="s">
        <v>32</v>
      </c>
      <c r="C810" t="s">
        <v>460</v>
      </c>
      <c r="D810" s="8">
        <v>0.54166666666666663</v>
      </c>
      <c r="E810" s="8">
        <v>0.83333333333333337</v>
      </c>
      <c r="L810" t="s">
        <v>563</v>
      </c>
      <c r="M810" t="s">
        <v>478</v>
      </c>
      <c r="N810" t="str">
        <f>Tabela_tudo[[#This Row],[Médico]]&amp;" ("&amp;Tabela_tudo[[#This Row],[Obs]]&amp;")"</f>
        <v>JS ()</v>
      </c>
    </row>
    <row r="811" spans="1:14" x14ac:dyDescent="0.3">
      <c r="A811" s="1">
        <v>45042</v>
      </c>
      <c r="B811" t="s">
        <v>32</v>
      </c>
      <c r="C811" t="s">
        <v>460</v>
      </c>
      <c r="D811" s="8">
        <v>0.54166666666666663</v>
      </c>
      <c r="E811" s="8">
        <v>0.83333333333333337</v>
      </c>
      <c r="L811" t="s">
        <v>563</v>
      </c>
      <c r="M811" t="s">
        <v>478</v>
      </c>
      <c r="N811" t="str">
        <f>Tabela_tudo[[#This Row],[Médico]]&amp;" ("&amp;Tabela_tudo[[#This Row],[Obs]]&amp;")"</f>
        <v>JS ()</v>
      </c>
    </row>
    <row r="812" spans="1:14" x14ac:dyDescent="0.3">
      <c r="A812" s="1">
        <v>45035</v>
      </c>
      <c r="B812" t="s">
        <v>32</v>
      </c>
      <c r="C812" t="s">
        <v>460</v>
      </c>
      <c r="D812" s="8">
        <v>0.54166666666666663</v>
      </c>
      <c r="E812" s="8">
        <v>0.83333333333333337</v>
      </c>
      <c r="L812" t="s">
        <v>563</v>
      </c>
      <c r="M812" t="s">
        <v>478</v>
      </c>
      <c r="N812" t="str">
        <f>Tabela_tudo[[#This Row],[Médico]]&amp;" ("&amp;Tabela_tudo[[#This Row],[Obs]]&amp;")"</f>
        <v>JS ()</v>
      </c>
    </row>
    <row r="813" spans="1:14" x14ac:dyDescent="0.3">
      <c r="A813" s="1">
        <v>45028</v>
      </c>
      <c r="B813" t="s">
        <v>32</v>
      </c>
      <c r="C813" t="s">
        <v>460</v>
      </c>
      <c r="D813" s="8">
        <v>0.54166666666666663</v>
      </c>
      <c r="E813" s="8">
        <v>0.83333333333333337</v>
      </c>
      <c r="L813" t="s">
        <v>563</v>
      </c>
      <c r="M813" t="s">
        <v>478</v>
      </c>
      <c r="N813" t="str">
        <f>Tabela_tudo[[#This Row],[Médico]]&amp;" ("&amp;Tabela_tudo[[#This Row],[Obs]]&amp;")"</f>
        <v>JS ()</v>
      </c>
    </row>
    <row r="814" spans="1:14" x14ac:dyDescent="0.3">
      <c r="A814" s="1">
        <v>45049</v>
      </c>
      <c r="B814" t="s">
        <v>32</v>
      </c>
      <c r="C814" t="s">
        <v>460</v>
      </c>
      <c r="D814" s="8">
        <v>0.54166666666666663</v>
      </c>
      <c r="E814" s="8">
        <v>0.83333333333333337</v>
      </c>
      <c r="L814" t="s">
        <v>563</v>
      </c>
      <c r="M814" t="s">
        <v>478</v>
      </c>
      <c r="N814" t="str">
        <f>Tabela_tudo[[#This Row],[Médico]]&amp;" ("&amp;Tabela_tudo[[#This Row],[Obs]]&amp;")"</f>
        <v>JS ()</v>
      </c>
    </row>
    <row r="815" spans="1:14" x14ac:dyDescent="0.3">
      <c r="A815" s="1">
        <v>45070</v>
      </c>
      <c r="B815" t="s">
        <v>32</v>
      </c>
      <c r="C815" t="s">
        <v>460</v>
      </c>
      <c r="D815" s="8">
        <v>0.54166666666666663</v>
      </c>
      <c r="E815" s="8">
        <v>0.83333333333333337</v>
      </c>
      <c r="L815" t="s">
        <v>563</v>
      </c>
      <c r="M815" t="s">
        <v>478</v>
      </c>
      <c r="N815" t="str">
        <f>Tabela_tudo[[#This Row],[Médico]]&amp;" ("&amp;Tabela_tudo[[#This Row],[Obs]]&amp;")"</f>
        <v>JS ()</v>
      </c>
    </row>
    <row r="816" spans="1:14" x14ac:dyDescent="0.3">
      <c r="A816" s="1">
        <v>45063</v>
      </c>
      <c r="B816" t="s">
        <v>32</v>
      </c>
      <c r="C816" t="s">
        <v>460</v>
      </c>
      <c r="D816" s="8">
        <v>0.54166666666666663</v>
      </c>
      <c r="E816" s="8">
        <v>0.83333333333333337</v>
      </c>
      <c r="L816" t="s">
        <v>563</v>
      </c>
      <c r="M816" t="s">
        <v>478</v>
      </c>
      <c r="N816" t="str">
        <f>Tabela_tudo[[#This Row],[Médico]]&amp;" ("&amp;Tabela_tudo[[#This Row],[Obs]]&amp;")"</f>
        <v>JS ()</v>
      </c>
    </row>
    <row r="817" spans="1:14" x14ac:dyDescent="0.3">
      <c r="A817" s="1">
        <v>45056</v>
      </c>
      <c r="B817" t="s">
        <v>32</v>
      </c>
      <c r="C817" t="s">
        <v>460</v>
      </c>
      <c r="D817" s="8">
        <v>0.54166666666666663</v>
      </c>
      <c r="E817" s="8">
        <v>0.83333333333333337</v>
      </c>
      <c r="L817" t="s">
        <v>563</v>
      </c>
      <c r="M817" t="s">
        <v>478</v>
      </c>
      <c r="N817" t="str">
        <f>Tabela_tudo[[#This Row],[Médico]]&amp;" ("&amp;Tabela_tudo[[#This Row],[Obs]]&amp;")"</f>
        <v>JS ()</v>
      </c>
    </row>
    <row r="818" spans="1:14" x14ac:dyDescent="0.3">
      <c r="A818" s="1">
        <v>44993</v>
      </c>
      <c r="B818" t="s">
        <v>32</v>
      </c>
      <c r="C818" t="s">
        <v>460</v>
      </c>
      <c r="D818" s="8">
        <v>0.54166666666666663</v>
      </c>
      <c r="E818" s="8">
        <v>0.83333333333333337</v>
      </c>
      <c r="L818" t="s">
        <v>563</v>
      </c>
      <c r="M818" t="s">
        <v>478</v>
      </c>
      <c r="N818" t="str">
        <f>Tabela_tudo[[#This Row],[Médico]]&amp;" ("&amp;Tabela_tudo[[#This Row],[Obs]]&amp;")"</f>
        <v>JS ()</v>
      </c>
    </row>
    <row r="819" spans="1:14" x14ac:dyDescent="0.3">
      <c r="A819" s="1">
        <v>44986</v>
      </c>
      <c r="B819" t="s">
        <v>32</v>
      </c>
      <c r="C819" t="s">
        <v>460</v>
      </c>
      <c r="D819" s="8">
        <v>0.54166666666666663</v>
      </c>
      <c r="E819" s="8">
        <v>0.83333333333333337</v>
      </c>
      <c r="L819" t="s">
        <v>563</v>
      </c>
      <c r="M819" t="s">
        <v>478</v>
      </c>
      <c r="N819" t="str">
        <f>Tabela_tudo[[#This Row],[Médico]]&amp;" ("&amp;Tabela_tudo[[#This Row],[Obs]]&amp;")"</f>
        <v>JS ()</v>
      </c>
    </row>
    <row r="820" spans="1:14" x14ac:dyDescent="0.3">
      <c r="A820" s="1">
        <v>44979</v>
      </c>
      <c r="B820" t="s">
        <v>32</v>
      </c>
      <c r="C820" t="s">
        <v>460</v>
      </c>
      <c r="D820" s="8">
        <v>0.54166666666666663</v>
      </c>
      <c r="E820" s="8">
        <v>0.83333333333333337</v>
      </c>
      <c r="L820" t="s">
        <v>563</v>
      </c>
      <c r="M820" t="s">
        <v>478</v>
      </c>
      <c r="N820" t="str">
        <f>Tabela_tudo[[#This Row],[Médico]]&amp;" ("&amp;Tabela_tudo[[#This Row],[Obs]]&amp;")"</f>
        <v>JS ()</v>
      </c>
    </row>
    <row r="821" spans="1:14" x14ac:dyDescent="0.3">
      <c r="A821" s="1">
        <v>45000</v>
      </c>
      <c r="B821" t="s">
        <v>32</v>
      </c>
      <c r="C821" t="s">
        <v>460</v>
      </c>
      <c r="D821" s="8">
        <v>0.54166666666666663</v>
      </c>
      <c r="E821" s="8">
        <v>0.83333333333333337</v>
      </c>
      <c r="L821" t="s">
        <v>563</v>
      </c>
      <c r="M821" t="s">
        <v>478</v>
      </c>
      <c r="N821" t="str">
        <f>Tabela_tudo[[#This Row],[Médico]]&amp;" ("&amp;Tabela_tudo[[#This Row],[Obs]]&amp;")"</f>
        <v>JS ()</v>
      </c>
    </row>
    <row r="822" spans="1:14" x14ac:dyDescent="0.3">
      <c r="A822" s="1">
        <v>45021</v>
      </c>
      <c r="B822" t="s">
        <v>32</v>
      </c>
      <c r="C822" t="s">
        <v>460</v>
      </c>
      <c r="D822" s="8">
        <v>0.54166666666666663</v>
      </c>
      <c r="E822" s="8">
        <v>0.83333333333333337</v>
      </c>
      <c r="L822" t="s">
        <v>563</v>
      </c>
      <c r="M822" t="s">
        <v>478</v>
      </c>
      <c r="N822" t="str">
        <f>Tabela_tudo[[#This Row],[Médico]]&amp;" ("&amp;Tabela_tudo[[#This Row],[Obs]]&amp;")"</f>
        <v>JS ()</v>
      </c>
    </row>
    <row r="823" spans="1:14" x14ac:dyDescent="0.3">
      <c r="A823" s="1">
        <v>45014</v>
      </c>
      <c r="B823" t="s">
        <v>32</v>
      </c>
      <c r="C823" t="s">
        <v>460</v>
      </c>
      <c r="D823" s="8">
        <v>0.54166666666666663</v>
      </c>
      <c r="E823" s="8">
        <v>0.83333333333333337</v>
      </c>
      <c r="L823" t="s">
        <v>563</v>
      </c>
      <c r="M823" t="s">
        <v>478</v>
      </c>
      <c r="N823" t="str">
        <f>Tabela_tudo[[#This Row],[Médico]]&amp;" ("&amp;Tabela_tudo[[#This Row],[Obs]]&amp;")"</f>
        <v>JS ()</v>
      </c>
    </row>
    <row r="824" spans="1:14" x14ac:dyDescent="0.3">
      <c r="A824" s="1">
        <v>45007</v>
      </c>
      <c r="B824" t="s">
        <v>32</v>
      </c>
      <c r="C824" t="s">
        <v>460</v>
      </c>
      <c r="D824" s="8">
        <v>0.54166666666666663</v>
      </c>
      <c r="E824" s="8">
        <v>0.83333333333333337</v>
      </c>
      <c r="L824" t="s">
        <v>563</v>
      </c>
      <c r="M824" t="s">
        <v>478</v>
      </c>
      <c r="N824" t="str">
        <f>Tabela_tudo[[#This Row],[Médico]]&amp;" ("&amp;Tabela_tudo[[#This Row],[Obs]]&amp;")"</f>
        <v>JS ()</v>
      </c>
    </row>
    <row r="825" spans="1:14" x14ac:dyDescent="0.3">
      <c r="A825" s="1">
        <v>45594</v>
      </c>
      <c r="B825" t="s">
        <v>64</v>
      </c>
      <c r="C825" t="s">
        <v>460</v>
      </c>
      <c r="D825" s="8">
        <v>0.29166666666666669</v>
      </c>
      <c r="E825" s="8">
        <v>0.54166666666666663</v>
      </c>
      <c r="L825" t="s">
        <v>563</v>
      </c>
      <c r="M825" t="s">
        <v>478</v>
      </c>
      <c r="N825" t="str">
        <f>Tabela_tudo[[#This Row],[Médico]]&amp;" ("&amp;Tabela_tudo[[#This Row],[Obs]]&amp;")"</f>
        <v>SAR ()</v>
      </c>
    </row>
    <row r="826" spans="1:14" x14ac:dyDescent="0.3">
      <c r="A826" s="1">
        <v>45454</v>
      </c>
      <c r="B826" t="s">
        <v>64</v>
      </c>
      <c r="C826" t="s">
        <v>460</v>
      </c>
      <c r="D826" s="8">
        <v>0.29166666666666669</v>
      </c>
      <c r="E826" s="8">
        <v>0.54166666666666663</v>
      </c>
      <c r="L826" t="s">
        <v>563</v>
      </c>
      <c r="M826" t="s">
        <v>478</v>
      </c>
      <c r="N826" t="str">
        <f>Tabela_tudo[[#This Row],[Médico]]&amp;" ("&amp;Tabela_tudo[[#This Row],[Obs]]&amp;")"</f>
        <v>SAR ()</v>
      </c>
    </row>
    <row r="827" spans="1:14" x14ac:dyDescent="0.3">
      <c r="A827" s="1">
        <v>45447</v>
      </c>
      <c r="B827" t="s">
        <v>64</v>
      </c>
      <c r="C827" t="s">
        <v>460</v>
      </c>
      <c r="D827" s="8">
        <v>0.29166666666666669</v>
      </c>
      <c r="E827" s="8">
        <v>0.54166666666666663</v>
      </c>
      <c r="L827" t="s">
        <v>563</v>
      </c>
      <c r="M827" t="s">
        <v>478</v>
      </c>
      <c r="N827" t="str">
        <f>Tabela_tudo[[#This Row],[Médico]]&amp;" ("&amp;Tabela_tudo[[#This Row],[Obs]]&amp;")"</f>
        <v>SAR ()</v>
      </c>
    </row>
    <row r="828" spans="1:14" x14ac:dyDescent="0.3">
      <c r="A828" s="1">
        <v>45440</v>
      </c>
      <c r="B828" t="s">
        <v>64</v>
      </c>
      <c r="C828" t="s">
        <v>460</v>
      </c>
      <c r="D828" s="8">
        <v>0.29166666666666669</v>
      </c>
      <c r="E828" s="8">
        <v>0.54166666666666663</v>
      </c>
      <c r="L828" t="s">
        <v>563</v>
      </c>
      <c r="M828" t="s">
        <v>478</v>
      </c>
      <c r="N828" t="str">
        <f>Tabela_tudo[[#This Row],[Médico]]&amp;" ("&amp;Tabela_tudo[[#This Row],[Obs]]&amp;")"</f>
        <v>SAR ()</v>
      </c>
    </row>
    <row r="829" spans="1:14" x14ac:dyDescent="0.3">
      <c r="A829" s="1">
        <v>45461</v>
      </c>
      <c r="B829" t="s">
        <v>64</v>
      </c>
      <c r="C829" t="s">
        <v>460</v>
      </c>
      <c r="D829" s="8">
        <v>0.29166666666666669</v>
      </c>
      <c r="E829" s="8">
        <v>0.54166666666666663</v>
      </c>
      <c r="L829" t="s">
        <v>563</v>
      </c>
      <c r="M829" t="s">
        <v>478</v>
      </c>
      <c r="N829" t="str">
        <f>Tabela_tudo[[#This Row],[Médico]]&amp;" ("&amp;Tabela_tudo[[#This Row],[Obs]]&amp;")"</f>
        <v>SAR ()</v>
      </c>
    </row>
    <row r="830" spans="1:14" x14ac:dyDescent="0.3">
      <c r="A830" s="1">
        <v>45482</v>
      </c>
      <c r="B830" t="s">
        <v>64</v>
      </c>
      <c r="C830" t="s">
        <v>460</v>
      </c>
      <c r="D830" s="8">
        <v>0.29166666666666669</v>
      </c>
      <c r="E830" s="8">
        <v>0.54166666666666663</v>
      </c>
      <c r="L830" t="s">
        <v>563</v>
      </c>
      <c r="M830" t="s">
        <v>478</v>
      </c>
      <c r="N830" t="str">
        <f>Tabela_tudo[[#This Row],[Médico]]&amp;" ("&amp;Tabela_tudo[[#This Row],[Obs]]&amp;")"</f>
        <v>SAR ()</v>
      </c>
    </row>
    <row r="831" spans="1:14" x14ac:dyDescent="0.3">
      <c r="A831" s="1">
        <v>45475</v>
      </c>
      <c r="B831" t="s">
        <v>64</v>
      </c>
      <c r="C831" t="s">
        <v>460</v>
      </c>
      <c r="D831" s="8">
        <v>0.29166666666666669</v>
      </c>
      <c r="E831" s="8">
        <v>0.54166666666666663</v>
      </c>
      <c r="L831" t="s">
        <v>563</v>
      </c>
      <c r="M831" t="s">
        <v>478</v>
      </c>
      <c r="N831" t="str">
        <f>Tabela_tudo[[#This Row],[Médico]]&amp;" ("&amp;Tabela_tudo[[#This Row],[Obs]]&amp;")"</f>
        <v>SAR ()</v>
      </c>
    </row>
    <row r="832" spans="1:14" x14ac:dyDescent="0.3">
      <c r="A832" s="1">
        <v>45468</v>
      </c>
      <c r="B832" t="s">
        <v>64</v>
      </c>
      <c r="C832" t="s">
        <v>460</v>
      </c>
      <c r="D832" s="8">
        <v>0.29166666666666669</v>
      </c>
      <c r="E832" s="8">
        <v>0.54166666666666663</v>
      </c>
      <c r="L832" t="s">
        <v>563</v>
      </c>
      <c r="M832" t="s">
        <v>478</v>
      </c>
      <c r="N832" t="str">
        <f>Tabela_tudo[[#This Row],[Médico]]&amp;" ("&amp;Tabela_tudo[[#This Row],[Obs]]&amp;")"</f>
        <v>SAR ()</v>
      </c>
    </row>
    <row r="833" spans="1:14" x14ac:dyDescent="0.3">
      <c r="A833" s="1">
        <v>45405</v>
      </c>
      <c r="B833" t="s">
        <v>64</v>
      </c>
      <c r="C833" t="s">
        <v>460</v>
      </c>
      <c r="D833" s="8">
        <v>0.29166666666666669</v>
      </c>
      <c r="E833" s="8">
        <v>0.54166666666666663</v>
      </c>
      <c r="L833" t="s">
        <v>563</v>
      </c>
      <c r="M833" t="s">
        <v>478</v>
      </c>
      <c r="N833" t="str">
        <f>Tabela_tudo[[#This Row],[Médico]]&amp;" ("&amp;Tabela_tudo[[#This Row],[Obs]]&amp;")"</f>
        <v>SAR ()</v>
      </c>
    </row>
    <row r="834" spans="1:14" x14ac:dyDescent="0.3">
      <c r="A834" s="1">
        <v>45398</v>
      </c>
      <c r="B834" t="s">
        <v>64</v>
      </c>
      <c r="C834" t="s">
        <v>460</v>
      </c>
      <c r="D834" s="8">
        <v>0.29166666666666669</v>
      </c>
      <c r="E834" s="8">
        <v>0.54166666666666663</v>
      </c>
      <c r="L834" t="s">
        <v>563</v>
      </c>
      <c r="M834" t="s">
        <v>478</v>
      </c>
      <c r="N834" t="str">
        <f>Tabela_tudo[[#This Row],[Médico]]&amp;" ("&amp;Tabela_tudo[[#This Row],[Obs]]&amp;")"</f>
        <v>SAR ()</v>
      </c>
    </row>
    <row r="835" spans="1:14" x14ac:dyDescent="0.3">
      <c r="A835" s="1">
        <v>45391</v>
      </c>
      <c r="B835" t="s">
        <v>64</v>
      </c>
      <c r="C835" t="s">
        <v>460</v>
      </c>
      <c r="D835" s="8">
        <v>0.29166666666666669</v>
      </c>
      <c r="E835" s="8">
        <v>0.54166666666666663</v>
      </c>
      <c r="L835" t="s">
        <v>563</v>
      </c>
      <c r="M835" t="s">
        <v>478</v>
      </c>
      <c r="N835" t="str">
        <f>Tabela_tudo[[#This Row],[Médico]]&amp;" ("&amp;Tabela_tudo[[#This Row],[Obs]]&amp;")"</f>
        <v>SAR ()</v>
      </c>
    </row>
    <row r="836" spans="1:14" x14ac:dyDescent="0.3">
      <c r="A836" s="1">
        <v>45412</v>
      </c>
      <c r="B836" t="s">
        <v>64</v>
      </c>
      <c r="C836" t="s">
        <v>460</v>
      </c>
      <c r="D836" s="8">
        <v>0.29166666666666669</v>
      </c>
      <c r="E836" s="8">
        <v>0.54166666666666663</v>
      </c>
      <c r="L836" t="s">
        <v>563</v>
      </c>
      <c r="M836" t="s">
        <v>478</v>
      </c>
      <c r="N836" t="str">
        <f>Tabela_tudo[[#This Row],[Médico]]&amp;" ("&amp;Tabela_tudo[[#This Row],[Obs]]&amp;")"</f>
        <v>SAR ()</v>
      </c>
    </row>
    <row r="837" spans="1:14" x14ac:dyDescent="0.3">
      <c r="A837" s="1">
        <v>45433</v>
      </c>
      <c r="B837" t="s">
        <v>64</v>
      </c>
      <c r="C837" t="s">
        <v>460</v>
      </c>
      <c r="D837" s="8">
        <v>0.29166666666666669</v>
      </c>
      <c r="E837" s="8">
        <v>0.54166666666666663</v>
      </c>
      <c r="L837" t="s">
        <v>563</v>
      </c>
      <c r="M837" t="s">
        <v>478</v>
      </c>
      <c r="N837" t="str">
        <f>Tabela_tudo[[#This Row],[Médico]]&amp;" ("&amp;Tabela_tudo[[#This Row],[Obs]]&amp;")"</f>
        <v>SAR ()</v>
      </c>
    </row>
    <row r="838" spans="1:14" x14ac:dyDescent="0.3">
      <c r="A838" s="1">
        <v>45426</v>
      </c>
      <c r="B838" t="s">
        <v>64</v>
      </c>
      <c r="C838" t="s">
        <v>460</v>
      </c>
      <c r="D838" s="8">
        <v>0.29166666666666669</v>
      </c>
      <c r="E838" s="8">
        <v>0.54166666666666663</v>
      </c>
      <c r="L838" t="s">
        <v>563</v>
      </c>
      <c r="M838" t="s">
        <v>478</v>
      </c>
      <c r="N838" t="str">
        <f>Tabela_tudo[[#This Row],[Médico]]&amp;" ("&amp;Tabela_tudo[[#This Row],[Obs]]&amp;")"</f>
        <v>SAR ()</v>
      </c>
    </row>
    <row r="839" spans="1:14" x14ac:dyDescent="0.3">
      <c r="A839" s="1">
        <v>45419</v>
      </c>
      <c r="B839" t="s">
        <v>64</v>
      </c>
      <c r="C839" t="s">
        <v>460</v>
      </c>
      <c r="D839" s="8">
        <v>0.29166666666666669</v>
      </c>
      <c r="E839" s="8">
        <v>0.54166666666666663</v>
      </c>
      <c r="L839" t="s">
        <v>563</v>
      </c>
      <c r="M839" t="s">
        <v>478</v>
      </c>
      <c r="N839" t="str">
        <f>Tabela_tudo[[#This Row],[Médico]]&amp;" ("&amp;Tabela_tudo[[#This Row],[Obs]]&amp;")"</f>
        <v>SAR ()</v>
      </c>
    </row>
    <row r="840" spans="1:14" x14ac:dyDescent="0.3">
      <c r="A840" s="1">
        <v>45489</v>
      </c>
      <c r="B840" t="s">
        <v>64</v>
      </c>
      <c r="C840" t="s">
        <v>460</v>
      </c>
      <c r="D840" s="8">
        <v>0.29166666666666669</v>
      </c>
      <c r="E840" s="8">
        <v>0.54166666666666663</v>
      </c>
      <c r="L840" t="s">
        <v>563</v>
      </c>
      <c r="M840" t="s">
        <v>478</v>
      </c>
      <c r="N840" t="str">
        <f>Tabela_tudo[[#This Row],[Médico]]&amp;" ("&amp;Tabela_tudo[[#This Row],[Obs]]&amp;")"</f>
        <v>SAR ()</v>
      </c>
    </row>
    <row r="841" spans="1:14" x14ac:dyDescent="0.3">
      <c r="A841" s="1">
        <v>45559</v>
      </c>
      <c r="B841" t="s">
        <v>64</v>
      </c>
      <c r="C841" t="s">
        <v>460</v>
      </c>
      <c r="D841" s="8">
        <v>0.29166666666666669</v>
      </c>
      <c r="E841" s="8">
        <v>0.54166666666666663</v>
      </c>
      <c r="L841" t="s">
        <v>563</v>
      </c>
      <c r="M841" t="s">
        <v>478</v>
      </c>
      <c r="N841" t="str">
        <f>Tabela_tudo[[#This Row],[Médico]]&amp;" ("&amp;Tabela_tudo[[#This Row],[Obs]]&amp;")"</f>
        <v>SAR ()</v>
      </c>
    </row>
    <row r="842" spans="1:14" x14ac:dyDescent="0.3">
      <c r="A842" s="1">
        <v>45552</v>
      </c>
      <c r="B842" t="s">
        <v>64</v>
      </c>
      <c r="C842" t="s">
        <v>460</v>
      </c>
      <c r="D842" s="8">
        <v>0.29166666666666669</v>
      </c>
      <c r="E842" s="8">
        <v>0.54166666666666663</v>
      </c>
      <c r="L842" t="s">
        <v>563</v>
      </c>
      <c r="M842" t="s">
        <v>478</v>
      </c>
      <c r="N842" t="str">
        <f>Tabela_tudo[[#This Row],[Médico]]&amp;" ("&amp;Tabela_tudo[[#This Row],[Obs]]&amp;")"</f>
        <v>SAR ()</v>
      </c>
    </row>
    <row r="843" spans="1:14" x14ac:dyDescent="0.3">
      <c r="A843" s="1">
        <v>45545</v>
      </c>
      <c r="B843" t="s">
        <v>64</v>
      </c>
      <c r="C843" t="s">
        <v>460</v>
      </c>
      <c r="D843" s="8">
        <v>0.29166666666666669</v>
      </c>
      <c r="E843" s="8">
        <v>0.54166666666666663</v>
      </c>
      <c r="L843" t="s">
        <v>563</v>
      </c>
      <c r="M843" t="s">
        <v>478</v>
      </c>
      <c r="N843" t="str">
        <f>Tabela_tudo[[#This Row],[Médico]]&amp;" ("&amp;Tabela_tudo[[#This Row],[Obs]]&amp;")"</f>
        <v>SAR ()</v>
      </c>
    </row>
    <row r="844" spans="1:14" x14ac:dyDescent="0.3">
      <c r="A844" s="1">
        <v>45566</v>
      </c>
      <c r="B844" t="s">
        <v>64</v>
      </c>
      <c r="C844" t="s">
        <v>460</v>
      </c>
      <c r="D844" s="8">
        <v>0.29166666666666669</v>
      </c>
      <c r="E844" s="8">
        <v>0.54166666666666663</v>
      </c>
      <c r="L844" t="s">
        <v>563</v>
      </c>
      <c r="M844" t="s">
        <v>478</v>
      </c>
      <c r="N844" t="str">
        <f>Tabela_tudo[[#This Row],[Médico]]&amp;" ("&amp;Tabela_tudo[[#This Row],[Obs]]&amp;")"</f>
        <v>SAR ()</v>
      </c>
    </row>
    <row r="845" spans="1:14" x14ac:dyDescent="0.3">
      <c r="A845" s="1">
        <v>45587</v>
      </c>
      <c r="B845" t="s">
        <v>64</v>
      </c>
      <c r="C845" t="s">
        <v>460</v>
      </c>
      <c r="D845" s="8">
        <v>0.29166666666666669</v>
      </c>
      <c r="E845" s="8">
        <v>0.54166666666666663</v>
      </c>
      <c r="L845" t="s">
        <v>563</v>
      </c>
      <c r="M845" t="s">
        <v>478</v>
      </c>
      <c r="N845" t="str">
        <f>Tabela_tudo[[#This Row],[Médico]]&amp;" ("&amp;Tabela_tudo[[#This Row],[Obs]]&amp;")"</f>
        <v>SAR ()</v>
      </c>
    </row>
    <row r="846" spans="1:14" x14ac:dyDescent="0.3">
      <c r="A846" s="1">
        <v>45580</v>
      </c>
      <c r="B846" t="s">
        <v>64</v>
      </c>
      <c r="C846" t="s">
        <v>460</v>
      </c>
      <c r="D846" s="8">
        <v>0.29166666666666669</v>
      </c>
      <c r="E846" s="8">
        <v>0.54166666666666663</v>
      </c>
      <c r="L846" t="s">
        <v>563</v>
      </c>
      <c r="M846" t="s">
        <v>478</v>
      </c>
      <c r="N846" t="str">
        <f>Tabela_tudo[[#This Row],[Médico]]&amp;" ("&amp;Tabela_tudo[[#This Row],[Obs]]&amp;")"</f>
        <v>SAR ()</v>
      </c>
    </row>
    <row r="847" spans="1:14" x14ac:dyDescent="0.3">
      <c r="A847" s="1">
        <v>45573</v>
      </c>
      <c r="B847" t="s">
        <v>64</v>
      </c>
      <c r="C847" t="s">
        <v>460</v>
      </c>
      <c r="D847" s="8">
        <v>0.29166666666666669</v>
      </c>
      <c r="E847" s="8">
        <v>0.54166666666666663</v>
      </c>
      <c r="L847" t="s">
        <v>563</v>
      </c>
      <c r="M847" t="s">
        <v>478</v>
      </c>
      <c r="N847" t="str">
        <f>Tabela_tudo[[#This Row],[Médico]]&amp;" ("&amp;Tabela_tudo[[#This Row],[Obs]]&amp;")"</f>
        <v>SAR ()</v>
      </c>
    </row>
    <row r="848" spans="1:14" x14ac:dyDescent="0.3">
      <c r="A848" s="1">
        <v>45510</v>
      </c>
      <c r="B848" t="s">
        <v>64</v>
      </c>
      <c r="C848" t="s">
        <v>460</v>
      </c>
      <c r="D848" s="8">
        <v>0.29166666666666669</v>
      </c>
      <c r="E848" s="8">
        <v>0.54166666666666663</v>
      </c>
      <c r="L848" t="s">
        <v>563</v>
      </c>
      <c r="M848" t="s">
        <v>478</v>
      </c>
      <c r="N848" t="str">
        <f>Tabela_tudo[[#This Row],[Médico]]&amp;" ("&amp;Tabela_tudo[[#This Row],[Obs]]&amp;")"</f>
        <v>SAR ()</v>
      </c>
    </row>
    <row r="849" spans="1:14" x14ac:dyDescent="0.3">
      <c r="A849" s="1">
        <v>45503</v>
      </c>
      <c r="B849" t="s">
        <v>64</v>
      </c>
      <c r="C849" t="s">
        <v>460</v>
      </c>
      <c r="D849" s="8">
        <v>0.29166666666666669</v>
      </c>
      <c r="E849" s="8">
        <v>0.54166666666666663</v>
      </c>
      <c r="L849" t="s">
        <v>563</v>
      </c>
      <c r="M849" t="s">
        <v>478</v>
      </c>
      <c r="N849" t="str">
        <f>Tabela_tudo[[#This Row],[Médico]]&amp;" ("&amp;Tabela_tudo[[#This Row],[Obs]]&amp;")"</f>
        <v>SAR ()</v>
      </c>
    </row>
    <row r="850" spans="1:14" x14ac:dyDescent="0.3">
      <c r="A850" s="1">
        <v>45496</v>
      </c>
      <c r="B850" t="s">
        <v>64</v>
      </c>
      <c r="C850" t="s">
        <v>460</v>
      </c>
      <c r="D850" s="8">
        <v>0.29166666666666669</v>
      </c>
      <c r="E850" s="8">
        <v>0.54166666666666663</v>
      </c>
      <c r="L850" t="s">
        <v>563</v>
      </c>
      <c r="M850" t="s">
        <v>478</v>
      </c>
      <c r="N850" t="str">
        <f>Tabela_tudo[[#This Row],[Médico]]&amp;" ("&amp;Tabela_tudo[[#This Row],[Obs]]&amp;")"</f>
        <v>SAR ()</v>
      </c>
    </row>
    <row r="851" spans="1:14" x14ac:dyDescent="0.3">
      <c r="A851" s="1">
        <v>45517</v>
      </c>
      <c r="B851" t="s">
        <v>64</v>
      </c>
      <c r="C851" t="s">
        <v>460</v>
      </c>
      <c r="D851" s="8">
        <v>0.29166666666666669</v>
      </c>
      <c r="E851" s="8">
        <v>0.54166666666666663</v>
      </c>
      <c r="L851" t="s">
        <v>563</v>
      </c>
      <c r="M851" t="s">
        <v>478</v>
      </c>
      <c r="N851" t="str">
        <f>Tabela_tudo[[#This Row],[Médico]]&amp;" ("&amp;Tabela_tudo[[#This Row],[Obs]]&amp;")"</f>
        <v>SAR ()</v>
      </c>
    </row>
    <row r="852" spans="1:14" x14ac:dyDescent="0.3">
      <c r="A852" s="1">
        <v>45538</v>
      </c>
      <c r="B852" t="s">
        <v>64</v>
      </c>
      <c r="C852" t="s">
        <v>460</v>
      </c>
      <c r="D852" s="8">
        <v>0.29166666666666669</v>
      </c>
      <c r="E852" s="8">
        <v>0.54166666666666663</v>
      </c>
      <c r="L852" t="s">
        <v>563</v>
      </c>
      <c r="M852" t="s">
        <v>478</v>
      </c>
      <c r="N852" t="str">
        <f>Tabela_tudo[[#This Row],[Médico]]&amp;" ("&amp;Tabela_tudo[[#This Row],[Obs]]&amp;")"</f>
        <v>SAR ()</v>
      </c>
    </row>
    <row r="853" spans="1:14" x14ac:dyDescent="0.3">
      <c r="A853" s="1">
        <v>45531</v>
      </c>
      <c r="B853" t="s">
        <v>64</v>
      </c>
      <c r="C853" t="s">
        <v>460</v>
      </c>
      <c r="D853" s="8">
        <v>0.29166666666666669</v>
      </c>
      <c r="E853" s="8">
        <v>0.54166666666666663</v>
      </c>
      <c r="L853" t="s">
        <v>563</v>
      </c>
      <c r="M853" t="s">
        <v>478</v>
      </c>
      <c r="N853" t="str">
        <f>Tabela_tudo[[#This Row],[Médico]]&amp;" ("&amp;Tabela_tudo[[#This Row],[Obs]]&amp;")"</f>
        <v>SAR ()</v>
      </c>
    </row>
    <row r="854" spans="1:14" x14ac:dyDescent="0.3">
      <c r="A854" s="1">
        <v>45524</v>
      </c>
      <c r="B854" t="s">
        <v>64</v>
      </c>
      <c r="C854" t="s">
        <v>460</v>
      </c>
      <c r="D854" s="8">
        <v>0.29166666666666669</v>
      </c>
      <c r="E854" s="8">
        <v>0.54166666666666663</v>
      </c>
      <c r="L854" t="s">
        <v>563</v>
      </c>
      <c r="M854" t="s">
        <v>478</v>
      </c>
      <c r="N854" t="str">
        <f>Tabela_tudo[[#This Row],[Médico]]&amp;" ("&amp;Tabela_tudo[[#This Row],[Obs]]&amp;")"</f>
        <v>SAR ()</v>
      </c>
    </row>
    <row r="855" spans="1:14" x14ac:dyDescent="0.3">
      <c r="A855" s="1">
        <v>45077</v>
      </c>
      <c r="B855" t="s">
        <v>32</v>
      </c>
      <c r="C855" t="s">
        <v>460</v>
      </c>
      <c r="D855" s="8">
        <v>0.54166666666666663</v>
      </c>
      <c r="E855" s="8">
        <v>0.83333333333333337</v>
      </c>
      <c r="L855" t="s">
        <v>563</v>
      </c>
      <c r="M855" t="s">
        <v>478</v>
      </c>
      <c r="N855" t="str">
        <f>Tabela_tudo[[#This Row],[Médico]]&amp;" ("&amp;Tabela_tudo[[#This Row],[Obs]]&amp;")"</f>
        <v>JS ()</v>
      </c>
    </row>
    <row r="856" spans="1:14" x14ac:dyDescent="0.3">
      <c r="A856" s="1">
        <v>45357</v>
      </c>
      <c r="B856" t="s">
        <v>32</v>
      </c>
      <c r="C856" t="s">
        <v>460</v>
      </c>
      <c r="D856" s="8">
        <v>0.54166666666666663</v>
      </c>
      <c r="E856" s="8">
        <v>0.83333333333333337</v>
      </c>
      <c r="L856" t="s">
        <v>563</v>
      </c>
      <c r="M856" t="s">
        <v>478</v>
      </c>
      <c r="N856" t="str">
        <f>Tabela_tudo[[#This Row],[Médico]]&amp;" ("&amp;Tabela_tudo[[#This Row],[Obs]]&amp;")"</f>
        <v>JS ()</v>
      </c>
    </row>
    <row r="857" spans="1:14" x14ac:dyDescent="0.3">
      <c r="A857" s="1">
        <v>45350</v>
      </c>
      <c r="B857" t="s">
        <v>32</v>
      </c>
      <c r="C857" t="s">
        <v>460</v>
      </c>
      <c r="D857" s="8">
        <v>0.54166666666666663</v>
      </c>
      <c r="E857" s="8">
        <v>0.83333333333333337</v>
      </c>
      <c r="L857" t="s">
        <v>563</v>
      </c>
      <c r="M857" t="s">
        <v>478</v>
      </c>
      <c r="N857" t="str">
        <f>Tabela_tudo[[#This Row],[Médico]]&amp;" ("&amp;Tabela_tudo[[#This Row],[Obs]]&amp;")"</f>
        <v>JS ()</v>
      </c>
    </row>
    <row r="858" spans="1:14" x14ac:dyDescent="0.3">
      <c r="A858" s="1">
        <v>45343</v>
      </c>
      <c r="B858" t="s">
        <v>32</v>
      </c>
      <c r="C858" t="s">
        <v>460</v>
      </c>
      <c r="D858" s="8">
        <v>0.54166666666666663</v>
      </c>
      <c r="E858" s="8">
        <v>0.83333333333333337</v>
      </c>
      <c r="L858" t="s">
        <v>563</v>
      </c>
      <c r="M858" t="s">
        <v>478</v>
      </c>
      <c r="N858" t="str">
        <f>Tabela_tudo[[#This Row],[Médico]]&amp;" ("&amp;Tabela_tudo[[#This Row],[Obs]]&amp;")"</f>
        <v>JS ()</v>
      </c>
    </row>
    <row r="859" spans="1:14" x14ac:dyDescent="0.3">
      <c r="A859" s="1">
        <v>45364</v>
      </c>
      <c r="B859" t="s">
        <v>32</v>
      </c>
      <c r="C859" t="s">
        <v>460</v>
      </c>
      <c r="D859" s="8">
        <v>0.54166666666666663</v>
      </c>
      <c r="E859" s="8">
        <v>0.83333333333333337</v>
      </c>
      <c r="L859" t="s">
        <v>563</v>
      </c>
      <c r="M859" t="s">
        <v>478</v>
      </c>
      <c r="N859" t="str">
        <f>Tabela_tudo[[#This Row],[Médico]]&amp;" ("&amp;Tabela_tudo[[#This Row],[Obs]]&amp;")"</f>
        <v>JS ()</v>
      </c>
    </row>
    <row r="860" spans="1:14" x14ac:dyDescent="0.3">
      <c r="A860" s="1">
        <v>45385</v>
      </c>
      <c r="B860" t="s">
        <v>32</v>
      </c>
      <c r="C860" t="s">
        <v>460</v>
      </c>
      <c r="D860" s="8">
        <v>0.54166666666666663</v>
      </c>
      <c r="E860" s="8">
        <v>0.83333333333333337</v>
      </c>
      <c r="L860" t="s">
        <v>563</v>
      </c>
      <c r="M860" t="s">
        <v>478</v>
      </c>
      <c r="N860" t="str">
        <f>Tabela_tudo[[#This Row],[Médico]]&amp;" ("&amp;Tabela_tudo[[#This Row],[Obs]]&amp;")"</f>
        <v>JS ()</v>
      </c>
    </row>
    <row r="861" spans="1:14" x14ac:dyDescent="0.3">
      <c r="A861" s="1">
        <v>45378</v>
      </c>
      <c r="B861" t="s">
        <v>32</v>
      </c>
      <c r="C861" t="s">
        <v>460</v>
      </c>
      <c r="D861" s="8">
        <v>0.54166666666666663</v>
      </c>
      <c r="E861" s="8">
        <v>0.83333333333333337</v>
      </c>
      <c r="L861" t="s">
        <v>563</v>
      </c>
      <c r="M861" t="s">
        <v>478</v>
      </c>
      <c r="N861" t="str">
        <f>Tabela_tudo[[#This Row],[Médico]]&amp;" ("&amp;Tabela_tudo[[#This Row],[Obs]]&amp;")"</f>
        <v>JS ()</v>
      </c>
    </row>
    <row r="862" spans="1:14" x14ac:dyDescent="0.3">
      <c r="A862" s="1">
        <v>45371</v>
      </c>
      <c r="B862" t="s">
        <v>32</v>
      </c>
      <c r="C862" t="s">
        <v>460</v>
      </c>
      <c r="D862" s="8">
        <v>0.54166666666666663</v>
      </c>
      <c r="E862" s="8">
        <v>0.83333333333333337</v>
      </c>
      <c r="L862" t="s">
        <v>563</v>
      </c>
      <c r="M862" t="s">
        <v>478</v>
      </c>
      <c r="N862" t="str">
        <f>Tabela_tudo[[#This Row],[Médico]]&amp;" ("&amp;Tabela_tudo[[#This Row],[Obs]]&amp;")"</f>
        <v>JS ()</v>
      </c>
    </row>
    <row r="863" spans="1:14" x14ac:dyDescent="0.3">
      <c r="A863" s="1">
        <v>45308</v>
      </c>
      <c r="B863" t="s">
        <v>32</v>
      </c>
      <c r="C863" t="s">
        <v>460</v>
      </c>
      <c r="D863" s="8">
        <v>0.54166666666666663</v>
      </c>
      <c r="E863" s="8">
        <v>0.83333333333333337</v>
      </c>
      <c r="L863" t="s">
        <v>563</v>
      </c>
      <c r="M863" t="s">
        <v>478</v>
      </c>
      <c r="N863" t="str">
        <f>Tabela_tudo[[#This Row],[Médico]]&amp;" ("&amp;Tabela_tudo[[#This Row],[Obs]]&amp;")"</f>
        <v>JS ()</v>
      </c>
    </row>
    <row r="864" spans="1:14" x14ac:dyDescent="0.3">
      <c r="A864" s="1">
        <v>45301</v>
      </c>
      <c r="B864" t="s">
        <v>32</v>
      </c>
      <c r="C864" t="s">
        <v>460</v>
      </c>
      <c r="D864" s="8">
        <v>0.54166666666666663</v>
      </c>
      <c r="E864" s="8">
        <v>0.83333333333333337</v>
      </c>
      <c r="L864" t="s">
        <v>563</v>
      </c>
      <c r="M864" t="s">
        <v>478</v>
      </c>
      <c r="N864" t="str">
        <f>Tabela_tudo[[#This Row],[Médico]]&amp;" ("&amp;Tabela_tudo[[#This Row],[Obs]]&amp;")"</f>
        <v>JS ()</v>
      </c>
    </row>
    <row r="865" spans="1:14" x14ac:dyDescent="0.3">
      <c r="A865" s="1">
        <v>45294</v>
      </c>
      <c r="B865" t="s">
        <v>32</v>
      </c>
      <c r="C865" t="s">
        <v>460</v>
      </c>
      <c r="D865" s="8">
        <v>0.54166666666666663</v>
      </c>
      <c r="E865" s="8">
        <v>0.83333333333333337</v>
      </c>
      <c r="L865" t="s">
        <v>563</v>
      </c>
      <c r="M865" t="s">
        <v>478</v>
      </c>
      <c r="N865" t="str">
        <f>Tabela_tudo[[#This Row],[Médico]]&amp;" ("&amp;Tabela_tudo[[#This Row],[Obs]]&amp;")"</f>
        <v>JS ()</v>
      </c>
    </row>
    <row r="866" spans="1:14" x14ac:dyDescent="0.3">
      <c r="A866" s="1">
        <v>45315</v>
      </c>
      <c r="B866" t="s">
        <v>32</v>
      </c>
      <c r="C866" t="s">
        <v>460</v>
      </c>
      <c r="D866" s="8">
        <v>0.54166666666666663</v>
      </c>
      <c r="E866" s="8">
        <v>0.83333333333333337</v>
      </c>
      <c r="L866" t="s">
        <v>563</v>
      </c>
      <c r="M866" t="s">
        <v>478</v>
      </c>
      <c r="N866" t="str">
        <f>Tabela_tudo[[#This Row],[Médico]]&amp;" ("&amp;Tabela_tudo[[#This Row],[Obs]]&amp;")"</f>
        <v>JS ()</v>
      </c>
    </row>
    <row r="867" spans="1:14" x14ac:dyDescent="0.3">
      <c r="A867" s="1">
        <v>45336</v>
      </c>
      <c r="B867" t="s">
        <v>32</v>
      </c>
      <c r="C867" t="s">
        <v>460</v>
      </c>
      <c r="D867" s="8">
        <v>0.54166666666666663</v>
      </c>
      <c r="E867" s="8">
        <v>0.83333333333333337</v>
      </c>
      <c r="L867" t="s">
        <v>563</v>
      </c>
      <c r="M867" t="s">
        <v>478</v>
      </c>
      <c r="N867" t="str">
        <f>Tabela_tudo[[#This Row],[Médico]]&amp;" ("&amp;Tabela_tudo[[#This Row],[Obs]]&amp;")"</f>
        <v>JS ()</v>
      </c>
    </row>
    <row r="868" spans="1:14" x14ac:dyDescent="0.3">
      <c r="A868" s="1">
        <v>45329</v>
      </c>
      <c r="B868" t="s">
        <v>32</v>
      </c>
      <c r="C868" t="s">
        <v>460</v>
      </c>
      <c r="D868" s="8">
        <v>0.54166666666666663</v>
      </c>
      <c r="E868" s="8">
        <v>0.83333333333333337</v>
      </c>
      <c r="L868" t="s">
        <v>563</v>
      </c>
      <c r="M868" t="s">
        <v>478</v>
      </c>
      <c r="N868" t="str">
        <f>Tabela_tudo[[#This Row],[Médico]]&amp;" ("&amp;Tabela_tudo[[#This Row],[Obs]]&amp;")"</f>
        <v>JS ()</v>
      </c>
    </row>
    <row r="869" spans="1:14" x14ac:dyDescent="0.3">
      <c r="A869" s="1">
        <v>45322</v>
      </c>
      <c r="B869" t="s">
        <v>32</v>
      </c>
      <c r="C869" t="s">
        <v>460</v>
      </c>
      <c r="D869" s="8">
        <v>0.54166666666666663</v>
      </c>
      <c r="E869" s="8">
        <v>0.83333333333333337</v>
      </c>
      <c r="L869" t="s">
        <v>563</v>
      </c>
      <c r="M869" t="s">
        <v>478</v>
      </c>
      <c r="N869" t="str">
        <f>Tabela_tudo[[#This Row],[Médico]]&amp;" ("&amp;Tabela_tudo[[#This Row],[Obs]]&amp;")"</f>
        <v>JS ()</v>
      </c>
    </row>
    <row r="870" spans="1:14" x14ac:dyDescent="0.3">
      <c r="A870" s="1">
        <v>45392</v>
      </c>
      <c r="B870" t="s">
        <v>32</v>
      </c>
      <c r="C870" t="s">
        <v>460</v>
      </c>
      <c r="D870" s="8">
        <v>0.54166666666666663</v>
      </c>
      <c r="E870" s="8">
        <v>0.83333333333333337</v>
      </c>
      <c r="L870" t="s">
        <v>563</v>
      </c>
      <c r="M870" t="s">
        <v>478</v>
      </c>
      <c r="N870" t="str">
        <f>Tabela_tudo[[#This Row],[Médico]]&amp;" ("&amp;Tabela_tudo[[#This Row],[Obs]]&amp;")"</f>
        <v>JS ()</v>
      </c>
    </row>
    <row r="871" spans="1:14" x14ac:dyDescent="0.3">
      <c r="A871" s="1">
        <v>45462</v>
      </c>
      <c r="B871" t="s">
        <v>32</v>
      </c>
      <c r="C871" t="s">
        <v>460</v>
      </c>
      <c r="D871" s="8">
        <v>0.54166666666666663</v>
      </c>
      <c r="E871" s="8">
        <v>0.83333333333333337</v>
      </c>
      <c r="L871" t="s">
        <v>563</v>
      </c>
      <c r="M871" t="s">
        <v>478</v>
      </c>
      <c r="N871" t="str">
        <f>Tabela_tudo[[#This Row],[Médico]]&amp;" ("&amp;Tabela_tudo[[#This Row],[Obs]]&amp;")"</f>
        <v>JS ()</v>
      </c>
    </row>
    <row r="872" spans="1:14" x14ac:dyDescent="0.3">
      <c r="A872" s="1">
        <v>45455</v>
      </c>
      <c r="B872" t="s">
        <v>32</v>
      </c>
      <c r="C872" t="s">
        <v>460</v>
      </c>
      <c r="D872" s="8">
        <v>0.54166666666666663</v>
      </c>
      <c r="E872" s="8">
        <v>0.83333333333333337</v>
      </c>
      <c r="L872" t="s">
        <v>563</v>
      </c>
      <c r="M872" t="s">
        <v>478</v>
      </c>
      <c r="N872" t="str">
        <f>Tabela_tudo[[#This Row],[Médico]]&amp;" ("&amp;Tabela_tudo[[#This Row],[Obs]]&amp;")"</f>
        <v>JS ()</v>
      </c>
    </row>
    <row r="873" spans="1:14" x14ac:dyDescent="0.3">
      <c r="A873" s="1">
        <v>45448</v>
      </c>
      <c r="B873" t="s">
        <v>32</v>
      </c>
      <c r="C873" t="s">
        <v>460</v>
      </c>
      <c r="D873" s="8">
        <v>0.54166666666666663</v>
      </c>
      <c r="E873" s="8">
        <v>0.83333333333333337</v>
      </c>
      <c r="L873" t="s">
        <v>563</v>
      </c>
      <c r="M873" t="s">
        <v>478</v>
      </c>
      <c r="N873" t="str">
        <f>Tabela_tudo[[#This Row],[Médico]]&amp;" ("&amp;Tabela_tudo[[#This Row],[Obs]]&amp;")"</f>
        <v>JS ()</v>
      </c>
    </row>
    <row r="874" spans="1:14" x14ac:dyDescent="0.3">
      <c r="A874" s="1">
        <v>45469</v>
      </c>
      <c r="B874" t="s">
        <v>32</v>
      </c>
      <c r="C874" t="s">
        <v>460</v>
      </c>
      <c r="D874" s="8">
        <v>0.54166666666666663</v>
      </c>
      <c r="E874" s="8">
        <v>0.83333333333333337</v>
      </c>
      <c r="L874" t="s">
        <v>563</v>
      </c>
      <c r="M874" t="s">
        <v>478</v>
      </c>
      <c r="N874" t="str">
        <f>Tabela_tudo[[#This Row],[Médico]]&amp;" ("&amp;Tabela_tudo[[#This Row],[Obs]]&amp;")"</f>
        <v>JS ()</v>
      </c>
    </row>
    <row r="875" spans="1:14" x14ac:dyDescent="0.3">
      <c r="A875" s="1">
        <v>45490</v>
      </c>
      <c r="B875" t="s">
        <v>32</v>
      </c>
      <c r="C875" t="s">
        <v>460</v>
      </c>
      <c r="D875" s="8">
        <v>0.54166666666666663</v>
      </c>
      <c r="E875" s="8">
        <v>0.83333333333333337</v>
      </c>
      <c r="L875" t="s">
        <v>563</v>
      </c>
      <c r="M875" t="s">
        <v>478</v>
      </c>
      <c r="N875" t="str">
        <f>Tabela_tudo[[#This Row],[Médico]]&amp;" ("&amp;Tabela_tudo[[#This Row],[Obs]]&amp;")"</f>
        <v>JS ()</v>
      </c>
    </row>
    <row r="876" spans="1:14" x14ac:dyDescent="0.3">
      <c r="A876" s="1">
        <v>45483</v>
      </c>
      <c r="B876" t="s">
        <v>32</v>
      </c>
      <c r="C876" t="s">
        <v>460</v>
      </c>
      <c r="D876" s="8">
        <v>0.54166666666666663</v>
      </c>
      <c r="E876" s="8">
        <v>0.83333333333333337</v>
      </c>
      <c r="L876" t="s">
        <v>563</v>
      </c>
      <c r="M876" t="s">
        <v>478</v>
      </c>
      <c r="N876" t="str">
        <f>Tabela_tudo[[#This Row],[Médico]]&amp;" ("&amp;Tabela_tudo[[#This Row],[Obs]]&amp;")"</f>
        <v>JS ()</v>
      </c>
    </row>
    <row r="877" spans="1:14" x14ac:dyDescent="0.3">
      <c r="A877" s="1">
        <v>45476</v>
      </c>
      <c r="B877" t="s">
        <v>32</v>
      </c>
      <c r="C877" t="s">
        <v>460</v>
      </c>
      <c r="D877" s="8">
        <v>0.54166666666666663</v>
      </c>
      <c r="E877" s="8">
        <v>0.83333333333333337</v>
      </c>
      <c r="L877" t="s">
        <v>563</v>
      </c>
      <c r="M877" t="s">
        <v>478</v>
      </c>
      <c r="N877" t="str">
        <f>Tabela_tudo[[#This Row],[Médico]]&amp;" ("&amp;Tabela_tudo[[#This Row],[Obs]]&amp;")"</f>
        <v>JS ()</v>
      </c>
    </row>
    <row r="878" spans="1:14" x14ac:dyDescent="0.3">
      <c r="A878" s="1">
        <v>45413</v>
      </c>
      <c r="B878" t="s">
        <v>32</v>
      </c>
      <c r="C878" t="s">
        <v>460</v>
      </c>
      <c r="D878" s="8">
        <v>0.54166666666666663</v>
      </c>
      <c r="E878" s="8">
        <v>0.83333333333333337</v>
      </c>
      <c r="L878" t="s">
        <v>563</v>
      </c>
      <c r="M878" t="s">
        <v>478</v>
      </c>
      <c r="N878" t="str">
        <f>Tabela_tudo[[#This Row],[Médico]]&amp;" ("&amp;Tabela_tudo[[#This Row],[Obs]]&amp;")"</f>
        <v>JS ()</v>
      </c>
    </row>
    <row r="879" spans="1:14" x14ac:dyDescent="0.3">
      <c r="A879" s="1">
        <v>45406</v>
      </c>
      <c r="B879" t="s">
        <v>32</v>
      </c>
      <c r="C879" t="s">
        <v>460</v>
      </c>
      <c r="D879" s="8">
        <v>0.54166666666666663</v>
      </c>
      <c r="E879" s="8">
        <v>0.83333333333333337</v>
      </c>
      <c r="L879" t="s">
        <v>563</v>
      </c>
      <c r="M879" t="s">
        <v>478</v>
      </c>
      <c r="N879" t="str">
        <f>Tabela_tudo[[#This Row],[Médico]]&amp;" ("&amp;Tabela_tudo[[#This Row],[Obs]]&amp;")"</f>
        <v>JS ()</v>
      </c>
    </row>
    <row r="880" spans="1:14" x14ac:dyDescent="0.3">
      <c r="A880" s="1">
        <v>45399</v>
      </c>
      <c r="B880" t="s">
        <v>32</v>
      </c>
      <c r="C880" t="s">
        <v>460</v>
      </c>
      <c r="D880" s="8">
        <v>0.54166666666666663</v>
      </c>
      <c r="E880" s="8">
        <v>0.83333333333333337</v>
      </c>
      <c r="L880" t="s">
        <v>563</v>
      </c>
      <c r="M880" t="s">
        <v>478</v>
      </c>
      <c r="N880" t="str">
        <f>Tabela_tudo[[#This Row],[Médico]]&amp;" ("&amp;Tabela_tudo[[#This Row],[Obs]]&amp;")"</f>
        <v>JS ()</v>
      </c>
    </row>
    <row r="881" spans="1:14" x14ac:dyDescent="0.3">
      <c r="A881" s="1">
        <v>45420</v>
      </c>
      <c r="B881" t="s">
        <v>32</v>
      </c>
      <c r="C881" t="s">
        <v>460</v>
      </c>
      <c r="D881" s="8">
        <v>0.54166666666666663</v>
      </c>
      <c r="E881" s="8">
        <v>0.83333333333333337</v>
      </c>
      <c r="L881" t="s">
        <v>563</v>
      </c>
      <c r="M881" t="s">
        <v>478</v>
      </c>
      <c r="N881" t="str">
        <f>Tabela_tudo[[#This Row],[Médico]]&amp;" ("&amp;Tabela_tudo[[#This Row],[Obs]]&amp;")"</f>
        <v>JS ()</v>
      </c>
    </row>
    <row r="882" spans="1:14" x14ac:dyDescent="0.3">
      <c r="A882" s="1">
        <v>45441</v>
      </c>
      <c r="B882" t="s">
        <v>32</v>
      </c>
      <c r="C882" t="s">
        <v>460</v>
      </c>
      <c r="D882" s="8">
        <v>0.54166666666666663</v>
      </c>
      <c r="E882" s="8">
        <v>0.83333333333333337</v>
      </c>
      <c r="L882" t="s">
        <v>563</v>
      </c>
      <c r="M882" t="s">
        <v>478</v>
      </c>
      <c r="N882" t="str">
        <f>Tabela_tudo[[#This Row],[Médico]]&amp;" ("&amp;Tabela_tudo[[#This Row],[Obs]]&amp;")"</f>
        <v>JS ()</v>
      </c>
    </row>
    <row r="883" spans="1:14" x14ac:dyDescent="0.3">
      <c r="A883" s="1">
        <v>45434</v>
      </c>
      <c r="B883" t="s">
        <v>32</v>
      </c>
      <c r="C883" t="s">
        <v>460</v>
      </c>
      <c r="D883" s="8">
        <v>0.54166666666666663</v>
      </c>
      <c r="E883" s="8">
        <v>0.83333333333333337</v>
      </c>
      <c r="L883" t="s">
        <v>563</v>
      </c>
      <c r="M883" t="s">
        <v>478</v>
      </c>
      <c r="N883" t="str">
        <f>Tabela_tudo[[#This Row],[Médico]]&amp;" ("&amp;Tabela_tudo[[#This Row],[Obs]]&amp;")"</f>
        <v>JS ()</v>
      </c>
    </row>
    <row r="884" spans="1:14" x14ac:dyDescent="0.3">
      <c r="A884" s="1">
        <v>45427</v>
      </c>
      <c r="B884" t="s">
        <v>32</v>
      </c>
      <c r="C884" t="s">
        <v>460</v>
      </c>
      <c r="D884" s="8">
        <v>0.54166666666666663</v>
      </c>
      <c r="E884" s="8">
        <v>0.83333333333333337</v>
      </c>
      <c r="L884" t="s">
        <v>563</v>
      </c>
      <c r="M884" t="s">
        <v>478</v>
      </c>
      <c r="N884" t="str">
        <f>Tabela_tudo[[#This Row],[Médico]]&amp;" ("&amp;Tabela_tudo[[#This Row],[Obs]]&amp;")"</f>
        <v>JS ()</v>
      </c>
    </row>
    <row r="885" spans="1:14" x14ac:dyDescent="0.3">
      <c r="A885" s="1">
        <v>45287</v>
      </c>
      <c r="B885" t="s">
        <v>32</v>
      </c>
      <c r="C885" t="s">
        <v>460</v>
      </c>
      <c r="D885" s="8">
        <v>0.54166666666666663</v>
      </c>
      <c r="E885" s="8">
        <v>0.83333333333333337</v>
      </c>
      <c r="L885" t="s">
        <v>563</v>
      </c>
      <c r="M885" t="s">
        <v>478</v>
      </c>
      <c r="N885" t="str">
        <f>Tabela_tudo[[#This Row],[Médico]]&amp;" ("&amp;Tabela_tudo[[#This Row],[Obs]]&amp;")"</f>
        <v>JS ()</v>
      </c>
    </row>
    <row r="886" spans="1:14" x14ac:dyDescent="0.3">
      <c r="A886" s="1">
        <v>45147</v>
      </c>
      <c r="B886" t="s">
        <v>32</v>
      </c>
      <c r="C886" t="s">
        <v>460</v>
      </c>
      <c r="D886" s="8">
        <v>0.54166666666666663</v>
      </c>
      <c r="E886" s="8">
        <v>0.83333333333333337</v>
      </c>
      <c r="L886" t="s">
        <v>563</v>
      </c>
      <c r="M886" t="s">
        <v>478</v>
      </c>
      <c r="N886" t="str">
        <f>Tabela_tudo[[#This Row],[Médico]]&amp;" ("&amp;Tabela_tudo[[#This Row],[Obs]]&amp;")"</f>
        <v>JS ()</v>
      </c>
    </row>
    <row r="887" spans="1:14" x14ac:dyDescent="0.3">
      <c r="A887" s="1">
        <v>45140</v>
      </c>
      <c r="B887" t="s">
        <v>32</v>
      </c>
      <c r="C887" t="s">
        <v>460</v>
      </c>
      <c r="D887" s="8">
        <v>0.54166666666666663</v>
      </c>
      <c r="E887" s="8">
        <v>0.83333333333333337</v>
      </c>
      <c r="L887" t="s">
        <v>563</v>
      </c>
      <c r="M887" t="s">
        <v>478</v>
      </c>
      <c r="N887" t="str">
        <f>Tabela_tudo[[#This Row],[Médico]]&amp;" ("&amp;Tabela_tudo[[#This Row],[Obs]]&amp;")"</f>
        <v>JS ()</v>
      </c>
    </row>
    <row r="888" spans="1:14" x14ac:dyDescent="0.3">
      <c r="A888" s="1">
        <v>45133</v>
      </c>
      <c r="B888" t="s">
        <v>32</v>
      </c>
      <c r="C888" t="s">
        <v>460</v>
      </c>
      <c r="D888" s="8">
        <v>0.54166666666666663</v>
      </c>
      <c r="E888" s="8">
        <v>0.83333333333333337</v>
      </c>
      <c r="L888" t="s">
        <v>563</v>
      </c>
      <c r="M888" t="s">
        <v>478</v>
      </c>
      <c r="N888" t="str">
        <f>Tabela_tudo[[#This Row],[Médico]]&amp;" ("&amp;Tabela_tudo[[#This Row],[Obs]]&amp;")"</f>
        <v>JS ()</v>
      </c>
    </row>
    <row r="889" spans="1:14" x14ac:dyDescent="0.3">
      <c r="A889" s="1">
        <v>45154</v>
      </c>
      <c r="B889" t="s">
        <v>32</v>
      </c>
      <c r="C889" t="s">
        <v>460</v>
      </c>
      <c r="D889" s="8">
        <v>0.54166666666666663</v>
      </c>
      <c r="E889" s="8">
        <v>0.83333333333333337</v>
      </c>
      <c r="L889" t="s">
        <v>563</v>
      </c>
      <c r="M889" t="s">
        <v>478</v>
      </c>
      <c r="N889" t="str">
        <f>Tabela_tudo[[#This Row],[Médico]]&amp;" ("&amp;Tabela_tudo[[#This Row],[Obs]]&amp;")"</f>
        <v>JS ()</v>
      </c>
    </row>
    <row r="890" spans="1:14" x14ac:dyDescent="0.3">
      <c r="A890" s="1">
        <v>45175</v>
      </c>
      <c r="B890" t="s">
        <v>32</v>
      </c>
      <c r="C890" t="s">
        <v>460</v>
      </c>
      <c r="D890" s="8">
        <v>0.54166666666666663</v>
      </c>
      <c r="E890" s="8">
        <v>0.83333333333333337</v>
      </c>
      <c r="L890" t="s">
        <v>563</v>
      </c>
      <c r="M890" t="s">
        <v>478</v>
      </c>
      <c r="N890" t="str">
        <f>Tabela_tudo[[#This Row],[Médico]]&amp;" ("&amp;Tabela_tudo[[#This Row],[Obs]]&amp;")"</f>
        <v>JS ()</v>
      </c>
    </row>
    <row r="891" spans="1:14" x14ac:dyDescent="0.3">
      <c r="A891" s="1">
        <v>45168</v>
      </c>
      <c r="B891" t="s">
        <v>32</v>
      </c>
      <c r="C891" t="s">
        <v>460</v>
      </c>
      <c r="D891" s="8">
        <v>0.54166666666666663</v>
      </c>
      <c r="E891" s="8">
        <v>0.83333333333333337</v>
      </c>
      <c r="L891" t="s">
        <v>563</v>
      </c>
      <c r="M891" t="s">
        <v>478</v>
      </c>
      <c r="N891" t="str">
        <f>Tabela_tudo[[#This Row],[Médico]]&amp;" ("&amp;Tabela_tudo[[#This Row],[Obs]]&amp;")"</f>
        <v>JS ()</v>
      </c>
    </row>
    <row r="892" spans="1:14" x14ac:dyDescent="0.3">
      <c r="A892" s="1">
        <v>45161</v>
      </c>
      <c r="B892" t="s">
        <v>32</v>
      </c>
      <c r="C892" t="s">
        <v>460</v>
      </c>
      <c r="D892" s="8">
        <v>0.54166666666666663</v>
      </c>
      <c r="E892" s="8">
        <v>0.83333333333333337</v>
      </c>
      <c r="L892" t="s">
        <v>563</v>
      </c>
      <c r="M892" t="s">
        <v>478</v>
      </c>
      <c r="N892" t="str">
        <f>Tabela_tudo[[#This Row],[Médico]]&amp;" ("&amp;Tabela_tudo[[#This Row],[Obs]]&amp;")"</f>
        <v>JS ()</v>
      </c>
    </row>
    <row r="893" spans="1:14" x14ac:dyDescent="0.3">
      <c r="A893" s="1">
        <v>45098</v>
      </c>
      <c r="B893" t="s">
        <v>32</v>
      </c>
      <c r="C893" t="s">
        <v>460</v>
      </c>
      <c r="D893" s="8">
        <v>0.54166666666666663</v>
      </c>
      <c r="E893" s="8">
        <v>0.83333333333333337</v>
      </c>
      <c r="L893" t="s">
        <v>563</v>
      </c>
      <c r="M893" t="s">
        <v>478</v>
      </c>
      <c r="N893" t="str">
        <f>Tabela_tudo[[#This Row],[Médico]]&amp;" ("&amp;Tabela_tudo[[#This Row],[Obs]]&amp;")"</f>
        <v>JS ()</v>
      </c>
    </row>
    <row r="894" spans="1:14" x14ac:dyDescent="0.3">
      <c r="A894" s="1">
        <v>45091</v>
      </c>
      <c r="B894" t="s">
        <v>32</v>
      </c>
      <c r="C894" t="s">
        <v>460</v>
      </c>
      <c r="D894" s="8">
        <v>0.54166666666666663</v>
      </c>
      <c r="E894" s="8">
        <v>0.83333333333333337</v>
      </c>
      <c r="L894" t="s">
        <v>563</v>
      </c>
      <c r="M894" t="s">
        <v>478</v>
      </c>
      <c r="N894" t="str">
        <f>Tabela_tudo[[#This Row],[Médico]]&amp;" ("&amp;Tabela_tudo[[#This Row],[Obs]]&amp;")"</f>
        <v>JS ()</v>
      </c>
    </row>
    <row r="895" spans="1:14" x14ac:dyDescent="0.3">
      <c r="A895" s="1">
        <v>45084</v>
      </c>
      <c r="B895" t="s">
        <v>32</v>
      </c>
      <c r="C895" t="s">
        <v>460</v>
      </c>
      <c r="D895" s="8">
        <v>0.54166666666666663</v>
      </c>
      <c r="E895" s="8">
        <v>0.83333333333333337</v>
      </c>
      <c r="L895" t="s">
        <v>563</v>
      </c>
      <c r="M895" t="s">
        <v>478</v>
      </c>
      <c r="N895" t="str">
        <f>Tabela_tudo[[#This Row],[Médico]]&amp;" ("&amp;Tabela_tudo[[#This Row],[Obs]]&amp;")"</f>
        <v>JS ()</v>
      </c>
    </row>
    <row r="896" spans="1:14" x14ac:dyDescent="0.3">
      <c r="A896" s="1">
        <v>45105</v>
      </c>
      <c r="B896" t="s">
        <v>32</v>
      </c>
      <c r="C896" t="s">
        <v>460</v>
      </c>
      <c r="D896" s="8">
        <v>0.54166666666666663</v>
      </c>
      <c r="E896" s="8">
        <v>0.83333333333333337</v>
      </c>
      <c r="L896" t="s">
        <v>563</v>
      </c>
      <c r="M896" t="s">
        <v>478</v>
      </c>
      <c r="N896" t="str">
        <f>Tabela_tudo[[#This Row],[Médico]]&amp;" ("&amp;Tabela_tudo[[#This Row],[Obs]]&amp;")"</f>
        <v>JS ()</v>
      </c>
    </row>
    <row r="897" spans="1:14" x14ac:dyDescent="0.3">
      <c r="A897" s="1">
        <v>45126</v>
      </c>
      <c r="B897" t="s">
        <v>32</v>
      </c>
      <c r="C897" t="s">
        <v>460</v>
      </c>
      <c r="D897" s="8">
        <v>0.54166666666666663</v>
      </c>
      <c r="E897" s="8">
        <v>0.83333333333333337</v>
      </c>
      <c r="L897" t="s">
        <v>563</v>
      </c>
      <c r="M897" t="s">
        <v>478</v>
      </c>
      <c r="N897" t="str">
        <f>Tabela_tudo[[#This Row],[Médico]]&amp;" ("&amp;Tabela_tudo[[#This Row],[Obs]]&amp;")"</f>
        <v>JS ()</v>
      </c>
    </row>
    <row r="898" spans="1:14" x14ac:dyDescent="0.3">
      <c r="A898" s="1">
        <v>45119</v>
      </c>
      <c r="B898" t="s">
        <v>32</v>
      </c>
      <c r="C898" t="s">
        <v>460</v>
      </c>
      <c r="D898" s="8">
        <v>0.54166666666666663</v>
      </c>
      <c r="E898" s="8">
        <v>0.83333333333333337</v>
      </c>
      <c r="L898" t="s">
        <v>563</v>
      </c>
      <c r="M898" t="s">
        <v>478</v>
      </c>
      <c r="N898" t="str">
        <f>Tabela_tudo[[#This Row],[Médico]]&amp;" ("&amp;Tabela_tudo[[#This Row],[Obs]]&amp;")"</f>
        <v>JS ()</v>
      </c>
    </row>
    <row r="899" spans="1:14" x14ac:dyDescent="0.3">
      <c r="A899" s="1">
        <v>45112</v>
      </c>
      <c r="B899" t="s">
        <v>32</v>
      </c>
      <c r="C899" t="s">
        <v>460</v>
      </c>
      <c r="D899" s="8">
        <v>0.54166666666666663</v>
      </c>
      <c r="E899" s="8">
        <v>0.83333333333333337</v>
      </c>
      <c r="L899" t="s">
        <v>563</v>
      </c>
      <c r="M899" t="s">
        <v>478</v>
      </c>
      <c r="N899" t="str">
        <f>Tabela_tudo[[#This Row],[Médico]]&amp;" ("&amp;Tabela_tudo[[#This Row],[Obs]]&amp;")"</f>
        <v>JS ()</v>
      </c>
    </row>
    <row r="900" spans="1:14" x14ac:dyDescent="0.3">
      <c r="A900" s="1">
        <v>45182</v>
      </c>
      <c r="B900" t="s">
        <v>32</v>
      </c>
      <c r="C900" t="s">
        <v>460</v>
      </c>
      <c r="D900" s="8">
        <v>0.54166666666666663</v>
      </c>
      <c r="E900" s="8">
        <v>0.83333333333333337</v>
      </c>
      <c r="L900" t="s">
        <v>563</v>
      </c>
      <c r="M900" t="s">
        <v>478</v>
      </c>
      <c r="N900" t="str">
        <f>Tabela_tudo[[#This Row],[Médico]]&amp;" ("&amp;Tabela_tudo[[#This Row],[Obs]]&amp;")"</f>
        <v>JS ()</v>
      </c>
    </row>
    <row r="901" spans="1:14" x14ac:dyDescent="0.3">
      <c r="A901" s="1">
        <v>45252</v>
      </c>
      <c r="B901" t="s">
        <v>32</v>
      </c>
      <c r="C901" t="s">
        <v>460</v>
      </c>
      <c r="D901" s="8">
        <v>0.54166666666666663</v>
      </c>
      <c r="E901" s="8">
        <v>0.83333333333333337</v>
      </c>
      <c r="L901" t="s">
        <v>563</v>
      </c>
      <c r="M901" t="s">
        <v>478</v>
      </c>
      <c r="N901" t="str">
        <f>Tabela_tudo[[#This Row],[Médico]]&amp;" ("&amp;Tabela_tudo[[#This Row],[Obs]]&amp;")"</f>
        <v>JS ()</v>
      </c>
    </row>
    <row r="902" spans="1:14" x14ac:dyDescent="0.3">
      <c r="A902" s="1">
        <v>45245</v>
      </c>
      <c r="B902" t="s">
        <v>32</v>
      </c>
      <c r="C902" t="s">
        <v>460</v>
      </c>
      <c r="D902" s="8">
        <v>0.54166666666666663</v>
      </c>
      <c r="E902" s="8">
        <v>0.83333333333333337</v>
      </c>
      <c r="L902" t="s">
        <v>563</v>
      </c>
      <c r="M902" t="s">
        <v>478</v>
      </c>
      <c r="N902" t="str">
        <f>Tabela_tudo[[#This Row],[Médico]]&amp;" ("&amp;Tabela_tudo[[#This Row],[Obs]]&amp;")"</f>
        <v>JS ()</v>
      </c>
    </row>
    <row r="903" spans="1:14" x14ac:dyDescent="0.3">
      <c r="A903" s="1">
        <v>45238</v>
      </c>
      <c r="B903" t="s">
        <v>32</v>
      </c>
      <c r="C903" t="s">
        <v>460</v>
      </c>
      <c r="D903" s="8">
        <v>0.54166666666666663</v>
      </c>
      <c r="E903" s="8">
        <v>0.83333333333333337</v>
      </c>
      <c r="L903" t="s">
        <v>563</v>
      </c>
      <c r="M903" t="s">
        <v>478</v>
      </c>
      <c r="N903" t="str">
        <f>Tabela_tudo[[#This Row],[Médico]]&amp;" ("&amp;Tabela_tudo[[#This Row],[Obs]]&amp;")"</f>
        <v>JS ()</v>
      </c>
    </row>
    <row r="904" spans="1:14" x14ac:dyDescent="0.3">
      <c r="A904" s="1">
        <v>45259</v>
      </c>
      <c r="B904" t="s">
        <v>32</v>
      </c>
      <c r="C904" t="s">
        <v>460</v>
      </c>
      <c r="D904" s="8">
        <v>0.54166666666666663</v>
      </c>
      <c r="E904" s="8">
        <v>0.83333333333333337</v>
      </c>
      <c r="L904" t="s">
        <v>563</v>
      </c>
      <c r="M904" t="s">
        <v>478</v>
      </c>
      <c r="N904" t="str">
        <f>Tabela_tudo[[#This Row],[Médico]]&amp;" ("&amp;Tabela_tudo[[#This Row],[Obs]]&amp;")"</f>
        <v>JS ()</v>
      </c>
    </row>
    <row r="905" spans="1:14" x14ac:dyDescent="0.3">
      <c r="A905" s="1">
        <v>45280</v>
      </c>
      <c r="B905" t="s">
        <v>32</v>
      </c>
      <c r="C905" t="s">
        <v>460</v>
      </c>
      <c r="D905" s="8">
        <v>0.54166666666666663</v>
      </c>
      <c r="E905" s="8">
        <v>0.83333333333333337</v>
      </c>
      <c r="L905" t="s">
        <v>563</v>
      </c>
      <c r="M905" t="s">
        <v>478</v>
      </c>
      <c r="N905" t="str">
        <f>Tabela_tudo[[#This Row],[Médico]]&amp;" ("&amp;Tabela_tudo[[#This Row],[Obs]]&amp;")"</f>
        <v>JS ()</v>
      </c>
    </row>
    <row r="906" spans="1:14" x14ac:dyDescent="0.3">
      <c r="A906" s="1">
        <v>45273</v>
      </c>
      <c r="B906" t="s">
        <v>32</v>
      </c>
      <c r="C906" t="s">
        <v>460</v>
      </c>
      <c r="D906" s="8">
        <v>0.54166666666666663</v>
      </c>
      <c r="E906" s="8">
        <v>0.83333333333333337</v>
      </c>
      <c r="L906" t="s">
        <v>563</v>
      </c>
      <c r="M906" t="s">
        <v>478</v>
      </c>
      <c r="N906" t="str">
        <f>Tabela_tudo[[#This Row],[Médico]]&amp;" ("&amp;Tabela_tudo[[#This Row],[Obs]]&amp;")"</f>
        <v>JS ()</v>
      </c>
    </row>
    <row r="907" spans="1:14" x14ac:dyDescent="0.3">
      <c r="A907" s="1">
        <v>45266</v>
      </c>
      <c r="B907" t="s">
        <v>32</v>
      </c>
      <c r="C907" t="s">
        <v>460</v>
      </c>
      <c r="D907" s="8">
        <v>0.54166666666666663</v>
      </c>
      <c r="E907" s="8">
        <v>0.83333333333333337</v>
      </c>
      <c r="L907" t="s">
        <v>563</v>
      </c>
      <c r="M907" t="s">
        <v>478</v>
      </c>
      <c r="N907" t="str">
        <f>Tabela_tudo[[#This Row],[Médico]]&amp;" ("&amp;Tabela_tudo[[#This Row],[Obs]]&amp;")"</f>
        <v>JS ()</v>
      </c>
    </row>
    <row r="908" spans="1:14" x14ac:dyDescent="0.3">
      <c r="A908" s="1">
        <v>45203</v>
      </c>
      <c r="B908" t="s">
        <v>32</v>
      </c>
      <c r="C908" t="s">
        <v>460</v>
      </c>
      <c r="D908" s="8">
        <v>0.54166666666666663</v>
      </c>
      <c r="E908" s="8">
        <v>0.83333333333333337</v>
      </c>
      <c r="L908" t="s">
        <v>563</v>
      </c>
      <c r="M908" t="s">
        <v>478</v>
      </c>
      <c r="N908" t="str">
        <f>Tabela_tudo[[#This Row],[Médico]]&amp;" ("&amp;Tabela_tudo[[#This Row],[Obs]]&amp;")"</f>
        <v>JS ()</v>
      </c>
    </row>
    <row r="909" spans="1:14" x14ac:dyDescent="0.3">
      <c r="A909" s="1">
        <v>45196</v>
      </c>
      <c r="B909" t="s">
        <v>32</v>
      </c>
      <c r="C909" t="s">
        <v>460</v>
      </c>
      <c r="D909" s="8">
        <v>0.54166666666666663</v>
      </c>
      <c r="E909" s="8">
        <v>0.83333333333333337</v>
      </c>
      <c r="L909" t="s">
        <v>563</v>
      </c>
      <c r="M909" t="s">
        <v>478</v>
      </c>
      <c r="N909" t="str">
        <f>Tabela_tudo[[#This Row],[Médico]]&amp;" ("&amp;Tabela_tudo[[#This Row],[Obs]]&amp;")"</f>
        <v>JS ()</v>
      </c>
    </row>
    <row r="910" spans="1:14" x14ac:dyDescent="0.3">
      <c r="A910" s="1">
        <v>45189</v>
      </c>
      <c r="B910" t="s">
        <v>32</v>
      </c>
      <c r="C910" t="s">
        <v>460</v>
      </c>
      <c r="D910" s="8">
        <v>0.54166666666666663</v>
      </c>
      <c r="E910" s="8">
        <v>0.83333333333333337</v>
      </c>
      <c r="L910" t="s">
        <v>563</v>
      </c>
      <c r="M910" t="s">
        <v>478</v>
      </c>
      <c r="N910" t="str">
        <f>Tabela_tudo[[#This Row],[Médico]]&amp;" ("&amp;Tabela_tudo[[#This Row],[Obs]]&amp;")"</f>
        <v>JS ()</v>
      </c>
    </row>
    <row r="911" spans="1:14" x14ac:dyDescent="0.3">
      <c r="A911" s="1">
        <v>45210</v>
      </c>
      <c r="B911" t="s">
        <v>32</v>
      </c>
      <c r="C911" t="s">
        <v>460</v>
      </c>
      <c r="D911" s="8">
        <v>0.54166666666666663</v>
      </c>
      <c r="E911" s="8">
        <v>0.83333333333333337</v>
      </c>
      <c r="L911" t="s">
        <v>563</v>
      </c>
      <c r="M911" t="s">
        <v>478</v>
      </c>
      <c r="N911" t="str">
        <f>Tabela_tudo[[#This Row],[Médico]]&amp;" ("&amp;Tabela_tudo[[#This Row],[Obs]]&amp;")"</f>
        <v>JS ()</v>
      </c>
    </row>
    <row r="912" spans="1:14" x14ac:dyDescent="0.3">
      <c r="A912" s="1">
        <v>45231</v>
      </c>
      <c r="B912" t="s">
        <v>32</v>
      </c>
      <c r="C912" t="s">
        <v>460</v>
      </c>
      <c r="D912" s="8">
        <v>0.54166666666666663</v>
      </c>
      <c r="E912" s="8">
        <v>0.83333333333333337</v>
      </c>
      <c r="L912" t="s">
        <v>563</v>
      </c>
      <c r="M912" t="s">
        <v>478</v>
      </c>
      <c r="N912" t="str">
        <f>Tabela_tudo[[#This Row],[Médico]]&amp;" ("&amp;Tabela_tudo[[#This Row],[Obs]]&amp;")"</f>
        <v>JS ()</v>
      </c>
    </row>
    <row r="913" spans="1:14" x14ac:dyDescent="0.3">
      <c r="A913" s="1">
        <v>45224</v>
      </c>
      <c r="B913" t="s">
        <v>32</v>
      </c>
      <c r="C913" t="s">
        <v>460</v>
      </c>
      <c r="D913" s="8">
        <v>0.54166666666666663</v>
      </c>
      <c r="E913" s="8">
        <v>0.83333333333333337</v>
      </c>
      <c r="L913" t="s">
        <v>563</v>
      </c>
      <c r="M913" t="s">
        <v>478</v>
      </c>
      <c r="N913" t="str">
        <f>Tabela_tudo[[#This Row],[Médico]]&amp;" ("&amp;Tabela_tudo[[#This Row],[Obs]]&amp;")"</f>
        <v>JS ()</v>
      </c>
    </row>
    <row r="914" spans="1:14" x14ac:dyDescent="0.3">
      <c r="A914" s="1">
        <v>45217</v>
      </c>
      <c r="B914" t="s">
        <v>32</v>
      </c>
      <c r="C914" t="s">
        <v>460</v>
      </c>
      <c r="D914" s="8">
        <v>0.54166666666666663</v>
      </c>
      <c r="E914" s="8">
        <v>0.83333333333333337</v>
      </c>
      <c r="L914" t="s">
        <v>563</v>
      </c>
      <c r="M914" t="s">
        <v>478</v>
      </c>
      <c r="N914" t="str">
        <f>Tabela_tudo[[#This Row],[Médico]]&amp;" ("&amp;Tabela_tudo[[#This Row],[Obs]]&amp;")"</f>
        <v>JS ()</v>
      </c>
    </row>
    <row r="915" spans="1:14" x14ac:dyDescent="0.3">
      <c r="A915" s="1">
        <v>45384</v>
      </c>
      <c r="B915" t="s">
        <v>64</v>
      </c>
      <c r="C915" t="s">
        <v>460</v>
      </c>
      <c r="D915" s="8">
        <v>0.29166666666666669</v>
      </c>
      <c r="E915" s="8">
        <v>0.54166666666666663</v>
      </c>
      <c r="L915" t="s">
        <v>563</v>
      </c>
      <c r="M915" t="s">
        <v>478</v>
      </c>
      <c r="N915" t="str">
        <f>Tabela_tudo[[#This Row],[Médico]]&amp;" ("&amp;Tabela_tudo[[#This Row],[Obs]]&amp;")"</f>
        <v>SAR ()</v>
      </c>
    </row>
    <row r="916" spans="1:14" x14ac:dyDescent="0.3">
      <c r="A916" s="1">
        <v>45548</v>
      </c>
      <c r="B916" t="s">
        <v>333</v>
      </c>
      <c r="C916" t="s">
        <v>455</v>
      </c>
      <c r="D916" s="8"/>
      <c r="E916" s="8"/>
      <c r="L916" t="s">
        <v>563</v>
      </c>
      <c r="M916" t="s">
        <v>478</v>
      </c>
      <c r="N916" t="str">
        <f>Tabela_tudo[[#This Row],[Médico]]&amp;" ("&amp;Tabela_tudo[[#This Row],[Obs]]&amp;")"</f>
        <v>COR ()</v>
      </c>
    </row>
    <row r="917" spans="1:14" x14ac:dyDescent="0.3">
      <c r="A917" s="1">
        <v>45541</v>
      </c>
      <c r="B917" t="s">
        <v>333</v>
      </c>
      <c r="C917" t="s">
        <v>455</v>
      </c>
      <c r="D917" s="8"/>
      <c r="E917" s="8"/>
      <c r="L917" t="s">
        <v>563</v>
      </c>
      <c r="M917" t="s">
        <v>478</v>
      </c>
      <c r="N917" t="str">
        <f>Tabela_tudo[[#This Row],[Médico]]&amp;" ("&amp;Tabela_tudo[[#This Row],[Obs]]&amp;")"</f>
        <v>COR ()</v>
      </c>
    </row>
    <row r="918" spans="1:14" x14ac:dyDescent="0.3">
      <c r="A918" s="1">
        <v>45534</v>
      </c>
      <c r="B918" t="s">
        <v>333</v>
      </c>
      <c r="C918" t="s">
        <v>455</v>
      </c>
      <c r="D918" s="8"/>
      <c r="E918" s="8"/>
      <c r="L918" t="s">
        <v>563</v>
      </c>
      <c r="M918" t="s">
        <v>478</v>
      </c>
      <c r="N918" t="str">
        <f>Tabela_tudo[[#This Row],[Médico]]&amp;" ("&amp;Tabela_tudo[[#This Row],[Obs]]&amp;")"</f>
        <v>COR ()</v>
      </c>
    </row>
    <row r="919" spans="1:14" x14ac:dyDescent="0.3">
      <c r="A919" s="1">
        <v>45555</v>
      </c>
      <c r="B919" t="s">
        <v>333</v>
      </c>
      <c r="C919" t="s">
        <v>455</v>
      </c>
      <c r="D919" s="8"/>
      <c r="E919" s="8"/>
      <c r="L919" t="s">
        <v>563</v>
      </c>
      <c r="M919" t="s">
        <v>478</v>
      </c>
      <c r="N919" t="str">
        <f>Tabela_tudo[[#This Row],[Médico]]&amp;" ("&amp;Tabela_tudo[[#This Row],[Obs]]&amp;")"</f>
        <v>COR ()</v>
      </c>
    </row>
    <row r="920" spans="1:14" x14ac:dyDescent="0.3">
      <c r="A920" s="1">
        <v>45576</v>
      </c>
      <c r="B920" t="s">
        <v>333</v>
      </c>
      <c r="C920" t="s">
        <v>455</v>
      </c>
      <c r="D920" s="8"/>
      <c r="E920" s="8"/>
      <c r="L920" t="s">
        <v>563</v>
      </c>
      <c r="M920" t="s">
        <v>478</v>
      </c>
      <c r="N920" t="str">
        <f>Tabela_tudo[[#This Row],[Médico]]&amp;" ("&amp;Tabela_tudo[[#This Row],[Obs]]&amp;")"</f>
        <v>COR ()</v>
      </c>
    </row>
    <row r="921" spans="1:14" x14ac:dyDescent="0.3">
      <c r="A921" s="1">
        <v>45569</v>
      </c>
      <c r="B921" t="s">
        <v>333</v>
      </c>
      <c r="C921" t="s">
        <v>455</v>
      </c>
      <c r="D921" s="8"/>
      <c r="E921" s="8"/>
      <c r="L921" t="s">
        <v>563</v>
      </c>
      <c r="M921" t="s">
        <v>478</v>
      </c>
      <c r="N921" t="str">
        <f>Tabela_tudo[[#This Row],[Médico]]&amp;" ("&amp;Tabela_tudo[[#This Row],[Obs]]&amp;")"</f>
        <v>COR ()</v>
      </c>
    </row>
    <row r="922" spans="1:14" x14ac:dyDescent="0.3">
      <c r="A922" s="1">
        <v>45562</v>
      </c>
      <c r="B922" t="s">
        <v>333</v>
      </c>
      <c r="C922" t="s">
        <v>455</v>
      </c>
      <c r="D922" s="8"/>
      <c r="E922" s="8"/>
      <c r="L922" t="s">
        <v>563</v>
      </c>
      <c r="M922" t="s">
        <v>478</v>
      </c>
      <c r="N922" t="str">
        <f>Tabela_tudo[[#This Row],[Médico]]&amp;" ("&amp;Tabela_tudo[[#This Row],[Obs]]&amp;")"</f>
        <v>COR ()</v>
      </c>
    </row>
    <row r="923" spans="1:14" x14ac:dyDescent="0.3">
      <c r="A923" s="1">
        <v>45499</v>
      </c>
      <c r="B923" t="s">
        <v>333</v>
      </c>
      <c r="C923" t="s">
        <v>455</v>
      </c>
      <c r="D923" s="8"/>
      <c r="E923" s="8"/>
      <c r="L923" t="s">
        <v>563</v>
      </c>
      <c r="M923" t="s">
        <v>478</v>
      </c>
      <c r="N923" t="str">
        <f>Tabela_tudo[[#This Row],[Médico]]&amp;" ("&amp;Tabela_tudo[[#This Row],[Obs]]&amp;")"</f>
        <v>COR ()</v>
      </c>
    </row>
    <row r="924" spans="1:14" x14ac:dyDescent="0.3">
      <c r="A924" s="1">
        <v>45492</v>
      </c>
      <c r="B924" t="s">
        <v>333</v>
      </c>
      <c r="C924" t="s">
        <v>455</v>
      </c>
      <c r="D924" s="8"/>
      <c r="E924" s="8"/>
      <c r="L924" t="s">
        <v>563</v>
      </c>
      <c r="M924" t="s">
        <v>478</v>
      </c>
      <c r="N924" t="str">
        <f>Tabela_tudo[[#This Row],[Médico]]&amp;" ("&amp;Tabela_tudo[[#This Row],[Obs]]&amp;")"</f>
        <v>COR ()</v>
      </c>
    </row>
    <row r="925" spans="1:14" x14ac:dyDescent="0.3">
      <c r="A925" s="1">
        <v>45485</v>
      </c>
      <c r="B925" t="s">
        <v>333</v>
      </c>
      <c r="C925" t="s">
        <v>455</v>
      </c>
      <c r="D925" s="8"/>
      <c r="E925" s="8"/>
      <c r="L925" t="s">
        <v>563</v>
      </c>
      <c r="M925" t="s">
        <v>478</v>
      </c>
      <c r="N925" t="str">
        <f>Tabela_tudo[[#This Row],[Médico]]&amp;" ("&amp;Tabela_tudo[[#This Row],[Obs]]&amp;")"</f>
        <v>COR ()</v>
      </c>
    </row>
    <row r="926" spans="1:14" x14ac:dyDescent="0.3">
      <c r="A926" s="1">
        <v>45506</v>
      </c>
      <c r="B926" t="s">
        <v>333</v>
      </c>
      <c r="C926" t="s">
        <v>455</v>
      </c>
      <c r="D926" s="8"/>
      <c r="E926" s="8"/>
      <c r="L926" t="s">
        <v>563</v>
      </c>
      <c r="M926" t="s">
        <v>478</v>
      </c>
      <c r="N926" t="str">
        <f>Tabela_tudo[[#This Row],[Médico]]&amp;" ("&amp;Tabela_tudo[[#This Row],[Obs]]&amp;")"</f>
        <v>COR ()</v>
      </c>
    </row>
    <row r="927" spans="1:14" x14ac:dyDescent="0.3">
      <c r="A927" s="1">
        <v>45527</v>
      </c>
      <c r="B927" t="s">
        <v>333</v>
      </c>
      <c r="C927" t="s">
        <v>455</v>
      </c>
      <c r="D927" s="8"/>
      <c r="E927" s="8"/>
      <c r="L927" t="s">
        <v>563</v>
      </c>
      <c r="M927" t="s">
        <v>478</v>
      </c>
      <c r="N927" t="str">
        <f>Tabela_tudo[[#This Row],[Médico]]&amp;" ("&amp;Tabela_tudo[[#This Row],[Obs]]&amp;")"</f>
        <v>COR ()</v>
      </c>
    </row>
    <row r="928" spans="1:14" x14ac:dyDescent="0.3">
      <c r="A928" s="1">
        <v>45520</v>
      </c>
      <c r="B928" t="s">
        <v>333</v>
      </c>
      <c r="C928" t="s">
        <v>455</v>
      </c>
      <c r="D928" s="8"/>
      <c r="E928" s="8"/>
      <c r="L928" t="s">
        <v>563</v>
      </c>
      <c r="M928" t="s">
        <v>478</v>
      </c>
      <c r="N928" t="str">
        <f>Tabela_tudo[[#This Row],[Médico]]&amp;" ("&amp;Tabela_tudo[[#This Row],[Obs]]&amp;")"</f>
        <v>COR ()</v>
      </c>
    </row>
    <row r="929" spans="1:14" x14ac:dyDescent="0.3">
      <c r="A929" s="1">
        <v>45513</v>
      </c>
      <c r="B929" t="s">
        <v>333</v>
      </c>
      <c r="C929" t="s">
        <v>455</v>
      </c>
      <c r="D929" s="8"/>
      <c r="E929" s="8"/>
      <c r="L929" t="s">
        <v>563</v>
      </c>
      <c r="M929" t="s">
        <v>478</v>
      </c>
      <c r="N929" t="str">
        <f>Tabela_tudo[[#This Row],[Médico]]&amp;" ("&amp;Tabela_tudo[[#This Row],[Obs]]&amp;")"</f>
        <v>COR ()</v>
      </c>
    </row>
    <row r="930" spans="1:14" x14ac:dyDescent="0.3">
      <c r="A930" s="1">
        <v>45583</v>
      </c>
      <c r="B930" t="s">
        <v>333</v>
      </c>
      <c r="C930" t="s">
        <v>455</v>
      </c>
      <c r="D930" s="8"/>
      <c r="E930" s="8"/>
      <c r="L930" t="s">
        <v>563</v>
      </c>
      <c r="M930" t="s">
        <v>478</v>
      </c>
      <c r="N930" t="str">
        <f>Tabela_tudo[[#This Row],[Médico]]&amp;" ("&amp;Tabela_tudo[[#This Row],[Obs]]&amp;")"</f>
        <v>COR ()</v>
      </c>
    </row>
    <row r="931" spans="1:14" x14ac:dyDescent="0.3">
      <c r="A931" s="1">
        <v>45653</v>
      </c>
      <c r="B931" t="s">
        <v>333</v>
      </c>
      <c r="C931" t="s">
        <v>455</v>
      </c>
      <c r="D931" s="8"/>
      <c r="E931" s="8"/>
      <c r="L931" t="s">
        <v>563</v>
      </c>
      <c r="M931" t="s">
        <v>478</v>
      </c>
      <c r="N931" t="str">
        <f>Tabela_tudo[[#This Row],[Médico]]&amp;" ("&amp;Tabela_tudo[[#This Row],[Obs]]&amp;")"</f>
        <v>COR ()</v>
      </c>
    </row>
    <row r="932" spans="1:14" x14ac:dyDescent="0.3">
      <c r="A932" s="1">
        <v>45646</v>
      </c>
      <c r="B932" t="s">
        <v>333</v>
      </c>
      <c r="C932" t="s">
        <v>455</v>
      </c>
      <c r="D932" s="8"/>
      <c r="E932" s="8"/>
      <c r="L932" t="s">
        <v>563</v>
      </c>
      <c r="M932" t="s">
        <v>478</v>
      </c>
      <c r="N932" t="str">
        <f>Tabela_tudo[[#This Row],[Médico]]&amp;" ("&amp;Tabela_tudo[[#This Row],[Obs]]&amp;")"</f>
        <v>COR ()</v>
      </c>
    </row>
    <row r="933" spans="1:14" x14ac:dyDescent="0.3">
      <c r="A933" s="1">
        <v>45639</v>
      </c>
      <c r="B933" t="s">
        <v>333</v>
      </c>
      <c r="C933" t="s">
        <v>455</v>
      </c>
      <c r="D933" s="8"/>
      <c r="E933" s="8"/>
      <c r="L933" t="s">
        <v>563</v>
      </c>
      <c r="M933" t="s">
        <v>478</v>
      </c>
      <c r="N933" t="str">
        <f>Tabela_tudo[[#This Row],[Médico]]&amp;" ("&amp;Tabela_tudo[[#This Row],[Obs]]&amp;")"</f>
        <v>COR ()</v>
      </c>
    </row>
    <row r="934" spans="1:14" x14ac:dyDescent="0.3">
      <c r="A934" s="1">
        <v>44929</v>
      </c>
      <c r="B934" t="s">
        <v>64</v>
      </c>
      <c r="C934" t="s">
        <v>460</v>
      </c>
      <c r="D934" s="8">
        <v>0.29166666666666669</v>
      </c>
      <c r="E934" s="8">
        <v>0.54166666666666663</v>
      </c>
      <c r="L934" t="s">
        <v>563</v>
      </c>
      <c r="M934" t="s">
        <v>478</v>
      </c>
      <c r="N934" t="str">
        <f>Tabela_tudo[[#This Row],[Médico]]&amp;" ("&amp;Tabela_tudo[[#This Row],[Obs]]&amp;")"</f>
        <v>SAR ()</v>
      </c>
    </row>
    <row r="935" spans="1:14" x14ac:dyDescent="0.3">
      <c r="A935" s="1">
        <v>44950</v>
      </c>
      <c r="B935" t="s">
        <v>64</v>
      </c>
      <c r="C935" t="s">
        <v>460</v>
      </c>
      <c r="D935" s="8">
        <v>0.29166666666666669</v>
      </c>
      <c r="E935" s="8">
        <v>0.54166666666666663</v>
      </c>
      <c r="L935" t="s">
        <v>563</v>
      </c>
      <c r="M935" t="s">
        <v>478</v>
      </c>
      <c r="N935" t="str">
        <f>Tabela_tudo[[#This Row],[Médico]]&amp;" ("&amp;Tabela_tudo[[#This Row],[Obs]]&amp;")"</f>
        <v>SAR ()</v>
      </c>
    </row>
    <row r="936" spans="1:14" x14ac:dyDescent="0.3">
      <c r="A936" s="1">
        <v>44943</v>
      </c>
      <c r="B936" t="s">
        <v>64</v>
      </c>
      <c r="C936" t="s">
        <v>460</v>
      </c>
      <c r="D936" s="8">
        <v>0.29166666666666669</v>
      </c>
      <c r="E936" s="8">
        <v>0.54166666666666663</v>
      </c>
      <c r="L936" t="s">
        <v>563</v>
      </c>
      <c r="M936" t="s">
        <v>478</v>
      </c>
      <c r="N936" t="str">
        <f>Tabela_tudo[[#This Row],[Médico]]&amp;" ("&amp;Tabela_tudo[[#This Row],[Obs]]&amp;")"</f>
        <v>SAR ()</v>
      </c>
    </row>
    <row r="937" spans="1:14" x14ac:dyDescent="0.3">
      <c r="A937" s="1">
        <v>44936</v>
      </c>
      <c r="B937" t="s">
        <v>64</v>
      </c>
      <c r="C937" t="s">
        <v>460</v>
      </c>
      <c r="D937" s="8">
        <v>0.29166666666666669</v>
      </c>
      <c r="E937" s="8">
        <v>0.54166666666666663</v>
      </c>
      <c r="L937" t="s">
        <v>563</v>
      </c>
      <c r="M937" t="s">
        <v>478</v>
      </c>
      <c r="N937" t="str">
        <f>Tabela_tudo[[#This Row],[Médico]]&amp;" ("&amp;Tabela_tudo[[#This Row],[Obs]]&amp;")"</f>
        <v>SAR ()</v>
      </c>
    </row>
    <row r="938" spans="1:14" x14ac:dyDescent="0.3">
      <c r="A938" s="1">
        <v>45604</v>
      </c>
      <c r="B938" t="s">
        <v>333</v>
      </c>
      <c r="C938" t="s">
        <v>455</v>
      </c>
      <c r="D938" s="8"/>
      <c r="E938" s="8"/>
      <c r="L938" t="s">
        <v>563</v>
      </c>
      <c r="M938" t="s">
        <v>478</v>
      </c>
      <c r="N938" t="str">
        <f>Tabela_tudo[[#This Row],[Médico]]&amp;" ("&amp;Tabela_tudo[[#This Row],[Obs]]&amp;")"</f>
        <v>COR ()</v>
      </c>
    </row>
    <row r="939" spans="1:14" x14ac:dyDescent="0.3">
      <c r="A939" s="1">
        <v>45597</v>
      </c>
      <c r="B939" t="s">
        <v>333</v>
      </c>
      <c r="C939" t="s">
        <v>455</v>
      </c>
      <c r="D939" s="8"/>
      <c r="E939" s="8"/>
      <c r="L939" t="s">
        <v>563</v>
      </c>
      <c r="M939" t="s">
        <v>478</v>
      </c>
      <c r="N939" t="str">
        <f>Tabela_tudo[[#This Row],[Médico]]&amp;" ("&amp;Tabela_tudo[[#This Row],[Obs]]&amp;")"</f>
        <v>COR ()</v>
      </c>
    </row>
    <row r="940" spans="1:14" x14ac:dyDescent="0.3">
      <c r="A940" s="1">
        <v>45590</v>
      </c>
      <c r="B940" t="s">
        <v>333</v>
      </c>
      <c r="C940" t="s">
        <v>455</v>
      </c>
      <c r="D940" s="8"/>
      <c r="E940" s="8"/>
      <c r="L940" t="s">
        <v>563</v>
      </c>
      <c r="M940" t="s">
        <v>478</v>
      </c>
      <c r="N940" t="str">
        <f>Tabela_tudo[[#This Row],[Médico]]&amp;" ("&amp;Tabela_tudo[[#This Row],[Obs]]&amp;")"</f>
        <v>COR ()</v>
      </c>
    </row>
    <row r="941" spans="1:14" x14ac:dyDescent="0.3">
      <c r="A941" s="1">
        <v>45611</v>
      </c>
      <c r="B941" t="s">
        <v>333</v>
      </c>
      <c r="C941" t="s">
        <v>455</v>
      </c>
      <c r="D941" s="8"/>
      <c r="E941" s="8"/>
      <c r="L941" t="s">
        <v>563</v>
      </c>
      <c r="M941" t="s">
        <v>478</v>
      </c>
      <c r="N941" t="str">
        <f>Tabela_tudo[[#This Row],[Médico]]&amp;" ("&amp;Tabela_tudo[[#This Row],[Obs]]&amp;")"</f>
        <v>COR ()</v>
      </c>
    </row>
    <row r="942" spans="1:14" x14ac:dyDescent="0.3">
      <c r="A942" s="1">
        <v>45632</v>
      </c>
      <c r="B942" t="s">
        <v>333</v>
      </c>
      <c r="C942" t="s">
        <v>455</v>
      </c>
      <c r="D942" s="8"/>
      <c r="E942" s="8"/>
      <c r="L942" t="s">
        <v>563</v>
      </c>
      <c r="M942" t="s">
        <v>478</v>
      </c>
      <c r="N942" t="str">
        <f>Tabela_tudo[[#This Row],[Médico]]&amp;" ("&amp;Tabela_tudo[[#This Row],[Obs]]&amp;")"</f>
        <v>COR ()</v>
      </c>
    </row>
    <row r="943" spans="1:14" x14ac:dyDescent="0.3">
      <c r="A943" s="1">
        <v>45625</v>
      </c>
      <c r="B943" t="s">
        <v>333</v>
      </c>
      <c r="C943" t="s">
        <v>455</v>
      </c>
      <c r="D943" s="8"/>
      <c r="E943" s="8"/>
      <c r="L943" t="s">
        <v>563</v>
      </c>
      <c r="M943" t="s">
        <v>478</v>
      </c>
      <c r="N943" t="str">
        <f>Tabela_tudo[[#This Row],[Médico]]&amp;" ("&amp;Tabela_tudo[[#This Row],[Obs]]&amp;")"</f>
        <v>COR ()</v>
      </c>
    </row>
    <row r="944" spans="1:14" x14ac:dyDescent="0.3">
      <c r="A944" s="1">
        <v>45618</v>
      </c>
      <c r="B944" t="s">
        <v>333</v>
      </c>
      <c r="C944" t="s">
        <v>455</v>
      </c>
      <c r="D944" s="8"/>
      <c r="E944" s="8"/>
      <c r="L944" t="s">
        <v>563</v>
      </c>
      <c r="M944" t="s">
        <v>478</v>
      </c>
      <c r="N944" t="str">
        <f>Tabela_tudo[[#This Row],[Médico]]&amp;" ("&amp;Tabela_tudo[[#This Row],[Obs]]&amp;")"</f>
        <v>COR ()</v>
      </c>
    </row>
    <row r="945" spans="1:14" x14ac:dyDescent="0.3">
      <c r="A945" s="1">
        <v>45478</v>
      </c>
      <c r="B945" t="s">
        <v>333</v>
      </c>
      <c r="C945" t="s">
        <v>455</v>
      </c>
      <c r="D945" s="8"/>
      <c r="E945" s="8"/>
      <c r="L945" t="s">
        <v>563</v>
      </c>
      <c r="M945" t="s">
        <v>478</v>
      </c>
      <c r="N945" t="str">
        <f>Tabela_tudo[[#This Row],[Médico]]&amp;" ("&amp;Tabela_tudo[[#This Row],[Obs]]&amp;")"</f>
        <v>COR ()</v>
      </c>
    </row>
    <row r="946" spans="1:14" x14ac:dyDescent="0.3">
      <c r="A946" s="1">
        <v>45338</v>
      </c>
      <c r="B946" t="s">
        <v>333</v>
      </c>
      <c r="C946" t="s">
        <v>455</v>
      </c>
      <c r="D946" s="8"/>
      <c r="E946" s="8"/>
      <c r="L946" t="s">
        <v>563</v>
      </c>
      <c r="M946" t="s">
        <v>478</v>
      </c>
      <c r="N946" t="str">
        <f>Tabela_tudo[[#This Row],[Médico]]&amp;" ("&amp;Tabela_tudo[[#This Row],[Obs]]&amp;")"</f>
        <v>COR ()</v>
      </c>
    </row>
    <row r="947" spans="1:14" x14ac:dyDescent="0.3">
      <c r="A947" s="1">
        <v>45331</v>
      </c>
      <c r="B947" t="s">
        <v>333</v>
      </c>
      <c r="C947" t="s">
        <v>455</v>
      </c>
      <c r="D947" s="8"/>
      <c r="E947" s="8"/>
      <c r="L947" t="s">
        <v>563</v>
      </c>
      <c r="M947" t="s">
        <v>478</v>
      </c>
      <c r="N947" t="str">
        <f>Tabela_tudo[[#This Row],[Médico]]&amp;" ("&amp;Tabela_tudo[[#This Row],[Obs]]&amp;")"</f>
        <v>COR ()</v>
      </c>
    </row>
    <row r="948" spans="1:14" x14ac:dyDescent="0.3">
      <c r="A948" s="1">
        <v>45324</v>
      </c>
      <c r="B948" t="s">
        <v>333</v>
      </c>
      <c r="C948" t="s">
        <v>455</v>
      </c>
      <c r="D948" s="8"/>
      <c r="E948" s="8"/>
      <c r="L948" t="s">
        <v>563</v>
      </c>
      <c r="M948" t="s">
        <v>478</v>
      </c>
      <c r="N948" t="str">
        <f>Tabela_tudo[[#This Row],[Médico]]&amp;" ("&amp;Tabela_tudo[[#This Row],[Obs]]&amp;")"</f>
        <v>COR ()</v>
      </c>
    </row>
    <row r="949" spans="1:14" x14ac:dyDescent="0.3">
      <c r="A949" s="1">
        <v>45345</v>
      </c>
      <c r="B949" t="s">
        <v>333</v>
      </c>
      <c r="C949" t="s">
        <v>455</v>
      </c>
      <c r="D949" s="8"/>
      <c r="E949" s="8"/>
      <c r="L949" t="s">
        <v>563</v>
      </c>
      <c r="M949" t="s">
        <v>478</v>
      </c>
      <c r="N949" t="str">
        <f>Tabela_tudo[[#This Row],[Médico]]&amp;" ("&amp;Tabela_tudo[[#This Row],[Obs]]&amp;")"</f>
        <v>COR ()</v>
      </c>
    </row>
    <row r="950" spans="1:14" x14ac:dyDescent="0.3">
      <c r="A950" s="1">
        <v>45366</v>
      </c>
      <c r="B950" t="s">
        <v>333</v>
      </c>
      <c r="C950" t="s">
        <v>455</v>
      </c>
      <c r="D950" s="8"/>
      <c r="E950" s="8"/>
      <c r="L950" t="s">
        <v>563</v>
      </c>
      <c r="M950" t="s">
        <v>478</v>
      </c>
      <c r="N950" t="str">
        <f>Tabela_tudo[[#This Row],[Médico]]&amp;" ("&amp;Tabela_tudo[[#This Row],[Obs]]&amp;")"</f>
        <v>COR ()</v>
      </c>
    </row>
    <row r="951" spans="1:14" x14ac:dyDescent="0.3">
      <c r="A951" s="1">
        <v>45359</v>
      </c>
      <c r="B951" t="s">
        <v>333</v>
      </c>
      <c r="C951" t="s">
        <v>455</v>
      </c>
      <c r="D951" s="8"/>
      <c r="E951" s="8"/>
      <c r="L951" t="s">
        <v>563</v>
      </c>
      <c r="M951" t="s">
        <v>478</v>
      </c>
      <c r="N951" t="str">
        <f>Tabela_tudo[[#This Row],[Médico]]&amp;" ("&amp;Tabela_tudo[[#This Row],[Obs]]&amp;")"</f>
        <v>COR ()</v>
      </c>
    </row>
    <row r="952" spans="1:14" x14ac:dyDescent="0.3">
      <c r="A952" s="1">
        <v>45352</v>
      </c>
      <c r="B952" t="s">
        <v>333</v>
      </c>
      <c r="C952" t="s">
        <v>455</v>
      </c>
      <c r="D952" s="8"/>
      <c r="E952" s="8"/>
      <c r="L952" t="s">
        <v>563</v>
      </c>
      <c r="M952" t="s">
        <v>478</v>
      </c>
      <c r="N952" t="str">
        <f>Tabela_tudo[[#This Row],[Médico]]&amp;" ("&amp;Tabela_tudo[[#This Row],[Obs]]&amp;")"</f>
        <v>COR ()</v>
      </c>
    </row>
    <row r="953" spans="1:14" x14ac:dyDescent="0.3">
      <c r="A953" s="1">
        <v>45289</v>
      </c>
      <c r="B953" t="s">
        <v>333</v>
      </c>
      <c r="C953" t="s">
        <v>455</v>
      </c>
      <c r="D953" s="8"/>
      <c r="E953" s="8"/>
      <c r="L953" t="s">
        <v>563</v>
      </c>
      <c r="M953" t="s">
        <v>478</v>
      </c>
      <c r="N953" t="str">
        <f>Tabela_tudo[[#This Row],[Médico]]&amp;" ("&amp;Tabela_tudo[[#This Row],[Obs]]&amp;")"</f>
        <v>COR ()</v>
      </c>
    </row>
    <row r="954" spans="1:14" x14ac:dyDescent="0.3">
      <c r="A954" s="1">
        <v>45282</v>
      </c>
      <c r="B954" t="s">
        <v>333</v>
      </c>
      <c r="C954" t="s">
        <v>455</v>
      </c>
      <c r="D954" s="8"/>
      <c r="E954" s="8"/>
      <c r="L954" t="s">
        <v>563</v>
      </c>
      <c r="M954" t="s">
        <v>478</v>
      </c>
      <c r="N954" t="str">
        <f>Tabela_tudo[[#This Row],[Médico]]&amp;" ("&amp;Tabela_tudo[[#This Row],[Obs]]&amp;")"</f>
        <v>COR ()</v>
      </c>
    </row>
    <row r="955" spans="1:14" x14ac:dyDescent="0.3">
      <c r="A955" s="1">
        <v>45275</v>
      </c>
      <c r="B955" t="s">
        <v>333</v>
      </c>
      <c r="C955" t="s">
        <v>455</v>
      </c>
      <c r="D955" s="8"/>
      <c r="E955" s="8"/>
      <c r="L955" t="s">
        <v>563</v>
      </c>
      <c r="M955" t="s">
        <v>478</v>
      </c>
      <c r="N955" t="str">
        <f>Tabela_tudo[[#This Row],[Médico]]&amp;" ("&amp;Tabela_tudo[[#This Row],[Obs]]&amp;")"</f>
        <v>COR ()</v>
      </c>
    </row>
    <row r="956" spans="1:14" x14ac:dyDescent="0.3">
      <c r="A956" s="1">
        <v>45296</v>
      </c>
      <c r="B956" t="s">
        <v>333</v>
      </c>
      <c r="C956" t="s">
        <v>455</v>
      </c>
      <c r="D956" s="8"/>
      <c r="E956" s="8"/>
      <c r="L956" t="s">
        <v>563</v>
      </c>
      <c r="M956" t="s">
        <v>478</v>
      </c>
      <c r="N956" t="str">
        <f>Tabela_tudo[[#This Row],[Médico]]&amp;" ("&amp;Tabela_tudo[[#This Row],[Obs]]&amp;")"</f>
        <v>COR ()</v>
      </c>
    </row>
    <row r="957" spans="1:14" x14ac:dyDescent="0.3">
      <c r="A957" s="1">
        <v>45317</v>
      </c>
      <c r="B957" t="s">
        <v>333</v>
      </c>
      <c r="C957" t="s">
        <v>455</v>
      </c>
      <c r="D957" s="8"/>
      <c r="E957" s="8"/>
      <c r="L957" t="s">
        <v>563</v>
      </c>
      <c r="M957" t="s">
        <v>478</v>
      </c>
      <c r="N957" t="str">
        <f>Tabela_tudo[[#This Row],[Médico]]&amp;" ("&amp;Tabela_tudo[[#This Row],[Obs]]&amp;")"</f>
        <v>COR ()</v>
      </c>
    </row>
    <row r="958" spans="1:14" x14ac:dyDescent="0.3">
      <c r="A958" s="1">
        <v>45310</v>
      </c>
      <c r="B958" t="s">
        <v>333</v>
      </c>
      <c r="C958" t="s">
        <v>455</v>
      </c>
      <c r="D958" s="8"/>
      <c r="E958" s="8"/>
      <c r="L958" t="s">
        <v>563</v>
      </c>
      <c r="M958" t="s">
        <v>478</v>
      </c>
      <c r="N958" t="str">
        <f>Tabela_tudo[[#This Row],[Médico]]&amp;" ("&amp;Tabela_tudo[[#This Row],[Obs]]&amp;")"</f>
        <v>COR ()</v>
      </c>
    </row>
    <row r="959" spans="1:14" x14ac:dyDescent="0.3">
      <c r="A959" s="1">
        <v>45303</v>
      </c>
      <c r="B959" t="s">
        <v>333</v>
      </c>
      <c r="C959" t="s">
        <v>455</v>
      </c>
      <c r="D959" s="8"/>
      <c r="E959" s="8"/>
      <c r="L959" t="s">
        <v>563</v>
      </c>
      <c r="M959" t="s">
        <v>478</v>
      </c>
      <c r="N959" t="str">
        <f>Tabela_tudo[[#This Row],[Médico]]&amp;" ("&amp;Tabela_tudo[[#This Row],[Obs]]&amp;")"</f>
        <v>COR ()</v>
      </c>
    </row>
    <row r="960" spans="1:14" x14ac:dyDescent="0.3">
      <c r="A960" s="1">
        <v>45373</v>
      </c>
      <c r="B960" t="s">
        <v>333</v>
      </c>
      <c r="C960" t="s">
        <v>455</v>
      </c>
      <c r="D960" s="8"/>
      <c r="E960" s="8"/>
      <c r="L960" t="s">
        <v>563</v>
      </c>
      <c r="M960" t="s">
        <v>478</v>
      </c>
      <c r="N960" t="str">
        <f>Tabela_tudo[[#This Row],[Médico]]&amp;" ("&amp;Tabela_tudo[[#This Row],[Obs]]&amp;")"</f>
        <v>COR ()</v>
      </c>
    </row>
    <row r="961" spans="1:14" x14ac:dyDescent="0.3">
      <c r="A961" s="1">
        <v>45443</v>
      </c>
      <c r="B961" t="s">
        <v>333</v>
      </c>
      <c r="C961" t="s">
        <v>455</v>
      </c>
      <c r="D961" s="8"/>
      <c r="E961" s="8"/>
      <c r="L961" t="s">
        <v>563</v>
      </c>
      <c r="M961" t="s">
        <v>478</v>
      </c>
      <c r="N961" t="str">
        <f>Tabela_tudo[[#This Row],[Médico]]&amp;" ("&amp;Tabela_tudo[[#This Row],[Obs]]&amp;")"</f>
        <v>COR ()</v>
      </c>
    </row>
    <row r="962" spans="1:14" x14ac:dyDescent="0.3">
      <c r="A962" s="1">
        <v>45436</v>
      </c>
      <c r="B962" t="s">
        <v>333</v>
      </c>
      <c r="C962" t="s">
        <v>455</v>
      </c>
      <c r="D962" s="8"/>
      <c r="E962" s="8"/>
      <c r="L962" t="s">
        <v>563</v>
      </c>
      <c r="M962" t="s">
        <v>478</v>
      </c>
      <c r="N962" t="str">
        <f>Tabela_tudo[[#This Row],[Médico]]&amp;" ("&amp;Tabela_tudo[[#This Row],[Obs]]&amp;")"</f>
        <v>COR ()</v>
      </c>
    </row>
    <row r="963" spans="1:14" x14ac:dyDescent="0.3">
      <c r="A963" s="1">
        <v>45429</v>
      </c>
      <c r="B963" t="s">
        <v>333</v>
      </c>
      <c r="C963" t="s">
        <v>455</v>
      </c>
      <c r="D963" s="8"/>
      <c r="E963" s="8"/>
      <c r="L963" t="s">
        <v>563</v>
      </c>
      <c r="M963" t="s">
        <v>478</v>
      </c>
      <c r="N963" t="str">
        <f>Tabela_tudo[[#This Row],[Médico]]&amp;" ("&amp;Tabela_tudo[[#This Row],[Obs]]&amp;")"</f>
        <v>COR ()</v>
      </c>
    </row>
    <row r="964" spans="1:14" x14ac:dyDescent="0.3">
      <c r="A964" s="1">
        <v>45450</v>
      </c>
      <c r="B964" t="s">
        <v>333</v>
      </c>
      <c r="C964" t="s">
        <v>455</v>
      </c>
      <c r="D964" s="8"/>
      <c r="E964" s="8"/>
      <c r="L964" t="s">
        <v>563</v>
      </c>
      <c r="M964" t="s">
        <v>478</v>
      </c>
      <c r="N964" t="str">
        <f>Tabela_tudo[[#This Row],[Médico]]&amp;" ("&amp;Tabela_tudo[[#This Row],[Obs]]&amp;")"</f>
        <v>COR ()</v>
      </c>
    </row>
    <row r="965" spans="1:14" x14ac:dyDescent="0.3">
      <c r="A965" s="1">
        <v>45471</v>
      </c>
      <c r="B965" t="s">
        <v>333</v>
      </c>
      <c r="C965" t="s">
        <v>455</v>
      </c>
      <c r="D965" s="8"/>
      <c r="E965" s="8"/>
      <c r="L965" t="s">
        <v>563</v>
      </c>
      <c r="M965" t="s">
        <v>478</v>
      </c>
      <c r="N965" t="str">
        <f>Tabela_tudo[[#This Row],[Médico]]&amp;" ("&amp;Tabela_tudo[[#This Row],[Obs]]&amp;")"</f>
        <v>COR ()</v>
      </c>
    </row>
    <row r="966" spans="1:14" x14ac:dyDescent="0.3">
      <c r="A966" s="1">
        <v>45464</v>
      </c>
      <c r="B966" t="s">
        <v>333</v>
      </c>
      <c r="C966" t="s">
        <v>455</v>
      </c>
      <c r="D966" s="8"/>
      <c r="E966" s="8"/>
      <c r="L966" t="s">
        <v>563</v>
      </c>
      <c r="M966" t="s">
        <v>478</v>
      </c>
      <c r="N966" t="str">
        <f>Tabela_tudo[[#This Row],[Médico]]&amp;" ("&amp;Tabela_tudo[[#This Row],[Obs]]&amp;")"</f>
        <v>COR ()</v>
      </c>
    </row>
    <row r="967" spans="1:14" x14ac:dyDescent="0.3">
      <c r="A967" s="1">
        <v>45457</v>
      </c>
      <c r="B967" t="s">
        <v>333</v>
      </c>
      <c r="C967" t="s">
        <v>455</v>
      </c>
      <c r="D967" s="8"/>
      <c r="E967" s="8"/>
      <c r="L967" t="s">
        <v>563</v>
      </c>
      <c r="M967" t="s">
        <v>478</v>
      </c>
      <c r="N967" t="str">
        <f>Tabela_tudo[[#This Row],[Médico]]&amp;" ("&amp;Tabela_tudo[[#This Row],[Obs]]&amp;")"</f>
        <v>COR ()</v>
      </c>
    </row>
    <row r="968" spans="1:14" x14ac:dyDescent="0.3">
      <c r="A968" s="1">
        <v>45394</v>
      </c>
      <c r="B968" t="s">
        <v>333</v>
      </c>
      <c r="C968" t="s">
        <v>455</v>
      </c>
      <c r="D968" s="8"/>
      <c r="E968" s="8"/>
      <c r="L968" t="s">
        <v>563</v>
      </c>
      <c r="M968" t="s">
        <v>478</v>
      </c>
      <c r="N968" t="str">
        <f>Tabela_tudo[[#This Row],[Médico]]&amp;" ("&amp;Tabela_tudo[[#This Row],[Obs]]&amp;")"</f>
        <v>COR ()</v>
      </c>
    </row>
    <row r="969" spans="1:14" x14ac:dyDescent="0.3">
      <c r="A969" s="1">
        <v>45387</v>
      </c>
      <c r="B969" t="s">
        <v>333</v>
      </c>
      <c r="C969" t="s">
        <v>455</v>
      </c>
      <c r="D969" s="8"/>
      <c r="E969" s="8"/>
      <c r="L969" t="s">
        <v>563</v>
      </c>
      <c r="M969" t="s">
        <v>478</v>
      </c>
      <c r="N969" t="str">
        <f>Tabela_tudo[[#This Row],[Médico]]&amp;" ("&amp;Tabela_tudo[[#This Row],[Obs]]&amp;")"</f>
        <v>COR ()</v>
      </c>
    </row>
    <row r="970" spans="1:14" x14ac:dyDescent="0.3">
      <c r="A970" s="1">
        <v>45380</v>
      </c>
      <c r="B970" t="s">
        <v>333</v>
      </c>
      <c r="C970" t="s">
        <v>455</v>
      </c>
      <c r="D970" s="8"/>
      <c r="E970" s="8"/>
      <c r="L970" t="s">
        <v>563</v>
      </c>
      <c r="M970" t="s">
        <v>478</v>
      </c>
      <c r="N970" t="str">
        <f>Tabela_tudo[[#This Row],[Médico]]&amp;" ("&amp;Tabela_tudo[[#This Row],[Obs]]&amp;")"</f>
        <v>COR ()</v>
      </c>
    </row>
    <row r="971" spans="1:14" x14ac:dyDescent="0.3">
      <c r="A971" s="1">
        <v>45401</v>
      </c>
      <c r="B971" t="s">
        <v>333</v>
      </c>
      <c r="C971" t="s">
        <v>455</v>
      </c>
      <c r="D971" s="8"/>
      <c r="E971" s="8"/>
      <c r="L971" t="s">
        <v>563</v>
      </c>
      <c r="M971" t="s">
        <v>478</v>
      </c>
      <c r="N971" t="str">
        <f>Tabela_tudo[[#This Row],[Médico]]&amp;" ("&amp;Tabela_tudo[[#This Row],[Obs]]&amp;")"</f>
        <v>COR ()</v>
      </c>
    </row>
    <row r="972" spans="1:14" x14ac:dyDescent="0.3">
      <c r="A972" s="1">
        <v>45422</v>
      </c>
      <c r="B972" t="s">
        <v>333</v>
      </c>
      <c r="C972" t="s">
        <v>455</v>
      </c>
      <c r="D972" s="8"/>
      <c r="E972" s="8"/>
      <c r="L972" t="s">
        <v>563</v>
      </c>
      <c r="M972" t="s">
        <v>478</v>
      </c>
      <c r="N972" t="str">
        <f>Tabela_tudo[[#This Row],[Médico]]&amp;" ("&amp;Tabela_tudo[[#This Row],[Obs]]&amp;")"</f>
        <v>COR ()</v>
      </c>
    </row>
    <row r="973" spans="1:14" x14ac:dyDescent="0.3">
      <c r="A973" s="1">
        <v>45415</v>
      </c>
      <c r="B973" t="s">
        <v>333</v>
      </c>
      <c r="C973" t="s">
        <v>455</v>
      </c>
      <c r="D973" s="8"/>
      <c r="E973" s="8"/>
      <c r="L973" t="s">
        <v>563</v>
      </c>
      <c r="M973" t="s">
        <v>478</v>
      </c>
      <c r="N973" t="str">
        <f>Tabela_tudo[[#This Row],[Médico]]&amp;" ("&amp;Tabela_tudo[[#This Row],[Obs]]&amp;")"</f>
        <v>COR ()</v>
      </c>
    </row>
    <row r="974" spans="1:14" x14ac:dyDescent="0.3">
      <c r="A974" s="1">
        <v>45408</v>
      </c>
      <c r="B974" t="s">
        <v>333</v>
      </c>
      <c r="C974" t="s">
        <v>455</v>
      </c>
      <c r="D974" s="8"/>
      <c r="E974" s="8"/>
      <c r="L974" t="s">
        <v>563</v>
      </c>
      <c r="M974" t="s">
        <v>478</v>
      </c>
      <c r="N974" t="str">
        <f>Tabela_tudo[[#This Row],[Médico]]&amp;" ("&amp;Tabela_tudo[[#This Row],[Obs]]&amp;")"</f>
        <v>COR ()</v>
      </c>
    </row>
    <row r="975" spans="1:14" x14ac:dyDescent="0.3">
      <c r="A975" s="1">
        <v>44957</v>
      </c>
      <c r="B975" t="s">
        <v>64</v>
      </c>
      <c r="C975" t="s">
        <v>460</v>
      </c>
      <c r="D975" s="8">
        <v>0.29166666666666669</v>
      </c>
      <c r="E975" s="8">
        <v>0.54166666666666663</v>
      </c>
      <c r="L975" t="s">
        <v>563</v>
      </c>
      <c r="M975" t="s">
        <v>478</v>
      </c>
      <c r="N975" t="str">
        <f>Tabela_tudo[[#This Row],[Médico]]&amp;" ("&amp;Tabela_tudo[[#This Row],[Obs]]&amp;")"</f>
        <v>SAR ()</v>
      </c>
    </row>
    <row r="976" spans="1:14" x14ac:dyDescent="0.3">
      <c r="A976" s="1">
        <v>45244</v>
      </c>
      <c r="B976" t="s">
        <v>64</v>
      </c>
      <c r="C976" t="s">
        <v>460</v>
      </c>
      <c r="D976" s="8">
        <v>0.29166666666666669</v>
      </c>
      <c r="E976" s="8">
        <v>0.54166666666666663</v>
      </c>
      <c r="L976" t="s">
        <v>563</v>
      </c>
      <c r="M976" t="s">
        <v>478</v>
      </c>
      <c r="N976" t="str">
        <f>Tabela_tudo[[#This Row],[Médico]]&amp;" ("&amp;Tabela_tudo[[#This Row],[Obs]]&amp;")"</f>
        <v>SAR ()</v>
      </c>
    </row>
    <row r="977" spans="1:14" x14ac:dyDescent="0.3">
      <c r="A977" s="1">
        <v>45237</v>
      </c>
      <c r="B977" t="s">
        <v>64</v>
      </c>
      <c r="C977" t="s">
        <v>460</v>
      </c>
      <c r="D977" s="8">
        <v>0.29166666666666669</v>
      </c>
      <c r="E977" s="8">
        <v>0.54166666666666663</v>
      </c>
      <c r="L977" t="s">
        <v>563</v>
      </c>
      <c r="M977" t="s">
        <v>478</v>
      </c>
      <c r="N977" t="str">
        <f>Tabela_tudo[[#This Row],[Médico]]&amp;" ("&amp;Tabela_tudo[[#This Row],[Obs]]&amp;")"</f>
        <v>SAR ()</v>
      </c>
    </row>
    <row r="978" spans="1:14" x14ac:dyDescent="0.3">
      <c r="A978" s="1">
        <v>45230</v>
      </c>
      <c r="B978" t="s">
        <v>64</v>
      </c>
      <c r="C978" t="s">
        <v>460</v>
      </c>
      <c r="D978" s="8">
        <v>0.29166666666666669</v>
      </c>
      <c r="E978" s="8">
        <v>0.54166666666666663</v>
      </c>
      <c r="L978" t="s">
        <v>563</v>
      </c>
      <c r="M978" t="s">
        <v>478</v>
      </c>
      <c r="N978" t="str">
        <f>Tabela_tudo[[#This Row],[Médico]]&amp;" ("&amp;Tabela_tudo[[#This Row],[Obs]]&amp;")"</f>
        <v>SAR ()</v>
      </c>
    </row>
    <row r="979" spans="1:14" x14ac:dyDescent="0.3">
      <c r="A979" s="1">
        <v>45251</v>
      </c>
      <c r="B979" t="s">
        <v>64</v>
      </c>
      <c r="C979" t="s">
        <v>460</v>
      </c>
      <c r="D979" s="8">
        <v>0.29166666666666669</v>
      </c>
      <c r="E979" s="8">
        <v>0.54166666666666663</v>
      </c>
      <c r="L979" t="s">
        <v>563</v>
      </c>
      <c r="M979" t="s">
        <v>478</v>
      </c>
      <c r="N979" t="str">
        <f>Tabela_tudo[[#This Row],[Médico]]&amp;" ("&amp;Tabela_tudo[[#This Row],[Obs]]&amp;")"</f>
        <v>SAR ()</v>
      </c>
    </row>
    <row r="980" spans="1:14" x14ac:dyDescent="0.3">
      <c r="A980" s="1">
        <v>45272</v>
      </c>
      <c r="B980" t="s">
        <v>64</v>
      </c>
      <c r="C980" t="s">
        <v>460</v>
      </c>
      <c r="D980" s="8">
        <v>0.29166666666666669</v>
      </c>
      <c r="E980" s="8">
        <v>0.54166666666666663</v>
      </c>
      <c r="L980" t="s">
        <v>563</v>
      </c>
      <c r="M980" t="s">
        <v>478</v>
      </c>
      <c r="N980" t="str">
        <f>Tabela_tudo[[#This Row],[Médico]]&amp;" ("&amp;Tabela_tudo[[#This Row],[Obs]]&amp;")"</f>
        <v>SAR ()</v>
      </c>
    </row>
    <row r="981" spans="1:14" x14ac:dyDescent="0.3">
      <c r="A981" s="1">
        <v>45265</v>
      </c>
      <c r="B981" t="s">
        <v>64</v>
      </c>
      <c r="C981" t="s">
        <v>460</v>
      </c>
      <c r="D981" s="8">
        <v>0.29166666666666669</v>
      </c>
      <c r="E981" s="8">
        <v>0.54166666666666663</v>
      </c>
      <c r="L981" t="s">
        <v>563</v>
      </c>
      <c r="M981" t="s">
        <v>478</v>
      </c>
      <c r="N981" t="str">
        <f>Tabela_tudo[[#This Row],[Médico]]&amp;" ("&amp;Tabela_tudo[[#This Row],[Obs]]&amp;")"</f>
        <v>SAR ()</v>
      </c>
    </row>
    <row r="982" spans="1:14" x14ac:dyDescent="0.3">
      <c r="A982" s="1">
        <v>45258</v>
      </c>
      <c r="B982" t="s">
        <v>64</v>
      </c>
      <c r="C982" t="s">
        <v>460</v>
      </c>
      <c r="D982" s="8">
        <v>0.29166666666666669</v>
      </c>
      <c r="E982" s="8">
        <v>0.54166666666666663</v>
      </c>
      <c r="L982" t="s">
        <v>563</v>
      </c>
      <c r="M982" t="s">
        <v>478</v>
      </c>
      <c r="N982" t="str">
        <f>Tabela_tudo[[#This Row],[Médico]]&amp;" ("&amp;Tabela_tudo[[#This Row],[Obs]]&amp;")"</f>
        <v>SAR ()</v>
      </c>
    </row>
    <row r="983" spans="1:14" x14ac:dyDescent="0.3">
      <c r="A983" s="1">
        <v>45195</v>
      </c>
      <c r="B983" t="s">
        <v>64</v>
      </c>
      <c r="C983" t="s">
        <v>460</v>
      </c>
      <c r="D983" s="8">
        <v>0.29166666666666669</v>
      </c>
      <c r="E983" s="8">
        <v>0.54166666666666663</v>
      </c>
      <c r="L983" t="s">
        <v>563</v>
      </c>
      <c r="M983" t="s">
        <v>478</v>
      </c>
      <c r="N983" t="str">
        <f>Tabela_tudo[[#This Row],[Médico]]&amp;" ("&amp;Tabela_tudo[[#This Row],[Obs]]&amp;")"</f>
        <v>SAR ()</v>
      </c>
    </row>
    <row r="984" spans="1:14" x14ac:dyDescent="0.3">
      <c r="A984" s="1">
        <v>45188</v>
      </c>
      <c r="B984" t="s">
        <v>64</v>
      </c>
      <c r="C984" t="s">
        <v>460</v>
      </c>
      <c r="D984" s="8">
        <v>0.29166666666666669</v>
      </c>
      <c r="E984" s="8">
        <v>0.54166666666666663</v>
      </c>
      <c r="L984" t="s">
        <v>563</v>
      </c>
      <c r="M984" t="s">
        <v>478</v>
      </c>
      <c r="N984" t="str">
        <f>Tabela_tudo[[#This Row],[Médico]]&amp;" ("&amp;Tabela_tudo[[#This Row],[Obs]]&amp;")"</f>
        <v>SAR ()</v>
      </c>
    </row>
    <row r="985" spans="1:14" x14ac:dyDescent="0.3">
      <c r="A985" s="1">
        <v>45181</v>
      </c>
      <c r="B985" t="s">
        <v>64</v>
      </c>
      <c r="C985" t="s">
        <v>460</v>
      </c>
      <c r="D985" s="8">
        <v>0.29166666666666669</v>
      </c>
      <c r="E985" s="8">
        <v>0.54166666666666663</v>
      </c>
      <c r="L985" t="s">
        <v>563</v>
      </c>
      <c r="M985" t="s">
        <v>478</v>
      </c>
      <c r="N985" t="str">
        <f>Tabela_tudo[[#This Row],[Médico]]&amp;" ("&amp;Tabela_tudo[[#This Row],[Obs]]&amp;")"</f>
        <v>SAR ()</v>
      </c>
    </row>
    <row r="986" spans="1:14" x14ac:dyDescent="0.3">
      <c r="A986" s="1">
        <v>45202</v>
      </c>
      <c r="B986" t="s">
        <v>64</v>
      </c>
      <c r="C986" t="s">
        <v>460</v>
      </c>
      <c r="D986" s="8">
        <v>0.29166666666666669</v>
      </c>
      <c r="E986" s="8">
        <v>0.54166666666666663</v>
      </c>
      <c r="L986" t="s">
        <v>563</v>
      </c>
      <c r="M986" t="s">
        <v>478</v>
      </c>
      <c r="N986" t="str">
        <f>Tabela_tudo[[#This Row],[Médico]]&amp;" ("&amp;Tabela_tudo[[#This Row],[Obs]]&amp;")"</f>
        <v>SAR ()</v>
      </c>
    </row>
    <row r="987" spans="1:14" x14ac:dyDescent="0.3">
      <c r="A987" s="1">
        <v>45223</v>
      </c>
      <c r="B987" t="s">
        <v>64</v>
      </c>
      <c r="C987" t="s">
        <v>460</v>
      </c>
      <c r="D987" s="8">
        <v>0.29166666666666669</v>
      </c>
      <c r="E987" s="8">
        <v>0.54166666666666663</v>
      </c>
      <c r="L987" t="s">
        <v>563</v>
      </c>
      <c r="M987" t="s">
        <v>478</v>
      </c>
      <c r="N987" t="str">
        <f>Tabela_tudo[[#This Row],[Médico]]&amp;" ("&amp;Tabela_tudo[[#This Row],[Obs]]&amp;")"</f>
        <v>SAR ()</v>
      </c>
    </row>
    <row r="988" spans="1:14" x14ac:dyDescent="0.3">
      <c r="A988" s="1">
        <v>45216</v>
      </c>
      <c r="B988" t="s">
        <v>64</v>
      </c>
      <c r="C988" t="s">
        <v>460</v>
      </c>
      <c r="D988" s="8">
        <v>0.29166666666666669</v>
      </c>
      <c r="E988" s="8">
        <v>0.54166666666666663</v>
      </c>
      <c r="L988" t="s">
        <v>563</v>
      </c>
      <c r="M988" t="s">
        <v>478</v>
      </c>
      <c r="N988" t="str">
        <f>Tabela_tudo[[#This Row],[Médico]]&amp;" ("&amp;Tabela_tudo[[#This Row],[Obs]]&amp;")"</f>
        <v>SAR ()</v>
      </c>
    </row>
    <row r="989" spans="1:14" x14ac:dyDescent="0.3">
      <c r="A989" s="1">
        <v>45209</v>
      </c>
      <c r="B989" t="s">
        <v>64</v>
      </c>
      <c r="C989" t="s">
        <v>460</v>
      </c>
      <c r="D989" s="8">
        <v>0.29166666666666669</v>
      </c>
      <c r="E989" s="8">
        <v>0.54166666666666663</v>
      </c>
      <c r="L989" t="s">
        <v>563</v>
      </c>
      <c r="M989" t="s">
        <v>478</v>
      </c>
      <c r="N989" t="str">
        <f>Tabela_tudo[[#This Row],[Médico]]&amp;" ("&amp;Tabela_tudo[[#This Row],[Obs]]&amp;")"</f>
        <v>SAR ()</v>
      </c>
    </row>
    <row r="990" spans="1:14" x14ac:dyDescent="0.3">
      <c r="A990" s="1">
        <v>45279</v>
      </c>
      <c r="B990" t="s">
        <v>64</v>
      </c>
      <c r="C990" t="s">
        <v>460</v>
      </c>
      <c r="D990" s="8">
        <v>0.29166666666666669</v>
      </c>
      <c r="E990" s="8">
        <v>0.54166666666666663</v>
      </c>
      <c r="L990" t="s">
        <v>563</v>
      </c>
      <c r="M990" t="s">
        <v>478</v>
      </c>
      <c r="N990" t="str">
        <f>Tabela_tudo[[#This Row],[Médico]]&amp;" ("&amp;Tabela_tudo[[#This Row],[Obs]]&amp;")"</f>
        <v>SAR ()</v>
      </c>
    </row>
    <row r="991" spans="1:14" x14ac:dyDescent="0.3">
      <c r="A991" s="1">
        <v>45349</v>
      </c>
      <c r="B991" t="s">
        <v>64</v>
      </c>
      <c r="C991" t="s">
        <v>460</v>
      </c>
      <c r="D991" s="8">
        <v>0.29166666666666669</v>
      </c>
      <c r="E991" s="8">
        <v>0.54166666666666663</v>
      </c>
      <c r="L991" t="s">
        <v>563</v>
      </c>
      <c r="M991" t="s">
        <v>478</v>
      </c>
      <c r="N991" t="str">
        <f>Tabela_tudo[[#This Row],[Médico]]&amp;" ("&amp;Tabela_tudo[[#This Row],[Obs]]&amp;")"</f>
        <v>SAR ()</v>
      </c>
    </row>
    <row r="992" spans="1:14" x14ac:dyDescent="0.3">
      <c r="A992" s="1">
        <v>45342</v>
      </c>
      <c r="B992" t="s">
        <v>64</v>
      </c>
      <c r="C992" t="s">
        <v>460</v>
      </c>
      <c r="D992" s="8">
        <v>0.29166666666666669</v>
      </c>
      <c r="E992" s="8">
        <v>0.54166666666666663</v>
      </c>
      <c r="L992" t="s">
        <v>563</v>
      </c>
      <c r="M992" t="s">
        <v>478</v>
      </c>
      <c r="N992" t="str">
        <f>Tabela_tudo[[#This Row],[Médico]]&amp;" ("&amp;Tabela_tudo[[#This Row],[Obs]]&amp;")"</f>
        <v>SAR ()</v>
      </c>
    </row>
    <row r="993" spans="1:14" x14ac:dyDescent="0.3">
      <c r="A993" s="1">
        <v>45335</v>
      </c>
      <c r="B993" t="s">
        <v>64</v>
      </c>
      <c r="C993" t="s">
        <v>460</v>
      </c>
      <c r="D993" s="8">
        <v>0.29166666666666669</v>
      </c>
      <c r="E993" s="8">
        <v>0.54166666666666663</v>
      </c>
      <c r="L993" t="s">
        <v>563</v>
      </c>
      <c r="M993" t="s">
        <v>478</v>
      </c>
      <c r="N993" t="str">
        <f>Tabela_tudo[[#This Row],[Médico]]&amp;" ("&amp;Tabela_tudo[[#This Row],[Obs]]&amp;")"</f>
        <v>SAR ()</v>
      </c>
    </row>
    <row r="994" spans="1:14" x14ac:dyDescent="0.3">
      <c r="A994" s="1">
        <v>45356</v>
      </c>
      <c r="B994" t="s">
        <v>64</v>
      </c>
      <c r="C994" t="s">
        <v>460</v>
      </c>
      <c r="D994" s="8">
        <v>0.29166666666666669</v>
      </c>
      <c r="E994" s="8">
        <v>0.54166666666666663</v>
      </c>
      <c r="L994" t="s">
        <v>563</v>
      </c>
      <c r="M994" t="s">
        <v>478</v>
      </c>
      <c r="N994" t="str">
        <f>Tabela_tudo[[#This Row],[Médico]]&amp;" ("&amp;Tabela_tudo[[#This Row],[Obs]]&amp;")"</f>
        <v>SAR ()</v>
      </c>
    </row>
    <row r="995" spans="1:14" x14ac:dyDescent="0.3">
      <c r="A995" s="1">
        <v>45377</v>
      </c>
      <c r="B995" t="s">
        <v>64</v>
      </c>
      <c r="C995" t="s">
        <v>460</v>
      </c>
      <c r="D995" s="8">
        <v>0.29166666666666669</v>
      </c>
      <c r="E995" s="8">
        <v>0.54166666666666663</v>
      </c>
      <c r="L995" t="s">
        <v>563</v>
      </c>
      <c r="M995" t="s">
        <v>478</v>
      </c>
      <c r="N995" t="str">
        <f>Tabela_tudo[[#This Row],[Médico]]&amp;" ("&amp;Tabela_tudo[[#This Row],[Obs]]&amp;")"</f>
        <v>SAR ()</v>
      </c>
    </row>
    <row r="996" spans="1:14" x14ac:dyDescent="0.3">
      <c r="A996" s="1">
        <v>45370</v>
      </c>
      <c r="B996" t="s">
        <v>64</v>
      </c>
      <c r="C996" t="s">
        <v>460</v>
      </c>
      <c r="D996" s="8">
        <v>0.29166666666666669</v>
      </c>
      <c r="E996" s="8">
        <v>0.54166666666666663</v>
      </c>
      <c r="L996" t="s">
        <v>563</v>
      </c>
      <c r="M996" t="s">
        <v>478</v>
      </c>
      <c r="N996" t="str">
        <f>Tabela_tudo[[#This Row],[Médico]]&amp;" ("&amp;Tabela_tudo[[#This Row],[Obs]]&amp;")"</f>
        <v>SAR ()</v>
      </c>
    </row>
    <row r="997" spans="1:14" x14ac:dyDescent="0.3">
      <c r="A997" s="1">
        <v>45363</v>
      </c>
      <c r="B997" t="s">
        <v>64</v>
      </c>
      <c r="C997" t="s">
        <v>460</v>
      </c>
      <c r="D997" s="8">
        <v>0.29166666666666669</v>
      </c>
      <c r="E997" s="8">
        <v>0.54166666666666663</v>
      </c>
      <c r="L997" t="s">
        <v>563</v>
      </c>
      <c r="M997" t="s">
        <v>478</v>
      </c>
      <c r="N997" t="str">
        <f>Tabela_tudo[[#This Row],[Médico]]&amp;" ("&amp;Tabela_tudo[[#This Row],[Obs]]&amp;")"</f>
        <v>SAR ()</v>
      </c>
    </row>
    <row r="998" spans="1:14" x14ac:dyDescent="0.3">
      <c r="A998" s="1">
        <v>45300</v>
      </c>
      <c r="B998" t="s">
        <v>64</v>
      </c>
      <c r="C998" t="s">
        <v>460</v>
      </c>
      <c r="D998" s="8">
        <v>0.29166666666666669</v>
      </c>
      <c r="E998" s="8">
        <v>0.54166666666666663</v>
      </c>
      <c r="L998" t="s">
        <v>563</v>
      </c>
      <c r="M998" t="s">
        <v>478</v>
      </c>
      <c r="N998" t="str">
        <f>Tabela_tudo[[#This Row],[Médico]]&amp;" ("&amp;Tabela_tudo[[#This Row],[Obs]]&amp;")"</f>
        <v>SAR ()</v>
      </c>
    </row>
    <row r="999" spans="1:14" x14ac:dyDescent="0.3">
      <c r="A999" s="1">
        <v>45293</v>
      </c>
      <c r="B999" t="s">
        <v>64</v>
      </c>
      <c r="C999" t="s">
        <v>460</v>
      </c>
      <c r="D999" s="8">
        <v>0.29166666666666669</v>
      </c>
      <c r="E999" s="8">
        <v>0.54166666666666663</v>
      </c>
      <c r="L999" t="s">
        <v>563</v>
      </c>
      <c r="M999" t="s">
        <v>478</v>
      </c>
      <c r="N999" t="str">
        <f>Tabela_tudo[[#This Row],[Médico]]&amp;" ("&amp;Tabela_tudo[[#This Row],[Obs]]&amp;")"</f>
        <v>SAR ()</v>
      </c>
    </row>
    <row r="1000" spans="1:14" x14ac:dyDescent="0.3">
      <c r="A1000" s="1">
        <v>45286</v>
      </c>
      <c r="B1000" t="s">
        <v>64</v>
      </c>
      <c r="C1000" t="s">
        <v>460</v>
      </c>
      <c r="D1000" s="8">
        <v>0.29166666666666669</v>
      </c>
      <c r="E1000" s="8">
        <v>0.54166666666666663</v>
      </c>
      <c r="L1000" t="s">
        <v>563</v>
      </c>
      <c r="M1000" t="s">
        <v>478</v>
      </c>
      <c r="N1000" t="str">
        <f>Tabela_tudo[[#This Row],[Médico]]&amp;" ("&amp;Tabela_tudo[[#This Row],[Obs]]&amp;")"</f>
        <v>SAR ()</v>
      </c>
    </row>
    <row r="1001" spans="1:14" x14ac:dyDescent="0.3">
      <c r="A1001" s="1">
        <v>45307</v>
      </c>
      <c r="B1001" t="s">
        <v>64</v>
      </c>
      <c r="C1001" t="s">
        <v>460</v>
      </c>
      <c r="D1001" s="8">
        <v>0.29166666666666669</v>
      </c>
      <c r="E1001" s="8">
        <v>0.54166666666666663</v>
      </c>
      <c r="L1001" t="s">
        <v>563</v>
      </c>
      <c r="M1001" t="s">
        <v>478</v>
      </c>
      <c r="N1001" t="str">
        <f>Tabela_tudo[[#This Row],[Médico]]&amp;" ("&amp;Tabela_tudo[[#This Row],[Obs]]&amp;")"</f>
        <v>SAR ()</v>
      </c>
    </row>
    <row r="1002" spans="1:14" x14ac:dyDescent="0.3">
      <c r="A1002" s="1">
        <v>45328</v>
      </c>
      <c r="B1002" t="s">
        <v>64</v>
      </c>
      <c r="C1002" t="s">
        <v>460</v>
      </c>
      <c r="D1002" s="8">
        <v>0.29166666666666669</v>
      </c>
      <c r="E1002" s="8">
        <v>0.54166666666666663</v>
      </c>
      <c r="L1002" t="s">
        <v>563</v>
      </c>
      <c r="M1002" t="s">
        <v>478</v>
      </c>
      <c r="N1002" t="str">
        <f>Tabela_tudo[[#This Row],[Médico]]&amp;" ("&amp;Tabela_tudo[[#This Row],[Obs]]&amp;")"</f>
        <v>SAR ()</v>
      </c>
    </row>
    <row r="1003" spans="1:14" x14ac:dyDescent="0.3">
      <c r="A1003" s="1">
        <v>45321</v>
      </c>
      <c r="B1003" t="s">
        <v>64</v>
      </c>
      <c r="C1003" t="s">
        <v>460</v>
      </c>
      <c r="D1003" s="8">
        <v>0.29166666666666669</v>
      </c>
      <c r="E1003" s="8">
        <v>0.54166666666666663</v>
      </c>
      <c r="L1003" t="s">
        <v>563</v>
      </c>
      <c r="M1003" t="s">
        <v>478</v>
      </c>
      <c r="N1003" t="str">
        <f>Tabela_tudo[[#This Row],[Médico]]&amp;" ("&amp;Tabela_tudo[[#This Row],[Obs]]&amp;")"</f>
        <v>SAR ()</v>
      </c>
    </row>
    <row r="1004" spans="1:14" x14ac:dyDescent="0.3">
      <c r="A1004" s="1">
        <v>45314</v>
      </c>
      <c r="B1004" t="s">
        <v>64</v>
      </c>
      <c r="C1004" t="s">
        <v>460</v>
      </c>
      <c r="D1004" s="8">
        <v>0.29166666666666669</v>
      </c>
      <c r="E1004" s="8">
        <v>0.54166666666666663</v>
      </c>
      <c r="L1004" t="s">
        <v>563</v>
      </c>
      <c r="M1004" t="s">
        <v>478</v>
      </c>
      <c r="N1004" t="str">
        <f>Tabela_tudo[[#This Row],[Médico]]&amp;" ("&amp;Tabela_tudo[[#This Row],[Obs]]&amp;")"</f>
        <v>SAR ()</v>
      </c>
    </row>
    <row r="1005" spans="1:14" x14ac:dyDescent="0.3">
      <c r="A1005" s="1">
        <v>45174</v>
      </c>
      <c r="B1005" t="s">
        <v>64</v>
      </c>
      <c r="C1005" t="s">
        <v>460</v>
      </c>
      <c r="D1005" s="8">
        <v>0.29166666666666669</v>
      </c>
      <c r="E1005" s="8">
        <v>0.54166666666666663</v>
      </c>
      <c r="L1005" t="s">
        <v>563</v>
      </c>
      <c r="M1005" t="s">
        <v>478</v>
      </c>
      <c r="N1005" t="str">
        <f>Tabela_tudo[[#This Row],[Médico]]&amp;" ("&amp;Tabela_tudo[[#This Row],[Obs]]&amp;")"</f>
        <v>SAR ()</v>
      </c>
    </row>
    <row r="1006" spans="1:14" x14ac:dyDescent="0.3">
      <c r="A1006" s="1">
        <v>45027</v>
      </c>
      <c r="B1006" t="s">
        <v>64</v>
      </c>
      <c r="C1006" t="s">
        <v>460</v>
      </c>
      <c r="D1006" s="8">
        <v>0.29166666666666669</v>
      </c>
      <c r="E1006" s="8">
        <v>0.54166666666666663</v>
      </c>
      <c r="L1006" t="s">
        <v>563</v>
      </c>
      <c r="M1006" t="s">
        <v>478</v>
      </c>
      <c r="N1006" t="str">
        <f>Tabela_tudo[[#This Row],[Médico]]&amp;" ("&amp;Tabela_tudo[[#This Row],[Obs]]&amp;")"</f>
        <v>SAR ()</v>
      </c>
    </row>
    <row r="1007" spans="1:14" x14ac:dyDescent="0.3">
      <c r="A1007" s="1">
        <v>45020</v>
      </c>
      <c r="B1007" t="s">
        <v>64</v>
      </c>
      <c r="C1007" t="s">
        <v>460</v>
      </c>
      <c r="D1007" s="8">
        <v>0.29166666666666669</v>
      </c>
      <c r="E1007" s="8">
        <v>0.54166666666666663</v>
      </c>
      <c r="L1007" t="s">
        <v>563</v>
      </c>
      <c r="M1007" t="s">
        <v>478</v>
      </c>
      <c r="N1007" t="str">
        <f>Tabela_tudo[[#This Row],[Médico]]&amp;" ("&amp;Tabela_tudo[[#This Row],[Obs]]&amp;")"</f>
        <v>SAR ()</v>
      </c>
    </row>
    <row r="1008" spans="1:14" x14ac:dyDescent="0.3">
      <c r="A1008" s="1">
        <v>45013</v>
      </c>
      <c r="B1008" t="s">
        <v>64</v>
      </c>
      <c r="C1008" t="s">
        <v>460</v>
      </c>
      <c r="D1008" s="8">
        <v>0.29166666666666669</v>
      </c>
      <c r="E1008" s="8">
        <v>0.54166666666666663</v>
      </c>
      <c r="L1008" t="s">
        <v>563</v>
      </c>
      <c r="M1008" t="s">
        <v>478</v>
      </c>
      <c r="N1008" t="str">
        <f>Tabela_tudo[[#This Row],[Médico]]&amp;" ("&amp;Tabela_tudo[[#This Row],[Obs]]&amp;")"</f>
        <v>SAR ()</v>
      </c>
    </row>
    <row r="1009" spans="1:14" x14ac:dyDescent="0.3">
      <c r="A1009" s="1">
        <v>45034</v>
      </c>
      <c r="B1009" t="s">
        <v>64</v>
      </c>
      <c r="C1009" t="s">
        <v>460</v>
      </c>
      <c r="D1009" s="8">
        <v>0.29166666666666669</v>
      </c>
      <c r="E1009" s="8">
        <v>0.54166666666666663</v>
      </c>
      <c r="L1009" t="s">
        <v>563</v>
      </c>
      <c r="M1009" t="s">
        <v>478</v>
      </c>
      <c r="N1009" t="str">
        <f>Tabela_tudo[[#This Row],[Médico]]&amp;" ("&amp;Tabela_tudo[[#This Row],[Obs]]&amp;")"</f>
        <v>SAR ()</v>
      </c>
    </row>
    <row r="1010" spans="1:14" x14ac:dyDescent="0.3">
      <c r="A1010" s="1">
        <v>45055</v>
      </c>
      <c r="B1010" t="s">
        <v>64</v>
      </c>
      <c r="C1010" t="s">
        <v>460</v>
      </c>
      <c r="D1010" s="8">
        <v>0.29166666666666669</v>
      </c>
      <c r="E1010" s="8">
        <v>0.54166666666666663</v>
      </c>
      <c r="L1010" t="s">
        <v>563</v>
      </c>
      <c r="M1010" t="s">
        <v>478</v>
      </c>
      <c r="N1010" t="str">
        <f>Tabela_tudo[[#This Row],[Médico]]&amp;" ("&amp;Tabela_tudo[[#This Row],[Obs]]&amp;")"</f>
        <v>SAR ()</v>
      </c>
    </row>
    <row r="1011" spans="1:14" x14ac:dyDescent="0.3">
      <c r="A1011" s="1">
        <v>45048</v>
      </c>
      <c r="B1011" t="s">
        <v>64</v>
      </c>
      <c r="C1011" t="s">
        <v>460</v>
      </c>
      <c r="D1011" s="8">
        <v>0.29166666666666669</v>
      </c>
      <c r="E1011" s="8">
        <v>0.54166666666666663</v>
      </c>
      <c r="L1011" t="s">
        <v>563</v>
      </c>
      <c r="M1011" t="s">
        <v>478</v>
      </c>
      <c r="N1011" t="str">
        <f>Tabela_tudo[[#This Row],[Médico]]&amp;" ("&amp;Tabela_tudo[[#This Row],[Obs]]&amp;")"</f>
        <v>SAR ()</v>
      </c>
    </row>
    <row r="1012" spans="1:14" x14ac:dyDescent="0.3">
      <c r="A1012" s="1">
        <v>45041</v>
      </c>
      <c r="B1012" t="s">
        <v>64</v>
      </c>
      <c r="C1012" t="s">
        <v>460</v>
      </c>
      <c r="D1012" s="8">
        <v>0.29166666666666669</v>
      </c>
      <c r="E1012" s="8">
        <v>0.54166666666666663</v>
      </c>
      <c r="L1012" t="s">
        <v>563</v>
      </c>
      <c r="M1012" t="s">
        <v>478</v>
      </c>
      <c r="N1012" t="str">
        <f>Tabela_tudo[[#This Row],[Médico]]&amp;" ("&amp;Tabela_tudo[[#This Row],[Obs]]&amp;")"</f>
        <v>SAR ()</v>
      </c>
    </row>
    <row r="1013" spans="1:14" x14ac:dyDescent="0.3">
      <c r="A1013" s="1">
        <v>44978</v>
      </c>
      <c r="B1013" t="s">
        <v>64</v>
      </c>
      <c r="C1013" t="s">
        <v>460</v>
      </c>
      <c r="D1013" s="8">
        <v>0.29166666666666669</v>
      </c>
      <c r="E1013" s="8">
        <v>0.54166666666666663</v>
      </c>
      <c r="L1013" t="s">
        <v>563</v>
      </c>
      <c r="M1013" t="s">
        <v>478</v>
      </c>
      <c r="N1013" t="str">
        <f>Tabela_tudo[[#This Row],[Médico]]&amp;" ("&amp;Tabela_tudo[[#This Row],[Obs]]&amp;")"</f>
        <v>SAR ()</v>
      </c>
    </row>
    <row r="1014" spans="1:14" x14ac:dyDescent="0.3">
      <c r="A1014" s="1">
        <v>44971</v>
      </c>
      <c r="B1014" t="s">
        <v>64</v>
      </c>
      <c r="C1014" t="s">
        <v>460</v>
      </c>
      <c r="D1014" s="8">
        <v>0.29166666666666669</v>
      </c>
      <c r="E1014" s="8">
        <v>0.54166666666666663</v>
      </c>
      <c r="L1014" t="s">
        <v>563</v>
      </c>
      <c r="M1014" t="s">
        <v>478</v>
      </c>
      <c r="N1014" t="str">
        <f>Tabela_tudo[[#This Row],[Médico]]&amp;" ("&amp;Tabela_tudo[[#This Row],[Obs]]&amp;")"</f>
        <v>SAR ()</v>
      </c>
    </row>
    <row r="1015" spans="1:14" x14ac:dyDescent="0.3">
      <c r="A1015" s="1">
        <v>44964</v>
      </c>
      <c r="B1015" t="s">
        <v>64</v>
      </c>
      <c r="C1015" t="s">
        <v>460</v>
      </c>
      <c r="D1015" s="8">
        <v>0.29166666666666669</v>
      </c>
      <c r="E1015" s="8">
        <v>0.54166666666666663</v>
      </c>
      <c r="L1015" t="s">
        <v>563</v>
      </c>
      <c r="M1015" t="s">
        <v>478</v>
      </c>
      <c r="N1015" t="str">
        <f>Tabela_tudo[[#This Row],[Médico]]&amp;" ("&amp;Tabela_tudo[[#This Row],[Obs]]&amp;")"</f>
        <v>SAR ()</v>
      </c>
    </row>
    <row r="1016" spans="1:14" x14ac:dyDescent="0.3">
      <c r="A1016" s="1">
        <v>44985</v>
      </c>
      <c r="B1016" t="s">
        <v>64</v>
      </c>
      <c r="C1016" t="s">
        <v>460</v>
      </c>
      <c r="D1016" s="8">
        <v>0.29166666666666669</v>
      </c>
      <c r="E1016" s="8">
        <v>0.54166666666666663</v>
      </c>
      <c r="L1016" t="s">
        <v>563</v>
      </c>
      <c r="M1016" t="s">
        <v>478</v>
      </c>
      <c r="N1016" t="str">
        <f>Tabela_tudo[[#This Row],[Médico]]&amp;" ("&amp;Tabela_tudo[[#This Row],[Obs]]&amp;")"</f>
        <v>SAR ()</v>
      </c>
    </row>
    <row r="1017" spans="1:14" x14ac:dyDescent="0.3">
      <c r="A1017" s="1">
        <v>45006</v>
      </c>
      <c r="B1017" t="s">
        <v>64</v>
      </c>
      <c r="C1017" t="s">
        <v>460</v>
      </c>
      <c r="D1017" s="8">
        <v>0.29166666666666669</v>
      </c>
      <c r="E1017" s="8">
        <v>0.54166666666666663</v>
      </c>
      <c r="L1017" t="s">
        <v>563</v>
      </c>
      <c r="M1017" t="s">
        <v>478</v>
      </c>
      <c r="N1017" t="str">
        <f>Tabela_tudo[[#This Row],[Médico]]&amp;" ("&amp;Tabela_tudo[[#This Row],[Obs]]&amp;")"</f>
        <v>SAR ()</v>
      </c>
    </row>
    <row r="1018" spans="1:14" x14ac:dyDescent="0.3">
      <c r="A1018" s="1">
        <v>44999</v>
      </c>
      <c r="B1018" t="s">
        <v>64</v>
      </c>
      <c r="C1018" t="s">
        <v>460</v>
      </c>
      <c r="D1018" s="8">
        <v>0.29166666666666669</v>
      </c>
      <c r="E1018" s="8">
        <v>0.54166666666666663</v>
      </c>
      <c r="L1018" t="s">
        <v>563</v>
      </c>
      <c r="M1018" t="s">
        <v>478</v>
      </c>
      <c r="N1018" t="str">
        <f>Tabela_tudo[[#This Row],[Médico]]&amp;" ("&amp;Tabela_tudo[[#This Row],[Obs]]&amp;")"</f>
        <v>SAR ()</v>
      </c>
    </row>
    <row r="1019" spans="1:14" x14ac:dyDescent="0.3">
      <c r="A1019" s="1">
        <v>44992</v>
      </c>
      <c r="B1019" t="s">
        <v>64</v>
      </c>
      <c r="C1019" t="s">
        <v>460</v>
      </c>
      <c r="D1019" s="8">
        <v>0.29166666666666669</v>
      </c>
      <c r="E1019" s="8">
        <v>0.54166666666666663</v>
      </c>
      <c r="L1019" t="s">
        <v>563</v>
      </c>
      <c r="M1019" t="s">
        <v>478</v>
      </c>
      <c r="N1019" t="str">
        <f>Tabela_tudo[[#This Row],[Médico]]&amp;" ("&amp;Tabela_tudo[[#This Row],[Obs]]&amp;")"</f>
        <v>SAR ()</v>
      </c>
    </row>
    <row r="1020" spans="1:14" x14ac:dyDescent="0.3">
      <c r="A1020" s="1">
        <v>45062</v>
      </c>
      <c r="B1020" t="s">
        <v>64</v>
      </c>
      <c r="C1020" t="s">
        <v>460</v>
      </c>
      <c r="D1020" s="8">
        <v>0.29166666666666669</v>
      </c>
      <c r="E1020" s="8">
        <v>0.54166666666666663</v>
      </c>
      <c r="L1020" t="s">
        <v>563</v>
      </c>
      <c r="M1020" t="s">
        <v>478</v>
      </c>
      <c r="N1020" t="str">
        <f>Tabela_tudo[[#This Row],[Médico]]&amp;" ("&amp;Tabela_tudo[[#This Row],[Obs]]&amp;")"</f>
        <v>SAR ()</v>
      </c>
    </row>
    <row r="1021" spans="1:14" x14ac:dyDescent="0.3">
      <c r="A1021" s="1">
        <v>45139</v>
      </c>
      <c r="B1021" t="s">
        <v>64</v>
      </c>
      <c r="C1021" t="s">
        <v>460</v>
      </c>
      <c r="D1021" s="8">
        <v>0.29166666666666669</v>
      </c>
      <c r="E1021" s="8">
        <v>0.54166666666666663</v>
      </c>
      <c r="L1021" t="s">
        <v>563</v>
      </c>
      <c r="M1021" t="s">
        <v>478</v>
      </c>
      <c r="N1021" t="str">
        <f>Tabela_tudo[[#This Row],[Médico]]&amp;" ("&amp;Tabela_tudo[[#This Row],[Obs]]&amp;")"</f>
        <v>SAR ()</v>
      </c>
    </row>
    <row r="1022" spans="1:14" x14ac:dyDescent="0.3">
      <c r="A1022" s="1">
        <v>45132</v>
      </c>
      <c r="B1022" t="s">
        <v>64</v>
      </c>
      <c r="C1022" t="s">
        <v>460</v>
      </c>
      <c r="D1022" s="8">
        <v>0.29166666666666669</v>
      </c>
      <c r="E1022" s="8">
        <v>0.54166666666666663</v>
      </c>
      <c r="L1022" t="s">
        <v>563</v>
      </c>
      <c r="M1022" t="s">
        <v>478</v>
      </c>
      <c r="N1022" t="str">
        <f>Tabela_tudo[[#This Row],[Médico]]&amp;" ("&amp;Tabela_tudo[[#This Row],[Obs]]&amp;")"</f>
        <v>SAR ()</v>
      </c>
    </row>
    <row r="1023" spans="1:14" x14ac:dyDescent="0.3">
      <c r="A1023" s="1">
        <v>45125</v>
      </c>
      <c r="B1023" t="s">
        <v>64</v>
      </c>
      <c r="C1023" t="s">
        <v>460</v>
      </c>
      <c r="D1023" s="8">
        <v>0.29166666666666669</v>
      </c>
      <c r="E1023" s="8">
        <v>0.54166666666666663</v>
      </c>
      <c r="L1023" t="s">
        <v>563</v>
      </c>
      <c r="M1023" t="s">
        <v>478</v>
      </c>
      <c r="N1023" t="str">
        <f>Tabela_tudo[[#This Row],[Médico]]&amp;" ("&amp;Tabela_tudo[[#This Row],[Obs]]&amp;")"</f>
        <v>SAR ()</v>
      </c>
    </row>
    <row r="1024" spans="1:14" x14ac:dyDescent="0.3">
      <c r="A1024" s="1">
        <v>45146</v>
      </c>
      <c r="B1024" t="s">
        <v>64</v>
      </c>
      <c r="C1024" t="s">
        <v>460</v>
      </c>
      <c r="D1024" s="8">
        <v>0.29166666666666669</v>
      </c>
      <c r="E1024" s="8">
        <v>0.54166666666666663</v>
      </c>
      <c r="L1024" t="s">
        <v>563</v>
      </c>
      <c r="M1024" t="s">
        <v>478</v>
      </c>
      <c r="N1024" t="str">
        <f>Tabela_tudo[[#This Row],[Médico]]&amp;" ("&amp;Tabela_tudo[[#This Row],[Obs]]&amp;")"</f>
        <v>SAR ()</v>
      </c>
    </row>
    <row r="1025" spans="1:14" x14ac:dyDescent="0.3">
      <c r="A1025" s="1">
        <v>45167</v>
      </c>
      <c r="B1025" t="s">
        <v>64</v>
      </c>
      <c r="C1025" t="s">
        <v>460</v>
      </c>
      <c r="D1025" s="8">
        <v>0.29166666666666669</v>
      </c>
      <c r="E1025" s="8">
        <v>0.54166666666666663</v>
      </c>
      <c r="L1025" t="s">
        <v>563</v>
      </c>
      <c r="M1025" t="s">
        <v>478</v>
      </c>
      <c r="N1025" t="str">
        <f>Tabela_tudo[[#This Row],[Médico]]&amp;" ("&amp;Tabela_tudo[[#This Row],[Obs]]&amp;")"</f>
        <v>SAR ()</v>
      </c>
    </row>
    <row r="1026" spans="1:14" x14ac:dyDescent="0.3">
      <c r="A1026" s="1">
        <v>45160</v>
      </c>
      <c r="B1026" t="s">
        <v>64</v>
      </c>
      <c r="C1026" t="s">
        <v>460</v>
      </c>
      <c r="D1026" s="8">
        <v>0.29166666666666669</v>
      </c>
      <c r="E1026" s="8">
        <v>0.54166666666666663</v>
      </c>
      <c r="L1026" t="s">
        <v>563</v>
      </c>
      <c r="M1026" t="s">
        <v>478</v>
      </c>
      <c r="N1026" t="str">
        <f>Tabela_tudo[[#This Row],[Médico]]&amp;" ("&amp;Tabela_tudo[[#This Row],[Obs]]&amp;")"</f>
        <v>SAR ()</v>
      </c>
    </row>
    <row r="1027" spans="1:14" x14ac:dyDescent="0.3">
      <c r="A1027" s="1">
        <v>45153</v>
      </c>
      <c r="B1027" t="s">
        <v>64</v>
      </c>
      <c r="C1027" t="s">
        <v>460</v>
      </c>
      <c r="D1027" s="8">
        <v>0.29166666666666669</v>
      </c>
      <c r="E1027" s="8">
        <v>0.54166666666666663</v>
      </c>
      <c r="L1027" t="s">
        <v>563</v>
      </c>
      <c r="M1027" t="s">
        <v>478</v>
      </c>
      <c r="N1027" t="str">
        <f>Tabela_tudo[[#This Row],[Médico]]&amp;" ("&amp;Tabela_tudo[[#This Row],[Obs]]&amp;")"</f>
        <v>SAR ()</v>
      </c>
    </row>
    <row r="1028" spans="1:14" x14ac:dyDescent="0.3">
      <c r="A1028" s="1">
        <v>45090</v>
      </c>
      <c r="B1028" t="s">
        <v>64</v>
      </c>
      <c r="C1028" t="s">
        <v>460</v>
      </c>
      <c r="D1028" s="8">
        <v>0.29166666666666669</v>
      </c>
      <c r="E1028" s="8">
        <v>0.54166666666666663</v>
      </c>
      <c r="L1028" t="s">
        <v>563</v>
      </c>
      <c r="M1028" t="s">
        <v>478</v>
      </c>
      <c r="N1028" t="str">
        <f>Tabela_tudo[[#This Row],[Médico]]&amp;" ("&amp;Tabela_tudo[[#This Row],[Obs]]&amp;")"</f>
        <v>SAR ()</v>
      </c>
    </row>
    <row r="1029" spans="1:14" x14ac:dyDescent="0.3">
      <c r="A1029" s="1">
        <v>45083</v>
      </c>
      <c r="B1029" t="s">
        <v>64</v>
      </c>
      <c r="C1029" t="s">
        <v>460</v>
      </c>
      <c r="D1029" s="8">
        <v>0.29166666666666669</v>
      </c>
      <c r="E1029" s="8">
        <v>0.54166666666666663</v>
      </c>
      <c r="L1029" t="s">
        <v>563</v>
      </c>
      <c r="M1029" t="s">
        <v>478</v>
      </c>
      <c r="N1029" t="str">
        <f>Tabela_tudo[[#This Row],[Médico]]&amp;" ("&amp;Tabela_tudo[[#This Row],[Obs]]&amp;")"</f>
        <v>SAR ()</v>
      </c>
    </row>
    <row r="1030" spans="1:14" x14ac:dyDescent="0.3">
      <c r="A1030" s="1">
        <v>45076</v>
      </c>
      <c r="B1030" t="s">
        <v>64</v>
      </c>
      <c r="C1030" t="s">
        <v>460</v>
      </c>
      <c r="D1030" s="8">
        <v>0.29166666666666669</v>
      </c>
      <c r="E1030" s="8">
        <v>0.54166666666666663</v>
      </c>
      <c r="L1030" t="s">
        <v>563</v>
      </c>
      <c r="M1030" t="s">
        <v>478</v>
      </c>
      <c r="N1030" t="str">
        <f>Tabela_tudo[[#This Row],[Médico]]&amp;" ("&amp;Tabela_tudo[[#This Row],[Obs]]&amp;")"</f>
        <v>SAR ()</v>
      </c>
    </row>
    <row r="1031" spans="1:14" x14ac:dyDescent="0.3">
      <c r="A1031" s="1">
        <v>45097</v>
      </c>
      <c r="B1031" t="s">
        <v>64</v>
      </c>
      <c r="C1031" t="s">
        <v>460</v>
      </c>
      <c r="D1031" s="8">
        <v>0.29166666666666669</v>
      </c>
      <c r="E1031" s="8">
        <v>0.54166666666666663</v>
      </c>
      <c r="L1031" t="s">
        <v>563</v>
      </c>
      <c r="M1031" t="s">
        <v>478</v>
      </c>
      <c r="N1031" t="str">
        <f>Tabela_tudo[[#This Row],[Médico]]&amp;" ("&amp;Tabela_tudo[[#This Row],[Obs]]&amp;")"</f>
        <v>SAR ()</v>
      </c>
    </row>
    <row r="1032" spans="1:14" x14ac:dyDescent="0.3">
      <c r="A1032" s="1">
        <v>45118</v>
      </c>
      <c r="B1032" t="s">
        <v>64</v>
      </c>
      <c r="C1032" t="s">
        <v>460</v>
      </c>
      <c r="D1032" s="8">
        <v>0.29166666666666669</v>
      </c>
      <c r="E1032" s="8">
        <v>0.54166666666666663</v>
      </c>
      <c r="L1032" t="s">
        <v>563</v>
      </c>
      <c r="M1032" t="s">
        <v>478</v>
      </c>
      <c r="N1032" t="str">
        <f>Tabela_tudo[[#This Row],[Médico]]&amp;" ("&amp;Tabela_tudo[[#This Row],[Obs]]&amp;")"</f>
        <v>SAR ()</v>
      </c>
    </row>
    <row r="1033" spans="1:14" x14ac:dyDescent="0.3">
      <c r="A1033" s="1">
        <v>45111</v>
      </c>
      <c r="B1033" t="s">
        <v>64</v>
      </c>
      <c r="C1033" t="s">
        <v>460</v>
      </c>
      <c r="D1033" s="8">
        <v>0.29166666666666669</v>
      </c>
      <c r="E1033" s="8">
        <v>0.54166666666666663</v>
      </c>
      <c r="L1033" t="s">
        <v>563</v>
      </c>
      <c r="M1033" t="s">
        <v>478</v>
      </c>
      <c r="N1033" t="str">
        <f>Tabela_tudo[[#This Row],[Médico]]&amp;" ("&amp;Tabela_tudo[[#This Row],[Obs]]&amp;")"</f>
        <v>SAR ()</v>
      </c>
    </row>
    <row r="1034" spans="1:14" x14ac:dyDescent="0.3">
      <c r="A1034" s="1">
        <v>45104</v>
      </c>
      <c r="B1034" t="s">
        <v>64</v>
      </c>
      <c r="C1034" t="s">
        <v>460</v>
      </c>
      <c r="D1034" s="8">
        <v>0.29166666666666669</v>
      </c>
      <c r="E1034" s="8">
        <v>0.54166666666666663</v>
      </c>
      <c r="L1034" t="s">
        <v>563</v>
      </c>
      <c r="M1034" t="s">
        <v>478</v>
      </c>
      <c r="N1034" t="str">
        <f>Tabela_tudo[[#This Row],[Médico]]&amp;" ("&amp;Tabela_tudo[[#This Row],[Obs]]&amp;")"</f>
        <v>SAR ()</v>
      </c>
    </row>
    <row r="1035" spans="1:14" x14ac:dyDescent="0.3">
      <c r="A1035" s="1">
        <v>45163</v>
      </c>
      <c r="B1035" t="s">
        <v>32</v>
      </c>
      <c r="C1035" t="s">
        <v>460</v>
      </c>
      <c r="D1035" s="8">
        <v>0.54166666666666663</v>
      </c>
      <c r="E1035" s="8">
        <v>0.83333333333333337</v>
      </c>
      <c r="L1035" t="s">
        <v>563</v>
      </c>
      <c r="M1035" t="s">
        <v>478</v>
      </c>
      <c r="N1035" t="str">
        <f>Tabela_tudo[[#This Row],[Médico]]&amp;" ("&amp;Tabela_tudo[[#This Row],[Obs]]&amp;")"</f>
        <v>JS ()</v>
      </c>
    </row>
    <row r="1036" spans="1:14" x14ac:dyDescent="0.3">
      <c r="A1036" s="1">
        <v>45156</v>
      </c>
      <c r="B1036" t="s">
        <v>32</v>
      </c>
      <c r="C1036" t="s">
        <v>460</v>
      </c>
      <c r="D1036" s="8">
        <v>0.54166666666666663</v>
      </c>
      <c r="E1036" s="8">
        <v>0.83333333333333337</v>
      </c>
      <c r="L1036" t="s">
        <v>563</v>
      </c>
      <c r="M1036" t="s">
        <v>478</v>
      </c>
      <c r="N1036" t="str">
        <f>Tabela_tudo[[#This Row],[Médico]]&amp;" ("&amp;Tabela_tudo[[#This Row],[Obs]]&amp;")"</f>
        <v>JS ()</v>
      </c>
    </row>
    <row r="1037" spans="1:14" x14ac:dyDescent="0.3">
      <c r="A1037" s="1">
        <v>45149</v>
      </c>
      <c r="B1037" t="s">
        <v>32</v>
      </c>
      <c r="C1037" t="s">
        <v>460</v>
      </c>
      <c r="D1037" s="8">
        <v>0.54166666666666663</v>
      </c>
      <c r="E1037" s="8">
        <v>0.83333333333333337</v>
      </c>
      <c r="L1037" t="s">
        <v>563</v>
      </c>
      <c r="M1037" t="s">
        <v>478</v>
      </c>
      <c r="N1037" t="str">
        <f>Tabela_tudo[[#This Row],[Médico]]&amp;" ("&amp;Tabela_tudo[[#This Row],[Obs]]&amp;")"</f>
        <v>JS ()</v>
      </c>
    </row>
    <row r="1038" spans="1:14" x14ac:dyDescent="0.3">
      <c r="A1038" s="1">
        <v>45170</v>
      </c>
      <c r="B1038" t="s">
        <v>32</v>
      </c>
      <c r="C1038" t="s">
        <v>460</v>
      </c>
      <c r="D1038" s="8">
        <v>0.54166666666666663</v>
      </c>
      <c r="E1038" s="8">
        <v>0.83333333333333337</v>
      </c>
      <c r="L1038" t="s">
        <v>563</v>
      </c>
      <c r="M1038" t="s">
        <v>478</v>
      </c>
      <c r="N1038" t="str">
        <f>Tabela_tudo[[#This Row],[Médico]]&amp;" ("&amp;Tabela_tudo[[#This Row],[Obs]]&amp;")"</f>
        <v>JS ()</v>
      </c>
    </row>
    <row r="1039" spans="1:14" x14ac:dyDescent="0.3">
      <c r="A1039" s="1">
        <v>45191</v>
      </c>
      <c r="B1039" t="s">
        <v>32</v>
      </c>
      <c r="C1039" t="s">
        <v>460</v>
      </c>
      <c r="D1039" s="8">
        <v>0.54166666666666663</v>
      </c>
      <c r="E1039" s="8">
        <v>0.83333333333333337</v>
      </c>
      <c r="L1039" t="s">
        <v>563</v>
      </c>
      <c r="M1039" t="s">
        <v>478</v>
      </c>
      <c r="N1039" t="str">
        <f>Tabela_tudo[[#This Row],[Médico]]&amp;" ("&amp;Tabela_tudo[[#This Row],[Obs]]&amp;")"</f>
        <v>JS ()</v>
      </c>
    </row>
    <row r="1040" spans="1:14" x14ac:dyDescent="0.3">
      <c r="A1040" s="1">
        <v>45184</v>
      </c>
      <c r="B1040" t="s">
        <v>32</v>
      </c>
      <c r="C1040" t="s">
        <v>460</v>
      </c>
      <c r="D1040" s="8">
        <v>0.54166666666666663</v>
      </c>
      <c r="E1040" s="8">
        <v>0.83333333333333337</v>
      </c>
      <c r="L1040" t="s">
        <v>563</v>
      </c>
      <c r="M1040" t="s">
        <v>478</v>
      </c>
      <c r="N1040" t="str">
        <f>Tabela_tudo[[#This Row],[Médico]]&amp;" ("&amp;Tabela_tudo[[#This Row],[Obs]]&amp;")"</f>
        <v>JS ()</v>
      </c>
    </row>
    <row r="1041" spans="1:14" x14ac:dyDescent="0.3">
      <c r="A1041" s="1">
        <v>45177</v>
      </c>
      <c r="B1041" t="s">
        <v>32</v>
      </c>
      <c r="C1041" t="s">
        <v>460</v>
      </c>
      <c r="D1041" s="8">
        <v>0.54166666666666663</v>
      </c>
      <c r="E1041" s="8">
        <v>0.83333333333333337</v>
      </c>
      <c r="L1041" t="s">
        <v>563</v>
      </c>
      <c r="M1041" t="s">
        <v>478</v>
      </c>
      <c r="N1041" t="str">
        <f>Tabela_tudo[[#This Row],[Médico]]&amp;" ("&amp;Tabela_tudo[[#This Row],[Obs]]&amp;")"</f>
        <v>JS ()</v>
      </c>
    </row>
    <row r="1042" spans="1:14" x14ac:dyDescent="0.3">
      <c r="A1042" s="1">
        <v>45114</v>
      </c>
      <c r="B1042" t="s">
        <v>32</v>
      </c>
      <c r="C1042" t="s">
        <v>460</v>
      </c>
      <c r="D1042" s="8">
        <v>0.54166666666666663</v>
      </c>
      <c r="E1042" s="8">
        <v>0.83333333333333337</v>
      </c>
      <c r="L1042" t="s">
        <v>563</v>
      </c>
      <c r="M1042" t="s">
        <v>478</v>
      </c>
      <c r="N1042" t="str">
        <f>Tabela_tudo[[#This Row],[Médico]]&amp;" ("&amp;Tabela_tudo[[#This Row],[Obs]]&amp;")"</f>
        <v>JS ()</v>
      </c>
    </row>
    <row r="1043" spans="1:14" x14ac:dyDescent="0.3">
      <c r="A1043" s="1">
        <v>45107</v>
      </c>
      <c r="B1043" t="s">
        <v>32</v>
      </c>
      <c r="C1043" t="s">
        <v>460</v>
      </c>
      <c r="D1043" s="8">
        <v>0.54166666666666663</v>
      </c>
      <c r="E1043" s="8">
        <v>0.83333333333333337</v>
      </c>
      <c r="L1043" t="s">
        <v>563</v>
      </c>
      <c r="M1043" t="s">
        <v>478</v>
      </c>
      <c r="N1043" t="str">
        <f>Tabela_tudo[[#This Row],[Médico]]&amp;" ("&amp;Tabela_tudo[[#This Row],[Obs]]&amp;")"</f>
        <v>JS ()</v>
      </c>
    </row>
    <row r="1044" spans="1:14" x14ac:dyDescent="0.3">
      <c r="A1044" s="1">
        <v>45100</v>
      </c>
      <c r="B1044" t="s">
        <v>32</v>
      </c>
      <c r="C1044" t="s">
        <v>460</v>
      </c>
      <c r="D1044" s="8">
        <v>0.54166666666666663</v>
      </c>
      <c r="E1044" s="8">
        <v>0.83333333333333337</v>
      </c>
      <c r="L1044" t="s">
        <v>563</v>
      </c>
      <c r="M1044" t="s">
        <v>478</v>
      </c>
      <c r="N1044" t="str">
        <f>Tabela_tudo[[#This Row],[Médico]]&amp;" ("&amp;Tabela_tudo[[#This Row],[Obs]]&amp;")"</f>
        <v>JS ()</v>
      </c>
    </row>
    <row r="1045" spans="1:14" x14ac:dyDescent="0.3">
      <c r="A1045" s="1">
        <v>45121</v>
      </c>
      <c r="B1045" t="s">
        <v>32</v>
      </c>
      <c r="C1045" t="s">
        <v>460</v>
      </c>
      <c r="D1045" s="8">
        <v>0.54166666666666663</v>
      </c>
      <c r="E1045" s="8">
        <v>0.83333333333333337</v>
      </c>
      <c r="L1045" t="s">
        <v>563</v>
      </c>
      <c r="M1045" t="s">
        <v>478</v>
      </c>
      <c r="N1045" t="str">
        <f>Tabela_tudo[[#This Row],[Médico]]&amp;" ("&amp;Tabela_tudo[[#This Row],[Obs]]&amp;")"</f>
        <v>JS ()</v>
      </c>
    </row>
    <row r="1046" spans="1:14" x14ac:dyDescent="0.3">
      <c r="A1046" s="1">
        <v>45142</v>
      </c>
      <c r="B1046" t="s">
        <v>32</v>
      </c>
      <c r="C1046" t="s">
        <v>460</v>
      </c>
      <c r="D1046" s="8">
        <v>0.54166666666666663</v>
      </c>
      <c r="E1046" s="8">
        <v>0.83333333333333337</v>
      </c>
      <c r="L1046" t="s">
        <v>563</v>
      </c>
      <c r="M1046" t="s">
        <v>478</v>
      </c>
      <c r="N1046" t="str">
        <f>Tabela_tudo[[#This Row],[Médico]]&amp;" ("&amp;Tabela_tudo[[#This Row],[Obs]]&amp;")"</f>
        <v>JS ()</v>
      </c>
    </row>
    <row r="1047" spans="1:14" x14ac:dyDescent="0.3">
      <c r="A1047" s="1">
        <v>45135</v>
      </c>
      <c r="B1047" t="s">
        <v>32</v>
      </c>
      <c r="C1047" t="s">
        <v>460</v>
      </c>
      <c r="D1047" s="8">
        <v>0.54166666666666663</v>
      </c>
      <c r="E1047" s="8">
        <v>0.83333333333333337</v>
      </c>
      <c r="L1047" t="s">
        <v>563</v>
      </c>
      <c r="M1047" t="s">
        <v>478</v>
      </c>
      <c r="N1047" t="str">
        <f>Tabela_tudo[[#This Row],[Médico]]&amp;" ("&amp;Tabela_tudo[[#This Row],[Obs]]&amp;")"</f>
        <v>JS ()</v>
      </c>
    </row>
    <row r="1048" spans="1:14" x14ac:dyDescent="0.3">
      <c r="A1048" s="1">
        <v>45128</v>
      </c>
      <c r="B1048" t="s">
        <v>32</v>
      </c>
      <c r="C1048" t="s">
        <v>460</v>
      </c>
      <c r="D1048" s="8">
        <v>0.54166666666666663</v>
      </c>
      <c r="E1048" s="8">
        <v>0.83333333333333337</v>
      </c>
      <c r="L1048" t="s">
        <v>563</v>
      </c>
      <c r="M1048" t="s">
        <v>478</v>
      </c>
      <c r="N1048" t="str">
        <f>Tabela_tudo[[#This Row],[Médico]]&amp;" ("&amp;Tabela_tudo[[#This Row],[Obs]]&amp;")"</f>
        <v>JS ()</v>
      </c>
    </row>
    <row r="1049" spans="1:14" x14ac:dyDescent="0.3">
      <c r="A1049" s="1">
        <v>45198</v>
      </c>
      <c r="B1049" t="s">
        <v>32</v>
      </c>
      <c r="C1049" t="s">
        <v>460</v>
      </c>
      <c r="D1049" s="8">
        <v>0.54166666666666663</v>
      </c>
      <c r="E1049" s="8">
        <v>0.83333333333333337</v>
      </c>
      <c r="L1049" t="s">
        <v>563</v>
      </c>
      <c r="M1049" t="s">
        <v>478</v>
      </c>
      <c r="N1049" t="str">
        <f>Tabela_tudo[[#This Row],[Médico]]&amp;" ("&amp;Tabela_tudo[[#This Row],[Obs]]&amp;")"</f>
        <v>JS ()</v>
      </c>
    </row>
    <row r="1050" spans="1:14" x14ac:dyDescent="0.3">
      <c r="A1050" s="1">
        <v>45268</v>
      </c>
      <c r="B1050" t="s">
        <v>32</v>
      </c>
      <c r="C1050" t="s">
        <v>460</v>
      </c>
      <c r="D1050" s="8">
        <v>0.54166666666666663</v>
      </c>
      <c r="E1050" s="8">
        <v>0.83333333333333337</v>
      </c>
      <c r="L1050" t="s">
        <v>563</v>
      </c>
      <c r="M1050" t="s">
        <v>478</v>
      </c>
      <c r="N1050" t="str">
        <f>Tabela_tudo[[#This Row],[Médico]]&amp;" ("&amp;Tabela_tudo[[#This Row],[Obs]]&amp;")"</f>
        <v>JS ()</v>
      </c>
    </row>
    <row r="1051" spans="1:14" x14ac:dyDescent="0.3">
      <c r="A1051" s="1">
        <v>45261</v>
      </c>
      <c r="B1051" t="s">
        <v>32</v>
      </c>
      <c r="C1051" t="s">
        <v>460</v>
      </c>
      <c r="D1051" s="8">
        <v>0.54166666666666663</v>
      </c>
      <c r="E1051" s="8">
        <v>0.83333333333333337</v>
      </c>
      <c r="L1051" t="s">
        <v>563</v>
      </c>
      <c r="M1051" t="s">
        <v>478</v>
      </c>
      <c r="N1051" t="str">
        <f>Tabela_tudo[[#This Row],[Médico]]&amp;" ("&amp;Tabela_tudo[[#This Row],[Obs]]&amp;")"</f>
        <v>JS ()</v>
      </c>
    </row>
    <row r="1052" spans="1:14" x14ac:dyDescent="0.3">
      <c r="A1052" s="1">
        <v>45254</v>
      </c>
      <c r="B1052" t="s">
        <v>32</v>
      </c>
      <c r="C1052" t="s">
        <v>460</v>
      </c>
      <c r="D1052" s="8">
        <v>0.54166666666666663</v>
      </c>
      <c r="E1052" s="8">
        <v>0.83333333333333337</v>
      </c>
      <c r="L1052" t="s">
        <v>563</v>
      </c>
      <c r="M1052" t="s">
        <v>478</v>
      </c>
      <c r="N1052" t="str">
        <f>Tabela_tudo[[#This Row],[Médico]]&amp;" ("&amp;Tabela_tudo[[#This Row],[Obs]]&amp;")"</f>
        <v>JS ()</v>
      </c>
    </row>
    <row r="1053" spans="1:14" x14ac:dyDescent="0.3">
      <c r="A1053" s="1">
        <v>45275</v>
      </c>
      <c r="B1053" t="s">
        <v>32</v>
      </c>
      <c r="C1053" t="s">
        <v>460</v>
      </c>
      <c r="D1053" s="8">
        <v>0.54166666666666663</v>
      </c>
      <c r="E1053" s="8">
        <v>0.83333333333333337</v>
      </c>
      <c r="L1053" t="s">
        <v>563</v>
      </c>
      <c r="M1053" t="s">
        <v>478</v>
      </c>
      <c r="N1053" t="str">
        <f>Tabela_tudo[[#This Row],[Médico]]&amp;" ("&amp;Tabela_tudo[[#This Row],[Obs]]&amp;")"</f>
        <v>JS ()</v>
      </c>
    </row>
    <row r="1054" spans="1:14" x14ac:dyDescent="0.3">
      <c r="A1054" s="1">
        <v>45296</v>
      </c>
      <c r="B1054" t="s">
        <v>32</v>
      </c>
      <c r="C1054" t="s">
        <v>460</v>
      </c>
      <c r="D1054" s="8">
        <v>0.54166666666666663</v>
      </c>
      <c r="E1054" s="8">
        <v>0.83333333333333337</v>
      </c>
      <c r="L1054" t="s">
        <v>563</v>
      </c>
      <c r="M1054" t="s">
        <v>478</v>
      </c>
      <c r="N1054" t="str">
        <f>Tabela_tudo[[#This Row],[Médico]]&amp;" ("&amp;Tabela_tudo[[#This Row],[Obs]]&amp;")"</f>
        <v>JS ()</v>
      </c>
    </row>
    <row r="1055" spans="1:14" x14ac:dyDescent="0.3">
      <c r="A1055" s="1">
        <v>45289</v>
      </c>
      <c r="B1055" t="s">
        <v>32</v>
      </c>
      <c r="C1055" t="s">
        <v>460</v>
      </c>
      <c r="D1055" s="8">
        <v>0.54166666666666663</v>
      </c>
      <c r="E1055" s="8">
        <v>0.83333333333333337</v>
      </c>
      <c r="L1055" t="s">
        <v>563</v>
      </c>
      <c r="M1055" t="s">
        <v>478</v>
      </c>
      <c r="N1055" t="str">
        <f>Tabela_tudo[[#This Row],[Médico]]&amp;" ("&amp;Tabela_tudo[[#This Row],[Obs]]&amp;")"</f>
        <v>JS ()</v>
      </c>
    </row>
    <row r="1056" spans="1:14" x14ac:dyDescent="0.3">
      <c r="A1056" s="1">
        <v>45282</v>
      </c>
      <c r="B1056" t="s">
        <v>32</v>
      </c>
      <c r="C1056" t="s">
        <v>460</v>
      </c>
      <c r="D1056" s="8">
        <v>0.54166666666666663</v>
      </c>
      <c r="E1056" s="8">
        <v>0.83333333333333337</v>
      </c>
      <c r="L1056" t="s">
        <v>563</v>
      </c>
      <c r="M1056" t="s">
        <v>478</v>
      </c>
      <c r="N1056" t="str">
        <f>Tabela_tudo[[#This Row],[Médico]]&amp;" ("&amp;Tabela_tudo[[#This Row],[Obs]]&amp;")"</f>
        <v>JS ()</v>
      </c>
    </row>
    <row r="1057" spans="1:14" x14ac:dyDescent="0.3">
      <c r="A1057" s="1">
        <v>45219</v>
      </c>
      <c r="B1057" t="s">
        <v>32</v>
      </c>
      <c r="C1057" t="s">
        <v>460</v>
      </c>
      <c r="D1057" s="8">
        <v>0.54166666666666663</v>
      </c>
      <c r="E1057" s="8">
        <v>0.83333333333333337</v>
      </c>
      <c r="L1057" t="s">
        <v>563</v>
      </c>
      <c r="M1057" t="s">
        <v>478</v>
      </c>
      <c r="N1057" t="str">
        <f>Tabela_tudo[[#This Row],[Médico]]&amp;" ("&amp;Tabela_tudo[[#This Row],[Obs]]&amp;")"</f>
        <v>JS ()</v>
      </c>
    </row>
    <row r="1058" spans="1:14" x14ac:dyDescent="0.3">
      <c r="A1058" s="1">
        <v>45212</v>
      </c>
      <c r="B1058" t="s">
        <v>32</v>
      </c>
      <c r="C1058" t="s">
        <v>460</v>
      </c>
      <c r="D1058" s="8">
        <v>0.54166666666666663</v>
      </c>
      <c r="E1058" s="8">
        <v>0.83333333333333337</v>
      </c>
      <c r="L1058" t="s">
        <v>563</v>
      </c>
      <c r="M1058" t="s">
        <v>478</v>
      </c>
      <c r="N1058" t="str">
        <f>Tabela_tudo[[#This Row],[Médico]]&amp;" ("&amp;Tabela_tudo[[#This Row],[Obs]]&amp;")"</f>
        <v>JS ()</v>
      </c>
    </row>
    <row r="1059" spans="1:14" x14ac:dyDescent="0.3">
      <c r="A1059" s="1">
        <v>45205</v>
      </c>
      <c r="B1059" t="s">
        <v>32</v>
      </c>
      <c r="C1059" t="s">
        <v>460</v>
      </c>
      <c r="D1059" s="8">
        <v>0.54166666666666663</v>
      </c>
      <c r="E1059" s="8">
        <v>0.83333333333333337</v>
      </c>
      <c r="L1059" t="s">
        <v>563</v>
      </c>
      <c r="M1059" t="s">
        <v>478</v>
      </c>
      <c r="N1059" t="str">
        <f>Tabela_tudo[[#This Row],[Médico]]&amp;" ("&amp;Tabela_tudo[[#This Row],[Obs]]&amp;")"</f>
        <v>JS ()</v>
      </c>
    </row>
    <row r="1060" spans="1:14" x14ac:dyDescent="0.3">
      <c r="A1060" s="1">
        <v>45226</v>
      </c>
      <c r="B1060" t="s">
        <v>32</v>
      </c>
      <c r="C1060" t="s">
        <v>460</v>
      </c>
      <c r="D1060" s="8">
        <v>0.54166666666666663</v>
      </c>
      <c r="E1060" s="8">
        <v>0.83333333333333337</v>
      </c>
      <c r="L1060" t="s">
        <v>563</v>
      </c>
      <c r="M1060" t="s">
        <v>478</v>
      </c>
      <c r="N1060" t="str">
        <f>Tabela_tudo[[#This Row],[Médico]]&amp;" ("&amp;Tabela_tudo[[#This Row],[Obs]]&amp;")"</f>
        <v>JS ()</v>
      </c>
    </row>
    <row r="1061" spans="1:14" x14ac:dyDescent="0.3">
      <c r="A1061" s="1">
        <v>45247</v>
      </c>
      <c r="B1061" t="s">
        <v>32</v>
      </c>
      <c r="C1061" t="s">
        <v>460</v>
      </c>
      <c r="D1061" s="8">
        <v>0.54166666666666663</v>
      </c>
      <c r="E1061" s="8">
        <v>0.83333333333333337</v>
      </c>
      <c r="L1061" t="s">
        <v>563</v>
      </c>
      <c r="M1061" t="s">
        <v>478</v>
      </c>
      <c r="N1061" t="str">
        <f>Tabela_tudo[[#This Row],[Médico]]&amp;" ("&amp;Tabela_tudo[[#This Row],[Obs]]&amp;")"</f>
        <v>JS ()</v>
      </c>
    </row>
    <row r="1062" spans="1:14" x14ac:dyDescent="0.3">
      <c r="A1062" s="1">
        <v>45240</v>
      </c>
      <c r="B1062" t="s">
        <v>32</v>
      </c>
      <c r="C1062" t="s">
        <v>460</v>
      </c>
      <c r="D1062" s="8">
        <v>0.54166666666666663</v>
      </c>
      <c r="E1062" s="8">
        <v>0.83333333333333337</v>
      </c>
      <c r="L1062" t="s">
        <v>563</v>
      </c>
      <c r="M1062" t="s">
        <v>478</v>
      </c>
      <c r="N1062" t="str">
        <f>Tabela_tudo[[#This Row],[Médico]]&amp;" ("&amp;Tabela_tudo[[#This Row],[Obs]]&amp;")"</f>
        <v>JS ()</v>
      </c>
    </row>
    <row r="1063" spans="1:14" x14ac:dyDescent="0.3">
      <c r="A1063" s="1">
        <v>45233</v>
      </c>
      <c r="B1063" t="s">
        <v>32</v>
      </c>
      <c r="C1063" t="s">
        <v>460</v>
      </c>
      <c r="D1063" s="8">
        <v>0.54166666666666663</v>
      </c>
      <c r="E1063" s="8">
        <v>0.83333333333333337</v>
      </c>
      <c r="L1063" t="s">
        <v>563</v>
      </c>
      <c r="M1063" t="s">
        <v>478</v>
      </c>
      <c r="N1063" t="str">
        <f>Tabela_tudo[[#This Row],[Médico]]&amp;" ("&amp;Tabela_tudo[[#This Row],[Obs]]&amp;")"</f>
        <v>JS ()</v>
      </c>
    </row>
    <row r="1064" spans="1:14" x14ac:dyDescent="0.3">
      <c r="A1064" s="1">
        <v>45093</v>
      </c>
      <c r="B1064" t="s">
        <v>32</v>
      </c>
      <c r="C1064" t="s">
        <v>460</v>
      </c>
      <c r="D1064" s="8">
        <v>0.54166666666666663</v>
      </c>
      <c r="E1064" s="8">
        <v>0.83333333333333337</v>
      </c>
      <c r="L1064" t="s">
        <v>563</v>
      </c>
      <c r="M1064" t="s">
        <v>478</v>
      </c>
      <c r="N1064" t="str">
        <f>Tabela_tudo[[#This Row],[Médico]]&amp;" ("&amp;Tabela_tudo[[#This Row],[Obs]]&amp;")"</f>
        <v>JS ()</v>
      </c>
    </row>
    <row r="1065" spans="1:14" x14ac:dyDescent="0.3">
      <c r="A1065" s="1">
        <v>44953</v>
      </c>
      <c r="B1065" t="s">
        <v>32</v>
      </c>
      <c r="C1065" t="s">
        <v>460</v>
      </c>
      <c r="D1065" s="8">
        <v>0.54166666666666663</v>
      </c>
      <c r="E1065" s="8">
        <v>0.83333333333333337</v>
      </c>
      <c r="L1065" t="s">
        <v>563</v>
      </c>
      <c r="M1065" t="s">
        <v>478</v>
      </c>
      <c r="N1065" t="str">
        <f>Tabela_tudo[[#This Row],[Médico]]&amp;" ("&amp;Tabela_tudo[[#This Row],[Obs]]&amp;")"</f>
        <v>JS ()</v>
      </c>
    </row>
    <row r="1066" spans="1:14" x14ac:dyDescent="0.3">
      <c r="A1066" s="1">
        <v>44946</v>
      </c>
      <c r="B1066" t="s">
        <v>32</v>
      </c>
      <c r="C1066" t="s">
        <v>460</v>
      </c>
      <c r="D1066" s="8">
        <v>0.54166666666666663</v>
      </c>
      <c r="E1066" s="8">
        <v>0.83333333333333337</v>
      </c>
      <c r="L1066" t="s">
        <v>563</v>
      </c>
      <c r="M1066" t="s">
        <v>478</v>
      </c>
      <c r="N1066" t="str">
        <f>Tabela_tudo[[#This Row],[Médico]]&amp;" ("&amp;Tabela_tudo[[#This Row],[Obs]]&amp;")"</f>
        <v>JS ()</v>
      </c>
    </row>
    <row r="1067" spans="1:14" x14ac:dyDescent="0.3">
      <c r="A1067" s="1">
        <v>44939</v>
      </c>
      <c r="B1067" t="s">
        <v>32</v>
      </c>
      <c r="C1067" t="s">
        <v>460</v>
      </c>
      <c r="D1067" s="8">
        <v>0.54166666666666663</v>
      </c>
      <c r="E1067" s="8">
        <v>0.83333333333333337</v>
      </c>
      <c r="L1067" t="s">
        <v>563</v>
      </c>
      <c r="M1067" t="s">
        <v>478</v>
      </c>
      <c r="N1067" t="str">
        <f>Tabela_tudo[[#This Row],[Médico]]&amp;" ("&amp;Tabela_tudo[[#This Row],[Obs]]&amp;")"</f>
        <v>JS ()</v>
      </c>
    </row>
    <row r="1068" spans="1:14" x14ac:dyDescent="0.3">
      <c r="A1068" s="1">
        <v>44960</v>
      </c>
      <c r="B1068" t="s">
        <v>32</v>
      </c>
      <c r="C1068" t="s">
        <v>460</v>
      </c>
      <c r="D1068" s="8">
        <v>0.54166666666666663</v>
      </c>
      <c r="E1068" s="8">
        <v>0.83333333333333337</v>
      </c>
      <c r="L1068" t="s">
        <v>563</v>
      </c>
      <c r="M1068" t="s">
        <v>478</v>
      </c>
      <c r="N1068" t="str">
        <f>Tabela_tudo[[#This Row],[Médico]]&amp;" ("&amp;Tabela_tudo[[#This Row],[Obs]]&amp;")"</f>
        <v>JS ()</v>
      </c>
    </row>
    <row r="1069" spans="1:14" x14ac:dyDescent="0.3">
      <c r="A1069" s="1">
        <v>44981</v>
      </c>
      <c r="B1069" t="s">
        <v>32</v>
      </c>
      <c r="C1069" t="s">
        <v>460</v>
      </c>
      <c r="D1069" s="8">
        <v>0.54166666666666663</v>
      </c>
      <c r="E1069" s="8">
        <v>0.83333333333333337</v>
      </c>
      <c r="L1069" t="s">
        <v>563</v>
      </c>
      <c r="M1069" t="s">
        <v>478</v>
      </c>
      <c r="N1069" t="str">
        <f>Tabela_tudo[[#This Row],[Médico]]&amp;" ("&amp;Tabela_tudo[[#This Row],[Obs]]&amp;")"</f>
        <v>JS ()</v>
      </c>
    </row>
    <row r="1070" spans="1:14" x14ac:dyDescent="0.3">
      <c r="A1070" s="1">
        <v>44974</v>
      </c>
      <c r="B1070" t="s">
        <v>32</v>
      </c>
      <c r="C1070" t="s">
        <v>460</v>
      </c>
      <c r="D1070" s="8">
        <v>0.54166666666666663</v>
      </c>
      <c r="E1070" s="8">
        <v>0.83333333333333337</v>
      </c>
      <c r="L1070" t="s">
        <v>563</v>
      </c>
      <c r="M1070" t="s">
        <v>478</v>
      </c>
      <c r="N1070" t="str">
        <f>Tabela_tudo[[#This Row],[Médico]]&amp;" ("&amp;Tabela_tudo[[#This Row],[Obs]]&amp;")"</f>
        <v>JS ()</v>
      </c>
    </row>
    <row r="1071" spans="1:14" x14ac:dyDescent="0.3">
      <c r="A1071" s="1">
        <v>44967</v>
      </c>
      <c r="B1071" t="s">
        <v>32</v>
      </c>
      <c r="C1071" t="s">
        <v>460</v>
      </c>
      <c r="D1071" s="8">
        <v>0.54166666666666663</v>
      </c>
      <c r="E1071" s="8">
        <v>0.83333333333333337</v>
      </c>
      <c r="L1071" t="s">
        <v>563</v>
      </c>
      <c r="M1071" t="s">
        <v>478</v>
      </c>
      <c r="N1071" t="str">
        <f>Tabela_tudo[[#This Row],[Médico]]&amp;" ("&amp;Tabela_tudo[[#This Row],[Obs]]&amp;")"</f>
        <v>JS ()</v>
      </c>
    </row>
    <row r="1072" spans="1:14" x14ac:dyDescent="0.3">
      <c r="A1072" s="1">
        <v>45632</v>
      </c>
      <c r="B1072" t="s">
        <v>64</v>
      </c>
      <c r="C1072" t="s">
        <v>460</v>
      </c>
      <c r="D1072" s="8">
        <v>0.29166666666666669</v>
      </c>
      <c r="E1072" s="8">
        <v>0.54166666666666663</v>
      </c>
      <c r="L1072" t="s">
        <v>563</v>
      </c>
      <c r="M1072" t="s">
        <v>478</v>
      </c>
      <c r="N1072" t="str">
        <f>Tabela_tudo[[#This Row],[Médico]]&amp;" ("&amp;Tabela_tudo[[#This Row],[Obs]]&amp;")"</f>
        <v>SAR ()</v>
      </c>
    </row>
    <row r="1073" spans="1:14" x14ac:dyDescent="0.3">
      <c r="A1073" s="1">
        <v>45625</v>
      </c>
      <c r="B1073" t="s">
        <v>64</v>
      </c>
      <c r="C1073" t="s">
        <v>460</v>
      </c>
      <c r="D1073" s="8">
        <v>0.29166666666666669</v>
      </c>
      <c r="E1073" s="8">
        <v>0.54166666666666663</v>
      </c>
      <c r="L1073" t="s">
        <v>563</v>
      </c>
      <c r="M1073" t="s">
        <v>478</v>
      </c>
      <c r="N1073" t="str">
        <f>Tabela_tudo[[#This Row],[Médico]]&amp;" ("&amp;Tabela_tudo[[#This Row],[Obs]]&amp;")"</f>
        <v>SAR ()</v>
      </c>
    </row>
    <row r="1074" spans="1:14" x14ac:dyDescent="0.3">
      <c r="A1074" s="1">
        <v>45618</v>
      </c>
      <c r="B1074" t="s">
        <v>64</v>
      </c>
      <c r="C1074" t="s">
        <v>460</v>
      </c>
      <c r="D1074" s="8">
        <v>0.29166666666666669</v>
      </c>
      <c r="E1074" s="8">
        <v>0.54166666666666663</v>
      </c>
      <c r="L1074" t="s">
        <v>563</v>
      </c>
      <c r="M1074" t="s">
        <v>478</v>
      </c>
      <c r="N1074" t="str">
        <f>Tabela_tudo[[#This Row],[Médico]]&amp;" ("&amp;Tabela_tudo[[#This Row],[Obs]]&amp;")"</f>
        <v>SAR ()</v>
      </c>
    </row>
    <row r="1075" spans="1:14" x14ac:dyDescent="0.3">
      <c r="A1075" s="1">
        <v>45639</v>
      </c>
      <c r="B1075" t="s">
        <v>64</v>
      </c>
      <c r="C1075" t="s">
        <v>460</v>
      </c>
      <c r="D1075" s="8">
        <v>0.29166666666666669</v>
      </c>
      <c r="E1075" s="8">
        <v>0.54166666666666663</v>
      </c>
      <c r="L1075" t="s">
        <v>563</v>
      </c>
      <c r="M1075" t="s">
        <v>478</v>
      </c>
      <c r="N1075" t="str">
        <f>Tabela_tudo[[#This Row],[Médico]]&amp;" ("&amp;Tabela_tudo[[#This Row],[Obs]]&amp;")"</f>
        <v>SAR ()</v>
      </c>
    </row>
    <row r="1076" spans="1:14" x14ac:dyDescent="0.3">
      <c r="A1076" s="1">
        <v>44932</v>
      </c>
      <c r="B1076" t="s">
        <v>32</v>
      </c>
      <c r="C1076" t="s">
        <v>460</v>
      </c>
      <c r="D1076" s="8">
        <v>0.54166666666666663</v>
      </c>
      <c r="E1076" s="8">
        <v>0.83333333333333337</v>
      </c>
      <c r="L1076" t="s">
        <v>563</v>
      </c>
      <c r="M1076" t="s">
        <v>478</v>
      </c>
      <c r="N1076" t="str">
        <f>Tabela_tudo[[#This Row],[Médico]]&amp;" ("&amp;Tabela_tudo[[#This Row],[Obs]]&amp;")"</f>
        <v>JS ()</v>
      </c>
    </row>
    <row r="1077" spans="1:14" x14ac:dyDescent="0.3">
      <c r="A1077" s="1">
        <v>45653</v>
      </c>
      <c r="B1077" t="s">
        <v>64</v>
      </c>
      <c r="C1077" t="s">
        <v>460</v>
      </c>
      <c r="D1077" s="8">
        <v>0.29166666666666669</v>
      </c>
      <c r="E1077" s="8">
        <v>0.54166666666666663</v>
      </c>
      <c r="L1077" t="s">
        <v>563</v>
      </c>
      <c r="M1077" t="s">
        <v>478</v>
      </c>
      <c r="N1077" t="str">
        <f>Tabela_tudo[[#This Row],[Médico]]&amp;" ("&amp;Tabela_tudo[[#This Row],[Obs]]&amp;")"</f>
        <v>SAR ()</v>
      </c>
    </row>
    <row r="1078" spans="1:14" x14ac:dyDescent="0.3">
      <c r="A1078" s="1">
        <v>45646</v>
      </c>
      <c r="B1078" t="s">
        <v>64</v>
      </c>
      <c r="C1078" t="s">
        <v>460</v>
      </c>
      <c r="D1078" s="8">
        <v>0.29166666666666669</v>
      </c>
      <c r="E1078" s="8">
        <v>0.54166666666666663</v>
      </c>
      <c r="L1078" t="s">
        <v>563</v>
      </c>
      <c r="M1078" t="s">
        <v>478</v>
      </c>
      <c r="N1078" t="str">
        <f>Tabela_tudo[[#This Row],[Médico]]&amp;" ("&amp;Tabela_tudo[[#This Row],[Obs]]&amp;")"</f>
        <v>SAR ()</v>
      </c>
    </row>
    <row r="1079" spans="1:14" x14ac:dyDescent="0.3">
      <c r="A1079" s="1">
        <v>44988</v>
      </c>
      <c r="B1079" t="s">
        <v>32</v>
      </c>
      <c r="C1079" t="s">
        <v>460</v>
      </c>
      <c r="D1079" s="8">
        <v>0.54166666666666663</v>
      </c>
      <c r="E1079" s="8">
        <v>0.83333333333333337</v>
      </c>
      <c r="L1079" t="s">
        <v>563</v>
      </c>
      <c r="M1079" t="s">
        <v>478</v>
      </c>
      <c r="N1079" t="str">
        <f>Tabela_tudo[[#This Row],[Médico]]&amp;" ("&amp;Tabela_tudo[[#This Row],[Obs]]&amp;")"</f>
        <v>JS ()</v>
      </c>
    </row>
    <row r="1080" spans="1:14" x14ac:dyDescent="0.3">
      <c r="A1080" s="1">
        <v>45058</v>
      </c>
      <c r="B1080" t="s">
        <v>32</v>
      </c>
      <c r="C1080" t="s">
        <v>460</v>
      </c>
      <c r="D1080" s="8">
        <v>0.54166666666666663</v>
      </c>
      <c r="E1080" s="8">
        <v>0.83333333333333337</v>
      </c>
      <c r="L1080" t="s">
        <v>563</v>
      </c>
      <c r="M1080" t="s">
        <v>478</v>
      </c>
      <c r="N1080" t="str">
        <f>Tabela_tudo[[#This Row],[Médico]]&amp;" ("&amp;Tabela_tudo[[#This Row],[Obs]]&amp;")"</f>
        <v>JS ()</v>
      </c>
    </row>
    <row r="1081" spans="1:14" x14ac:dyDescent="0.3">
      <c r="A1081" s="1">
        <v>45051</v>
      </c>
      <c r="B1081" t="s">
        <v>32</v>
      </c>
      <c r="C1081" t="s">
        <v>460</v>
      </c>
      <c r="D1081" s="8">
        <v>0.54166666666666663</v>
      </c>
      <c r="E1081" s="8">
        <v>0.83333333333333337</v>
      </c>
      <c r="L1081" t="s">
        <v>563</v>
      </c>
      <c r="M1081" t="s">
        <v>478</v>
      </c>
      <c r="N1081" t="str">
        <f>Tabela_tudo[[#This Row],[Médico]]&amp;" ("&amp;Tabela_tudo[[#This Row],[Obs]]&amp;")"</f>
        <v>JS ()</v>
      </c>
    </row>
    <row r="1082" spans="1:14" x14ac:dyDescent="0.3">
      <c r="A1082" s="1">
        <v>45044</v>
      </c>
      <c r="B1082" t="s">
        <v>32</v>
      </c>
      <c r="C1082" t="s">
        <v>460</v>
      </c>
      <c r="D1082" s="8">
        <v>0.54166666666666663</v>
      </c>
      <c r="E1082" s="8">
        <v>0.83333333333333337</v>
      </c>
      <c r="L1082" t="s">
        <v>563</v>
      </c>
      <c r="M1082" t="s">
        <v>478</v>
      </c>
      <c r="N1082" t="str">
        <f>Tabela_tudo[[#This Row],[Médico]]&amp;" ("&amp;Tabela_tudo[[#This Row],[Obs]]&amp;")"</f>
        <v>JS ()</v>
      </c>
    </row>
    <row r="1083" spans="1:14" x14ac:dyDescent="0.3">
      <c r="A1083" s="1">
        <v>45065</v>
      </c>
      <c r="B1083" t="s">
        <v>32</v>
      </c>
      <c r="C1083" t="s">
        <v>460</v>
      </c>
      <c r="D1083" s="8">
        <v>0.54166666666666663</v>
      </c>
      <c r="E1083" s="8">
        <v>0.83333333333333337</v>
      </c>
      <c r="L1083" t="s">
        <v>563</v>
      </c>
      <c r="M1083" t="s">
        <v>478</v>
      </c>
      <c r="N1083" t="str">
        <f>Tabela_tudo[[#This Row],[Médico]]&amp;" ("&amp;Tabela_tudo[[#This Row],[Obs]]&amp;")"</f>
        <v>JS ()</v>
      </c>
    </row>
    <row r="1084" spans="1:14" x14ac:dyDescent="0.3">
      <c r="A1084" s="1">
        <v>45086</v>
      </c>
      <c r="B1084" t="s">
        <v>32</v>
      </c>
      <c r="C1084" t="s">
        <v>460</v>
      </c>
      <c r="D1084" s="8">
        <v>0.54166666666666663</v>
      </c>
      <c r="E1084" s="8">
        <v>0.83333333333333337</v>
      </c>
      <c r="L1084" t="s">
        <v>563</v>
      </c>
      <c r="M1084" t="s">
        <v>478</v>
      </c>
      <c r="N1084" t="str">
        <f>Tabela_tudo[[#This Row],[Médico]]&amp;" ("&amp;Tabela_tudo[[#This Row],[Obs]]&amp;")"</f>
        <v>JS ()</v>
      </c>
    </row>
    <row r="1085" spans="1:14" x14ac:dyDescent="0.3">
      <c r="A1085" s="1">
        <v>45079</v>
      </c>
      <c r="B1085" t="s">
        <v>32</v>
      </c>
      <c r="C1085" t="s">
        <v>460</v>
      </c>
      <c r="D1085" s="8">
        <v>0.54166666666666663</v>
      </c>
      <c r="E1085" s="8">
        <v>0.83333333333333337</v>
      </c>
      <c r="L1085" t="s">
        <v>563</v>
      </c>
      <c r="M1085" t="s">
        <v>478</v>
      </c>
      <c r="N1085" t="str">
        <f>Tabela_tudo[[#This Row],[Médico]]&amp;" ("&amp;Tabela_tudo[[#This Row],[Obs]]&amp;")"</f>
        <v>JS ()</v>
      </c>
    </row>
    <row r="1086" spans="1:14" x14ac:dyDescent="0.3">
      <c r="A1086" s="1">
        <v>45072</v>
      </c>
      <c r="B1086" t="s">
        <v>32</v>
      </c>
      <c r="C1086" t="s">
        <v>460</v>
      </c>
      <c r="D1086" s="8">
        <v>0.54166666666666663</v>
      </c>
      <c r="E1086" s="8">
        <v>0.83333333333333337</v>
      </c>
      <c r="L1086" t="s">
        <v>563</v>
      </c>
      <c r="M1086" t="s">
        <v>478</v>
      </c>
      <c r="N1086" t="str">
        <f>Tabela_tudo[[#This Row],[Médico]]&amp;" ("&amp;Tabela_tudo[[#This Row],[Obs]]&amp;")"</f>
        <v>JS ()</v>
      </c>
    </row>
    <row r="1087" spans="1:14" x14ac:dyDescent="0.3">
      <c r="A1087" s="1">
        <v>45009</v>
      </c>
      <c r="B1087" t="s">
        <v>32</v>
      </c>
      <c r="C1087" t="s">
        <v>460</v>
      </c>
      <c r="D1087" s="8">
        <v>0.54166666666666663</v>
      </c>
      <c r="E1087" s="8">
        <v>0.83333333333333337</v>
      </c>
      <c r="L1087" t="s">
        <v>563</v>
      </c>
      <c r="M1087" t="s">
        <v>478</v>
      </c>
      <c r="N1087" t="str">
        <f>Tabela_tudo[[#This Row],[Médico]]&amp;" ("&amp;Tabela_tudo[[#This Row],[Obs]]&amp;")"</f>
        <v>JS ()</v>
      </c>
    </row>
    <row r="1088" spans="1:14" x14ac:dyDescent="0.3">
      <c r="A1088" s="1">
        <v>45002</v>
      </c>
      <c r="B1088" t="s">
        <v>32</v>
      </c>
      <c r="C1088" t="s">
        <v>460</v>
      </c>
      <c r="D1088" s="8">
        <v>0.54166666666666663</v>
      </c>
      <c r="E1088" s="8">
        <v>0.83333333333333337</v>
      </c>
      <c r="L1088" t="s">
        <v>563</v>
      </c>
      <c r="M1088" t="s">
        <v>478</v>
      </c>
      <c r="N1088" t="str">
        <f>Tabela_tudo[[#This Row],[Médico]]&amp;" ("&amp;Tabela_tudo[[#This Row],[Obs]]&amp;")"</f>
        <v>JS ()</v>
      </c>
    </row>
    <row r="1089" spans="1:14" x14ac:dyDescent="0.3">
      <c r="A1089" s="1">
        <v>44995</v>
      </c>
      <c r="B1089" t="s">
        <v>32</v>
      </c>
      <c r="C1089" t="s">
        <v>460</v>
      </c>
      <c r="D1089" s="8">
        <v>0.54166666666666663</v>
      </c>
      <c r="E1089" s="8">
        <v>0.83333333333333337</v>
      </c>
      <c r="L1089" t="s">
        <v>563</v>
      </c>
      <c r="M1089" t="s">
        <v>478</v>
      </c>
      <c r="N1089" t="str">
        <f>Tabela_tudo[[#This Row],[Médico]]&amp;" ("&amp;Tabela_tudo[[#This Row],[Obs]]&amp;")"</f>
        <v>JS ()</v>
      </c>
    </row>
    <row r="1090" spans="1:14" x14ac:dyDescent="0.3">
      <c r="A1090" s="1">
        <v>45016</v>
      </c>
      <c r="B1090" t="s">
        <v>32</v>
      </c>
      <c r="C1090" t="s">
        <v>460</v>
      </c>
      <c r="D1090" s="8">
        <v>0.54166666666666663</v>
      </c>
      <c r="E1090" s="8">
        <v>0.83333333333333337</v>
      </c>
      <c r="L1090" t="s">
        <v>563</v>
      </c>
      <c r="M1090" t="s">
        <v>478</v>
      </c>
      <c r="N1090" t="str">
        <f>Tabela_tudo[[#This Row],[Médico]]&amp;" ("&amp;Tabela_tudo[[#This Row],[Obs]]&amp;")"</f>
        <v>JS ()</v>
      </c>
    </row>
    <row r="1091" spans="1:14" x14ac:dyDescent="0.3">
      <c r="A1091" s="1">
        <v>45037</v>
      </c>
      <c r="B1091" t="s">
        <v>32</v>
      </c>
      <c r="C1091" t="s">
        <v>460</v>
      </c>
      <c r="D1091" s="8">
        <v>0.54166666666666663</v>
      </c>
      <c r="E1091" s="8">
        <v>0.83333333333333337</v>
      </c>
      <c r="L1091" t="s">
        <v>563</v>
      </c>
      <c r="M1091" t="s">
        <v>478</v>
      </c>
      <c r="N1091" t="str">
        <f>Tabela_tudo[[#This Row],[Médico]]&amp;" ("&amp;Tabela_tudo[[#This Row],[Obs]]&amp;")"</f>
        <v>JS ()</v>
      </c>
    </row>
    <row r="1092" spans="1:14" x14ac:dyDescent="0.3">
      <c r="A1092" s="1">
        <v>45030</v>
      </c>
      <c r="B1092" t="s">
        <v>32</v>
      </c>
      <c r="C1092" t="s">
        <v>460</v>
      </c>
      <c r="D1092" s="8">
        <v>0.54166666666666663</v>
      </c>
      <c r="E1092" s="8">
        <v>0.83333333333333337</v>
      </c>
      <c r="L1092" t="s">
        <v>563</v>
      </c>
      <c r="M1092" t="s">
        <v>478</v>
      </c>
      <c r="N1092" t="str">
        <f>Tabela_tudo[[#This Row],[Médico]]&amp;" ("&amp;Tabela_tudo[[#This Row],[Obs]]&amp;")"</f>
        <v>JS ()</v>
      </c>
    </row>
    <row r="1093" spans="1:14" x14ac:dyDescent="0.3">
      <c r="A1093" s="1">
        <v>45023</v>
      </c>
      <c r="B1093" t="s">
        <v>32</v>
      </c>
      <c r="C1093" t="s">
        <v>460</v>
      </c>
      <c r="D1093" s="8">
        <v>0.54166666666666663</v>
      </c>
      <c r="E1093" s="8">
        <v>0.83333333333333337</v>
      </c>
      <c r="L1093" t="s">
        <v>563</v>
      </c>
      <c r="M1093" t="s">
        <v>478</v>
      </c>
      <c r="N1093" t="str">
        <f>Tabela_tudo[[#This Row],[Médico]]&amp;" ("&amp;Tabela_tudo[[#This Row],[Obs]]&amp;")"</f>
        <v>JS ()</v>
      </c>
    </row>
    <row r="1094" spans="1:14" x14ac:dyDescent="0.3">
      <c r="A1094" s="1">
        <v>45303</v>
      </c>
      <c r="B1094" t="s">
        <v>32</v>
      </c>
      <c r="C1094" t="s">
        <v>460</v>
      </c>
      <c r="D1094" s="8">
        <v>0.54166666666666663</v>
      </c>
      <c r="E1094" s="8">
        <v>0.83333333333333337</v>
      </c>
      <c r="L1094" t="s">
        <v>563</v>
      </c>
      <c r="M1094" t="s">
        <v>478</v>
      </c>
      <c r="N1094" t="str">
        <f>Tabela_tudo[[#This Row],[Médico]]&amp;" ("&amp;Tabela_tudo[[#This Row],[Obs]]&amp;")"</f>
        <v>JS ()</v>
      </c>
    </row>
    <row r="1095" spans="1:14" x14ac:dyDescent="0.3">
      <c r="A1095" s="1">
        <v>45583</v>
      </c>
      <c r="B1095" t="s">
        <v>32</v>
      </c>
      <c r="C1095" t="s">
        <v>460</v>
      </c>
      <c r="D1095" s="8">
        <v>0.54166666666666663</v>
      </c>
      <c r="E1095" s="8">
        <v>0.83333333333333337</v>
      </c>
      <c r="L1095" t="s">
        <v>563</v>
      </c>
      <c r="M1095" t="s">
        <v>478</v>
      </c>
      <c r="N1095" t="str">
        <f>Tabela_tudo[[#This Row],[Médico]]&amp;" ("&amp;Tabela_tudo[[#This Row],[Obs]]&amp;")"</f>
        <v>JS ()</v>
      </c>
    </row>
    <row r="1096" spans="1:14" x14ac:dyDescent="0.3">
      <c r="A1096" s="1">
        <v>45576</v>
      </c>
      <c r="B1096" t="s">
        <v>32</v>
      </c>
      <c r="C1096" t="s">
        <v>460</v>
      </c>
      <c r="D1096" s="8">
        <v>0.54166666666666663</v>
      </c>
      <c r="E1096" s="8">
        <v>0.83333333333333337</v>
      </c>
      <c r="L1096" t="s">
        <v>563</v>
      </c>
      <c r="M1096" t="s">
        <v>478</v>
      </c>
      <c r="N1096" t="str">
        <f>Tabela_tudo[[#This Row],[Médico]]&amp;" ("&amp;Tabela_tudo[[#This Row],[Obs]]&amp;")"</f>
        <v>JS ()</v>
      </c>
    </row>
    <row r="1097" spans="1:14" x14ac:dyDescent="0.3">
      <c r="A1097" s="1">
        <v>45569</v>
      </c>
      <c r="B1097" t="s">
        <v>32</v>
      </c>
      <c r="C1097" t="s">
        <v>460</v>
      </c>
      <c r="D1097" s="8">
        <v>0.54166666666666663</v>
      </c>
      <c r="E1097" s="8">
        <v>0.83333333333333337</v>
      </c>
      <c r="L1097" t="s">
        <v>563</v>
      </c>
      <c r="M1097" t="s">
        <v>478</v>
      </c>
      <c r="N1097" t="str">
        <f>Tabela_tudo[[#This Row],[Médico]]&amp;" ("&amp;Tabela_tudo[[#This Row],[Obs]]&amp;")"</f>
        <v>JS ()</v>
      </c>
    </row>
    <row r="1098" spans="1:14" x14ac:dyDescent="0.3">
      <c r="A1098" s="1">
        <v>45590</v>
      </c>
      <c r="B1098" t="s">
        <v>32</v>
      </c>
      <c r="C1098" t="s">
        <v>460</v>
      </c>
      <c r="D1098" s="8">
        <v>0.54166666666666663</v>
      </c>
      <c r="E1098" s="8">
        <v>0.83333333333333337</v>
      </c>
      <c r="L1098" t="s">
        <v>563</v>
      </c>
      <c r="M1098" t="s">
        <v>478</v>
      </c>
      <c r="N1098" t="str">
        <f>Tabela_tudo[[#This Row],[Médico]]&amp;" ("&amp;Tabela_tudo[[#This Row],[Obs]]&amp;")"</f>
        <v>JS ()</v>
      </c>
    </row>
    <row r="1099" spans="1:14" x14ac:dyDescent="0.3">
      <c r="A1099" s="1">
        <v>45611</v>
      </c>
      <c r="B1099" t="s">
        <v>32</v>
      </c>
      <c r="C1099" t="s">
        <v>460</v>
      </c>
      <c r="D1099" s="8">
        <v>0.54166666666666663</v>
      </c>
      <c r="E1099" s="8">
        <v>0.83333333333333337</v>
      </c>
      <c r="L1099" t="s">
        <v>563</v>
      </c>
      <c r="M1099" t="s">
        <v>478</v>
      </c>
      <c r="N1099" t="str">
        <f>Tabela_tudo[[#This Row],[Médico]]&amp;" ("&amp;Tabela_tudo[[#This Row],[Obs]]&amp;")"</f>
        <v>JS ()</v>
      </c>
    </row>
    <row r="1100" spans="1:14" x14ac:dyDescent="0.3">
      <c r="A1100" s="1">
        <v>45604</v>
      </c>
      <c r="B1100" t="s">
        <v>32</v>
      </c>
      <c r="C1100" t="s">
        <v>460</v>
      </c>
      <c r="D1100" s="8">
        <v>0.54166666666666663</v>
      </c>
      <c r="E1100" s="8">
        <v>0.83333333333333337</v>
      </c>
      <c r="L1100" t="s">
        <v>563</v>
      </c>
      <c r="M1100" t="s">
        <v>478</v>
      </c>
      <c r="N1100" t="str">
        <f>Tabela_tudo[[#This Row],[Médico]]&amp;" ("&amp;Tabela_tudo[[#This Row],[Obs]]&amp;")"</f>
        <v>JS ()</v>
      </c>
    </row>
    <row r="1101" spans="1:14" x14ac:dyDescent="0.3">
      <c r="A1101" s="1">
        <v>45597</v>
      </c>
      <c r="B1101" t="s">
        <v>32</v>
      </c>
      <c r="C1101" t="s">
        <v>460</v>
      </c>
      <c r="D1101" s="8">
        <v>0.54166666666666663</v>
      </c>
      <c r="E1101" s="8">
        <v>0.83333333333333337</v>
      </c>
      <c r="L1101" t="s">
        <v>563</v>
      </c>
      <c r="M1101" t="s">
        <v>478</v>
      </c>
      <c r="N1101" t="str">
        <f>Tabela_tudo[[#This Row],[Médico]]&amp;" ("&amp;Tabela_tudo[[#This Row],[Obs]]&amp;")"</f>
        <v>JS ()</v>
      </c>
    </row>
    <row r="1102" spans="1:14" x14ac:dyDescent="0.3">
      <c r="A1102" s="1">
        <v>45534</v>
      </c>
      <c r="B1102" t="s">
        <v>32</v>
      </c>
      <c r="C1102" t="s">
        <v>460</v>
      </c>
      <c r="D1102" s="8">
        <v>0.54166666666666663</v>
      </c>
      <c r="E1102" s="8">
        <v>0.83333333333333337</v>
      </c>
      <c r="L1102" t="s">
        <v>563</v>
      </c>
      <c r="M1102" t="s">
        <v>478</v>
      </c>
      <c r="N1102" t="str">
        <f>Tabela_tudo[[#This Row],[Médico]]&amp;" ("&amp;Tabela_tudo[[#This Row],[Obs]]&amp;")"</f>
        <v>JS ()</v>
      </c>
    </row>
    <row r="1103" spans="1:14" x14ac:dyDescent="0.3">
      <c r="A1103" s="1">
        <v>45527</v>
      </c>
      <c r="B1103" t="s">
        <v>32</v>
      </c>
      <c r="C1103" t="s">
        <v>460</v>
      </c>
      <c r="D1103" s="8">
        <v>0.54166666666666663</v>
      </c>
      <c r="E1103" s="8">
        <v>0.83333333333333337</v>
      </c>
      <c r="L1103" t="s">
        <v>563</v>
      </c>
      <c r="M1103" t="s">
        <v>478</v>
      </c>
      <c r="N1103" t="str">
        <f>Tabela_tudo[[#This Row],[Médico]]&amp;" ("&amp;Tabela_tudo[[#This Row],[Obs]]&amp;")"</f>
        <v>JS ()</v>
      </c>
    </row>
    <row r="1104" spans="1:14" x14ac:dyDescent="0.3">
      <c r="A1104" s="1">
        <v>45520</v>
      </c>
      <c r="B1104" t="s">
        <v>32</v>
      </c>
      <c r="C1104" t="s">
        <v>460</v>
      </c>
      <c r="D1104" s="8">
        <v>0.54166666666666663</v>
      </c>
      <c r="E1104" s="8">
        <v>0.83333333333333337</v>
      </c>
      <c r="L1104" t="s">
        <v>563</v>
      </c>
      <c r="M1104" t="s">
        <v>478</v>
      </c>
      <c r="N1104" t="str">
        <f>Tabela_tudo[[#This Row],[Médico]]&amp;" ("&amp;Tabela_tudo[[#This Row],[Obs]]&amp;")"</f>
        <v>JS ()</v>
      </c>
    </row>
    <row r="1105" spans="1:14" x14ac:dyDescent="0.3">
      <c r="A1105" s="1">
        <v>45541</v>
      </c>
      <c r="B1105" t="s">
        <v>32</v>
      </c>
      <c r="C1105" t="s">
        <v>460</v>
      </c>
      <c r="D1105" s="8">
        <v>0.54166666666666663</v>
      </c>
      <c r="E1105" s="8">
        <v>0.83333333333333337</v>
      </c>
      <c r="L1105" t="s">
        <v>563</v>
      </c>
      <c r="M1105" t="s">
        <v>478</v>
      </c>
      <c r="N1105" t="str">
        <f>Tabela_tudo[[#This Row],[Médico]]&amp;" ("&amp;Tabela_tudo[[#This Row],[Obs]]&amp;")"</f>
        <v>JS ()</v>
      </c>
    </row>
    <row r="1106" spans="1:14" x14ac:dyDescent="0.3">
      <c r="A1106" s="1">
        <v>45562</v>
      </c>
      <c r="B1106" t="s">
        <v>32</v>
      </c>
      <c r="C1106" t="s">
        <v>460</v>
      </c>
      <c r="D1106" s="8">
        <v>0.54166666666666663</v>
      </c>
      <c r="E1106" s="8">
        <v>0.83333333333333337</v>
      </c>
      <c r="L1106" t="s">
        <v>563</v>
      </c>
      <c r="M1106" t="s">
        <v>478</v>
      </c>
      <c r="N1106" t="str">
        <f>Tabela_tudo[[#This Row],[Médico]]&amp;" ("&amp;Tabela_tudo[[#This Row],[Obs]]&amp;")"</f>
        <v>JS ()</v>
      </c>
    </row>
    <row r="1107" spans="1:14" x14ac:dyDescent="0.3">
      <c r="A1107" s="1">
        <v>45555</v>
      </c>
      <c r="B1107" t="s">
        <v>32</v>
      </c>
      <c r="C1107" t="s">
        <v>460</v>
      </c>
      <c r="D1107" s="8">
        <v>0.54166666666666663</v>
      </c>
      <c r="E1107" s="8">
        <v>0.83333333333333337</v>
      </c>
      <c r="L1107" t="s">
        <v>563</v>
      </c>
      <c r="M1107" t="s">
        <v>478</v>
      </c>
      <c r="N1107" t="str">
        <f>Tabela_tudo[[#This Row],[Médico]]&amp;" ("&amp;Tabela_tudo[[#This Row],[Obs]]&amp;")"</f>
        <v>JS ()</v>
      </c>
    </row>
    <row r="1108" spans="1:14" x14ac:dyDescent="0.3">
      <c r="A1108" s="1">
        <v>45548</v>
      </c>
      <c r="B1108" t="s">
        <v>32</v>
      </c>
      <c r="C1108" t="s">
        <v>460</v>
      </c>
      <c r="D1108" s="8">
        <v>0.54166666666666663</v>
      </c>
      <c r="E1108" s="8">
        <v>0.83333333333333337</v>
      </c>
      <c r="L1108" t="s">
        <v>563</v>
      </c>
      <c r="M1108" t="s">
        <v>478</v>
      </c>
      <c r="N1108" t="str">
        <f>Tabela_tudo[[#This Row],[Médico]]&amp;" ("&amp;Tabela_tudo[[#This Row],[Obs]]&amp;")"</f>
        <v>JS ()</v>
      </c>
    </row>
    <row r="1109" spans="1:14" x14ac:dyDescent="0.3">
      <c r="A1109" s="1">
        <v>45618</v>
      </c>
      <c r="B1109" t="s">
        <v>32</v>
      </c>
      <c r="C1109" t="s">
        <v>460</v>
      </c>
      <c r="D1109" s="8">
        <v>0.54166666666666663</v>
      </c>
      <c r="E1109" s="8">
        <v>0.83333333333333337</v>
      </c>
      <c r="L1109" t="s">
        <v>563</v>
      </c>
      <c r="M1109" t="s">
        <v>478</v>
      </c>
      <c r="N1109" t="str">
        <f>Tabela_tudo[[#This Row],[Médico]]&amp;" ("&amp;Tabela_tudo[[#This Row],[Obs]]&amp;")"</f>
        <v>JS ()</v>
      </c>
    </row>
    <row r="1110" spans="1:14" x14ac:dyDescent="0.3">
      <c r="A1110" s="1">
        <v>44960</v>
      </c>
      <c r="B1110" t="s">
        <v>44</v>
      </c>
      <c r="C1110" t="s">
        <v>460</v>
      </c>
      <c r="D1110" s="8">
        <v>0.54166666666666663</v>
      </c>
      <c r="E1110" s="8">
        <v>0.83333333333333337</v>
      </c>
      <c r="L1110" t="s">
        <v>563</v>
      </c>
      <c r="M1110" t="s">
        <v>478</v>
      </c>
      <c r="N1110" t="str">
        <f>Tabela_tudo[[#This Row],[Médico]]&amp;" ("&amp;Tabela_tudo[[#This Row],[Obs]]&amp;")"</f>
        <v>REI ()</v>
      </c>
    </row>
    <row r="1111" spans="1:14" x14ac:dyDescent="0.3">
      <c r="A1111" s="1">
        <v>44953</v>
      </c>
      <c r="B1111" t="s">
        <v>44</v>
      </c>
      <c r="C1111" t="s">
        <v>460</v>
      </c>
      <c r="D1111" s="8">
        <v>0.54166666666666663</v>
      </c>
      <c r="E1111" s="8">
        <v>0.83333333333333337</v>
      </c>
      <c r="L1111" t="s">
        <v>563</v>
      </c>
      <c r="M1111" t="s">
        <v>478</v>
      </c>
      <c r="N1111" t="str">
        <f>Tabela_tudo[[#This Row],[Médico]]&amp;" ("&amp;Tabela_tudo[[#This Row],[Obs]]&amp;")"</f>
        <v>REI ()</v>
      </c>
    </row>
    <row r="1112" spans="1:14" x14ac:dyDescent="0.3">
      <c r="A1112" s="1">
        <v>44946</v>
      </c>
      <c r="B1112" t="s">
        <v>44</v>
      </c>
      <c r="C1112" t="s">
        <v>460</v>
      </c>
      <c r="D1112" s="8">
        <v>0.54166666666666663</v>
      </c>
      <c r="E1112" s="8">
        <v>0.83333333333333337</v>
      </c>
      <c r="L1112" t="s">
        <v>563</v>
      </c>
      <c r="M1112" t="s">
        <v>478</v>
      </c>
      <c r="N1112" t="str">
        <f>Tabela_tudo[[#This Row],[Médico]]&amp;" ("&amp;Tabela_tudo[[#This Row],[Obs]]&amp;")"</f>
        <v>REI ()</v>
      </c>
    </row>
    <row r="1113" spans="1:14" x14ac:dyDescent="0.3">
      <c r="A1113" s="1">
        <v>44967</v>
      </c>
      <c r="B1113" t="s">
        <v>44</v>
      </c>
      <c r="C1113" t="s">
        <v>460</v>
      </c>
      <c r="D1113" s="8">
        <v>0.54166666666666663</v>
      </c>
      <c r="E1113" s="8">
        <v>0.83333333333333337</v>
      </c>
      <c r="L1113" t="s">
        <v>563</v>
      </c>
      <c r="M1113" t="s">
        <v>478</v>
      </c>
      <c r="N1113" t="str">
        <f>Tabela_tudo[[#This Row],[Médico]]&amp;" ("&amp;Tabela_tudo[[#This Row],[Obs]]&amp;")"</f>
        <v>REI ()</v>
      </c>
    </row>
    <row r="1114" spans="1:14" x14ac:dyDescent="0.3">
      <c r="A1114" s="1">
        <v>44988</v>
      </c>
      <c r="B1114" t="s">
        <v>44</v>
      </c>
      <c r="C1114" t="s">
        <v>460</v>
      </c>
      <c r="D1114" s="8">
        <v>0.54166666666666663</v>
      </c>
      <c r="E1114" s="8">
        <v>0.83333333333333337</v>
      </c>
      <c r="L1114" t="s">
        <v>563</v>
      </c>
      <c r="M1114" t="s">
        <v>478</v>
      </c>
      <c r="N1114" t="str">
        <f>Tabela_tudo[[#This Row],[Médico]]&amp;" ("&amp;Tabela_tudo[[#This Row],[Obs]]&amp;")"</f>
        <v>REI ()</v>
      </c>
    </row>
    <row r="1115" spans="1:14" x14ac:dyDescent="0.3">
      <c r="A1115" s="1">
        <v>44981</v>
      </c>
      <c r="B1115" t="s">
        <v>44</v>
      </c>
      <c r="C1115" t="s">
        <v>460</v>
      </c>
      <c r="D1115" s="8">
        <v>0.54166666666666663</v>
      </c>
      <c r="E1115" s="8">
        <v>0.83333333333333337</v>
      </c>
      <c r="L1115" t="s">
        <v>563</v>
      </c>
      <c r="M1115" t="s">
        <v>478</v>
      </c>
      <c r="N1115" t="str">
        <f>Tabela_tudo[[#This Row],[Médico]]&amp;" ("&amp;Tabela_tudo[[#This Row],[Obs]]&amp;")"</f>
        <v>REI ()</v>
      </c>
    </row>
    <row r="1116" spans="1:14" x14ac:dyDescent="0.3">
      <c r="A1116" s="1">
        <v>44974</v>
      </c>
      <c r="B1116" t="s">
        <v>44</v>
      </c>
      <c r="C1116" t="s">
        <v>460</v>
      </c>
      <c r="D1116" s="8">
        <v>0.54166666666666663</v>
      </c>
      <c r="E1116" s="8">
        <v>0.83333333333333337</v>
      </c>
      <c r="L1116" t="s">
        <v>563</v>
      </c>
      <c r="M1116" t="s">
        <v>478</v>
      </c>
      <c r="N1116" t="str">
        <f>Tabela_tudo[[#This Row],[Médico]]&amp;" ("&amp;Tabela_tudo[[#This Row],[Obs]]&amp;")"</f>
        <v>REI ()</v>
      </c>
    </row>
    <row r="1117" spans="1:14" x14ac:dyDescent="0.3">
      <c r="A1117" s="1">
        <v>45639</v>
      </c>
      <c r="B1117" t="s">
        <v>32</v>
      </c>
      <c r="C1117" t="s">
        <v>460</v>
      </c>
      <c r="D1117" s="8">
        <v>0.54166666666666663</v>
      </c>
      <c r="E1117" s="8">
        <v>0.83333333333333337</v>
      </c>
      <c r="L1117" t="s">
        <v>563</v>
      </c>
      <c r="M1117" t="s">
        <v>478</v>
      </c>
      <c r="N1117" t="str">
        <f>Tabela_tudo[[#This Row],[Médico]]&amp;" ("&amp;Tabela_tudo[[#This Row],[Obs]]&amp;")"</f>
        <v>JS ()</v>
      </c>
    </row>
    <row r="1118" spans="1:14" x14ac:dyDescent="0.3">
      <c r="A1118" s="1">
        <v>45632</v>
      </c>
      <c r="B1118" t="s">
        <v>32</v>
      </c>
      <c r="C1118" t="s">
        <v>460</v>
      </c>
      <c r="D1118" s="8">
        <v>0.54166666666666663</v>
      </c>
      <c r="E1118" s="8">
        <v>0.83333333333333337</v>
      </c>
      <c r="L1118" t="s">
        <v>563</v>
      </c>
      <c r="M1118" t="s">
        <v>478</v>
      </c>
      <c r="N1118" t="str">
        <f>Tabela_tudo[[#This Row],[Médico]]&amp;" ("&amp;Tabela_tudo[[#This Row],[Obs]]&amp;")"</f>
        <v>JS ()</v>
      </c>
    </row>
    <row r="1119" spans="1:14" x14ac:dyDescent="0.3">
      <c r="A1119" s="1">
        <v>45625</v>
      </c>
      <c r="B1119" t="s">
        <v>32</v>
      </c>
      <c r="C1119" t="s">
        <v>460</v>
      </c>
      <c r="D1119" s="8">
        <v>0.54166666666666663</v>
      </c>
      <c r="E1119" s="8">
        <v>0.83333333333333337</v>
      </c>
      <c r="L1119" t="s">
        <v>563</v>
      </c>
      <c r="M1119" t="s">
        <v>478</v>
      </c>
      <c r="N1119" t="str">
        <f>Tabela_tudo[[#This Row],[Médico]]&amp;" ("&amp;Tabela_tudo[[#This Row],[Obs]]&amp;")"</f>
        <v>JS ()</v>
      </c>
    </row>
    <row r="1120" spans="1:14" x14ac:dyDescent="0.3">
      <c r="A1120" s="1">
        <v>45646</v>
      </c>
      <c r="B1120" t="s">
        <v>32</v>
      </c>
      <c r="C1120" t="s">
        <v>460</v>
      </c>
      <c r="D1120" s="8">
        <v>0.54166666666666663</v>
      </c>
      <c r="E1120" s="8">
        <v>0.83333333333333337</v>
      </c>
      <c r="L1120" t="s">
        <v>563</v>
      </c>
      <c r="M1120" t="s">
        <v>478</v>
      </c>
      <c r="N1120" t="str">
        <f>Tabela_tudo[[#This Row],[Médico]]&amp;" ("&amp;Tabela_tudo[[#This Row],[Obs]]&amp;")"</f>
        <v>JS ()</v>
      </c>
    </row>
    <row r="1121" spans="1:14" x14ac:dyDescent="0.3">
      <c r="A1121" s="1">
        <v>44939</v>
      </c>
      <c r="B1121" t="s">
        <v>44</v>
      </c>
      <c r="C1121" t="s">
        <v>460</v>
      </c>
      <c r="D1121" s="8">
        <v>0.54166666666666663</v>
      </c>
      <c r="E1121" s="8">
        <v>0.83333333333333337</v>
      </c>
      <c r="L1121" t="s">
        <v>563</v>
      </c>
      <c r="M1121" t="s">
        <v>478</v>
      </c>
      <c r="N1121" t="str">
        <f>Tabela_tudo[[#This Row],[Médico]]&amp;" ("&amp;Tabela_tudo[[#This Row],[Obs]]&amp;")"</f>
        <v>REI ()</v>
      </c>
    </row>
    <row r="1122" spans="1:14" x14ac:dyDescent="0.3">
      <c r="A1122" s="1">
        <v>44932</v>
      </c>
      <c r="B1122" t="s">
        <v>44</v>
      </c>
      <c r="C1122" t="s">
        <v>460</v>
      </c>
      <c r="D1122" s="8">
        <v>0.54166666666666663</v>
      </c>
      <c r="E1122" s="8">
        <v>0.83333333333333337</v>
      </c>
      <c r="L1122" t="s">
        <v>563</v>
      </c>
      <c r="M1122" t="s">
        <v>478</v>
      </c>
      <c r="N1122" t="str">
        <f>Tabela_tudo[[#This Row],[Médico]]&amp;" ("&amp;Tabela_tudo[[#This Row],[Obs]]&amp;")"</f>
        <v>REI ()</v>
      </c>
    </row>
    <row r="1123" spans="1:14" x14ac:dyDescent="0.3">
      <c r="A1123" s="1">
        <v>45653</v>
      </c>
      <c r="B1123" t="s">
        <v>32</v>
      </c>
      <c r="C1123" t="s">
        <v>460</v>
      </c>
      <c r="D1123" s="8">
        <v>0.54166666666666663</v>
      </c>
      <c r="E1123" s="8">
        <v>0.83333333333333337</v>
      </c>
      <c r="L1123" t="s">
        <v>563</v>
      </c>
      <c r="M1123" t="s">
        <v>478</v>
      </c>
      <c r="N1123" t="str">
        <f>Tabela_tudo[[#This Row],[Médico]]&amp;" ("&amp;Tabela_tudo[[#This Row],[Obs]]&amp;")"</f>
        <v>JS ()</v>
      </c>
    </row>
    <row r="1124" spans="1:14" x14ac:dyDescent="0.3">
      <c r="A1124" s="1">
        <v>45513</v>
      </c>
      <c r="B1124" t="s">
        <v>32</v>
      </c>
      <c r="C1124" t="s">
        <v>460</v>
      </c>
      <c r="D1124" s="8">
        <v>0.54166666666666663</v>
      </c>
      <c r="E1124" s="8">
        <v>0.83333333333333337</v>
      </c>
      <c r="L1124" t="s">
        <v>563</v>
      </c>
      <c r="M1124" t="s">
        <v>478</v>
      </c>
      <c r="N1124" t="str">
        <f>Tabela_tudo[[#This Row],[Médico]]&amp;" ("&amp;Tabela_tudo[[#This Row],[Obs]]&amp;")"</f>
        <v>JS ()</v>
      </c>
    </row>
    <row r="1125" spans="1:14" x14ac:dyDescent="0.3">
      <c r="A1125" s="1">
        <v>45373</v>
      </c>
      <c r="B1125" t="s">
        <v>32</v>
      </c>
      <c r="C1125" t="s">
        <v>460</v>
      </c>
      <c r="D1125" s="8">
        <v>0.54166666666666663</v>
      </c>
      <c r="E1125" s="8">
        <v>0.83333333333333337</v>
      </c>
      <c r="L1125" t="s">
        <v>563</v>
      </c>
      <c r="M1125" t="s">
        <v>478</v>
      </c>
      <c r="N1125" t="str">
        <f>Tabela_tudo[[#This Row],[Médico]]&amp;" ("&amp;Tabela_tudo[[#This Row],[Obs]]&amp;")"</f>
        <v>JS ()</v>
      </c>
    </row>
    <row r="1126" spans="1:14" x14ac:dyDescent="0.3">
      <c r="A1126" s="1">
        <v>45366</v>
      </c>
      <c r="B1126" t="s">
        <v>32</v>
      </c>
      <c r="C1126" t="s">
        <v>460</v>
      </c>
      <c r="D1126" s="8">
        <v>0.54166666666666663</v>
      </c>
      <c r="E1126" s="8">
        <v>0.83333333333333337</v>
      </c>
      <c r="L1126" t="s">
        <v>563</v>
      </c>
      <c r="M1126" t="s">
        <v>478</v>
      </c>
      <c r="N1126" t="str">
        <f>Tabela_tudo[[#This Row],[Médico]]&amp;" ("&amp;Tabela_tudo[[#This Row],[Obs]]&amp;")"</f>
        <v>JS ()</v>
      </c>
    </row>
    <row r="1127" spans="1:14" x14ac:dyDescent="0.3">
      <c r="A1127" s="1">
        <v>45359</v>
      </c>
      <c r="B1127" t="s">
        <v>32</v>
      </c>
      <c r="C1127" t="s">
        <v>460</v>
      </c>
      <c r="D1127" s="8">
        <v>0.54166666666666663</v>
      </c>
      <c r="E1127" s="8">
        <v>0.83333333333333337</v>
      </c>
      <c r="L1127" t="s">
        <v>563</v>
      </c>
      <c r="M1127" t="s">
        <v>478</v>
      </c>
      <c r="N1127" t="str">
        <f>Tabela_tudo[[#This Row],[Médico]]&amp;" ("&amp;Tabela_tudo[[#This Row],[Obs]]&amp;")"</f>
        <v>JS ()</v>
      </c>
    </row>
    <row r="1128" spans="1:14" x14ac:dyDescent="0.3">
      <c r="A1128" s="1">
        <v>45380</v>
      </c>
      <c r="B1128" t="s">
        <v>32</v>
      </c>
      <c r="C1128" t="s">
        <v>460</v>
      </c>
      <c r="D1128" s="8">
        <v>0.54166666666666663</v>
      </c>
      <c r="E1128" s="8">
        <v>0.83333333333333337</v>
      </c>
      <c r="L1128" t="s">
        <v>563</v>
      </c>
      <c r="M1128" t="s">
        <v>478</v>
      </c>
      <c r="N1128" t="str">
        <f>Tabela_tudo[[#This Row],[Médico]]&amp;" ("&amp;Tabela_tudo[[#This Row],[Obs]]&amp;")"</f>
        <v>JS ()</v>
      </c>
    </row>
    <row r="1129" spans="1:14" x14ac:dyDescent="0.3">
      <c r="A1129" s="1">
        <v>45401</v>
      </c>
      <c r="B1129" t="s">
        <v>32</v>
      </c>
      <c r="C1129" t="s">
        <v>460</v>
      </c>
      <c r="D1129" s="8">
        <v>0.54166666666666663</v>
      </c>
      <c r="E1129" s="8">
        <v>0.83333333333333337</v>
      </c>
      <c r="L1129" t="s">
        <v>563</v>
      </c>
      <c r="M1129" t="s">
        <v>478</v>
      </c>
      <c r="N1129" t="str">
        <f>Tabela_tudo[[#This Row],[Médico]]&amp;" ("&amp;Tabela_tudo[[#This Row],[Obs]]&amp;")"</f>
        <v>JS ()</v>
      </c>
    </row>
    <row r="1130" spans="1:14" x14ac:dyDescent="0.3">
      <c r="A1130" s="1">
        <v>45394</v>
      </c>
      <c r="B1130" t="s">
        <v>32</v>
      </c>
      <c r="C1130" t="s">
        <v>460</v>
      </c>
      <c r="D1130" s="8">
        <v>0.54166666666666663</v>
      </c>
      <c r="E1130" s="8">
        <v>0.83333333333333337</v>
      </c>
      <c r="L1130" t="s">
        <v>563</v>
      </c>
      <c r="M1130" t="s">
        <v>478</v>
      </c>
      <c r="N1130" t="str">
        <f>Tabela_tudo[[#This Row],[Médico]]&amp;" ("&amp;Tabela_tudo[[#This Row],[Obs]]&amp;")"</f>
        <v>JS ()</v>
      </c>
    </row>
    <row r="1131" spans="1:14" x14ac:dyDescent="0.3">
      <c r="A1131" s="1">
        <v>45387</v>
      </c>
      <c r="B1131" t="s">
        <v>32</v>
      </c>
      <c r="C1131" t="s">
        <v>460</v>
      </c>
      <c r="D1131" s="8">
        <v>0.54166666666666663</v>
      </c>
      <c r="E1131" s="8">
        <v>0.83333333333333337</v>
      </c>
      <c r="L1131" t="s">
        <v>563</v>
      </c>
      <c r="M1131" t="s">
        <v>478</v>
      </c>
      <c r="N1131" t="str">
        <f>Tabela_tudo[[#This Row],[Médico]]&amp;" ("&amp;Tabela_tudo[[#This Row],[Obs]]&amp;")"</f>
        <v>JS ()</v>
      </c>
    </row>
    <row r="1132" spans="1:14" x14ac:dyDescent="0.3">
      <c r="A1132" s="1">
        <v>45324</v>
      </c>
      <c r="B1132" t="s">
        <v>32</v>
      </c>
      <c r="C1132" t="s">
        <v>460</v>
      </c>
      <c r="D1132" s="8">
        <v>0.54166666666666663</v>
      </c>
      <c r="E1132" s="8">
        <v>0.83333333333333337</v>
      </c>
      <c r="L1132" t="s">
        <v>563</v>
      </c>
      <c r="M1132" t="s">
        <v>478</v>
      </c>
      <c r="N1132" t="str">
        <f>Tabela_tudo[[#This Row],[Médico]]&amp;" ("&amp;Tabela_tudo[[#This Row],[Obs]]&amp;")"</f>
        <v>JS ()</v>
      </c>
    </row>
    <row r="1133" spans="1:14" x14ac:dyDescent="0.3">
      <c r="A1133" s="1">
        <v>45317</v>
      </c>
      <c r="B1133" t="s">
        <v>32</v>
      </c>
      <c r="C1133" t="s">
        <v>460</v>
      </c>
      <c r="D1133" s="8">
        <v>0.54166666666666663</v>
      </c>
      <c r="E1133" s="8">
        <v>0.83333333333333337</v>
      </c>
      <c r="L1133" t="s">
        <v>563</v>
      </c>
      <c r="M1133" t="s">
        <v>478</v>
      </c>
      <c r="N1133" t="str">
        <f>Tabela_tudo[[#This Row],[Médico]]&amp;" ("&amp;Tabela_tudo[[#This Row],[Obs]]&amp;")"</f>
        <v>JS ()</v>
      </c>
    </row>
    <row r="1134" spans="1:14" x14ac:dyDescent="0.3">
      <c r="A1134" s="1">
        <v>45310</v>
      </c>
      <c r="B1134" t="s">
        <v>32</v>
      </c>
      <c r="C1134" t="s">
        <v>460</v>
      </c>
      <c r="D1134" s="8">
        <v>0.54166666666666663</v>
      </c>
      <c r="E1134" s="8">
        <v>0.83333333333333337</v>
      </c>
      <c r="L1134" t="s">
        <v>563</v>
      </c>
      <c r="M1134" t="s">
        <v>478</v>
      </c>
      <c r="N1134" t="str">
        <f>Tabela_tudo[[#This Row],[Médico]]&amp;" ("&amp;Tabela_tudo[[#This Row],[Obs]]&amp;")"</f>
        <v>JS ()</v>
      </c>
    </row>
    <row r="1135" spans="1:14" x14ac:dyDescent="0.3">
      <c r="A1135" s="1">
        <v>45331</v>
      </c>
      <c r="B1135" t="s">
        <v>32</v>
      </c>
      <c r="C1135" t="s">
        <v>460</v>
      </c>
      <c r="D1135" s="8">
        <v>0.54166666666666663</v>
      </c>
      <c r="E1135" s="8">
        <v>0.83333333333333337</v>
      </c>
      <c r="L1135" t="s">
        <v>563</v>
      </c>
      <c r="M1135" t="s">
        <v>478</v>
      </c>
      <c r="N1135" t="str">
        <f>Tabela_tudo[[#This Row],[Médico]]&amp;" ("&amp;Tabela_tudo[[#This Row],[Obs]]&amp;")"</f>
        <v>JS ()</v>
      </c>
    </row>
    <row r="1136" spans="1:14" x14ac:dyDescent="0.3">
      <c r="A1136" s="1">
        <v>45352</v>
      </c>
      <c r="B1136" t="s">
        <v>32</v>
      </c>
      <c r="C1136" t="s">
        <v>460</v>
      </c>
      <c r="D1136" s="8">
        <v>0.54166666666666663</v>
      </c>
      <c r="E1136" s="8">
        <v>0.83333333333333337</v>
      </c>
      <c r="L1136" t="s">
        <v>563</v>
      </c>
      <c r="M1136" t="s">
        <v>478</v>
      </c>
      <c r="N1136" t="str">
        <f>Tabela_tudo[[#This Row],[Médico]]&amp;" ("&amp;Tabela_tudo[[#This Row],[Obs]]&amp;")"</f>
        <v>JS ()</v>
      </c>
    </row>
    <row r="1137" spans="1:14" x14ac:dyDescent="0.3">
      <c r="A1137" s="1">
        <v>45345</v>
      </c>
      <c r="B1137" t="s">
        <v>32</v>
      </c>
      <c r="C1137" t="s">
        <v>460</v>
      </c>
      <c r="D1137" s="8">
        <v>0.54166666666666663</v>
      </c>
      <c r="E1137" s="8">
        <v>0.83333333333333337</v>
      </c>
      <c r="L1137" t="s">
        <v>563</v>
      </c>
      <c r="M1137" t="s">
        <v>478</v>
      </c>
      <c r="N1137" t="str">
        <f>Tabela_tudo[[#This Row],[Médico]]&amp;" ("&amp;Tabela_tudo[[#This Row],[Obs]]&amp;")"</f>
        <v>JS ()</v>
      </c>
    </row>
    <row r="1138" spans="1:14" x14ac:dyDescent="0.3">
      <c r="A1138" s="1">
        <v>45338</v>
      </c>
      <c r="B1138" t="s">
        <v>32</v>
      </c>
      <c r="C1138" t="s">
        <v>460</v>
      </c>
      <c r="D1138" s="8">
        <v>0.54166666666666663</v>
      </c>
      <c r="E1138" s="8">
        <v>0.83333333333333337</v>
      </c>
      <c r="L1138" t="s">
        <v>563</v>
      </c>
      <c r="M1138" t="s">
        <v>478</v>
      </c>
      <c r="N1138" t="str">
        <f>Tabela_tudo[[#This Row],[Médico]]&amp;" ("&amp;Tabela_tudo[[#This Row],[Obs]]&amp;")"</f>
        <v>JS ()</v>
      </c>
    </row>
    <row r="1139" spans="1:14" x14ac:dyDescent="0.3">
      <c r="A1139" s="1">
        <v>45408</v>
      </c>
      <c r="B1139" t="s">
        <v>32</v>
      </c>
      <c r="C1139" t="s">
        <v>460</v>
      </c>
      <c r="D1139" s="8">
        <v>0.54166666666666663</v>
      </c>
      <c r="E1139" s="8">
        <v>0.83333333333333337</v>
      </c>
      <c r="L1139" t="s">
        <v>563</v>
      </c>
      <c r="M1139" t="s">
        <v>478</v>
      </c>
      <c r="N1139" t="str">
        <f>Tabela_tudo[[#This Row],[Médico]]&amp;" ("&amp;Tabela_tudo[[#This Row],[Obs]]&amp;")"</f>
        <v>JS ()</v>
      </c>
    </row>
    <row r="1140" spans="1:14" x14ac:dyDescent="0.3">
      <c r="A1140" s="1">
        <v>45478</v>
      </c>
      <c r="B1140" t="s">
        <v>32</v>
      </c>
      <c r="C1140" t="s">
        <v>460</v>
      </c>
      <c r="D1140" s="8">
        <v>0.54166666666666663</v>
      </c>
      <c r="E1140" s="8">
        <v>0.83333333333333337</v>
      </c>
      <c r="L1140" t="s">
        <v>563</v>
      </c>
      <c r="M1140" t="s">
        <v>478</v>
      </c>
      <c r="N1140" t="str">
        <f>Tabela_tudo[[#This Row],[Médico]]&amp;" ("&amp;Tabela_tudo[[#This Row],[Obs]]&amp;")"</f>
        <v>JS ()</v>
      </c>
    </row>
    <row r="1141" spans="1:14" x14ac:dyDescent="0.3">
      <c r="A1141" s="1">
        <v>45471</v>
      </c>
      <c r="B1141" t="s">
        <v>32</v>
      </c>
      <c r="C1141" t="s">
        <v>460</v>
      </c>
      <c r="D1141" s="8">
        <v>0.54166666666666663</v>
      </c>
      <c r="E1141" s="8">
        <v>0.83333333333333337</v>
      </c>
      <c r="L1141" t="s">
        <v>563</v>
      </c>
      <c r="M1141" t="s">
        <v>478</v>
      </c>
      <c r="N1141" t="str">
        <f>Tabela_tudo[[#This Row],[Médico]]&amp;" ("&amp;Tabela_tudo[[#This Row],[Obs]]&amp;")"</f>
        <v>JS ()</v>
      </c>
    </row>
    <row r="1142" spans="1:14" x14ac:dyDescent="0.3">
      <c r="A1142" s="1">
        <v>45464</v>
      </c>
      <c r="B1142" t="s">
        <v>32</v>
      </c>
      <c r="C1142" t="s">
        <v>460</v>
      </c>
      <c r="D1142" s="8">
        <v>0.54166666666666663</v>
      </c>
      <c r="E1142" s="8">
        <v>0.83333333333333337</v>
      </c>
      <c r="L1142" t="s">
        <v>563</v>
      </c>
      <c r="M1142" t="s">
        <v>478</v>
      </c>
      <c r="N1142" t="str">
        <f>Tabela_tudo[[#This Row],[Médico]]&amp;" ("&amp;Tabela_tudo[[#This Row],[Obs]]&amp;")"</f>
        <v>JS ()</v>
      </c>
    </row>
    <row r="1143" spans="1:14" x14ac:dyDescent="0.3">
      <c r="A1143" s="1">
        <v>45485</v>
      </c>
      <c r="B1143" t="s">
        <v>32</v>
      </c>
      <c r="C1143" t="s">
        <v>460</v>
      </c>
      <c r="D1143" s="8">
        <v>0.54166666666666663</v>
      </c>
      <c r="E1143" s="8">
        <v>0.83333333333333337</v>
      </c>
      <c r="L1143" t="s">
        <v>563</v>
      </c>
      <c r="M1143" t="s">
        <v>478</v>
      </c>
      <c r="N1143" t="str">
        <f>Tabela_tudo[[#This Row],[Médico]]&amp;" ("&amp;Tabela_tudo[[#This Row],[Obs]]&amp;")"</f>
        <v>JS ()</v>
      </c>
    </row>
    <row r="1144" spans="1:14" x14ac:dyDescent="0.3">
      <c r="A1144" s="1">
        <v>45506</v>
      </c>
      <c r="B1144" t="s">
        <v>32</v>
      </c>
      <c r="C1144" t="s">
        <v>460</v>
      </c>
      <c r="D1144" s="8">
        <v>0.54166666666666663</v>
      </c>
      <c r="E1144" s="8">
        <v>0.83333333333333337</v>
      </c>
      <c r="L1144" t="s">
        <v>563</v>
      </c>
      <c r="M1144" t="s">
        <v>478</v>
      </c>
      <c r="N1144" t="str">
        <f>Tabela_tudo[[#This Row],[Médico]]&amp;" ("&amp;Tabela_tudo[[#This Row],[Obs]]&amp;")"</f>
        <v>JS ()</v>
      </c>
    </row>
    <row r="1145" spans="1:14" x14ac:dyDescent="0.3">
      <c r="A1145" s="1">
        <v>45499</v>
      </c>
      <c r="B1145" t="s">
        <v>32</v>
      </c>
      <c r="C1145" t="s">
        <v>460</v>
      </c>
      <c r="D1145" s="8">
        <v>0.54166666666666663</v>
      </c>
      <c r="E1145" s="8">
        <v>0.83333333333333337</v>
      </c>
      <c r="L1145" t="s">
        <v>563</v>
      </c>
      <c r="M1145" t="s">
        <v>478</v>
      </c>
      <c r="N1145" t="str">
        <f>Tabela_tudo[[#This Row],[Médico]]&amp;" ("&amp;Tabela_tudo[[#This Row],[Obs]]&amp;")"</f>
        <v>JS ()</v>
      </c>
    </row>
    <row r="1146" spans="1:14" x14ac:dyDescent="0.3">
      <c r="A1146" s="1">
        <v>45492</v>
      </c>
      <c r="B1146" t="s">
        <v>32</v>
      </c>
      <c r="C1146" t="s">
        <v>460</v>
      </c>
      <c r="D1146" s="8">
        <v>0.54166666666666663</v>
      </c>
      <c r="E1146" s="8">
        <v>0.83333333333333337</v>
      </c>
      <c r="L1146" t="s">
        <v>563</v>
      </c>
      <c r="M1146" t="s">
        <v>478</v>
      </c>
      <c r="N1146" t="str">
        <f>Tabela_tudo[[#This Row],[Médico]]&amp;" ("&amp;Tabela_tudo[[#This Row],[Obs]]&amp;")"</f>
        <v>JS ()</v>
      </c>
    </row>
    <row r="1147" spans="1:14" x14ac:dyDescent="0.3">
      <c r="A1147" s="1">
        <v>45429</v>
      </c>
      <c r="B1147" t="s">
        <v>32</v>
      </c>
      <c r="C1147" t="s">
        <v>460</v>
      </c>
      <c r="D1147" s="8">
        <v>0.54166666666666663</v>
      </c>
      <c r="E1147" s="8">
        <v>0.83333333333333337</v>
      </c>
      <c r="L1147" t="s">
        <v>563</v>
      </c>
      <c r="M1147" t="s">
        <v>478</v>
      </c>
      <c r="N1147" t="str">
        <f>Tabela_tudo[[#This Row],[Médico]]&amp;" ("&amp;Tabela_tudo[[#This Row],[Obs]]&amp;")"</f>
        <v>JS ()</v>
      </c>
    </row>
    <row r="1148" spans="1:14" x14ac:dyDescent="0.3">
      <c r="A1148" s="1">
        <v>45422</v>
      </c>
      <c r="B1148" t="s">
        <v>32</v>
      </c>
      <c r="C1148" t="s">
        <v>460</v>
      </c>
      <c r="D1148" s="8">
        <v>0.54166666666666663</v>
      </c>
      <c r="E1148" s="8">
        <v>0.83333333333333337</v>
      </c>
      <c r="L1148" t="s">
        <v>563</v>
      </c>
      <c r="M1148" t="s">
        <v>478</v>
      </c>
      <c r="N1148" t="str">
        <f>Tabela_tudo[[#This Row],[Médico]]&amp;" ("&amp;Tabela_tudo[[#This Row],[Obs]]&amp;")"</f>
        <v>JS ()</v>
      </c>
    </row>
    <row r="1149" spans="1:14" x14ac:dyDescent="0.3">
      <c r="A1149" s="1">
        <v>45415</v>
      </c>
      <c r="B1149" t="s">
        <v>32</v>
      </c>
      <c r="C1149" t="s">
        <v>460</v>
      </c>
      <c r="D1149" s="8">
        <v>0.54166666666666663</v>
      </c>
      <c r="E1149" s="8">
        <v>0.83333333333333337</v>
      </c>
      <c r="L1149" t="s">
        <v>563</v>
      </c>
      <c r="M1149" t="s">
        <v>478</v>
      </c>
      <c r="N1149" t="str">
        <f>Tabela_tudo[[#This Row],[Médico]]&amp;" ("&amp;Tabela_tudo[[#This Row],[Obs]]&amp;")"</f>
        <v>JS ()</v>
      </c>
    </row>
    <row r="1150" spans="1:14" x14ac:dyDescent="0.3">
      <c r="A1150" s="1">
        <v>45436</v>
      </c>
      <c r="B1150" t="s">
        <v>32</v>
      </c>
      <c r="C1150" t="s">
        <v>460</v>
      </c>
      <c r="D1150" s="8">
        <v>0.54166666666666663</v>
      </c>
      <c r="E1150" s="8">
        <v>0.83333333333333337</v>
      </c>
      <c r="L1150" t="s">
        <v>563</v>
      </c>
      <c r="M1150" t="s">
        <v>478</v>
      </c>
      <c r="N1150" t="str">
        <f>Tabela_tudo[[#This Row],[Médico]]&amp;" ("&amp;Tabela_tudo[[#This Row],[Obs]]&amp;")"</f>
        <v>JS ()</v>
      </c>
    </row>
    <row r="1151" spans="1:14" x14ac:dyDescent="0.3">
      <c r="A1151" s="1">
        <v>45457</v>
      </c>
      <c r="B1151" t="s">
        <v>32</v>
      </c>
      <c r="C1151" t="s">
        <v>460</v>
      </c>
      <c r="D1151" s="8">
        <v>0.54166666666666663</v>
      </c>
      <c r="E1151" s="8">
        <v>0.83333333333333337</v>
      </c>
      <c r="L1151" t="s">
        <v>563</v>
      </c>
      <c r="M1151" t="s">
        <v>478</v>
      </c>
      <c r="N1151" t="str">
        <f>Tabela_tudo[[#This Row],[Médico]]&amp;" ("&amp;Tabela_tudo[[#This Row],[Obs]]&amp;")"</f>
        <v>JS ()</v>
      </c>
    </row>
    <row r="1152" spans="1:14" x14ac:dyDescent="0.3">
      <c r="A1152" s="1">
        <v>45450</v>
      </c>
      <c r="B1152" t="s">
        <v>32</v>
      </c>
      <c r="C1152" t="s">
        <v>460</v>
      </c>
      <c r="D1152" s="8">
        <v>0.54166666666666663</v>
      </c>
      <c r="E1152" s="8">
        <v>0.83333333333333337</v>
      </c>
      <c r="L1152" t="s">
        <v>563</v>
      </c>
      <c r="M1152" t="s">
        <v>478</v>
      </c>
      <c r="N1152" t="str">
        <f>Tabela_tudo[[#This Row],[Médico]]&amp;" ("&amp;Tabela_tudo[[#This Row],[Obs]]&amp;")"</f>
        <v>JS ()</v>
      </c>
    </row>
    <row r="1153" spans="1:14" x14ac:dyDescent="0.3">
      <c r="A1153" s="1">
        <v>45443</v>
      </c>
      <c r="B1153" t="s">
        <v>32</v>
      </c>
      <c r="C1153" t="s">
        <v>460</v>
      </c>
      <c r="D1153" s="8">
        <v>0.54166666666666663</v>
      </c>
      <c r="E1153" s="8">
        <v>0.83333333333333337</v>
      </c>
      <c r="L1153" t="s">
        <v>563</v>
      </c>
      <c r="M1153" t="s">
        <v>478</v>
      </c>
      <c r="N1153" t="str">
        <f>Tabela_tudo[[#This Row],[Médico]]&amp;" ("&amp;Tabela_tudo[[#This Row],[Obs]]&amp;")"</f>
        <v>JS ()</v>
      </c>
    </row>
    <row r="1154" spans="1:14" x14ac:dyDescent="0.3">
      <c r="A1154" s="1">
        <v>45611</v>
      </c>
      <c r="B1154" t="s">
        <v>64</v>
      </c>
      <c r="C1154" t="s">
        <v>460</v>
      </c>
      <c r="D1154" s="8">
        <v>0.29166666666666669</v>
      </c>
      <c r="E1154" s="8">
        <v>0.54166666666666663</v>
      </c>
      <c r="L1154" t="s">
        <v>563</v>
      </c>
      <c r="M1154" t="s">
        <v>478</v>
      </c>
      <c r="N1154" t="str">
        <f>Tabela_tudo[[#This Row],[Médico]]&amp;" ("&amp;Tabela_tudo[[#This Row],[Obs]]&amp;")"</f>
        <v>SAR ()</v>
      </c>
    </row>
    <row r="1155" spans="1:14" x14ac:dyDescent="0.3">
      <c r="A1155" s="1">
        <v>45044</v>
      </c>
      <c r="B1155" t="s">
        <v>64</v>
      </c>
      <c r="C1155" t="s">
        <v>460</v>
      </c>
      <c r="D1155" s="8">
        <v>0.29166666666666669</v>
      </c>
      <c r="E1155" s="8">
        <v>0.54166666666666663</v>
      </c>
      <c r="L1155" t="s">
        <v>563</v>
      </c>
      <c r="M1155" t="s">
        <v>478</v>
      </c>
      <c r="N1155" t="str">
        <f>Tabela_tudo[[#This Row],[Médico]]&amp;" ("&amp;Tabela_tudo[[#This Row],[Obs]]&amp;")"</f>
        <v>SAR ()</v>
      </c>
    </row>
    <row r="1156" spans="1:14" x14ac:dyDescent="0.3">
      <c r="A1156" s="1">
        <v>45037</v>
      </c>
      <c r="B1156" t="s">
        <v>64</v>
      </c>
      <c r="C1156" t="s">
        <v>460</v>
      </c>
      <c r="D1156" s="8">
        <v>0.29166666666666669</v>
      </c>
      <c r="E1156" s="8">
        <v>0.54166666666666663</v>
      </c>
      <c r="L1156" t="s">
        <v>563</v>
      </c>
      <c r="M1156" t="s">
        <v>478</v>
      </c>
      <c r="N1156" t="str">
        <f>Tabela_tudo[[#This Row],[Médico]]&amp;" ("&amp;Tabela_tudo[[#This Row],[Obs]]&amp;")"</f>
        <v>SAR ()</v>
      </c>
    </row>
    <row r="1157" spans="1:14" x14ac:dyDescent="0.3">
      <c r="A1157" s="1">
        <v>45030</v>
      </c>
      <c r="B1157" t="s">
        <v>64</v>
      </c>
      <c r="C1157" t="s">
        <v>460</v>
      </c>
      <c r="D1157" s="8">
        <v>0.29166666666666669</v>
      </c>
      <c r="E1157" s="8">
        <v>0.54166666666666663</v>
      </c>
      <c r="L1157" t="s">
        <v>563</v>
      </c>
      <c r="M1157" t="s">
        <v>478</v>
      </c>
      <c r="N1157" t="str">
        <f>Tabela_tudo[[#This Row],[Médico]]&amp;" ("&amp;Tabela_tudo[[#This Row],[Obs]]&amp;")"</f>
        <v>SAR ()</v>
      </c>
    </row>
    <row r="1158" spans="1:14" x14ac:dyDescent="0.3">
      <c r="A1158" s="1">
        <v>45051</v>
      </c>
      <c r="B1158" t="s">
        <v>64</v>
      </c>
      <c r="C1158" t="s">
        <v>460</v>
      </c>
      <c r="D1158" s="8">
        <v>0.29166666666666669</v>
      </c>
      <c r="E1158" s="8">
        <v>0.54166666666666663</v>
      </c>
      <c r="L1158" t="s">
        <v>563</v>
      </c>
      <c r="M1158" t="s">
        <v>478</v>
      </c>
      <c r="N1158" t="str">
        <f>Tabela_tudo[[#This Row],[Médico]]&amp;" ("&amp;Tabela_tudo[[#This Row],[Obs]]&amp;")"</f>
        <v>SAR ()</v>
      </c>
    </row>
    <row r="1159" spans="1:14" x14ac:dyDescent="0.3">
      <c r="A1159" s="1">
        <v>45072</v>
      </c>
      <c r="B1159" t="s">
        <v>64</v>
      </c>
      <c r="C1159" t="s">
        <v>460</v>
      </c>
      <c r="D1159" s="8">
        <v>0.29166666666666669</v>
      </c>
      <c r="E1159" s="8">
        <v>0.54166666666666663</v>
      </c>
      <c r="L1159" t="s">
        <v>563</v>
      </c>
      <c r="M1159" t="s">
        <v>478</v>
      </c>
      <c r="N1159" t="str">
        <f>Tabela_tudo[[#This Row],[Médico]]&amp;" ("&amp;Tabela_tudo[[#This Row],[Obs]]&amp;")"</f>
        <v>SAR ()</v>
      </c>
    </row>
    <row r="1160" spans="1:14" x14ac:dyDescent="0.3">
      <c r="A1160" s="1">
        <v>45065</v>
      </c>
      <c r="B1160" t="s">
        <v>64</v>
      </c>
      <c r="C1160" t="s">
        <v>460</v>
      </c>
      <c r="D1160" s="8">
        <v>0.29166666666666669</v>
      </c>
      <c r="E1160" s="8">
        <v>0.54166666666666663</v>
      </c>
      <c r="L1160" t="s">
        <v>563</v>
      </c>
      <c r="M1160" t="s">
        <v>478</v>
      </c>
      <c r="N1160" t="str">
        <f>Tabela_tudo[[#This Row],[Médico]]&amp;" ("&amp;Tabela_tudo[[#This Row],[Obs]]&amp;")"</f>
        <v>SAR ()</v>
      </c>
    </row>
    <row r="1161" spans="1:14" x14ac:dyDescent="0.3">
      <c r="A1161" s="1">
        <v>45058</v>
      </c>
      <c r="B1161" t="s">
        <v>64</v>
      </c>
      <c r="C1161" t="s">
        <v>460</v>
      </c>
      <c r="D1161" s="8">
        <v>0.29166666666666669</v>
      </c>
      <c r="E1161" s="8">
        <v>0.54166666666666663</v>
      </c>
      <c r="L1161" t="s">
        <v>563</v>
      </c>
      <c r="M1161" t="s">
        <v>478</v>
      </c>
      <c r="N1161" t="str">
        <f>Tabela_tudo[[#This Row],[Médico]]&amp;" ("&amp;Tabela_tudo[[#This Row],[Obs]]&amp;")"</f>
        <v>SAR ()</v>
      </c>
    </row>
    <row r="1162" spans="1:14" x14ac:dyDescent="0.3">
      <c r="A1162" s="1">
        <v>44995</v>
      </c>
      <c r="B1162" t="s">
        <v>64</v>
      </c>
      <c r="C1162" t="s">
        <v>460</v>
      </c>
      <c r="D1162" s="8">
        <v>0.29166666666666669</v>
      </c>
      <c r="E1162" s="8">
        <v>0.54166666666666663</v>
      </c>
      <c r="L1162" t="s">
        <v>563</v>
      </c>
      <c r="M1162" t="s">
        <v>478</v>
      </c>
      <c r="N1162" t="str">
        <f>Tabela_tudo[[#This Row],[Médico]]&amp;" ("&amp;Tabela_tudo[[#This Row],[Obs]]&amp;")"</f>
        <v>SAR ()</v>
      </c>
    </row>
    <row r="1163" spans="1:14" x14ac:dyDescent="0.3">
      <c r="A1163" s="1">
        <v>44988</v>
      </c>
      <c r="B1163" t="s">
        <v>64</v>
      </c>
      <c r="C1163" t="s">
        <v>460</v>
      </c>
      <c r="D1163" s="8">
        <v>0.29166666666666669</v>
      </c>
      <c r="E1163" s="8">
        <v>0.54166666666666663</v>
      </c>
      <c r="L1163" t="s">
        <v>563</v>
      </c>
      <c r="M1163" t="s">
        <v>478</v>
      </c>
      <c r="N1163" t="str">
        <f>Tabela_tudo[[#This Row],[Médico]]&amp;" ("&amp;Tabela_tudo[[#This Row],[Obs]]&amp;")"</f>
        <v>SAR ()</v>
      </c>
    </row>
    <row r="1164" spans="1:14" x14ac:dyDescent="0.3">
      <c r="A1164" s="1">
        <v>44981</v>
      </c>
      <c r="B1164" t="s">
        <v>64</v>
      </c>
      <c r="C1164" t="s">
        <v>460</v>
      </c>
      <c r="D1164" s="8">
        <v>0.29166666666666669</v>
      </c>
      <c r="E1164" s="8">
        <v>0.54166666666666663</v>
      </c>
      <c r="L1164" t="s">
        <v>563</v>
      </c>
      <c r="M1164" t="s">
        <v>478</v>
      </c>
      <c r="N1164" t="str">
        <f>Tabela_tudo[[#This Row],[Médico]]&amp;" ("&amp;Tabela_tudo[[#This Row],[Obs]]&amp;")"</f>
        <v>SAR ()</v>
      </c>
    </row>
    <row r="1165" spans="1:14" x14ac:dyDescent="0.3">
      <c r="A1165" s="1">
        <v>45002</v>
      </c>
      <c r="B1165" t="s">
        <v>64</v>
      </c>
      <c r="C1165" t="s">
        <v>460</v>
      </c>
      <c r="D1165" s="8">
        <v>0.29166666666666669</v>
      </c>
      <c r="E1165" s="8">
        <v>0.54166666666666663</v>
      </c>
      <c r="L1165" t="s">
        <v>563</v>
      </c>
      <c r="M1165" t="s">
        <v>478</v>
      </c>
      <c r="N1165" t="str">
        <f>Tabela_tudo[[#This Row],[Médico]]&amp;" ("&amp;Tabela_tudo[[#This Row],[Obs]]&amp;")"</f>
        <v>SAR ()</v>
      </c>
    </row>
    <row r="1166" spans="1:14" x14ac:dyDescent="0.3">
      <c r="A1166" s="1">
        <v>45023</v>
      </c>
      <c r="B1166" t="s">
        <v>64</v>
      </c>
      <c r="C1166" t="s">
        <v>460</v>
      </c>
      <c r="D1166" s="8">
        <v>0.29166666666666669</v>
      </c>
      <c r="E1166" s="8">
        <v>0.54166666666666663</v>
      </c>
      <c r="L1166" t="s">
        <v>563</v>
      </c>
      <c r="M1166" t="s">
        <v>478</v>
      </c>
      <c r="N1166" t="str">
        <f>Tabela_tudo[[#This Row],[Médico]]&amp;" ("&amp;Tabela_tudo[[#This Row],[Obs]]&amp;")"</f>
        <v>SAR ()</v>
      </c>
    </row>
    <row r="1167" spans="1:14" x14ac:dyDescent="0.3">
      <c r="A1167" s="1">
        <v>45016</v>
      </c>
      <c r="B1167" t="s">
        <v>64</v>
      </c>
      <c r="C1167" t="s">
        <v>460</v>
      </c>
      <c r="D1167" s="8">
        <v>0.29166666666666669</v>
      </c>
      <c r="E1167" s="8">
        <v>0.54166666666666663</v>
      </c>
      <c r="L1167" t="s">
        <v>563</v>
      </c>
      <c r="M1167" t="s">
        <v>478</v>
      </c>
      <c r="N1167" t="str">
        <f>Tabela_tudo[[#This Row],[Médico]]&amp;" ("&amp;Tabela_tudo[[#This Row],[Obs]]&amp;")"</f>
        <v>SAR ()</v>
      </c>
    </row>
    <row r="1168" spans="1:14" x14ac:dyDescent="0.3">
      <c r="A1168" s="1">
        <v>45009</v>
      </c>
      <c r="B1168" t="s">
        <v>64</v>
      </c>
      <c r="C1168" t="s">
        <v>460</v>
      </c>
      <c r="D1168" s="8">
        <v>0.29166666666666669</v>
      </c>
      <c r="E1168" s="8">
        <v>0.54166666666666663</v>
      </c>
      <c r="L1168" t="s">
        <v>563</v>
      </c>
      <c r="M1168" t="s">
        <v>478</v>
      </c>
      <c r="N1168" t="str">
        <f>Tabela_tudo[[#This Row],[Médico]]&amp;" ("&amp;Tabela_tudo[[#This Row],[Obs]]&amp;")"</f>
        <v>SAR ()</v>
      </c>
    </row>
    <row r="1169" spans="1:14" x14ac:dyDescent="0.3">
      <c r="A1169" s="1">
        <v>45079</v>
      </c>
      <c r="B1169" t="s">
        <v>64</v>
      </c>
      <c r="C1169" t="s">
        <v>460</v>
      </c>
      <c r="D1169" s="8">
        <v>0.29166666666666669</v>
      </c>
      <c r="E1169" s="8">
        <v>0.54166666666666663</v>
      </c>
      <c r="L1169" t="s">
        <v>563</v>
      </c>
      <c r="M1169" t="s">
        <v>478</v>
      </c>
      <c r="N1169" t="str">
        <f>Tabela_tudo[[#This Row],[Médico]]&amp;" ("&amp;Tabela_tudo[[#This Row],[Obs]]&amp;")"</f>
        <v>SAR ()</v>
      </c>
    </row>
    <row r="1170" spans="1:14" x14ac:dyDescent="0.3">
      <c r="A1170" s="1">
        <v>45149</v>
      </c>
      <c r="B1170" t="s">
        <v>64</v>
      </c>
      <c r="C1170" t="s">
        <v>460</v>
      </c>
      <c r="D1170" s="8">
        <v>0.29166666666666669</v>
      </c>
      <c r="E1170" s="8">
        <v>0.54166666666666663</v>
      </c>
      <c r="L1170" t="s">
        <v>563</v>
      </c>
      <c r="M1170" t="s">
        <v>478</v>
      </c>
      <c r="N1170" t="str">
        <f>Tabela_tudo[[#This Row],[Médico]]&amp;" ("&amp;Tabela_tudo[[#This Row],[Obs]]&amp;")"</f>
        <v>SAR ()</v>
      </c>
    </row>
    <row r="1171" spans="1:14" x14ac:dyDescent="0.3">
      <c r="A1171" s="1">
        <v>45142</v>
      </c>
      <c r="B1171" t="s">
        <v>64</v>
      </c>
      <c r="C1171" t="s">
        <v>460</v>
      </c>
      <c r="D1171" s="8">
        <v>0.29166666666666669</v>
      </c>
      <c r="E1171" s="8">
        <v>0.54166666666666663</v>
      </c>
      <c r="L1171" t="s">
        <v>563</v>
      </c>
      <c r="M1171" t="s">
        <v>478</v>
      </c>
      <c r="N1171" t="str">
        <f>Tabela_tudo[[#This Row],[Médico]]&amp;" ("&amp;Tabela_tudo[[#This Row],[Obs]]&amp;")"</f>
        <v>SAR ()</v>
      </c>
    </row>
    <row r="1172" spans="1:14" x14ac:dyDescent="0.3">
      <c r="A1172" s="1">
        <v>45135</v>
      </c>
      <c r="B1172" t="s">
        <v>64</v>
      </c>
      <c r="C1172" t="s">
        <v>460</v>
      </c>
      <c r="D1172" s="8">
        <v>0.29166666666666669</v>
      </c>
      <c r="E1172" s="8">
        <v>0.54166666666666663</v>
      </c>
      <c r="L1172" t="s">
        <v>563</v>
      </c>
      <c r="M1172" t="s">
        <v>478</v>
      </c>
      <c r="N1172" t="str">
        <f>Tabela_tudo[[#This Row],[Médico]]&amp;" ("&amp;Tabela_tudo[[#This Row],[Obs]]&amp;")"</f>
        <v>SAR ()</v>
      </c>
    </row>
    <row r="1173" spans="1:14" x14ac:dyDescent="0.3">
      <c r="A1173" s="1">
        <v>45156</v>
      </c>
      <c r="B1173" t="s">
        <v>64</v>
      </c>
      <c r="C1173" t="s">
        <v>460</v>
      </c>
      <c r="D1173" s="8">
        <v>0.29166666666666669</v>
      </c>
      <c r="E1173" s="8">
        <v>0.54166666666666663</v>
      </c>
      <c r="L1173" t="s">
        <v>563</v>
      </c>
      <c r="M1173" t="s">
        <v>478</v>
      </c>
      <c r="N1173" t="str">
        <f>Tabela_tudo[[#This Row],[Médico]]&amp;" ("&amp;Tabela_tudo[[#This Row],[Obs]]&amp;")"</f>
        <v>SAR ()</v>
      </c>
    </row>
    <row r="1174" spans="1:14" x14ac:dyDescent="0.3">
      <c r="A1174" s="1">
        <v>45177</v>
      </c>
      <c r="B1174" t="s">
        <v>64</v>
      </c>
      <c r="C1174" t="s">
        <v>460</v>
      </c>
      <c r="D1174" s="8">
        <v>0.29166666666666669</v>
      </c>
      <c r="E1174" s="8">
        <v>0.54166666666666663</v>
      </c>
      <c r="L1174" t="s">
        <v>563</v>
      </c>
      <c r="M1174" t="s">
        <v>478</v>
      </c>
      <c r="N1174" t="str">
        <f>Tabela_tudo[[#This Row],[Médico]]&amp;" ("&amp;Tabela_tudo[[#This Row],[Obs]]&amp;")"</f>
        <v>SAR ()</v>
      </c>
    </row>
    <row r="1175" spans="1:14" x14ac:dyDescent="0.3">
      <c r="A1175" s="1">
        <v>45170</v>
      </c>
      <c r="B1175" t="s">
        <v>64</v>
      </c>
      <c r="C1175" t="s">
        <v>460</v>
      </c>
      <c r="D1175" s="8">
        <v>0.29166666666666669</v>
      </c>
      <c r="E1175" s="8">
        <v>0.54166666666666663</v>
      </c>
      <c r="L1175" t="s">
        <v>563</v>
      </c>
      <c r="M1175" t="s">
        <v>478</v>
      </c>
      <c r="N1175" t="str">
        <f>Tabela_tudo[[#This Row],[Médico]]&amp;" ("&amp;Tabela_tudo[[#This Row],[Obs]]&amp;")"</f>
        <v>SAR ()</v>
      </c>
    </row>
    <row r="1176" spans="1:14" x14ac:dyDescent="0.3">
      <c r="A1176" s="1">
        <v>45163</v>
      </c>
      <c r="B1176" t="s">
        <v>64</v>
      </c>
      <c r="C1176" t="s">
        <v>460</v>
      </c>
      <c r="D1176" s="8">
        <v>0.29166666666666669</v>
      </c>
      <c r="E1176" s="8">
        <v>0.54166666666666663</v>
      </c>
      <c r="L1176" t="s">
        <v>563</v>
      </c>
      <c r="M1176" t="s">
        <v>478</v>
      </c>
      <c r="N1176" t="str">
        <f>Tabela_tudo[[#This Row],[Médico]]&amp;" ("&amp;Tabela_tudo[[#This Row],[Obs]]&amp;")"</f>
        <v>SAR ()</v>
      </c>
    </row>
    <row r="1177" spans="1:14" x14ac:dyDescent="0.3">
      <c r="A1177" s="1">
        <v>45100</v>
      </c>
      <c r="B1177" t="s">
        <v>64</v>
      </c>
      <c r="C1177" t="s">
        <v>460</v>
      </c>
      <c r="D1177" s="8">
        <v>0.29166666666666669</v>
      </c>
      <c r="E1177" s="8">
        <v>0.54166666666666663</v>
      </c>
      <c r="L1177" t="s">
        <v>563</v>
      </c>
      <c r="M1177" t="s">
        <v>478</v>
      </c>
      <c r="N1177" t="str">
        <f>Tabela_tudo[[#This Row],[Médico]]&amp;" ("&amp;Tabela_tudo[[#This Row],[Obs]]&amp;")"</f>
        <v>SAR ()</v>
      </c>
    </row>
    <row r="1178" spans="1:14" x14ac:dyDescent="0.3">
      <c r="A1178" s="1">
        <v>45093</v>
      </c>
      <c r="B1178" t="s">
        <v>64</v>
      </c>
      <c r="C1178" t="s">
        <v>460</v>
      </c>
      <c r="D1178" s="8">
        <v>0.29166666666666669</v>
      </c>
      <c r="E1178" s="8">
        <v>0.54166666666666663</v>
      </c>
      <c r="L1178" t="s">
        <v>563</v>
      </c>
      <c r="M1178" t="s">
        <v>478</v>
      </c>
      <c r="N1178" t="str">
        <f>Tabela_tudo[[#This Row],[Médico]]&amp;" ("&amp;Tabela_tudo[[#This Row],[Obs]]&amp;")"</f>
        <v>SAR ()</v>
      </c>
    </row>
    <row r="1179" spans="1:14" x14ac:dyDescent="0.3">
      <c r="A1179" s="1">
        <v>45086</v>
      </c>
      <c r="B1179" t="s">
        <v>64</v>
      </c>
      <c r="C1179" t="s">
        <v>460</v>
      </c>
      <c r="D1179" s="8">
        <v>0.29166666666666669</v>
      </c>
      <c r="E1179" s="8">
        <v>0.54166666666666663</v>
      </c>
      <c r="L1179" t="s">
        <v>563</v>
      </c>
      <c r="M1179" t="s">
        <v>478</v>
      </c>
      <c r="N1179" t="str">
        <f>Tabela_tudo[[#This Row],[Médico]]&amp;" ("&amp;Tabela_tudo[[#This Row],[Obs]]&amp;")"</f>
        <v>SAR ()</v>
      </c>
    </row>
    <row r="1180" spans="1:14" x14ac:dyDescent="0.3">
      <c r="A1180" s="1">
        <v>45107</v>
      </c>
      <c r="B1180" t="s">
        <v>64</v>
      </c>
      <c r="C1180" t="s">
        <v>460</v>
      </c>
      <c r="D1180" s="8">
        <v>0.29166666666666669</v>
      </c>
      <c r="E1180" s="8">
        <v>0.54166666666666663</v>
      </c>
      <c r="L1180" t="s">
        <v>563</v>
      </c>
      <c r="M1180" t="s">
        <v>478</v>
      </c>
      <c r="N1180" t="str">
        <f>Tabela_tudo[[#This Row],[Médico]]&amp;" ("&amp;Tabela_tudo[[#This Row],[Obs]]&amp;")"</f>
        <v>SAR ()</v>
      </c>
    </row>
    <row r="1181" spans="1:14" x14ac:dyDescent="0.3">
      <c r="A1181" s="1">
        <v>45128</v>
      </c>
      <c r="B1181" t="s">
        <v>64</v>
      </c>
      <c r="C1181" t="s">
        <v>460</v>
      </c>
      <c r="D1181" s="8">
        <v>0.29166666666666669</v>
      </c>
      <c r="E1181" s="8">
        <v>0.54166666666666663</v>
      </c>
      <c r="L1181" t="s">
        <v>563</v>
      </c>
      <c r="M1181" t="s">
        <v>478</v>
      </c>
      <c r="N1181" t="str">
        <f>Tabela_tudo[[#This Row],[Médico]]&amp;" ("&amp;Tabela_tudo[[#This Row],[Obs]]&amp;")"</f>
        <v>SAR ()</v>
      </c>
    </row>
    <row r="1182" spans="1:14" x14ac:dyDescent="0.3">
      <c r="A1182" s="1">
        <v>45121</v>
      </c>
      <c r="B1182" t="s">
        <v>64</v>
      </c>
      <c r="C1182" t="s">
        <v>460</v>
      </c>
      <c r="D1182" s="8">
        <v>0.29166666666666669</v>
      </c>
      <c r="E1182" s="8">
        <v>0.54166666666666663</v>
      </c>
      <c r="L1182" t="s">
        <v>563</v>
      </c>
      <c r="M1182" t="s">
        <v>478</v>
      </c>
      <c r="N1182" t="str">
        <f>Tabela_tudo[[#This Row],[Médico]]&amp;" ("&amp;Tabela_tudo[[#This Row],[Obs]]&amp;")"</f>
        <v>SAR ()</v>
      </c>
    </row>
    <row r="1183" spans="1:14" x14ac:dyDescent="0.3">
      <c r="A1183" s="1">
        <v>45114</v>
      </c>
      <c r="B1183" t="s">
        <v>64</v>
      </c>
      <c r="C1183" t="s">
        <v>460</v>
      </c>
      <c r="D1183" s="8">
        <v>0.29166666666666669</v>
      </c>
      <c r="E1183" s="8">
        <v>0.54166666666666663</v>
      </c>
      <c r="L1183" t="s">
        <v>563</v>
      </c>
      <c r="M1183" t="s">
        <v>478</v>
      </c>
      <c r="N1183" t="str">
        <f>Tabela_tudo[[#This Row],[Médico]]&amp;" ("&amp;Tabela_tudo[[#This Row],[Obs]]&amp;")"</f>
        <v>SAR ()</v>
      </c>
    </row>
    <row r="1184" spans="1:14" x14ac:dyDescent="0.3">
      <c r="A1184" s="1">
        <v>44974</v>
      </c>
      <c r="B1184" t="s">
        <v>64</v>
      </c>
      <c r="C1184" t="s">
        <v>460</v>
      </c>
      <c r="D1184" s="8">
        <v>0.29166666666666669</v>
      </c>
      <c r="E1184" s="8">
        <v>0.54166666666666663</v>
      </c>
      <c r="L1184" t="s">
        <v>563</v>
      </c>
      <c r="M1184" t="s">
        <v>478</v>
      </c>
      <c r="N1184" t="str">
        <f>Tabela_tudo[[#This Row],[Médico]]&amp;" ("&amp;Tabela_tudo[[#This Row],[Obs]]&amp;")"</f>
        <v>SAR ()</v>
      </c>
    </row>
    <row r="1185" spans="1:14" x14ac:dyDescent="0.3">
      <c r="A1185" s="1">
        <v>45560</v>
      </c>
      <c r="B1185" t="s">
        <v>32</v>
      </c>
      <c r="C1185" t="s">
        <v>460</v>
      </c>
      <c r="D1185" s="8">
        <v>0.54166666666666663</v>
      </c>
      <c r="E1185" s="8">
        <v>0.83333333333333337</v>
      </c>
      <c r="L1185" t="s">
        <v>563</v>
      </c>
      <c r="M1185" t="s">
        <v>478</v>
      </c>
      <c r="N1185" t="str">
        <f>Tabela_tudo[[#This Row],[Médico]]&amp;" ("&amp;Tabela_tudo[[#This Row],[Obs]]&amp;")"</f>
        <v>JS ()</v>
      </c>
    </row>
    <row r="1186" spans="1:14" x14ac:dyDescent="0.3">
      <c r="A1186" s="1">
        <v>45553</v>
      </c>
      <c r="B1186" t="s">
        <v>32</v>
      </c>
      <c r="C1186" t="s">
        <v>460</v>
      </c>
      <c r="D1186" s="8">
        <v>0.54166666666666663</v>
      </c>
      <c r="E1186" s="8">
        <v>0.83333333333333337</v>
      </c>
      <c r="L1186" t="s">
        <v>563</v>
      </c>
      <c r="M1186" t="s">
        <v>478</v>
      </c>
      <c r="N1186" t="str">
        <f>Tabela_tudo[[#This Row],[Médico]]&amp;" ("&amp;Tabela_tudo[[#This Row],[Obs]]&amp;")"</f>
        <v>JS ()</v>
      </c>
    </row>
    <row r="1187" spans="1:14" x14ac:dyDescent="0.3">
      <c r="A1187" s="1">
        <v>45546</v>
      </c>
      <c r="B1187" t="s">
        <v>32</v>
      </c>
      <c r="C1187" t="s">
        <v>460</v>
      </c>
      <c r="D1187" s="8">
        <v>0.54166666666666663</v>
      </c>
      <c r="E1187" s="8">
        <v>0.83333333333333337</v>
      </c>
      <c r="L1187" t="s">
        <v>563</v>
      </c>
      <c r="M1187" t="s">
        <v>478</v>
      </c>
      <c r="N1187" t="str">
        <f>Tabela_tudo[[#This Row],[Médico]]&amp;" ("&amp;Tabela_tudo[[#This Row],[Obs]]&amp;")"</f>
        <v>JS ()</v>
      </c>
    </row>
    <row r="1188" spans="1:14" x14ac:dyDescent="0.3">
      <c r="A1188" s="1">
        <v>45567</v>
      </c>
      <c r="B1188" t="s">
        <v>32</v>
      </c>
      <c r="C1188" t="s">
        <v>460</v>
      </c>
      <c r="D1188" s="8">
        <v>0.54166666666666663</v>
      </c>
      <c r="E1188" s="8">
        <v>0.83333333333333337</v>
      </c>
      <c r="L1188" t="s">
        <v>563</v>
      </c>
      <c r="M1188" t="s">
        <v>478</v>
      </c>
      <c r="N1188" t="str">
        <f>Tabela_tudo[[#This Row],[Médico]]&amp;" ("&amp;Tabela_tudo[[#This Row],[Obs]]&amp;")"</f>
        <v>JS ()</v>
      </c>
    </row>
    <row r="1189" spans="1:14" x14ac:dyDescent="0.3">
      <c r="A1189" s="1">
        <v>45588</v>
      </c>
      <c r="B1189" t="s">
        <v>32</v>
      </c>
      <c r="C1189" t="s">
        <v>460</v>
      </c>
      <c r="D1189" s="8">
        <v>0.54166666666666663</v>
      </c>
      <c r="E1189" s="8">
        <v>0.83333333333333337</v>
      </c>
      <c r="L1189" t="s">
        <v>563</v>
      </c>
      <c r="M1189" t="s">
        <v>478</v>
      </c>
      <c r="N1189" t="str">
        <f>Tabela_tudo[[#This Row],[Médico]]&amp;" ("&amp;Tabela_tudo[[#This Row],[Obs]]&amp;")"</f>
        <v>JS ()</v>
      </c>
    </row>
    <row r="1190" spans="1:14" x14ac:dyDescent="0.3">
      <c r="A1190" s="1">
        <v>45581</v>
      </c>
      <c r="B1190" t="s">
        <v>32</v>
      </c>
      <c r="C1190" t="s">
        <v>460</v>
      </c>
      <c r="D1190" s="8">
        <v>0.54166666666666663</v>
      </c>
      <c r="E1190" s="8">
        <v>0.83333333333333337</v>
      </c>
      <c r="L1190" t="s">
        <v>563</v>
      </c>
      <c r="M1190" t="s">
        <v>478</v>
      </c>
      <c r="N1190" t="str">
        <f>Tabela_tudo[[#This Row],[Médico]]&amp;" ("&amp;Tabela_tudo[[#This Row],[Obs]]&amp;")"</f>
        <v>JS ()</v>
      </c>
    </row>
    <row r="1191" spans="1:14" x14ac:dyDescent="0.3">
      <c r="A1191" s="1">
        <v>45574</v>
      </c>
      <c r="B1191" t="s">
        <v>32</v>
      </c>
      <c r="C1191" t="s">
        <v>460</v>
      </c>
      <c r="D1191" s="8">
        <v>0.54166666666666663</v>
      </c>
      <c r="E1191" s="8">
        <v>0.83333333333333337</v>
      </c>
      <c r="L1191" t="s">
        <v>563</v>
      </c>
      <c r="M1191" t="s">
        <v>478</v>
      </c>
      <c r="N1191" t="str">
        <f>Tabela_tudo[[#This Row],[Médico]]&amp;" ("&amp;Tabela_tudo[[#This Row],[Obs]]&amp;")"</f>
        <v>JS ()</v>
      </c>
    </row>
    <row r="1192" spans="1:14" x14ac:dyDescent="0.3">
      <c r="A1192" s="1">
        <v>45511</v>
      </c>
      <c r="B1192" t="s">
        <v>32</v>
      </c>
      <c r="C1192" t="s">
        <v>460</v>
      </c>
      <c r="D1192" s="8">
        <v>0.54166666666666663</v>
      </c>
      <c r="E1192" s="8">
        <v>0.83333333333333337</v>
      </c>
      <c r="L1192" t="s">
        <v>563</v>
      </c>
      <c r="M1192" t="s">
        <v>478</v>
      </c>
      <c r="N1192" t="str">
        <f>Tabela_tudo[[#This Row],[Médico]]&amp;" ("&amp;Tabela_tudo[[#This Row],[Obs]]&amp;")"</f>
        <v>JS ()</v>
      </c>
    </row>
    <row r="1193" spans="1:14" x14ac:dyDescent="0.3">
      <c r="A1193" s="1">
        <v>45504</v>
      </c>
      <c r="B1193" t="s">
        <v>32</v>
      </c>
      <c r="C1193" t="s">
        <v>460</v>
      </c>
      <c r="D1193" s="8">
        <v>0.54166666666666663</v>
      </c>
      <c r="E1193" s="8">
        <v>0.83333333333333337</v>
      </c>
      <c r="L1193" t="s">
        <v>563</v>
      </c>
      <c r="M1193" t="s">
        <v>478</v>
      </c>
      <c r="N1193" t="str">
        <f>Tabela_tudo[[#This Row],[Médico]]&amp;" ("&amp;Tabela_tudo[[#This Row],[Obs]]&amp;")"</f>
        <v>JS ()</v>
      </c>
    </row>
    <row r="1194" spans="1:14" x14ac:dyDescent="0.3">
      <c r="A1194" s="1">
        <v>45497</v>
      </c>
      <c r="B1194" t="s">
        <v>32</v>
      </c>
      <c r="C1194" t="s">
        <v>460</v>
      </c>
      <c r="D1194" s="8">
        <v>0.54166666666666663</v>
      </c>
      <c r="E1194" s="8">
        <v>0.83333333333333337</v>
      </c>
      <c r="L1194" t="s">
        <v>563</v>
      </c>
      <c r="M1194" t="s">
        <v>478</v>
      </c>
      <c r="N1194" t="str">
        <f>Tabela_tudo[[#This Row],[Médico]]&amp;" ("&amp;Tabela_tudo[[#This Row],[Obs]]&amp;")"</f>
        <v>JS ()</v>
      </c>
    </row>
    <row r="1195" spans="1:14" x14ac:dyDescent="0.3">
      <c r="A1195" s="1">
        <v>45518</v>
      </c>
      <c r="B1195" t="s">
        <v>32</v>
      </c>
      <c r="C1195" t="s">
        <v>460</v>
      </c>
      <c r="D1195" s="8">
        <v>0.54166666666666663</v>
      </c>
      <c r="E1195" s="8">
        <v>0.83333333333333337</v>
      </c>
      <c r="L1195" t="s">
        <v>563</v>
      </c>
      <c r="M1195" t="s">
        <v>478</v>
      </c>
      <c r="N1195" t="str">
        <f>Tabela_tudo[[#This Row],[Médico]]&amp;" ("&amp;Tabela_tudo[[#This Row],[Obs]]&amp;")"</f>
        <v>JS ()</v>
      </c>
    </row>
    <row r="1196" spans="1:14" x14ac:dyDescent="0.3">
      <c r="A1196" s="1">
        <v>45539</v>
      </c>
      <c r="B1196" t="s">
        <v>32</v>
      </c>
      <c r="C1196" t="s">
        <v>460</v>
      </c>
      <c r="D1196" s="8">
        <v>0.54166666666666663</v>
      </c>
      <c r="E1196" s="8">
        <v>0.83333333333333337</v>
      </c>
      <c r="L1196" t="s">
        <v>563</v>
      </c>
      <c r="M1196" t="s">
        <v>478</v>
      </c>
      <c r="N1196" t="str">
        <f>Tabela_tudo[[#This Row],[Médico]]&amp;" ("&amp;Tabela_tudo[[#This Row],[Obs]]&amp;")"</f>
        <v>JS ()</v>
      </c>
    </row>
    <row r="1197" spans="1:14" x14ac:dyDescent="0.3">
      <c r="A1197" s="1">
        <v>45532</v>
      </c>
      <c r="B1197" t="s">
        <v>32</v>
      </c>
      <c r="C1197" t="s">
        <v>460</v>
      </c>
      <c r="D1197" s="8">
        <v>0.54166666666666663</v>
      </c>
      <c r="E1197" s="8">
        <v>0.83333333333333337</v>
      </c>
      <c r="L1197" t="s">
        <v>563</v>
      </c>
      <c r="M1197" t="s">
        <v>478</v>
      </c>
      <c r="N1197" t="str">
        <f>Tabela_tudo[[#This Row],[Médico]]&amp;" ("&amp;Tabela_tudo[[#This Row],[Obs]]&amp;")"</f>
        <v>JS ()</v>
      </c>
    </row>
    <row r="1198" spans="1:14" x14ac:dyDescent="0.3">
      <c r="A1198" s="1">
        <v>45525</v>
      </c>
      <c r="B1198" t="s">
        <v>32</v>
      </c>
      <c r="C1198" t="s">
        <v>460</v>
      </c>
      <c r="D1198" s="8">
        <v>0.54166666666666663</v>
      </c>
      <c r="E1198" s="8">
        <v>0.83333333333333337</v>
      </c>
      <c r="L1198" t="s">
        <v>563</v>
      </c>
      <c r="M1198" t="s">
        <v>478</v>
      </c>
      <c r="N1198" t="str">
        <f>Tabela_tudo[[#This Row],[Médico]]&amp;" ("&amp;Tabela_tudo[[#This Row],[Obs]]&amp;")"</f>
        <v>JS ()</v>
      </c>
    </row>
    <row r="1199" spans="1:14" x14ac:dyDescent="0.3">
      <c r="A1199" s="1">
        <v>45595</v>
      </c>
      <c r="B1199" t="s">
        <v>32</v>
      </c>
      <c r="C1199" t="s">
        <v>460</v>
      </c>
      <c r="D1199" s="8">
        <v>0.54166666666666663</v>
      </c>
      <c r="E1199" s="8">
        <v>0.83333333333333337</v>
      </c>
      <c r="L1199" t="s">
        <v>563</v>
      </c>
      <c r="M1199" t="s">
        <v>478</v>
      </c>
      <c r="N1199" t="str">
        <f>Tabela_tudo[[#This Row],[Médico]]&amp;" ("&amp;Tabela_tudo[[#This Row],[Obs]]&amp;")"</f>
        <v>JS ()</v>
      </c>
    </row>
    <row r="1200" spans="1:14" x14ac:dyDescent="0.3">
      <c r="A1200" s="1">
        <v>44939</v>
      </c>
      <c r="B1200" t="s">
        <v>64</v>
      </c>
      <c r="C1200" t="s">
        <v>460</v>
      </c>
      <c r="D1200" s="8">
        <v>0.29166666666666669</v>
      </c>
      <c r="E1200" s="8">
        <v>0.54166666666666663</v>
      </c>
      <c r="L1200" t="s">
        <v>563</v>
      </c>
      <c r="M1200" t="s">
        <v>478</v>
      </c>
      <c r="N1200" t="str">
        <f>Tabela_tudo[[#This Row],[Médico]]&amp;" ("&amp;Tabela_tudo[[#This Row],[Obs]]&amp;")"</f>
        <v>SAR ()</v>
      </c>
    </row>
    <row r="1201" spans="1:14" x14ac:dyDescent="0.3">
      <c r="A1201" s="1">
        <v>44932</v>
      </c>
      <c r="B1201" t="s">
        <v>64</v>
      </c>
      <c r="C1201" t="s">
        <v>460</v>
      </c>
      <c r="D1201" s="8">
        <v>0.29166666666666669</v>
      </c>
      <c r="E1201" s="8">
        <v>0.54166666666666663</v>
      </c>
      <c r="L1201" t="s">
        <v>563</v>
      </c>
      <c r="M1201" t="s">
        <v>478</v>
      </c>
      <c r="N1201" t="str">
        <f>Tabela_tudo[[#This Row],[Médico]]&amp;" ("&amp;Tabela_tudo[[#This Row],[Obs]]&amp;")"</f>
        <v>SAR ()</v>
      </c>
    </row>
    <row r="1202" spans="1:14" x14ac:dyDescent="0.3">
      <c r="A1202" s="1">
        <v>45651</v>
      </c>
      <c r="B1202" t="s">
        <v>32</v>
      </c>
      <c r="C1202" t="s">
        <v>460</v>
      </c>
      <c r="D1202" s="8">
        <v>0.54166666666666663</v>
      </c>
      <c r="E1202" s="8">
        <v>0.83333333333333337</v>
      </c>
      <c r="L1202" t="s">
        <v>563</v>
      </c>
      <c r="M1202" t="s">
        <v>478</v>
      </c>
      <c r="N1202" t="str">
        <f>Tabela_tudo[[#This Row],[Médico]]&amp;" ("&amp;Tabela_tudo[[#This Row],[Obs]]&amp;")"</f>
        <v>JS ()</v>
      </c>
    </row>
    <row r="1203" spans="1:14" x14ac:dyDescent="0.3">
      <c r="A1203" s="1">
        <v>44946</v>
      </c>
      <c r="B1203" t="s">
        <v>64</v>
      </c>
      <c r="C1203" t="s">
        <v>460</v>
      </c>
      <c r="D1203" s="8">
        <v>0.29166666666666669</v>
      </c>
      <c r="E1203" s="8">
        <v>0.54166666666666663</v>
      </c>
      <c r="L1203" t="s">
        <v>563</v>
      </c>
      <c r="M1203" t="s">
        <v>478</v>
      </c>
      <c r="N1203" t="str">
        <f>Tabela_tudo[[#This Row],[Médico]]&amp;" ("&amp;Tabela_tudo[[#This Row],[Obs]]&amp;")"</f>
        <v>SAR ()</v>
      </c>
    </row>
    <row r="1204" spans="1:14" x14ac:dyDescent="0.3">
      <c r="A1204" s="1">
        <v>44967</v>
      </c>
      <c r="B1204" t="s">
        <v>64</v>
      </c>
      <c r="C1204" t="s">
        <v>460</v>
      </c>
      <c r="D1204" s="8">
        <v>0.29166666666666669</v>
      </c>
      <c r="E1204" s="8">
        <v>0.54166666666666663</v>
      </c>
      <c r="L1204" t="s">
        <v>563</v>
      </c>
      <c r="M1204" t="s">
        <v>478</v>
      </c>
      <c r="N1204" t="str">
        <f>Tabela_tudo[[#This Row],[Médico]]&amp;" ("&amp;Tabela_tudo[[#This Row],[Obs]]&amp;")"</f>
        <v>SAR ()</v>
      </c>
    </row>
    <row r="1205" spans="1:14" x14ac:dyDescent="0.3">
      <c r="A1205" s="1">
        <v>44960</v>
      </c>
      <c r="B1205" t="s">
        <v>64</v>
      </c>
      <c r="C1205" t="s">
        <v>460</v>
      </c>
      <c r="D1205" s="8">
        <v>0.29166666666666669</v>
      </c>
      <c r="E1205" s="8">
        <v>0.54166666666666663</v>
      </c>
      <c r="L1205" t="s">
        <v>563</v>
      </c>
      <c r="M1205" t="s">
        <v>478</v>
      </c>
      <c r="N1205" t="str">
        <f>Tabela_tudo[[#This Row],[Médico]]&amp;" ("&amp;Tabela_tudo[[#This Row],[Obs]]&amp;")"</f>
        <v>SAR ()</v>
      </c>
    </row>
    <row r="1206" spans="1:14" x14ac:dyDescent="0.3">
      <c r="A1206" s="1">
        <v>44953</v>
      </c>
      <c r="B1206" t="s">
        <v>64</v>
      </c>
      <c r="C1206" t="s">
        <v>460</v>
      </c>
      <c r="D1206" s="8">
        <v>0.29166666666666669</v>
      </c>
      <c r="E1206" s="8">
        <v>0.54166666666666663</v>
      </c>
      <c r="L1206" t="s">
        <v>563</v>
      </c>
      <c r="M1206" t="s">
        <v>478</v>
      </c>
      <c r="N1206" t="str">
        <f>Tabela_tudo[[#This Row],[Médico]]&amp;" ("&amp;Tabela_tudo[[#This Row],[Obs]]&amp;")"</f>
        <v>SAR ()</v>
      </c>
    </row>
    <row r="1207" spans="1:14" x14ac:dyDescent="0.3">
      <c r="A1207" s="1">
        <v>45616</v>
      </c>
      <c r="B1207" t="s">
        <v>32</v>
      </c>
      <c r="C1207" t="s">
        <v>460</v>
      </c>
      <c r="D1207" s="8">
        <v>0.54166666666666663</v>
      </c>
      <c r="E1207" s="8">
        <v>0.83333333333333337</v>
      </c>
      <c r="L1207" t="s">
        <v>563</v>
      </c>
      <c r="M1207" t="s">
        <v>478</v>
      </c>
      <c r="N1207" t="str">
        <f>Tabela_tudo[[#This Row],[Médico]]&amp;" ("&amp;Tabela_tudo[[#This Row],[Obs]]&amp;")"</f>
        <v>JS ()</v>
      </c>
    </row>
    <row r="1208" spans="1:14" x14ac:dyDescent="0.3">
      <c r="A1208" s="1">
        <v>45609</v>
      </c>
      <c r="B1208" t="s">
        <v>32</v>
      </c>
      <c r="C1208" t="s">
        <v>460</v>
      </c>
      <c r="D1208" s="8">
        <v>0.54166666666666663</v>
      </c>
      <c r="E1208" s="8">
        <v>0.83333333333333337</v>
      </c>
      <c r="L1208" t="s">
        <v>563</v>
      </c>
      <c r="M1208" t="s">
        <v>478</v>
      </c>
      <c r="N1208" t="str">
        <f>Tabela_tudo[[#This Row],[Médico]]&amp;" ("&amp;Tabela_tudo[[#This Row],[Obs]]&amp;")"</f>
        <v>JS ()</v>
      </c>
    </row>
    <row r="1209" spans="1:14" x14ac:dyDescent="0.3">
      <c r="A1209" s="1">
        <v>45602</v>
      </c>
      <c r="B1209" t="s">
        <v>32</v>
      </c>
      <c r="C1209" t="s">
        <v>460</v>
      </c>
      <c r="D1209" s="8">
        <v>0.54166666666666663</v>
      </c>
      <c r="E1209" s="8">
        <v>0.83333333333333337</v>
      </c>
      <c r="L1209" t="s">
        <v>563</v>
      </c>
      <c r="M1209" t="s">
        <v>478</v>
      </c>
      <c r="N1209" t="str">
        <f>Tabela_tudo[[#This Row],[Médico]]&amp;" ("&amp;Tabela_tudo[[#This Row],[Obs]]&amp;")"</f>
        <v>JS ()</v>
      </c>
    </row>
    <row r="1210" spans="1:14" x14ac:dyDescent="0.3">
      <c r="A1210" s="1">
        <v>45623</v>
      </c>
      <c r="B1210" t="s">
        <v>32</v>
      </c>
      <c r="C1210" t="s">
        <v>460</v>
      </c>
      <c r="D1210" s="8">
        <v>0.54166666666666663</v>
      </c>
      <c r="E1210" s="8">
        <v>0.83333333333333337</v>
      </c>
      <c r="L1210" t="s">
        <v>563</v>
      </c>
      <c r="M1210" t="s">
        <v>478</v>
      </c>
      <c r="N1210" t="str">
        <f>Tabela_tudo[[#This Row],[Médico]]&amp;" ("&amp;Tabela_tudo[[#This Row],[Obs]]&amp;")"</f>
        <v>JS ()</v>
      </c>
    </row>
    <row r="1211" spans="1:14" x14ac:dyDescent="0.3">
      <c r="A1211" s="1">
        <v>45644</v>
      </c>
      <c r="B1211" t="s">
        <v>32</v>
      </c>
      <c r="C1211" t="s">
        <v>460</v>
      </c>
      <c r="D1211" s="8">
        <v>0.54166666666666663</v>
      </c>
      <c r="E1211" s="8">
        <v>0.83333333333333337</v>
      </c>
      <c r="L1211" t="s">
        <v>563</v>
      </c>
      <c r="M1211" t="s">
        <v>478</v>
      </c>
      <c r="N1211" t="str">
        <f>Tabela_tudo[[#This Row],[Médico]]&amp;" ("&amp;Tabela_tudo[[#This Row],[Obs]]&amp;")"</f>
        <v>JS ()</v>
      </c>
    </row>
    <row r="1212" spans="1:14" x14ac:dyDescent="0.3">
      <c r="A1212" s="1">
        <v>45637</v>
      </c>
      <c r="B1212" t="s">
        <v>32</v>
      </c>
      <c r="C1212" t="s">
        <v>460</v>
      </c>
      <c r="D1212" s="8">
        <v>0.54166666666666663</v>
      </c>
      <c r="E1212" s="8">
        <v>0.83333333333333337</v>
      </c>
      <c r="L1212" t="s">
        <v>563</v>
      </c>
      <c r="M1212" t="s">
        <v>478</v>
      </c>
      <c r="N1212" t="str">
        <f>Tabela_tudo[[#This Row],[Médico]]&amp;" ("&amp;Tabela_tudo[[#This Row],[Obs]]&amp;")"</f>
        <v>JS ()</v>
      </c>
    </row>
    <row r="1213" spans="1:14" x14ac:dyDescent="0.3">
      <c r="A1213" s="1">
        <v>45630</v>
      </c>
      <c r="B1213" t="s">
        <v>32</v>
      </c>
      <c r="C1213" t="s">
        <v>460</v>
      </c>
      <c r="D1213" s="8">
        <v>0.54166666666666663</v>
      </c>
      <c r="E1213" s="8">
        <v>0.83333333333333337</v>
      </c>
      <c r="L1213" t="s">
        <v>563</v>
      </c>
      <c r="M1213" t="s">
        <v>478</v>
      </c>
      <c r="N1213" t="str">
        <f>Tabela_tudo[[#This Row],[Médico]]&amp;" ("&amp;Tabela_tudo[[#This Row],[Obs]]&amp;")"</f>
        <v>JS ()</v>
      </c>
    </row>
    <row r="1214" spans="1:14" x14ac:dyDescent="0.3">
      <c r="A1214" s="1">
        <v>45184</v>
      </c>
      <c r="B1214" t="s">
        <v>64</v>
      </c>
      <c r="C1214" t="s">
        <v>460</v>
      </c>
      <c r="D1214" s="8">
        <v>0.29166666666666669</v>
      </c>
      <c r="E1214" s="8">
        <v>0.54166666666666663</v>
      </c>
      <c r="L1214" t="s">
        <v>563</v>
      </c>
      <c r="M1214" t="s">
        <v>478</v>
      </c>
      <c r="N1214" t="str">
        <f>Tabela_tudo[[#This Row],[Médico]]&amp;" ("&amp;Tabela_tudo[[#This Row],[Obs]]&amp;")"</f>
        <v>SAR ()</v>
      </c>
    </row>
    <row r="1215" spans="1:14" x14ac:dyDescent="0.3">
      <c r="A1215" s="1">
        <v>45471</v>
      </c>
      <c r="B1215" t="s">
        <v>64</v>
      </c>
      <c r="C1215" t="s">
        <v>460</v>
      </c>
      <c r="D1215" s="8">
        <v>0.29166666666666669</v>
      </c>
      <c r="E1215" s="8">
        <v>0.54166666666666663</v>
      </c>
      <c r="L1215" t="s">
        <v>563</v>
      </c>
      <c r="M1215" t="s">
        <v>478</v>
      </c>
      <c r="N1215" t="str">
        <f>Tabela_tudo[[#This Row],[Médico]]&amp;" ("&amp;Tabela_tudo[[#This Row],[Obs]]&amp;")"</f>
        <v>SAR ()</v>
      </c>
    </row>
    <row r="1216" spans="1:14" x14ac:dyDescent="0.3">
      <c r="A1216" s="1">
        <v>45464</v>
      </c>
      <c r="B1216" t="s">
        <v>64</v>
      </c>
      <c r="C1216" t="s">
        <v>460</v>
      </c>
      <c r="D1216" s="8">
        <v>0.29166666666666669</v>
      </c>
      <c r="E1216" s="8">
        <v>0.54166666666666663</v>
      </c>
      <c r="L1216" t="s">
        <v>563</v>
      </c>
      <c r="M1216" t="s">
        <v>478</v>
      </c>
      <c r="N1216" t="str">
        <f>Tabela_tudo[[#This Row],[Médico]]&amp;" ("&amp;Tabela_tudo[[#This Row],[Obs]]&amp;")"</f>
        <v>SAR ()</v>
      </c>
    </row>
    <row r="1217" spans="1:14" x14ac:dyDescent="0.3">
      <c r="A1217" s="1">
        <v>45457</v>
      </c>
      <c r="B1217" t="s">
        <v>64</v>
      </c>
      <c r="C1217" t="s">
        <v>460</v>
      </c>
      <c r="D1217" s="8">
        <v>0.29166666666666669</v>
      </c>
      <c r="E1217" s="8">
        <v>0.54166666666666663</v>
      </c>
      <c r="L1217" t="s">
        <v>563</v>
      </c>
      <c r="M1217" t="s">
        <v>478</v>
      </c>
      <c r="N1217" t="str">
        <f>Tabela_tudo[[#This Row],[Médico]]&amp;" ("&amp;Tabela_tudo[[#This Row],[Obs]]&amp;")"</f>
        <v>SAR ()</v>
      </c>
    </row>
    <row r="1218" spans="1:14" x14ac:dyDescent="0.3">
      <c r="A1218" s="1">
        <v>45478</v>
      </c>
      <c r="B1218" t="s">
        <v>64</v>
      </c>
      <c r="C1218" t="s">
        <v>460</v>
      </c>
      <c r="D1218" s="8">
        <v>0.29166666666666669</v>
      </c>
      <c r="E1218" s="8">
        <v>0.54166666666666663</v>
      </c>
      <c r="L1218" t="s">
        <v>563</v>
      </c>
      <c r="M1218" t="s">
        <v>478</v>
      </c>
      <c r="N1218" t="str">
        <f>Tabela_tudo[[#This Row],[Médico]]&amp;" ("&amp;Tabela_tudo[[#This Row],[Obs]]&amp;")"</f>
        <v>SAR ()</v>
      </c>
    </row>
    <row r="1219" spans="1:14" x14ac:dyDescent="0.3">
      <c r="A1219" s="1">
        <v>45499</v>
      </c>
      <c r="B1219" t="s">
        <v>64</v>
      </c>
      <c r="C1219" t="s">
        <v>460</v>
      </c>
      <c r="D1219" s="8">
        <v>0.29166666666666669</v>
      </c>
      <c r="E1219" s="8">
        <v>0.54166666666666663</v>
      </c>
      <c r="L1219" t="s">
        <v>563</v>
      </c>
      <c r="M1219" t="s">
        <v>478</v>
      </c>
      <c r="N1219" t="str">
        <f>Tabela_tudo[[#This Row],[Médico]]&amp;" ("&amp;Tabela_tudo[[#This Row],[Obs]]&amp;")"</f>
        <v>SAR ()</v>
      </c>
    </row>
    <row r="1220" spans="1:14" x14ac:dyDescent="0.3">
      <c r="A1220" s="1">
        <v>45492</v>
      </c>
      <c r="B1220" t="s">
        <v>64</v>
      </c>
      <c r="C1220" t="s">
        <v>460</v>
      </c>
      <c r="D1220" s="8">
        <v>0.29166666666666669</v>
      </c>
      <c r="E1220" s="8">
        <v>0.54166666666666663</v>
      </c>
      <c r="L1220" t="s">
        <v>563</v>
      </c>
      <c r="M1220" t="s">
        <v>478</v>
      </c>
      <c r="N1220" t="str">
        <f>Tabela_tudo[[#This Row],[Médico]]&amp;" ("&amp;Tabela_tudo[[#This Row],[Obs]]&amp;")"</f>
        <v>SAR ()</v>
      </c>
    </row>
    <row r="1221" spans="1:14" x14ac:dyDescent="0.3">
      <c r="A1221" s="1">
        <v>45485</v>
      </c>
      <c r="B1221" t="s">
        <v>64</v>
      </c>
      <c r="C1221" t="s">
        <v>460</v>
      </c>
      <c r="D1221" s="8">
        <v>0.29166666666666669</v>
      </c>
      <c r="E1221" s="8">
        <v>0.54166666666666663</v>
      </c>
      <c r="L1221" t="s">
        <v>563</v>
      </c>
      <c r="M1221" t="s">
        <v>478</v>
      </c>
      <c r="N1221" t="str">
        <f>Tabela_tudo[[#This Row],[Médico]]&amp;" ("&amp;Tabela_tudo[[#This Row],[Obs]]&amp;")"</f>
        <v>SAR ()</v>
      </c>
    </row>
    <row r="1222" spans="1:14" x14ac:dyDescent="0.3">
      <c r="A1222" s="1">
        <v>45422</v>
      </c>
      <c r="B1222" t="s">
        <v>64</v>
      </c>
      <c r="C1222" t="s">
        <v>460</v>
      </c>
      <c r="D1222" s="8">
        <v>0.29166666666666669</v>
      </c>
      <c r="E1222" s="8">
        <v>0.54166666666666663</v>
      </c>
      <c r="L1222" t="s">
        <v>563</v>
      </c>
      <c r="M1222" t="s">
        <v>478</v>
      </c>
      <c r="N1222" t="str">
        <f>Tabela_tudo[[#This Row],[Médico]]&amp;" ("&amp;Tabela_tudo[[#This Row],[Obs]]&amp;")"</f>
        <v>SAR ()</v>
      </c>
    </row>
    <row r="1223" spans="1:14" x14ac:dyDescent="0.3">
      <c r="A1223" s="1">
        <v>45415</v>
      </c>
      <c r="B1223" t="s">
        <v>64</v>
      </c>
      <c r="C1223" t="s">
        <v>460</v>
      </c>
      <c r="D1223" s="8">
        <v>0.29166666666666669</v>
      </c>
      <c r="E1223" s="8">
        <v>0.54166666666666663</v>
      </c>
      <c r="L1223" t="s">
        <v>563</v>
      </c>
      <c r="M1223" t="s">
        <v>478</v>
      </c>
      <c r="N1223" t="str">
        <f>Tabela_tudo[[#This Row],[Médico]]&amp;" ("&amp;Tabela_tudo[[#This Row],[Obs]]&amp;")"</f>
        <v>SAR ()</v>
      </c>
    </row>
    <row r="1224" spans="1:14" x14ac:dyDescent="0.3">
      <c r="A1224" s="1">
        <v>45408</v>
      </c>
      <c r="B1224" t="s">
        <v>64</v>
      </c>
      <c r="C1224" t="s">
        <v>460</v>
      </c>
      <c r="D1224" s="8">
        <v>0.29166666666666669</v>
      </c>
      <c r="E1224" s="8">
        <v>0.54166666666666663</v>
      </c>
      <c r="L1224" t="s">
        <v>563</v>
      </c>
      <c r="M1224" t="s">
        <v>478</v>
      </c>
      <c r="N1224" t="str">
        <f>Tabela_tudo[[#This Row],[Médico]]&amp;" ("&amp;Tabela_tudo[[#This Row],[Obs]]&amp;")"</f>
        <v>SAR ()</v>
      </c>
    </row>
    <row r="1225" spans="1:14" x14ac:dyDescent="0.3">
      <c r="A1225" s="1">
        <v>45429</v>
      </c>
      <c r="B1225" t="s">
        <v>64</v>
      </c>
      <c r="C1225" t="s">
        <v>460</v>
      </c>
      <c r="D1225" s="8">
        <v>0.29166666666666669</v>
      </c>
      <c r="E1225" s="8">
        <v>0.54166666666666663</v>
      </c>
      <c r="L1225" t="s">
        <v>563</v>
      </c>
      <c r="M1225" t="s">
        <v>478</v>
      </c>
      <c r="N1225" t="str">
        <f>Tabela_tudo[[#This Row],[Médico]]&amp;" ("&amp;Tabela_tudo[[#This Row],[Obs]]&amp;")"</f>
        <v>SAR ()</v>
      </c>
    </row>
    <row r="1226" spans="1:14" x14ac:dyDescent="0.3">
      <c r="A1226" s="1">
        <v>45450</v>
      </c>
      <c r="B1226" t="s">
        <v>64</v>
      </c>
      <c r="C1226" t="s">
        <v>460</v>
      </c>
      <c r="D1226" s="8">
        <v>0.29166666666666669</v>
      </c>
      <c r="E1226" s="8">
        <v>0.54166666666666663</v>
      </c>
      <c r="L1226" t="s">
        <v>563</v>
      </c>
      <c r="M1226" t="s">
        <v>478</v>
      </c>
      <c r="N1226" t="str">
        <f>Tabela_tudo[[#This Row],[Médico]]&amp;" ("&amp;Tabela_tudo[[#This Row],[Obs]]&amp;")"</f>
        <v>SAR ()</v>
      </c>
    </row>
    <row r="1227" spans="1:14" x14ac:dyDescent="0.3">
      <c r="A1227" s="1">
        <v>45443</v>
      </c>
      <c r="B1227" t="s">
        <v>64</v>
      </c>
      <c r="C1227" t="s">
        <v>460</v>
      </c>
      <c r="D1227" s="8">
        <v>0.29166666666666669</v>
      </c>
      <c r="E1227" s="8">
        <v>0.54166666666666663</v>
      </c>
      <c r="L1227" t="s">
        <v>563</v>
      </c>
      <c r="M1227" t="s">
        <v>478</v>
      </c>
      <c r="N1227" t="str">
        <f>Tabela_tudo[[#This Row],[Médico]]&amp;" ("&amp;Tabela_tudo[[#This Row],[Obs]]&amp;")"</f>
        <v>SAR ()</v>
      </c>
    </row>
    <row r="1228" spans="1:14" x14ac:dyDescent="0.3">
      <c r="A1228" s="1">
        <v>45436</v>
      </c>
      <c r="B1228" t="s">
        <v>64</v>
      </c>
      <c r="C1228" t="s">
        <v>460</v>
      </c>
      <c r="D1228" s="8">
        <v>0.29166666666666669</v>
      </c>
      <c r="E1228" s="8">
        <v>0.54166666666666663</v>
      </c>
      <c r="L1228" t="s">
        <v>563</v>
      </c>
      <c r="M1228" t="s">
        <v>478</v>
      </c>
      <c r="N1228" t="str">
        <f>Tabela_tudo[[#This Row],[Médico]]&amp;" ("&amp;Tabela_tudo[[#This Row],[Obs]]&amp;")"</f>
        <v>SAR ()</v>
      </c>
    </row>
    <row r="1229" spans="1:14" x14ac:dyDescent="0.3">
      <c r="A1229" s="1">
        <v>45506</v>
      </c>
      <c r="B1229" t="s">
        <v>64</v>
      </c>
      <c r="C1229" t="s">
        <v>460</v>
      </c>
      <c r="D1229" s="8">
        <v>0.29166666666666669</v>
      </c>
      <c r="E1229" s="8">
        <v>0.54166666666666663</v>
      </c>
      <c r="L1229" t="s">
        <v>563</v>
      </c>
      <c r="M1229" t="s">
        <v>478</v>
      </c>
      <c r="N1229" t="str">
        <f>Tabela_tudo[[#This Row],[Médico]]&amp;" ("&amp;Tabela_tudo[[#This Row],[Obs]]&amp;")"</f>
        <v>SAR ()</v>
      </c>
    </row>
    <row r="1230" spans="1:14" x14ac:dyDescent="0.3">
      <c r="A1230" s="1">
        <v>45576</v>
      </c>
      <c r="B1230" t="s">
        <v>64</v>
      </c>
      <c r="C1230" t="s">
        <v>460</v>
      </c>
      <c r="D1230" s="8">
        <v>0.29166666666666669</v>
      </c>
      <c r="E1230" s="8">
        <v>0.54166666666666663</v>
      </c>
      <c r="L1230" t="s">
        <v>563</v>
      </c>
      <c r="M1230" t="s">
        <v>478</v>
      </c>
      <c r="N1230" t="str">
        <f>Tabela_tudo[[#This Row],[Médico]]&amp;" ("&amp;Tabela_tudo[[#This Row],[Obs]]&amp;")"</f>
        <v>SAR ()</v>
      </c>
    </row>
    <row r="1231" spans="1:14" x14ac:dyDescent="0.3">
      <c r="A1231" s="1">
        <v>45569</v>
      </c>
      <c r="B1231" t="s">
        <v>64</v>
      </c>
      <c r="C1231" t="s">
        <v>460</v>
      </c>
      <c r="D1231" s="8">
        <v>0.29166666666666669</v>
      </c>
      <c r="E1231" s="8">
        <v>0.54166666666666663</v>
      </c>
      <c r="L1231" t="s">
        <v>563</v>
      </c>
      <c r="M1231" t="s">
        <v>478</v>
      </c>
      <c r="N1231" t="str">
        <f>Tabela_tudo[[#This Row],[Médico]]&amp;" ("&amp;Tabela_tudo[[#This Row],[Obs]]&amp;")"</f>
        <v>SAR ()</v>
      </c>
    </row>
    <row r="1232" spans="1:14" x14ac:dyDescent="0.3">
      <c r="A1232" s="1">
        <v>45562</v>
      </c>
      <c r="B1232" t="s">
        <v>64</v>
      </c>
      <c r="C1232" t="s">
        <v>460</v>
      </c>
      <c r="D1232" s="8">
        <v>0.29166666666666669</v>
      </c>
      <c r="E1232" s="8">
        <v>0.54166666666666663</v>
      </c>
      <c r="L1232" t="s">
        <v>563</v>
      </c>
      <c r="M1232" t="s">
        <v>478</v>
      </c>
      <c r="N1232" t="str">
        <f>Tabela_tudo[[#This Row],[Médico]]&amp;" ("&amp;Tabela_tudo[[#This Row],[Obs]]&amp;")"</f>
        <v>SAR ()</v>
      </c>
    </row>
    <row r="1233" spans="1:14" x14ac:dyDescent="0.3">
      <c r="A1233" s="1">
        <v>45583</v>
      </c>
      <c r="B1233" t="s">
        <v>64</v>
      </c>
      <c r="C1233" t="s">
        <v>460</v>
      </c>
      <c r="D1233" s="8">
        <v>0.29166666666666669</v>
      </c>
      <c r="E1233" s="8">
        <v>0.54166666666666663</v>
      </c>
      <c r="L1233" t="s">
        <v>563</v>
      </c>
      <c r="M1233" t="s">
        <v>478</v>
      </c>
      <c r="N1233" t="str">
        <f>Tabela_tudo[[#This Row],[Médico]]&amp;" ("&amp;Tabela_tudo[[#This Row],[Obs]]&amp;")"</f>
        <v>SAR ()</v>
      </c>
    </row>
    <row r="1234" spans="1:14" x14ac:dyDescent="0.3">
      <c r="A1234" s="1">
        <v>45604</v>
      </c>
      <c r="B1234" t="s">
        <v>64</v>
      </c>
      <c r="C1234" t="s">
        <v>460</v>
      </c>
      <c r="D1234" s="8">
        <v>0.29166666666666669</v>
      </c>
      <c r="E1234" s="8">
        <v>0.54166666666666663</v>
      </c>
      <c r="L1234" t="s">
        <v>563</v>
      </c>
      <c r="M1234" t="s">
        <v>478</v>
      </c>
      <c r="N1234" t="str">
        <f>Tabela_tudo[[#This Row],[Médico]]&amp;" ("&amp;Tabela_tudo[[#This Row],[Obs]]&amp;")"</f>
        <v>SAR ()</v>
      </c>
    </row>
    <row r="1235" spans="1:14" x14ac:dyDescent="0.3">
      <c r="A1235" s="1">
        <v>45597</v>
      </c>
      <c r="B1235" t="s">
        <v>64</v>
      </c>
      <c r="C1235" t="s">
        <v>460</v>
      </c>
      <c r="D1235" s="8">
        <v>0.29166666666666669</v>
      </c>
      <c r="E1235" s="8">
        <v>0.54166666666666663</v>
      </c>
      <c r="L1235" t="s">
        <v>563</v>
      </c>
      <c r="M1235" t="s">
        <v>478</v>
      </c>
      <c r="N1235" t="str">
        <f>Tabela_tudo[[#This Row],[Médico]]&amp;" ("&amp;Tabela_tudo[[#This Row],[Obs]]&amp;")"</f>
        <v>SAR ()</v>
      </c>
    </row>
    <row r="1236" spans="1:14" x14ac:dyDescent="0.3">
      <c r="A1236" s="1">
        <v>45590</v>
      </c>
      <c r="B1236" t="s">
        <v>64</v>
      </c>
      <c r="C1236" t="s">
        <v>460</v>
      </c>
      <c r="D1236" s="8">
        <v>0.29166666666666669</v>
      </c>
      <c r="E1236" s="8">
        <v>0.54166666666666663</v>
      </c>
      <c r="L1236" t="s">
        <v>563</v>
      </c>
      <c r="M1236" t="s">
        <v>478</v>
      </c>
      <c r="N1236" t="str">
        <f>Tabela_tudo[[#This Row],[Médico]]&amp;" ("&amp;Tabela_tudo[[#This Row],[Obs]]&amp;")"</f>
        <v>SAR ()</v>
      </c>
    </row>
    <row r="1237" spans="1:14" x14ac:dyDescent="0.3">
      <c r="A1237" s="1">
        <v>45527</v>
      </c>
      <c r="B1237" t="s">
        <v>64</v>
      </c>
      <c r="C1237" t="s">
        <v>460</v>
      </c>
      <c r="D1237" s="8">
        <v>0.29166666666666669</v>
      </c>
      <c r="E1237" s="8">
        <v>0.54166666666666663</v>
      </c>
      <c r="L1237" t="s">
        <v>563</v>
      </c>
      <c r="M1237" t="s">
        <v>478</v>
      </c>
      <c r="N1237" t="str">
        <f>Tabela_tudo[[#This Row],[Médico]]&amp;" ("&amp;Tabela_tudo[[#This Row],[Obs]]&amp;")"</f>
        <v>SAR ()</v>
      </c>
    </row>
    <row r="1238" spans="1:14" x14ac:dyDescent="0.3">
      <c r="A1238" s="1">
        <v>45520</v>
      </c>
      <c r="B1238" t="s">
        <v>64</v>
      </c>
      <c r="C1238" t="s">
        <v>460</v>
      </c>
      <c r="D1238" s="8">
        <v>0.29166666666666669</v>
      </c>
      <c r="E1238" s="8">
        <v>0.54166666666666663</v>
      </c>
      <c r="L1238" t="s">
        <v>563</v>
      </c>
      <c r="M1238" t="s">
        <v>478</v>
      </c>
      <c r="N1238" t="str">
        <f>Tabela_tudo[[#This Row],[Médico]]&amp;" ("&amp;Tabela_tudo[[#This Row],[Obs]]&amp;")"</f>
        <v>SAR ()</v>
      </c>
    </row>
    <row r="1239" spans="1:14" x14ac:dyDescent="0.3">
      <c r="A1239" s="1">
        <v>45513</v>
      </c>
      <c r="B1239" t="s">
        <v>64</v>
      </c>
      <c r="C1239" t="s">
        <v>460</v>
      </c>
      <c r="D1239" s="8">
        <v>0.29166666666666669</v>
      </c>
      <c r="E1239" s="8">
        <v>0.54166666666666663</v>
      </c>
      <c r="L1239" t="s">
        <v>563</v>
      </c>
      <c r="M1239" t="s">
        <v>478</v>
      </c>
      <c r="N1239" t="str">
        <f>Tabela_tudo[[#This Row],[Médico]]&amp;" ("&amp;Tabela_tudo[[#This Row],[Obs]]&amp;")"</f>
        <v>SAR ()</v>
      </c>
    </row>
    <row r="1240" spans="1:14" x14ac:dyDescent="0.3">
      <c r="A1240" s="1">
        <v>45534</v>
      </c>
      <c r="B1240" t="s">
        <v>64</v>
      </c>
      <c r="C1240" t="s">
        <v>460</v>
      </c>
      <c r="D1240" s="8">
        <v>0.29166666666666669</v>
      </c>
      <c r="E1240" s="8">
        <v>0.54166666666666663</v>
      </c>
      <c r="L1240" t="s">
        <v>563</v>
      </c>
      <c r="M1240" t="s">
        <v>478</v>
      </c>
      <c r="N1240" t="str">
        <f>Tabela_tudo[[#This Row],[Médico]]&amp;" ("&amp;Tabela_tudo[[#This Row],[Obs]]&amp;")"</f>
        <v>SAR ()</v>
      </c>
    </row>
    <row r="1241" spans="1:14" x14ac:dyDescent="0.3">
      <c r="A1241" s="1">
        <v>45555</v>
      </c>
      <c r="B1241" t="s">
        <v>64</v>
      </c>
      <c r="C1241" t="s">
        <v>460</v>
      </c>
      <c r="D1241" s="8">
        <v>0.29166666666666669</v>
      </c>
      <c r="E1241" s="8">
        <v>0.54166666666666663</v>
      </c>
      <c r="L1241" t="s">
        <v>563</v>
      </c>
      <c r="M1241" t="s">
        <v>478</v>
      </c>
      <c r="N1241" t="str">
        <f>Tabela_tudo[[#This Row],[Médico]]&amp;" ("&amp;Tabela_tudo[[#This Row],[Obs]]&amp;")"</f>
        <v>SAR ()</v>
      </c>
    </row>
    <row r="1242" spans="1:14" x14ac:dyDescent="0.3">
      <c r="A1242" s="1">
        <v>45548</v>
      </c>
      <c r="B1242" t="s">
        <v>64</v>
      </c>
      <c r="C1242" t="s">
        <v>460</v>
      </c>
      <c r="D1242" s="8">
        <v>0.29166666666666669</v>
      </c>
      <c r="E1242" s="8">
        <v>0.54166666666666663</v>
      </c>
      <c r="L1242" t="s">
        <v>563</v>
      </c>
      <c r="M1242" t="s">
        <v>478</v>
      </c>
      <c r="N1242" t="str">
        <f>Tabela_tudo[[#This Row],[Médico]]&amp;" ("&amp;Tabela_tudo[[#This Row],[Obs]]&amp;")"</f>
        <v>SAR ()</v>
      </c>
    </row>
    <row r="1243" spans="1:14" x14ac:dyDescent="0.3">
      <c r="A1243" s="1">
        <v>45541</v>
      </c>
      <c r="B1243" t="s">
        <v>64</v>
      </c>
      <c r="C1243" t="s">
        <v>460</v>
      </c>
      <c r="D1243" s="8">
        <v>0.29166666666666669</v>
      </c>
      <c r="E1243" s="8">
        <v>0.54166666666666663</v>
      </c>
      <c r="L1243" t="s">
        <v>563</v>
      </c>
      <c r="M1243" t="s">
        <v>478</v>
      </c>
      <c r="N1243" t="str">
        <f>Tabela_tudo[[#This Row],[Médico]]&amp;" ("&amp;Tabela_tudo[[#This Row],[Obs]]&amp;")"</f>
        <v>SAR ()</v>
      </c>
    </row>
    <row r="1244" spans="1:14" x14ac:dyDescent="0.3">
      <c r="A1244" s="1">
        <v>45401</v>
      </c>
      <c r="B1244" t="s">
        <v>64</v>
      </c>
      <c r="C1244" t="s">
        <v>460</v>
      </c>
      <c r="D1244" s="8">
        <v>0.29166666666666669</v>
      </c>
      <c r="E1244" s="8">
        <v>0.54166666666666663</v>
      </c>
      <c r="L1244" t="s">
        <v>563</v>
      </c>
      <c r="M1244" t="s">
        <v>478</v>
      </c>
      <c r="N1244" t="str">
        <f>Tabela_tudo[[#This Row],[Médico]]&amp;" ("&amp;Tabela_tudo[[#This Row],[Obs]]&amp;")"</f>
        <v>SAR ()</v>
      </c>
    </row>
    <row r="1245" spans="1:14" x14ac:dyDescent="0.3">
      <c r="A1245" s="1">
        <v>45261</v>
      </c>
      <c r="B1245" t="s">
        <v>64</v>
      </c>
      <c r="C1245" t="s">
        <v>460</v>
      </c>
      <c r="D1245" s="8">
        <v>0.29166666666666669</v>
      </c>
      <c r="E1245" s="8">
        <v>0.54166666666666663</v>
      </c>
      <c r="L1245" t="s">
        <v>563</v>
      </c>
      <c r="M1245" t="s">
        <v>478</v>
      </c>
      <c r="N1245" t="str">
        <f>Tabela_tudo[[#This Row],[Médico]]&amp;" ("&amp;Tabela_tudo[[#This Row],[Obs]]&amp;")"</f>
        <v>SAR ()</v>
      </c>
    </row>
    <row r="1246" spans="1:14" x14ac:dyDescent="0.3">
      <c r="A1246" s="1">
        <v>45254</v>
      </c>
      <c r="B1246" t="s">
        <v>64</v>
      </c>
      <c r="C1246" t="s">
        <v>460</v>
      </c>
      <c r="D1246" s="8">
        <v>0.29166666666666669</v>
      </c>
      <c r="E1246" s="8">
        <v>0.54166666666666663</v>
      </c>
      <c r="L1246" t="s">
        <v>563</v>
      </c>
      <c r="M1246" t="s">
        <v>478</v>
      </c>
      <c r="N1246" t="str">
        <f>Tabela_tudo[[#This Row],[Médico]]&amp;" ("&amp;Tabela_tudo[[#This Row],[Obs]]&amp;")"</f>
        <v>SAR ()</v>
      </c>
    </row>
    <row r="1247" spans="1:14" x14ac:dyDescent="0.3">
      <c r="A1247" s="1">
        <v>45247</v>
      </c>
      <c r="B1247" t="s">
        <v>64</v>
      </c>
      <c r="C1247" t="s">
        <v>460</v>
      </c>
      <c r="D1247" s="8">
        <v>0.29166666666666669</v>
      </c>
      <c r="E1247" s="8">
        <v>0.54166666666666663</v>
      </c>
      <c r="L1247" t="s">
        <v>563</v>
      </c>
      <c r="M1247" t="s">
        <v>478</v>
      </c>
      <c r="N1247" t="str">
        <f>Tabela_tudo[[#This Row],[Médico]]&amp;" ("&amp;Tabela_tudo[[#This Row],[Obs]]&amp;")"</f>
        <v>SAR ()</v>
      </c>
    </row>
    <row r="1248" spans="1:14" x14ac:dyDescent="0.3">
      <c r="A1248" s="1">
        <v>45268</v>
      </c>
      <c r="B1248" t="s">
        <v>64</v>
      </c>
      <c r="C1248" t="s">
        <v>460</v>
      </c>
      <c r="D1248" s="8">
        <v>0.29166666666666669</v>
      </c>
      <c r="E1248" s="8">
        <v>0.54166666666666663</v>
      </c>
      <c r="L1248" t="s">
        <v>563</v>
      </c>
      <c r="M1248" t="s">
        <v>478</v>
      </c>
      <c r="N1248" t="str">
        <f>Tabela_tudo[[#This Row],[Médico]]&amp;" ("&amp;Tabela_tudo[[#This Row],[Obs]]&amp;")"</f>
        <v>SAR ()</v>
      </c>
    </row>
    <row r="1249" spans="1:14" x14ac:dyDescent="0.3">
      <c r="A1249" s="1">
        <v>45289</v>
      </c>
      <c r="B1249" t="s">
        <v>64</v>
      </c>
      <c r="C1249" t="s">
        <v>460</v>
      </c>
      <c r="D1249" s="8">
        <v>0.29166666666666669</v>
      </c>
      <c r="E1249" s="8">
        <v>0.54166666666666663</v>
      </c>
      <c r="L1249" t="s">
        <v>563</v>
      </c>
      <c r="M1249" t="s">
        <v>478</v>
      </c>
      <c r="N1249" t="str">
        <f>Tabela_tudo[[#This Row],[Médico]]&amp;" ("&amp;Tabela_tudo[[#This Row],[Obs]]&amp;")"</f>
        <v>SAR ()</v>
      </c>
    </row>
    <row r="1250" spans="1:14" x14ac:dyDescent="0.3">
      <c r="A1250" s="1">
        <v>45282</v>
      </c>
      <c r="B1250" t="s">
        <v>64</v>
      </c>
      <c r="C1250" t="s">
        <v>460</v>
      </c>
      <c r="D1250" s="8">
        <v>0.29166666666666669</v>
      </c>
      <c r="E1250" s="8">
        <v>0.54166666666666663</v>
      </c>
      <c r="L1250" t="s">
        <v>563</v>
      </c>
      <c r="M1250" t="s">
        <v>478</v>
      </c>
      <c r="N1250" t="str">
        <f>Tabela_tudo[[#This Row],[Médico]]&amp;" ("&amp;Tabela_tudo[[#This Row],[Obs]]&amp;")"</f>
        <v>SAR ()</v>
      </c>
    </row>
    <row r="1251" spans="1:14" x14ac:dyDescent="0.3">
      <c r="A1251" s="1">
        <v>45275</v>
      </c>
      <c r="B1251" t="s">
        <v>64</v>
      </c>
      <c r="C1251" t="s">
        <v>460</v>
      </c>
      <c r="D1251" s="8">
        <v>0.29166666666666669</v>
      </c>
      <c r="E1251" s="8">
        <v>0.54166666666666663</v>
      </c>
      <c r="L1251" t="s">
        <v>563</v>
      </c>
      <c r="M1251" t="s">
        <v>478</v>
      </c>
      <c r="N1251" t="str">
        <f>Tabela_tudo[[#This Row],[Médico]]&amp;" ("&amp;Tabela_tudo[[#This Row],[Obs]]&amp;")"</f>
        <v>SAR ()</v>
      </c>
    </row>
    <row r="1252" spans="1:14" x14ac:dyDescent="0.3">
      <c r="A1252" s="1">
        <v>45205</v>
      </c>
      <c r="B1252" t="s">
        <v>64</v>
      </c>
      <c r="C1252" t="s">
        <v>460</v>
      </c>
      <c r="D1252" s="8">
        <v>0.29166666666666669</v>
      </c>
      <c r="E1252" s="8">
        <v>0.54166666666666663</v>
      </c>
      <c r="L1252" t="s">
        <v>563</v>
      </c>
      <c r="M1252" t="s">
        <v>478</v>
      </c>
      <c r="N1252" t="str">
        <f>Tabela_tudo[[#This Row],[Médico]]&amp;" ("&amp;Tabela_tudo[[#This Row],[Obs]]&amp;")"</f>
        <v>SAR ()</v>
      </c>
    </row>
    <row r="1253" spans="1:14" x14ac:dyDescent="0.3">
      <c r="A1253" s="1">
        <v>45198</v>
      </c>
      <c r="B1253" t="s">
        <v>64</v>
      </c>
      <c r="C1253" t="s">
        <v>460</v>
      </c>
      <c r="D1253" s="8">
        <v>0.29166666666666669</v>
      </c>
      <c r="E1253" s="8">
        <v>0.54166666666666663</v>
      </c>
      <c r="L1253" t="s">
        <v>563</v>
      </c>
      <c r="M1253" t="s">
        <v>478</v>
      </c>
      <c r="N1253" t="str">
        <f>Tabela_tudo[[#This Row],[Médico]]&amp;" ("&amp;Tabela_tudo[[#This Row],[Obs]]&amp;")"</f>
        <v>SAR ()</v>
      </c>
    </row>
    <row r="1254" spans="1:14" x14ac:dyDescent="0.3">
      <c r="A1254" s="1">
        <v>45191</v>
      </c>
      <c r="B1254" t="s">
        <v>64</v>
      </c>
      <c r="C1254" t="s">
        <v>460</v>
      </c>
      <c r="D1254" s="8">
        <v>0.29166666666666669</v>
      </c>
      <c r="E1254" s="8">
        <v>0.54166666666666663</v>
      </c>
      <c r="L1254" t="s">
        <v>563</v>
      </c>
      <c r="M1254" t="s">
        <v>478</v>
      </c>
      <c r="N1254" t="str">
        <f>Tabela_tudo[[#This Row],[Médico]]&amp;" ("&amp;Tabela_tudo[[#This Row],[Obs]]&amp;")"</f>
        <v>SAR ()</v>
      </c>
    </row>
    <row r="1255" spans="1:14" x14ac:dyDescent="0.3">
      <c r="A1255" s="1">
        <v>45212</v>
      </c>
      <c r="B1255" t="s">
        <v>64</v>
      </c>
      <c r="C1255" t="s">
        <v>460</v>
      </c>
      <c r="D1255" s="8">
        <v>0.29166666666666669</v>
      </c>
      <c r="E1255" s="8">
        <v>0.54166666666666663</v>
      </c>
      <c r="L1255" t="s">
        <v>563</v>
      </c>
      <c r="M1255" t="s">
        <v>478</v>
      </c>
      <c r="N1255" t="str">
        <f>Tabela_tudo[[#This Row],[Médico]]&amp;" ("&amp;Tabela_tudo[[#This Row],[Obs]]&amp;")"</f>
        <v>SAR ()</v>
      </c>
    </row>
    <row r="1256" spans="1:14" x14ac:dyDescent="0.3">
      <c r="A1256" s="1">
        <v>45233</v>
      </c>
      <c r="B1256" t="s">
        <v>64</v>
      </c>
      <c r="C1256" t="s">
        <v>460</v>
      </c>
      <c r="D1256" s="8">
        <v>0.29166666666666669</v>
      </c>
      <c r="E1256" s="8">
        <v>0.54166666666666663</v>
      </c>
      <c r="L1256" t="s">
        <v>563</v>
      </c>
      <c r="M1256" t="s">
        <v>478</v>
      </c>
      <c r="N1256" t="str">
        <f>Tabela_tudo[[#This Row],[Médico]]&amp;" ("&amp;Tabela_tudo[[#This Row],[Obs]]&amp;")"</f>
        <v>SAR ()</v>
      </c>
    </row>
    <row r="1257" spans="1:14" x14ac:dyDescent="0.3">
      <c r="A1257" s="1">
        <v>45226</v>
      </c>
      <c r="B1257" t="s">
        <v>64</v>
      </c>
      <c r="C1257" t="s">
        <v>460</v>
      </c>
      <c r="D1257" s="8">
        <v>0.29166666666666669</v>
      </c>
      <c r="E1257" s="8">
        <v>0.54166666666666663</v>
      </c>
      <c r="L1257" t="s">
        <v>563</v>
      </c>
      <c r="M1257" t="s">
        <v>478</v>
      </c>
      <c r="N1257" t="str">
        <f>Tabela_tudo[[#This Row],[Médico]]&amp;" ("&amp;Tabela_tudo[[#This Row],[Obs]]&amp;")"</f>
        <v>SAR ()</v>
      </c>
    </row>
    <row r="1258" spans="1:14" x14ac:dyDescent="0.3">
      <c r="A1258" s="1">
        <v>45219</v>
      </c>
      <c r="B1258" t="s">
        <v>64</v>
      </c>
      <c r="C1258" t="s">
        <v>460</v>
      </c>
      <c r="D1258" s="8">
        <v>0.29166666666666669</v>
      </c>
      <c r="E1258" s="8">
        <v>0.54166666666666663</v>
      </c>
      <c r="L1258" t="s">
        <v>563</v>
      </c>
      <c r="M1258" t="s">
        <v>478</v>
      </c>
      <c r="N1258" t="str">
        <f>Tabela_tudo[[#This Row],[Médico]]&amp;" ("&amp;Tabela_tudo[[#This Row],[Obs]]&amp;")"</f>
        <v>SAR ()</v>
      </c>
    </row>
    <row r="1259" spans="1:14" x14ac:dyDescent="0.3">
      <c r="A1259" s="1">
        <v>45296</v>
      </c>
      <c r="B1259" t="s">
        <v>64</v>
      </c>
      <c r="C1259" t="s">
        <v>460</v>
      </c>
      <c r="D1259" s="8">
        <v>0.29166666666666669</v>
      </c>
      <c r="E1259" s="8">
        <v>0.54166666666666663</v>
      </c>
      <c r="L1259" t="s">
        <v>563</v>
      </c>
      <c r="M1259" t="s">
        <v>478</v>
      </c>
      <c r="N1259" t="str">
        <f>Tabela_tudo[[#This Row],[Médico]]&amp;" ("&amp;Tabela_tudo[[#This Row],[Obs]]&amp;")"</f>
        <v>SAR ()</v>
      </c>
    </row>
    <row r="1260" spans="1:14" x14ac:dyDescent="0.3">
      <c r="A1260" s="1">
        <v>45366</v>
      </c>
      <c r="B1260" t="s">
        <v>64</v>
      </c>
      <c r="C1260" t="s">
        <v>460</v>
      </c>
      <c r="D1260" s="8">
        <v>0.29166666666666669</v>
      </c>
      <c r="E1260" s="8">
        <v>0.54166666666666663</v>
      </c>
      <c r="L1260" t="s">
        <v>563</v>
      </c>
      <c r="M1260" t="s">
        <v>478</v>
      </c>
      <c r="N1260" t="str">
        <f>Tabela_tudo[[#This Row],[Médico]]&amp;" ("&amp;Tabela_tudo[[#This Row],[Obs]]&amp;")"</f>
        <v>SAR ()</v>
      </c>
    </row>
    <row r="1261" spans="1:14" x14ac:dyDescent="0.3">
      <c r="A1261" s="1">
        <v>45359</v>
      </c>
      <c r="B1261" t="s">
        <v>64</v>
      </c>
      <c r="C1261" t="s">
        <v>460</v>
      </c>
      <c r="D1261" s="8">
        <v>0.29166666666666669</v>
      </c>
      <c r="E1261" s="8">
        <v>0.54166666666666663</v>
      </c>
      <c r="L1261" t="s">
        <v>563</v>
      </c>
      <c r="M1261" t="s">
        <v>478</v>
      </c>
      <c r="N1261" t="str">
        <f>Tabela_tudo[[#This Row],[Médico]]&amp;" ("&amp;Tabela_tudo[[#This Row],[Obs]]&amp;")"</f>
        <v>SAR ()</v>
      </c>
    </row>
    <row r="1262" spans="1:14" x14ac:dyDescent="0.3">
      <c r="A1262" s="1">
        <v>45352</v>
      </c>
      <c r="B1262" t="s">
        <v>64</v>
      </c>
      <c r="C1262" t="s">
        <v>460</v>
      </c>
      <c r="D1262" s="8">
        <v>0.29166666666666669</v>
      </c>
      <c r="E1262" s="8">
        <v>0.54166666666666663</v>
      </c>
      <c r="L1262" t="s">
        <v>563</v>
      </c>
      <c r="M1262" t="s">
        <v>478</v>
      </c>
      <c r="N1262" t="str">
        <f>Tabela_tudo[[#This Row],[Médico]]&amp;" ("&amp;Tabela_tudo[[#This Row],[Obs]]&amp;")"</f>
        <v>SAR ()</v>
      </c>
    </row>
    <row r="1263" spans="1:14" x14ac:dyDescent="0.3">
      <c r="A1263" s="1">
        <v>45373</v>
      </c>
      <c r="B1263" t="s">
        <v>64</v>
      </c>
      <c r="C1263" t="s">
        <v>460</v>
      </c>
      <c r="D1263" s="8">
        <v>0.29166666666666669</v>
      </c>
      <c r="E1263" s="8">
        <v>0.54166666666666663</v>
      </c>
      <c r="L1263" t="s">
        <v>563</v>
      </c>
      <c r="M1263" t="s">
        <v>478</v>
      </c>
      <c r="N1263" t="str">
        <f>Tabela_tudo[[#This Row],[Médico]]&amp;" ("&amp;Tabela_tudo[[#This Row],[Obs]]&amp;")"</f>
        <v>SAR ()</v>
      </c>
    </row>
    <row r="1264" spans="1:14" x14ac:dyDescent="0.3">
      <c r="A1264" s="1">
        <v>45394</v>
      </c>
      <c r="B1264" t="s">
        <v>64</v>
      </c>
      <c r="C1264" t="s">
        <v>460</v>
      </c>
      <c r="D1264" s="8">
        <v>0.29166666666666669</v>
      </c>
      <c r="E1264" s="8">
        <v>0.54166666666666663</v>
      </c>
      <c r="L1264" t="s">
        <v>563</v>
      </c>
      <c r="M1264" t="s">
        <v>478</v>
      </c>
      <c r="N1264" t="str">
        <f>Tabela_tudo[[#This Row],[Médico]]&amp;" ("&amp;Tabela_tudo[[#This Row],[Obs]]&amp;")"</f>
        <v>SAR ()</v>
      </c>
    </row>
    <row r="1265" spans="1:14" x14ac:dyDescent="0.3">
      <c r="A1265" s="1">
        <v>45387</v>
      </c>
      <c r="B1265" t="s">
        <v>64</v>
      </c>
      <c r="C1265" t="s">
        <v>460</v>
      </c>
      <c r="D1265" s="8">
        <v>0.29166666666666669</v>
      </c>
      <c r="E1265" s="8">
        <v>0.54166666666666663</v>
      </c>
      <c r="L1265" t="s">
        <v>563</v>
      </c>
      <c r="M1265" t="s">
        <v>478</v>
      </c>
      <c r="N1265" t="str">
        <f>Tabela_tudo[[#This Row],[Médico]]&amp;" ("&amp;Tabela_tudo[[#This Row],[Obs]]&amp;")"</f>
        <v>SAR ()</v>
      </c>
    </row>
    <row r="1266" spans="1:14" x14ac:dyDescent="0.3">
      <c r="A1266" s="1">
        <v>45380</v>
      </c>
      <c r="B1266" t="s">
        <v>64</v>
      </c>
      <c r="C1266" t="s">
        <v>460</v>
      </c>
      <c r="D1266" s="8">
        <v>0.29166666666666669</v>
      </c>
      <c r="E1266" s="8">
        <v>0.54166666666666663</v>
      </c>
      <c r="L1266" t="s">
        <v>563</v>
      </c>
      <c r="M1266" t="s">
        <v>478</v>
      </c>
      <c r="N1266" t="str">
        <f>Tabela_tudo[[#This Row],[Médico]]&amp;" ("&amp;Tabela_tudo[[#This Row],[Obs]]&amp;")"</f>
        <v>SAR ()</v>
      </c>
    </row>
    <row r="1267" spans="1:14" x14ac:dyDescent="0.3">
      <c r="A1267" s="1">
        <v>45317</v>
      </c>
      <c r="B1267" t="s">
        <v>64</v>
      </c>
      <c r="C1267" t="s">
        <v>460</v>
      </c>
      <c r="D1267" s="8">
        <v>0.29166666666666669</v>
      </c>
      <c r="E1267" s="8">
        <v>0.54166666666666663</v>
      </c>
      <c r="L1267" t="s">
        <v>563</v>
      </c>
      <c r="M1267" t="s">
        <v>478</v>
      </c>
      <c r="N1267" t="str">
        <f>Tabela_tudo[[#This Row],[Médico]]&amp;" ("&amp;Tabela_tudo[[#This Row],[Obs]]&amp;")"</f>
        <v>SAR ()</v>
      </c>
    </row>
    <row r="1268" spans="1:14" x14ac:dyDescent="0.3">
      <c r="A1268" s="1">
        <v>45310</v>
      </c>
      <c r="B1268" t="s">
        <v>64</v>
      </c>
      <c r="C1268" t="s">
        <v>460</v>
      </c>
      <c r="D1268" s="8">
        <v>0.29166666666666669</v>
      </c>
      <c r="E1268" s="8">
        <v>0.54166666666666663</v>
      </c>
      <c r="L1268" t="s">
        <v>563</v>
      </c>
      <c r="M1268" t="s">
        <v>478</v>
      </c>
      <c r="N1268" t="str">
        <f>Tabela_tudo[[#This Row],[Médico]]&amp;" ("&amp;Tabela_tudo[[#This Row],[Obs]]&amp;")"</f>
        <v>SAR ()</v>
      </c>
    </row>
    <row r="1269" spans="1:14" x14ac:dyDescent="0.3">
      <c r="A1269" s="1">
        <v>45303</v>
      </c>
      <c r="B1269" t="s">
        <v>64</v>
      </c>
      <c r="C1269" t="s">
        <v>460</v>
      </c>
      <c r="D1269" s="8">
        <v>0.29166666666666669</v>
      </c>
      <c r="E1269" s="8">
        <v>0.54166666666666663</v>
      </c>
      <c r="L1269" t="s">
        <v>563</v>
      </c>
      <c r="M1269" t="s">
        <v>478</v>
      </c>
      <c r="N1269" t="str">
        <f>Tabela_tudo[[#This Row],[Médico]]&amp;" ("&amp;Tabela_tudo[[#This Row],[Obs]]&amp;")"</f>
        <v>SAR ()</v>
      </c>
    </row>
    <row r="1270" spans="1:14" x14ac:dyDescent="0.3">
      <c r="A1270" s="1">
        <v>45324</v>
      </c>
      <c r="B1270" t="s">
        <v>64</v>
      </c>
      <c r="C1270" t="s">
        <v>460</v>
      </c>
      <c r="D1270" s="8">
        <v>0.29166666666666669</v>
      </c>
      <c r="E1270" s="8">
        <v>0.54166666666666663</v>
      </c>
      <c r="L1270" t="s">
        <v>563</v>
      </c>
      <c r="M1270" t="s">
        <v>478</v>
      </c>
      <c r="N1270" t="str">
        <f>Tabela_tudo[[#This Row],[Médico]]&amp;" ("&amp;Tabela_tudo[[#This Row],[Obs]]&amp;")"</f>
        <v>SAR ()</v>
      </c>
    </row>
    <row r="1271" spans="1:14" x14ac:dyDescent="0.3">
      <c r="A1271" s="1">
        <v>45345</v>
      </c>
      <c r="B1271" t="s">
        <v>64</v>
      </c>
      <c r="C1271" t="s">
        <v>460</v>
      </c>
      <c r="D1271" s="8">
        <v>0.29166666666666669</v>
      </c>
      <c r="E1271" s="8">
        <v>0.54166666666666663</v>
      </c>
      <c r="L1271" t="s">
        <v>563</v>
      </c>
      <c r="M1271" t="s">
        <v>478</v>
      </c>
      <c r="N1271" t="str">
        <f>Tabela_tudo[[#This Row],[Médico]]&amp;" ("&amp;Tabela_tudo[[#This Row],[Obs]]&amp;")"</f>
        <v>SAR ()</v>
      </c>
    </row>
    <row r="1272" spans="1:14" x14ac:dyDescent="0.3">
      <c r="A1272" s="1">
        <v>45338</v>
      </c>
      <c r="B1272" t="s">
        <v>64</v>
      </c>
      <c r="C1272" t="s">
        <v>460</v>
      </c>
      <c r="D1272" s="8">
        <v>0.29166666666666669</v>
      </c>
      <c r="E1272" s="8">
        <v>0.54166666666666663</v>
      </c>
      <c r="L1272" t="s">
        <v>563</v>
      </c>
      <c r="M1272" t="s">
        <v>478</v>
      </c>
      <c r="N1272" t="str">
        <f>Tabela_tudo[[#This Row],[Médico]]&amp;" ("&amp;Tabela_tudo[[#This Row],[Obs]]&amp;")"</f>
        <v>SAR ()</v>
      </c>
    </row>
    <row r="1273" spans="1:14" x14ac:dyDescent="0.3">
      <c r="A1273" s="1">
        <v>45331</v>
      </c>
      <c r="B1273" t="s">
        <v>64</v>
      </c>
      <c r="C1273" t="s">
        <v>460</v>
      </c>
      <c r="D1273" s="8">
        <v>0.29166666666666669</v>
      </c>
      <c r="E1273" s="8">
        <v>0.54166666666666663</v>
      </c>
      <c r="L1273" t="s">
        <v>563</v>
      </c>
      <c r="M1273" t="s">
        <v>478</v>
      </c>
      <c r="N1273" t="str">
        <f>Tabela_tudo[[#This Row],[Médico]]&amp;" ("&amp;Tabela_tudo[[#This Row],[Obs]]&amp;")"</f>
        <v>SAR ()</v>
      </c>
    </row>
    <row r="1274" spans="1:14" x14ac:dyDescent="0.3">
      <c r="A1274" s="1">
        <v>45468</v>
      </c>
      <c r="B1274" t="s">
        <v>20</v>
      </c>
      <c r="C1274" t="s">
        <v>463</v>
      </c>
      <c r="D1274" s="8">
        <v>0.75</v>
      </c>
      <c r="E1274" s="8">
        <v>0.79166666666666663</v>
      </c>
      <c r="L1274" t="s">
        <v>563</v>
      </c>
      <c r="M1274" t="s">
        <v>478</v>
      </c>
      <c r="N1274" t="str">
        <f>Tabela_tudo[[#This Row],[Médico]]&amp;" ("&amp;Tabela_tudo[[#This Row],[Obs]]&amp;")"</f>
        <v>ROB ()</v>
      </c>
    </row>
    <row r="1275" spans="1:14" x14ac:dyDescent="0.3">
      <c r="A1275" s="1">
        <v>45608</v>
      </c>
      <c r="B1275" t="s">
        <v>29</v>
      </c>
      <c r="C1275" t="s">
        <v>463</v>
      </c>
      <c r="D1275" s="8">
        <v>0.75</v>
      </c>
      <c r="E1275" s="8">
        <v>0.79166666666666663</v>
      </c>
      <c r="L1275" t="s">
        <v>563</v>
      </c>
      <c r="M1275" t="s">
        <v>478</v>
      </c>
      <c r="N1275" t="str">
        <f>Tabela_tudo[[#This Row],[Médico]]&amp;" ("&amp;Tabela_tudo[[#This Row],[Obs]]&amp;")"</f>
        <v>JOA ()</v>
      </c>
    </row>
    <row r="1276" spans="1:14" x14ac:dyDescent="0.3">
      <c r="A1276" s="1">
        <v>45601</v>
      </c>
      <c r="B1276" t="s">
        <v>29</v>
      </c>
      <c r="C1276" t="s">
        <v>463</v>
      </c>
      <c r="D1276" s="8">
        <v>0.75</v>
      </c>
      <c r="E1276" s="8">
        <v>0.79166666666666663</v>
      </c>
      <c r="L1276" t="s">
        <v>563</v>
      </c>
      <c r="M1276" t="s">
        <v>478</v>
      </c>
      <c r="N1276" t="str">
        <f>Tabela_tudo[[#This Row],[Médico]]&amp;" ("&amp;Tabela_tudo[[#This Row],[Obs]]&amp;")"</f>
        <v>JOA ()</v>
      </c>
    </row>
    <row r="1277" spans="1:14" x14ac:dyDescent="0.3">
      <c r="A1277" s="1">
        <v>45594</v>
      </c>
      <c r="B1277" t="s">
        <v>29</v>
      </c>
      <c r="C1277" t="s">
        <v>463</v>
      </c>
      <c r="D1277" s="8">
        <v>0.75</v>
      </c>
      <c r="E1277" s="8">
        <v>0.79166666666666663</v>
      </c>
      <c r="L1277" t="s">
        <v>563</v>
      </c>
      <c r="M1277" t="s">
        <v>478</v>
      </c>
      <c r="N1277" t="str">
        <f>Tabela_tudo[[#This Row],[Médico]]&amp;" ("&amp;Tabela_tudo[[#This Row],[Obs]]&amp;")"</f>
        <v>JOA ()</v>
      </c>
    </row>
    <row r="1278" spans="1:14" x14ac:dyDescent="0.3">
      <c r="A1278" s="1">
        <v>45615</v>
      </c>
      <c r="B1278" t="s">
        <v>29</v>
      </c>
      <c r="C1278" t="s">
        <v>463</v>
      </c>
      <c r="D1278" s="8">
        <v>0.75</v>
      </c>
      <c r="E1278" s="8">
        <v>0.79166666666666663</v>
      </c>
      <c r="L1278" t="s">
        <v>563</v>
      </c>
      <c r="M1278" t="s">
        <v>478</v>
      </c>
      <c r="N1278" t="str">
        <f>Tabela_tudo[[#This Row],[Médico]]&amp;" ("&amp;Tabela_tudo[[#This Row],[Obs]]&amp;")"</f>
        <v>JOA ()</v>
      </c>
    </row>
    <row r="1279" spans="1:14" x14ac:dyDescent="0.3">
      <c r="A1279" s="1">
        <v>45636</v>
      </c>
      <c r="B1279" t="s">
        <v>29</v>
      </c>
      <c r="C1279" t="s">
        <v>463</v>
      </c>
      <c r="D1279" s="8">
        <v>0.75</v>
      </c>
      <c r="E1279" s="8">
        <v>0.79166666666666663</v>
      </c>
      <c r="L1279" t="s">
        <v>563</v>
      </c>
      <c r="M1279" t="s">
        <v>478</v>
      </c>
      <c r="N1279" t="str">
        <f>Tabela_tudo[[#This Row],[Médico]]&amp;" ("&amp;Tabela_tudo[[#This Row],[Obs]]&amp;")"</f>
        <v>JOA ()</v>
      </c>
    </row>
    <row r="1280" spans="1:14" x14ac:dyDescent="0.3">
      <c r="A1280" s="1">
        <v>45629</v>
      </c>
      <c r="B1280" t="s">
        <v>29</v>
      </c>
      <c r="C1280" t="s">
        <v>463</v>
      </c>
      <c r="D1280" s="8">
        <v>0.75</v>
      </c>
      <c r="E1280" s="8">
        <v>0.79166666666666663</v>
      </c>
      <c r="L1280" t="s">
        <v>563</v>
      </c>
      <c r="M1280" t="s">
        <v>478</v>
      </c>
      <c r="N1280" t="str">
        <f>Tabela_tudo[[#This Row],[Médico]]&amp;" ("&amp;Tabela_tudo[[#This Row],[Obs]]&amp;")"</f>
        <v>JOA ()</v>
      </c>
    </row>
    <row r="1281" spans="1:14" x14ac:dyDescent="0.3">
      <c r="A1281" s="1">
        <v>45622</v>
      </c>
      <c r="B1281" t="s">
        <v>29</v>
      </c>
      <c r="C1281" t="s">
        <v>463</v>
      </c>
      <c r="D1281" s="8">
        <v>0.75</v>
      </c>
      <c r="E1281" s="8">
        <v>0.79166666666666663</v>
      </c>
      <c r="L1281" t="s">
        <v>563</v>
      </c>
      <c r="M1281" t="s">
        <v>478</v>
      </c>
      <c r="N1281" t="str">
        <f>Tabela_tudo[[#This Row],[Médico]]&amp;" ("&amp;Tabela_tudo[[#This Row],[Obs]]&amp;")"</f>
        <v>JOA ()</v>
      </c>
    </row>
    <row r="1282" spans="1:14" x14ac:dyDescent="0.3">
      <c r="A1282" s="1">
        <v>45559</v>
      </c>
      <c r="B1282" t="s">
        <v>29</v>
      </c>
      <c r="C1282" t="s">
        <v>463</v>
      </c>
      <c r="D1282" s="8">
        <v>0.75</v>
      </c>
      <c r="E1282" s="8">
        <v>0.79166666666666663</v>
      </c>
      <c r="L1282" t="s">
        <v>563</v>
      </c>
      <c r="M1282" t="s">
        <v>478</v>
      </c>
      <c r="N1282" t="str">
        <f>Tabela_tudo[[#This Row],[Médico]]&amp;" ("&amp;Tabela_tudo[[#This Row],[Obs]]&amp;")"</f>
        <v>JOA ()</v>
      </c>
    </row>
    <row r="1283" spans="1:14" x14ac:dyDescent="0.3">
      <c r="A1283" s="1">
        <v>45552</v>
      </c>
      <c r="B1283" t="s">
        <v>29</v>
      </c>
      <c r="C1283" t="s">
        <v>463</v>
      </c>
      <c r="D1283" s="8">
        <v>0.75</v>
      </c>
      <c r="E1283" s="8">
        <v>0.79166666666666663</v>
      </c>
      <c r="L1283" t="s">
        <v>563</v>
      </c>
      <c r="M1283" t="s">
        <v>478</v>
      </c>
      <c r="N1283" t="str">
        <f>Tabela_tudo[[#This Row],[Médico]]&amp;" ("&amp;Tabela_tudo[[#This Row],[Obs]]&amp;")"</f>
        <v>JOA ()</v>
      </c>
    </row>
    <row r="1284" spans="1:14" x14ac:dyDescent="0.3">
      <c r="A1284" s="1">
        <v>45545</v>
      </c>
      <c r="B1284" t="s">
        <v>29</v>
      </c>
      <c r="C1284" t="s">
        <v>463</v>
      </c>
      <c r="D1284" s="8">
        <v>0.75</v>
      </c>
      <c r="E1284" s="8">
        <v>0.79166666666666663</v>
      </c>
      <c r="L1284" t="s">
        <v>563</v>
      </c>
      <c r="M1284" t="s">
        <v>478</v>
      </c>
      <c r="N1284" t="str">
        <f>Tabela_tudo[[#This Row],[Médico]]&amp;" ("&amp;Tabela_tudo[[#This Row],[Obs]]&amp;")"</f>
        <v>JOA ()</v>
      </c>
    </row>
    <row r="1285" spans="1:14" x14ac:dyDescent="0.3">
      <c r="A1285" s="1">
        <v>45566</v>
      </c>
      <c r="B1285" t="s">
        <v>29</v>
      </c>
      <c r="C1285" t="s">
        <v>463</v>
      </c>
      <c r="D1285" s="8">
        <v>0.75</v>
      </c>
      <c r="E1285" s="8">
        <v>0.79166666666666663</v>
      </c>
      <c r="L1285" t="s">
        <v>563</v>
      </c>
      <c r="M1285" t="s">
        <v>478</v>
      </c>
      <c r="N1285" t="str">
        <f>Tabela_tudo[[#This Row],[Médico]]&amp;" ("&amp;Tabela_tudo[[#This Row],[Obs]]&amp;")"</f>
        <v>JOA ()</v>
      </c>
    </row>
    <row r="1286" spans="1:14" x14ac:dyDescent="0.3">
      <c r="A1286" s="1">
        <v>45587</v>
      </c>
      <c r="B1286" t="s">
        <v>29</v>
      </c>
      <c r="C1286" t="s">
        <v>463</v>
      </c>
      <c r="D1286" s="8">
        <v>0.75</v>
      </c>
      <c r="E1286" s="8">
        <v>0.79166666666666663</v>
      </c>
      <c r="L1286" t="s">
        <v>563</v>
      </c>
      <c r="M1286" t="s">
        <v>478</v>
      </c>
      <c r="N1286" t="str">
        <f>Tabela_tudo[[#This Row],[Médico]]&amp;" ("&amp;Tabela_tudo[[#This Row],[Obs]]&amp;")"</f>
        <v>JOA ()</v>
      </c>
    </row>
    <row r="1287" spans="1:14" x14ac:dyDescent="0.3">
      <c r="A1287" s="1">
        <v>45580</v>
      </c>
      <c r="B1287" t="s">
        <v>29</v>
      </c>
      <c r="C1287" t="s">
        <v>463</v>
      </c>
      <c r="D1287" s="8">
        <v>0.75</v>
      </c>
      <c r="E1287" s="8">
        <v>0.79166666666666663</v>
      </c>
      <c r="L1287" t="s">
        <v>563</v>
      </c>
      <c r="M1287" t="s">
        <v>478</v>
      </c>
      <c r="N1287" t="str">
        <f>Tabela_tudo[[#This Row],[Médico]]&amp;" ("&amp;Tabela_tudo[[#This Row],[Obs]]&amp;")"</f>
        <v>JOA ()</v>
      </c>
    </row>
    <row r="1288" spans="1:14" x14ac:dyDescent="0.3">
      <c r="A1288" s="1">
        <v>45573</v>
      </c>
      <c r="B1288" t="s">
        <v>29</v>
      </c>
      <c r="C1288" t="s">
        <v>463</v>
      </c>
      <c r="D1288" s="8">
        <v>0.75</v>
      </c>
      <c r="E1288" s="8">
        <v>0.79166666666666663</v>
      </c>
      <c r="L1288" t="s">
        <v>563</v>
      </c>
      <c r="M1288" t="s">
        <v>478</v>
      </c>
      <c r="N1288" t="str">
        <f>Tabela_tudo[[#This Row],[Médico]]&amp;" ("&amp;Tabela_tudo[[#This Row],[Obs]]&amp;")"</f>
        <v>JOA ()</v>
      </c>
    </row>
    <row r="1289" spans="1:14" x14ac:dyDescent="0.3">
      <c r="A1289" s="1">
        <v>45643</v>
      </c>
      <c r="B1289" t="s">
        <v>29</v>
      </c>
      <c r="C1289" t="s">
        <v>463</v>
      </c>
      <c r="D1289" s="8">
        <v>0.75</v>
      </c>
      <c r="E1289" s="8">
        <v>0.79166666666666663</v>
      </c>
      <c r="L1289" t="s">
        <v>563</v>
      </c>
      <c r="M1289" t="s">
        <v>478</v>
      </c>
      <c r="N1289" t="str">
        <f>Tabela_tudo[[#This Row],[Médico]]&amp;" ("&amp;Tabela_tudo[[#This Row],[Obs]]&amp;")"</f>
        <v>JOA ()</v>
      </c>
    </row>
    <row r="1290" spans="1:14" x14ac:dyDescent="0.3">
      <c r="A1290" s="1">
        <v>44984</v>
      </c>
      <c r="B1290" t="s">
        <v>249</v>
      </c>
      <c r="C1290" t="s">
        <v>460</v>
      </c>
      <c r="D1290" s="8">
        <v>0.29166666666666669</v>
      </c>
      <c r="E1290" s="8">
        <v>0.5625</v>
      </c>
      <c r="L1290" t="s">
        <v>563</v>
      </c>
      <c r="M1290" t="s">
        <v>478</v>
      </c>
      <c r="N1290" t="str">
        <f>Tabela_tudo[[#This Row],[Médico]]&amp;" ("&amp;Tabela_tudo[[#This Row],[Obs]]&amp;")"</f>
        <v>ISE ()</v>
      </c>
    </row>
    <row r="1291" spans="1:14" x14ac:dyDescent="0.3">
      <c r="A1291" s="1">
        <v>44977</v>
      </c>
      <c r="B1291" t="s">
        <v>249</v>
      </c>
      <c r="C1291" t="s">
        <v>460</v>
      </c>
      <c r="D1291" s="8">
        <v>0.29166666666666669</v>
      </c>
      <c r="E1291" s="8">
        <v>0.5625</v>
      </c>
      <c r="L1291" t="s">
        <v>563</v>
      </c>
      <c r="M1291" t="s">
        <v>478</v>
      </c>
      <c r="N1291" t="str">
        <f>Tabela_tudo[[#This Row],[Médico]]&amp;" ("&amp;Tabela_tudo[[#This Row],[Obs]]&amp;")"</f>
        <v>ISE ()</v>
      </c>
    </row>
    <row r="1292" spans="1:14" x14ac:dyDescent="0.3">
      <c r="A1292" s="1">
        <v>44970</v>
      </c>
      <c r="B1292" t="s">
        <v>249</v>
      </c>
      <c r="C1292" t="s">
        <v>460</v>
      </c>
      <c r="D1292" s="8">
        <v>0.29166666666666669</v>
      </c>
      <c r="E1292" s="8">
        <v>0.5625</v>
      </c>
      <c r="L1292" t="s">
        <v>563</v>
      </c>
      <c r="M1292" t="s">
        <v>478</v>
      </c>
      <c r="N1292" t="str">
        <f>Tabela_tudo[[#This Row],[Médico]]&amp;" ("&amp;Tabela_tudo[[#This Row],[Obs]]&amp;")"</f>
        <v>ISE ()</v>
      </c>
    </row>
    <row r="1293" spans="1:14" x14ac:dyDescent="0.3">
      <c r="A1293" s="1">
        <v>44991</v>
      </c>
      <c r="B1293" t="s">
        <v>249</v>
      </c>
      <c r="C1293" t="s">
        <v>460</v>
      </c>
      <c r="D1293" s="8">
        <v>0.29166666666666669</v>
      </c>
      <c r="E1293" s="8">
        <v>0.5625</v>
      </c>
      <c r="L1293" t="s">
        <v>563</v>
      </c>
      <c r="M1293" t="s">
        <v>478</v>
      </c>
      <c r="N1293" t="str">
        <f>Tabela_tudo[[#This Row],[Médico]]&amp;" ("&amp;Tabela_tudo[[#This Row],[Obs]]&amp;")"</f>
        <v>ISE ()</v>
      </c>
    </row>
    <row r="1294" spans="1:14" x14ac:dyDescent="0.3">
      <c r="A1294" s="1">
        <v>45012</v>
      </c>
      <c r="B1294" t="s">
        <v>249</v>
      </c>
      <c r="C1294" t="s">
        <v>460</v>
      </c>
      <c r="D1294" s="8">
        <v>0.29166666666666669</v>
      </c>
      <c r="E1294" s="8">
        <v>0.5625</v>
      </c>
      <c r="L1294" t="s">
        <v>563</v>
      </c>
      <c r="M1294" t="s">
        <v>478</v>
      </c>
      <c r="N1294" t="str">
        <f>Tabela_tudo[[#This Row],[Médico]]&amp;" ("&amp;Tabela_tudo[[#This Row],[Obs]]&amp;")"</f>
        <v>ISE ()</v>
      </c>
    </row>
    <row r="1295" spans="1:14" x14ac:dyDescent="0.3">
      <c r="A1295" s="1">
        <v>45005</v>
      </c>
      <c r="B1295" t="s">
        <v>249</v>
      </c>
      <c r="C1295" t="s">
        <v>460</v>
      </c>
      <c r="D1295" s="8">
        <v>0.29166666666666669</v>
      </c>
      <c r="E1295" s="8">
        <v>0.5625</v>
      </c>
      <c r="L1295" t="s">
        <v>563</v>
      </c>
      <c r="M1295" t="s">
        <v>478</v>
      </c>
      <c r="N1295" t="str">
        <f>Tabela_tudo[[#This Row],[Médico]]&amp;" ("&amp;Tabela_tudo[[#This Row],[Obs]]&amp;")"</f>
        <v>ISE ()</v>
      </c>
    </row>
    <row r="1296" spans="1:14" x14ac:dyDescent="0.3">
      <c r="A1296" s="1">
        <v>44998</v>
      </c>
      <c r="B1296" t="s">
        <v>249</v>
      </c>
      <c r="C1296" t="s">
        <v>460</v>
      </c>
      <c r="D1296" s="8">
        <v>0.29166666666666669</v>
      </c>
      <c r="E1296" s="8">
        <v>0.5625</v>
      </c>
      <c r="L1296" t="s">
        <v>563</v>
      </c>
      <c r="M1296" t="s">
        <v>478</v>
      </c>
      <c r="N1296" t="str">
        <f>Tabela_tudo[[#This Row],[Médico]]&amp;" ("&amp;Tabela_tudo[[#This Row],[Obs]]&amp;")"</f>
        <v>ISE ()</v>
      </c>
    </row>
    <row r="1297" spans="1:14" x14ac:dyDescent="0.3">
      <c r="A1297" s="1">
        <v>44935</v>
      </c>
      <c r="B1297" t="s">
        <v>249</v>
      </c>
      <c r="C1297" t="s">
        <v>460</v>
      </c>
      <c r="D1297" s="8">
        <v>0.29166666666666669</v>
      </c>
      <c r="E1297" s="8">
        <v>0.5625</v>
      </c>
      <c r="L1297" t="s">
        <v>563</v>
      </c>
      <c r="M1297" t="s">
        <v>478</v>
      </c>
      <c r="N1297" t="str">
        <f>Tabela_tudo[[#This Row],[Médico]]&amp;" ("&amp;Tabela_tudo[[#This Row],[Obs]]&amp;")"</f>
        <v>ISE ()</v>
      </c>
    </row>
    <row r="1298" spans="1:14" x14ac:dyDescent="0.3">
      <c r="A1298" s="1">
        <v>44928</v>
      </c>
      <c r="B1298" t="s">
        <v>249</v>
      </c>
      <c r="C1298" t="s">
        <v>460</v>
      </c>
      <c r="D1298" s="8">
        <v>0.29166666666666669</v>
      </c>
      <c r="E1298" s="8">
        <v>0.5625</v>
      </c>
      <c r="L1298" t="s">
        <v>563</v>
      </c>
      <c r="M1298" t="s">
        <v>478</v>
      </c>
      <c r="N1298" t="str">
        <f>Tabela_tudo[[#This Row],[Médico]]&amp;" ("&amp;Tabela_tudo[[#This Row],[Obs]]&amp;")"</f>
        <v>ISE ()</v>
      </c>
    </row>
    <row r="1299" spans="1:14" x14ac:dyDescent="0.3">
      <c r="A1299" s="1">
        <v>45650</v>
      </c>
      <c r="B1299" t="s">
        <v>29</v>
      </c>
      <c r="C1299" t="s">
        <v>463</v>
      </c>
      <c r="D1299" s="8">
        <v>0.75</v>
      </c>
      <c r="E1299" s="8">
        <v>0.79166666666666663</v>
      </c>
      <c r="L1299" t="s">
        <v>563</v>
      </c>
      <c r="M1299" t="s">
        <v>478</v>
      </c>
      <c r="N1299" t="str">
        <f>Tabela_tudo[[#This Row],[Médico]]&amp;" ("&amp;Tabela_tudo[[#This Row],[Obs]]&amp;")"</f>
        <v>JOA ()</v>
      </c>
    </row>
    <row r="1300" spans="1:14" x14ac:dyDescent="0.3">
      <c r="A1300" s="1">
        <v>44942</v>
      </c>
      <c r="B1300" t="s">
        <v>249</v>
      </c>
      <c r="C1300" t="s">
        <v>460</v>
      </c>
      <c r="D1300" s="8">
        <v>0.29166666666666669</v>
      </c>
      <c r="E1300" s="8">
        <v>0.5625</v>
      </c>
      <c r="L1300" t="s">
        <v>563</v>
      </c>
      <c r="M1300" t="s">
        <v>478</v>
      </c>
      <c r="N1300" t="str">
        <f>Tabela_tudo[[#This Row],[Médico]]&amp;" ("&amp;Tabela_tudo[[#This Row],[Obs]]&amp;")"</f>
        <v>ISE ()</v>
      </c>
    </row>
    <row r="1301" spans="1:14" x14ac:dyDescent="0.3">
      <c r="A1301" s="1">
        <v>44963</v>
      </c>
      <c r="B1301" t="s">
        <v>249</v>
      </c>
      <c r="C1301" t="s">
        <v>460</v>
      </c>
      <c r="D1301" s="8">
        <v>0.29166666666666669</v>
      </c>
      <c r="E1301" s="8">
        <v>0.5625</v>
      </c>
      <c r="L1301" t="s">
        <v>563</v>
      </c>
      <c r="M1301" t="s">
        <v>478</v>
      </c>
      <c r="N1301" t="str">
        <f>Tabela_tudo[[#This Row],[Médico]]&amp;" ("&amp;Tabela_tudo[[#This Row],[Obs]]&amp;")"</f>
        <v>ISE ()</v>
      </c>
    </row>
    <row r="1302" spans="1:14" x14ac:dyDescent="0.3">
      <c r="A1302" s="1">
        <v>44956</v>
      </c>
      <c r="B1302" t="s">
        <v>249</v>
      </c>
      <c r="C1302" t="s">
        <v>460</v>
      </c>
      <c r="D1302" s="8">
        <v>0.29166666666666669</v>
      </c>
      <c r="E1302" s="8">
        <v>0.5625</v>
      </c>
      <c r="L1302" t="s">
        <v>563</v>
      </c>
      <c r="M1302" t="s">
        <v>478</v>
      </c>
      <c r="N1302" t="str">
        <f>Tabela_tudo[[#This Row],[Médico]]&amp;" ("&amp;Tabela_tudo[[#This Row],[Obs]]&amp;")"</f>
        <v>ISE ()</v>
      </c>
    </row>
    <row r="1303" spans="1:14" x14ac:dyDescent="0.3">
      <c r="A1303" s="1">
        <v>44949</v>
      </c>
      <c r="B1303" t="s">
        <v>249</v>
      </c>
      <c r="C1303" t="s">
        <v>460</v>
      </c>
      <c r="D1303" s="8">
        <v>0.29166666666666669</v>
      </c>
      <c r="E1303" s="8">
        <v>0.5625</v>
      </c>
      <c r="L1303" t="s">
        <v>563</v>
      </c>
      <c r="M1303" t="s">
        <v>478</v>
      </c>
      <c r="N1303" t="str">
        <f>Tabela_tudo[[#This Row],[Médico]]&amp;" ("&amp;Tabela_tudo[[#This Row],[Obs]]&amp;")"</f>
        <v>ISE ()</v>
      </c>
    </row>
    <row r="1304" spans="1:14" x14ac:dyDescent="0.3">
      <c r="A1304" s="1">
        <v>45538</v>
      </c>
      <c r="B1304" t="s">
        <v>29</v>
      </c>
      <c r="C1304" t="s">
        <v>463</v>
      </c>
      <c r="D1304" s="8">
        <v>0.75</v>
      </c>
      <c r="E1304" s="8">
        <v>0.79166666666666663</v>
      </c>
      <c r="L1304" t="s">
        <v>563</v>
      </c>
      <c r="M1304" t="s">
        <v>478</v>
      </c>
      <c r="N1304" t="str">
        <f>Tabela_tudo[[#This Row],[Médico]]&amp;" ("&amp;Tabela_tudo[[#This Row],[Obs]]&amp;")"</f>
        <v>JOA ()</v>
      </c>
    </row>
    <row r="1305" spans="1:14" x14ac:dyDescent="0.3">
      <c r="A1305" s="1">
        <v>45398</v>
      </c>
      <c r="B1305" t="s">
        <v>29</v>
      </c>
      <c r="C1305" t="s">
        <v>463</v>
      </c>
      <c r="D1305" s="8">
        <v>0.75</v>
      </c>
      <c r="E1305" s="8">
        <v>0.79166666666666663</v>
      </c>
      <c r="L1305" t="s">
        <v>563</v>
      </c>
      <c r="M1305" t="s">
        <v>478</v>
      </c>
      <c r="N1305" t="str">
        <f>Tabela_tudo[[#This Row],[Médico]]&amp;" ("&amp;Tabela_tudo[[#This Row],[Obs]]&amp;")"</f>
        <v>JOA ()</v>
      </c>
    </row>
    <row r="1306" spans="1:14" x14ac:dyDescent="0.3">
      <c r="A1306" s="1">
        <v>45391</v>
      </c>
      <c r="B1306" t="s">
        <v>29</v>
      </c>
      <c r="C1306" t="s">
        <v>463</v>
      </c>
      <c r="D1306" s="8">
        <v>0.75</v>
      </c>
      <c r="E1306" s="8">
        <v>0.79166666666666663</v>
      </c>
      <c r="L1306" t="s">
        <v>563</v>
      </c>
      <c r="M1306" t="s">
        <v>478</v>
      </c>
      <c r="N1306" t="str">
        <f>Tabela_tudo[[#This Row],[Médico]]&amp;" ("&amp;Tabela_tudo[[#This Row],[Obs]]&amp;")"</f>
        <v>JOA ()</v>
      </c>
    </row>
    <row r="1307" spans="1:14" x14ac:dyDescent="0.3">
      <c r="A1307" s="1">
        <v>45384</v>
      </c>
      <c r="B1307" t="s">
        <v>29</v>
      </c>
      <c r="C1307" t="s">
        <v>463</v>
      </c>
      <c r="D1307" s="8">
        <v>0.75</v>
      </c>
      <c r="E1307" s="8">
        <v>0.79166666666666663</v>
      </c>
      <c r="L1307" t="s">
        <v>563</v>
      </c>
      <c r="M1307" t="s">
        <v>478</v>
      </c>
      <c r="N1307" t="str">
        <f>Tabela_tudo[[#This Row],[Médico]]&amp;" ("&amp;Tabela_tudo[[#This Row],[Obs]]&amp;")"</f>
        <v>JOA ()</v>
      </c>
    </row>
    <row r="1308" spans="1:14" x14ac:dyDescent="0.3">
      <c r="A1308" s="1">
        <v>45405</v>
      </c>
      <c r="B1308" t="s">
        <v>29</v>
      </c>
      <c r="C1308" t="s">
        <v>463</v>
      </c>
      <c r="D1308" s="8">
        <v>0.75</v>
      </c>
      <c r="E1308" s="8">
        <v>0.79166666666666663</v>
      </c>
      <c r="L1308" t="s">
        <v>563</v>
      </c>
      <c r="M1308" t="s">
        <v>478</v>
      </c>
      <c r="N1308" t="str">
        <f>Tabela_tudo[[#This Row],[Médico]]&amp;" ("&amp;Tabela_tudo[[#This Row],[Obs]]&amp;")"</f>
        <v>JOA ()</v>
      </c>
    </row>
    <row r="1309" spans="1:14" x14ac:dyDescent="0.3">
      <c r="A1309" s="1">
        <v>45426</v>
      </c>
      <c r="B1309" t="s">
        <v>29</v>
      </c>
      <c r="C1309" t="s">
        <v>463</v>
      </c>
      <c r="D1309" s="8">
        <v>0.75</v>
      </c>
      <c r="E1309" s="8">
        <v>0.79166666666666663</v>
      </c>
      <c r="L1309" t="s">
        <v>563</v>
      </c>
      <c r="M1309" t="s">
        <v>478</v>
      </c>
      <c r="N1309" t="str">
        <f>Tabela_tudo[[#This Row],[Médico]]&amp;" ("&amp;Tabela_tudo[[#This Row],[Obs]]&amp;")"</f>
        <v>JOA ()</v>
      </c>
    </row>
    <row r="1310" spans="1:14" x14ac:dyDescent="0.3">
      <c r="A1310" s="1">
        <v>45419</v>
      </c>
      <c r="B1310" t="s">
        <v>29</v>
      </c>
      <c r="C1310" t="s">
        <v>463</v>
      </c>
      <c r="D1310" s="8">
        <v>0.75</v>
      </c>
      <c r="E1310" s="8">
        <v>0.79166666666666663</v>
      </c>
      <c r="L1310" t="s">
        <v>563</v>
      </c>
      <c r="M1310" t="s">
        <v>478</v>
      </c>
      <c r="N1310" t="str">
        <f>Tabela_tudo[[#This Row],[Médico]]&amp;" ("&amp;Tabela_tudo[[#This Row],[Obs]]&amp;")"</f>
        <v>JOA ()</v>
      </c>
    </row>
    <row r="1311" spans="1:14" x14ac:dyDescent="0.3">
      <c r="A1311" s="1">
        <v>45412</v>
      </c>
      <c r="B1311" t="s">
        <v>29</v>
      </c>
      <c r="C1311" t="s">
        <v>463</v>
      </c>
      <c r="D1311" s="8">
        <v>0.75</v>
      </c>
      <c r="E1311" s="8">
        <v>0.79166666666666663</v>
      </c>
      <c r="L1311" t="s">
        <v>563</v>
      </c>
      <c r="M1311" t="s">
        <v>478</v>
      </c>
      <c r="N1311" t="str">
        <f>Tabela_tudo[[#This Row],[Médico]]&amp;" ("&amp;Tabela_tudo[[#This Row],[Obs]]&amp;")"</f>
        <v>JOA ()</v>
      </c>
    </row>
    <row r="1312" spans="1:14" x14ac:dyDescent="0.3">
      <c r="A1312" s="1">
        <v>45349</v>
      </c>
      <c r="B1312" t="s">
        <v>29</v>
      </c>
      <c r="C1312" t="s">
        <v>463</v>
      </c>
      <c r="D1312" s="8">
        <v>0.75</v>
      </c>
      <c r="E1312" s="8">
        <v>0.79166666666666663</v>
      </c>
      <c r="L1312" t="s">
        <v>563</v>
      </c>
      <c r="M1312" t="s">
        <v>478</v>
      </c>
      <c r="N1312" t="str">
        <f>Tabela_tudo[[#This Row],[Médico]]&amp;" ("&amp;Tabela_tudo[[#This Row],[Obs]]&amp;")"</f>
        <v>JOA ()</v>
      </c>
    </row>
    <row r="1313" spans="1:14" x14ac:dyDescent="0.3">
      <c r="A1313" s="1">
        <v>45342</v>
      </c>
      <c r="B1313" t="s">
        <v>29</v>
      </c>
      <c r="C1313" t="s">
        <v>463</v>
      </c>
      <c r="D1313" s="8">
        <v>0.75</v>
      </c>
      <c r="E1313" s="8">
        <v>0.79166666666666663</v>
      </c>
      <c r="L1313" t="s">
        <v>563</v>
      </c>
      <c r="M1313" t="s">
        <v>478</v>
      </c>
      <c r="N1313" t="str">
        <f>Tabela_tudo[[#This Row],[Médico]]&amp;" ("&amp;Tabela_tudo[[#This Row],[Obs]]&amp;")"</f>
        <v>JOA ()</v>
      </c>
    </row>
    <row r="1314" spans="1:14" x14ac:dyDescent="0.3">
      <c r="A1314" s="1">
        <v>45335</v>
      </c>
      <c r="B1314" t="s">
        <v>29</v>
      </c>
      <c r="C1314" t="s">
        <v>463</v>
      </c>
      <c r="D1314" s="8">
        <v>0.75</v>
      </c>
      <c r="E1314" s="8">
        <v>0.79166666666666663</v>
      </c>
      <c r="L1314" t="s">
        <v>563</v>
      </c>
      <c r="M1314" t="s">
        <v>478</v>
      </c>
      <c r="N1314" t="str">
        <f>Tabela_tudo[[#This Row],[Médico]]&amp;" ("&amp;Tabela_tudo[[#This Row],[Obs]]&amp;")"</f>
        <v>JOA ()</v>
      </c>
    </row>
    <row r="1315" spans="1:14" x14ac:dyDescent="0.3">
      <c r="A1315" s="1">
        <v>45356</v>
      </c>
      <c r="B1315" t="s">
        <v>29</v>
      </c>
      <c r="C1315" t="s">
        <v>463</v>
      </c>
      <c r="D1315" s="8">
        <v>0.75</v>
      </c>
      <c r="E1315" s="8">
        <v>0.79166666666666663</v>
      </c>
      <c r="L1315" t="s">
        <v>563</v>
      </c>
      <c r="M1315" t="s">
        <v>478</v>
      </c>
      <c r="N1315" t="str">
        <f>Tabela_tudo[[#This Row],[Médico]]&amp;" ("&amp;Tabela_tudo[[#This Row],[Obs]]&amp;")"</f>
        <v>JOA ()</v>
      </c>
    </row>
    <row r="1316" spans="1:14" x14ac:dyDescent="0.3">
      <c r="A1316" s="1">
        <v>45377</v>
      </c>
      <c r="B1316" t="s">
        <v>29</v>
      </c>
      <c r="C1316" t="s">
        <v>463</v>
      </c>
      <c r="D1316" s="8">
        <v>0.75</v>
      </c>
      <c r="E1316" s="8">
        <v>0.79166666666666663</v>
      </c>
      <c r="L1316" t="s">
        <v>563</v>
      </c>
      <c r="M1316" t="s">
        <v>478</v>
      </c>
      <c r="N1316" t="str">
        <f>Tabela_tudo[[#This Row],[Médico]]&amp;" ("&amp;Tabela_tudo[[#This Row],[Obs]]&amp;")"</f>
        <v>JOA ()</v>
      </c>
    </row>
    <row r="1317" spans="1:14" x14ac:dyDescent="0.3">
      <c r="A1317" s="1">
        <v>45370</v>
      </c>
      <c r="B1317" t="s">
        <v>29</v>
      </c>
      <c r="C1317" t="s">
        <v>463</v>
      </c>
      <c r="D1317" s="8">
        <v>0.75</v>
      </c>
      <c r="E1317" s="8">
        <v>0.79166666666666663</v>
      </c>
      <c r="L1317" t="s">
        <v>563</v>
      </c>
      <c r="M1317" t="s">
        <v>478</v>
      </c>
      <c r="N1317" t="str">
        <f>Tabela_tudo[[#This Row],[Médico]]&amp;" ("&amp;Tabela_tudo[[#This Row],[Obs]]&amp;")"</f>
        <v>JOA ()</v>
      </c>
    </row>
    <row r="1318" spans="1:14" x14ac:dyDescent="0.3">
      <c r="A1318" s="1">
        <v>45363</v>
      </c>
      <c r="B1318" t="s">
        <v>29</v>
      </c>
      <c r="C1318" t="s">
        <v>463</v>
      </c>
      <c r="D1318" s="8">
        <v>0.75</v>
      </c>
      <c r="E1318" s="8">
        <v>0.79166666666666663</v>
      </c>
      <c r="L1318" t="s">
        <v>563</v>
      </c>
      <c r="M1318" t="s">
        <v>478</v>
      </c>
      <c r="N1318" t="str">
        <f>Tabela_tudo[[#This Row],[Médico]]&amp;" ("&amp;Tabela_tudo[[#This Row],[Obs]]&amp;")"</f>
        <v>JOA ()</v>
      </c>
    </row>
    <row r="1319" spans="1:14" x14ac:dyDescent="0.3">
      <c r="A1319" s="1">
        <v>45433</v>
      </c>
      <c r="B1319" t="s">
        <v>29</v>
      </c>
      <c r="C1319" t="s">
        <v>463</v>
      </c>
      <c r="D1319" s="8">
        <v>0.75</v>
      </c>
      <c r="E1319" s="8">
        <v>0.79166666666666663</v>
      </c>
      <c r="L1319" t="s">
        <v>563</v>
      </c>
      <c r="M1319" t="s">
        <v>478</v>
      </c>
      <c r="N1319" t="str">
        <f>Tabela_tudo[[#This Row],[Médico]]&amp;" ("&amp;Tabela_tudo[[#This Row],[Obs]]&amp;")"</f>
        <v>JOA ()</v>
      </c>
    </row>
    <row r="1320" spans="1:14" x14ac:dyDescent="0.3">
      <c r="A1320" s="1">
        <v>45503</v>
      </c>
      <c r="B1320" t="s">
        <v>29</v>
      </c>
      <c r="C1320" t="s">
        <v>463</v>
      </c>
      <c r="D1320" s="8">
        <v>0.75</v>
      </c>
      <c r="E1320" s="8">
        <v>0.79166666666666663</v>
      </c>
      <c r="L1320" t="s">
        <v>563</v>
      </c>
      <c r="M1320" t="s">
        <v>478</v>
      </c>
      <c r="N1320" t="str">
        <f>Tabela_tudo[[#This Row],[Médico]]&amp;" ("&amp;Tabela_tudo[[#This Row],[Obs]]&amp;")"</f>
        <v>JOA ()</v>
      </c>
    </row>
    <row r="1321" spans="1:14" x14ac:dyDescent="0.3">
      <c r="A1321" s="1">
        <v>45496</v>
      </c>
      <c r="B1321" t="s">
        <v>29</v>
      </c>
      <c r="C1321" t="s">
        <v>463</v>
      </c>
      <c r="D1321" s="8">
        <v>0.75</v>
      </c>
      <c r="E1321" s="8">
        <v>0.79166666666666663</v>
      </c>
      <c r="L1321" t="s">
        <v>563</v>
      </c>
      <c r="M1321" t="s">
        <v>478</v>
      </c>
      <c r="N1321" t="str">
        <f>Tabela_tudo[[#This Row],[Médico]]&amp;" ("&amp;Tabela_tudo[[#This Row],[Obs]]&amp;")"</f>
        <v>JOA ()</v>
      </c>
    </row>
    <row r="1322" spans="1:14" x14ac:dyDescent="0.3">
      <c r="A1322" s="1">
        <v>45489</v>
      </c>
      <c r="B1322" t="s">
        <v>29</v>
      </c>
      <c r="C1322" t="s">
        <v>463</v>
      </c>
      <c r="D1322" s="8">
        <v>0.75</v>
      </c>
      <c r="E1322" s="8">
        <v>0.79166666666666663</v>
      </c>
      <c r="L1322" t="s">
        <v>563</v>
      </c>
      <c r="M1322" t="s">
        <v>478</v>
      </c>
      <c r="N1322" t="str">
        <f>Tabela_tudo[[#This Row],[Médico]]&amp;" ("&amp;Tabela_tudo[[#This Row],[Obs]]&amp;")"</f>
        <v>JOA ()</v>
      </c>
    </row>
    <row r="1323" spans="1:14" x14ac:dyDescent="0.3">
      <c r="A1323" s="1">
        <v>45510</v>
      </c>
      <c r="B1323" t="s">
        <v>29</v>
      </c>
      <c r="C1323" t="s">
        <v>463</v>
      </c>
      <c r="D1323" s="8">
        <v>0.75</v>
      </c>
      <c r="E1323" s="8">
        <v>0.79166666666666663</v>
      </c>
      <c r="L1323" t="s">
        <v>563</v>
      </c>
      <c r="M1323" t="s">
        <v>478</v>
      </c>
      <c r="N1323" t="str">
        <f>Tabela_tudo[[#This Row],[Médico]]&amp;" ("&amp;Tabela_tudo[[#This Row],[Obs]]&amp;")"</f>
        <v>JOA ()</v>
      </c>
    </row>
    <row r="1324" spans="1:14" x14ac:dyDescent="0.3">
      <c r="A1324" s="1">
        <v>45531</v>
      </c>
      <c r="B1324" t="s">
        <v>29</v>
      </c>
      <c r="C1324" t="s">
        <v>463</v>
      </c>
      <c r="D1324" s="8">
        <v>0.75</v>
      </c>
      <c r="E1324" s="8">
        <v>0.79166666666666663</v>
      </c>
      <c r="L1324" t="s">
        <v>563</v>
      </c>
      <c r="M1324" t="s">
        <v>478</v>
      </c>
      <c r="N1324" t="str">
        <f>Tabela_tudo[[#This Row],[Médico]]&amp;" ("&amp;Tabela_tudo[[#This Row],[Obs]]&amp;")"</f>
        <v>JOA ()</v>
      </c>
    </row>
    <row r="1325" spans="1:14" x14ac:dyDescent="0.3">
      <c r="A1325" s="1">
        <v>45524</v>
      </c>
      <c r="B1325" t="s">
        <v>29</v>
      </c>
      <c r="C1325" t="s">
        <v>463</v>
      </c>
      <c r="D1325" s="8">
        <v>0.75</v>
      </c>
      <c r="E1325" s="8">
        <v>0.79166666666666663</v>
      </c>
      <c r="L1325" t="s">
        <v>563</v>
      </c>
      <c r="M1325" t="s">
        <v>478</v>
      </c>
      <c r="N1325" t="str">
        <f>Tabela_tudo[[#This Row],[Médico]]&amp;" ("&amp;Tabela_tudo[[#This Row],[Obs]]&amp;")"</f>
        <v>JOA ()</v>
      </c>
    </row>
    <row r="1326" spans="1:14" x14ac:dyDescent="0.3">
      <c r="A1326" s="1">
        <v>45517</v>
      </c>
      <c r="B1326" t="s">
        <v>29</v>
      </c>
      <c r="C1326" t="s">
        <v>463</v>
      </c>
      <c r="D1326" s="8">
        <v>0.75</v>
      </c>
      <c r="E1326" s="8">
        <v>0.79166666666666663</v>
      </c>
      <c r="L1326" t="s">
        <v>563</v>
      </c>
      <c r="M1326" t="s">
        <v>478</v>
      </c>
      <c r="N1326" t="str">
        <f>Tabela_tudo[[#This Row],[Médico]]&amp;" ("&amp;Tabela_tudo[[#This Row],[Obs]]&amp;")"</f>
        <v>JOA ()</v>
      </c>
    </row>
    <row r="1327" spans="1:14" x14ac:dyDescent="0.3">
      <c r="A1327" s="1">
        <v>45454</v>
      </c>
      <c r="B1327" t="s">
        <v>29</v>
      </c>
      <c r="C1327" t="s">
        <v>463</v>
      </c>
      <c r="D1327" s="8">
        <v>0.75</v>
      </c>
      <c r="E1327" s="8">
        <v>0.79166666666666663</v>
      </c>
      <c r="L1327" t="s">
        <v>563</v>
      </c>
      <c r="M1327" t="s">
        <v>478</v>
      </c>
      <c r="N1327" t="str">
        <f>Tabela_tudo[[#This Row],[Médico]]&amp;" ("&amp;Tabela_tudo[[#This Row],[Obs]]&amp;")"</f>
        <v>JOA ()</v>
      </c>
    </row>
    <row r="1328" spans="1:14" x14ac:dyDescent="0.3">
      <c r="A1328" s="1">
        <v>45447</v>
      </c>
      <c r="B1328" t="s">
        <v>29</v>
      </c>
      <c r="C1328" t="s">
        <v>463</v>
      </c>
      <c r="D1328" s="8">
        <v>0.75</v>
      </c>
      <c r="E1328" s="8">
        <v>0.79166666666666663</v>
      </c>
      <c r="L1328" t="s">
        <v>563</v>
      </c>
      <c r="M1328" t="s">
        <v>478</v>
      </c>
      <c r="N1328" t="str">
        <f>Tabela_tudo[[#This Row],[Médico]]&amp;" ("&amp;Tabela_tudo[[#This Row],[Obs]]&amp;")"</f>
        <v>JOA ()</v>
      </c>
    </row>
    <row r="1329" spans="1:14" x14ac:dyDescent="0.3">
      <c r="A1329" s="1">
        <v>45440</v>
      </c>
      <c r="B1329" t="s">
        <v>29</v>
      </c>
      <c r="C1329" t="s">
        <v>463</v>
      </c>
      <c r="D1329" s="8">
        <v>0.75</v>
      </c>
      <c r="E1329" s="8">
        <v>0.79166666666666663</v>
      </c>
      <c r="L1329" t="s">
        <v>563</v>
      </c>
      <c r="M1329" t="s">
        <v>478</v>
      </c>
      <c r="N1329" t="str">
        <f>Tabela_tudo[[#This Row],[Médico]]&amp;" ("&amp;Tabela_tudo[[#This Row],[Obs]]&amp;")"</f>
        <v>JOA ()</v>
      </c>
    </row>
    <row r="1330" spans="1:14" x14ac:dyDescent="0.3">
      <c r="A1330" s="1">
        <v>45461</v>
      </c>
      <c r="B1330" t="s">
        <v>29</v>
      </c>
      <c r="C1330" t="s">
        <v>463</v>
      </c>
      <c r="D1330" s="8">
        <v>0.75</v>
      </c>
      <c r="E1330" s="8">
        <v>0.79166666666666663</v>
      </c>
      <c r="L1330" t="s">
        <v>563</v>
      </c>
      <c r="M1330" t="s">
        <v>478</v>
      </c>
      <c r="N1330" t="str">
        <f>Tabela_tudo[[#This Row],[Médico]]&amp;" ("&amp;Tabela_tudo[[#This Row],[Obs]]&amp;")"</f>
        <v>JOA ()</v>
      </c>
    </row>
    <row r="1331" spans="1:14" x14ac:dyDescent="0.3">
      <c r="A1331" s="1">
        <v>45482</v>
      </c>
      <c r="B1331" t="s">
        <v>29</v>
      </c>
      <c r="C1331" t="s">
        <v>463</v>
      </c>
      <c r="D1331" s="8">
        <v>0.75</v>
      </c>
      <c r="E1331" s="8">
        <v>0.79166666666666663</v>
      </c>
      <c r="L1331" t="s">
        <v>563</v>
      </c>
      <c r="M1331" t="s">
        <v>478</v>
      </c>
      <c r="N1331" t="str">
        <f>Tabela_tudo[[#This Row],[Médico]]&amp;" ("&amp;Tabela_tudo[[#This Row],[Obs]]&amp;")"</f>
        <v>JOA ()</v>
      </c>
    </row>
    <row r="1332" spans="1:14" x14ac:dyDescent="0.3">
      <c r="A1332" s="1">
        <v>45475</v>
      </c>
      <c r="B1332" t="s">
        <v>29</v>
      </c>
      <c r="C1332" t="s">
        <v>463</v>
      </c>
      <c r="D1332" s="8">
        <v>0.75</v>
      </c>
      <c r="E1332" s="8">
        <v>0.79166666666666663</v>
      </c>
      <c r="L1332" t="s">
        <v>563</v>
      </c>
      <c r="M1332" t="s">
        <v>478</v>
      </c>
      <c r="N1332" t="str">
        <f>Tabela_tudo[[#This Row],[Médico]]&amp;" ("&amp;Tabela_tudo[[#This Row],[Obs]]&amp;")"</f>
        <v>JOA ()</v>
      </c>
    </row>
    <row r="1333" spans="1:14" x14ac:dyDescent="0.3">
      <c r="A1333" s="1">
        <v>45468</v>
      </c>
      <c r="B1333" t="s">
        <v>29</v>
      </c>
      <c r="C1333" t="s">
        <v>463</v>
      </c>
      <c r="D1333" s="8">
        <v>0.75</v>
      </c>
      <c r="E1333" s="8">
        <v>0.79166666666666663</v>
      </c>
      <c r="L1333" t="s">
        <v>563</v>
      </c>
      <c r="M1333" t="s">
        <v>478</v>
      </c>
      <c r="N1333" t="str">
        <f>Tabela_tudo[[#This Row],[Médico]]&amp;" ("&amp;Tabela_tudo[[#This Row],[Obs]]&amp;")"</f>
        <v>JOA ()</v>
      </c>
    </row>
    <row r="1334" spans="1:14" x14ac:dyDescent="0.3">
      <c r="A1334" s="1">
        <v>45019</v>
      </c>
      <c r="B1334" t="s">
        <v>249</v>
      </c>
      <c r="C1334" t="s">
        <v>460</v>
      </c>
      <c r="D1334" s="8">
        <v>0.29166666666666669</v>
      </c>
      <c r="E1334" s="8">
        <v>0.5625</v>
      </c>
      <c r="L1334" t="s">
        <v>563</v>
      </c>
      <c r="M1334" t="s">
        <v>478</v>
      </c>
      <c r="N1334" t="str">
        <f>Tabela_tudo[[#This Row],[Médico]]&amp;" ("&amp;Tabela_tudo[[#This Row],[Obs]]&amp;")"</f>
        <v>ISE ()</v>
      </c>
    </row>
    <row r="1335" spans="1:14" x14ac:dyDescent="0.3">
      <c r="A1335" s="1">
        <v>45299</v>
      </c>
      <c r="B1335" t="s">
        <v>249</v>
      </c>
      <c r="C1335" t="s">
        <v>460</v>
      </c>
      <c r="D1335" s="8">
        <v>0.29166666666666669</v>
      </c>
      <c r="E1335" s="8">
        <v>0.5625</v>
      </c>
      <c r="L1335" t="s">
        <v>563</v>
      </c>
      <c r="M1335" t="s">
        <v>478</v>
      </c>
      <c r="N1335" t="str">
        <f>Tabela_tudo[[#This Row],[Médico]]&amp;" ("&amp;Tabela_tudo[[#This Row],[Obs]]&amp;")"</f>
        <v>ISE ()</v>
      </c>
    </row>
    <row r="1336" spans="1:14" x14ac:dyDescent="0.3">
      <c r="A1336" s="1">
        <v>45292</v>
      </c>
      <c r="B1336" t="s">
        <v>249</v>
      </c>
      <c r="C1336" t="s">
        <v>460</v>
      </c>
      <c r="D1336" s="8">
        <v>0.29166666666666669</v>
      </c>
      <c r="E1336" s="8">
        <v>0.5625</v>
      </c>
      <c r="L1336" t="s">
        <v>563</v>
      </c>
      <c r="M1336" t="s">
        <v>478</v>
      </c>
      <c r="N1336" t="str">
        <f>Tabela_tudo[[#This Row],[Médico]]&amp;" ("&amp;Tabela_tudo[[#This Row],[Obs]]&amp;")"</f>
        <v>ISE ()</v>
      </c>
    </row>
    <row r="1337" spans="1:14" x14ac:dyDescent="0.3">
      <c r="A1337" s="1">
        <v>45285</v>
      </c>
      <c r="B1337" t="s">
        <v>249</v>
      </c>
      <c r="C1337" t="s">
        <v>460</v>
      </c>
      <c r="D1337" s="8">
        <v>0.29166666666666669</v>
      </c>
      <c r="E1337" s="8">
        <v>0.5625</v>
      </c>
      <c r="L1337" t="s">
        <v>563</v>
      </c>
      <c r="M1337" t="s">
        <v>478</v>
      </c>
      <c r="N1337" t="str">
        <f>Tabela_tudo[[#This Row],[Médico]]&amp;" ("&amp;Tabela_tudo[[#This Row],[Obs]]&amp;")"</f>
        <v>ISE ()</v>
      </c>
    </row>
    <row r="1338" spans="1:14" x14ac:dyDescent="0.3">
      <c r="A1338" s="1">
        <v>45306</v>
      </c>
      <c r="B1338" t="s">
        <v>249</v>
      </c>
      <c r="C1338" t="s">
        <v>460</v>
      </c>
      <c r="D1338" s="8">
        <v>0.29166666666666669</v>
      </c>
      <c r="E1338" s="8">
        <v>0.5625</v>
      </c>
      <c r="L1338" t="s">
        <v>563</v>
      </c>
      <c r="M1338" t="s">
        <v>478</v>
      </c>
      <c r="N1338" t="str">
        <f>Tabela_tudo[[#This Row],[Médico]]&amp;" ("&amp;Tabela_tudo[[#This Row],[Obs]]&amp;")"</f>
        <v>ISE ()</v>
      </c>
    </row>
    <row r="1339" spans="1:14" x14ac:dyDescent="0.3">
      <c r="A1339" s="1">
        <v>45327</v>
      </c>
      <c r="B1339" t="s">
        <v>249</v>
      </c>
      <c r="C1339" t="s">
        <v>460</v>
      </c>
      <c r="D1339" s="8">
        <v>0.29166666666666669</v>
      </c>
      <c r="E1339" s="8">
        <v>0.5625</v>
      </c>
      <c r="L1339" t="s">
        <v>563</v>
      </c>
      <c r="M1339" t="s">
        <v>478</v>
      </c>
      <c r="N1339" t="str">
        <f>Tabela_tudo[[#This Row],[Médico]]&amp;" ("&amp;Tabela_tudo[[#This Row],[Obs]]&amp;")"</f>
        <v>ISE ()</v>
      </c>
    </row>
    <row r="1340" spans="1:14" x14ac:dyDescent="0.3">
      <c r="A1340" s="1">
        <v>45320</v>
      </c>
      <c r="B1340" t="s">
        <v>249</v>
      </c>
      <c r="C1340" t="s">
        <v>460</v>
      </c>
      <c r="D1340" s="8">
        <v>0.29166666666666669</v>
      </c>
      <c r="E1340" s="8">
        <v>0.5625</v>
      </c>
      <c r="L1340" t="s">
        <v>563</v>
      </c>
      <c r="M1340" t="s">
        <v>478</v>
      </c>
      <c r="N1340" t="str">
        <f>Tabela_tudo[[#This Row],[Médico]]&amp;" ("&amp;Tabela_tudo[[#This Row],[Obs]]&amp;")"</f>
        <v>ISE ()</v>
      </c>
    </row>
    <row r="1341" spans="1:14" x14ac:dyDescent="0.3">
      <c r="A1341" s="1">
        <v>45313</v>
      </c>
      <c r="B1341" t="s">
        <v>249</v>
      </c>
      <c r="C1341" t="s">
        <v>460</v>
      </c>
      <c r="D1341" s="8">
        <v>0.29166666666666669</v>
      </c>
      <c r="E1341" s="8">
        <v>0.5625</v>
      </c>
      <c r="L1341" t="s">
        <v>563</v>
      </c>
      <c r="M1341" t="s">
        <v>478</v>
      </c>
      <c r="N1341" t="str">
        <f>Tabela_tudo[[#This Row],[Médico]]&amp;" ("&amp;Tabela_tudo[[#This Row],[Obs]]&amp;")"</f>
        <v>ISE ()</v>
      </c>
    </row>
    <row r="1342" spans="1:14" x14ac:dyDescent="0.3">
      <c r="A1342" s="1">
        <v>45250</v>
      </c>
      <c r="B1342" t="s">
        <v>249</v>
      </c>
      <c r="C1342" t="s">
        <v>460</v>
      </c>
      <c r="D1342" s="8">
        <v>0.29166666666666669</v>
      </c>
      <c r="E1342" s="8">
        <v>0.5625</v>
      </c>
      <c r="L1342" t="s">
        <v>563</v>
      </c>
      <c r="M1342" t="s">
        <v>478</v>
      </c>
      <c r="N1342" t="str">
        <f>Tabela_tudo[[#This Row],[Médico]]&amp;" ("&amp;Tabela_tudo[[#This Row],[Obs]]&amp;")"</f>
        <v>ISE ()</v>
      </c>
    </row>
    <row r="1343" spans="1:14" x14ac:dyDescent="0.3">
      <c r="A1343" s="1">
        <v>45243</v>
      </c>
      <c r="B1343" t="s">
        <v>249</v>
      </c>
      <c r="C1343" t="s">
        <v>460</v>
      </c>
      <c r="D1343" s="8">
        <v>0.29166666666666669</v>
      </c>
      <c r="E1343" s="8">
        <v>0.5625</v>
      </c>
      <c r="L1343" t="s">
        <v>563</v>
      </c>
      <c r="M1343" t="s">
        <v>478</v>
      </c>
      <c r="N1343" t="str">
        <f>Tabela_tudo[[#This Row],[Médico]]&amp;" ("&amp;Tabela_tudo[[#This Row],[Obs]]&amp;")"</f>
        <v>ISE ()</v>
      </c>
    </row>
    <row r="1344" spans="1:14" x14ac:dyDescent="0.3">
      <c r="A1344" s="1">
        <v>45236</v>
      </c>
      <c r="B1344" t="s">
        <v>249</v>
      </c>
      <c r="C1344" t="s">
        <v>460</v>
      </c>
      <c r="D1344" s="8">
        <v>0.29166666666666669</v>
      </c>
      <c r="E1344" s="8">
        <v>0.5625</v>
      </c>
      <c r="L1344" t="s">
        <v>563</v>
      </c>
      <c r="M1344" t="s">
        <v>478</v>
      </c>
      <c r="N1344" t="str">
        <f>Tabela_tudo[[#This Row],[Médico]]&amp;" ("&amp;Tabela_tudo[[#This Row],[Obs]]&amp;")"</f>
        <v>ISE ()</v>
      </c>
    </row>
    <row r="1345" spans="1:14" x14ac:dyDescent="0.3">
      <c r="A1345" s="1">
        <v>45257</v>
      </c>
      <c r="B1345" t="s">
        <v>249</v>
      </c>
      <c r="C1345" t="s">
        <v>460</v>
      </c>
      <c r="D1345" s="8">
        <v>0.29166666666666669</v>
      </c>
      <c r="E1345" s="8">
        <v>0.5625</v>
      </c>
      <c r="L1345" t="s">
        <v>563</v>
      </c>
      <c r="M1345" t="s">
        <v>478</v>
      </c>
      <c r="N1345" t="str">
        <f>Tabela_tudo[[#This Row],[Médico]]&amp;" ("&amp;Tabela_tudo[[#This Row],[Obs]]&amp;")"</f>
        <v>ISE ()</v>
      </c>
    </row>
    <row r="1346" spans="1:14" x14ac:dyDescent="0.3">
      <c r="A1346" s="1">
        <v>45278</v>
      </c>
      <c r="B1346" t="s">
        <v>249</v>
      </c>
      <c r="C1346" t="s">
        <v>460</v>
      </c>
      <c r="D1346" s="8">
        <v>0.29166666666666669</v>
      </c>
      <c r="E1346" s="8">
        <v>0.5625</v>
      </c>
      <c r="L1346" t="s">
        <v>563</v>
      </c>
      <c r="M1346" t="s">
        <v>478</v>
      </c>
      <c r="N1346" t="str">
        <f>Tabela_tudo[[#This Row],[Médico]]&amp;" ("&amp;Tabela_tudo[[#This Row],[Obs]]&amp;")"</f>
        <v>ISE ()</v>
      </c>
    </row>
    <row r="1347" spans="1:14" x14ac:dyDescent="0.3">
      <c r="A1347" s="1">
        <v>45271</v>
      </c>
      <c r="B1347" t="s">
        <v>249</v>
      </c>
      <c r="C1347" t="s">
        <v>460</v>
      </c>
      <c r="D1347" s="8">
        <v>0.29166666666666669</v>
      </c>
      <c r="E1347" s="8">
        <v>0.5625</v>
      </c>
      <c r="L1347" t="s">
        <v>563</v>
      </c>
      <c r="M1347" t="s">
        <v>478</v>
      </c>
      <c r="N1347" t="str">
        <f>Tabela_tudo[[#This Row],[Médico]]&amp;" ("&amp;Tabela_tudo[[#This Row],[Obs]]&amp;")"</f>
        <v>ISE ()</v>
      </c>
    </row>
    <row r="1348" spans="1:14" x14ac:dyDescent="0.3">
      <c r="A1348" s="1">
        <v>45264</v>
      </c>
      <c r="B1348" t="s">
        <v>249</v>
      </c>
      <c r="C1348" t="s">
        <v>460</v>
      </c>
      <c r="D1348" s="8">
        <v>0.29166666666666669</v>
      </c>
      <c r="E1348" s="8">
        <v>0.5625</v>
      </c>
      <c r="L1348" t="s">
        <v>563</v>
      </c>
      <c r="M1348" t="s">
        <v>478</v>
      </c>
      <c r="N1348" t="str">
        <f>Tabela_tudo[[#This Row],[Médico]]&amp;" ("&amp;Tabela_tudo[[#This Row],[Obs]]&amp;")"</f>
        <v>ISE ()</v>
      </c>
    </row>
    <row r="1349" spans="1:14" x14ac:dyDescent="0.3">
      <c r="A1349" s="1">
        <v>45334</v>
      </c>
      <c r="B1349" t="s">
        <v>249</v>
      </c>
      <c r="C1349" t="s">
        <v>460</v>
      </c>
      <c r="D1349" s="8">
        <v>0.29166666666666669</v>
      </c>
      <c r="E1349" s="8">
        <v>0.5625</v>
      </c>
      <c r="L1349" t="s">
        <v>563</v>
      </c>
      <c r="M1349" t="s">
        <v>478</v>
      </c>
      <c r="N1349" t="str">
        <f>Tabela_tudo[[#This Row],[Médico]]&amp;" ("&amp;Tabela_tudo[[#This Row],[Obs]]&amp;")"</f>
        <v>ISE ()</v>
      </c>
    </row>
    <row r="1350" spans="1:14" x14ac:dyDescent="0.3">
      <c r="A1350" s="1">
        <v>45404</v>
      </c>
      <c r="B1350" t="s">
        <v>249</v>
      </c>
      <c r="C1350" t="s">
        <v>460</v>
      </c>
      <c r="D1350" s="8">
        <v>0.29166666666666669</v>
      </c>
      <c r="E1350" s="8">
        <v>0.5625</v>
      </c>
      <c r="L1350" t="s">
        <v>563</v>
      </c>
      <c r="M1350" t="s">
        <v>478</v>
      </c>
      <c r="N1350" t="str">
        <f>Tabela_tudo[[#This Row],[Médico]]&amp;" ("&amp;Tabela_tudo[[#This Row],[Obs]]&amp;")"</f>
        <v>ISE ()</v>
      </c>
    </row>
    <row r="1351" spans="1:14" x14ac:dyDescent="0.3">
      <c r="A1351" s="1">
        <v>45397</v>
      </c>
      <c r="B1351" t="s">
        <v>249</v>
      </c>
      <c r="C1351" t="s">
        <v>460</v>
      </c>
      <c r="D1351" s="8">
        <v>0.29166666666666669</v>
      </c>
      <c r="E1351" s="8">
        <v>0.5625</v>
      </c>
      <c r="L1351" t="s">
        <v>563</v>
      </c>
      <c r="M1351" t="s">
        <v>478</v>
      </c>
      <c r="N1351" t="str">
        <f>Tabela_tudo[[#This Row],[Médico]]&amp;" ("&amp;Tabela_tudo[[#This Row],[Obs]]&amp;")"</f>
        <v>ISE ()</v>
      </c>
    </row>
    <row r="1352" spans="1:14" x14ac:dyDescent="0.3">
      <c r="A1352" s="1">
        <v>45390</v>
      </c>
      <c r="B1352" t="s">
        <v>249</v>
      </c>
      <c r="C1352" t="s">
        <v>460</v>
      </c>
      <c r="D1352" s="8">
        <v>0.29166666666666669</v>
      </c>
      <c r="E1352" s="8">
        <v>0.5625</v>
      </c>
      <c r="L1352" t="s">
        <v>563</v>
      </c>
      <c r="M1352" t="s">
        <v>478</v>
      </c>
      <c r="N1352" t="str">
        <f>Tabela_tudo[[#This Row],[Médico]]&amp;" ("&amp;Tabela_tudo[[#This Row],[Obs]]&amp;")"</f>
        <v>ISE ()</v>
      </c>
    </row>
    <row r="1353" spans="1:14" x14ac:dyDescent="0.3">
      <c r="A1353" s="1">
        <v>45411</v>
      </c>
      <c r="B1353" t="s">
        <v>249</v>
      </c>
      <c r="C1353" t="s">
        <v>460</v>
      </c>
      <c r="D1353" s="8">
        <v>0.29166666666666669</v>
      </c>
      <c r="E1353" s="8">
        <v>0.5625</v>
      </c>
      <c r="L1353" t="s">
        <v>563</v>
      </c>
      <c r="M1353" t="s">
        <v>478</v>
      </c>
      <c r="N1353" t="str">
        <f>Tabela_tudo[[#This Row],[Médico]]&amp;" ("&amp;Tabela_tudo[[#This Row],[Obs]]&amp;")"</f>
        <v>ISE ()</v>
      </c>
    </row>
    <row r="1354" spans="1:14" x14ac:dyDescent="0.3">
      <c r="A1354" s="1">
        <v>45432</v>
      </c>
      <c r="B1354" t="s">
        <v>249</v>
      </c>
      <c r="C1354" t="s">
        <v>460</v>
      </c>
      <c r="D1354" s="8">
        <v>0.29166666666666669</v>
      </c>
      <c r="E1354" s="8">
        <v>0.5625</v>
      </c>
      <c r="L1354" t="s">
        <v>563</v>
      </c>
      <c r="M1354" t="s">
        <v>478</v>
      </c>
      <c r="N1354" t="str">
        <f>Tabela_tudo[[#This Row],[Médico]]&amp;" ("&amp;Tabela_tudo[[#This Row],[Obs]]&amp;")"</f>
        <v>ISE ()</v>
      </c>
    </row>
    <row r="1355" spans="1:14" x14ac:dyDescent="0.3">
      <c r="A1355" s="1">
        <v>45425</v>
      </c>
      <c r="B1355" t="s">
        <v>249</v>
      </c>
      <c r="C1355" t="s">
        <v>460</v>
      </c>
      <c r="D1355" s="8">
        <v>0.29166666666666669</v>
      </c>
      <c r="E1355" s="8">
        <v>0.5625</v>
      </c>
      <c r="L1355" t="s">
        <v>563</v>
      </c>
      <c r="M1355" t="s">
        <v>478</v>
      </c>
      <c r="N1355" t="str">
        <f>Tabela_tudo[[#This Row],[Médico]]&amp;" ("&amp;Tabela_tudo[[#This Row],[Obs]]&amp;")"</f>
        <v>ISE ()</v>
      </c>
    </row>
    <row r="1356" spans="1:14" x14ac:dyDescent="0.3">
      <c r="A1356" s="1">
        <v>45418</v>
      </c>
      <c r="B1356" t="s">
        <v>249</v>
      </c>
      <c r="C1356" t="s">
        <v>460</v>
      </c>
      <c r="D1356" s="8">
        <v>0.29166666666666669</v>
      </c>
      <c r="E1356" s="8">
        <v>0.5625</v>
      </c>
      <c r="L1356" t="s">
        <v>563</v>
      </c>
      <c r="M1356" t="s">
        <v>478</v>
      </c>
      <c r="N1356" t="str">
        <f>Tabela_tudo[[#This Row],[Médico]]&amp;" ("&amp;Tabela_tudo[[#This Row],[Obs]]&amp;")"</f>
        <v>ISE ()</v>
      </c>
    </row>
    <row r="1357" spans="1:14" x14ac:dyDescent="0.3">
      <c r="A1357" s="1">
        <v>45355</v>
      </c>
      <c r="B1357" t="s">
        <v>249</v>
      </c>
      <c r="C1357" t="s">
        <v>460</v>
      </c>
      <c r="D1357" s="8">
        <v>0.29166666666666669</v>
      </c>
      <c r="E1357" s="8">
        <v>0.5625</v>
      </c>
      <c r="L1357" t="s">
        <v>563</v>
      </c>
      <c r="M1357" t="s">
        <v>478</v>
      </c>
      <c r="N1357" t="str">
        <f>Tabela_tudo[[#This Row],[Médico]]&amp;" ("&amp;Tabela_tudo[[#This Row],[Obs]]&amp;")"</f>
        <v>ISE ()</v>
      </c>
    </row>
    <row r="1358" spans="1:14" x14ac:dyDescent="0.3">
      <c r="A1358" s="1">
        <v>45348</v>
      </c>
      <c r="B1358" t="s">
        <v>249</v>
      </c>
      <c r="C1358" t="s">
        <v>460</v>
      </c>
      <c r="D1358" s="8">
        <v>0.29166666666666669</v>
      </c>
      <c r="E1358" s="8">
        <v>0.5625</v>
      </c>
      <c r="L1358" t="s">
        <v>563</v>
      </c>
      <c r="M1358" t="s">
        <v>478</v>
      </c>
      <c r="N1358" t="str">
        <f>Tabela_tudo[[#This Row],[Médico]]&amp;" ("&amp;Tabela_tudo[[#This Row],[Obs]]&amp;")"</f>
        <v>ISE ()</v>
      </c>
    </row>
    <row r="1359" spans="1:14" x14ac:dyDescent="0.3">
      <c r="A1359" s="1">
        <v>45341</v>
      </c>
      <c r="B1359" t="s">
        <v>249</v>
      </c>
      <c r="C1359" t="s">
        <v>460</v>
      </c>
      <c r="D1359" s="8">
        <v>0.29166666666666669</v>
      </c>
      <c r="E1359" s="8">
        <v>0.5625</v>
      </c>
      <c r="L1359" t="s">
        <v>563</v>
      </c>
      <c r="M1359" t="s">
        <v>478</v>
      </c>
      <c r="N1359" t="str">
        <f>Tabela_tudo[[#This Row],[Médico]]&amp;" ("&amp;Tabela_tudo[[#This Row],[Obs]]&amp;")"</f>
        <v>ISE ()</v>
      </c>
    </row>
    <row r="1360" spans="1:14" x14ac:dyDescent="0.3">
      <c r="A1360" s="1">
        <v>45362</v>
      </c>
      <c r="B1360" t="s">
        <v>249</v>
      </c>
      <c r="C1360" t="s">
        <v>460</v>
      </c>
      <c r="D1360" s="8">
        <v>0.29166666666666669</v>
      </c>
      <c r="E1360" s="8">
        <v>0.5625</v>
      </c>
      <c r="L1360" t="s">
        <v>563</v>
      </c>
      <c r="M1360" t="s">
        <v>478</v>
      </c>
      <c r="N1360" t="str">
        <f>Tabela_tudo[[#This Row],[Médico]]&amp;" ("&amp;Tabela_tudo[[#This Row],[Obs]]&amp;")"</f>
        <v>ISE ()</v>
      </c>
    </row>
    <row r="1361" spans="1:14" x14ac:dyDescent="0.3">
      <c r="A1361" s="1">
        <v>45383</v>
      </c>
      <c r="B1361" t="s">
        <v>249</v>
      </c>
      <c r="C1361" t="s">
        <v>460</v>
      </c>
      <c r="D1361" s="8">
        <v>0.29166666666666669</v>
      </c>
      <c r="E1361" s="8">
        <v>0.5625</v>
      </c>
      <c r="L1361" t="s">
        <v>563</v>
      </c>
      <c r="M1361" t="s">
        <v>478</v>
      </c>
      <c r="N1361" t="str">
        <f>Tabela_tudo[[#This Row],[Médico]]&amp;" ("&amp;Tabela_tudo[[#This Row],[Obs]]&amp;")"</f>
        <v>ISE ()</v>
      </c>
    </row>
    <row r="1362" spans="1:14" x14ac:dyDescent="0.3">
      <c r="A1362" s="1">
        <v>45376</v>
      </c>
      <c r="B1362" t="s">
        <v>249</v>
      </c>
      <c r="C1362" t="s">
        <v>460</v>
      </c>
      <c r="D1362" s="8">
        <v>0.29166666666666669</v>
      </c>
      <c r="E1362" s="8">
        <v>0.5625</v>
      </c>
      <c r="L1362" t="s">
        <v>563</v>
      </c>
      <c r="M1362" t="s">
        <v>478</v>
      </c>
      <c r="N1362" t="str">
        <f>Tabela_tudo[[#This Row],[Médico]]&amp;" ("&amp;Tabela_tudo[[#This Row],[Obs]]&amp;")"</f>
        <v>ISE ()</v>
      </c>
    </row>
    <row r="1363" spans="1:14" x14ac:dyDescent="0.3">
      <c r="A1363" s="1">
        <v>45369</v>
      </c>
      <c r="B1363" t="s">
        <v>249</v>
      </c>
      <c r="C1363" t="s">
        <v>460</v>
      </c>
      <c r="D1363" s="8">
        <v>0.29166666666666669</v>
      </c>
      <c r="E1363" s="8">
        <v>0.5625</v>
      </c>
      <c r="L1363" t="s">
        <v>563</v>
      </c>
      <c r="M1363" t="s">
        <v>478</v>
      </c>
      <c r="N1363" t="str">
        <f>Tabela_tudo[[#This Row],[Médico]]&amp;" ("&amp;Tabela_tudo[[#This Row],[Obs]]&amp;")"</f>
        <v>ISE ()</v>
      </c>
    </row>
    <row r="1364" spans="1:14" x14ac:dyDescent="0.3">
      <c r="A1364" s="1">
        <v>45229</v>
      </c>
      <c r="B1364" t="s">
        <v>249</v>
      </c>
      <c r="C1364" t="s">
        <v>460</v>
      </c>
      <c r="D1364" s="8">
        <v>0.29166666666666669</v>
      </c>
      <c r="E1364" s="8">
        <v>0.5625</v>
      </c>
      <c r="L1364" t="s">
        <v>563</v>
      </c>
      <c r="M1364" t="s">
        <v>478</v>
      </c>
      <c r="N1364" t="str">
        <f>Tabela_tudo[[#This Row],[Médico]]&amp;" ("&amp;Tabela_tudo[[#This Row],[Obs]]&amp;")"</f>
        <v>ISE ()</v>
      </c>
    </row>
    <row r="1365" spans="1:14" x14ac:dyDescent="0.3">
      <c r="A1365" s="1">
        <v>45089</v>
      </c>
      <c r="B1365" t="s">
        <v>249</v>
      </c>
      <c r="C1365" t="s">
        <v>460</v>
      </c>
      <c r="D1365" s="8">
        <v>0.29166666666666669</v>
      </c>
      <c r="E1365" s="8">
        <v>0.5625</v>
      </c>
      <c r="L1365" t="s">
        <v>563</v>
      </c>
      <c r="M1365" t="s">
        <v>478</v>
      </c>
      <c r="N1365" t="str">
        <f>Tabela_tudo[[#This Row],[Médico]]&amp;" ("&amp;Tabela_tudo[[#This Row],[Obs]]&amp;")"</f>
        <v>ISE ()</v>
      </c>
    </row>
    <row r="1366" spans="1:14" x14ac:dyDescent="0.3">
      <c r="A1366" s="1">
        <v>45082</v>
      </c>
      <c r="B1366" t="s">
        <v>249</v>
      </c>
      <c r="C1366" t="s">
        <v>460</v>
      </c>
      <c r="D1366" s="8">
        <v>0.29166666666666669</v>
      </c>
      <c r="E1366" s="8">
        <v>0.5625</v>
      </c>
      <c r="L1366" t="s">
        <v>563</v>
      </c>
      <c r="M1366" t="s">
        <v>478</v>
      </c>
      <c r="N1366" t="str">
        <f>Tabela_tudo[[#This Row],[Médico]]&amp;" ("&amp;Tabela_tudo[[#This Row],[Obs]]&amp;")"</f>
        <v>ISE ()</v>
      </c>
    </row>
    <row r="1367" spans="1:14" x14ac:dyDescent="0.3">
      <c r="A1367" s="1">
        <v>45075</v>
      </c>
      <c r="B1367" t="s">
        <v>249</v>
      </c>
      <c r="C1367" t="s">
        <v>460</v>
      </c>
      <c r="D1367" s="8">
        <v>0.29166666666666669</v>
      </c>
      <c r="E1367" s="8">
        <v>0.5625</v>
      </c>
      <c r="L1367" t="s">
        <v>563</v>
      </c>
      <c r="M1367" t="s">
        <v>478</v>
      </c>
      <c r="N1367" t="str">
        <f>Tabela_tudo[[#This Row],[Médico]]&amp;" ("&amp;Tabela_tudo[[#This Row],[Obs]]&amp;")"</f>
        <v>ISE ()</v>
      </c>
    </row>
    <row r="1368" spans="1:14" x14ac:dyDescent="0.3">
      <c r="A1368" s="1">
        <v>45096</v>
      </c>
      <c r="B1368" t="s">
        <v>249</v>
      </c>
      <c r="C1368" t="s">
        <v>460</v>
      </c>
      <c r="D1368" s="8">
        <v>0.29166666666666669</v>
      </c>
      <c r="E1368" s="8">
        <v>0.5625</v>
      </c>
      <c r="L1368" t="s">
        <v>563</v>
      </c>
      <c r="M1368" t="s">
        <v>478</v>
      </c>
      <c r="N1368" t="str">
        <f>Tabela_tudo[[#This Row],[Médico]]&amp;" ("&amp;Tabela_tudo[[#This Row],[Obs]]&amp;")"</f>
        <v>ISE ()</v>
      </c>
    </row>
    <row r="1369" spans="1:14" x14ac:dyDescent="0.3">
      <c r="A1369" s="1">
        <v>45117</v>
      </c>
      <c r="B1369" t="s">
        <v>249</v>
      </c>
      <c r="C1369" t="s">
        <v>460</v>
      </c>
      <c r="D1369" s="8">
        <v>0.29166666666666669</v>
      </c>
      <c r="E1369" s="8">
        <v>0.5625</v>
      </c>
      <c r="L1369" t="s">
        <v>563</v>
      </c>
      <c r="M1369" t="s">
        <v>478</v>
      </c>
      <c r="N1369" t="str">
        <f>Tabela_tudo[[#This Row],[Médico]]&amp;" ("&amp;Tabela_tudo[[#This Row],[Obs]]&amp;")"</f>
        <v>ISE ()</v>
      </c>
    </row>
    <row r="1370" spans="1:14" x14ac:dyDescent="0.3">
      <c r="A1370" s="1">
        <v>45110</v>
      </c>
      <c r="B1370" t="s">
        <v>249</v>
      </c>
      <c r="C1370" t="s">
        <v>460</v>
      </c>
      <c r="D1370" s="8">
        <v>0.29166666666666669</v>
      </c>
      <c r="E1370" s="8">
        <v>0.5625</v>
      </c>
      <c r="L1370" t="s">
        <v>563</v>
      </c>
      <c r="M1370" t="s">
        <v>478</v>
      </c>
      <c r="N1370" t="str">
        <f>Tabela_tudo[[#This Row],[Médico]]&amp;" ("&amp;Tabela_tudo[[#This Row],[Obs]]&amp;")"</f>
        <v>ISE ()</v>
      </c>
    </row>
    <row r="1371" spans="1:14" x14ac:dyDescent="0.3">
      <c r="A1371" s="1">
        <v>45103</v>
      </c>
      <c r="B1371" t="s">
        <v>249</v>
      </c>
      <c r="C1371" t="s">
        <v>460</v>
      </c>
      <c r="D1371" s="8">
        <v>0.29166666666666669</v>
      </c>
      <c r="E1371" s="8">
        <v>0.5625</v>
      </c>
      <c r="L1371" t="s">
        <v>563</v>
      </c>
      <c r="M1371" t="s">
        <v>478</v>
      </c>
      <c r="N1371" t="str">
        <f>Tabela_tudo[[#This Row],[Médico]]&amp;" ("&amp;Tabela_tudo[[#This Row],[Obs]]&amp;")"</f>
        <v>ISE ()</v>
      </c>
    </row>
    <row r="1372" spans="1:14" x14ac:dyDescent="0.3">
      <c r="A1372" s="1">
        <v>45040</v>
      </c>
      <c r="B1372" t="s">
        <v>249</v>
      </c>
      <c r="C1372" t="s">
        <v>460</v>
      </c>
      <c r="D1372" s="8">
        <v>0.29166666666666669</v>
      </c>
      <c r="E1372" s="8">
        <v>0.5625</v>
      </c>
      <c r="L1372" t="s">
        <v>563</v>
      </c>
      <c r="M1372" t="s">
        <v>478</v>
      </c>
      <c r="N1372" t="str">
        <f>Tabela_tudo[[#This Row],[Médico]]&amp;" ("&amp;Tabela_tudo[[#This Row],[Obs]]&amp;")"</f>
        <v>ISE ()</v>
      </c>
    </row>
    <row r="1373" spans="1:14" x14ac:dyDescent="0.3">
      <c r="A1373" s="1">
        <v>45033</v>
      </c>
      <c r="B1373" t="s">
        <v>249</v>
      </c>
      <c r="C1373" t="s">
        <v>460</v>
      </c>
      <c r="D1373" s="8">
        <v>0.29166666666666669</v>
      </c>
      <c r="E1373" s="8">
        <v>0.5625</v>
      </c>
      <c r="L1373" t="s">
        <v>563</v>
      </c>
      <c r="M1373" t="s">
        <v>478</v>
      </c>
      <c r="N1373" t="str">
        <f>Tabela_tudo[[#This Row],[Médico]]&amp;" ("&amp;Tabela_tudo[[#This Row],[Obs]]&amp;")"</f>
        <v>ISE ()</v>
      </c>
    </row>
    <row r="1374" spans="1:14" x14ac:dyDescent="0.3">
      <c r="A1374" s="1">
        <v>45026</v>
      </c>
      <c r="B1374" t="s">
        <v>249</v>
      </c>
      <c r="C1374" t="s">
        <v>460</v>
      </c>
      <c r="D1374" s="8">
        <v>0.29166666666666669</v>
      </c>
      <c r="E1374" s="8">
        <v>0.5625</v>
      </c>
      <c r="L1374" t="s">
        <v>563</v>
      </c>
      <c r="M1374" t="s">
        <v>478</v>
      </c>
      <c r="N1374" t="str">
        <f>Tabela_tudo[[#This Row],[Médico]]&amp;" ("&amp;Tabela_tudo[[#This Row],[Obs]]&amp;")"</f>
        <v>ISE ()</v>
      </c>
    </row>
    <row r="1375" spans="1:14" x14ac:dyDescent="0.3">
      <c r="A1375" s="1">
        <v>45047</v>
      </c>
      <c r="B1375" t="s">
        <v>249</v>
      </c>
      <c r="C1375" t="s">
        <v>460</v>
      </c>
      <c r="D1375" s="8">
        <v>0.29166666666666669</v>
      </c>
      <c r="E1375" s="8">
        <v>0.5625</v>
      </c>
      <c r="L1375" t="s">
        <v>563</v>
      </c>
      <c r="M1375" t="s">
        <v>478</v>
      </c>
      <c r="N1375" t="str">
        <f>Tabela_tudo[[#This Row],[Médico]]&amp;" ("&amp;Tabela_tudo[[#This Row],[Obs]]&amp;")"</f>
        <v>ISE ()</v>
      </c>
    </row>
    <row r="1376" spans="1:14" x14ac:dyDescent="0.3">
      <c r="A1376" s="1">
        <v>45068</v>
      </c>
      <c r="B1376" t="s">
        <v>249</v>
      </c>
      <c r="C1376" t="s">
        <v>460</v>
      </c>
      <c r="D1376" s="8">
        <v>0.29166666666666669</v>
      </c>
      <c r="E1376" s="8">
        <v>0.5625</v>
      </c>
      <c r="L1376" t="s">
        <v>563</v>
      </c>
      <c r="M1376" t="s">
        <v>478</v>
      </c>
      <c r="N1376" t="str">
        <f>Tabela_tudo[[#This Row],[Médico]]&amp;" ("&amp;Tabela_tudo[[#This Row],[Obs]]&amp;")"</f>
        <v>ISE ()</v>
      </c>
    </row>
    <row r="1377" spans="1:14" x14ac:dyDescent="0.3">
      <c r="A1377" s="1">
        <v>45061</v>
      </c>
      <c r="B1377" t="s">
        <v>249</v>
      </c>
      <c r="C1377" t="s">
        <v>460</v>
      </c>
      <c r="D1377" s="8">
        <v>0.29166666666666669</v>
      </c>
      <c r="E1377" s="8">
        <v>0.5625</v>
      </c>
      <c r="L1377" t="s">
        <v>563</v>
      </c>
      <c r="M1377" t="s">
        <v>478</v>
      </c>
      <c r="N1377" t="str">
        <f>Tabela_tudo[[#This Row],[Médico]]&amp;" ("&amp;Tabela_tudo[[#This Row],[Obs]]&amp;")"</f>
        <v>ISE ()</v>
      </c>
    </row>
    <row r="1378" spans="1:14" x14ac:dyDescent="0.3">
      <c r="A1378" s="1">
        <v>45054</v>
      </c>
      <c r="B1378" t="s">
        <v>249</v>
      </c>
      <c r="C1378" t="s">
        <v>460</v>
      </c>
      <c r="D1378" s="8">
        <v>0.29166666666666669</v>
      </c>
      <c r="E1378" s="8">
        <v>0.5625</v>
      </c>
      <c r="L1378" t="s">
        <v>563</v>
      </c>
      <c r="M1378" t="s">
        <v>478</v>
      </c>
      <c r="N1378" t="str">
        <f>Tabela_tudo[[#This Row],[Médico]]&amp;" ("&amp;Tabela_tudo[[#This Row],[Obs]]&amp;")"</f>
        <v>ISE ()</v>
      </c>
    </row>
    <row r="1379" spans="1:14" x14ac:dyDescent="0.3">
      <c r="A1379" s="1">
        <v>45124</v>
      </c>
      <c r="B1379" t="s">
        <v>249</v>
      </c>
      <c r="C1379" t="s">
        <v>460</v>
      </c>
      <c r="D1379" s="8">
        <v>0.29166666666666669</v>
      </c>
      <c r="E1379" s="8">
        <v>0.5625</v>
      </c>
      <c r="L1379" t="s">
        <v>563</v>
      </c>
      <c r="M1379" t="s">
        <v>478</v>
      </c>
      <c r="N1379" t="str">
        <f>Tabela_tudo[[#This Row],[Médico]]&amp;" ("&amp;Tabela_tudo[[#This Row],[Obs]]&amp;")"</f>
        <v>ISE ()</v>
      </c>
    </row>
    <row r="1380" spans="1:14" x14ac:dyDescent="0.3">
      <c r="A1380" s="1">
        <v>45194</v>
      </c>
      <c r="B1380" t="s">
        <v>249</v>
      </c>
      <c r="C1380" t="s">
        <v>460</v>
      </c>
      <c r="D1380" s="8">
        <v>0.29166666666666669</v>
      </c>
      <c r="E1380" s="8">
        <v>0.5625</v>
      </c>
      <c r="L1380" t="s">
        <v>563</v>
      </c>
      <c r="M1380" t="s">
        <v>478</v>
      </c>
      <c r="N1380" t="str">
        <f>Tabela_tudo[[#This Row],[Médico]]&amp;" ("&amp;Tabela_tudo[[#This Row],[Obs]]&amp;")"</f>
        <v>ISE ()</v>
      </c>
    </row>
    <row r="1381" spans="1:14" x14ac:dyDescent="0.3">
      <c r="A1381" s="1">
        <v>45187</v>
      </c>
      <c r="B1381" t="s">
        <v>249</v>
      </c>
      <c r="C1381" t="s">
        <v>460</v>
      </c>
      <c r="D1381" s="8">
        <v>0.29166666666666669</v>
      </c>
      <c r="E1381" s="8">
        <v>0.5625</v>
      </c>
      <c r="L1381" t="s">
        <v>563</v>
      </c>
      <c r="M1381" t="s">
        <v>478</v>
      </c>
      <c r="N1381" t="str">
        <f>Tabela_tudo[[#This Row],[Médico]]&amp;" ("&amp;Tabela_tudo[[#This Row],[Obs]]&amp;")"</f>
        <v>ISE ()</v>
      </c>
    </row>
    <row r="1382" spans="1:14" x14ac:dyDescent="0.3">
      <c r="A1382" s="1">
        <v>45180</v>
      </c>
      <c r="B1382" t="s">
        <v>249</v>
      </c>
      <c r="C1382" t="s">
        <v>460</v>
      </c>
      <c r="D1382" s="8">
        <v>0.29166666666666669</v>
      </c>
      <c r="E1382" s="8">
        <v>0.5625</v>
      </c>
      <c r="L1382" t="s">
        <v>563</v>
      </c>
      <c r="M1382" t="s">
        <v>478</v>
      </c>
      <c r="N1382" t="str">
        <f>Tabela_tudo[[#This Row],[Médico]]&amp;" ("&amp;Tabela_tudo[[#This Row],[Obs]]&amp;")"</f>
        <v>ISE ()</v>
      </c>
    </row>
    <row r="1383" spans="1:14" x14ac:dyDescent="0.3">
      <c r="A1383" s="1">
        <v>45201</v>
      </c>
      <c r="B1383" t="s">
        <v>249</v>
      </c>
      <c r="C1383" t="s">
        <v>460</v>
      </c>
      <c r="D1383" s="8">
        <v>0.29166666666666669</v>
      </c>
      <c r="E1383" s="8">
        <v>0.5625</v>
      </c>
      <c r="L1383" t="s">
        <v>563</v>
      </c>
      <c r="M1383" t="s">
        <v>478</v>
      </c>
      <c r="N1383" t="str">
        <f>Tabela_tudo[[#This Row],[Médico]]&amp;" ("&amp;Tabela_tudo[[#This Row],[Obs]]&amp;")"</f>
        <v>ISE ()</v>
      </c>
    </row>
    <row r="1384" spans="1:14" x14ac:dyDescent="0.3">
      <c r="A1384" s="1">
        <v>45222</v>
      </c>
      <c r="B1384" t="s">
        <v>249</v>
      </c>
      <c r="C1384" t="s">
        <v>460</v>
      </c>
      <c r="D1384" s="8">
        <v>0.29166666666666669</v>
      </c>
      <c r="E1384" s="8">
        <v>0.5625</v>
      </c>
      <c r="L1384" t="s">
        <v>563</v>
      </c>
      <c r="M1384" t="s">
        <v>478</v>
      </c>
      <c r="N1384" t="str">
        <f>Tabela_tudo[[#This Row],[Médico]]&amp;" ("&amp;Tabela_tudo[[#This Row],[Obs]]&amp;")"</f>
        <v>ISE ()</v>
      </c>
    </row>
    <row r="1385" spans="1:14" x14ac:dyDescent="0.3">
      <c r="A1385" s="1">
        <v>45215</v>
      </c>
      <c r="B1385" t="s">
        <v>249</v>
      </c>
      <c r="C1385" t="s">
        <v>460</v>
      </c>
      <c r="D1385" s="8">
        <v>0.29166666666666669</v>
      </c>
      <c r="E1385" s="8">
        <v>0.5625</v>
      </c>
      <c r="L1385" t="s">
        <v>563</v>
      </c>
      <c r="M1385" t="s">
        <v>478</v>
      </c>
      <c r="N1385" t="str">
        <f>Tabela_tudo[[#This Row],[Médico]]&amp;" ("&amp;Tabela_tudo[[#This Row],[Obs]]&amp;")"</f>
        <v>ISE ()</v>
      </c>
    </row>
    <row r="1386" spans="1:14" x14ac:dyDescent="0.3">
      <c r="A1386" s="1">
        <v>45208</v>
      </c>
      <c r="B1386" t="s">
        <v>249</v>
      </c>
      <c r="C1386" t="s">
        <v>460</v>
      </c>
      <c r="D1386" s="8">
        <v>0.29166666666666669</v>
      </c>
      <c r="E1386" s="8">
        <v>0.5625</v>
      </c>
      <c r="L1386" t="s">
        <v>563</v>
      </c>
      <c r="M1386" t="s">
        <v>478</v>
      </c>
      <c r="N1386" t="str">
        <f>Tabela_tudo[[#This Row],[Médico]]&amp;" ("&amp;Tabela_tudo[[#This Row],[Obs]]&amp;")"</f>
        <v>ISE ()</v>
      </c>
    </row>
    <row r="1387" spans="1:14" x14ac:dyDescent="0.3">
      <c r="A1387" s="1">
        <v>45145</v>
      </c>
      <c r="B1387" t="s">
        <v>249</v>
      </c>
      <c r="C1387" t="s">
        <v>460</v>
      </c>
      <c r="D1387" s="8">
        <v>0.29166666666666669</v>
      </c>
      <c r="E1387" s="8">
        <v>0.5625</v>
      </c>
      <c r="L1387" t="s">
        <v>563</v>
      </c>
      <c r="M1387" t="s">
        <v>478</v>
      </c>
      <c r="N1387" t="str">
        <f>Tabela_tudo[[#This Row],[Médico]]&amp;" ("&amp;Tabela_tudo[[#This Row],[Obs]]&amp;")"</f>
        <v>ISE ()</v>
      </c>
    </row>
    <row r="1388" spans="1:14" x14ac:dyDescent="0.3">
      <c r="A1388" s="1">
        <v>45138</v>
      </c>
      <c r="B1388" t="s">
        <v>249</v>
      </c>
      <c r="C1388" t="s">
        <v>460</v>
      </c>
      <c r="D1388" s="8">
        <v>0.29166666666666669</v>
      </c>
      <c r="E1388" s="8">
        <v>0.5625</v>
      </c>
      <c r="L1388" t="s">
        <v>563</v>
      </c>
      <c r="M1388" t="s">
        <v>478</v>
      </c>
      <c r="N1388" t="str">
        <f>Tabela_tudo[[#This Row],[Médico]]&amp;" ("&amp;Tabela_tudo[[#This Row],[Obs]]&amp;")"</f>
        <v>ISE ()</v>
      </c>
    </row>
    <row r="1389" spans="1:14" x14ac:dyDescent="0.3">
      <c r="A1389" s="1">
        <v>45131</v>
      </c>
      <c r="B1389" t="s">
        <v>249</v>
      </c>
      <c r="C1389" t="s">
        <v>460</v>
      </c>
      <c r="D1389" s="8">
        <v>0.29166666666666669</v>
      </c>
      <c r="E1389" s="8">
        <v>0.5625</v>
      </c>
      <c r="L1389" t="s">
        <v>563</v>
      </c>
      <c r="M1389" t="s">
        <v>478</v>
      </c>
      <c r="N1389" t="str">
        <f>Tabela_tudo[[#This Row],[Médico]]&amp;" ("&amp;Tabela_tudo[[#This Row],[Obs]]&amp;")"</f>
        <v>ISE ()</v>
      </c>
    </row>
    <row r="1390" spans="1:14" x14ac:dyDescent="0.3">
      <c r="A1390" s="1">
        <v>45152</v>
      </c>
      <c r="B1390" t="s">
        <v>249</v>
      </c>
      <c r="C1390" t="s">
        <v>460</v>
      </c>
      <c r="D1390" s="8">
        <v>0.29166666666666669</v>
      </c>
      <c r="E1390" s="8">
        <v>0.5625</v>
      </c>
      <c r="L1390" t="s">
        <v>563</v>
      </c>
      <c r="M1390" t="s">
        <v>478</v>
      </c>
      <c r="N1390" t="str">
        <f>Tabela_tudo[[#This Row],[Médico]]&amp;" ("&amp;Tabela_tudo[[#This Row],[Obs]]&amp;")"</f>
        <v>ISE ()</v>
      </c>
    </row>
    <row r="1391" spans="1:14" x14ac:dyDescent="0.3">
      <c r="A1391" s="1">
        <v>45173</v>
      </c>
      <c r="B1391" t="s">
        <v>249</v>
      </c>
      <c r="C1391" t="s">
        <v>460</v>
      </c>
      <c r="D1391" s="8">
        <v>0.29166666666666669</v>
      </c>
      <c r="E1391" s="8">
        <v>0.5625</v>
      </c>
      <c r="L1391" t="s">
        <v>563</v>
      </c>
      <c r="M1391" t="s">
        <v>478</v>
      </c>
      <c r="N1391" t="str">
        <f>Tabela_tudo[[#This Row],[Médico]]&amp;" ("&amp;Tabela_tudo[[#This Row],[Obs]]&amp;")"</f>
        <v>ISE ()</v>
      </c>
    </row>
    <row r="1392" spans="1:14" x14ac:dyDescent="0.3">
      <c r="A1392" s="1">
        <v>45166</v>
      </c>
      <c r="B1392" t="s">
        <v>249</v>
      </c>
      <c r="C1392" t="s">
        <v>460</v>
      </c>
      <c r="D1392" s="8">
        <v>0.29166666666666669</v>
      </c>
      <c r="E1392" s="8">
        <v>0.5625</v>
      </c>
      <c r="L1392" t="s">
        <v>563</v>
      </c>
      <c r="M1392" t="s">
        <v>478</v>
      </c>
      <c r="N1392" t="str">
        <f>Tabela_tudo[[#This Row],[Médico]]&amp;" ("&amp;Tabela_tudo[[#This Row],[Obs]]&amp;")"</f>
        <v>ISE ()</v>
      </c>
    </row>
    <row r="1393" spans="1:14" x14ac:dyDescent="0.3">
      <c r="A1393" s="1">
        <v>45159</v>
      </c>
      <c r="B1393" t="s">
        <v>249</v>
      </c>
      <c r="C1393" t="s">
        <v>460</v>
      </c>
      <c r="D1393" s="8">
        <v>0.29166666666666669</v>
      </c>
      <c r="E1393" s="8">
        <v>0.5625</v>
      </c>
      <c r="L1393" t="s">
        <v>563</v>
      </c>
      <c r="M1393" t="s">
        <v>478</v>
      </c>
      <c r="N1393" t="str">
        <f>Tabela_tudo[[#This Row],[Médico]]&amp;" ("&amp;Tabela_tudo[[#This Row],[Obs]]&amp;")"</f>
        <v>ISE ()</v>
      </c>
    </row>
    <row r="1394" spans="1:14" x14ac:dyDescent="0.3">
      <c r="A1394" s="1">
        <v>45328</v>
      </c>
      <c r="B1394" t="s">
        <v>29</v>
      </c>
      <c r="C1394" t="s">
        <v>463</v>
      </c>
      <c r="D1394" s="8">
        <v>0.75</v>
      </c>
      <c r="E1394" s="8">
        <v>0.79166666666666663</v>
      </c>
      <c r="L1394" t="s">
        <v>563</v>
      </c>
      <c r="M1394" t="s">
        <v>478</v>
      </c>
      <c r="N1394" t="str">
        <f>Tabela_tudo[[#This Row],[Médico]]&amp;" ("&amp;Tabela_tudo[[#This Row],[Obs]]&amp;")"</f>
        <v>JOA ()</v>
      </c>
    </row>
    <row r="1395" spans="1:14" x14ac:dyDescent="0.3">
      <c r="A1395" s="1">
        <v>45489</v>
      </c>
      <c r="B1395" t="s">
        <v>47</v>
      </c>
      <c r="C1395" t="s">
        <v>463</v>
      </c>
      <c r="D1395" s="8">
        <v>0.75</v>
      </c>
      <c r="E1395" s="8">
        <v>0.79166666666666663</v>
      </c>
      <c r="L1395" t="s">
        <v>563</v>
      </c>
      <c r="M1395" t="s">
        <v>478</v>
      </c>
      <c r="N1395" t="str">
        <f>Tabela_tudo[[#This Row],[Médico]]&amp;" ("&amp;Tabela_tudo[[#This Row],[Obs]]&amp;")"</f>
        <v>VIN ()</v>
      </c>
    </row>
    <row r="1396" spans="1:14" x14ac:dyDescent="0.3">
      <c r="A1396" s="1">
        <v>45482</v>
      </c>
      <c r="B1396" t="s">
        <v>47</v>
      </c>
      <c r="C1396" t="s">
        <v>463</v>
      </c>
      <c r="D1396" s="8">
        <v>0.75</v>
      </c>
      <c r="E1396" s="8">
        <v>0.79166666666666663</v>
      </c>
      <c r="L1396" t="s">
        <v>563</v>
      </c>
      <c r="M1396" t="s">
        <v>478</v>
      </c>
      <c r="N1396" t="str">
        <f>Tabela_tudo[[#This Row],[Médico]]&amp;" ("&amp;Tabela_tudo[[#This Row],[Obs]]&amp;")"</f>
        <v>VIN ()</v>
      </c>
    </row>
    <row r="1397" spans="1:14" x14ac:dyDescent="0.3">
      <c r="A1397" s="1">
        <v>45475</v>
      </c>
      <c r="B1397" t="s">
        <v>47</v>
      </c>
      <c r="C1397" t="s">
        <v>463</v>
      </c>
      <c r="D1397" s="8">
        <v>0.75</v>
      </c>
      <c r="E1397" s="8">
        <v>0.79166666666666663</v>
      </c>
      <c r="L1397" t="s">
        <v>563</v>
      </c>
      <c r="M1397" t="s">
        <v>478</v>
      </c>
      <c r="N1397" t="str">
        <f>Tabela_tudo[[#This Row],[Médico]]&amp;" ("&amp;Tabela_tudo[[#This Row],[Obs]]&amp;")"</f>
        <v>VIN ()</v>
      </c>
    </row>
    <row r="1398" spans="1:14" x14ac:dyDescent="0.3">
      <c r="A1398" s="1">
        <v>45496</v>
      </c>
      <c r="B1398" t="s">
        <v>47</v>
      </c>
      <c r="C1398" t="s">
        <v>463</v>
      </c>
      <c r="D1398" s="8">
        <v>0.75</v>
      </c>
      <c r="E1398" s="8">
        <v>0.79166666666666663</v>
      </c>
      <c r="L1398" t="s">
        <v>563</v>
      </c>
      <c r="M1398" t="s">
        <v>478</v>
      </c>
      <c r="N1398" t="str">
        <f>Tabela_tudo[[#This Row],[Médico]]&amp;" ("&amp;Tabela_tudo[[#This Row],[Obs]]&amp;")"</f>
        <v>VIN ()</v>
      </c>
    </row>
    <row r="1399" spans="1:14" x14ac:dyDescent="0.3">
      <c r="A1399" s="1">
        <v>45517</v>
      </c>
      <c r="B1399" t="s">
        <v>47</v>
      </c>
      <c r="C1399" t="s">
        <v>463</v>
      </c>
      <c r="D1399" s="8">
        <v>0.75</v>
      </c>
      <c r="E1399" s="8">
        <v>0.79166666666666663</v>
      </c>
      <c r="L1399" t="s">
        <v>563</v>
      </c>
      <c r="M1399" t="s">
        <v>478</v>
      </c>
      <c r="N1399" t="str">
        <f>Tabela_tudo[[#This Row],[Médico]]&amp;" ("&amp;Tabela_tudo[[#This Row],[Obs]]&amp;")"</f>
        <v>VIN ()</v>
      </c>
    </row>
    <row r="1400" spans="1:14" x14ac:dyDescent="0.3">
      <c r="A1400" s="1">
        <v>45510</v>
      </c>
      <c r="B1400" t="s">
        <v>47</v>
      </c>
      <c r="C1400" t="s">
        <v>463</v>
      </c>
      <c r="D1400" s="8">
        <v>0.75</v>
      </c>
      <c r="E1400" s="8">
        <v>0.79166666666666663</v>
      </c>
      <c r="L1400" t="s">
        <v>563</v>
      </c>
      <c r="M1400" t="s">
        <v>478</v>
      </c>
      <c r="N1400" t="str">
        <f>Tabela_tudo[[#This Row],[Médico]]&amp;" ("&amp;Tabela_tudo[[#This Row],[Obs]]&amp;")"</f>
        <v>VIN ()</v>
      </c>
    </row>
    <row r="1401" spans="1:14" x14ac:dyDescent="0.3">
      <c r="A1401" s="1">
        <v>45503</v>
      </c>
      <c r="B1401" t="s">
        <v>47</v>
      </c>
      <c r="C1401" t="s">
        <v>463</v>
      </c>
      <c r="D1401" s="8">
        <v>0.75</v>
      </c>
      <c r="E1401" s="8">
        <v>0.79166666666666663</v>
      </c>
      <c r="L1401" t="s">
        <v>563</v>
      </c>
      <c r="M1401" t="s">
        <v>478</v>
      </c>
      <c r="N1401" t="str">
        <f>Tabela_tudo[[#This Row],[Médico]]&amp;" ("&amp;Tabela_tudo[[#This Row],[Obs]]&amp;")"</f>
        <v>VIN ()</v>
      </c>
    </row>
    <row r="1402" spans="1:14" x14ac:dyDescent="0.3">
      <c r="A1402" s="1">
        <v>45440</v>
      </c>
      <c r="B1402" t="s">
        <v>47</v>
      </c>
      <c r="C1402" t="s">
        <v>463</v>
      </c>
      <c r="D1402" s="8">
        <v>0.75</v>
      </c>
      <c r="E1402" s="8">
        <v>0.79166666666666663</v>
      </c>
      <c r="L1402" t="s">
        <v>563</v>
      </c>
      <c r="M1402" t="s">
        <v>478</v>
      </c>
      <c r="N1402" t="str">
        <f>Tabela_tudo[[#This Row],[Médico]]&amp;" ("&amp;Tabela_tudo[[#This Row],[Obs]]&amp;")"</f>
        <v>VIN ()</v>
      </c>
    </row>
    <row r="1403" spans="1:14" x14ac:dyDescent="0.3">
      <c r="A1403" s="1">
        <v>45433</v>
      </c>
      <c r="B1403" t="s">
        <v>47</v>
      </c>
      <c r="C1403" t="s">
        <v>463</v>
      </c>
      <c r="D1403" s="8">
        <v>0.75</v>
      </c>
      <c r="E1403" s="8">
        <v>0.79166666666666663</v>
      </c>
      <c r="L1403" t="s">
        <v>563</v>
      </c>
      <c r="M1403" t="s">
        <v>478</v>
      </c>
      <c r="N1403" t="str">
        <f>Tabela_tudo[[#This Row],[Médico]]&amp;" ("&amp;Tabela_tudo[[#This Row],[Obs]]&amp;")"</f>
        <v>VIN ()</v>
      </c>
    </row>
    <row r="1404" spans="1:14" x14ac:dyDescent="0.3">
      <c r="A1404" s="1">
        <v>45426</v>
      </c>
      <c r="B1404" t="s">
        <v>47</v>
      </c>
      <c r="C1404" t="s">
        <v>463</v>
      </c>
      <c r="D1404" s="8">
        <v>0.75</v>
      </c>
      <c r="E1404" s="8">
        <v>0.79166666666666663</v>
      </c>
      <c r="L1404" t="s">
        <v>563</v>
      </c>
      <c r="M1404" t="s">
        <v>478</v>
      </c>
      <c r="N1404" t="str">
        <f>Tabela_tudo[[#This Row],[Médico]]&amp;" ("&amp;Tabela_tudo[[#This Row],[Obs]]&amp;")"</f>
        <v>VIN ()</v>
      </c>
    </row>
    <row r="1405" spans="1:14" x14ac:dyDescent="0.3">
      <c r="A1405" s="1">
        <v>45447</v>
      </c>
      <c r="B1405" t="s">
        <v>47</v>
      </c>
      <c r="C1405" t="s">
        <v>463</v>
      </c>
      <c r="D1405" s="8">
        <v>0.75</v>
      </c>
      <c r="E1405" s="8">
        <v>0.79166666666666663</v>
      </c>
      <c r="L1405" t="s">
        <v>563</v>
      </c>
      <c r="M1405" t="s">
        <v>478</v>
      </c>
      <c r="N1405" t="str">
        <f>Tabela_tudo[[#This Row],[Médico]]&amp;" ("&amp;Tabela_tudo[[#This Row],[Obs]]&amp;")"</f>
        <v>VIN ()</v>
      </c>
    </row>
    <row r="1406" spans="1:14" x14ac:dyDescent="0.3">
      <c r="A1406" s="1">
        <v>45468</v>
      </c>
      <c r="B1406" t="s">
        <v>47</v>
      </c>
      <c r="C1406" t="s">
        <v>463</v>
      </c>
      <c r="D1406" s="8">
        <v>0.75</v>
      </c>
      <c r="E1406" s="8">
        <v>0.79166666666666663</v>
      </c>
      <c r="L1406" t="s">
        <v>563</v>
      </c>
      <c r="M1406" t="s">
        <v>478</v>
      </c>
      <c r="N1406" t="str">
        <f>Tabela_tudo[[#This Row],[Médico]]&amp;" ("&amp;Tabela_tudo[[#This Row],[Obs]]&amp;")"</f>
        <v>VIN ()</v>
      </c>
    </row>
    <row r="1407" spans="1:14" x14ac:dyDescent="0.3">
      <c r="A1407" s="1">
        <v>45461</v>
      </c>
      <c r="B1407" t="s">
        <v>47</v>
      </c>
      <c r="C1407" t="s">
        <v>463</v>
      </c>
      <c r="D1407" s="8">
        <v>0.75</v>
      </c>
      <c r="E1407" s="8">
        <v>0.79166666666666663</v>
      </c>
      <c r="L1407" t="s">
        <v>563</v>
      </c>
      <c r="M1407" t="s">
        <v>478</v>
      </c>
      <c r="N1407" t="str">
        <f>Tabela_tudo[[#This Row],[Médico]]&amp;" ("&amp;Tabela_tudo[[#This Row],[Obs]]&amp;")"</f>
        <v>VIN ()</v>
      </c>
    </row>
    <row r="1408" spans="1:14" x14ac:dyDescent="0.3">
      <c r="A1408" s="1">
        <v>45454</v>
      </c>
      <c r="B1408" t="s">
        <v>47</v>
      </c>
      <c r="C1408" t="s">
        <v>463</v>
      </c>
      <c r="D1408" s="8">
        <v>0.75</v>
      </c>
      <c r="E1408" s="8">
        <v>0.79166666666666663</v>
      </c>
      <c r="L1408" t="s">
        <v>563</v>
      </c>
      <c r="M1408" t="s">
        <v>478</v>
      </c>
      <c r="N1408" t="str">
        <f>Tabela_tudo[[#This Row],[Médico]]&amp;" ("&amp;Tabela_tudo[[#This Row],[Obs]]&amp;")"</f>
        <v>VIN ()</v>
      </c>
    </row>
    <row r="1409" spans="1:14" x14ac:dyDescent="0.3">
      <c r="A1409" s="1">
        <v>45524</v>
      </c>
      <c r="B1409" t="s">
        <v>47</v>
      </c>
      <c r="C1409" t="s">
        <v>463</v>
      </c>
      <c r="D1409" s="8">
        <v>0.75</v>
      </c>
      <c r="E1409" s="8">
        <v>0.79166666666666663</v>
      </c>
      <c r="L1409" t="s">
        <v>563</v>
      </c>
      <c r="M1409" t="s">
        <v>478</v>
      </c>
      <c r="N1409" t="str">
        <f>Tabela_tudo[[#This Row],[Médico]]&amp;" ("&amp;Tabela_tudo[[#This Row],[Obs]]&amp;")"</f>
        <v>VIN ()</v>
      </c>
    </row>
    <row r="1410" spans="1:14" x14ac:dyDescent="0.3">
      <c r="A1410" s="1">
        <v>45594</v>
      </c>
      <c r="B1410" t="s">
        <v>47</v>
      </c>
      <c r="C1410" t="s">
        <v>463</v>
      </c>
      <c r="D1410" s="8">
        <v>0.75</v>
      </c>
      <c r="E1410" s="8">
        <v>0.79166666666666663</v>
      </c>
      <c r="L1410" t="s">
        <v>563</v>
      </c>
      <c r="M1410" t="s">
        <v>478</v>
      </c>
      <c r="N1410" t="str">
        <f>Tabela_tudo[[#This Row],[Médico]]&amp;" ("&amp;Tabela_tudo[[#This Row],[Obs]]&amp;")"</f>
        <v>VIN ()</v>
      </c>
    </row>
    <row r="1411" spans="1:14" x14ac:dyDescent="0.3">
      <c r="A1411" s="1">
        <v>45587</v>
      </c>
      <c r="B1411" t="s">
        <v>47</v>
      </c>
      <c r="C1411" t="s">
        <v>463</v>
      </c>
      <c r="D1411" s="8">
        <v>0.75</v>
      </c>
      <c r="E1411" s="8">
        <v>0.79166666666666663</v>
      </c>
      <c r="L1411" t="s">
        <v>563</v>
      </c>
      <c r="M1411" t="s">
        <v>478</v>
      </c>
      <c r="N1411" t="str">
        <f>Tabela_tudo[[#This Row],[Médico]]&amp;" ("&amp;Tabela_tudo[[#This Row],[Obs]]&amp;")"</f>
        <v>VIN ()</v>
      </c>
    </row>
    <row r="1412" spans="1:14" x14ac:dyDescent="0.3">
      <c r="A1412" s="1">
        <v>45580</v>
      </c>
      <c r="B1412" t="s">
        <v>47</v>
      </c>
      <c r="C1412" t="s">
        <v>463</v>
      </c>
      <c r="D1412" s="8">
        <v>0.75</v>
      </c>
      <c r="E1412" s="8">
        <v>0.79166666666666663</v>
      </c>
      <c r="L1412" t="s">
        <v>563</v>
      </c>
      <c r="M1412" t="s">
        <v>478</v>
      </c>
      <c r="N1412" t="str">
        <f>Tabela_tudo[[#This Row],[Médico]]&amp;" ("&amp;Tabela_tudo[[#This Row],[Obs]]&amp;")"</f>
        <v>VIN ()</v>
      </c>
    </row>
    <row r="1413" spans="1:14" x14ac:dyDescent="0.3">
      <c r="A1413" s="1">
        <v>45601</v>
      </c>
      <c r="B1413" t="s">
        <v>47</v>
      </c>
      <c r="C1413" t="s">
        <v>463</v>
      </c>
      <c r="D1413" s="8">
        <v>0.75</v>
      </c>
      <c r="E1413" s="8">
        <v>0.79166666666666663</v>
      </c>
      <c r="L1413" t="s">
        <v>563</v>
      </c>
      <c r="M1413" t="s">
        <v>478</v>
      </c>
      <c r="N1413" t="str">
        <f>Tabela_tudo[[#This Row],[Médico]]&amp;" ("&amp;Tabela_tudo[[#This Row],[Obs]]&amp;")"</f>
        <v>VIN ()</v>
      </c>
    </row>
    <row r="1414" spans="1:14" x14ac:dyDescent="0.3">
      <c r="A1414" s="1">
        <v>45622</v>
      </c>
      <c r="B1414" t="s">
        <v>47</v>
      </c>
      <c r="C1414" t="s">
        <v>463</v>
      </c>
      <c r="D1414" s="8">
        <v>0.75</v>
      </c>
      <c r="E1414" s="8">
        <v>0.79166666666666663</v>
      </c>
      <c r="L1414" t="s">
        <v>563</v>
      </c>
      <c r="M1414" t="s">
        <v>478</v>
      </c>
      <c r="N1414" t="str">
        <f>Tabela_tudo[[#This Row],[Médico]]&amp;" ("&amp;Tabela_tudo[[#This Row],[Obs]]&amp;")"</f>
        <v>VIN ()</v>
      </c>
    </row>
    <row r="1415" spans="1:14" x14ac:dyDescent="0.3">
      <c r="A1415" s="1">
        <v>45615</v>
      </c>
      <c r="B1415" t="s">
        <v>47</v>
      </c>
      <c r="C1415" t="s">
        <v>463</v>
      </c>
      <c r="D1415" s="8">
        <v>0.75</v>
      </c>
      <c r="E1415" s="8">
        <v>0.79166666666666663</v>
      </c>
      <c r="L1415" t="s">
        <v>563</v>
      </c>
      <c r="M1415" t="s">
        <v>478</v>
      </c>
      <c r="N1415" t="str">
        <f>Tabela_tudo[[#This Row],[Médico]]&amp;" ("&amp;Tabela_tudo[[#This Row],[Obs]]&amp;")"</f>
        <v>VIN ()</v>
      </c>
    </row>
    <row r="1416" spans="1:14" x14ac:dyDescent="0.3">
      <c r="A1416" s="1">
        <v>45608</v>
      </c>
      <c r="B1416" t="s">
        <v>47</v>
      </c>
      <c r="C1416" t="s">
        <v>463</v>
      </c>
      <c r="D1416" s="8">
        <v>0.75</v>
      </c>
      <c r="E1416" s="8">
        <v>0.79166666666666663</v>
      </c>
      <c r="L1416" t="s">
        <v>563</v>
      </c>
      <c r="M1416" t="s">
        <v>478</v>
      </c>
      <c r="N1416" t="str">
        <f>Tabela_tudo[[#This Row],[Médico]]&amp;" ("&amp;Tabela_tudo[[#This Row],[Obs]]&amp;")"</f>
        <v>VIN ()</v>
      </c>
    </row>
    <row r="1417" spans="1:14" x14ac:dyDescent="0.3">
      <c r="A1417" s="1">
        <v>45545</v>
      </c>
      <c r="B1417" t="s">
        <v>47</v>
      </c>
      <c r="C1417" t="s">
        <v>463</v>
      </c>
      <c r="D1417" s="8">
        <v>0.75</v>
      </c>
      <c r="E1417" s="8">
        <v>0.79166666666666663</v>
      </c>
      <c r="L1417" t="s">
        <v>563</v>
      </c>
      <c r="M1417" t="s">
        <v>478</v>
      </c>
      <c r="N1417" t="str">
        <f>Tabela_tudo[[#This Row],[Médico]]&amp;" ("&amp;Tabela_tudo[[#This Row],[Obs]]&amp;")"</f>
        <v>VIN ()</v>
      </c>
    </row>
    <row r="1418" spans="1:14" x14ac:dyDescent="0.3">
      <c r="A1418" s="1">
        <v>45538</v>
      </c>
      <c r="B1418" t="s">
        <v>47</v>
      </c>
      <c r="C1418" t="s">
        <v>463</v>
      </c>
      <c r="D1418" s="8">
        <v>0.75</v>
      </c>
      <c r="E1418" s="8">
        <v>0.79166666666666663</v>
      </c>
      <c r="L1418" t="s">
        <v>563</v>
      </c>
      <c r="M1418" t="s">
        <v>478</v>
      </c>
      <c r="N1418" t="str">
        <f>Tabela_tudo[[#This Row],[Médico]]&amp;" ("&amp;Tabela_tudo[[#This Row],[Obs]]&amp;")"</f>
        <v>VIN ()</v>
      </c>
    </row>
    <row r="1419" spans="1:14" x14ac:dyDescent="0.3">
      <c r="A1419" s="1">
        <v>45531</v>
      </c>
      <c r="B1419" t="s">
        <v>47</v>
      </c>
      <c r="C1419" t="s">
        <v>463</v>
      </c>
      <c r="D1419" s="8">
        <v>0.75</v>
      </c>
      <c r="E1419" s="8">
        <v>0.79166666666666663</v>
      </c>
      <c r="L1419" t="s">
        <v>563</v>
      </c>
      <c r="M1419" t="s">
        <v>478</v>
      </c>
      <c r="N1419" t="str">
        <f>Tabela_tudo[[#This Row],[Médico]]&amp;" ("&amp;Tabela_tudo[[#This Row],[Obs]]&amp;")"</f>
        <v>VIN ()</v>
      </c>
    </row>
    <row r="1420" spans="1:14" x14ac:dyDescent="0.3">
      <c r="A1420" s="1">
        <v>45552</v>
      </c>
      <c r="B1420" t="s">
        <v>47</v>
      </c>
      <c r="C1420" t="s">
        <v>463</v>
      </c>
      <c r="D1420" s="8">
        <v>0.75</v>
      </c>
      <c r="E1420" s="8">
        <v>0.79166666666666663</v>
      </c>
      <c r="L1420" t="s">
        <v>563</v>
      </c>
      <c r="M1420" t="s">
        <v>478</v>
      </c>
      <c r="N1420" t="str">
        <f>Tabela_tudo[[#This Row],[Médico]]&amp;" ("&amp;Tabela_tudo[[#This Row],[Obs]]&amp;")"</f>
        <v>VIN ()</v>
      </c>
    </row>
    <row r="1421" spans="1:14" x14ac:dyDescent="0.3">
      <c r="A1421" s="1">
        <v>45573</v>
      </c>
      <c r="B1421" t="s">
        <v>47</v>
      </c>
      <c r="C1421" t="s">
        <v>463</v>
      </c>
      <c r="D1421" s="8">
        <v>0.75</v>
      </c>
      <c r="E1421" s="8">
        <v>0.79166666666666663</v>
      </c>
      <c r="L1421" t="s">
        <v>563</v>
      </c>
      <c r="M1421" t="s">
        <v>478</v>
      </c>
      <c r="N1421" t="str">
        <f>Tabela_tudo[[#This Row],[Médico]]&amp;" ("&amp;Tabela_tudo[[#This Row],[Obs]]&amp;")"</f>
        <v>VIN ()</v>
      </c>
    </row>
    <row r="1422" spans="1:14" x14ac:dyDescent="0.3">
      <c r="A1422" s="1">
        <v>45566</v>
      </c>
      <c r="B1422" t="s">
        <v>47</v>
      </c>
      <c r="C1422" t="s">
        <v>463</v>
      </c>
      <c r="D1422" s="8">
        <v>0.75</v>
      </c>
      <c r="E1422" s="8">
        <v>0.79166666666666663</v>
      </c>
      <c r="L1422" t="s">
        <v>563</v>
      </c>
      <c r="M1422" t="s">
        <v>478</v>
      </c>
      <c r="N1422" t="str">
        <f>Tabela_tudo[[#This Row],[Médico]]&amp;" ("&amp;Tabela_tudo[[#This Row],[Obs]]&amp;")"</f>
        <v>VIN ()</v>
      </c>
    </row>
    <row r="1423" spans="1:14" x14ac:dyDescent="0.3">
      <c r="A1423" s="1">
        <v>45559</v>
      </c>
      <c r="B1423" t="s">
        <v>47</v>
      </c>
      <c r="C1423" t="s">
        <v>463</v>
      </c>
      <c r="D1423" s="8">
        <v>0.75</v>
      </c>
      <c r="E1423" s="8">
        <v>0.79166666666666663</v>
      </c>
      <c r="L1423" t="s">
        <v>563</v>
      </c>
      <c r="M1423" t="s">
        <v>478</v>
      </c>
      <c r="N1423" t="str">
        <f>Tabela_tudo[[#This Row],[Médico]]&amp;" ("&amp;Tabela_tudo[[#This Row],[Obs]]&amp;")"</f>
        <v>VIN ()</v>
      </c>
    </row>
    <row r="1424" spans="1:14" x14ac:dyDescent="0.3">
      <c r="A1424" s="1">
        <v>45419</v>
      </c>
      <c r="B1424" t="s">
        <v>47</v>
      </c>
      <c r="C1424" t="s">
        <v>463</v>
      </c>
      <c r="D1424" s="8">
        <v>0.75</v>
      </c>
      <c r="E1424" s="8">
        <v>0.79166666666666663</v>
      </c>
      <c r="L1424" t="s">
        <v>563</v>
      </c>
      <c r="M1424" t="s">
        <v>478</v>
      </c>
      <c r="N1424" t="str">
        <f>Tabela_tudo[[#This Row],[Médico]]&amp;" ("&amp;Tabela_tudo[[#This Row],[Obs]]&amp;")"</f>
        <v>VIN ()</v>
      </c>
    </row>
    <row r="1425" spans="1:14" x14ac:dyDescent="0.3">
      <c r="A1425" s="1">
        <v>45279</v>
      </c>
      <c r="B1425" t="s">
        <v>47</v>
      </c>
      <c r="C1425" t="s">
        <v>463</v>
      </c>
      <c r="D1425" s="8">
        <v>0.75</v>
      </c>
      <c r="E1425" s="8">
        <v>0.79166666666666663</v>
      </c>
      <c r="L1425" t="s">
        <v>563</v>
      </c>
      <c r="M1425" t="s">
        <v>478</v>
      </c>
      <c r="N1425" t="str">
        <f>Tabela_tudo[[#This Row],[Médico]]&amp;" ("&amp;Tabela_tudo[[#This Row],[Obs]]&amp;")"</f>
        <v>VIN ()</v>
      </c>
    </row>
    <row r="1426" spans="1:14" x14ac:dyDescent="0.3">
      <c r="A1426" s="1">
        <v>45272</v>
      </c>
      <c r="B1426" t="s">
        <v>47</v>
      </c>
      <c r="C1426" t="s">
        <v>463</v>
      </c>
      <c r="D1426" s="8">
        <v>0.75</v>
      </c>
      <c r="E1426" s="8">
        <v>0.79166666666666663</v>
      </c>
      <c r="L1426" t="s">
        <v>563</v>
      </c>
      <c r="M1426" t="s">
        <v>478</v>
      </c>
      <c r="N1426" t="str">
        <f>Tabela_tudo[[#This Row],[Médico]]&amp;" ("&amp;Tabela_tudo[[#This Row],[Obs]]&amp;")"</f>
        <v>VIN ()</v>
      </c>
    </row>
    <row r="1427" spans="1:14" x14ac:dyDescent="0.3">
      <c r="A1427" s="1">
        <v>45265</v>
      </c>
      <c r="B1427" t="s">
        <v>47</v>
      </c>
      <c r="C1427" t="s">
        <v>463</v>
      </c>
      <c r="D1427" s="8">
        <v>0.75</v>
      </c>
      <c r="E1427" s="8">
        <v>0.79166666666666663</v>
      </c>
      <c r="L1427" t="s">
        <v>563</v>
      </c>
      <c r="M1427" t="s">
        <v>478</v>
      </c>
      <c r="N1427" t="str">
        <f>Tabela_tudo[[#This Row],[Médico]]&amp;" ("&amp;Tabela_tudo[[#This Row],[Obs]]&amp;")"</f>
        <v>VIN ()</v>
      </c>
    </row>
    <row r="1428" spans="1:14" x14ac:dyDescent="0.3">
      <c r="A1428" s="1">
        <v>45286</v>
      </c>
      <c r="B1428" t="s">
        <v>47</v>
      </c>
      <c r="C1428" t="s">
        <v>463</v>
      </c>
      <c r="D1428" s="8">
        <v>0.75</v>
      </c>
      <c r="E1428" s="8">
        <v>0.79166666666666663</v>
      </c>
      <c r="L1428" t="s">
        <v>563</v>
      </c>
      <c r="M1428" t="s">
        <v>478</v>
      </c>
      <c r="N1428" t="str">
        <f>Tabela_tudo[[#This Row],[Médico]]&amp;" ("&amp;Tabela_tudo[[#This Row],[Obs]]&amp;")"</f>
        <v>VIN ()</v>
      </c>
    </row>
    <row r="1429" spans="1:14" x14ac:dyDescent="0.3">
      <c r="A1429" s="1">
        <v>45307</v>
      </c>
      <c r="B1429" t="s">
        <v>47</v>
      </c>
      <c r="C1429" t="s">
        <v>463</v>
      </c>
      <c r="D1429" s="8">
        <v>0.75</v>
      </c>
      <c r="E1429" s="8">
        <v>0.79166666666666663</v>
      </c>
      <c r="L1429" t="s">
        <v>563</v>
      </c>
      <c r="M1429" t="s">
        <v>478</v>
      </c>
      <c r="N1429" t="str">
        <f>Tabela_tudo[[#This Row],[Médico]]&amp;" ("&amp;Tabela_tudo[[#This Row],[Obs]]&amp;")"</f>
        <v>VIN ()</v>
      </c>
    </row>
    <row r="1430" spans="1:14" x14ac:dyDescent="0.3">
      <c r="A1430" s="1">
        <v>45300</v>
      </c>
      <c r="B1430" t="s">
        <v>47</v>
      </c>
      <c r="C1430" t="s">
        <v>463</v>
      </c>
      <c r="D1430" s="8">
        <v>0.75</v>
      </c>
      <c r="E1430" s="8">
        <v>0.79166666666666663</v>
      </c>
      <c r="L1430" t="s">
        <v>563</v>
      </c>
      <c r="M1430" t="s">
        <v>478</v>
      </c>
      <c r="N1430" t="str">
        <f>Tabela_tudo[[#This Row],[Médico]]&amp;" ("&amp;Tabela_tudo[[#This Row],[Obs]]&amp;")"</f>
        <v>VIN ()</v>
      </c>
    </row>
    <row r="1431" spans="1:14" x14ac:dyDescent="0.3">
      <c r="A1431" s="1">
        <v>45293</v>
      </c>
      <c r="B1431" t="s">
        <v>47</v>
      </c>
      <c r="C1431" t="s">
        <v>463</v>
      </c>
      <c r="D1431" s="8">
        <v>0.75</v>
      </c>
      <c r="E1431" s="8">
        <v>0.79166666666666663</v>
      </c>
      <c r="L1431" t="s">
        <v>563</v>
      </c>
      <c r="M1431" t="s">
        <v>478</v>
      </c>
      <c r="N1431" t="str">
        <f>Tabela_tudo[[#This Row],[Médico]]&amp;" ("&amp;Tabela_tudo[[#This Row],[Obs]]&amp;")"</f>
        <v>VIN ()</v>
      </c>
    </row>
    <row r="1432" spans="1:14" x14ac:dyDescent="0.3">
      <c r="A1432" s="1">
        <v>45230</v>
      </c>
      <c r="B1432" t="s">
        <v>47</v>
      </c>
      <c r="C1432" t="s">
        <v>463</v>
      </c>
      <c r="D1432" s="8">
        <v>0.75</v>
      </c>
      <c r="E1432" s="8">
        <v>0.79166666666666663</v>
      </c>
      <c r="L1432" t="s">
        <v>563</v>
      </c>
      <c r="M1432" t="s">
        <v>478</v>
      </c>
      <c r="N1432" t="str">
        <f>Tabela_tudo[[#This Row],[Médico]]&amp;" ("&amp;Tabela_tudo[[#This Row],[Obs]]&amp;")"</f>
        <v>VIN ()</v>
      </c>
    </row>
    <row r="1433" spans="1:14" x14ac:dyDescent="0.3">
      <c r="A1433" s="1">
        <v>45223</v>
      </c>
      <c r="B1433" t="s">
        <v>47</v>
      </c>
      <c r="C1433" t="s">
        <v>463</v>
      </c>
      <c r="D1433" s="8">
        <v>0.75</v>
      </c>
      <c r="E1433" s="8">
        <v>0.79166666666666663</v>
      </c>
      <c r="L1433" t="s">
        <v>563</v>
      </c>
      <c r="M1433" t="s">
        <v>478</v>
      </c>
      <c r="N1433" t="str">
        <f>Tabela_tudo[[#This Row],[Médico]]&amp;" ("&amp;Tabela_tudo[[#This Row],[Obs]]&amp;")"</f>
        <v>VIN ()</v>
      </c>
    </row>
    <row r="1434" spans="1:14" x14ac:dyDescent="0.3">
      <c r="A1434" s="1">
        <v>45216</v>
      </c>
      <c r="B1434" t="s">
        <v>47</v>
      </c>
      <c r="C1434" t="s">
        <v>463</v>
      </c>
      <c r="D1434" s="8">
        <v>0.75</v>
      </c>
      <c r="E1434" s="8">
        <v>0.79166666666666663</v>
      </c>
      <c r="L1434" t="s">
        <v>563</v>
      </c>
      <c r="M1434" t="s">
        <v>478</v>
      </c>
      <c r="N1434" t="str">
        <f>Tabela_tudo[[#This Row],[Médico]]&amp;" ("&amp;Tabela_tudo[[#This Row],[Obs]]&amp;")"</f>
        <v>VIN ()</v>
      </c>
    </row>
    <row r="1435" spans="1:14" x14ac:dyDescent="0.3">
      <c r="A1435" s="1">
        <v>45237</v>
      </c>
      <c r="B1435" t="s">
        <v>47</v>
      </c>
      <c r="C1435" t="s">
        <v>463</v>
      </c>
      <c r="D1435" s="8">
        <v>0.75</v>
      </c>
      <c r="E1435" s="8">
        <v>0.79166666666666663</v>
      </c>
      <c r="L1435" t="s">
        <v>563</v>
      </c>
      <c r="M1435" t="s">
        <v>478</v>
      </c>
      <c r="N1435" t="str">
        <f>Tabela_tudo[[#This Row],[Médico]]&amp;" ("&amp;Tabela_tudo[[#This Row],[Obs]]&amp;")"</f>
        <v>VIN ()</v>
      </c>
    </row>
    <row r="1436" spans="1:14" x14ac:dyDescent="0.3">
      <c r="A1436" s="1">
        <v>45258</v>
      </c>
      <c r="B1436" t="s">
        <v>47</v>
      </c>
      <c r="C1436" t="s">
        <v>463</v>
      </c>
      <c r="D1436" s="8">
        <v>0.75</v>
      </c>
      <c r="E1436" s="8">
        <v>0.79166666666666663</v>
      </c>
      <c r="L1436" t="s">
        <v>563</v>
      </c>
      <c r="M1436" t="s">
        <v>478</v>
      </c>
      <c r="N1436" t="str">
        <f>Tabela_tudo[[#This Row],[Médico]]&amp;" ("&amp;Tabela_tudo[[#This Row],[Obs]]&amp;")"</f>
        <v>VIN ()</v>
      </c>
    </row>
    <row r="1437" spans="1:14" x14ac:dyDescent="0.3">
      <c r="A1437" s="1">
        <v>45251</v>
      </c>
      <c r="B1437" t="s">
        <v>47</v>
      </c>
      <c r="C1437" t="s">
        <v>463</v>
      </c>
      <c r="D1437" s="8">
        <v>0.75</v>
      </c>
      <c r="E1437" s="8">
        <v>0.79166666666666663</v>
      </c>
      <c r="L1437" t="s">
        <v>563</v>
      </c>
      <c r="M1437" t="s">
        <v>478</v>
      </c>
      <c r="N1437" t="str">
        <f>Tabela_tudo[[#This Row],[Médico]]&amp;" ("&amp;Tabela_tudo[[#This Row],[Obs]]&amp;")"</f>
        <v>VIN ()</v>
      </c>
    </row>
    <row r="1438" spans="1:14" x14ac:dyDescent="0.3">
      <c r="A1438" s="1">
        <v>45244</v>
      </c>
      <c r="B1438" t="s">
        <v>47</v>
      </c>
      <c r="C1438" t="s">
        <v>463</v>
      </c>
      <c r="D1438" s="8">
        <v>0.75</v>
      </c>
      <c r="E1438" s="8">
        <v>0.79166666666666663</v>
      </c>
      <c r="L1438" t="s">
        <v>563</v>
      </c>
      <c r="M1438" t="s">
        <v>478</v>
      </c>
      <c r="N1438" t="str">
        <f>Tabela_tudo[[#This Row],[Médico]]&amp;" ("&amp;Tabela_tudo[[#This Row],[Obs]]&amp;")"</f>
        <v>VIN ()</v>
      </c>
    </row>
    <row r="1439" spans="1:14" x14ac:dyDescent="0.3">
      <c r="A1439" s="1">
        <v>45314</v>
      </c>
      <c r="B1439" t="s">
        <v>47</v>
      </c>
      <c r="C1439" t="s">
        <v>463</v>
      </c>
      <c r="D1439" s="8">
        <v>0.75</v>
      </c>
      <c r="E1439" s="8">
        <v>0.79166666666666663</v>
      </c>
      <c r="L1439" t="s">
        <v>563</v>
      </c>
      <c r="M1439" t="s">
        <v>478</v>
      </c>
      <c r="N1439" t="str">
        <f>Tabela_tudo[[#This Row],[Médico]]&amp;" ("&amp;Tabela_tudo[[#This Row],[Obs]]&amp;")"</f>
        <v>VIN ()</v>
      </c>
    </row>
    <row r="1440" spans="1:14" x14ac:dyDescent="0.3">
      <c r="A1440" s="1">
        <v>45384</v>
      </c>
      <c r="B1440" t="s">
        <v>47</v>
      </c>
      <c r="C1440" t="s">
        <v>463</v>
      </c>
      <c r="D1440" s="8">
        <v>0.75</v>
      </c>
      <c r="E1440" s="8">
        <v>0.79166666666666663</v>
      </c>
      <c r="L1440" t="s">
        <v>563</v>
      </c>
      <c r="M1440" t="s">
        <v>478</v>
      </c>
      <c r="N1440" t="str">
        <f>Tabela_tudo[[#This Row],[Médico]]&amp;" ("&amp;Tabela_tudo[[#This Row],[Obs]]&amp;")"</f>
        <v>VIN ()</v>
      </c>
    </row>
    <row r="1441" spans="1:14" x14ac:dyDescent="0.3">
      <c r="A1441" s="1">
        <v>45377</v>
      </c>
      <c r="B1441" t="s">
        <v>47</v>
      </c>
      <c r="C1441" t="s">
        <v>463</v>
      </c>
      <c r="D1441" s="8">
        <v>0.75</v>
      </c>
      <c r="E1441" s="8">
        <v>0.79166666666666663</v>
      </c>
      <c r="L1441" t="s">
        <v>563</v>
      </c>
      <c r="M1441" t="s">
        <v>478</v>
      </c>
      <c r="N1441" t="str">
        <f>Tabela_tudo[[#This Row],[Médico]]&amp;" ("&amp;Tabela_tudo[[#This Row],[Obs]]&amp;")"</f>
        <v>VIN ()</v>
      </c>
    </row>
    <row r="1442" spans="1:14" x14ac:dyDescent="0.3">
      <c r="A1442" s="1">
        <v>45370</v>
      </c>
      <c r="B1442" t="s">
        <v>47</v>
      </c>
      <c r="C1442" t="s">
        <v>463</v>
      </c>
      <c r="D1442" s="8">
        <v>0.75</v>
      </c>
      <c r="E1442" s="8">
        <v>0.79166666666666663</v>
      </c>
      <c r="L1442" t="s">
        <v>563</v>
      </c>
      <c r="M1442" t="s">
        <v>478</v>
      </c>
      <c r="N1442" t="str">
        <f>Tabela_tudo[[#This Row],[Médico]]&amp;" ("&amp;Tabela_tudo[[#This Row],[Obs]]&amp;")"</f>
        <v>VIN ()</v>
      </c>
    </row>
    <row r="1443" spans="1:14" x14ac:dyDescent="0.3">
      <c r="A1443" s="1">
        <v>45391</v>
      </c>
      <c r="B1443" t="s">
        <v>47</v>
      </c>
      <c r="C1443" t="s">
        <v>463</v>
      </c>
      <c r="D1443" s="8">
        <v>0.75</v>
      </c>
      <c r="E1443" s="8">
        <v>0.79166666666666663</v>
      </c>
      <c r="L1443" t="s">
        <v>563</v>
      </c>
      <c r="M1443" t="s">
        <v>478</v>
      </c>
      <c r="N1443" t="str">
        <f>Tabela_tudo[[#This Row],[Médico]]&amp;" ("&amp;Tabela_tudo[[#This Row],[Obs]]&amp;")"</f>
        <v>VIN ()</v>
      </c>
    </row>
    <row r="1444" spans="1:14" x14ac:dyDescent="0.3">
      <c r="A1444" s="1">
        <v>45412</v>
      </c>
      <c r="B1444" t="s">
        <v>47</v>
      </c>
      <c r="C1444" t="s">
        <v>463</v>
      </c>
      <c r="D1444" s="8">
        <v>0.75</v>
      </c>
      <c r="E1444" s="8">
        <v>0.79166666666666663</v>
      </c>
      <c r="L1444" t="s">
        <v>563</v>
      </c>
      <c r="M1444" t="s">
        <v>478</v>
      </c>
      <c r="N1444" t="str">
        <f>Tabela_tudo[[#This Row],[Médico]]&amp;" ("&amp;Tabela_tudo[[#This Row],[Obs]]&amp;")"</f>
        <v>VIN ()</v>
      </c>
    </row>
    <row r="1445" spans="1:14" x14ac:dyDescent="0.3">
      <c r="A1445" s="1">
        <v>45405</v>
      </c>
      <c r="B1445" t="s">
        <v>47</v>
      </c>
      <c r="C1445" t="s">
        <v>463</v>
      </c>
      <c r="D1445" s="8">
        <v>0.75</v>
      </c>
      <c r="E1445" s="8">
        <v>0.79166666666666663</v>
      </c>
      <c r="L1445" t="s">
        <v>563</v>
      </c>
      <c r="M1445" t="s">
        <v>478</v>
      </c>
      <c r="N1445" t="str">
        <f>Tabela_tudo[[#This Row],[Médico]]&amp;" ("&amp;Tabela_tudo[[#This Row],[Obs]]&amp;")"</f>
        <v>VIN ()</v>
      </c>
    </row>
    <row r="1446" spans="1:14" x14ac:dyDescent="0.3">
      <c r="A1446" s="1">
        <v>45398</v>
      </c>
      <c r="B1446" t="s">
        <v>47</v>
      </c>
      <c r="C1446" t="s">
        <v>463</v>
      </c>
      <c r="D1446" s="8">
        <v>0.75</v>
      </c>
      <c r="E1446" s="8">
        <v>0.79166666666666663</v>
      </c>
      <c r="L1446" t="s">
        <v>563</v>
      </c>
      <c r="M1446" t="s">
        <v>478</v>
      </c>
      <c r="N1446" t="str">
        <f>Tabela_tudo[[#This Row],[Médico]]&amp;" ("&amp;Tabela_tudo[[#This Row],[Obs]]&amp;")"</f>
        <v>VIN ()</v>
      </c>
    </row>
    <row r="1447" spans="1:14" x14ac:dyDescent="0.3">
      <c r="A1447" s="1">
        <v>45335</v>
      </c>
      <c r="B1447" t="s">
        <v>47</v>
      </c>
      <c r="C1447" t="s">
        <v>463</v>
      </c>
      <c r="D1447" s="8">
        <v>0.75</v>
      </c>
      <c r="E1447" s="8">
        <v>0.79166666666666663</v>
      </c>
      <c r="L1447" t="s">
        <v>563</v>
      </c>
      <c r="M1447" t="s">
        <v>478</v>
      </c>
      <c r="N1447" t="str">
        <f>Tabela_tudo[[#This Row],[Médico]]&amp;" ("&amp;Tabela_tudo[[#This Row],[Obs]]&amp;")"</f>
        <v>VIN ()</v>
      </c>
    </row>
    <row r="1448" spans="1:14" x14ac:dyDescent="0.3">
      <c r="A1448" s="1">
        <v>45328</v>
      </c>
      <c r="B1448" t="s">
        <v>47</v>
      </c>
      <c r="C1448" t="s">
        <v>463</v>
      </c>
      <c r="D1448" s="8">
        <v>0.75</v>
      </c>
      <c r="E1448" s="8">
        <v>0.79166666666666663</v>
      </c>
      <c r="L1448" t="s">
        <v>563</v>
      </c>
      <c r="M1448" t="s">
        <v>478</v>
      </c>
      <c r="N1448" t="str">
        <f>Tabela_tudo[[#This Row],[Médico]]&amp;" ("&amp;Tabela_tudo[[#This Row],[Obs]]&amp;")"</f>
        <v>VIN ()</v>
      </c>
    </row>
    <row r="1449" spans="1:14" x14ac:dyDescent="0.3">
      <c r="A1449" s="1">
        <v>45321</v>
      </c>
      <c r="B1449" t="s">
        <v>47</v>
      </c>
      <c r="C1449" t="s">
        <v>463</v>
      </c>
      <c r="D1449" s="8">
        <v>0.75</v>
      </c>
      <c r="E1449" s="8">
        <v>0.79166666666666663</v>
      </c>
      <c r="L1449" t="s">
        <v>563</v>
      </c>
      <c r="M1449" t="s">
        <v>478</v>
      </c>
      <c r="N1449" t="str">
        <f>Tabela_tudo[[#This Row],[Médico]]&amp;" ("&amp;Tabela_tudo[[#This Row],[Obs]]&amp;")"</f>
        <v>VIN ()</v>
      </c>
    </row>
    <row r="1450" spans="1:14" x14ac:dyDescent="0.3">
      <c r="A1450" s="1">
        <v>45342</v>
      </c>
      <c r="B1450" t="s">
        <v>47</v>
      </c>
      <c r="C1450" t="s">
        <v>463</v>
      </c>
      <c r="D1450" s="8">
        <v>0.75</v>
      </c>
      <c r="E1450" s="8">
        <v>0.79166666666666663</v>
      </c>
      <c r="L1450" t="s">
        <v>563</v>
      </c>
      <c r="M1450" t="s">
        <v>478</v>
      </c>
      <c r="N1450" t="str">
        <f>Tabela_tudo[[#This Row],[Médico]]&amp;" ("&amp;Tabela_tudo[[#This Row],[Obs]]&amp;")"</f>
        <v>VIN ()</v>
      </c>
    </row>
    <row r="1451" spans="1:14" x14ac:dyDescent="0.3">
      <c r="A1451" s="1">
        <v>45363</v>
      </c>
      <c r="B1451" t="s">
        <v>47</v>
      </c>
      <c r="C1451" t="s">
        <v>463</v>
      </c>
      <c r="D1451" s="8">
        <v>0.75</v>
      </c>
      <c r="E1451" s="8">
        <v>0.79166666666666663</v>
      </c>
      <c r="L1451" t="s">
        <v>563</v>
      </c>
      <c r="M1451" t="s">
        <v>478</v>
      </c>
      <c r="N1451" t="str">
        <f>Tabela_tudo[[#This Row],[Médico]]&amp;" ("&amp;Tabela_tudo[[#This Row],[Obs]]&amp;")"</f>
        <v>VIN ()</v>
      </c>
    </row>
    <row r="1452" spans="1:14" x14ac:dyDescent="0.3">
      <c r="A1452" s="1">
        <v>45356</v>
      </c>
      <c r="B1452" t="s">
        <v>47</v>
      </c>
      <c r="C1452" t="s">
        <v>463</v>
      </c>
      <c r="D1452" s="8">
        <v>0.75</v>
      </c>
      <c r="E1452" s="8">
        <v>0.79166666666666663</v>
      </c>
      <c r="L1452" t="s">
        <v>563</v>
      </c>
      <c r="M1452" t="s">
        <v>478</v>
      </c>
      <c r="N1452" t="str">
        <f>Tabela_tudo[[#This Row],[Médico]]&amp;" ("&amp;Tabela_tudo[[#This Row],[Obs]]&amp;")"</f>
        <v>VIN ()</v>
      </c>
    </row>
    <row r="1453" spans="1:14" x14ac:dyDescent="0.3">
      <c r="A1453" s="1">
        <v>45349</v>
      </c>
      <c r="B1453" t="s">
        <v>47</v>
      </c>
      <c r="C1453" t="s">
        <v>463</v>
      </c>
      <c r="D1453" s="8">
        <v>0.75</v>
      </c>
      <c r="E1453" s="8">
        <v>0.79166666666666663</v>
      </c>
      <c r="L1453" t="s">
        <v>563</v>
      </c>
      <c r="M1453" t="s">
        <v>478</v>
      </c>
      <c r="N1453" t="str">
        <f>Tabela_tudo[[#This Row],[Médico]]&amp;" ("&amp;Tabela_tudo[[#This Row],[Obs]]&amp;")"</f>
        <v>VIN ()</v>
      </c>
    </row>
    <row r="1454" spans="1:14" x14ac:dyDescent="0.3">
      <c r="A1454" s="1">
        <v>45629</v>
      </c>
      <c r="B1454" t="s">
        <v>47</v>
      </c>
      <c r="C1454" t="s">
        <v>463</v>
      </c>
      <c r="D1454" s="8">
        <v>0.75</v>
      </c>
      <c r="E1454" s="8">
        <v>0.79166666666666663</v>
      </c>
      <c r="L1454" t="s">
        <v>563</v>
      </c>
      <c r="M1454" t="s">
        <v>478</v>
      </c>
      <c r="N1454" t="str">
        <f>Tabela_tudo[[#This Row],[Médico]]&amp;" ("&amp;Tabela_tudo[[#This Row],[Obs]]&amp;")"</f>
        <v>VIN ()</v>
      </c>
    </row>
    <row r="1455" spans="1:14" x14ac:dyDescent="0.3">
      <c r="A1455" s="1">
        <v>45188</v>
      </c>
      <c r="B1455" t="s">
        <v>29</v>
      </c>
      <c r="C1455" t="s">
        <v>463</v>
      </c>
      <c r="D1455" s="8">
        <v>0.75</v>
      </c>
      <c r="E1455" s="8">
        <v>0.79166666666666663</v>
      </c>
      <c r="L1455" t="s">
        <v>563</v>
      </c>
      <c r="M1455" t="s">
        <v>478</v>
      </c>
      <c r="N1455" t="str">
        <f>Tabela_tudo[[#This Row],[Médico]]&amp;" ("&amp;Tabela_tudo[[#This Row],[Obs]]&amp;")"</f>
        <v>JOA ()</v>
      </c>
    </row>
    <row r="1456" spans="1:14" x14ac:dyDescent="0.3">
      <c r="A1456" s="1">
        <v>45181</v>
      </c>
      <c r="B1456" t="s">
        <v>29</v>
      </c>
      <c r="C1456" t="s">
        <v>463</v>
      </c>
      <c r="D1456" s="8">
        <v>0.75</v>
      </c>
      <c r="E1456" s="8">
        <v>0.79166666666666663</v>
      </c>
      <c r="L1456" t="s">
        <v>563</v>
      </c>
      <c r="M1456" t="s">
        <v>478</v>
      </c>
      <c r="N1456" t="str">
        <f>Tabela_tudo[[#This Row],[Médico]]&amp;" ("&amp;Tabela_tudo[[#This Row],[Obs]]&amp;")"</f>
        <v>JOA ()</v>
      </c>
    </row>
    <row r="1457" spans="1:14" x14ac:dyDescent="0.3">
      <c r="A1457" s="1">
        <v>45167</v>
      </c>
      <c r="B1457" t="s">
        <v>29</v>
      </c>
      <c r="C1457" t="s">
        <v>463</v>
      </c>
      <c r="D1457" s="8">
        <v>0.75</v>
      </c>
      <c r="E1457" s="8">
        <v>0.79166666666666663</v>
      </c>
      <c r="L1457" t="s">
        <v>563</v>
      </c>
      <c r="M1457" t="s">
        <v>478</v>
      </c>
      <c r="N1457" t="str">
        <f>Tabela_tudo[[#This Row],[Médico]]&amp;" ("&amp;Tabela_tudo[[#This Row],[Obs]]&amp;")"</f>
        <v>JOA ()</v>
      </c>
    </row>
    <row r="1458" spans="1:14" x14ac:dyDescent="0.3">
      <c r="A1458" s="1">
        <v>45195</v>
      </c>
      <c r="B1458" t="s">
        <v>29</v>
      </c>
      <c r="C1458" t="s">
        <v>463</v>
      </c>
      <c r="D1458" s="8">
        <v>0.75</v>
      </c>
      <c r="E1458" s="8">
        <v>0.79166666666666663</v>
      </c>
      <c r="L1458" t="s">
        <v>563</v>
      </c>
      <c r="M1458" t="s">
        <v>478</v>
      </c>
      <c r="N1458" t="str">
        <f>Tabela_tudo[[#This Row],[Médico]]&amp;" ("&amp;Tabela_tudo[[#This Row],[Obs]]&amp;")"</f>
        <v>JOA ()</v>
      </c>
    </row>
    <row r="1459" spans="1:14" x14ac:dyDescent="0.3">
      <c r="A1459" s="1">
        <v>45216</v>
      </c>
      <c r="B1459" t="s">
        <v>29</v>
      </c>
      <c r="C1459" t="s">
        <v>463</v>
      </c>
      <c r="D1459" s="8">
        <v>0.75</v>
      </c>
      <c r="E1459" s="8">
        <v>0.79166666666666663</v>
      </c>
      <c r="L1459" t="s">
        <v>563</v>
      </c>
      <c r="M1459" t="s">
        <v>478</v>
      </c>
      <c r="N1459" t="str">
        <f>Tabela_tudo[[#This Row],[Médico]]&amp;" ("&amp;Tabela_tudo[[#This Row],[Obs]]&amp;")"</f>
        <v>JOA ()</v>
      </c>
    </row>
    <row r="1460" spans="1:14" x14ac:dyDescent="0.3">
      <c r="A1460" s="1">
        <v>45209</v>
      </c>
      <c r="B1460" t="s">
        <v>29</v>
      </c>
      <c r="C1460" t="s">
        <v>463</v>
      </c>
      <c r="D1460" s="8">
        <v>0.75</v>
      </c>
      <c r="E1460" s="8">
        <v>0.79166666666666663</v>
      </c>
      <c r="L1460" t="s">
        <v>563</v>
      </c>
      <c r="M1460" t="s">
        <v>478</v>
      </c>
      <c r="N1460" t="str">
        <f>Tabela_tudo[[#This Row],[Médico]]&amp;" ("&amp;Tabela_tudo[[#This Row],[Obs]]&amp;")"</f>
        <v>JOA ()</v>
      </c>
    </row>
    <row r="1461" spans="1:14" x14ac:dyDescent="0.3">
      <c r="A1461" s="1">
        <v>45202</v>
      </c>
      <c r="B1461" t="s">
        <v>29</v>
      </c>
      <c r="C1461" t="s">
        <v>463</v>
      </c>
      <c r="D1461" s="8">
        <v>0.75</v>
      </c>
      <c r="E1461" s="8">
        <v>0.79166666666666663</v>
      </c>
      <c r="L1461" t="s">
        <v>563</v>
      </c>
      <c r="M1461" t="s">
        <v>478</v>
      </c>
      <c r="N1461" t="str">
        <f>Tabela_tudo[[#This Row],[Médico]]&amp;" ("&amp;Tabela_tudo[[#This Row],[Obs]]&amp;")"</f>
        <v>JOA ()</v>
      </c>
    </row>
    <row r="1462" spans="1:14" x14ac:dyDescent="0.3">
      <c r="A1462" s="1">
        <v>45132</v>
      </c>
      <c r="B1462" t="s">
        <v>29</v>
      </c>
      <c r="C1462" t="s">
        <v>463</v>
      </c>
      <c r="D1462" s="8">
        <v>0.75</v>
      </c>
      <c r="E1462" s="8">
        <v>0.79166666666666663</v>
      </c>
      <c r="L1462" t="s">
        <v>563</v>
      </c>
      <c r="M1462" t="s">
        <v>478</v>
      </c>
      <c r="N1462" t="str">
        <f>Tabela_tudo[[#This Row],[Médico]]&amp;" ("&amp;Tabela_tudo[[#This Row],[Obs]]&amp;")"</f>
        <v>JOA ()</v>
      </c>
    </row>
    <row r="1463" spans="1:14" x14ac:dyDescent="0.3">
      <c r="A1463" s="1">
        <v>45125</v>
      </c>
      <c r="B1463" t="s">
        <v>29</v>
      </c>
      <c r="C1463" t="s">
        <v>463</v>
      </c>
      <c r="D1463" s="8">
        <v>0.75</v>
      </c>
      <c r="E1463" s="8">
        <v>0.79166666666666663</v>
      </c>
      <c r="L1463" t="s">
        <v>563</v>
      </c>
      <c r="M1463" t="s">
        <v>478</v>
      </c>
      <c r="N1463" t="str">
        <f>Tabela_tudo[[#This Row],[Médico]]&amp;" ("&amp;Tabela_tudo[[#This Row],[Obs]]&amp;")"</f>
        <v>JOA ()</v>
      </c>
    </row>
    <row r="1464" spans="1:14" x14ac:dyDescent="0.3">
      <c r="A1464" s="1">
        <v>45118</v>
      </c>
      <c r="B1464" t="s">
        <v>29</v>
      </c>
      <c r="C1464" t="s">
        <v>463</v>
      </c>
      <c r="D1464" s="8">
        <v>0.75</v>
      </c>
      <c r="E1464" s="8">
        <v>0.79166666666666663</v>
      </c>
      <c r="L1464" t="s">
        <v>563</v>
      </c>
      <c r="M1464" t="s">
        <v>478</v>
      </c>
      <c r="N1464" t="str">
        <f>Tabela_tudo[[#This Row],[Médico]]&amp;" ("&amp;Tabela_tudo[[#This Row],[Obs]]&amp;")"</f>
        <v>JOA ()</v>
      </c>
    </row>
    <row r="1465" spans="1:14" x14ac:dyDescent="0.3">
      <c r="A1465" s="1">
        <v>45139</v>
      </c>
      <c r="B1465" t="s">
        <v>29</v>
      </c>
      <c r="C1465" t="s">
        <v>463</v>
      </c>
      <c r="D1465" s="8">
        <v>0.75</v>
      </c>
      <c r="E1465" s="8">
        <v>0.79166666666666663</v>
      </c>
      <c r="L1465" t="s">
        <v>563</v>
      </c>
      <c r="M1465" t="s">
        <v>478</v>
      </c>
      <c r="N1465" t="str">
        <f>Tabela_tudo[[#This Row],[Médico]]&amp;" ("&amp;Tabela_tudo[[#This Row],[Obs]]&amp;")"</f>
        <v>JOA ()</v>
      </c>
    </row>
    <row r="1466" spans="1:14" x14ac:dyDescent="0.3">
      <c r="A1466" s="1">
        <v>45160</v>
      </c>
      <c r="B1466" t="s">
        <v>29</v>
      </c>
      <c r="C1466" t="s">
        <v>463</v>
      </c>
      <c r="D1466" s="8">
        <v>0.75</v>
      </c>
      <c r="E1466" s="8">
        <v>0.79166666666666663</v>
      </c>
      <c r="L1466" t="s">
        <v>563</v>
      </c>
      <c r="M1466" t="s">
        <v>478</v>
      </c>
      <c r="N1466" t="str">
        <f>Tabela_tudo[[#This Row],[Médico]]&amp;" ("&amp;Tabela_tudo[[#This Row],[Obs]]&amp;")"</f>
        <v>JOA ()</v>
      </c>
    </row>
    <row r="1467" spans="1:14" x14ac:dyDescent="0.3">
      <c r="A1467" s="1">
        <v>45153</v>
      </c>
      <c r="B1467" t="s">
        <v>29</v>
      </c>
      <c r="C1467" t="s">
        <v>463</v>
      </c>
      <c r="D1467" s="8">
        <v>0.75</v>
      </c>
      <c r="E1467" s="8">
        <v>0.79166666666666663</v>
      </c>
      <c r="L1467" t="s">
        <v>563</v>
      </c>
      <c r="M1467" t="s">
        <v>478</v>
      </c>
      <c r="N1467" t="str">
        <f>Tabela_tudo[[#This Row],[Médico]]&amp;" ("&amp;Tabela_tudo[[#This Row],[Obs]]&amp;")"</f>
        <v>JOA ()</v>
      </c>
    </row>
    <row r="1468" spans="1:14" x14ac:dyDescent="0.3">
      <c r="A1468" s="1">
        <v>45146</v>
      </c>
      <c r="B1468" t="s">
        <v>29</v>
      </c>
      <c r="C1468" t="s">
        <v>463</v>
      </c>
      <c r="D1468" s="8">
        <v>0.75</v>
      </c>
      <c r="E1468" s="8">
        <v>0.79166666666666663</v>
      </c>
      <c r="L1468" t="s">
        <v>563</v>
      </c>
      <c r="M1468" t="s">
        <v>478</v>
      </c>
      <c r="N1468" t="str">
        <f>Tabela_tudo[[#This Row],[Médico]]&amp;" ("&amp;Tabela_tudo[[#This Row],[Obs]]&amp;")"</f>
        <v>JOA ()</v>
      </c>
    </row>
    <row r="1469" spans="1:14" x14ac:dyDescent="0.3">
      <c r="A1469" s="1">
        <v>45223</v>
      </c>
      <c r="B1469" t="s">
        <v>29</v>
      </c>
      <c r="C1469" t="s">
        <v>463</v>
      </c>
      <c r="D1469" s="8">
        <v>0.75</v>
      </c>
      <c r="E1469" s="8">
        <v>0.79166666666666663</v>
      </c>
      <c r="L1469" t="s">
        <v>563</v>
      </c>
      <c r="M1469" t="s">
        <v>478</v>
      </c>
      <c r="N1469" t="str">
        <f>Tabela_tudo[[#This Row],[Médico]]&amp;" ("&amp;Tabela_tudo[[#This Row],[Obs]]&amp;")"</f>
        <v>JOA ()</v>
      </c>
    </row>
    <row r="1470" spans="1:14" x14ac:dyDescent="0.3">
      <c r="A1470" s="1">
        <v>45293</v>
      </c>
      <c r="B1470" t="s">
        <v>29</v>
      </c>
      <c r="C1470" t="s">
        <v>463</v>
      </c>
      <c r="D1470" s="8">
        <v>0.75</v>
      </c>
      <c r="E1470" s="8">
        <v>0.79166666666666663</v>
      </c>
      <c r="L1470" t="s">
        <v>563</v>
      </c>
      <c r="M1470" t="s">
        <v>478</v>
      </c>
      <c r="N1470" t="str">
        <f>Tabela_tudo[[#This Row],[Médico]]&amp;" ("&amp;Tabela_tudo[[#This Row],[Obs]]&amp;")"</f>
        <v>JOA ()</v>
      </c>
    </row>
    <row r="1471" spans="1:14" x14ac:dyDescent="0.3">
      <c r="A1471" s="1">
        <v>45286</v>
      </c>
      <c r="B1471" t="s">
        <v>29</v>
      </c>
      <c r="C1471" t="s">
        <v>463</v>
      </c>
      <c r="D1471" s="8">
        <v>0.75</v>
      </c>
      <c r="E1471" s="8">
        <v>0.79166666666666663</v>
      </c>
      <c r="L1471" t="s">
        <v>563</v>
      </c>
      <c r="M1471" t="s">
        <v>478</v>
      </c>
      <c r="N1471" t="str">
        <f>Tabela_tudo[[#This Row],[Médico]]&amp;" ("&amp;Tabela_tudo[[#This Row],[Obs]]&amp;")"</f>
        <v>JOA ()</v>
      </c>
    </row>
    <row r="1472" spans="1:14" x14ac:dyDescent="0.3">
      <c r="A1472" s="1">
        <v>45279</v>
      </c>
      <c r="B1472" t="s">
        <v>29</v>
      </c>
      <c r="C1472" t="s">
        <v>463</v>
      </c>
      <c r="D1472" s="8">
        <v>0.75</v>
      </c>
      <c r="E1472" s="8">
        <v>0.79166666666666663</v>
      </c>
      <c r="L1472" t="s">
        <v>563</v>
      </c>
      <c r="M1472" t="s">
        <v>478</v>
      </c>
      <c r="N1472" t="str">
        <f>Tabela_tudo[[#This Row],[Médico]]&amp;" ("&amp;Tabela_tudo[[#This Row],[Obs]]&amp;")"</f>
        <v>JOA ()</v>
      </c>
    </row>
    <row r="1473" spans="1:14" x14ac:dyDescent="0.3">
      <c r="A1473" s="1">
        <v>45300</v>
      </c>
      <c r="B1473" t="s">
        <v>29</v>
      </c>
      <c r="C1473" t="s">
        <v>463</v>
      </c>
      <c r="D1473" s="8">
        <v>0.75</v>
      </c>
      <c r="E1473" s="8">
        <v>0.79166666666666663</v>
      </c>
      <c r="L1473" t="s">
        <v>563</v>
      </c>
      <c r="M1473" t="s">
        <v>478</v>
      </c>
      <c r="N1473" t="str">
        <f>Tabela_tudo[[#This Row],[Médico]]&amp;" ("&amp;Tabela_tudo[[#This Row],[Obs]]&amp;")"</f>
        <v>JOA ()</v>
      </c>
    </row>
    <row r="1474" spans="1:14" x14ac:dyDescent="0.3">
      <c r="A1474" s="1">
        <v>45321</v>
      </c>
      <c r="B1474" t="s">
        <v>29</v>
      </c>
      <c r="C1474" t="s">
        <v>463</v>
      </c>
      <c r="D1474" s="8">
        <v>0.75</v>
      </c>
      <c r="E1474" s="8">
        <v>0.79166666666666663</v>
      </c>
      <c r="L1474" t="s">
        <v>563</v>
      </c>
      <c r="M1474" t="s">
        <v>478</v>
      </c>
      <c r="N1474" t="str">
        <f>Tabela_tudo[[#This Row],[Médico]]&amp;" ("&amp;Tabela_tudo[[#This Row],[Obs]]&amp;")"</f>
        <v>JOA ()</v>
      </c>
    </row>
    <row r="1475" spans="1:14" x14ac:dyDescent="0.3">
      <c r="A1475" s="1">
        <v>45314</v>
      </c>
      <c r="B1475" t="s">
        <v>29</v>
      </c>
      <c r="C1475" t="s">
        <v>463</v>
      </c>
      <c r="D1475" s="8">
        <v>0.75</v>
      </c>
      <c r="E1475" s="8">
        <v>0.79166666666666663</v>
      </c>
      <c r="L1475" t="s">
        <v>563</v>
      </c>
      <c r="M1475" t="s">
        <v>478</v>
      </c>
      <c r="N1475" t="str">
        <f>Tabela_tudo[[#This Row],[Médico]]&amp;" ("&amp;Tabela_tudo[[#This Row],[Obs]]&amp;")"</f>
        <v>JOA ()</v>
      </c>
    </row>
    <row r="1476" spans="1:14" x14ac:dyDescent="0.3">
      <c r="A1476" s="1">
        <v>45307</v>
      </c>
      <c r="B1476" t="s">
        <v>29</v>
      </c>
      <c r="C1476" t="s">
        <v>463</v>
      </c>
      <c r="D1476" s="8">
        <v>0.75</v>
      </c>
      <c r="E1476" s="8">
        <v>0.79166666666666663</v>
      </c>
      <c r="L1476" t="s">
        <v>563</v>
      </c>
      <c r="M1476" t="s">
        <v>478</v>
      </c>
      <c r="N1476" t="str">
        <f>Tabela_tudo[[#This Row],[Médico]]&amp;" ("&amp;Tabela_tudo[[#This Row],[Obs]]&amp;")"</f>
        <v>JOA ()</v>
      </c>
    </row>
    <row r="1477" spans="1:14" x14ac:dyDescent="0.3">
      <c r="A1477" s="1">
        <v>45244</v>
      </c>
      <c r="B1477" t="s">
        <v>29</v>
      </c>
      <c r="C1477" t="s">
        <v>463</v>
      </c>
      <c r="D1477" s="8">
        <v>0.75</v>
      </c>
      <c r="E1477" s="8">
        <v>0.79166666666666663</v>
      </c>
      <c r="L1477" t="s">
        <v>563</v>
      </c>
      <c r="M1477" t="s">
        <v>478</v>
      </c>
      <c r="N1477" t="str">
        <f>Tabela_tudo[[#This Row],[Médico]]&amp;" ("&amp;Tabela_tudo[[#This Row],[Obs]]&amp;")"</f>
        <v>JOA ()</v>
      </c>
    </row>
    <row r="1478" spans="1:14" x14ac:dyDescent="0.3">
      <c r="A1478" s="1">
        <v>45237</v>
      </c>
      <c r="B1478" t="s">
        <v>29</v>
      </c>
      <c r="C1478" t="s">
        <v>463</v>
      </c>
      <c r="D1478" s="8">
        <v>0.75</v>
      </c>
      <c r="E1478" s="8">
        <v>0.79166666666666663</v>
      </c>
      <c r="L1478" t="s">
        <v>563</v>
      </c>
      <c r="M1478" t="s">
        <v>478</v>
      </c>
      <c r="N1478" t="str">
        <f>Tabela_tudo[[#This Row],[Médico]]&amp;" ("&amp;Tabela_tudo[[#This Row],[Obs]]&amp;")"</f>
        <v>JOA ()</v>
      </c>
    </row>
    <row r="1479" spans="1:14" x14ac:dyDescent="0.3">
      <c r="A1479" s="1">
        <v>45230</v>
      </c>
      <c r="B1479" t="s">
        <v>29</v>
      </c>
      <c r="C1479" t="s">
        <v>463</v>
      </c>
      <c r="D1479" s="8">
        <v>0.75</v>
      </c>
      <c r="E1479" s="8">
        <v>0.79166666666666663</v>
      </c>
      <c r="L1479" t="s">
        <v>563</v>
      </c>
      <c r="M1479" t="s">
        <v>478</v>
      </c>
      <c r="N1479" t="str">
        <f>Tabela_tudo[[#This Row],[Médico]]&amp;" ("&amp;Tabela_tudo[[#This Row],[Obs]]&amp;")"</f>
        <v>JOA ()</v>
      </c>
    </row>
    <row r="1480" spans="1:14" x14ac:dyDescent="0.3">
      <c r="A1480" s="1">
        <v>45251</v>
      </c>
      <c r="B1480" t="s">
        <v>29</v>
      </c>
      <c r="C1480" t="s">
        <v>463</v>
      </c>
      <c r="D1480" s="8">
        <v>0.75</v>
      </c>
      <c r="E1480" s="8">
        <v>0.79166666666666663</v>
      </c>
      <c r="L1480" t="s">
        <v>563</v>
      </c>
      <c r="M1480" t="s">
        <v>478</v>
      </c>
      <c r="N1480" t="str">
        <f>Tabela_tudo[[#This Row],[Médico]]&amp;" ("&amp;Tabela_tudo[[#This Row],[Obs]]&amp;")"</f>
        <v>JOA ()</v>
      </c>
    </row>
    <row r="1481" spans="1:14" x14ac:dyDescent="0.3">
      <c r="A1481" s="1">
        <v>45272</v>
      </c>
      <c r="B1481" t="s">
        <v>29</v>
      </c>
      <c r="C1481" t="s">
        <v>463</v>
      </c>
      <c r="D1481" s="8">
        <v>0.75</v>
      </c>
      <c r="E1481" s="8">
        <v>0.79166666666666663</v>
      </c>
      <c r="L1481" t="s">
        <v>563</v>
      </c>
      <c r="M1481" t="s">
        <v>478</v>
      </c>
      <c r="N1481" t="str">
        <f>Tabela_tudo[[#This Row],[Médico]]&amp;" ("&amp;Tabela_tudo[[#This Row],[Obs]]&amp;")"</f>
        <v>JOA ()</v>
      </c>
    </row>
    <row r="1482" spans="1:14" x14ac:dyDescent="0.3">
      <c r="A1482" s="1">
        <v>45265</v>
      </c>
      <c r="B1482" t="s">
        <v>29</v>
      </c>
      <c r="C1482" t="s">
        <v>463</v>
      </c>
      <c r="D1482" s="8">
        <v>0.75</v>
      </c>
      <c r="E1482" s="8">
        <v>0.79166666666666663</v>
      </c>
      <c r="L1482" t="s">
        <v>563</v>
      </c>
      <c r="M1482" t="s">
        <v>478</v>
      </c>
      <c r="N1482" t="str">
        <f>Tabela_tudo[[#This Row],[Médico]]&amp;" ("&amp;Tabela_tudo[[#This Row],[Obs]]&amp;")"</f>
        <v>JOA ()</v>
      </c>
    </row>
    <row r="1483" spans="1:14" x14ac:dyDescent="0.3">
      <c r="A1483" s="1">
        <v>45258</v>
      </c>
      <c r="B1483" t="s">
        <v>29</v>
      </c>
      <c r="C1483" t="s">
        <v>463</v>
      </c>
      <c r="D1483" s="8">
        <v>0.75</v>
      </c>
      <c r="E1483" s="8">
        <v>0.79166666666666663</v>
      </c>
      <c r="L1483" t="s">
        <v>563</v>
      </c>
      <c r="M1483" t="s">
        <v>478</v>
      </c>
      <c r="N1483" t="str">
        <f>Tabela_tudo[[#This Row],[Médico]]&amp;" ("&amp;Tabela_tudo[[#This Row],[Obs]]&amp;")"</f>
        <v>JOA ()</v>
      </c>
    </row>
    <row r="1484" spans="1:14" x14ac:dyDescent="0.3">
      <c r="A1484" s="1">
        <v>45111</v>
      </c>
      <c r="B1484" t="s">
        <v>29</v>
      </c>
      <c r="C1484" t="s">
        <v>463</v>
      </c>
      <c r="D1484" s="8">
        <v>0.75</v>
      </c>
      <c r="E1484" s="8">
        <v>0.79166666666666663</v>
      </c>
      <c r="L1484" t="s">
        <v>563</v>
      </c>
      <c r="M1484" t="s">
        <v>478</v>
      </c>
      <c r="N1484" t="str">
        <f>Tabela_tudo[[#This Row],[Médico]]&amp;" ("&amp;Tabela_tudo[[#This Row],[Obs]]&amp;")"</f>
        <v>JOA ()</v>
      </c>
    </row>
    <row r="1485" spans="1:14" x14ac:dyDescent="0.3">
      <c r="A1485" s="1">
        <v>44971</v>
      </c>
      <c r="B1485" t="s">
        <v>29</v>
      </c>
      <c r="C1485" t="s">
        <v>463</v>
      </c>
      <c r="D1485" s="8">
        <v>0.75</v>
      </c>
      <c r="E1485" s="8">
        <v>0.79166666666666663</v>
      </c>
      <c r="L1485" t="s">
        <v>563</v>
      </c>
      <c r="M1485" t="s">
        <v>478</v>
      </c>
      <c r="N1485" t="str">
        <f>Tabela_tudo[[#This Row],[Médico]]&amp;" ("&amp;Tabela_tudo[[#This Row],[Obs]]&amp;")"</f>
        <v>JOA ()</v>
      </c>
    </row>
    <row r="1486" spans="1:14" x14ac:dyDescent="0.3">
      <c r="A1486" s="1">
        <v>44964</v>
      </c>
      <c r="B1486" t="s">
        <v>29</v>
      </c>
      <c r="C1486" t="s">
        <v>463</v>
      </c>
      <c r="D1486" s="8">
        <v>0.75</v>
      </c>
      <c r="E1486" s="8">
        <v>0.79166666666666663</v>
      </c>
      <c r="L1486" t="s">
        <v>563</v>
      </c>
      <c r="M1486" t="s">
        <v>478</v>
      </c>
      <c r="N1486" t="str">
        <f>Tabela_tudo[[#This Row],[Médico]]&amp;" ("&amp;Tabela_tudo[[#This Row],[Obs]]&amp;")"</f>
        <v>JOA ()</v>
      </c>
    </row>
    <row r="1487" spans="1:14" x14ac:dyDescent="0.3">
      <c r="A1487" s="1">
        <v>44957</v>
      </c>
      <c r="B1487" t="s">
        <v>29</v>
      </c>
      <c r="C1487" t="s">
        <v>463</v>
      </c>
      <c r="D1487" s="8">
        <v>0.75</v>
      </c>
      <c r="E1487" s="8">
        <v>0.79166666666666663</v>
      </c>
      <c r="L1487" t="s">
        <v>563</v>
      </c>
      <c r="M1487" t="s">
        <v>478</v>
      </c>
      <c r="N1487" t="str">
        <f>Tabela_tudo[[#This Row],[Médico]]&amp;" ("&amp;Tabela_tudo[[#This Row],[Obs]]&amp;")"</f>
        <v>JOA ()</v>
      </c>
    </row>
    <row r="1488" spans="1:14" x14ac:dyDescent="0.3">
      <c r="A1488" s="1">
        <v>44978</v>
      </c>
      <c r="B1488" t="s">
        <v>29</v>
      </c>
      <c r="C1488" t="s">
        <v>463</v>
      </c>
      <c r="D1488" s="8">
        <v>0.75</v>
      </c>
      <c r="E1488" s="8">
        <v>0.79166666666666663</v>
      </c>
      <c r="L1488" t="s">
        <v>563</v>
      </c>
      <c r="M1488" t="s">
        <v>478</v>
      </c>
      <c r="N1488" t="str">
        <f>Tabela_tudo[[#This Row],[Médico]]&amp;" ("&amp;Tabela_tudo[[#This Row],[Obs]]&amp;")"</f>
        <v>JOA ()</v>
      </c>
    </row>
    <row r="1489" spans="1:14" x14ac:dyDescent="0.3">
      <c r="A1489" s="1">
        <v>44999</v>
      </c>
      <c r="B1489" t="s">
        <v>29</v>
      </c>
      <c r="C1489" t="s">
        <v>463</v>
      </c>
      <c r="D1489" s="8">
        <v>0.75</v>
      </c>
      <c r="E1489" s="8">
        <v>0.79166666666666663</v>
      </c>
      <c r="L1489" t="s">
        <v>563</v>
      </c>
      <c r="M1489" t="s">
        <v>478</v>
      </c>
      <c r="N1489" t="str">
        <f>Tabela_tudo[[#This Row],[Médico]]&amp;" ("&amp;Tabela_tudo[[#This Row],[Obs]]&amp;")"</f>
        <v>JOA ()</v>
      </c>
    </row>
    <row r="1490" spans="1:14" x14ac:dyDescent="0.3">
      <c r="A1490" s="1">
        <v>44992</v>
      </c>
      <c r="B1490" t="s">
        <v>29</v>
      </c>
      <c r="C1490" t="s">
        <v>463</v>
      </c>
      <c r="D1490" s="8">
        <v>0.75</v>
      </c>
      <c r="E1490" s="8">
        <v>0.79166666666666663</v>
      </c>
      <c r="L1490" t="s">
        <v>563</v>
      </c>
      <c r="M1490" t="s">
        <v>478</v>
      </c>
      <c r="N1490" t="str">
        <f>Tabela_tudo[[#This Row],[Médico]]&amp;" ("&amp;Tabela_tudo[[#This Row],[Obs]]&amp;")"</f>
        <v>JOA ()</v>
      </c>
    </row>
    <row r="1491" spans="1:14" x14ac:dyDescent="0.3">
      <c r="A1491" s="1">
        <v>44985</v>
      </c>
      <c r="B1491" t="s">
        <v>29</v>
      </c>
      <c r="C1491" t="s">
        <v>463</v>
      </c>
      <c r="D1491" s="8">
        <v>0.75</v>
      </c>
      <c r="E1491" s="8">
        <v>0.79166666666666663</v>
      </c>
      <c r="L1491" t="s">
        <v>563</v>
      </c>
      <c r="M1491" t="s">
        <v>478</v>
      </c>
      <c r="N1491" t="str">
        <f>Tabela_tudo[[#This Row],[Médico]]&amp;" ("&amp;Tabela_tudo[[#This Row],[Obs]]&amp;")"</f>
        <v>JOA ()</v>
      </c>
    </row>
    <row r="1492" spans="1:14" x14ac:dyDescent="0.3">
      <c r="A1492" s="1">
        <v>45650</v>
      </c>
      <c r="B1492" t="s">
        <v>47</v>
      </c>
      <c r="C1492" t="s">
        <v>463</v>
      </c>
      <c r="D1492" s="8">
        <v>0.75</v>
      </c>
      <c r="E1492" s="8">
        <v>0.79166666666666663</v>
      </c>
      <c r="L1492" t="s">
        <v>563</v>
      </c>
      <c r="M1492" t="s">
        <v>478</v>
      </c>
      <c r="N1492" t="str">
        <f>Tabela_tudo[[#This Row],[Médico]]&amp;" ("&amp;Tabela_tudo[[#This Row],[Obs]]&amp;")"</f>
        <v>VIN ()</v>
      </c>
    </row>
    <row r="1493" spans="1:14" x14ac:dyDescent="0.3">
      <c r="A1493" s="1">
        <v>45643</v>
      </c>
      <c r="B1493" t="s">
        <v>47</v>
      </c>
      <c r="C1493" t="s">
        <v>463</v>
      </c>
      <c r="D1493" s="8">
        <v>0.75</v>
      </c>
      <c r="E1493" s="8">
        <v>0.79166666666666663</v>
      </c>
      <c r="L1493" t="s">
        <v>563</v>
      </c>
      <c r="M1493" t="s">
        <v>478</v>
      </c>
      <c r="N1493" t="str">
        <f>Tabela_tudo[[#This Row],[Médico]]&amp;" ("&amp;Tabela_tudo[[#This Row],[Obs]]&amp;")"</f>
        <v>VIN ()</v>
      </c>
    </row>
    <row r="1494" spans="1:14" x14ac:dyDescent="0.3">
      <c r="A1494" s="1">
        <v>45636</v>
      </c>
      <c r="B1494" t="s">
        <v>47</v>
      </c>
      <c r="C1494" t="s">
        <v>463</v>
      </c>
      <c r="D1494" s="8">
        <v>0.75</v>
      </c>
      <c r="E1494" s="8">
        <v>0.79166666666666663</v>
      </c>
      <c r="L1494" t="s">
        <v>563</v>
      </c>
      <c r="M1494" t="s">
        <v>478</v>
      </c>
      <c r="N1494" t="str">
        <f>Tabela_tudo[[#This Row],[Médico]]&amp;" ("&amp;Tabela_tudo[[#This Row],[Obs]]&amp;")"</f>
        <v>VIN ()</v>
      </c>
    </row>
    <row r="1495" spans="1:14" x14ac:dyDescent="0.3">
      <c r="A1495" s="1">
        <v>44929</v>
      </c>
      <c r="B1495" t="s">
        <v>29</v>
      </c>
      <c r="C1495" t="s">
        <v>463</v>
      </c>
      <c r="D1495" s="8">
        <v>0.75</v>
      </c>
      <c r="E1495" s="8">
        <v>0.79166666666666663</v>
      </c>
      <c r="L1495" t="s">
        <v>563</v>
      </c>
      <c r="M1495" t="s">
        <v>478</v>
      </c>
      <c r="N1495" t="str">
        <f>Tabela_tudo[[#This Row],[Médico]]&amp;" ("&amp;Tabela_tudo[[#This Row],[Obs]]&amp;")"</f>
        <v>JOA ()</v>
      </c>
    </row>
    <row r="1496" spans="1:14" x14ac:dyDescent="0.3">
      <c r="A1496" s="1">
        <v>44950</v>
      </c>
      <c r="B1496" t="s">
        <v>29</v>
      </c>
      <c r="C1496" t="s">
        <v>463</v>
      </c>
      <c r="D1496" s="8">
        <v>0.75</v>
      </c>
      <c r="E1496" s="8">
        <v>0.79166666666666663</v>
      </c>
      <c r="L1496" t="s">
        <v>563</v>
      </c>
      <c r="M1496" t="s">
        <v>478</v>
      </c>
      <c r="N1496" t="str">
        <f>Tabela_tudo[[#This Row],[Médico]]&amp;" ("&amp;Tabela_tudo[[#This Row],[Obs]]&amp;")"</f>
        <v>JOA ()</v>
      </c>
    </row>
    <row r="1497" spans="1:14" x14ac:dyDescent="0.3">
      <c r="A1497" s="1">
        <v>44943</v>
      </c>
      <c r="B1497" t="s">
        <v>29</v>
      </c>
      <c r="C1497" t="s">
        <v>463</v>
      </c>
      <c r="D1497" s="8">
        <v>0.75</v>
      </c>
      <c r="E1497" s="8">
        <v>0.79166666666666663</v>
      </c>
      <c r="L1497" t="s">
        <v>563</v>
      </c>
      <c r="M1497" t="s">
        <v>478</v>
      </c>
      <c r="N1497" t="str">
        <f>Tabela_tudo[[#This Row],[Médico]]&amp;" ("&amp;Tabela_tudo[[#This Row],[Obs]]&amp;")"</f>
        <v>JOA ()</v>
      </c>
    </row>
    <row r="1498" spans="1:14" x14ac:dyDescent="0.3">
      <c r="A1498" s="1">
        <v>44936</v>
      </c>
      <c r="B1498" t="s">
        <v>29</v>
      </c>
      <c r="C1498" t="s">
        <v>463</v>
      </c>
      <c r="D1498" s="8">
        <v>0.75</v>
      </c>
      <c r="E1498" s="8">
        <v>0.79166666666666663</v>
      </c>
      <c r="L1498" t="s">
        <v>563</v>
      </c>
      <c r="M1498" t="s">
        <v>478</v>
      </c>
      <c r="N1498" t="str">
        <f>Tabela_tudo[[#This Row],[Médico]]&amp;" ("&amp;Tabela_tudo[[#This Row],[Obs]]&amp;")"</f>
        <v>JOA ()</v>
      </c>
    </row>
    <row r="1499" spans="1:14" x14ac:dyDescent="0.3">
      <c r="A1499" s="1">
        <v>45006</v>
      </c>
      <c r="B1499" t="s">
        <v>29</v>
      </c>
      <c r="C1499" t="s">
        <v>463</v>
      </c>
      <c r="D1499" s="8">
        <v>0.75</v>
      </c>
      <c r="E1499" s="8">
        <v>0.79166666666666663</v>
      </c>
      <c r="L1499" t="s">
        <v>563</v>
      </c>
      <c r="M1499" t="s">
        <v>478</v>
      </c>
      <c r="N1499" t="str">
        <f>Tabela_tudo[[#This Row],[Médico]]&amp;" ("&amp;Tabela_tudo[[#This Row],[Obs]]&amp;")"</f>
        <v>JOA ()</v>
      </c>
    </row>
    <row r="1500" spans="1:14" x14ac:dyDescent="0.3">
      <c r="A1500" s="1">
        <v>45076</v>
      </c>
      <c r="B1500" t="s">
        <v>29</v>
      </c>
      <c r="C1500" t="s">
        <v>463</v>
      </c>
      <c r="D1500" s="8">
        <v>0.75</v>
      </c>
      <c r="E1500" s="8">
        <v>0.79166666666666663</v>
      </c>
      <c r="L1500" t="s">
        <v>563</v>
      </c>
      <c r="M1500" t="s">
        <v>478</v>
      </c>
      <c r="N1500" t="str">
        <f>Tabela_tudo[[#This Row],[Médico]]&amp;" ("&amp;Tabela_tudo[[#This Row],[Obs]]&amp;")"</f>
        <v>JOA ()</v>
      </c>
    </row>
    <row r="1501" spans="1:14" x14ac:dyDescent="0.3">
      <c r="A1501" s="1">
        <v>45069</v>
      </c>
      <c r="B1501" t="s">
        <v>29</v>
      </c>
      <c r="C1501" t="s">
        <v>463</v>
      </c>
      <c r="D1501" s="8">
        <v>0.75</v>
      </c>
      <c r="E1501" s="8">
        <v>0.79166666666666663</v>
      </c>
      <c r="L1501" t="s">
        <v>563</v>
      </c>
      <c r="M1501" t="s">
        <v>478</v>
      </c>
      <c r="N1501" t="str">
        <f>Tabela_tudo[[#This Row],[Médico]]&amp;" ("&amp;Tabela_tudo[[#This Row],[Obs]]&amp;")"</f>
        <v>JOA ()</v>
      </c>
    </row>
    <row r="1502" spans="1:14" x14ac:dyDescent="0.3">
      <c r="A1502" s="1">
        <v>45062</v>
      </c>
      <c r="B1502" t="s">
        <v>29</v>
      </c>
      <c r="C1502" t="s">
        <v>463</v>
      </c>
      <c r="D1502" s="8">
        <v>0.75</v>
      </c>
      <c r="E1502" s="8">
        <v>0.79166666666666663</v>
      </c>
      <c r="L1502" t="s">
        <v>563</v>
      </c>
      <c r="M1502" t="s">
        <v>478</v>
      </c>
      <c r="N1502" t="str">
        <f>Tabela_tudo[[#This Row],[Médico]]&amp;" ("&amp;Tabela_tudo[[#This Row],[Obs]]&amp;")"</f>
        <v>JOA ()</v>
      </c>
    </row>
    <row r="1503" spans="1:14" x14ac:dyDescent="0.3">
      <c r="A1503" s="1">
        <v>45083</v>
      </c>
      <c r="B1503" t="s">
        <v>29</v>
      </c>
      <c r="C1503" t="s">
        <v>463</v>
      </c>
      <c r="D1503" s="8">
        <v>0.75</v>
      </c>
      <c r="E1503" s="8">
        <v>0.79166666666666663</v>
      </c>
      <c r="L1503" t="s">
        <v>563</v>
      </c>
      <c r="M1503" t="s">
        <v>478</v>
      </c>
      <c r="N1503" t="str">
        <f>Tabela_tudo[[#This Row],[Médico]]&amp;" ("&amp;Tabela_tudo[[#This Row],[Obs]]&amp;")"</f>
        <v>JOA ()</v>
      </c>
    </row>
    <row r="1504" spans="1:14" x14ac:dyDescent="0.3">
      <c r="A1504" s="1">
        <v>45104</v>
      </c>
      <c r="B1504" t="s">
        <v>29</v>
      </c>
      <c r="C1504" t="s">
        <v>463</v>
      </c>
      <c r="D1504" s="8">
        <v>0.75</v>
      </c>
      <c r="E1504" s="8">
        <v>0.79166666666666663</v>
      </c>
      <c r="L1504" t="s">
        <v>563</v>
      </c>
      <c r="M1504" t="s">
        <v>478</v>
      </c>
      <c r="N1504" t="str">
        <f>Tabela_tudo[[#This Row],[Médico]]&amp;" ("&amp;Tabela_tudo[[#This Row],[Obs]]&amp;")"</f>
        <v>JOA ()</v>
      </c>
    </row>
    <row r="1505" spans="1:14" x14ac:dyDescent="0.3">
      <c r="A1505" s="1">
        <v>45097</v>
      </c>
      <c r="B1505" t="s">
        <v>29</v>
      </c>
      <c r="C1505" t="s">
        <v>463</v>
      </c>
      <c r="D1505" s="8">
        <v>0.75</v>
      </c>
      <c r="E1505" s="8">
        <v>0.79166666666666663</v>
      </c>
      <c r="L1505" t="s">
        <v>563</v>
      </c>
      <c r="M1505" t="s">
        <v>478</v>
      </c>
      <c r="N1505" t="str">
        <f>Tabela_tudo[[#This Row],[Médico]]&amp;" ("&amp;Tabela_tudo[[#This Row],[Obs]]&amp;")"</f>
        <v>JOA ()</v>
      </c>
    </row>
    <row r="1506" spans="1:14" x14ac:dyDescent="0.3">
      <c r="A1506" s="1">
        <v>45090</v>
      </c>
      <c r="B1506" t="s">
        <v>29</v>
      </c>
      <c r="C1506" t="s">
        <v>463</v>
      </c>
      <c r="D1506" s="8">
        <v>0.75</v>
      </c>
      <c r="E1506" s="8">
        <v>0.79166666666666663</v>
      </c>
      <c r="L1506" t="s">
        <v>563</v>
      </c>
      <c r="M1506" t="s">
        <v>478</v>
      </c>
      <c r="N1506" t="str">
        <f>Tabela_tudo[[#This Row],[Médico]]&amp;" ("&amp;Tabela_tudo[[#This Row],[Obs]]&amp;")"</f>
        <v>JOA ()</v>
      </c>
    </row>
    <row r="1507" spans="1:14" x14ac:dyDescent="0.3">
      <c r="A1507" s="1">
        <v>45027</v>
      </c>
      <c r="B1507" t="s">
        <v>29</v>
      </c>
      <c r="C1507" t="s">
        <v>463</v>
      </c>
      <c r="D1507" s="8">
        <v>0.75</v>
      </c>
      <c r="E1507" s="8">
        <v>0.79166666666666663</v>
      </c>
      <c r="L1507" t="s">
        <v>563</v>
      </c>
      <c r="M1507" t="s">
        <v>478</v>
      </c>
      <c r="N1507" t="str">
        <f>Tabela_tudo[[#This Row],[Médico]]&amp;" ("&amp;Tabela_tudo[[#This Row],[Obs]]&amp;")"</f>
        <v>JOA ()</v>
      </c>
    </row>
    <row r="1508" spans="1:14" x14ac:dyDescent="0.3">
      <c r="A1508" s="1">
        <v>45020</v>
      </c>
      <c r="B1508" t="s">
        <v>29</v>
      </c>
      <c r="C1508" t="s">
        <v>463</v>
      </c>
      <c r="D1508" s="8">
        <v>0.75</v>
      </c>
      <c r="E1508" s="8">
        <v>0.79166666666666663</v>
      </c>
      <c r="L1508" t="s">
        <v>563</v>
      </c>
      <c r="M1508" t="s">
        <v>478</v>
      </c>
      <c r="N1508" t="str">
        <f>Tabela_tudo[[#This Row],[Médico]]&amp;" ("&amp;Tabela_tudo[[#This Row],[Obs]]&amp;")"</f>
        <v>JOA ()</v>
      </c>
    </row>
    <row r="1509" spans="1:14" x14ac:dyDescent="0.3">
      <c r="A1509" s="1">
        <v>45013</v>
      </c>
      <c r="B1509" t="s">
        <v>29</v>
      </c>
      <c r="C1509" t="s">
        <v>463</v>
      </c>
      <c r="D1509" s="8">
        <v>0.75</v>
      </c>
      <c r="E1509" s="8">
        <v>0.79166666666666663</v>
      </c>
      <c r="L1509" t="s">
        <v>563</v>
      </c>
      <c r="M1509" t="s">
        <v>478</v>
      </c>
      <c r="N1509" t="str">
        <f>Tabela_tudo[[#This Row],[Médico]]&amp;" ("&amp;Tabela_tudo[[#This Row],[Obs]]&amp;")"</f>
        <v>JOA ()</v>
      </c>
    </row>
    <row r="1510" spans="1:14" x14ac:dyDescent="0.3">
      <c r="A1510" s="1">
        <v>45034</v>
      </c>
      <c r="B1510" t="s">
        <v>29</v>
      </c>
      <c r="C1510" t="s">
        <v>463</v>
      </c>
      <c r="D1510" s="8">
        <v>0.75</v>
      </c>
      <c r="E1510" s="8">
        <v>0.79166666666666663</v>
      </c>
      <c r="L1510" t="s">
        <v>563</v>
      </c>
      <c r="M1510" t="s">
        <v>478</v>
      </c>
      <c r="N1510" t="str">
        <f>Tabela_tudo[[#This Row],[Médico]]&amp;" ("&amp;Tabela_tudo[[#This Row],[Obs]]&amp;")"</f>
        <v>JOA ()</v>
      </c>
    </row>
    <row r="1511" spans="1:14" x14ac:dyDescent="0.3">
      <c r="A1511" s="1">
        <v>45055</v>
      </c>
      <c r="B1511" t="s">
        <v>29</v>
      </c>
      <c r="C1511" t="s">
        <v>463</v>
      </c>
      <c r="D1511" s="8">
        <v>0.75</v>
      </c>
      <c r="E1511" s="8">
        <v>0.79166666666666663</v>
      </c>
      <c r="L1511" t="s">
        <v>563</v>
      </c>
      <c r="M1511" t="s">
        <v>478</v>
      </c>
      <c r="N1511" t="str">
        <f>Tabela_tudo[[#This Row],[Médico]]&amp;" ("&amp;Tabela_tudo[[#This Row],[Obs]]&amp;")"</f>
        <v>JOA ()</v>
      </c>
    </row>
    <row r="1512" spans="1:14" x14ac:dyDescent="0.3">
      <c r="A1512" s="1">
        <v>45048</v>
      </c>
      <c r="B1512" t="s">
        <v>29</v>
      </c>
      <c r="C1512" t="s">
        <v>463</v>
      </c>
      <c r="D1512" s="8">
        <v>0.75</v>
      </c>
      <c r="E1512" s="8">
        <v>0.79166666666666663</v>
      </c>
      <c r="L1512" t="s">
        <v>563</v>
      </c>
      <c r="M1512" t="s">
        <v>478</v>
      </c>
      <c r="N1512" t="str">
        <f>Tabela_tudo[[#This Row],[Médico]]&amp;" ("&amp;Tabela_tudo[[#This Row],[Obs]]&amp;")"</f>
        <v>JOA ()</v>
      </c>
    </row>
    <row r="1513" spans="1:14" x14ac:dyDescent="0.3">
      <c r="A1513" s="1">
        <v>45041</v>
      </c>
      <c r="B1513" t="s">
        <v>29</v>
      </c>
      <c r="C1513" t="s">
        <v>463</v>
      </c>
      <c r="D1513" s="8">
        <v>0.75</v>
      </c>
      <c r="E1513" s="8">
        <v>0.79166666666666663</v>
      </c>
      <c r="L1513" t="s">
        <v>563</v>
      </c>
      <c r="M1513" t="s">
        <v>478</v>
      </c>
      <c r="N1513" t="str">
        <f>Tabela_tudo[[#This Row],[Médico]]&amp;" ("&amp;Tabela_tudo[[#This Row],[Obs]]&amp;")"</f>
        <v>JOA ()</v>
      </c>
    </row>
    <row r="1514" spans="1:14" x14ac:dyDescent="0.3">
      <c r="A1514" s="1">
        <v>45100</v>
      </c>
      <c r="B1514" t="s">
        <v>249</v>
      </c>
      <c r="C1514" t="s">
        <v>455</v>
      </c>
      <c r="D1514" s="8"/>
      <c r="E1514" s="8"/>
      <c r="L1514" t="s">
        <v>563</v>
      </c>
      <c r="M1514" t="s">
        <v>478</v>
      </c>
      <c r="N1514" t="str">
        <f>Tabela_tudo[[#This Row],[Médico]]&amp;" ("&amp;Tabela_tudo[[#This Row],[Obs]]&amp;")"</f>
        <v>ISE ()</v>
      </c>
    </row>
    <row r="1515" spans="1:14" x14ac:dyDescent="0.3">
      <c r="A1515" s="1">
        <v>45093</v>
      </c>
      <c r="B1515" t="s">
        <v>249</v>
      </c>
      <c r="C1515" t="s">
        <v>455</v>
      </c>
      <c r="D1515" s="8"/>
      <c r="E1515" s="8"/>
      <c r="L1515" t="s">
        <v>563</v>
      </c>
      <c r="M1515" t="s">
        <v>478</v>
      </c>
      <c r="N1515" t="str">
        <f>Tabela_tudo[[#This Row],[Médico]]&amp;" ("&amp;Tabela_tudo[[#This Row],[Obs]]&amp;")"</f>
        <v>ISE ()</v>
      </c>
    </row>
    <row r="1516" spans="1:14" x14ac:dyDescent="0.3">
      <c r="A1516" s="1">
        <v>45086</v>
      </c>
      <c r="B1516" t="s">
        <v>249</v>
      </c>
      <c r="C1516" t="s">
        <v>455</v>
      </c>
      <c r="D1516" s="8"/>
      <c r="E1516" s="8"/>
      <c r="L1516" t="s">
        <v>563</v>
      </c>
      <c r="M1516" t="s">
        <v>478</v>
      </c>
      <c r="N1516" t="str">
        <f>Tabela_tudo[[#This Row],[Médico]]&amp;" ("&amp;Tabela_tudo[[#This Row],[Obs]]&amp;")"</f>
        <v>ISE ()</v>
      </c>
    </row>
    <row r="1517" spans="1:14" x14ac:dyDescent="0.3">
      <c r="A1517" s="1">
        <v>45107</v>
      </c>
      <c r="B1517" t="s">
        <v>249</v>
      </c>
      <c r="C1517" t="s">
        <v>455</v>
      </c>
      <c r="D1517" s="8"/>
      <c r="E1517" s="8"/>
      <c r="L1517" t="s">
        <v>563</v>
      </c>
      <c r="M1517" t="s">
        <v>478</v>
      </c>
      <c r="N1517" t="str">
        <f>Tabela_tudo[[#This Row],[Médico]]&amp;" ("&amp;Tabela_tudo[[#This Row],[Obs]]&amp;")"</f>
        <v>ISE ()</v>
      </c>
    </row>
    <row r="1518" spans="1:14" x14ac:dyDescent="0.3">
      <c r="A1518" s="1">
        <v>45128</v>
      </c>
      <c r="B1518" t="s">
        <v>249</v>
      </c>
      <c r="C1518" t="s">
        <v>455</v>
      </c>
      <c r="D1518" s="8"/>
      <c r="E1518" s="8"/>
      <c r="L1518" t="s">
        <v>563</v>
      </c>
      <c r="M1518" t="s">
        <v>478</v>
      </c>
      <c r="N1518" t="str">
        <f>Tabela_tudo[[#This Row],[Médico]]&amp;" ("&amp;Tabela_tudo[[#This Row],[Obs]]&amp;")"</f>
        <v>ISE ()</v>
      </c>
    </row>
    <row r="1519" spans="1:14" x14ac:dyDescent="0.3">
      <c r="A1519" s="1">
        <v>45121</v>
      </c>
      <c r="B1519" t="s">
        <v>249</v>
      </c>
      <c r="C1519" t="s">
        <v>455</v>
      </c>
      <c r="D1519" s="8"/>
      <c r="E1519" s="8"/>
      <c r="L1519" t="s">
        <v>563</v>
      </c>
      <c r="M1519" t="s">
        <v>478</v>
      </c>
      <c r="N1519" t="str">
        <f>Tabela_tudo[[#This Row],[Médico]]&amp;" ("&amp;Tabela_tudo[[#This Row],[Obs]]&amp;")"</f>
        <v>ISE ()</v>
      </c>
    </row>
    <row r="1520" spans="1:14" x14ac:dyDescent="0.3">
      <c r="A1520" s="1">
        <v>45114</v>
      </c>
      <c r="B1520" t="s">
        <v>249</v>
      </c>
      <c r="C1520" t="s">
        <v>455</v>
      </c>
      <c r="D1520" s="8"/>
      <c r="E1520" s="8"/>
      <c r="L1520" t="s">
        <v>563</v>
      </c>
      <c r="M1520" t="s">
        <v>478</v>
      </c>
      <c r="N1520" t="str">
        <f>Tabela_tudo[[#This Row],[Médico]]&amp;" ("&amp;Tabela_tudo[[#This Row],[Obs]]&amp;")"</f>
        <v>ISE ()</v>
      </c>
    </row>
    <row r="1521" spans="1:14" x14ac:dyDescent="0.3">
      <c r="A1521" s="1">
        <v>45051</v>
      </c>
      <c r="B1521" t="s">
        <v>249</v>
      </c>
      <c r="C1521" t="s">
        <v>455</v>
      </c>
      <c r="D1521" s="8"/>
      <c r="E1521" s="8"/>
      <c r="L1521" t="s">
        <v>563</v>
      </c>
      <c r="M1521" t="s">
        <v>478</v>
      </c>
      <c r="N1521" t="str">
        <f>Tabela_tudo[[#This Row],[Médico]]&amp;" ("&amp;Tabela_tudo[[#This Row],[Obs]]&amp;")"</f>
        <v>ISE ()</v>
      </c>
    </row>
    <row r="1522" spans="1:14" x14ac:dyDescent="0.3">
      <c r="A1522" s="1">
        <v>45044</v>
      </c>
      <c r="B1522" t="s">
        <v>249</v>
      </c>
      <c r="C1522" t="s">
        <v>455</v>
      </c>
      <c r="D1522" s="8"/>
      <c r="E1522" s="8"/>
      <c r="L1522" t="s">
        <v>563</v>
      </c>
      <c r="M1522" t="s">
        <v>478</v>
      </c>
      <c r="N1522" t="str">
        <f>Tabela_tudo[[#This Row],[Médico]]&amp;" ("&amp;Tabela_tudo[[#This Row],[Obs]]&amp;")"</f>
        <v>ISE ()</v>
      </c>
    </row>
    <row r="1523" spans="1:14" x14ac:dyDescent="0.3">
      <c r="A1523" s="1">
        <v>45037</v>
      </c>
      <c r="B1523" t="s">
        <v>249</v>
      </c>
      <c r="C1523" t="s">
        <v>455</v>
      </c>
      <c r="D1523" s="8"/>
      <c r="E1523" s="8"/>
      <c r="L1523" t="s">
        <v>563</v>
      </c>
      <c r="M1523" t="s">
        <v>478</v>
      </c>
      <c r="N1523" t="str">
        <f>Tabela_tudo[[#This Row],[Médico]]&amp;" ("&amp;Tabela_tudo[[#This Row],[Obs]]&amp;")"</f>
        <v>ISE ()</v>
      </c>
    </row>
    <row r="1524" spans="1:14" x14ac:dyDescent="0.3">
      <c r="A1524" s="1">
        <v>45058</v>
      </c>
      <c r="B1524" t="s">
        <v>249</v>
      </c>
      <c r="C1524" t="s">
        <v>455</v>
      </c>
      <c r="D1524" s="8"/>
      <c r="E1524" s="8"/>
      <c r="L1524" t="s">
        <v>563</v>
      </c>
      <c r="M1524" t="s">
        <v>478</v>
      </c>
      <c r="N1524" t="str">
        <f>Tabela_tudo[[#This Row],[Médico]]&amp;" ("&amp;Tabela_tudo[[#This Row],[Obs]]&amp;")"</f>
        <v>ISE ()</v>
      </c>
    </row>
    <row r="1525" spans="1:14" x14ac:dyDescent="0.3">
      <c r="A1525" s="1">
        <v>45079</v>
      </c>
      <c r="B1525" t="s">
        <v>249</v>
      </c>
      <c r="C1525" t="s">
        <v>455</v>
      </c>
      <c r="D1525" s="8"/>
      <c r="E1525" s="8"/>
      <c r="L1525" t="s">
        <v>563</v>
      </c>
      <c r="M1525" t="s">
        <v>478</v>
      </c>
      <c r="N1525" t="str">
        <f>Tabela_tudo[[#This Row],[Médico]]&amp;" ("&amp;Tabela_tudo[[#This Row],[Obs]]&amp;")"</f>
        <v>ISE ()</v>
      </c>
    </row>
    <row r="1526" spans="1:14" x14ac:dyDescent="0.3">
      <c r="A1526" s="1">
        <v>45072</v>
      </c>
      <c r="B1526" t="s">
        <v>249</v>
      </c>
      <c r="C1526" t="s">
        <v>455</v>
      </c>
      <c r="D1526" s="8"/>
      <c r="E1526" s="8"/>
      <c r="L1526" t="s">
        <v>563</v>
      </c>
      <c r="M1526" t="s">
        <v>478</v>
      </c>
      <c r="N1526" t="str">
        <f>Tabela_tudo[[#This Row],[Médico]]&amp;" ("&amp;Tabela_tudo[[#This Row],[Obs]]&amp;")"</f>
        <v>ISE ()</v>
      </c>
    </row>
    <row r="1527" spans="1:14" x14ac:dyDescent="0.3">
      <c r="A1527" s="1">
        <v>45065</v>
      </c>
      <c r="B1527" t="s">
        <v>249</v>
      </c>
      <c r="C1527" t="s">
        <v>455</v>
      </c>
      <c r="D1527" s="8"/>
      <c r="E1527" s="8"/>
      <c r="L1527" t="s">
        <v>563</v>
      </c>
      <c r="M1527" t="s">
        <v>478</v>
      </c>
      <c r="N1527" t="str">
        <f>Tabela_tudo[[#This Row],[Médico]]&amp;" ("&amp;Tabela_tudo[[#This Row],[Obs]]&amp;")"</f>
        <v>ISE ()</v>
      </c>
    </row>
    <row r="1528" spans="1:14" x14ac:dyDescent="0.3">
      <c r="A1528" s="1">
        <v>45135</v>
      </c>
      <c r="B1528" t="s">
        <v>249</v>
      </c>
      <c r="C1528" t="s">
        <v>455</v>
      </c>
      <c r="D1528" s="8"/>
      <c r="E1528" s="8"/>
      <c r="L1528" t="s">
        <v>563</v>
      </c>
      <c r="M1528" t="s">
        <v>478</v>
      </c>
      <c r="N1528" t="str">
        <f>Tabela_tudo[[#This Row],[Médico]]&amp;" ("&amp;Tabela_tudo[[#This Row],[Obs]]&amp;")"</f>
        <v>ISE ()</v>
      </c>
    </row>
    <row r="1529" spans="1:14" x14ac:dyDescent="0.3">
      <c r="A1529" s="1">
        <v>45205</v>
      </c>
      <c r="B1529" t="s">
        <v>249</v>
      </c>
      <c r="C1529" t="s">
        <v>455</v>
      </c>
      <c r="D1529" s="8"/>
      <c r="E1529" s="8"/>
      <c r="L1529" t="s">
        <v>563</v>
      </c>
      <c r="M1529" t="s">
        <v>478</v>
      </c>
      <c r="N1529" t="str">
        <f>Tabela_tudo[[#This Row],[Médico]]&amp;" ("&amp;Tabela_tudo[[#This Row],[Obs]]&amp;")"</f>
        <v>ISE ()</v>
      </c>
    </row>
    <row r="1530" spans="1:14" x14ac:dyDescent="0.3">
      <c r="A1530" s="1">
        <v>45198</v>
      </c>
      <c r="B1530" t="s">
        <v>249</v>
      </c>
      <c r="C1530" t="s">
        <v>455</v>
      </c>
      <c r="D1530" s="8"/>
      <c r="E1530" s="8"/>
      <c r="L1530" t="s">
        <v>563</v>
      </c>
      <c r="M1530" t="s">
        <v>478</v>
      </c>
      <c r="N1530" t="str">
        <f>Tabela_tudo[[#This Row],[Médico]]&amp;" ("&amp;Tabela_tudo[[#This Row],[Obs]]&amp;")"</f>
        <v>ISE ()</v>
      </c>
    </row>
    <row r="1531" spans="1:14" x14ac:dyDescent="0.3">
      <c r="A1531" s="1">
        <v>45191</v>
      </c>
      <c r="B1531" t="s">
        <v>249</v>
      </c>
      <c r="C1531" t="s">
        <v>455</v>
      </c>
      <c r="D1531" s="8"/>
      <c r="E1531" s="8"/>
      <c r="L1531" t="s">
        <v>563</v>
      </c>
      <c r="M1531" t="s">
        <v>478</v>
      </c>
      <c r="N1531" t="str">
        <f>Tabela_tudo[[#This Row],[Médico]]&amp;" ("&amp;Tabela_tudo[[#This Row],[Obs]]&amp;")"</f>
        <v>ISE ()</v>
      </c>
    </row>
    <row r="1532" spans="1:14" x14ac:dyDescent="0.3">
      <c r="A1532" s="1">
        <v>45212</v>
      </c>
      <c r="B1532" t="s">
        <v>249</v>
      </c>
      <c r="C1532" t="s">
        <v>455</v>
      </c>
      <c r="D1532" s="8"/>
      <c r="E1532" s="8"/>
      <c r="L1532" t="s">
        <v>563</v>
      </c>
      <c r="M1532" t="s">
        <v>478</v>
      </c>
      <c r="N1532" t="str">
        <f>Tabela_tudo[[#This Row],[Médico]]&amp;" ("&amp;Tabela_tudo[[#This Row],[Obs]]&amp;")"</f>
        <v>ISE ()</v>
      </c>
    </row>
    <row r="1533" spans="1:14" x14ac:dyDescent="0.3">
      <c r="A1533" s="1">
        <v>45233</v>
      </c>
      <c r="B1533" t="s">
        <v>249</v>
      </c>
      <c r="C1533" t="s">
        <v>455</v>
      </c>
      <c r="D1533" s="8"/>
      <c r="E1533" s="8"/>
      <c r="L1533" t="s">
        <v>563</v>
      </c>
      <c r="M1533" t="s">
        <v>478</v>
      </c>
      <c r="N1533" t="str">
        <f>Tabela_tudo[[#This Row],[Médico]]&amp;" ("&amp;Tabela_tudo[[#This Row],[Obs]]&amp;")"</f>
        <v>ISE ()</v>
      </c>
    </row>
    <row r="1534" spans="1:14" x14ac:dyDescent="0.3">
      <c r="A1534" s="1">
        <v>45226</v>
      </c>
      <c r="B1534" t="s">
        <v>249</v>
      </c>
      <c r="C1534" t="s">
        <v>455</v>
      </c>
      <c r="D1534" s="8"/>
      <c r="E1534" s="8"/>
      <c r="L1534" t="s">
        <v>563</v>
      </c>
      <c r="M1534" t="s">
        <v>478</v>
      </c>
      <c r="N1534" t="str">
        <f>Tabela_tudo[[#This Row],[Médico]]&amp;" ("&amp;Tabela_tudo[[#This Row],[Obs]]&amp;")"</f>
        <v>ISE ()</v>
      </c>
    </row>
    <row r="1535" spans="1:14" x14ac:dyDescent="0.3">
      <c r="A1535" s="1">
        <v>45219</v>
      </c>
      <c r="B1535" t="s">
        <v>249</v>
      </c>
      <c r="C1535" t="s">
        <v>455</v>
      </c>
      <c r="D1535" s="8"/>
      <c r="E1535" s="8"/>
      <c r="L1535" t="s">
        <v>563</v>
      </c>
      <c r="M1535" t="s">
        <v>478</v>
      </c>
      <c r="N1535" t="str">
        <f>Tabela_tudo[[#This Row],[Médico]]&amp;" ("&amp;Tabela_tudo[[#This Row],[Obs]]&amp;")"</f>
        <v>ISE ()</v>
      </c>
    </row>
    <row r="1536" spans="1:14" x14ac:dyDescent="0.3">
      <c r="A1536" s="1">
        <v>45156</v>
      </c>
      <c r="B1536" t="s">
        <v>249</v>
      </c>
      <c r="C1536" t="s">
        <v>455</v>
      </c>
      <c r="D1536" s="8"/>
      <c r="E1536" s="8"/>
      <c r="L1536" t="s">
        <v>563</v>
      </c>
      <c r="M1536" t="s">
        <v>478</v>
      </c>
      <c r="N1536" t="str">
        <f>Tabela_tudo[[#This Row],[Médico]]&amp;" ("&amp;Tabela_tudo[[#This Row],[Obs]]&amp;")"</f>
        <v>ISE ()</v>
      </c>
    </row>
    <row r="1537" spans="1:14" x14ac:dyDescent="0.3">
      <c r="A1537" s="1">
        <v>45149</v>
      </c>
      <c r="B1537" t="s">
        <v>249</v>
      </c>
      <c r="C1537" t="s">
        <v>455</v>
      </c>
      <c r="D1537" s="8"/>
      <c r="E1537" s="8"/>
      <c r="L1537" t="s">
        <v>563</v>
      </c>
      <c r="M1537" t="s">
        <v>478</v>
      </c>
      <c r="N1537" t="str">
        <f>Tabela_tudo[[#This Row],[Médico]]&amp;" ("&amp;Tabela_tudo[[#This Row],[Obs]]&amp;")"</f>
        <v>ISE ()</v>
      </c>
    </row>
    <row r="1538" spans="1:14" x14ac:dyDescent="0.3">
      <c r="A1538" s="1">
        <v>45142</v>
      </c>
      <c r="B1538" t="s">
        <v>249</v>
      </c>
      <c r="C1538" t="s">
        <v>455</v>
      </c>
      <c r="D1538" s="8"/>
      <c r="E1538" s="8"/>
      <c r="L1538" t="s">
        <v>563</v>
      </c>
      <c r="M1538" t="s">
        <v>478</v>
      </c>
      <c r="N1538" t="str">
        <f>Tabela_tudo[[#This Row],[Médico]]&amp;" ("&amp;Tabela_tudo[[#This Row],[Obs]]&amp;")"</f>
        <v>ISE ()</v>
      </c>
    </row>
    <row r="1539" spans="1:14" x14ac:dyDescent="0.3">
      <c r="A1539" s="1">
        <v>45163</v>
      </c>
      <c r="B1539" t="s">
        <v>249</v>
      </c>
      <c r="C1539" t="s">
        <v>455</v>
      </c>
      <c r="D1539" s="8"/>
      <c r="E1539" s="8"/>
      <c r="L1539" t="s">
        <v>563</v>
      </c>
      <c r="M1539" t="s">
        <v>478</v>
      </c>
      <c r="N1539" t="str">
        <f>Tabela_tudo[[#This Row],[Médico]]&amp;" ("&amp;Tabela_tudo[[#This Row],[Obs]]&amp;")"</f>
        <v>ISE ()</v>
      </c>
    </row>
    <row r="1540" spans="1:14" x14ac:dyDescent="0.3">
      <c r="A1540" s="1">
        <v>45184</v>
      </c>
      <c r="B1540" t="s">
        <v>249</v>
      </c>
      <c r="C1540" t="s">
        <v>455</v>
      </c>
      <c r="D1540" s="8"/>
      <c r="E1540" s="8"/>
      <c r="L1540" t="s">
        <v>563</v>
      </c>
      <c r="M1540" t="s">
        <v>478</v>
      </c>
      <c r="N1540" t="str">
        <f>Tabela_tudo[[#This Row],[Médico]]&amp;" ("&amp;Tabela_tudo[[#This Row],[Obs]]&amp;")"</f>
        <v>ISE ()</v>
      </c>
    </row>
    <row r="1541" spans="1:14" x14ac:dyDescent="0.3">
      <c r="A1541" s="1">
        <v>45177</v>
      </c>
      <c r="B1541" t="s">
        <v>249</v>
      </c>
      <c r="C1541" t="s">
        <v>455</v>
      </c>
      <c r="D1541" s="8"/>
      <c r="E1541" s="8"/>
      <c r="L1541" t="s">
        <v>563</v>
      </c>
      <c r="M1541" t="s">
        <v>478</v>
      </c>
      <c r="N1541" t="str">
        <f>Tabela_tudo[[#This Row],[Médico]]&amp;" ("&amp;Tabela_tudo[[#This Row],[Obs]]&amp;")"</f>
        <v>ISE ()</v>
      </c>
    </row>
    <row r="1542" spans="1:14" x14ac:dyDescent="0.3">
      <c r="A1542" s="1">
        <v>45170</v>
      </c>
      <c r="B1542" t="s">
        <v>249</v>
      </c>
      <c r="C1542" t="s">
        <v>455</v>
      </c>
      <c r="D1542" s="8"/>
      <c r="E1542" s="8"/>
      <c r="L1542" t="s">
        <v>563</v>
      </c>
      <c r="M1542" t="s">
        <v>478</v>
      </c>
      <c r="N1542" t="str">
        <f>Tabela_tudo[[#This Row],[Médico]]&amp;" ("&amp;Tabela_tudo[[#This Row],[Obs]]&amp;")"</f>
        <v>ISE ()</v>
      </c>
    </row>
    <row r="1543" spans="1:14" x14ac:dyDescent="0.3">
      <c r="A1543" s="1">
        <v>45030</v>
      </c>
      <c r="B1543" t="s">
        <v>249</v>
      </c>
      <c r="C1543" t="s">
        <v>455</v>
      </c>
      <c r="D1543" s="8"/>
      <c r="E1543" s="8"/>
      <c r="L1543" t="s">
        <v>563</v>
      </c>
      <c r="M1543" t="s">
        <v>478</v>
      </c>
      <c r="N1543" t="str">
        <f>Tabela_tudo[[#This Row],[Médico]]&amp;" ("&amp;Tabela_tudo[[#This Row],[Obs]]&amp;")"</f>
        <v>ISE ()</v>
      </c>
    </row>
    <row r="1544" spans="1:14" x14ac:dyDescent="0.3">
      <c r="A1544" s="1">
        <v>45617</v>
      </c>
      <c r="B1544" t="s">
        <v>249</v>
      </c>
      <c r="C1544" t="s">
        <v>460</v>
      </c>
      <c r="D1544" s="8">
        <v>0.29166666666666669</v>
      </c>
      <c r="E1544" s="8">
        <v>0.5625</v>
      </c>
      <c r="L1544" t="s">
        <v>563</v>
      </c>
      <c r="M1544" t="s">
        <v>478</v>
      </c>
      <c r="N1544" t="str">
        <f>Tabela_tudo[[#This Row],[Médico]]&amp;" ("&amp;Tabela_tudo[[#This Row],[Obs]]&amp;")"</f>
        <v>ISE ()</v>
      </c>
    </row>
    <row r="1545" spans="1:14" x14ac:dyDescent="0.3">
      <c r="A1545" s="1">
        <v>45610</v>
      </c>
      <c r="B1545" t="s">
        <v>249</v>
      </c>
      <c r="C1545" t="s">
        <v>460</v>
      </c>
      <c r="D1545" s="8">
        <v>0.29166666666666669</v>
      </c>
      <c r="E1545" s="8">
        <v>0.5625</v>
      </c>
      <c r="L1545" t="s">
        <v>563</v>
      </c>
      <c r="M1545" t="s">
        <v>478</v>
      </c>
      <c r="N1545" t="str">
        <f>Tabela_tudo[[#This Row],[Médico]]&amp;" ("&amp;Tabela_tudo[[#This Row],[Obs]]&amp;")"</f>
        <v>ISE ()</v>
      </c>
    </row>
    <row r="1546" spans="1:14" x14ac:dyDescent="0.3">
      <c r="A1546" s="1">
        <v>45603</v>
      </c>
      <c r="B1546" t="s">
        <v>249</v>
      </c>
      <c r="C1546" t="s">
        <v>460</v>
      </c>
      <c r="D1546" s="8">
        <v>0.29166666666666669</v>
      </c>
      <c r="E1546" s="8">
        <v>0.5625</v>
      </c>
      <c r="L1546" t="s">
        <v>563</v>
      </c>
      <c r="M1546" t="s">
        <v>478</v>
      </c>
      <c r="N1546" t="str">
        <f>Tabela_tudo[[#This Row],[Médico]]&amp;" ("&amp;Tabela_tudo[[#This Row],[Obs]]&amp;")"</f>
        <v>ISE ()</v>
      </c>
    </row>
    <row r="1547" spans="1:14" x14ac:dyDescent="0.3">
      <c r="A1547" s="1">
        <v>45624</v>
      </c>
      <c r="B1547" t="s">
        <v>249</v>
      </c>
      <c r="C1547" t="s">
        <v>460</v>
      </c>
      <c r="D1547" s="8">
        <v>0.29166666666666669</v>
      </c>
      <c r="E1547" s="8">
        <v>0.5625</v>
      </c>
      <c r="L1547" t="s">
        <v>563</v>
      </c>
      <c r="M1547" t="s">
        <v>478</v>
      </c>
      <c r="N1547" t="str">
        <f>Tabela_tudo[[#This Row],[Médico]]&amp;" ("&amp;Tabela_tudo[[#This Row],[Obs]]&amp;")"</f>
        <v>ISE ()</v>
      </c>
    </row>
    <row r="1548" spans="1:14" x14ac:dyDescent="0.3">
      <c r="A1548" s="1">
        <v>45645</v>
      </c>
      <c r="B1548" t="s">
        <v>249</v>
      </c>
      <c r="C1548" t="s">
        <v>460</v>
      </c>
      <c r="D1548" s="8">
        <v>0.29166666666666669</v>
      </c>
      <c r="E1548" s="8">
        <v>0.5625</v>
      </c>
      <c r="L1548" t="s">
        <v>563</v>
      </c>
      <c r="M1548" t="s">
        <v>478</v>
      </c>
      <c r="N1548" t="str">
        <f>Tabela_tudo[[#This Row],[Médico]]&amp;" ("&amp;Tabela_tudo[[#This Row],[Obs]]&amp;")"</f>
        <v>ISE ()</v>
      </c>
    </row>
    <row r="1549" spans="1:14" x14ac:dyDescent="0.3">
      <c r="A1549" s="1">
        <v>45638</v>
      </c>
      <c r="B1549" t="s">
        <v>249</v>
      </c>
      <c r="C1549" t="s">
        <v>460</v>
      </c>
      <c r="D1549" s="8">
        <v>0.29166666666666669</v>
      </c>
      <c r="E1549" s="8">
        <v>0.5625</v>
      </c>
      <c r="L1549" t="s">
        <v>563</v>
      </c>
      <c r="M1549" t="s">
        <v>478</v>
      </c>
      <c r="N1549" t="str">
        <f>Tabela_tudo[[#This Row],[Médico]]&amp;" ("&amp;Tabela_tudo[[#This Row],[Obs]]&amp;")"</f>
        <v>ISE ()</v>
      </c>
    </row>
    <row r="1550" spans="1:14" x14ac:dyDescent="0.3">
      <c r="A1550" s="1">
        <v>45631</v>
      </c>
      <c r="B1550" t="s">
        <v>249</v>
      </c>
      <c r="C1550" t="s">
        <v>460</v>
      </c>
      <c r="D1550" s="8">
        <v>0.29166666666666669</v>
      </c>
      <c r="E1550" s="8">
        <v>0.5625</v>
      </c>
      <c r="L1550" t="s">
        <v>563</v>
      </c>
      <c r="M1550" t="s">
        <v>478</v>
      </c>
      <c r="N1550" t="str">
        <f>Tabela_tudo[[#This Row],[Médico]]&amp;" ("&amp;Tabela_tudo[[#This Row],[Obs]]&amp;")"</f>
        <v>ISE ()</v>
      </c>
    </row>
    <row r="1551" spans="1:14" x14ac:dyDescent="0.3">
      <c r="A1551" s="1">
        <v>45568</v>
      </c>
      <c r="B1551" t="s">
        <v>249</v>
      </c>
      <c r="C1551" t="s">
        <v>460</v>
      </c>
      <c r="D1551" s="8">
        <v>0.29166666666666669</v>
      </c>
      <c r="E1551" s="8">
        <v>0.5625</v>
      </c>
      <c r="L1551" t="s">
        <v>563</v>
      </c>
      <c r="M1551" t="s">
        <v>478</v>
      </c>
      <c r="N1551" t="str">
        <f>Tabela_tudo[[#This Row],[Médico]]&amp;" ("&amp;Tabela_tudo[[#This Row],[Obs]]&amp;")"</f>
        <v>ISE ()</v>
      </c>
    </row>
    <row r="1552" spans="1:14" x14ac:dyDescent="0.3">
      <c r="A1552" s="1">
        <v>45561</v>
      </c>
      <c r="B1552" t="s">
        <v>249</v>
      </c>
      <c r="C1552" t="s">
        <v>460</v>
      </c>
      <c r="D1552" s="8">
        <v>0.29166666666666669</v>
      </c>
      <c r="E1552" s="8">
        <v>0.5625</v>
      </c>
      <c r="L1552" t="s">
        <v>563</v>
      </c>
      <c r="M1552" t="s">
        <v>478</v>
      </c>
      <c r="N1552" t="str">
        <f>Tabela_tudo[[#This Row],[Médico]]&amp;" ("&amp;Tabela_tudo[[#This Row],[Obs]]&amp;")"</f>
        <v>ISE ()</v>
      </c>
    </row>
    <row r="1553" spans="1:14" x14ac:dyDescent="0.3">
      <c r="A1553" s="1">
        <v>45554</v>
      </c>
      <c r="B1553" t="s">
        <v>249</v>
      </c>
      <c r="C1553" t="s">
        <v>460</v>
      </c>
      <c r="D1553" s="8">
        <v>0.29166666666666669</v>
      </c>
      <c r="E1553" s="8">
        <v>0.5625</v>
      </c>
      <c r="L1553" t="s">
        <v>563</v>
      </c>
      <c r="M1553" t="s">
        <v>478</v>
      </c>
      <c r="N1553" t="str">
        <f>Tabela_tudo[[#This Row],[Médico]]&amp;" ("&amp;Tabela_tudo[[#This Row],[Obs]]&amp;")"</f>
        <v>ISE ()</v>
      </c>
    </row>
    <row r="1554" spans="1:14" x14ac:dyDescent="0.3">
      <c r="A1554" s="1">
        <v>45575</v>
      </c>
      <c r="B1554" t="s">
        <v>249</v>
      </c>
      <c r="C1554" t="s">
        <v>460</v>
      </c>
      <c r="D1554" s="8">
        <v>0.29166666666666669</v>
      </c>
      <c r="E1554" s="8">
        <v>0.5625</v>
      </c>
      <c r="L1554" t="s">
        <v>563</v>
      </c>
      <c r="M1554" t="s">
        <v>478</v>
      </c>
      <c r="N1554" t="str">
        <f>Tabela_tudo[[#This Row],[Médico]]&amp;" ("&amp;Tabela_tudo[[#This Row],[Obs]]&amp;")"</f>
        <v>ISE ()</v>
      </c>
    </row>
    <row r="1555" spans="1:14" x14ac:dyDescent="0.3">
      <c r="A1555" s="1">
        <v>45596</v>
      </c>
      <c r="B1555" t="s">
        <v>249</v>
      </c>
      <c r="C1555" t="s">
        <v>460</v>
      </c>
      <c r="D1555" s="8">
        <v>0.29166666666666669</v>
      </c>
      <c r="E1555" s="8">
        <v>0.5625</v>
      </c>
      <c r="L1555" t="s">
        <v>563</v>
      </c>
      <c r="M1555" t="s">
        <v>478</v>
      </c>
      <c r="N1555" t="str">
        <f>Tabela_tudo[[#This Row],[Médico]]&amp;" ("&amp;Tabela_tudo[[#This Row],[Obs]]&amp;")"</f>
        <v>ISE ()</v>
      </c>
    </row>
    <row r="1556" spans="1:14" x14ac:dyDescent="0.3">
      <c r="A1556" s="1">
        <v>45589</v>
      </c>
      <c r="B1556" t="s">
        <v>249</v>
      </c>
      <c r="C1556" t="s">
        <v>460</v>
      </c>
      <c r="D1556" s="8">
        <v>0.29166666666666669</v>
      </c>
      <c r="E1556" s="8">
        <v>0.5625</v>
      </c>
      <c r="L1556" t="s">
        <v>563</v>
      </c>
      <c r="M1556" t="s">
        <v>478</v>
      </c>
      <c r="N1556" t="str">
        <f>Tabela_tudo[[#This Row],[Médico]]&amp;" ("&amp;Tabela_tudo[[#This Row],[Obs]]&amp;")"</f>
        <v>ISE ()</v>
      </c>
    </row>
    <row r="1557" spans="1:14" x14ac:dyDescent="0.3">
      <c r="A1557" s="1">
        <v>45582</v>
      </c>
      <c r="B1557" t="s">
        <v>249</v>
      </c>
      <c r="C1557" t="s">
        <v>460</v>
      </c>
      <c r="D1557" s="8">
        <v>0.29166666666666669</v>
      </c>
      <c r="E1557" s="8">
        <v>0.5625</v>
      </c>
      <c r="L1557" t="s">
        <v>563</v>
      </c>
      <c r="M1557" t="s">
        <v>478</v>
      </c>
      <c r="N1557" t="str">
        <f>Tabela_tudo[[#This Row],[Médico]]&amp;" ("&amp;Tabela_tudo[[#This Row],[Obs]]&amp;")"</f>
        <v>ISE ()</v>
      </c>
    </row>
    <row r="1558" spans="1:14" x14ac:dyDescent="0.3">
      <c r="A1558" s="1">
        <v>45652</v>
      </c>
      <c r="B1558" t="s">
        <v>249</v>
      </c>
      <c r="C1558" t="s">
        <v>460</v>
      </c>
      <c r="D1558" s="8">
        <v>0.29166666666666669</v>
      </c>
      <c r="E1558" s="8">
        <v>0.5625</v>
      </c>
      <c r="L1558" t="s">
        <v>563</v>
      </c>
      <c r="M1558" t="s">
        <v>478</v>
      </c>
      <c r="N1558" t="str">
        <f>Tabela_tudo[[#This Row],[Médico]]&amp;" ("&amp;Tabela_tudo[[#This Row],[Obs]]&amp;")"</f>
        <v>ISE ()</v>
      </c>
    </row>
    <row r="1559" spans="1:14" x14ac:dyDescent="0.3">
      <c r="A1559" s="1">
        <v>44995</v>
      </c>
      <c r="B1559" t="s">
        <v>249</v>
      </c>
      <c r="C1559" t="s">
        <v>455</v>
      </c>
      <c r="D1559" s="8"/>
      <c r="E1559" s="8"/>
      <c r="L1559" t="s">
        <v>563</v>
      </c>
      <c r="M1559" t="s">
        <v>478</v>
      </c>
      <c r="N1559" t="str">
        <f>Tabela_tudo[[#This Row],[Médico]]&amp;" ("&amp;Tabela_tudo[[#This Row],[Obs]]&amp;")"</f>
        <v>ISE ()</v>
      </c>
    </row>
    <row r="1560" spans="1:14" x14ac:dyDescent="0.3">
      <c r="A1560" s="1">
        <v>44988</v>
      </c>
      <c r="B1560" t="s">
        <v>249</v>
      </c>
      <c r="C1560" t="s">
        <v>455</v>
      </c>
      <c r="D1560" s="8"/>
      <c r="E1560" s="8"/>
      <c r="L1560" t="s">
        <v>563</v>
      </c>
      <c r="M1560" t="s">
        <v>478</v>
      </c>
      <c r="N1560" t="str">
        <f>Tabela_tudo[[#This Row],[Médico]]&amp;" ("&amp;Tabela_tudo[[#This Row],[Obs]]&amp;")"</f>
        <v>ISE ()</v>
      </c>
    </row>
    <row r="1561" spans="1:14" x14ac:dyDescent="0.3">
      <c r="A1561" s="1">
        <v>44981</v>
      </c>
      <c r="B1561" t="s">
        <v>249</v>
      </c>
      <c r="C1561" t="s">
        <v>455</v>
      </c>
      <c r="D1561" s="8"/>
      <c r="E1561" s="8"/>
      <c r="L1561" t="s">
        <v>563</v>
      </c>
      <c r="M1561" t="s">
        <v>478</v>
      </c>
      <c r="N1561" t="str">
        <f>Tabela_tudo[[#This Row],[Médico]]&amp;" ("&amp;Tabela_tudo[[#This Row],[Obs]]&amp;")"</f>
        <v>ISE ()</v>
      </c>
    </row>
    <row r="1562" spans="1:14" x14ac:dyDescent="0.3">
      <c r="A1562" s="1">
        <v>45002</v>
      </c>
      <c r="B1562" t="s">
        <v>249</v>
      </c>
      <c r="C1562" t="s">
        <v>455</v>
      </c>
      <c r="D1562" s="8"/>
      <c r="E1562" s="8"/>
      <c r="L1562" t="s">
        <v>563</v>
      </c>
      <c r="M1562" t="s">
        <v>478</v>
      </c>
      <c r="N1562" t="str">
        <f>Tabela_tudo[[#This Row],[Médico]]&amp;" ("&amp;Tabela_tudo[[#This Row],[Obs]]&amp;")"</f>
        <v>ISE ()</v>
      </c>
    </row>
    <row r="1563" spans="1:14" x14ac:dyDescent="0.3">
      <c r="A1563" s="1">
        <v>45023</v>
      </c>
      <c r="B1563" t="s">
        <v>249</v>
      </c>
      <c r="C1563" t="s">
        <v>455</v>
      </c>
      <c r="D1563" s="8"/>
      <c r="E1563" s="8"/>
      <c r="L1563" t="s">
        <v>563</v>
      </c>
      <c r="M1563" t="s">
        <v>478</v>
      </c>
      <c r="N1563" t="str">
        <f>Tabela_tudo[[#This Row],[Médico]]&amp;" ("&amp;Tabela_tudo[[#This Row],[Obs]]&amp;")"</f>
        <v>ISE ()</v>
      </c>
    </row>
    <row r="1564" spans="1:14" x14ac:dyDescent="0.3">
      <c r="A1564" s="1">
        <v>45016</v>
      </c>
      <c r="B1564" t="s">
        <v>249</v>
      </c>
      <c r="C1564" t="s">
        <v>455</v>
      </c>
      <c r="D1564" s="8"/>
      <c r="E1564" s="8"/>
      <c r="L1564" t="s">
        <v>563</v>
      </c>
      <c r="M1564" t="s">
        <v>478</v>
      </c>
      <c r="N1564" t="str">
        <f>Tabela_tudo[[#This Row],[Médico]]&amp;" ("&amp;Tabela_tudo[[#This Row],[Obs]]&amp;")"</f>
        <v>ISE ()</v>
      </c>
    </row>
    <row r="1565" spans="1:14" x14ac:dyDescent="0.3">
      <c r="A1565" s="1">
        <v>45009</v>
      </c>
      <c r="B1565" t="s">
        <v>249</v>
      </c>
      <c r="C1565" t="s">
        <v>455</v>
      </c>
      <c r="D1565" s="8"/>
      <c r="E1565" s="8"/>
      <c r="L1565" t="s">
        <v>563</v>
      </c>
      <c r="M1565" t="s">
        <v>478</v>
      </c>
      <c r="N1565" t="str">
        <f>Tabela_tudo[[#This Row],[Médico]]&amp;" ("&amp;Tabela_tudo[[#This Row],[Obs]]&amp;")"</f>
        <v>ISE ()</v>
      </c>
    </row>
    <row r="1566" spans="1:14" x14ac:dyDescent="0.3">
      <c r="A1566" s="1">
        <v>44946</v>
      </c>
      <c r="B1566" t="s">
        <v>249</v>
      </c>
      <c r="C1566" t="s">
        <v>455</v>
      </c>
      <c r="D1566" s="8"/>
      <c r="E1566" s="8"/>
      <c r="L1566" t="s">
        <v>563</v>
      </c>
      <c r="M1566" t="s">
        <v>478</v>
      </c>
      <c r="N1566" t="str">
        <f>Tabela_tudo[[#This Row],[Médico]]&amp;" ("&amp;Tabela_tudo[[#This Row],[Obs]]&amp;")"</f>
        <v>ISE ()</v>
      </c>
    </row>
    <row r="1567" spans="1:14" x14ac:dyDescent="0.3">
      <c r="A1567" s="1">
        <v>44939</v>
      </c>
      <c r="B1567" t="s">
        <v>249</v>
      </c>
      <c r="C1567" t="s">
        <v>455</v>
      </c>
      <c r="D1567" s="8"/>
      <c r="E1567" s="8"/>
      <c r="L1567" t="s">
        <v>563</v>
      </c>
      <c r="M1567" t="s">
        <v>478</v>
      </c>
      <c r="N1567" t="str">
        <f>Tabela_tudo[[#This Row],[Médico]]&amp;" ("&amp;Tabela_tudo[[#This Row],[Obs]]&amp;")"</f>
        <v>ISE ()</v>
      </c>
    </row>
    <row r="1568" spans="1:14" x14ac:dyDescent="0.3">
      <c r="A1568" s="1">
        <v>44932</v>
      </c>
      <c r="B1568" t="s">
        <v>249</v>
      </c>
      <c r="C1568" t="s">
        <v>455</v>
      </c>
      <c r="D1568" s="8"/>
      <c r="E1568" s="8"/>
      <c r="L1568" t="s">
        <v>563</v>
      </c>
      <c r="M1568" t="s">
        <v>478</v>
      </c>
      <c r="N1568" t="str">
        <f>Tabela_tudo[[#This Row],[Médico]]&amp;" ("&amp;Tabela_tudo[[#This Row],[Obs]]&amp;")"</f>
        <v>ISE ()</v>
      </c>
    </row>
    <row r="1569" spans="1:14" x14ac:dyDescent="0.3">
      <c r="A1569" s="1">
        <v>44953</v>
      </c>
      <c r="B1569" t="s">
        <v>249</v>
      </c>
      <c r="C1569" t="s">
        <v>455</v>
      </c>
      <c r="D1569" s="8"/>
      <c r="E1569" s="8"/>
      <c r="L1569" t="s">
        <v>563</v>
      </c>
      <c r="M1569" t="s">
        <v>478</v>
      </c>
      <c r="N1569" t="str">
        <f>Tabela_tudo[[#This Row],[Médico]]&amp;" ("&amp;Tabela_tudo[[#This Row],[Obs]]&amp;")"</f>
        <v>ISE ()</v>
      </c>
    </row>
    <row r="1570" spans="1:14" x14ac:dyDescent="0.3">
      <c r="A1570" s="1">
        <v>44974</v>
      </c>
      <c r="B1570" t="s">
        <v>249</v>
      </c>
      <c r="C1570" t="s">
        <v>455</v>
      </c>
      <c r="D1570" s="8"/>
      <c r="E1570" s="8"/>
      <c r="L1570" t="s">
        <v>563</v>
      </c>
      <c r="M1570" t="s">
        <v>478</v>
      </c>
      <c r="N1570" t="str">
        <f>Tabela_tudo[[#This Row],[Médico]]&amp;" ("&amp;Tabela_tudo[[#This Row],[Obs]]&amp;")"</f>
        <v>ISE ()</v>
      </c>
    </row>
    <row r="1571" spans="1:14" x14ac:dyDescent="0.3">
      <c r="A1571" s="1">
        <v>44967</v>
      </c>
      <c r="B1571" t="s">
        <v>249</v>
      </c>
      <c r="C1571" t="s">
        <v>455</v>
      </c>
      <c r="D1571" s="8"/>
      <c r="E1571" s="8"/>
      <c r="L1571" t="s">
        <v>563</v>
      </c>
      <c r="M1571" t="s">
        <v>478</v>
      </c>
      <c r="N1571" t="str">
        <f>Tabela_tudo[[#This Row],[Médico]]&amp;" ("&amp;Tabela_tudo[[#This Row],[Obs]]&amp;")"</f>
        <v>ISE ()</v>
      </c>
    </row>
    <row r="1572" spans="1:14" x14ac:dyDescent="0.3">
      <c r="A1572" s="1">
        <v>44960</v>
      </c>
      <c r="B1572" t="s">
        <v>249</v>
      </c>
      <c r="C1572" t="s">
        <v>455</v>
      </c>
      <c r="D1572" s="8"/>
      <c r="E1572" s="8"/>
      <c r="L1572" t="s">
        <v>563</v>
      </c>
      <c r="M1572" t="s">
        <v>478</v>
      </c>
      <c r="N1572" t="str">
        <f>Tabela_tudo[[#This Row],[Médico]]&amp;" ("&amp;Tabela_tudo[[#This Row],[Obs]]&amp;")"</f>
        <v>ISE ()</v>
      </c>
    </row>
    <row r="1573" spans="1:14" x14ac:dyDescent="0.3">
      <c r="A1573" s="1">
        <v>45240</v>
      </c>
      <c r="B1573" t="s">
        <v>249</v>
      </c>
      <c r="C1573" t="s">
        <v>455</v>
      </c>
      <c r="D1573" s="8"/>
      <c r="E1573" s="8"/>
      <c r="L1573" t="s">
        <v>563</v>
      </c>
      <c r="M1573" t="s">
        <v>478</v>
      </c>
      <c r="N1573" t="str">
        <f>Tabela_tudo[[#This Row],[Médico]]&amp;" ("&amp;Tabela_tudo[[#This Row],[Obs]]&amp;")"</f>
        <v>ISE ()</v>
      </c>
    </row>
    <row r="1574" spans="1:14" x14ac:dyDescent="0.3">
      <c r="A1574" s="1">
        <v>45520</v>
      </c>
      <c r="B1574" t="s">
        <v>249</v>
      </c>
      <c r="C1574" t="s">
        <v>455</v>
      </c>
      <c r="D1574" s="8"/>
      <c r="E1574" s="8"/>
      <c r="L1574" t="s">
        <v>563</v>
      </c>
      <c r="M1574" t="s">
        <v>478</v>
      </c>
      <c r="N1574" t="str">
        <f>Tabela_tudo[[#This Row],[Médico]]&amp;" ("&amp;Tabela_tudo[[#This Row],[Obs]]&amp;")"</f>
        <v>ISE ()</v>
      </c>
    </row>
    <row r="1575" spans="1:14" x14ac:dyDescent="0.3">
      <c r="A1575" s="1">
        <v>45513</v>
      </c>
      <c r="B1575" t="s">
        <v>249</v>
      </c>
      <c r="C1575" t="s">
        <v>455</v>
      </c>
      <c r="D1575" s="8"/>
      <c r="E1575" s="8"/>
      <c r="L1575" t="s">
        <v>563</v>
      </c>
      <c r="M1575" t="s">
        <v>478</v>
      </c>
      <c r="N1575" t="str">
        <f>Tabela_tudo[[#This Row],[Médico]]&amp;" ("&amp;Tabela_tudo[[#This Row],[Obs]]&amp;")"</f>
        <v>ISE ()</v>
      </c>
    </row>
    <row r="1576" spans="1:14" x14ac:dyDescent="0.3">
      <c r="A1576" s="1">
        <v>45506</v>
      </c>
      <c r="B1576" t="s">
        <v>249</v>
      </c>
      <c r="C1576" t="s">
        <v>455</v>
      </c>
      <c r="D1576" s="8"/>
      <c r="E1576" s="8"/>
      <c r="L1576" t="s">
        <v>563</v>
      </c>
      <c r="M1576" t="s">
        <v>478</v>
      </c>
      <c r="N1576" t="str">
        <f>Tabela_tudo[[#This Row],[Médico]]&amp;" ("&amp;Tabela_tudo[[#This Row],[Obs]]&amp;")"</f>
        <v>ISE ()</v>
      </c>
    </row>
    <row r="1577" spans="1:14" x14ac:dyDescent="0.3">
      <c r="A1577" s="1">
        <v>45527</v>
      </c>
      <c r="B1577" t="s">
        <v>249</v>
      </c>
      <c r="C1577" t="s">
        <v>455</v>
      </c>
      <c r="D1577" s="8"/>
      <c r="E1577" s="8"/>
      <c r="L1577" t="s">
        <v>563</v>
      </c>
      <c r="M1577" t="s">
        <v>478</v>
      </c>
      <c r="N1577" t="str">
        <f>Tabela_tudo[[#This Row],[Médico]]&amp;" ("&amp;Tabela_tudo[[#This Row],[Obs]]&amp;")"</f>
        <v>ISE ()</v>
      </c>
    </row>
    <row r="1578" spans="1:14" x14ac:dyDescent="0.3">
      <c r="A1578" s="1">
        <v>45548</v>
      </c>
      <c r="B1578" t="s">
        <v>249</v>
      </c>
      <c r="C1578" t="s">
        <v>455</v>
      </c>
      <c r="D1578" s="8"/>
      <c r="E1578" s="8"/>
      <c r="L1578" t="s">
        <v>563</v>
      </c>
      <c r="M1578" t="s">
        <v>478</v>
      </c>
      <c r="N1578" t="str">
        <f>Tabela_tudo[[#This Row],[Médico]]&amp;" ("&amp;Tabela_tudo[[#This Row],[Obs]]&amp;")"</f>
        <v>ISE ()</v>
      </c>
    </row>
    <row r="1579" spans="1:14" x14ac:dyDescent="0.3">
      <c r="A1579" s="1">
        <v>45541</v>
      </c>
      <c r="B1579" t="s">
        <v>249</v>
      </c>
      <c r="C1579" t="s">
        <v>455</v>
      </c>
      <c r="D1579" s="8"/>
      <c r="E1579" s="8"/>
      <c r="L1579" t="s">
        <v>563</v>
      </c>
      <c r="M1579" t="s">
        <v>478</v>
      </c>
      <c r="N1579" t="str">
        <f>Tabela_tudo[[#This Row],[Médico]]&amp;" ("&amp;Tabela_tudo[[#This Row],[Obs]]&amp;")"</f>
        <v>ISE ()</v>
      </c>
    </row>
    <row r="1580" spans="1:14" x14ac:dyDescent="0.3">
      <c r="A1580" s="1">
        <v>45534</v>
      </c>
      <c r="B1580" t="s">
        <v>249</v>
      </c>
      <c r="C1580" t="s">
        <v>455</v>
      </c>
      <c r="D1580" s="8"/>
      <c r="E1580" s="8"/>
      <c r="L1580" t="s">
        <v>563</v>
      </c>
      <c r="M1580" t="s">
        <v>478</v>
      </c>
      <c r="N1580" t="str">
        <f>Tabela_tudo[[#This Row],[Médico]]&amp;" ("&amp;Tabela_tudo[[#This Row],[Obs]]&amp;")"</f>
        <v>ISE ()</v>
      </c>
    </row>
    <row r="1581" spans="1:14" x14ac:dyDescent="0.3">
      <c r="A1581" s="1">
        <v>45471</v>
      </c>
      <c r="B1581" t="s">
        <v>249</v>
      </c>
      <c r="C1581" t="s">
        <v>455</v>
      </c>
      <c r="D1581" s="8"/>
      <c r="E1581" s="8"/>
      <c r="L1581" t="s">
        <v>563</v>
      </c>
      <c r="M1581" t="s">
        <v>478</v>
      </c>
      <c r="N1581" t="str">
        <f>Tabela_tudo[[#This Row],[Médico]]&amp;" ("&amp;Tabela_tudo[[#This Row],[Obs]]&amp;")"</f>
        <v>ISE ()</v>
      </c>
    </row>
    <row r="1582" spans="1:14" x14ac:dyDescent="0.3">
      <c r="A1582" s="1">
        <v>45464</v>
      </c>
      <c r="B1582" t="s">
        <v>249</v>
      </c>
      <c r="C1582" t="s">
        <v>455</v>
      </c>
      <c r="D1582" s="8"/>
      <c r="E1582" s="8"/>
      <c r="L1582" t="s">
        <v>563</v>
      </c>
      <c r="M1582" t="s">
        <v>478</v>
      </c>
      <c r="N1582" t="str">
        <f>Tabela_tudo[[#This Row],[Médico]]&amp;" ("&amp;Tabela_tudo[[#This Row],[Obs]]&amp;")"</f>
        <v>ISE ()</v>
      </c>
    </row>
    <row r="1583" spans="1:14" x14ac:dyDescent="0.3">
      <c r="A1583" s="1">
        <v>45457</v>
      </c>
      <c r="B1583" t="s">
        <v>249</v>
      </c>
      <c r="C1583" t="s">
        <v>455</v>
      </c>
      <c r="D1583" s="8"/>
      <c r="E1583" s="8"/>
      <c r="L1583" t="s">
        <v>563</v>
      </c>
      <c r="M1583" t="s">
        <v>478</v>
      </c>
      <c r="N1583" t="str">
        <f>Tabela_tudo[[#This Row],[Médico]]&amp;" ("&amp;Tabela_tudo[[#This Row],[Obs]]&amp;")"</f>
        <v>ISE ()</v>
      </c>
    </row>
    <row r="1584" spans="1:14" x14ac:dyDescent="0.3">
      <c r="A1584" s="1">
        <v>45478</v>
      </c>
      <c r="B1584" t="s">
        <v>249</v>
      </c>
      <c r="C1584" t="s">
        <v>455</v>
      </c>
      <c r="D1584" s="8"/>
      <c r="E1584" s="8"/>
      <c r="L1584" t="s">
        <v>563</v>
      </c>
      <c r="M1584" t="s">
        <v>478</v>
      </c>
      <c r="N1584" t="str">
        <f>Tabela_tudo[[#This Row],[Médico]]&amp;" ("&amp;Tabela_tudo[[#This Row],[Obs]]&amp;")"</f>
        <v>ISE ()</v>
      </c>
    </row>
    <row r="1585" spans="1:14" x14ac:dyDescent="0.3">
      <c r="A1585" s="1">
        <v>45499</v>
      </c>
      <c r="B1585" t="s">
        <v>249</v>
      </c>
      <c r="C1585" t="s">
        <v>455</v>
      </c>
      <c r="D1585" s="8"/>
      <c r="E1585" s="8"/>
      <c r="L1585" t="s">
        <v>563</v>
      </c>
      <c r="M1585" t="s">
        <v>478</v>
      </c>
      <c r="N1585" t="str">
        <f>Tabela_tudo[[#This Row],[Médico]]&amp;" ("&amp;Tabela_tudo[[#This Row],[Obs]]&amp;")"</f>
        <v>ISE ()</v>
      </c>
    </row>
    <row r="1586" spans="1:14" x14ac:dyDescent="0.3">
      <c r="A1586" s="1">
        <v>45492</v>
      </c>
      <c r="B1586" t="s">
        <v>249</v>
      </c>
      <c r="C1586" t="s">
        <v>455</v>
      </c>
      <c r="D1586" s="8"/>
      <c r="E1586" s="8"/>
      <c r="L1586" t="s">
        <v>563</v>
      </c>
      <c r="M1586" t="s">
        <v>478</v>
      </c>
      <c r="N1586" t="str">
        <f>Tabela_tudo[[#This Row],[Médico]]&amp;" ("&amp;Tabela_tudo[[#This Row],[Obs]]&amp;")"</f>
        <v>ISE ()</v>
      </c>
    </row>
    <row r="1587" spans="1:14" x14ac:dyDescent="0.3">
      <c r="A1587" s="1">
        <v>45485</v>
      </c>
      <c r="B1587" t="s">
        <v>249</v>
      </c>
      <c r="C1587" t="s">
        <v>455</v>
      </c>
      <c r="D1587" s="8"/>
      <c r="E1587" s="8"/>
      <c r="L1587" t="s">
        <v>563</v>
      </c>
      <c r="M1587" t="s">
        <v>478</v>
      </c>
      <c r="N1587" t="str">
        <f>Tabela_tudo[[#This Row],[Médico]]&amp;" ("&amp;Tabela_tudo[[#This Row],[Obs]]&amp;")"</f>
        <v>ISE ()</v>
      </c>
    </row>
    <row r="1588" spans="1:14" x14ac:dyDescent="0.3">
      <c r="A1588" s="1">
        <v>45555</v>
      </c>
      <c r="B1588" t="s">
        <v>249</v>
      </c>
      <c r="C1588" t="s">
        <v>455</v>
      </c>
      <c r="D1588" s="8"/>
      <c r="E1588" s="8"/>
      <c r="L1588" t="s">
        <v>563</v>
      </c>
      <c r="M1588" t="s">
        <v>478</v>
      </c>
      <c r="N1588" t="str">
        <f>Tabela_tudo[[#This Row],[Médico]]&amp;" ("&amp;Tabela_tudo[[#This Row],[Obs]]&amp;")"</f>
        <v>ISE ()</v>
      </c>
    </row>
    <row r="1589" spans="1:14" x14ac:dyDescent="0.3">
      <c r="A1589" s="1">
        <v>45625</v>
      </c>
      <c r="B1589" t="s">
        <v>249</v>
      </c>
      <c r="C1589" t="s">
        <v>455</v>
      </c>
      <c r="D1589" s="8"/>
      <c r="E1589" s="8"/>
      <c r="L1589" t="s">
        <v>563</v>
      </c>
      <c r="M1589" t="s">
        <v>478</v>
      </c>
      <c r="N1589" t="str">
        <f>Tabela_tudo[[#This Row],[Médico]]&amp;" ("&amp;Tabela_tudo[[#This Row],[Obs]]&amp;")"</f>
        <v>ISE ()</v>
      </c>
    </row>
    <row r="1590" spans="1:14" x14ac:dyDescent="0.3">
      <c r="A1590" s="1">
        <v>45618</v>
      </c>
      <c r="B1590" t="s">
        <v>249</v>
      </c>
      <c r="C1590" t="s">
        <v>455</v>
      </c>
      <c r="D1590" s="8"/>
      <c r="E1590" s="8"/>
      <c r="L1590" t="s">
        <v>563</v>
      </c>
      <c r="M1590" t="s">
        <v>478</v>
      </c>
      <c r="N1590" t="str">
        <f>Tabela_tudo[[#This Row],[Médico]]&amp;" ("&amp;Tabela_tudo[[#This Row],[Obs]]&amp;")"</f>
        <v>ISE ()</v>
      </c>
    </row>
    <row r="1591" spans="1:14" x14ac:dyDescent="0.3">
      <c r="A1591" s="1">
        <v>45611</v>
      </c>
      <c r="B1591" t="s">
        <v>249</v>
      </c>
      <c r="C1591" t="s">
        <v>455</v>
      </c>
      <c r="D1591" s="8"/>
      <c r="E1591" s="8"/>
      <c r="L1591" t="s">
        <v>563</v>
      </c>
      <c r="M1591" t="s">
        <v>478</v>
      </c>
      <c r="N1591" t="str">
        <f>Tabela_tudo[[#This Row],[Médico]]&amp;" ("&amp;Tabela_tudo[[#This Row],[Obs]]&amp;")"</f>
        <v>ISE ()</v>
      </c>
    </row>
    <row r="1592" spans="1:14" x14ac:dyDescent="0.3">
      <c r="A1592" s="1">
        <v>45632</v>
      </c>
      <c r="B1592" t="s">
        <v>249</v>
      </c>
      <c r="C1592" t="s">
        <v>455</v>
      </c>
      <c r="D1592" s="8"/>
      <c r="E1592" s="8"/>
      <c r="L1592" t="s">
        <v>563</v>
      </c>
      <c r="M1592" t="s">
        <v>478</v>
      </c>
      <c r="N1592" t="str">
        <f>Tabela_tudo[[#This Row],[Médico]]&amp;" ("&amp;Tabela_tudo[[#This Row],[Obs]]&amp;")"</f>
        <v>ISE ()</v>
      </c>
    </row>
    <row r="1593" spans="1:14" x14ac:dyDescent="0.3">
      <c r="A1593" s="1">
        <v>45653</v>
      </c>
      <c r="B1593" t="s">
        <v>249</v>
      </c>
      <c r="C1593" t="s">
        <v>455</v>
      </c>
      <c r="D1593" s="8"/>
      <c r="E1593" s="8"/>
      <c r="L1593" t="s">
        <v>563</v>
      </c>
      <c r="M1593" t="s">
        <v>478</v>
      </c>
      <c r="N1593" t="str">
        <f>Tabela_tudo[[#This Row],[Médico]]&amp;" ("&amp;Tabela_tudo[[#This Row],[Obs]]&amp;")"</f>
        <v>ISE ()</v>
      </c>
    </row>
    <row r="1594" spans="1:14" x14ac:dyDescent="0.3">
      <c r="A1594" s="1">
        <v>45646</v>
      </c>
      <c r="B1594" t="s">
        <v>249</v>
      </c>
      <c r="C1594" t="s">
        <v>455</v>
      </c>
      <c r="D1594" s="8"/>
      <c r="E1594" s="8"/>
      <c r="L1594" t="s">
        <v>563</v>
      </c>
      <c r="M1594" t="s">
        <v>478</v>
      </c>
      <c r="N1594" t="str">
        <f>Tabela_tudo[[#This Row],[Médico]]&amp;" ("&amp;Tabela_tudo[[#This Row],[Obs]]&amp;")"</f>
        <v>ISE ()</v>
      </c>
    </row>
    <row r="1595" spans="1:14" x14ac:dyDescent="0.3">
      <c r="A1595" s="1">
        <v>45639</v>
      </c>
      <c r="B1595" t="s">
        <v>249</v>
      </c>
      <c r="C1595" t="s">
        <v>455</v>
      </c>
      <c r="D1595" s="8"/>
      <c r="E1595" s="8"/>
      <c r="L1595" t="s">
        <v>563</v>
      </c>
      <c r="M1595" t="s">
        <v>478</v>
      </c>
      <c r="N1595" t="str">
        <f>Tabela_tudo[[#This Row],[Médico]]&amp;" ("&amp;Tabela_tudo[[#This Row],[Obs]]&amp;")"</f>
        <v>ISE ()</v>
      </c>
    </row>
    <row r="1596" spans="1:14" x14ac:dyDescent="0.3">
      <c r="A1596" s="1">
        <v>45576</v>
      </c>
      <c r="B1596" t="s">
        <v>249</v>
      </c>
      <c r="C1596" t="s">
        <v>455</v>
      </c>
      <c r="D1596" s="8"/>
      <c r="E1596" s="8"/>
      <c r="L1596" t="s">
        <v>563</v>
      </c>
      <c r="M1596" t="s">
        <v>478</v>
      </c>
      <c r="N1596" t="str">
        <f>Tabela_tudo[[#This Row],[Médico]]&amp;" ("&amp;Tabela_tudo[[#This Row],[Obs]]&amp;")"</f>
        <v>ISE ()</v>
      </c>
    </row>
    <row r="1597" spans="1:14" x14ac:dyDescent="0.3">
      <c r="A1597" s="1">
        <v>45569</v>
      </c>
      <c r="B1597" t="s">
        <v>249</v>
      </c>
      <c r="C1597" t="s">
        <v>455</v>
      </c>
      <c r="D1597" s="8"/>
      <c r="E1597" s="8"/>
      <c r="L1597" t="s">
        <v>563</v>
      </c>
      <c r="M1597" t="s">
        <v>478</v>
      </c>
      <c r="N1597" t="str">
        <f>Tabela_tudo[[#This Row],[Médico]]&amp;" ("&amp;Tabela_tudo[[#This Row],[Obs]]&amp;")"</f>
        <v>ISE ()</v>
      </c>
    </row>
    <row r="1598" spans="1:14" x14ac:dyDescent="0.3">
      <c r="A1598" s="1">
        <v>45562</v>
      </c>
      <c r="B1598" t="s">
        <v>249</v>
      </c>
      <c r="C1598" t="s">
        <v>455</v>
      </c>
      <c r="D1598" s="8"/>
      <c r="E1598" s="8"/>
      <c r="L1598" t="s">
        <v>563</v>
      </c>
      <c r="M1598" t="s">
        <v>478</v>
      </c>
      <c r="N1598" t="str">
        <f>Tabela_tudo[[#This Row],[Médico]]&amp;" ("&amp;Tabela_tudo[[#This Row],[Obs]]&amp;")"</f>
        <v>ISE ()</v>
      </c>
    </row>
    <row r="1599" spans="1:14" x14ac:dyDescent="0.3">
      <c r="A1599" s="1">
        <v>45583</v>
      </c>
      <c r="B1599" t="s">
        <v>249</v>
      </c>
      <c r="C1599" t="s">
        <v>455</v>
      </c>
      <c r="D1599" s="8"/>
      <c r="E1599" s="8"/>
      <c r="L1599" t="s">
        <v>563</v>
      </c>
      <c r="M1599" t="s">
        <v>478</v>
      </c>
      <c r="N1599" t="str">
        <f>Tabela_tudo[[#This Row],[Médico]]&amp;" ("&amp;Tabela_tudo[[#This Row],[Obs]]&amp;")"</f>
        <v>ISE ()</v>
      </c>
    </row>
    <row r="1600" spans="1:14" x14ac:dyDescent="0.3">
      <c r="A1600" s="1">
        <v>45604</v>
      </c>
      <c r="B1600" t="s">
        <v>249</v>
      </c>
      <c r="C1600" t="s">
        <v>455</v>
      </c>
      <c r="D1600" s="8"/>
      <c r="E1600" s="8"/>
      <c r="L1600" t="s">
        <v>563</v>
      </c>
      <c r="M1600" t="s">
        <v>478</v>
      </c>
      <c r="N1600" t="str">
        <f>Tabela_tudo[[#This Row],[Médico]]&amp;" ("&amp;Tabela_tudo[[#This Row],[Obs]]&amp;")"</f>
        <v>ISE ()</v>
      </c>
    </row>
    <row r="1601" spans="1:14" x14ac:dyDescent="0.3">
      <c r="A1601" s="1">
        <v>45597</v>
      </c>
      <c r="B1601" t="s">
        <v>249</v>
      </c>
      <c r="C1601" t="s">
        <v>455</v>
      </c>
      <c r="D1601" s="8"/>
      <c r="E1601" s="8"/>
      <c r="L1601" t="s">
        <v>563</v>
      </c>
      <c r="M1601" t="s">
        <v>478</v>
      </c>
      <c r="N1601" t="str">
        <f>Tabela_tudo[[#This Row],[Médico]]&amp;" ("&amp;Tabela_tudo[[#This Row],[Obs]]&amp;")"</f>
        <v>ISE ()</v>
      </c>
    </row>
    <row r="1602" spans="1:14" x14ac:dyDescent="0.3">
      <c r="A1602" s="1">
        <v>45590</v>
      </c>
      <c r="B1602" t="s">
        <v>249</v>
      </c>
      <c r="C1602" t="s">
        <v>455</v>
      </c>
      <c r="D1602" s="8"/>
      <c r="E1602" s="8"/>
      <c r="L1602" t="s">
        <v>563</v>
      </c>
      <c r="M1602" t="s">
        <v>478</v>
      </c>
      <c r="N1602" t="str">
        <f>Tabela_tudo[[#This Row],[Médico]]&amp;" ("&amp;Tabela_tudo[[#This Row],[Obs]]&amp;")"</f>
        <v>ISE ()</v>
      </c>
    </row>
    <row r="1603" spans="1:14" x14ac:dyDescent="0.3">
      <c r="A1603" s="1">
        <v>45450</v>
      </c>
      <c r="B1603" t="s">
        <v>249</v>
      </c>
      <c r="C1603" t="s">
        <v>455</v>
      </c>
      <c r="D1603" s="8"/>
      <c r="E1603" s="8"/>
      <c r="L1603" t="s">
        <v>563</v>
      </c>
      <c r="M1603" t="s">
        <v>478</v>
      </c>
      <c r="N1603" t="str">
        <f>Tabela_tudo[[#This Row],[Médico]]&amp;" ("&amp;Tabela_tudo[[#This Row],[Obs]]&amp;")"</f>
        <v>ISE ()</v>
      </c>
    </row>
    <row r="1604" spans="1:14" x14ac:dyDescent="0.3">
      <c r="A1604" s="1">
        <v>45310</v>
      </c>
      <c r="B1604" t="s">
        <v>249</v>
      </c>
      <c r="C1604" t="s">
        <v>455</v>
      </c>
      <c r="D1604" s="8"/>
      <c r="E1604" s="8"/>
      <c r="L1604" t="s">
        <v>563</v>
      </c>
      <c r="M1604" t="s">
        <v>478</v>
      </c>
      <c r="N1604" t="str">
        <f>Tabela_tudo[[#This Row],[Médico]]&amp;" ("&amp;Tabela_tudo[[#This Row],[Obs]]&amp;")"</f>
        <v>ISE ()</v>
      </c>
    </row>
    <row r="1605" spans="1:14" x14ac:dyDescent="0.3">
      <c r="A1605" s="1">
        <v>45303</v>
      </c>
      <c r="B1605" t="s">
        <v>249</v>
      </c>
      <c r="C1605" t="s">
        <v>455</v>
      </c>
      <c r="D1605" s="8"/>
      <c r="E1605" s="8"/>
      <c r="L1605" t="s">
        <v>563</v>
      </c>
      <c r="M1605" t="s">
        <v>478</v>
      </c>
      <c r="N1605" t="str">
        <f>Tabela_tudo[[#This Row],[Médico]]&amp;" ("&amp;Tabela_tudo[[#This Row],[Obs]]&amp;")"</f>
        <v>ISE ()</v>
      </c>
    </row>
    <row r="1606" spans="1:14" x14ac:dyDescent="0.3">
      <c r="A1606" s="1">
        <v>45296</v>
      </c>
      <c r="B1606" t="s">
        <v>249</v>
      </c>
      <c r="C1606" t="s">
        <v>455</v>
      </c>
      <c r="D1606" s="8"/>
      <c r="E1606" s="8"/>
      <c r="L1606" t="s">
        <v>563</v>
      </c>
      <c r="M1606" t="s">
        <v>478</v>
      </c>
      <c r="N1606" t="str">
        <f>Tabela_tudo[[#This Row],[Médico]]&amp;" ("&amp;Tabela_tudo[[#This Row],[Obs]]&amp;")"</f>
        <v>ISE ()</v>
      </c>
    </row>
    <row r="1607" spans="1:14" x14ac:dyDescent="0.3">
      <c r="A1607" s="1">
        <v>45317</v>
      </c>
      <c r="B1607" t="s">
        <v>249</v>
      </c>
      <c r="C1607" t="s">
        <v>455</v>
      </c>
      <c r="D1607" s="8"/>
      <c r="E1607" s="8"/>
      <c r="L1607" t="s">
        <v>563</v>
      </c>
      <c r="M1607" t="s">
        <v>478</v>
      </c>
      <c r="N1607" t="str">
        <f>Tabela_tudo[[#This Row],[Médico]]&amp;" ("&amp;Tabela_tudo[[#This Row],[Obs]]&amp;")"</f>
        <v>ISE ()</v>
      </c>
    </row>
    <row r="1608" spans="1:14" x14ac:dyDescent="0.3">
      <c r="A1608" s="1">
        <v>45338</v>
      </c>
      <c r="B1608" t="s">
        <v>249</v>
      </c>
      <c r="C1608" t="s">
        <v>455</v>
      </c>
      <c r="D1608" s="8"/>
      <c r="E1608" s="8"/>
      <c r="L1608" t="s">
        <v>563</v>
      </c>
      <c r="M1608" t="s">
        <v>478</v>
      </c>
      <c r="N1608" t="str">
        <f>Tabela_tudo[[#This Row],[Médico]]&amp;" ("&amp;Tabela_tudo[[#This Row],[Obs]]&amp;")"</f>
        <v>ISE ()</v>
      </c>
    </row>
    <row r="1609" spans="1:14" x14ac:dyDescent="0.3">
      <c r="A1609" s="1">
        <v>45331</v>
      </c>
      <c r="B1609" t="s">
        <v>249</v>
      </c>
      <c r="C1609" t="s">
        <v>455</v>
      </c>
      <c r="D1609" s="8"/>
      <c r="E1609" s="8"/>
      <c r="L1609" t="s">
        <v>563</v>
      </c>
      <c r="M1609" t="s">
        <v>478</v>
      </c>
      <c r="N1609" t="str">
        <f>Tabela_tudo[[#This Row],[Médico]]&amp;" ("&amp;Tabela_tudo[[#This Row],[Obs]]&amp;")"</f>
        <v>ISE ()</v>
      </c>
    </row>
    <row r="1610" spans="1:14" x14ac:dyDescent="0.3">
      <c r="A1610" s="1">
        <v>45324</v>
      </c>
      <c r="B1610" t="s">
        <v>249</v>
      </c>
      <c r="C1610" t="s">
        <v>455</v>
      </c>
      <c r="D1610" s="8"/>
      <c r="E1610" s="8"/>
      <c r="L1610" t="s">
        <v>563</v>
      </c>
      <c r="M1610" t="s">
        <v>478</v>
      </c>
      <c r="N1610" t="str">
        <f>Tabela_tudo[[#This Row],[Médico]]&amp;" ("&amp;Tabela_tudo[[#This Row],[Obs]]&amp;")"</f>
        <v>ISE ()</v>
      </c>
    </row>
    <row r="1611" spans="1:14" x14ac:dyDescent="0.3">
      <c r="A1611" s="1">
        <v>45261</v>
      </c>
      <c r="B1611" t="s">
        <v>249</v>
      </c>
      <c r="C1611" t="s">
        <v>455</v>
      </c>
      <c r="D1611" s="8"/>
      <c r="E1611" s="8"/>
      <c r="L1611" t="s">
        <v>563</v>
      </c>
      <c r="M1611" t="s">
        <v>478</v>
      </c>
      <c r="N1611" t="str">
        <f>Tabela_tudo[[#This Row],[Médico]]&amp;" ("&amp;Tabela_tudo[[#This Row],[Obs]]&amp;")"</f>
        <v>ISE ()</v>
      </c>
    </row>
    <row r="1612" spans="1:14" x14ac:dyDescent="0.3">
      <c r="A1612" s="1">
        <v>45254</v>
      </c>
      <c r="B1612" t="s">
        <v>249</v>
      </c>
      <c r="C1612" t="s">
        <v>455</v>
      </c>
      <c r="D1612" s="8"/>
      <c r="E1612" s="8"/>
      <c r="L1612" t="s">
        <v>563</v>
      </c>
      <c r="M1612" t="s">
        <v>478</v>
      </c>
      <c r="N1612" t="str">
        <f>Tabela_tudo[[#This Row],[Médico]]&amp;" ("&amp;Tabela_tudo[[#This Row],[Obs]]&amp;")"</f>
        <v>ISE ()</v>
      </c>
    </row>
    <row r="1613" spans="1:14" x14ac:dyDescent="0.3">
      <c r="A1613" s="1">
        <v>45247</v>
      </c>
      <c r="B1613" t="s">
        <v>249</v>
      </c>
      <c r="C1613" t="s">
        <v>455</v>
      </c>
      <c r="D1613" s="8"/>
      <c r="E1613" s="8"/>
      <c r="L1613" t="s">
        <v>563</v>
      </c>
      <c r="M1613" t="s">
        <v>478</v>
      </c>
      <c r="N1613" t="str">
        <f>Tabela_tudo[[#This Row],[Médico]]&amp;" ("&amp;Tabela_tudo[[#This Row],[Obs]]&amp;")"</f>
        <v>ISE ()</v>
      </c>
    </row>
    <row r="1614" spans="1:14" x14ac:dyDescent="0.3">
      <c r="A1614" s="1">
        <v>45268</v>
      </c>
      <c r="B1614" t="s">
        <v>249</v>
      </c>
      <c r="C1614" t="s">
        <v>455</v>
      </c>
      <c r="D1614" s="8"/>
      <c r="E1614" s="8"/>
      <c r="L1614" t="s">
        <v>563</v>
      </c>
      <c r="M1614" t="s">
        <v>478</v>
      </c>
      <c r="N1614" t="str">
        <f>Tabela_tudo[[#This Row],[Médico]]&amp;" ("&amp;Tabela_tudo[[#This Row],[Obs]]&amp;")"</f>
        <v>ISE ()</v>
      </c>
    </row>
    <row r="1615" spans="1:14" x14ac:dyDescent="0.3">
      <c r="A1615" s="1">
        <v>45289</v>
      </c>
      <c r="B1615" t="s">
        <v>249</v>
      </c>
      <c r="C1615" t="s">
        <v>455</v>
      </c>
      <c r="D1615" s="8"/>
      <c r="E1615" s="8"/>
      <c r="L1615" t="s">
        <v>563</v>
      </c>
      <c r="M1615" t="s">
        <v>478</v>
      </c>
      <c r="N1615" t="str">
        <f>Tabela_tudo[[#This Row],[Médico]]&amp;" ("&amp;Tabela_tudo[[#This Row],[Obs]]&amp;")"</f>
        <v>ISE ()</v>
      </c>
    </row>
    <row r="1616" spans="1:14" x14ac:dyDescent="0.3">
      <c r="A1616" s="1">
        <v>45282</v>
      </c>
      <c r="B1616" t="s">
        <v>249</v>
      </c>
      <c r="C1616" t="s">
        <v>455</v>
      </c>
      <c r="D1616" s="8"/>
      <c r="E1616" s="8"/>
      <c r="L1616" t="s">
        <v>563</v>
      </c>
      <c r="M1616" t="s">
        <v>478</v>
      </c>
      <c r="N1616" t="str">
        <f>Tabela_tudo[[#This Row],[Médico]]&amp;" ("&amp;Tabela_tudo[[#This Row],[Obs]]&amp;")"</f>
        <v>ISE ()</v>
      </c>
    </row>
    <row r="1617" spans="1:14" x14ac:dyDescent="0.3">
      <c r="A1617" s="1">
        <v>45275</v>
      </c>
      <c r="B1617" t="s">
        <v>249</v>
      </c>
      <c r="C1617" t="s">
        <v>455</v>
      </c>
      <c r="D1617" s="8"/>
      <c r="E1617" s="8"/>
      <c r="L1617" t="s">
        <v>563</v>
      </c>
      <c r="M1617" t="s">
        <v>478</v>
      </c>
      <c r="N1617" t="str">
        <f>Tabela_tudo[[#This Row],[Médico]]&amp;" ("&amp;Tabela_tudo[[#This Row],[Obs]]&amp;")"</f>
        <v>ISE ()</v>
      </c>
    </row>
    <row r="1618" spans="1:14" x14ac:dyDescent="0.3">
      <c r="A1618" s="1">
        <v>45345</v>
      </c>
      <c r="B1618" t="s">
        <v>249</v>
      </c>
      <c r="C1618" t="s">
        <v>455</v>
      </c>
      <c r="D1618" s="8"/>
      <c r="E1618" s="8"/>
      <c r="L1618" t="s">
        <v>563</v>
      </c>
      <c r="M1618" t="s">
        <v>478</v>
      </c>
      <c r="N1618" t="str">
        <f>Tabela_tudo[[#This Row],[Médico]]&amp;" ("&amp;Tabela_tudo[[#This Row],[Obs]]&amp;")"</f>
        <v>ISE ()</v>
      </c>
    </row>
    <row r="1619" spans="1:14" x14ac:dyDescent="0.3">
      <c r="A1619" s="1">
        <v>45415</v>
      </c>
      <c r="B1619" t="s">
        <v>249</v>
      </c>
      <c r="C1619" t="s">
        <v>455</v>
      </c>
      <c r="D1619" s="8"/>
      <c r="E1619" s="8"/>
      <c r="L1619" t="s">
        <v>563</v>
      </c>
      <c r="M1619" t="s">
        <v>478</v>
      </c>
      <c r="N1619" t="str">
        <f>Tabela_tudo[[#This Row],[Médico]]&amp;" ("&amp;Tabela_tudo[[#This Row],[Obs]]&amp;")"</f>
        <v>ISE ()</v>
      </c>
    </row>
    <row r="1620" spans="1:14" x14ac:dyDescent="0.3">
      <c r="A1620" s="1">
        <v>45408</v>
      </c>
      <c r="B1620" t="s">
        <v>249</v>
      </c>
      <c r="C1620" t="s">
        <v>455</v>
      </c>
      <c r="D1620" s="8"/>
      <c r="E1620" s="8"/>
      <c r="L1620" t="s">
        <v>563</v>
      </c>
      <c r="M1620" t="s">
        <v>478</v>
      </c>
      <c r="N1620" t="str">
        <f>Tabela_tudo[[#This Row],[Médico]]&amp;" ("&amp;Tabela_tudo[[#This Row],[Obs]]&amp;")"</f>
        <v>ISE ()</v>
      </c>
    </row>
    <row r="1621" spans="1:14" x14ac:dyDescent="0.3">
      <c r="A1621" s="1">
        <v>45401</v>
      </c>
      <c r="B1621" t="s">
        <v>249</v>
      </c>
      <c r="C1621" t="s">
        <v>455</v>
      </c>
      <c r="D1621" s="8"/>
      <c r="E1621" s="8"/>
      <c r="L1621" t="s">
        <v>563</v>
      </c>
      <c r="M1621" t="s">
        <v>478</v>
      </c>
      <c r="N1621" t="str">
        <f>Tabela_tudo[[#This Row],[Médico]]&amp;" ("&amp;Tabela_tudo[[#This Row],[Obs]]&amp;")"</f>
        <v>ISE ()</v>
      </c>
    </row>
    <row r="1622" spans="1:14" x14ac:dyDescent="0.3">
      <c r="A1622" s="1">
        <v>45422</v>
      </c>
      <c r="B1622" t="s">
        <v>249</v>
      </c>
      <c r="C1622" t="s">
        <v>455</v>
      </c>
      <c r="D1622" s="8"/>
      <c r="E1622" s="8"/>
      <c r="L1622" t="s">
        <v>563</v>
      </c>
      <c r="M1622" t="s">
        <v>478</v>
      </c>
      <c r="N1622" t="str">
        <f>Tabela_tudo[[#This Row],[Médico]]&amp;" ("&amp;Tabela_tudo[[#This Row],[Obs]]&amp;")"</f>
        <v>ISE ()</v>
      </c>
    </row>
    <row r="1623" spans="1:14" x14ac:dyDescent="0.3">
      <c r="A1623" s="1">
        <v>45443</v>
      </c>
      <c r="B1623" t="s">
        <v>249</v>
      </c>
      <c r="C1623" t="s">
        <v>455</v>
      </c>
      <c r="D1623" s="8"/>
      <c r="E1623" s="8"/>
      <c r="L1623" t="s">
        <v>563</v>
      </c>
      <c r="M1623" t="s">
        <v>478</v>
      </c>
      <c r="N1623" t="str">
        <f>Tabela_tudo[[#This Row],[Médico]]&amp;" ("&amp;Tabela_tudo[[#This Row],[Obs]]&amp;")"</f>
        <v>ISE ()</v>
      </c>
    </row>
    <row r="1624" spans="1:14" x14ac:dyDescent="0.3">
      <c r="A1624" s="1">
        <v>45436</v>
      </c>
      <c r="B1624" t="s">
        <v>249</v>
      </c>
      <c r="C1624" t="s">
        <v>455</v>
      </c>
      <c r="D1624" s="8"/>
      <c r="E1624" s="8"/>
      <c r="L1624" t="s">
        <v>563</v>
      </c>
      <c r="M1624" t="s">
        <v>478</v>
      </c>
      <c r="N1624" t="str">
        <f>Tabela_tudo[[#This Row],[Médico]]&amp;" ("&amp;Tabela_tudo[[#This Row],[Obs]]&amp;")"</f>
        <v>ISE ()</v>
      </c>
    </row>
    <row r="1625" spans="1:14" x14ac:dyDescent="0.3">
      <c r="A1625" s="1">
        <v>45429</v>
      </c>
      <c r="B1625" t="s">
        <v>249</v>
      </c>
      <c r="C1625" t="s">
        <v>455</v>
      </c>
      <c r="D1625" s="8"/>
      <c r="E1625" s="8"/>
      <c r="L1625" t="s">
        <v>563</v>
      </c>
      <c r="M1625" t="s">
        <v>478</v>
      </c>
      <c r="N1625" t="str">
        <f>Tabela_tudo[[#This Row],[Médico]]&amp;" ("&amp;Tabela_tudo[[#This Row],[Obs]]&amp;")"</f>
        <v>ISE ()</v>
      </c>
    </row>
    <row r="1626" spans="1:14" x14ac:dyDescent="0.3">
      <c r="A1626" s="1">
        <v>45366</v>
      </c>
      <c r="B1626" t="s">
        <v>249</v>
      </c>
      <c r="C1626" t="s">
        <v>455</v>
      </c>
      <c r="D1626" s="8"/>
      <c r="E1626" s="8"/>
      <c r="L1626" t="s">
        <v>563</v>
      </c>
      <c r="M1626" t="s">
        <v>478</v>
      </c>
      <c r="N1626" t="str">
        <f>Tabela_tudo[[#This Row],[Médico]]&amp;" ("&amp;Tabela_tudo[[#This Row],[Obs]]&amp;")"</f>
        <v>ISE ()</v>
      </c>
    </row>
    <row r="1627" spans="1:14" x14ac:dyDescent="0.3">
      <c r="A1627" s="1">
        <v>45359</v>
      </c>
      <c r="B1627" t="s">
        <v>249</v>
      </c>
      <c r="C1627" t="s">
        <v>455</v>
      </c>
      <c r="D1627" s="8"/>
      <c r="E1627" s="8"/>
      <c r="L1627" t="s">
        <v>563</v>
      </c>
      <c r="M1627" t="s">
        <v>478</v>
      </c>
      <c r="N1627" t="str">
        <f>Tabela_tudo[[#This Row],[Médico]]&amp;" ("&amp;Tabela_tudo[[#This Row],[Obs]]&amp;")"</f>
        <v>ISE ()</v>
      </c>
    </row>
    <row r="1628" spans="1:14" x14ac:dyDescent="0.3">
      <c r="A1628" s="1">
        <v>45352</v>
      </c>
      <c r="B1628" t="s">
        <v>249</v>
      </c>
      <c r="C1628" t="s">
        <v>455</v>
      </c>
      <c r="D1628" s="8"/>
      <c r="E1628" s="8"/>
      <c r="L1628" t="s">
        <v>563</v>
      </c>
      <c r="M1628" t="s">
        <v>478</v>
      </c>
      <c r="N1628" t="str">
        <f>Tabela_tudo[[#This Row],[Médico]]&amp;" ("&amp;Tabela_tudo[[#This Row],[Obs]]&amp;")"</f>
        <v>ISE ()</v>
      </c>
    </row>
    <row r="1629" spans="1:14" x14ac:dyDescent="0.3">
      <c r="A1629" s="1">
        <v>45373</v>
      </c>
      <c r="B1629" t="s">
        <v>249</v>
      </c>
      <c r="C1629" t="s">
        <v>455</v>
      </c>
      <c r="D1629" s="8"/>
      <c r="E1629" s="8"/>
      <c r="L1629" t="s">
        <v>563</v>
      </c>
      <c r="M1629" t="s">
        <v>478</v>
      </c>
      <c r="N1629" t="str">
        <f>Tabela_tudo[[#This Row],[Médico]]&amp;" ("&amp;Tabela_tudo[[#This Row],[Obs]]&amp;")"</f>
        <v>ISE ()</v>
      </c>
    </row>
    <row r="1630" spans="1:14" x14ac:dyDescent="0.3">
      <c r="A1630" s="1">
        <v>45394</v>
      </c>
      <c r="B1630" t="s">
        <v>249</v>
      </c>
      <c r="C1630" t="s">
        <v>455</v>
      </c>
      <c r="D1630" s="8"/>
      <c r="E1630" s="8"/>
      <c r="L1630" t="s">
        <v>563</v>
      </c>
      <c r="M1630" t="s">
        <v>478</v>
      </c>
      <c r="N1630" t="str">
        <f>Tabela_tudo[[#This Row],[Médico]]&amp;" ("&amp;Tabela_tudo[[#This Row],[Obs]]&amp;")"</f>
        <v>ISE ()</v>
      </c>
    </row>
    <row r="1631" spans="1:14" x14ac:dyDescent="0.3">
      <c r="A1631" s="1">
        <v>45387</v>
      </c>
      <c r="B1631" t="s">
        <v>249</v>
      </c>
      <c r="C1631" t="s">
        <v>455</v>
      </c>
      <c r="D1631" s="8"/>
      <c r="E1631" s="8"/>
      <c r="L1631" t="s">
        <v>563</v>
      </c>
      <c r="M1631" t="s">
        <v>478</v>
      </c>
      <c r="N1631" t="str">
        <f>Tabela_tudo[[#This Row],[Médico]]&amp;" ("&amp;Tabela_tudo[[#This Row],[Obs]]&amp;")"</f>
        <v>ISE ()</v>
      </c>
    </row>
    <row r="1632" spans="1:14" x14ac:dyDescent="0.3">
      <c r="A1632" s="1">
        <v>45380</v>
      </c>
      <c r="B1632" t="s">
        <v>249</v>
      </c>
      <c r="C1632" t="s">
        <v>455</v>
      </c>
      <c r="D1632" s="8"/>
      <c r="E1632" s="8"/>
      <c r="L1632" t="s">
        <v>563</v>
      </c>
      <c r="M1632" t="s">
        <v>478</v>
      </c>
      <c r="N1632" t="str">
        <f>Tabela_tudo[[#This Row],[Médico]]&amp;" ("&amp;Tabela_tudo[[#This Row],[Obs]]&amp;")"</f>
        <v>ISE ()</v>
      </c>
    </row>
    <row r="1633" spans="1:14" x14ac:dyDescent="0.3">
      <c r="A1633" s="1">
        <v>45547</v>
      </c>
      <c r="B1633" t="s">
        <v>249</v>
      </c>
      <c r="C1633" t="s">
        <v>460</v>
      </c>
      <c r="D1633" s="8">
        <v>0.29166666666666669</v>
      </c>
      <c r="E1633" s="8">
        <v>0.5625</v>
      </c>
      <c r="L1633" t="s">
        <v>563</v>
      </c>
      <c r="M1633" t="s">
        <v>478</v>
      </c>
      <c r="N1633" t="str">
        <f>Tabela_tudo[[#This Row],[Médico]]&amp;" ("&amp;Tabela_tudo[[#This Row],[Obs]]&amp;")"</f>
        <v>ISE ()</v>
      </c>
    </row>
    <row r="1634" spans="1:14" x14ac:dyDescent="0.3">
      <c r="A1634" s="1">
        <v>44987</v>
      </c>
      <c r="B1634" t="s">
        <v>249</v>
      </c>
      <c r="C1634" t="s">
        <v>460</v>
      </c>
      <c r="D1634" s="8">
        <v>0.29166666666666669</v>
      </c>
      <c r="E1634" s="8">
        <v>0.5625</v>
      </c>
      <c r="L1634" t="s">
        <v>563</v>
      </c>
      <c r="M1634" t="s">
        <v>478</v>
      </c>
      <c r="N1634" t="str">
        <f>Tabela_tudo[[#This Row],[Médico]]&amp;" ("&amp;Tabela_tudo[[#This Row],[Obs]]&amp;")"</f>
        <v>ISE ()</v>
      </c>
    </row>
    <row r="1635" spans="1:14" x14ac:dyDescent="0.3">
      <c r="A1635" s="1">
        <v>44980</v>
      </c>
      <c r="B1635" t="s">
        <v>249</v>
      </c>
      <c r="C1635" t="s">
        <v>460</v>
      </c>
      <c r="D1635" s="8">
        <v>0.29166666666666669</v>
      </c>
      <c r="E1635" s="8">
        <v>0.5625</v>
      </c>
      <c r="L1635" t="s">
        <v>563</v>
      </c>
      <c r="M1635" t="s">
        <v>478</v>
      </c>
      <c r="N1635" t="str">
        <f>Tabela_tudo[[#This Row],[Médico]]&amp;" ("&amp;Tabela_tudo[[#This Row],[Obs]]&amp;")"</f>
        <v>ISE ()</v>
      </c>
    </row>
    <row r="1636" spans="1:14" x14ac:dyDescent="0.3">
      <c r="A1636" s="1">
        <v>44973</v>
      </c>
      <c r="B1636" t="s">
        <v>249</v>
      </c>
      <c r="C1636" t="s">
        <v>460</v>
      </c>
      <c r="D1636" s="8">
        <v>0.29166666666666669</v>
      </c>
      <c r="E1636" s="8">
        <v>0.5625</v>
      </c>
      <c r="L1636" t="s">
        <v>563</v>
      </c>
      <c r="M1636" t="s">
        <v>478</v>
      </c>
      <c r="N1636" t="str">
        <f>Tabela_tudo[[#This Row],[Médico]]&amp;" ("&amp;Tabela_tudo[[#This Row],[Obs]]&amp;")"</f>
        <v>ISE ()</v>
      </c>
    </row>
    <row r="1637" spans="1:14" x14ac:dyDescent="0.3">
      <c r="A1637" s="1">
        <v>44994</v>
      </c>
      <c r="B1637" t="s">
        <v>249</v>
      </c>
      <c r="C1637" t="s">
        <v>460</v>
      </c>
      <c r="D1637" s="8">
        <v>0.29166666666666669</v>
      </c>
      <c r="E1637" s="8">
        <v>0.5625</v>
      </c>
      <c r="L1637" t="s">
        <v>563</v>
      </c>
      <c r="M1637" t="s">
        <v>478</v>
      </c>
      <c r="N1637" t="str">
        <f>Tabela_tudo[[#This Row],[Médico]]&amp;" ("&amp;Tabela_tudo[[#This Row],[Obs]]&amp;")"</f>
        <v>ISE ()</v>
      </c>
    </row>
    <row r="1638" spans="1:14" x14ac:dyDescent="0.3">
      <c r="A1638" s="1">
        <v>45015</v>
      </c>
      <c r="B1638" t="s">
        <v>249</v>
      </c>
      <c r="C1638" t="s">
        <v>460</v>
      </c>
      <c r="D1638" s="8">
        <v>0.29166666666666669</v>
      </c>
      <c r="E1638" s="8">
        <v>0.5625</v>
      </c>
      <c r="L1638" t="s">
        <v>563</v>
      </c>
      <c r="M1638" t="s">
        <v>478</v>
      </c>
      <c r="N1638" t="str">
        <f>Tabela_tudo[[#This Row],[Médico]]&amp;" ("&amp;Tabela_tudo[[#This Row],[Obs]]&amp;")"</f>
        <v>ISE ()</v>
      </c>
    </row>
    <row r="1639" spans="1:14" x14ac:dyDescent="0.3">
      <c r="A1639" s="1">
        <v>45008</v>
      </c>
      <c r="B1639" t="s">
        <v>249</v>
      </c>
      <c r="C1639" t="s">
        <v>460</v>
      </c>
      <c r="D1639" s="8">
        <v>0.29166666666666669</v>
      </c>
      <c r="E1639" s="8">
        <v>0.5625</v>
      </c>
      <c r="L1639" t="s">
        <v>563</v>
      </c>
      <c r="M1639" t="s">
        <v>478</v>
      </c>
      <c r="N1639" t="str">
        <f>Tabela_tudo[[#This Row],[Médico]]&amp;" ("&amp;Tabela_tudo[[#This Row],[Obs]]&amp;")"</f>
        <v>ISE ()</v>
      </c>
    </row>
    <row r="1640" spans="1:14" x14ac:dyDescent="0.3">
      <c r="A1640" s="1">
        <v>45001</v>
      </c>
      <c r="B1640" t="s">
        <v>249</v>
      </c>
      <c r="C1640" t="s">
        <v>460</v>
      </c>
      <c r="D1640" s="8">
        <v>0.29166666666666669</v>
      </c>
      <c r="E1640" s="8">
        <v>0.5625</v>
      </c>
      <c r="L1640" t="s">
        <v>563</v>
      </c>
      <c r="M1640" t="s">
        <v>478</v>
      </c>
      <c r="N1640" t="str">
        <f>Tabela_tudo[[#This Row],[Médico]]&amp;" ("&amp;Tabela_tudo[[#This Row],[Obs]]&amp;")"</f>
        <v>ISE ()</v>
      </c>
    </row>
    <row r="1641" spans="1:14" x14ac:dyDescent="0.3">
      <c r="A1641" s="1">
        <v>44938</v>
      </c>
      <c r="B1641" t="s">
        <v>249</v>
      </c>
      <c r="C1641" t="s">
        <v>460</v>
      </c>
      <c r="D1641" s="8">
        <v>0.29166666666666669</v>
      </c>
      <c r="E1641" s="8">
        <v>0.5625</v>
      </c>
      <c r="L1641" t="s">
        <v>563</v>
      </c>
      <c r="M1641" t="s">
        <v>478</v>
      </c>
      <c r="N1641" t="str">
        <f>Tabela_tudo[[#This Row],[Médico]]&amp;" ("&amp;Tabela_tudo[[#This Row],[Obs]]&amp;")"</f>
        <v>ISE ()</v>
      </c>
    </row>
    <row r="1642" spans="1:14" x14ac:dyDescent="0.3">
      <c r="A1642" s="1">
        <v>44931</v>
      </c>
      <c r="B1642" t="s">
        <v>249</v>
      </c>
      <c r="C1642" t="s">
        <v>460</v>
      </c>
      <c r="D1642" s="8">
        <v>0.29166666666666669</v>
      </c>
      <c r="E1642" s="8">
        <v>0.5625</v>
      </c>
      <c r="L1642" t="s">
        <v>563</v>
      </c>
      <c r="M1642" t="s">
        <v>478</v>
      </c>
      <c r="N1642" t="str">
        <f>Tabela_tudo[[#This Row],[Médico]]&amp;" ("&amp;Tabela_tudo[[#This Row],[Obs]]&amp;")"</f>
        <v>ISE ()</v>
      </c>
    </row>
    <row r="1643" spans="1:14" x14ac:dyDescent="0.3">
      <c r="A1643" s="1">
        <v>45649</v>
      </c>
      <c r="B1643" t="s">
        <v>249</v>
      </c>
      <c r="C1643" t="s">
        <v>460</v>
      </c>
      <c r="D1643" s="8">
        <v>0.29166666666666669</v>
      </c>
      <c r="E1643" s="8">
        <v>0.5625</v>
      </c>
      <c r="L1643" t="s">
        <v>563</v>
      </c>
      <c r="M1643" t="s">
        <v>478</v>
      </c>
      <c r="N1643" t="str">
        <f>Tabela_tudo[[#This Row],[Médico]]&amp;" ("&amp;Tabela_tudo[[#This Row],[Obs]]&amp;")"</f>
        <v>ISE ()</v>
      </c>
    </row>
    <row r="1644" spans="1:14" x14ac:dyDescent="0.3">
      <c r="A1644" s="1">
        <v>44945</v>
      </c>
      <c r="B1644" t="s">
        <v>249</v>
      </c>
      <c r="C1644" t="s">
        <v>460</v>
      </c>
      <c r="D1644" s="8">
        <v>0.29166666666666669</v>
      </c>
      <c r="E1644" s="8">
        <v>0.5625</v>
      </c>
      <c r="L1644" t="s">
        <v>563</v>
      </c>
      <c r="M1644" t="s">
        <v>478</v>
      </c>
      <c r="N1644" t="str">
        <f>Tabela_tudo[[#This Row],[Médico]]&amp;" ("&amp;Tabela_tudo[[#This Row],[Obs]]&amp;")"</f>
        <v>ISE ()</v>
      </c>
    </row>
    <row r="1645" spans="1:14" x14ac:dyDescent="0.3">
      <c r="A1645" s="1">
        <v>44966</v>
      </c>
      <c r="B1645" t="s">
        <v>249</v>
      </c>
      <c r="C1645" t="s">
        <v>460</v>
      </c>
      <c r="D1645" s="8">
        <v>0.29166666666666669</v>
      </c>
      <c r="E1645" s="8">
        <v>0.5625</v>
      </c>
      <c r="L1645" t="s">
        <v>563</v>
      </c>
      <c r="M1645" t="s">
        <v>478</v>
      </c>
      <c r="N1645" t="str">
        <f>Tabela_tudo[[#This Row],[Médico]]&amp;" ("&amp;Tabela_tudo[[#This Row],[Obs]]&amp;")"</f>
        <v>ISE ()</v>
      </c>
    </row>
    <row r="1646" spans="1:14" x14ac:dyDescent="0.3">
      <c r="A1646" s="1">
        <v>44959</v>
      </c>
      <c r="B1646" t="s">
        <v>249</v>
      </c>
      <c r="C1646" t="s">
        <v>460</v>
      </c>
      <c r="D1646" s="8">
        <v>0.29166666666666669</v>
      </c>
      <c r="E1646" s="8">
        <v>0.5625</v>
      </c>
      <c r="L1646" t="s">
        <v>563</v>
      </c>
      <c r="M1646" t="s">
        <v>478</v>
      </c>
      <c r="N1646" t="str">
        <f>Tabela_tudo[[#This Row],[Médico]]&amp;" ("&amp;Tabela_tudo[[#This Row],[Obs]]&amp;")"</f>
        <v>ISE ()</v>
      </c>
    </row>
    <row r="1647" spans="1:14" x14ac:dyDescent="0.3">
      <c r="A1647" s="1">
        <v>44952</v>
      </c>
      <c r="B1647" t="s">
        <v>249</v>
      </c>
      <c r="C1647" t="s">
        <v>460</v>
      </c>
      <c r="D1647" s="8">
        <v>0.29166666666666669</v>
      </c>
      <c r="E1647" s="8">
        <v>0.5625</v>
      </c>
      <c r="L1647" t="s">
        <v>563</v>
      </c>
      <c r="M1647" t="s">
        <v>478</v>
      </c>
      <c r="N1647" t="str">
        <f>Tabela_tudo[[#This Row],[Médico]]&amp;" ("&amp;Tabela_tudo[[#This Row],[Obs]]&amp;")"</f>
        <v>ISE ()</v>
      </c>
    </row>
    <row r="1648" spans="1:14" x14ac:dyDescent="0.3">
      <c r="A1648" s="1">
        <v>45022</v>
      </c>
      <c r="B1648" t="s">
        <v>249</v>
      </c>
      <c r="C1648" t="s">
        <v>460</v>
      </c>
      <c r="D1648" s="8">
        <v>0.29166666666666669</v>
      </c>
      <c r="E1648" s="8">
        <v>0.5625</v>
      </c>
      <c r="L1648" t="s">
        <v>563</v>
      </c>
      <c r="M1648" t="s">
        <v>478</v>
      </c>
      <c r="N1648" t="str">
        <f>Tabela_tudo[[#This Row],[Médico]]&amp;" ("&amp;Tabela_tudo[[#This Row],[Obs]]&amp;")"</f>
        <v>ISE ()</v>
      </c>
    </row>
    <row r="1649" spans="1:14" x14ac:dyDescent="0.3">
      <c r="A1649" s="1">
        <v>45092</v>
      </c>
      <c r="B1649" t="s">
        <v>249</v>
      </c>
      <c r="C1649" t="s">
        <v>460</v>
      </c>
      <c r="D1649" s="8">
        <v>0.29166666666666669</v>
      </c>
      <c r="E1649" s="8">
        <v>0.5625</v>
      </c>
      <c r="L1649" t="s">
        <v>563</v>
      </c>
      <c r="M1649" t="s">
        <v>478</v>
      </c>
      <c r="N1649" t="str">
        <f>Tabela_tudo[[#This Row],[Médico]]&amp;" ("&amp;Tabela_tudo[[#This Row],[Obs]]&amp;")"</f>
        <v>ISE ()</v>
      </c>
    </row>
    <row r="1650" spans="1:14" x14ac:dyDescent="0.3">
      <c r="A1650" s="1">
        <v>45085</v>
      </c>
      <c r="B1650" t="s">
        <v>249</v>
      </c>
      <c r="C1650" t="s">
        <v>460</v>
      </c>
      <c r="D1650" s="8">
        <v>0.29166666666666669</v>
      </c>
      <c r="E1650" s="8">
        <v>0.5625</v>
      </c>
      <c r="L1650" t="s">
        <v>563</v>
      </c>
      <c r="M1650" t="s">
        <v>478</v>
      </c>
      <c r="N1650" t="str">
        <f>Tabela_tudo[[#This Row],[Médico]]&amp;" ("&amp;Tabela_tudo[[#This Row],[Obs]]&amp;")"</f>
        <v>ISE ()</v>
      </c>
    </row>
    <row r="1651" spans="1:14" x14ac:dyDescent="0.3">
      <c r="A1651" s="1">
        <v>45078</v>
      </c>
      <c r="B1651" t="s">
        <v>249</v>
      </c>
      <c r="C1651" t="s">
        <v>460</v>
      </c>
      <c r="D1651" s="8">
        <v>0.29166666666666669</v>
      </c>
      <c r="E1651" s="8">
        <v>0.5625</v>
      </c>
      <c r="L1651" t="s">
        <v>563</v>
      </c>
      <c r="M1651" t="s">
        <v>478</v>
      </c>
      <c r="N1651" t="str">
        <f>Tabela_tudo[[#This Row],[Médico]]&amp;" ("&amp;Tabela_tudo[[#This Row],[Obs]]&amp;")"</f>
        <v>ISE ()</v>
      </c>
    </row>
    <row r="1652" spans="1:14" x14ac:dyDescent="0.3">
      <c r="A1652" s="1">
        <v>45099</v>
      </c>
      <c r="B1652" t="s">
        <v>249</v>
      </c>
      <c r="C1652" t="s">
        <v>460</v>
      </c>
      <c r="D1652" s="8">
        <v>0.29166666666666669</v>
      </c>
      <c r="E1652" s="8">
        <v>0.5625</v>
      </c>
      <c r="L1652" t="s">
        <v>563</v>
      </c>
      <c r="M1652" t="s">
        <v>478</v>
      </c>
      <c r="N1652" t="str">
        <f>Tabela_tudo[[#This Row],[Médico]]&amp;" ("&amp;Tabela_tudo[[#This Row],[Obs]]&amp;")"</f>
        <v>ISE ()</v>
      </c>
    </row>
    <row r="1653" spans="1:14" x14ac:dyDescent="0.3">
      <c r="A1653" s="1">
        <v>45120</v>
      </c>
      <c r="B1653" t="s">
        <v>249</v>
      </c>
      <c r="C1653" t="s">
        <v>460</v>
      </c>
      <c r="D1653" s="8">
        <v>0.29166666666666669</v>
      </c>
      <c r="E1653" s="8">
        <v>0.5625</v>
      </c>
      <c r="L1653" t="s">
        <v>563</v>
      </c>
      <c r="M1653" t="s">
        <v>478</v>
      </c>
      <c r="N1653" t="str">
        <f>Tabela_tudo[[#This Row],[Médico]]&amp;" ("&amp;Tabela_tudo[[#This Row],[Obs]]&amp;")"</f>
        <v>ISE ()</v>
      </c>
    </row>
    <row r="1654" spans="1:14" x14ac:dyDescent="0.3">
      <c r="A1654" s="1">
        <v>45113</v>
      </c>
      <c r="B1654" t="s">
        <v>249</v>
      </c>
      <c r="C1654" t="s">
        <v>460</v>
      </c>
      <c r="D1654" s="8">
        <v>0.29166666666666669</v>
      </c>
      <c r="E1654" s="8">
        <v>0.5625</v>
      </c>
      <c r="L1654" t="s">
        <v>563</v>
      </c>
      <c r="M1654" t="s">
        <v>478</v>
      </c>
      <c r="N1654" t="str">
        <f>Tabela_tudo[[#This Row],[Médico]]&amp;" ("&amp;Tabela_tudo[[#This Row],[Obs]]&amp;")"</f>
        <v>ISE ()</v>
      </c>
    </row>
    <row r="1655" spans="1:14" x14ac:dyDescent="0.3">
      <c r="A1655" s="1">
        <v>45106</v>
      </c>
      <c r="B1655" t="s">
        <v>249</v>
      </c>
      <c r="C1655" t="s">
        <v>460</v>
      </c>
      <c r="D1655" s="8">
        <v>0.29166666666666669</v>
      </c>
      <c r="E1655" s="8">
        <v>0.5625</v>
      </c>
      <c r="L1655" t="s">
        <v>563</v>
      </c>
      <c r="M1655" t="s">
        <v>478</v>
      </c>
      <c r="N1655" t="str">
        <f>Tabela_tudo[[#This Row],[Médico]]&amp;" ("&amp;Tabela_tudo[[#This Row],[Obs]]&amp;")"</f>
        <v>ISE ()</v>
      </c>
    </row>
    <row r="1656" spans="1:14" x14ac:dyDescent="0.3">
      <c r="A1656" s="1">
        <v>45043</v>
      </c>
      <c r="B1656" t="s">
        <v>249</v>
      </c>
      <c r="C1656" t="s">
        <v>460</v>
      </c>
      <c r="D1656" s="8">
        <v>0.29166666666666669</v>
      </c>
      <c r="E1656" s="8">
        <v>0.5625</v>
      </c>
      <c r="L1656" t="s">
        <v>563</v>
      </c>
      <c r="M1656" t="s">
        <v>478</v>
      </c>
      <c r="N1656" t="str">
        <f>Tabela_tudo[[#This Row],[Médico]]&amp;" ("&amp;Tabela_tudo[[#This Row],[Obs]]&amp;")"</f>
        <v>ISE ()</v>
      </c>
    </row>
    <row r="1657" spans="1:14" x14ac:dyDescent="0.3">
      <c r="A1657" s="1">
        <v>45036</v>
      </c>
      <c r="B1657" t="s">
        <v>249</v>
      </c>
      <c r="C1657" t="s">
        <v>460</v>
      </c>
      <c r="D1657" s="8">
        <v>0.29166666666666669</v>
      </c>
      <c r="E1657" s="8">
        <v>0.5625</v>
      </c>
      <c r="L1657" t="s">
        <v>563</v>
      </c>
      <c r="M1657" t="s">
        <v>478</v>
      </c>
      <c r="N1657" t="str">
        <f>Tabela_tudo[[#This Row],[Médico]]&amp;" ("&amp;Tabela_tudo[[#This Row],[Obs]]&amp;")"</f>
        <v>ISE ()</v>
      </c>
    </row>
    <row r="1658" spans="1:14" x14ac:dyDescent="0.3">
      <c r="A1658" s="1">
        <v>45029</v>
      </c>
      <c r="B1658" t="s">
        <v>249</v>
      </c>
      <c r="C1658" t="s">
        <v>460</v>
      </c>
      <c r="D1658" s="8">
        <v>0.29166666666666669</v>
      </c>
      <c r="E1658" s="8">
        <v>0.5625</v>
      </c>
      <c r="L1658" t="s">
        <v>563</v>
      </c>
      <c r="M1658" t="s">
        <v>478</v>
      </c>
      <c r="N1658" t="str">
        <f>Tabela_tudo[[#This Row],[Médico]]&amp;" ("&amp;Tabela_tudo[[#This Row],[Obs]]&amp;")"</f>
        <v>ISE ()</v>
      </c>
    </row>
    <row r="1659" spans="1:14" x14ac:dyDescent="0.3">
      <c r="A1659" s="1">
        <v>45050</v>
      </c>
      <c r="B1659" t="s">
        <v>249</v>
      </c>
      <c r="C1659" t="s">
        <v>460</v>
      </c>
      <c r="D1659" s="8">
        <v>0.29166666666666669</v>
      </c>
      <c r="E1659" s="8">
        <v>0.5625</v>
      </c>
      <c r="L1659" t="s">
        <v>563</v>
      </c>
      <c r="M1659" t="s">
        <v>478</v>
      </c>
      <c r="N1659" t="str">
        <f>Tabela_tudo[[#This Row],[Médico]]&amp;" ("&amp;Tabela_tudo[[#This Row],[Obs]]&amp;")"</f>
        <v>ISE ()</v>
      </c>
    </row>
    <row r="1660" spans="1:14" x14ac:dyDescent="0.3">
      <c r="A1660" s="1">
        <v>45071</v>
      </c>
      <c r="B1660" t="s">
        <v>249</v>
      </c>
      <c r="C1660" t="s">
        <v>460</v>
      </c>
      <c r="D1660" s="8">
        <v>0.29166666666666669</v>
      </c>
      <c r="E1660" s="8">
        <v>0.5625</v>
      </c>
      <c r="L1660" t="s">
        <v>563</v>
      </c>
      <c r="M1660" t="s">
        <v>478</v>
      </c>
      <c r="N1660" t="str">
        <f>Tabela_tudo[[#This Row],[Médico]]&amp;" ("&amp;Tabela_tudo[[#This Row],[Obs]]&amp;")"</f>
        <v>ISE ()</v>
      </c>
    </row>
    <row r="1661" spans="1:14" x14ac:dyDescent="0.3">
      <c r="A1661" s="1">
        <v>45064</v>
      </c>
      <c r="B1661" t="s">
        <v>249</v>
      </c>
      <c r="C1661" t="s">
        <v>460</v>
      </c>
      <c r="D1661" s="8">
        <v>0.29166666666666669</v>
      </c>
      <c r="E1661" s="8">
        <v>0.5625</v>
      </c>
      <c r="L1661" t="s">
        <v>563</v>
      </c>
      <c r="M1661" t="s">
        <v>478</v>
      </c>
      <c r="N1661" t="str">
        <f>Tabela_tudo[[#This Row],[Médico]]&amp;" ("&amp;Tabela_tudo[[#This Row],[Obs]]&amp;")"</f>
        <v>ISE ()</v>
      </c>
    </row>
    <row r="1662" spans="1:14" x14ac:dyDescent="0.3">
      <c r="A1662" s="1">
        <v>45057</v>
      </c>
      <c r="B1662" t="s">
        <v>249</v>
      </c>
      <c r="C1662" t="s">
        <v>460</v>
      </c>
      <c r="D1662" s="8">
        <v>0.29166666666666669</v>
      </c>
      <c r="E1662" s="8">
        <v>0.5625</v>
      </c>
      <c r="L1662" t="s">
        <v>563</v>
      </c>
      <c r="M1662" t="s">
        <v>478</v>
      </c>
      <c r="N1662" t="str">
        <f>Tabela_tudo[[#This Row],[Médico]]&amp;" ("&amp;Tabela_tudo[[#This Row],[Obs]]&amp;")"</f>
        <v>ISE ()</v>
      </c>
    </row>
    <row r="1663" spans="1:14" x14ac:dyDescent="0.3">
      <c r="A1663" s="1">
        <v>45642</v>
      </c>
      <c r="B1663" t="s">
        <v>249</v>
      </c>
      <c r="C1663" t="s">
        <v>460</v>
      </c>
      <c r="D1663" s="8">
        <v>0.29166666666666669</v>
      </c>
      <c r="E1663" s="8">
        <v>0.5625</v>
      </c>
      <c r="L1663" t="s">
        <v>563</v>
      </c>
      <c r="M1663" t="s">
        <v>478</v>
      </c>
      <c r="N1663" t="str">
        <f>Tabela_tudo[[#This Row],[Médico]]&amp;" ("&amp;Tabela_tudo[[#This Row],[Obs]]&amp;")"</f>
        <v>ISE ()</v>
      </c>
    </row>
    <row r="1664" spans="1:14" x14ac:dyDescent="0.3">
      <c r="A1664" s="1">
        <v>45502</v>
      </c>
      <c r="B1664" t="s">
        <v>249</v>
      </c>
      <c r="C1664" t="s">
        <v>460</v>
      </c>
      <c r="D1664" s="8">
        <v>0.29166666666666669</v>
      </c>
      <c r="E1664" s="8">
        <v>0.5625</v>
      </c>
      <c r="L1664" t="s">
        <v>563</v>
      </c>
      <c r="M1664" t="s">
        <v>478</v>
      </c>
      <c r="N1664" t="str">
        <f>Tabela_tudo[[#This Row],[Médico]]&amp;" ("&amp;Tabela_tudo[[#This Row],[Obs]]&amp;")"</f>
        <v>ISE ()</v>
      </c>
    </row>
    <row r="1665" spans="1:14" x14ac:dyDescent="0.3">
      <c r="A1665" s="1">
        <v>45495</v>
      </c>
      <c r="B1665" t="s">
        <v>249</v>
      </c>
      <c r="C1665" t="s">
        <v>460</v>
      </c>
      <c r="D1665" s="8">
        <v>0.29166666666666669</v>
      </c>
      <c r="E1665" s="8">
        <v>0.5625</v>
      </c>
      <c r="L1665" t="s">
        <v>563</v>
      </c>
      <c r="M1665" t="s">
        <v>478</v>
      </c>
      <c r="N1665" t="str">
        <f>Tabela_tudo[[#This Row],[Médico]]&amp;" ("&amp;Tabela_tudo[[#This Row],[Obs]]&amp;")"</f>
        <v>ISE ()</v>
      </c>
    </row>
    <row r="1666" spans="1:14" x14ac:dyDescent="0.3">
      <c r="A1666" s="1">
        <v>45488</v>
      </c>
      <c r="B1666" t="s">
        <v>249</v>
      </c>
      <c r="C1666" t="s">
        <v>460</v>
      </c>
      <c r="D1666" s="8">
        <v>0.29166666666666669</v>
      </c>
      <c r="E1666" s="8">
        <v>0.5625</v>
      </c>
      <c r="L1666" t="s">
        <v>563</v>
      </c>
      <c r="M1666" t="s">
        <v>478</v>
      </c>
      <c r="N1666" t="str">
        <f>Tabela_tudo[[#This Row],[Médico]]&amp;" ("&amp;Tabela_tudo[[#This Row],[Obs]]&amp;")"</f>
        <v>ISE ()</v>
      </c>
    </row>
    <row r="1667" spans="1:14" x14ac:dyDescent="0.3">
      <c r="A1667" s="1">
        <v>45509</v>
      </c>
      <c r="B1667" t="s">
        <v>249</v>
      </c>
      <c r="C1667" t="s">
        <v>460</v>
      </c>
      <c r="D1667" s="8">
        <v>0.29166666666666669</v>
      </c>
      <c r="E1667" s="8">
        <v>0.5625</v>
      </c>
      <c r="L1667" t="s">
        <v>563</v>
      </c>
      <c r="M1667" t="s">
        <v>478</v>
      </c>
      <c r="N1667" t="str">
        <f>Tabela_tudo[[#This Row],[Médico]]&amp;" ("&amp;Tabela_tudo[[#This Row],[Obs]]&amp;")"</f>
        <v>ISE ()</v>
      </c>
    </row>
    <row r="1668" spans="1:14" x14ac:dyDescent="0.3">
      <c r="A1668" s="1">
        <v>45530</v>
      </c>
      <c r="B1668" t="s">
        <v>249</v>
      </c>
      <c r="C1668" t="s">
        <v>460</v>
      </c>
      <c r="D1668" s="8">
        <v>0.29166666666666669</v>
      </c>
      <c r="E1668" s="8">
        <v>0.5625</v>
      </c>
      <c r="L1668" t="s">
        <v>563</v>
      </c>
      <c r="M1668" t="s">
        <v>478</v>
      </c>
      <c r="N1668" t="str">
        <f>Tabela_tudo[[#This Row],[Médico]]&amp;" ("&amp;Tabela_tudo[[#This Row],[Obs]]&amp;")"</f>
        <v>ISE ()</v>
      </c>
    </row>
    <row r="1669" spans="1:14" x14ac:dyDescent="0.3">
      <c r="A1669" s="1">
        <v>45523</v>
      </c>
      <c r="B1669" t="s">
        <v>249</v>
      </c>
      <c r="C1669" t="s">
        <v>460</v>
      </c>
      <c r="D1669" s="8">
        <v>0.29166666666666669</v>
      </c>
      <c r="E1669" s="8">
        <v>0.5625</v>
      </c>
      <c r="L1669" t="s">
        <v>563</v>
      </c>
      <c r="M1669" t="s">
        <v>478</v>
      </c>
      <c r="N1669" t="str">
        <f>Tabela_tudo[[#This Row],[Médico]]&amp;" ("&amp;Tabela_tudo[[#This Row],[Obs]]&amp;")"</f>
        <v>ISE ()</v>
      </c>
    </row>
    <row r="1670" spans="1:14" x14ac:dyDescent="0.3">
      <c r="A1670" s="1">
        <v>45516</v>
      </c>
      <c r="B1670" t="s">
        <v>249</v>
      </c>
      <c r="C1670" t="s">
        <v>460</v>
      </c>
      <c r="D1670" s="8">
        <v>0.29166666666666669</v>
      </c>
      <c r="E1670" s="8">
        <v>0.5625</v>
      </c>
      <c r="L1670" t="s">
        <v>563</v>
      </c>
      <c r="M1670" t="s">
        <v>478</v>
      </c>
      <c r="N1670" t="str">
        <f>Tabela_tudo[[#This Row],[Médico]]&amp;" ("&amp;Tabela_tudo[[#This Row],[Obs]]&amp;")"</f>
        <v>ISE ()</v>
      </c>
    </row>
    <row r="1671" spans="1:14" x14ac:dyDescent="0.3">
      <c r="A1671" s="1">
        <v>45453</v>
      </c>
      <c r="B1671" t="s">
        <v>249</v>
      </c>
      <c r="C1671" t="s">
        <v>460</v>
      </c>
      <c r="D1671" s="8">
        <v>0.29166666666666669</v>
      </c>
      <c r="E1671" s="8">
        <v>0.5625</v>
      </c>
      <c r="L1671" t="s">
        <v>563</v>
      </c>
      <c r="M1671" t="s">
        <v>478</v>
      </c>
      <c r="N1671" t="str">
        <f>Tabela_tudo[[#This Row],[Médico]]&amp;" ("&amp;Tabela_tudo[[#This Row],[Obs]]&amp;")"</f>
        <v>ISE ()</v>
      </c>
    </row>
    <row r="1672" spans="1:14" x14ac:dyDescent="0.3">
      <c r="A1672" s="1">
        <v>45446</v>
      </c>
      <c r="B1672" t="s">
        <v>249</v>
      </c>
      <c r="C1672" t="s">
        <v>460</v>
      </c>
      <c r="D1672" s="8">
        <v>0.29166666666666669</v>
      </c>
      <c r="E1672" s="8">
        <v>0.5625</v>
      </c>
      <c r="L1672" t="s">
        <v>563</v>
      </c>
      <c r="M1672" t="s">
        <v>478</v>
      </c>
      <c r="N1672" t="str">
        <f>Tabela_tudo[[#This Row],[Médico]]&amp;" ("&amp;Tabela_tudo[[#This Row],[Obs]]&amp;")"</f>
        <v>ISE ()</v>
      </c>
    </row>
    <row r="1673" spans="1:14" x14ac:dyDescent="0.3">
      <c r="A1673" s="1">
        <v>45439</v>
      </c>
      <c r="B1673" t="s">
        <v>249</v>
      </c>
      <c r="C1673" t="s">
        <v>460</v>
      </c>
      <c r="D1673" s="8">
        <v>0.29166666666666669</v>
      </c>
      <c r="E1673" s="8">
        <v>0.5625</v>
      </c>
      <c r="L1673" t="s">
        <v>563</v>
      </c>
      <c r="M1673" t="s">
        <v>478</v>
      </c>
      <c r="N1673" t="str">
        <f>Tabela_tudo[[#This Row],[Médico]]&amp;" ("&amp;Tabela_tudo[[#This Row],[Obs]]&amp;")"</f>
        <v>ISE ()</v>
      </c>
    </row>
    <row r="1674" spans="1:14" x14ac:dyDescent="0.3">
      <c r="A1674" s="1">
        <v>45460</v>
      </c>
      <c r="B1674" t="s">
        <v>249</v>
      </c>
      <c r="C1674" t="s">
        <v>460</v>
      </c>
      <c r="D1674" s="8">
        <v>0.29166666666666669</v>
      </c>
      <c r="E1674" s="8">
        <v>0.5625</v>
      </c>
      <c r="L1674" t="s">
        <v>563</v>
      </c>
      <c r="M1674" t="s">
        <v>478</v>
      </c>
      <c r="N1674" t="str">
        <f>Tabela_tudo[[#This Row],[Médico]]&amp;" ("&amp;Tabela_tudo[[#This Row],[Obs]]&amp;")"</f>
        <v>ISE ()</v>
      </c>
    </row>
    <row r="1675" spans="1:14" x14ac:dyDescent="0.3">
      <c r="A1675" s="1">
        <v>45481</v>
      </c>
      <c r="B1675" t="s">
        <v>249</v>
      </c>
      <c r="C1675" t="s">
        <v>460</v>
      </c>
      <c r="D1675" s="8">
        <v>0.29166666666666669</v>
      </c>
      <c r="E1675" s="8">
        <v>0.5625</v>
      </c>
      <c r="L1675" t="s">
        <v>563</v>
      </c>
      <c r="M1675" t="s">
        <v>478</v>
      </c>
      <c r="N1675" t="str">
        <f>Tabela_tudo[[#This Row],[Médico]]&amp;" ("&amp;Tabela_tudo[[#This Row],[Obs]]&amp;")"</f>
        <v>ISE ()</v>
      </c>
    </row>
    <row r="1676" spans="1:14" x14ac:dyDescent="0.3">
      <c r="A1676" s="1">
        <v>45474</v>
      </c>
      <c r="B1676" t="s">
        <v>249</v>
      </c>
      <c r="C1676" t="s">
        <v>460</v>
      </c>
      <c r="D1676" s="8">
        <v>0.29166666666666669</v>
      </c>
      <c r="E1676" s="8">
        <v>0.5625</v>
      </c>
      <c r="L1676" t="s">
        <v>563</v>
      </c>
      <c r="M1676" t="s">
        <v>478</v>
      </c>
      <c r="N1676" t="str">
        <f>Tabela_tudo[[#This Row],[Médico]]&amp;" ("&amp;Tabela_tudo[[#This Row],[Obs]]&amp;")"</f>
        <v>ISE ()</v>
      </c>
    </row>
    <row r="1677" spans="1:14" x14ac:dyDescent="0.3">
      <c r="A1677" s="1">
        <v>45467</v>
      </c>
      <c r="B1677" t="s">
        <v>249</v>
      </c>
      <c r="C1677" t="s">
        <v>460</v>
      </c>
      <c r="D1677" s="8">
        <v>0.29166666666666669</v>
      </c>
      <c r="E1677" s="8">
        <v>0.5625</v>
      </c>
      <c r="L1677" t="s">
        <v>563</v>
      </c>
      <c r="M1677" t="s">
        <v>478</v>
      </c>
      <c r="N1677" t="str">
        <f>Tabela_tudo[[#This Row],[Médico]]&amp;" ("&amp;Tabela_tudo[[#This Row],[Obs]]&amp;")"</f>
        <v>ISE ()</v>
      </c>
    </row>
    <row r="1678" spans="1:14" x14ac:dyDescent="0.3">
      <c r="A1678" s="1">
        <v>45537</v>
      </c>
      <c r="B1678" t="s">
        <v>249</v>
      </c>
      <c r="C1678" t="s">
        <v>460</v>
      </c>
      <c r="D1678" s="8">
        <v>0.29166666666666669</v>
      </c>
      <c r="E1678" s="8">
        <v>0.5625</v>
      </c>
      <c r="L1678" t="s">
        <v>563</v>
      </c>
      <c r="M1678" t="s">
        <v>478</v>
      </c>
      <c r="N1678" t="str">
        <f>Tabela_tudo[[#This Row],[Médico]]&amp;" ("&amp;Tabela_tudo[[#This Row],[Obs]]&amp;")"</f>
        <v>ISE ()</v>
      </c>
    </row>
    <row r="1679" spans="1:14" x14ac:dyDescent="0.3">
      <c r="A1679" s="1">
        <v>45607</v>
      </c>
      <c r="B1679" t="s">
        <v>249</v>
      </c>
      <c r="C1679" t="s">
        <v>460</v>
      </c>
      <c r="D1679" s="8">
        <v>0.29166666666666669</v>
      </c>
      <c r="E1679" s="8">
        <v>0.5625</v>
      </c>
      <c r="L1679" t="s">
        <v>563</v>
      </c>
      <c r="M1679" t="s">
        <v>478</v>
      </c>
      <c r="N1679" t="str">
        <f>Tabela_tudo[[#This Row],[Médico]]&amp;" ("&amp;Tabela_tudo[[#This Row],[Obs]]&amp;")"</f>
        <v>ISE ()</v>
      </c>
    </row>
    <row r="1680" spans="1:14" x14ac:dyDescent="0.3">
      <c r="A1680" s="1">
        <v>45600</v>
      </c>
      <c r="B1680" t="s">
        <v>249</v>
      </c>
      <c r="C1680" t="s">
        <v>460</v>
      </c>
      <c r="D1680" s="8">
        <v>0.29166666666666669</v>
      </c>
      <c r="E1680" s="8">
        <v>0.5625</v>
      </c>
      <c r="L1680" t="s">
        <v>563</v>
      </c>
      <c r="M1680" t="s">
        <v>478</v>
      </c>
      <c r="N1680" t="str">
        <f>Tabela_tudo[[#This Row],[Médico]]&amp;" ("&amp;Tabela_tudo[[#This Row],[Obs]]&amp;")"</f>
        <v>ISE ()</v>
      </c>
    </row>
    <row r="1681" spans="1:14" x14ac:dyDescent="0.3">
      <c r="A1681" s="1">
        <v>45593</v>
      </c>
      <c r="B1681" t="s">
        <v>249</v>
      </c>
      <c r="C1681" t="s">
        <v>460</v>
      </c>
      <c r="D1681" s="8">
        <v>0.29166666666666669</v>
      </c>
      <c r="E1681" s="8">
        <v>0.5625</v>
      </c>
      <c r="L1681" t="s">
        <v>563</v>
      </c>
      <c r="M1681" t="s">
        <v>478</v>
      </c>
      <c r="N1681" t="str">
        <f>Tabela_tudo[[#This Row],[Médico]]&amp;" ("&amp;Tabela_tudo[[#This Row],[Obs]]&amp;")"</f>
        <v>ISE ()</v>
      </c>
    </row>
    <row r="1682" spans="1:14" x14ac:dyDescent="0.3">
      <c r="A1682" s="1">
        <v>45614</v>
      </c>
      <c r="B1682" t="s">
        <v>249</v>
      </c>
      <c r="C1682" t="s">
        <v>460</v>
      </c>
      <c r="D1682" s="8">
        <v>0.29166666666666669</v>
      </c>
      <c r="E1682" s="8">
        <v>0.5625</v>
      </c>
      <c r="L1682" t="s">
        <v>563</v>
      </c>
      <c r="M1682" t="s">
        <v>478</v>
      </c>
      <c r="N1682" t="str">
        <f>Tabela_tudo[[#This Row],[Médico]]&amp;" ("&amp;Tabela_tudo[[#This Row],[Obs]]&amp;")"</f>
        <v>ISE ()</v>
      </c>
    </row>
    <row r="1683" spans="1:14" x14ac:dyDescent="0.3">
      <c r="A1683" s="1">
        <v>45635</v>
      </c>
      <c r="B1683" t="s">
        <v>249</v>
      </c>
      <c r="C1683" t="s">
        <v>460</v>
      </c>
      <c r="D1683" s="8">
        <v>0.29166666666666669</v>
      </c>
      <c r="E1683" s="8">
        <v>0.5625</v>
      </c>
      <c r="L1683" t="s">
        <v>563</v>
      </c>
      <c r="M1683" t="s">
        <v>478</v>
      </c>
      <c r="N1683" t="str">
        <f>Tabela_tudo[[#This Row],[Médico]]&amp;" ("&amp;Tabela_tudo[[#This Row],[Obs]]&amp;")"</f>
        <v>ISE ()</v>
      </c>
    </row>
    <row r="1684" spans="1:14" x14ac:dyDescent="0.3">
      <c r="A1684" s="1">
        <v>45628</v>
      </c>
      <c r="B1684" t="s">
        <v>249</v>
      </c>
      <c r="C1684" t="s">
        <v>460</v>
      </c>
      <c r="D1684" s="8">
        <v>0.29166666666666669</v>
      </c>
      <c r="E1684" s="8">
        <v>0.5625</v>
      </c>
      <c r="L1684" t="s">
        <v>563</v>
      </c>
      <c r="M1684" t="s">
        <v>478</v>
      </c>
      <c r="N1684" t="str">
        <f>Tabela_tudo[[#This Row],[Médico]]&amp;" ("&amp;Tabela_tudo[[#This Row],[Obs]]&amp;")"</f>
        <v>ISE ()</v>
      </c>
    </row>
    <row r="1685" spans="1:14" x14ac:dyDescent="0.3">
      <c r="A1685" s="1">
        <v>45621</v>
      </c>
      <c r="B1685" t="s">
        <v>249</v>
      </c>
      <c r="C1685" t="s">
        <v>460</v>
      </c>
      <c r="D1685" s="8">
        <v>0.29166666666666669</v>
      </c>
      <c r="E1685" s="8">
        <v>0.5625</v>
      </c>
      <c r="L1685" t="s">
        <v>563</v>
      </c>
      <c r="M1685" t="s">
        <v>478</v>
      </c>
      <c r="N1685" t="str">
        <f>Tabela_tudo[[#This Row],[Médico]]&amp;" ("&amp;Tabela_tudo[[#This Row],[Obs]]&amp;")"</f>
        <v>ISE ()</v>
      </c>
    </row>
    <row r="1686" spans="1:14" x14ac:dyDescent="0.3">
      <c r="A1686" s="1">
        <v>45558</v>
      </c>
      <c r="B1686" t="s">
        <v>249</v>
      </c>
      <c r="C1686" t="s">
        <v>460</v>
      </c>
      <c r="D1686" s="8">
        <v>0.29166666666666669</v>
      </c>
      <c r="E1686" s="8">
        <v>0.5625</v>
      </c>
      <c r="L1686" t="s">
        <v>563</v>
      </c>
      <c r="M1686" t="s">
        <v>478</v>
      </c>
      <c r="N1686" t="str">
        <f>Tabela_tudo[[#This Row],[Médico]]&amp;" ("&amp;Tabela_tudo[[#This Row],[Obs]]&amp;")"</f>
        <v>ISE ()</v>
      </c>
    </row>
    <row r="1687" spans="1:14" x14ac:dyDescent="0.3">
      <c r="A1687" s="1">
        <v>45551</v>
      </c>
      <c r="B1687" t="s">
        <v>249</v>
      </c>
      <c r="C1687" t="s">
        <v>460</v>
      </c>
      <c r="D1687" s="8">
        <v>0.29166666666666669</v>
      </c>
      <c r="E1687" s="8">
        <v>0.5625</v>
      </c>
      <c r="L1687" t="s">
        <v>563</v>
      </c>
      <c r="M1687" t="s">
        <v>478</v>
      </c>
      <c r="N1687" t="str">
        <f>Tabela_tudo[[#This Row],[Médico]]&amp;" ("&amp;Tabela_tudo[[#This Row],[Obs]]&amp;")"</f>
        <v>ISE ()</v>
      </c>
    </row>
    <row r="1688" spans="1:14" x14ac:dyDescent="0.3">
      <c r="A1688" s="1">
        <v>45544</v>
      </c>
      <c r="B1688" t="s">
        <v>249</v>
      </c>
      <c r="C1688" t="s">
        <v>460</v>
      </c>
      <c r="D1688" s="8">
        <v>0.29166666666666669</v>
      </c>
      <c r="E1688" s="8">
        <v>0.5625</v>
      </c>
      <c r="L1688" t="s">
        <v>563</v>
      </c>
      <c r="M1688" t="s">
        <v>478</v>
      </c>
      <c r="N1688" t="str">
        <f>Tabela_tudo[[#This Row],[Médico]]&amp;" ("&amp;Tabela_tudo[[#This Row],[Obs]]&amp;")"</f>
        <v>ISE ()</v>
      </c>
    </row>
    <row r="1689" spans="1:14" x14ac:dyDescent="0.3">
      <c r="A1689" s="1">
        <v>45565</v>
      </c>
      <c r="B1689" t="s">
        <v>249</v>
      </c>
      <c r="C1689" t="s">
        <v>460</v>
      </c>
      <c r="D1689" s="8">
        <v>0.29166666666666669</v>
      </c>
      <c r="E1689" s="8">
        <v>0.5625</v>
      </c>
      <c r="L1689" t="s">
        <v>563</v>
      </c>
      <c r="M1689" t="s">
        <v>478</v>
      </c>
      <c r="N1689" t="str">
        <f>Tabela_tudo[[#This Row],[Médico]]&amp;" ("&amp;Tabela_tudo[[#This Row],[Obs]]&amp;")"</f>
        <v>ISE ()</v>
      </c>
    </row>
    <row r="1690" spans="1:14" x14ac:dyDescent="0.3">
      <c r="A1690" s="1">
        <v>45586</v>
      </c>
      <c r="B1690" t="s">
        <v>249</v>
      </c>
      <c r="C1690" t="s">
        <v>460</v>
      </c>
      <c r="D1690" s="8">
        <v>0.29166666666666669</v>
      </c>
      <c r="E1690" s="8">
        <v>0.5625</v>
      </c>
      <c r="L1690" t="s">
        <v>563</v>
      </c>
      <c r="M1690" t="s">
        <v>478</v>
      </c>
      <c r="N1690" t="str">
        <f>Tabela_tudo[[#This Row],[Médico]]&amp;" ("&amp;Tabela_tudo[[#This Row],[Obs]]&amp;")"</f>
        <v>ISE ()</v>
      </c>
    </row>
    <row r="1691" spans="1:14" x14ac:dyDescent="0.3">
      <c r="A1691" s="1">
        <v>45579</v>
      </c>
      <c r="B1691" t="s">
        <v>249</v>
      </c>
      <c r="C1691" t="s">
        <v>460</v>
      </c>
      <c r="D1691" s="8">
        <v>0.29166666666666669</v>
      </c>
      <c r="E1691" s="8">
        <v>0.5625</v>
      </c>
      <c r="L1691" t="s">
        <v>563</v>
      </c>
      <c r="M1691" t="s">
        <v>478</v>
      </c>
      <c r="N1691" t="str">
        <f>Tabela_tudo[[#This Row],[Médico]]&amp;" ("&amp;Tabela_tudo[[#This Row],[Obs]]&amp;")"</f>
        <v>ISE ()</v>
      </c>
    </row>
    <row r="1692" spans="1:14" x14ac:dyDescent="0.3">
      <c r="A1692" s="1">
        <v>45572</v>
      </c>
      <c r="B1692" t="s">
        <v>249</v>
      </c>
      <c r="C1692" t="s">
        <v>460</v>
      </c>
      <c r="D1692" s="8">
        <v>0.29166666666666669</v>
      </c>
      <c r="E1692" s="8">
        <v>0.5625</v>
      </c>
      <c r="L1692" t="s">
        <v>563</v>
      </c>
      <c r="M1692" t="s">
        <v>478</v>
      </c>
      <c r="N1692" t="str">
        <f>Tabela_tudo[[#This Row],[Médico]]&amp;" ("&amp;Tabela_tudo[[#This Row],[Obs]]&amp;")"</f>
        <v>ISE ()</v>
      </c>
    </row>
    <row r="1693" spans="1:14" x14ac:dyDescent="0.3">
      <c r="A1693" s="1">
        <v>45127</v>
      </c>
      <c r="B1693" t="s">
        <v>249</v>
      </c>
      <c r="C1693" t="s">
        <v>460</v>
      </c>
      <c r="D1693" s="8">
        <v>0.29166666666666669</v>
      </c>
      <c r="E1693" s="8">
        <v>0.5625</v>
      </c>
      <c r="L1693" t="s">
        <v>563</v>
      </c>
      <c r="M1693" t="s">
        <v>478</v>
      </c>
      <c r="N1693" t="str">
        <f>Tabela_tudo[[#This Row],[Médico]]&amp;" ("&amp;Tabela_tudo[[#This Row],[Obs]]&amp;")"</f>
        <v>ISE ()</v>
      </c>
    </row>
    <row r="1694" spans="1:14" x14ac:dyDescent="0.3">
      <c r="A1694" s="1">
        <v>45407</v>
      </c>
      <c r="B1694" t="s">
        <v>249</v>
      </c>
      <c r="C1694" t="s">
        <v>460</v>
      </c>
      <c r="D1694" s="8">
        <v>0.29166666666666669</v>
      </c>
      <c r="E1694" s="8">
        <v>0.5625</v>
      </c>
      <c r="L1694" t="s">
        <v>563</v>
      </c>
      <c r="M1694" t="s">
        <v>478</v>
      </c>
      <c r="N1694" t="str">
        <f>Tabela_tudo[[#This Row],[Médico]]&amp;" ("&amp;Tabela_tudo[[#This Row],[Obs]]&amp;")"</f>
        <v>ISE ()</v>
      </c>
    </row>
    <row r="1695" spans="1:14" x14ac:dyDescent="0.3">
      <c r="A1695" s="1">
        <v>45400</v>
      </c>
      <c r="B1695" t="s">
        <v>249</v>
      </c>
      <c r="C1695" t="s">
        <v>460</v>
      </c>
      <c r="D1695" s="8">
        <v>0.29166666666666669</v>
      </c>
      <c r="E1695" s="8">
        <v>0.5625</v>
      </c>
      <c r="L1695" t="s">
        <v>563</v>
      </c>
      <c r="M1695" t="s">
        <v>478</v>
      </c>
      <c r="N1695" t="str">
        <f>Tabela_tudo[[#This Row],[Médico]]&amp;" ("&amp;Tabela_tudo[[#This Row],[Obs]]&amp;")"</f>
        <v>ISE ()</v>
      </c>
    </row>
    <row r="1696" spans="1:14" x14ac:dyDescent="0.3">
      <c r="A1696" s="1">
        <v>45393</v>
      </c>
      <c r="B1696" t="s">
        <v>249</v>
      </c>
      <c r="C1696" t="s">
        <v>460</v>
      </c>
      <c r="D1696" s="8">
        <v>0.29166666666666669</v>
      </c>
      <c r="E1696" s="8">
        <v>0.5625</v>
      </c>
      <c r="L1696" t="s">
        <v>563</v>
      </c>
      <c r="M1696" t="s">
        <v>478</v>
      </c>
      <c r="N1696" t="str">
        <f>Tabela_tudo[[#This Row],[Médico]]&amp;" ("&amp;Tabela_tudo[[#This Row],[Obs]]&amp;")"</f>
        <v>ISE ()</v>
      </c>
    </row>
    <row r="1697" spans="1:14" x14ac:dyDescent="0.3">
      <c r="A1697" s="1">
        <v>45414</v>
      </c>
      <c r="B1697" t="s">
        <v>249</v>
      </c>
      <c r="C1697" t="s">
        <v>460</v>
      </c>
      <c r="D1697" s="8">
        <v>0.29166666666666669</v>
      </c>
      <c r="E1697" s="8">
        <v>0.5625</v>
      </c>
      <c r="L1697" t="s">
        <v>563</v>
      </c>
      <c r="M1697" t="s">
        <v>478</v>
      </c>
      <c r="N1697" t="str">
        <f>Tabela_tudo[[#This Row],[Médico]]&amp;" ("&amp;Tabela_tudo[[#This Row],[Obs]]&amp;")"</f>
        <v>ISE ()</v>
      </c>
    </row>
    <row r="1698" spans="1:14" x14ac:dyDescent="0.3">
      <c r="A1698" s="1">
        <v>45435</v>
      </c>
      <c r="B1698" t="s">
        <v>249</v>
      </c>
      <c r="C1698" t="s">
        <v>460</v>
      </c>
      <c r="D1698" s="8">
        <v>0.29166666666666669</v>
      </c>
      <c r="E1698" s="8">
        <v>0.5625</v>
      </c>
      <c r="L1698" t="s">
        <v>563</v>
      </c>
      <c r="M1698" t="s">
        <v>478</v>
      </c>
      <c r="N1698" t="str">
        <f>Tabela_tudo[[#This Row],[Médico]]&amp;" ("&amp;Tabela_tudo[[#This Row],[Obs]]&amp;")"</f>
        <v>ISE ()</v>
      </c>
    </row>
    <row r="1699" spans="1:14" x14ac:dyDescent="0.3">
      <c r="A1699" s="1">
        <v>45428</v>
      </c>
      <c r="B1699" t="s">
        <v>249</v>
      </c>
      <c r="C1699" t="s">
        <v>460</v>
      </c>
      <c r="D1699" s="8">
        <v>0.29166666666666669</v>
      </c>
      <c r="E1699" s="8">
        <v>0.5625</v>
      </c>
      <c r="L1699" t="s">
        <v>563</v>
      </c>
      <c r="M1699" t="s">
        <v>478</v>
      </c>
      <c r="N1699" t="str">
        <f>Tabela_tudo[[#This Row],[Médico]]&amp;" ("&amp;Tabela_tudo[[#This Row],[Obs]]&amp;")"</f>
        <v>ISE ()</v>
      </c>
    </row>
    <row r="1700" spans="1:14" x14ac:dyDescent="0.3">
      <c r="A1700" s="1">
        <v>45421</v>
      </c>
      <c r="B1700" t="s">
        <v>249</v>
      </c>
      <c r="C1700" t="s">
        <v>460</v>
      </c>
      <c r="D1700" s="8">
        <v>0.29166666666666669</v>
      </c>
      <c r="E1700" s="8">
        <v>0.5625</v>
      </c>
      <c r="L1700" t="s">
        <v>563</v>
      </c>
      <c r="M1700" t="s">
        <v>478</v>
      </c>
      <c r="N1700" t="str">
        <f>Tabela_tudo[[#This Row],[Médico]]&amp;" ("&amp;Tabela_tudo[[#This Row],[Obs]]&amp;")"</f>
        <v>ISE ()</v>
      </c>
    </row>
    <row r="1701" spans="1:14" x14ac:dyDescent="0.3">
      <c r="A1701" s="1">
        <v>45358</v>
      </c>
      <c r="B1701" t="s">
        <v>249</v>
      </c>
      <c r="C1701" t="s">
        <v>460</v>
      </c>
      <c r="D1701" s="8">
        <v>0.29166666666666669</v>
      </c>
      <c r="E1701" s="8">
        <v>0.5625</v>
      </c>
      <c r="L1701" t="s">
        <v>563</v>
      </c>
      <c r="M1701" t="s">
        <v>478</v>
      </c>
      <c r="N1701" t="str">
        <f>Tabela_tudo[[#This Row],[Médico]]&amp;" ("&amp;Tabela_tudo[[#This Row],[Obs]]&amp;")"</f>
        <v>ISE ()</v>
      </c>
    </row>
    <row r="1702" spans="1:14" x14ac:dyDescent="0.3">
      <c r="A1702" s="1">
        <v>45351</v>
      </c>
      <c r="B1702" t="s">
        <v>249</v>
      </c>
      <c r="C1702" t="s">
        <v>460</v>
      </c>
      <c r="D1702" s="8">
        <v>0.29166666666666669</v>
      </c>
      <c r="E1702" s="8">
        <v>0.5625</v>
      </c>
      <c r="L1702" t="s">
        <v>563</v>
      </c>
      <c r="M1702" t="s">
        <v>478</v>
      </c>
      <c r="N1702" t="str">
        <f>Tabela_tudo[[#This Row],[Médico]]&amp;" ("&amp;Tabela_tudo[[#This Row],[Obs]]&amp;")"</f>
        <v>ISE ()</v>
      </c>
    </row>
    <row r="1703" spans="1:14" x14ac:dyDescent="0.3">
      <c r="A1703" s="1">
        <v>45344</v>
      </c>
      <c r="B1703" t="s">
        <v>249</v>
      </c>
      <c r="C1703" t="s">
        <v>460</v>
      </c>
      <c r="D1703" s="8">
        <v>0.29166666666666669</v>
      </c>
      <c r="E1703" s="8">
        <v>0.5625</v>
      </c>
      <c r="L1703" t="s">
        <v>563</v>
      </c>
      <c r="M1703" t="s">
        <v>478</v>
      </c>
      <c r="N1703" t="str">
        <f>Tabela_tudo[[#This Row],[Médico]]&amp;" ("&amp;Tabela_tudo[[#This Row],[Obs]]&amp;")"</f>
        <v>ISE ()</v>
      </c>
    </row>
    <row r="1704" spans="1:14" x14ac:dyDescent="0.3">
      <c r="A1704" s="1">
        <v>45365</v>
      </c>
      <c r="B1704" t="s">
        <v>249</v>
      </c>
      <c r="C1704" t="s">
        <v>460</v>
      </c>
      <c r="D1704" s="8">
        <v>0.29166666666666669</v>
      </c>
      <c r="E1704" s="8">
        <v>0.5625</v>
      </c>
      <c r="L1704" t="s">
        <v>563</v>
      </c>
      <c r="M1704" t="s">
        <v>478</v>
      </c>
      <c r="N1704" t="str">
        <f>Tabela_tudo[[#This Row],[Médico]]&amp;" ("&amp;Tabela_tudo[[#This Row],[Obs]]&amp;")"</f>
        <v>ISE ()</v>
      </c>
    </row>
    <row r="1705" spans="1:14" x14ac:dyDescent="0.3">
      <c r="A1705" s="1">
        <v>45386</v>
      </c>
      <c r="B1705" t="s">
        <v>249</v>
      </c>
      <c r="C1705" t="s">
        <v>460</v>
      </c>
      <c r="D1705" s="8">
        <v>0.29166666666666669</v>
      </c>
      <c r="E1705" s="8">
        <v>0.5625</v>
      </c>
      <c r="L1705" t="s">
        <v>563</v>
      </c>
      <c r="M1705" t="s">
        <v>478</v>
      </c>
      <c r="N1705" t="str">
        <f>Tabela_tudo[[#This Row],[Médico]]&amp;" ("&amp;Tabela_tudo[[#This Row],[Obs]]&amp;")"</f>
        <v>ISE ()</v>
      </c>
    </row>
    <row r="1706" spans="1:14" x14ac:dyDescent="0.3">
      <c r="A1706" s="1">
        <v>45379</v>
      </c>
      <c r="B1706" t="s">
        <v>249</v>
      </c>
      <c r="C1706" t="s">
        <v>460</v>
      </c>
      <c r="D1706" s="8">
        <v>0.29166666666666669</v>
      </c>
      <c r="E1706" s="8">
        <v>0.5625</v>
      </c>
      <c r="L1706" t="s">
        <v>563</v>
      </c>
      <c r="M1706" t="s">
        <v>478</v>
      </c>
      <c r="N1706" t="str">
        <f>Tabela_tudo[[#This Row],[Médico]]&amp;" ("&amp;Tabela_tudo[[#This Row],[Obs]]&amp;")"</f>
        <v>ISE ()</v>
      </c>
    </row>
    <row r="1707" spans="1:14" x14ac:dyDescent="0.3">
      <c r="A1707" s="1">
        <v>45372</v>
      </c>
      <c r="B1707" t="s">
        <v>249</v>
      </c>
      <c r="C1707" t="s">
        <v>460</v>
      </c>
      <c r="D1707" s="8">
        <v>0.29166666666666669</v>
      </c>
      <c r="E1707" s="8">
        <v>0.5625</v>
      </c>
      <c r="L1707" t="s">
        <v>563</v>
      </c>
      <c r="M1707" t="s">
        <v>478</v>
      </c>
      <c r="N1707" t="str">
        <f>Tabela_tudo[[#This Row],[Médico]]&amp;" ("&amp;Tabela_tudo[[#This Row],[Obs]]&amp;")"</f>
        <v>ISE ()</v>
      </c>
    </row>
    <row r="1708" spans="1:14" x14ac:dyDescent="0.3">
      <c r="A1708" s="1">
        <v>45442</v>
      </c>
      <c r="B1708" t="s">
        <v>249</v>
      </c>
      <c r="C1708" t="s">
        <v>460</v>
      </c>
      <c r="D1708" s="8">
        <v>0.29166666666666669</v>
      </c>
      <c r="E1708" s="8">
        <v>0.5625</v>
      </c>
      <c r="L1708" t="s">
        <v>563</v>
      </c>
      <c r="M1708" t="s">
        <v>478</v>
      </c>
      <c r="N1708" t="str">
        <f>Tabela_tudo[[#This Row],[Médico]]&amp;" ("&amp;Tabela_tudo[[#This Row],[Obs]]&amp;")"</f>
        <v>ISE ()</v>
      </c>
    </row>
    <row r="1709" spans="1:14" x14ac:dyDescent="0.3">
      <c r="A1709" s="1">
        <v>45512</v>
      </c>
      <c r="B1709" t="s">
        <v>249</v>
      </c>
      <c r="C1709" t="s">
        <v>460</v>
      </c>
      <c r="D1709" s="8">
        <v>0.29166666666666669</v>
      </c>
      <c r="E1709" s="8">
        <v>0.5625</v>
      </c>
      <c r="L1709" t="s">
        <v>563</v>
      </c>
      <c r="M1709" t="s">
        <v>478</v>
      </c>
      <c r="N1709" t="str">
        <f>Tabela_tudo[[#This Row],[Médico]]&amp;" ("&amp;Tabela_tudo[[#This Row],[Obs]]&amp;")"</f>
        <v>ISE ()</v>
      </c>
    </row>
    <row r="1710" spans="1:14" x14ac:dyDescent="0.3">
      <c r="A1710" s="1">
        <v>45505</v>
      </c>
      <c r="B1710" t="s">
        <v>249</v>
      </c>
      <c r="C1710" t="s">
        <v>460</v>
      </c>
      <c r="D1710" s="8">
        <v>0.29166666666666669</v>
      </c>
      <c r="E1710" s="8">
        <v>0.5625</v>
      </c>
      <c r="L1710" t="s">
        <v>563</v>
      </c>
      <c r="M1710" t="s">
        <v>478</v>
      </c>
      <c r="N1710" t="str">
        <f>Tabela_tudo[[#This Row],[Médico]]&amp;" ("&amp;Tabela_tudo[[#This Row],[Obs]]&amp;")"</f>
        <v>ISE ()</v>
      </c>
    </row>
    <row r="1711" spans="1:14" x14ac:dyDescent="0.3">
      <c r="A1711" s="1">
        <v>45498</v>
      </c>
      <c r="B1711" t="s">
        <v>249</v>
      </c>
      <c r="C1711" t="s">
        <v>460</v>
      </c>
      <c r="D1711" s="8">
        <v>0.29166666666666669</v>
      </c>
      <c r="E1711" s="8">
        <v>0.5625</v>
      </c>
      <c r="L1711" t="s">
        <v>563</v>
      </c>
      <c r="M1711" t="s">
        <v>478</v>
      </c>
      <c r="N1711" t="str">
        <f>Tabela_tudo[[#This Row],[Médico]]&amp;" ("&amp;Tabela_tudo[[#This Row],[Obs]]&amp;")"</f>
        <v>ISE ()</v>
      </c>
    </row>
    <row r="1712" spans="1:14" x14ac:dyDescent="0.3">
      <c r="A1712" s="1">
        <v>45519</v>
      </c>
      <c r="B1712" t="s">
        <v>249</v>
      </c>
      <c r="C1712" t="s">
        <v>460</v>
      </c>
      <c r="D1712" s="8">
        <v>0.29166666666666669</v>
      </c>
      <c r="E1712" s="8">
        <v>0.5625</v>
      </c>
      <c r="L1712" t="s">
        <v>563</v>
      </c>
      <c r="M1712" t="s">
        <v>478</v>
      </c>
      <c r="N1712" t="str">
        <f>Tabela_tudo[[#This Row],[Médico]]&amp;" ("&amp;Tabela_tudo[[#This Row],[Obs]]&amp;")"</f>
        <v>ISE ()</v>
      </c>
    </row>
    <row r="1713" spans="1:14" x14ac:dyDescent="0.3">
      <c r="A1713" s="1">
        <v>45540</v>
      </c>
      <c r="B1713" t="s">
        <v>249</v>
      </c>
      <c r="C1713" t="s">
        <v>460</v>
      </c>
      <c r="D1713" s="8">
        <v>0.29166666666666669</v>
      </c>
      <c r="E1713" s="8">
        <v>0.5625</v>
      </c>
      <c r="L1713" t="s">
        <v>563</v>
      </c>
      <c r="M1713" t="s">
        <v>478</v>
      </c>
      <c r="N1713" t="str">
        <f>Tabela_tudo[[#This Row],[Médico]]&amp;" ("&amp;Tabela_tudo[[#This Row],[Obs]]&amp;")"</f>
        <v>ISE ()</v>
      </c>
    </row>
    <row r="1714" spans="1:14" x14ac:dyDescent="0.3">
      <c r="A1714" s="1">
        <v>45533</v>
      </c>
      <c r="B1714" t="s">
        <v>249</v>
      </c>
      <c r="C1714" t="s">
        <v>460</v>
      </c>
      <c r="D1714" s="8">
        <v>0.29166666666666669</v>
      </c>
      <c r="E1714" s="8">
        <v>0.5625</v>
      </c>
      <c r="L1714" t="s">
        <v>563</v>
      </c>
      <c r="M1714" t="s">
        <v>478</v>
      </c>
      <c r="N1714" t="str">
        <f>Tabela_tudo[[#This Row],[Médico]]&amp;" ("&amp;Tabela_tudo[[#This Row],[Obs]]&amp;")"</f>
        <v>ISE ()</v>
      </c>
    </row>
    <row r="1715" spans="1:14" x14ac:dyDescent="0.3">
      <c r="A1715" s="1">
        <v>45526</v>
      </c>
      <c r="B1715" t="s">
        <v>249</v>
      </c>
      <c r="C1715" t="s">
        <v>460</v>
      </c>
      <c r="D1715" s="8">
        <v>0.29166666666666669</v>
      </c>
      <c r="E1715" s="8">
        <v>0.5625</v>
      </c>
      <c r="L1715" t="s">
        <v>563</v>
      </c>
      <c r="M1715" t="s">
        <v>478</v>
      </c>
      <c r="N1715" t="str">
        <f>Tabela_tudo[[#This Row],[Médico]]&amp;" ("&amp;Tabela_tudo[[#This Row],[Obs]]&amp;")"</f>
        <v>ISE ()</v>
      </c>
    </row>
    <row r="1716" spans="1:14" x14ac:dyDescent="0.3">
      <c r="A1716" s="1">
        <v>45463</v>
      </c>
      <c r="B1716" t="s">
        <v>249</v>
      </c>
      <c r="C1716" t="s">
        <v>460</v>
      </c>
      <c r="D1716" s="8">
        <v>0.29166666666666669</v>
      </c>
      <c r="E1716" s="8">
        <v>0.5625</v>
      </c>
      <c r="L1716" t="s">
        <v>563</v>
      </c>
      <c r="M1716" t="s">
        <v>478</v>
      </c>
      <c r="N1716" t="str">
        <f>Tabela_tudo[[#This Row],[Médico]]&amp;" ("&amp;Tabela_tudo[[#This Row],[Obs]]&amp;")"</f>
        <v>ISE ()</v>
      </c>
    </row>
    <row r="1717" spans="1:14" x14ac:dyDescent="0.3">
      <c r="A1717" s="1">
        <v>45456</v>
      </c>
      <c r="B1717" t="s">
        <v>249</v>
      </c>
      <c r="C1717" t="s">
        <v>460</v>
      </c>
      <c r="D1717" s="8">
        <v>0.29166666666666669</v>
      </c>
      <c r="E1717" s="8">
        <v>0.5625</v>
      </c>
      <c r="L1717" t="s">
        <v>563</v>
      </c>
      <c r="M1717" t="s">
        <v>478</v>
      </c>
      <c r="N1717" t="str">
        <f>Tabela_tudo[[#This Row],[Médico]]&amp;" ("&amp;Tabela_tudo[[#This Row],[Obs]]&amp;")"</f>
        <v>ISE ()</v>
      </c>
    </row>
    <row r="1718" spans="1:14" x14ac:dyDescent="0.3">
      <c r="A1718" s="1">
        <v>45449</v>
      </c>
      <c r="B1718" t="s">
        <v>249</v>
      </c>
      <c r="C1718" t="s">
        <v>460</v>
      </c>
      <c r="D1718" s="8">
        <v>0.29166666666666669</v>
      </c>
      <c r="E1718" s="8">
        <v>0.5625</v>
      </c>
      <c r="L1718" t="s">
        <v>563</v>
      </c>
      <c r="M1718" t="s">
        <v>478</v>
      </c>
      <c r="N1718" t="str">
        <f>Tabela_tudo[[#This Row],[Médico]]&amp;" ("&amp;Tabela_tudo[[#This Row],[Obs]]&amp;")"</f>
        <v>ISE ()</v>
      </c>
    </row>
    <row r="1719" spans="1:14" x14ac:dyDescent="0.3">
      <c r="A1719" s="1">
        <v>45470</v>
      </c>
      <c r="B1719" t="s">
        <v>249</v>
      </c>
      <c r="C1719" t="s">
        <v>460</v>
      </c>
      <c r="D1719" s="8">
        <v>0.29166666666666669</v>
      </c>
      <c r="E1719" s="8">
        <v>0.5625</v>
      </c>
      <c r="L1719" t="s">
        <v>563</v>
      </c>
      <c r="M1719" t="s">
        <v>478</v>
      </c>
      <c r="N1719" t="str">
        <f>Tabela_tudo[[#This Row],[Médico]]&amp;" ("&amp;Tabela_tudo[[#This Row],[Obs]]&amp;")"</f>
        <v>ISE ()</v>
      </c>
    </row>
    <row r="1720" spans="1:14" x14ac:dyDescent="0.3">
      <c r="A1720" s="1">
        <v>45491</v>
      </c>
      <c r="B1720" t="s">
        <v>249</v>
      </c>
      <c r="C1720" t="s">
        <v>460</v>
      </c>
      <c r="D1720" s="8">
        <v>0.29166666666666669</v>
      </c>
      <c r="E1720" s="8">
        <v>0.5625</v>
      </c>
      <c r="L1720" t="s">
        <v>563</v>
      </c>
      <c r="M1720" t="s">
        <v>478</v>
      </c>
      <c r="N1720" t="str">
        <f>Tabela_tudo[[#This Row],[Médico]]&amp;" ("&amp;Tabela_tudo[[#This Row],[Obs]]&amp;")"</f>
        <v>ISE ()</v>
      </c>
    </row>
    <row r="1721" spans="1:14" x14ac:dyDescent="0.3">
      <c r="A1721" s="1">
        <v>45484</v>
      </c>
      <c r="B1721" t="s">
        <v>249</v>
      </c>
      <c r="C1721" t="s">
        <v>460</v>
      </c>
      <c r="D1721" s="8">
        <v>0.29166666666666669</v>
      </c>
      <c r="E1721" s="8">
        <v>0.5625</v>
      </c>
      <c r="L1721" t="s">
        <v>563</v>
      </c>
      <c r="M1721" t="s">
        <v>478</v>
      </c>
      <c r="N1721" t="str">
        <f>Tabela_tudo[[#This Row],[Médico]]&amp;" ("&amp;Tabela_tudo[[#This Row],[Obs]]&amp;")"</f>
        <v>ISE ()</v>
      </c>
    </row>
    <row r="1722" spans="1:14" x14ac:dyDescent="0.3">
      <c r="A1722" s="1">
        <v>45477</v>
      </c>
      <c r="B1722" t="s">
        <v>249</v>
      </c>
      <c r="C1722" t="s">
        <v>460</v>
      </c>
      <c r="D1722" s="8">
        <v>0.29166666666666669</v>
      </c>
      <c r="E1722" s="8">
        <v>0.5625</v>
      </c>
      <c r="L1722" t="s">
        <v>563</v>
      </c>
      <c r="M1722" t="s">
        <v>478</v>
      </c>
      <c r="N1722" t="str">
        <f>Tabela_tudo[[#This Row],[Médico]]&amp;" ("&amp;Tabela_tudo[[#This Row],[Obs]]&amp;")"</f>
        <v>ISE ()</v>
      </c>
    </row>
    <row r="1723" spans="1:14" x14ac:dyDescent="0.3">
      <c r="A1723" s="1">
        <v>45337</v>
      </c>
      <c r="B1723" t="s">
        <v>249</v>
      </c>
      <c r="C1723" t="s">
        <v>460</v>
      </c>
      <c r="D1723" s="8">
        <v>0.29166666666666669</v>
      </c>
      <c r="E1723" s="8">
        <v>0.5625</v>
      </c>
      <c r="L1723" t="s">
        <v>563</v>
      </c>
      <c r="M1723" t="s">
        <v>478</v>
      </c>
      <c r="N1723" t="str">
        <f>Tabela_tudo[[#This Row],[Médico]]&amp;" ("&amp;Tabela_tudo[[#This Row],[Obs]]&amp;")"</f>
        <v>ISE ()</v>
      </c>
    </row>
    <row r="1724" spans="1:14" x14ac:dyDescent="0.3">
      <c r="A1724" s="1">
        <v>45197</v>
      </c>
      <c r="B1724" t="s">
        <v>249</v>
      </c>
      <c r="C1724" t="s">
        <v>460</v>
      </c>
      <c r="D1724" s="8">
        <v>0.29166666666666669</v>
      </c>
      <c r="E1724" s="8">
        <v>0.5625</v>
      </c>
      <c r="L1724" t="s">
        <v>563</v>
      </c>
      <c r="M1724" t="s">
        <v>478</v>
      </c>
      <c r="N1724" t="str">
        <f>Tabela_tudo[[#This Row],[Médico]]&amp;" ("&amp;Tabela_tudo[[#This Row],[Obs]]&amp;")"</f>
        <v>ISE ()</v>
      </c>
    </row>
    <row r="1725" spans="1:14" x14ac:dyDescent="0.3">
      <c r="A1725" s="1">
        <v>45190</v>
      </c>
      <c r="B1725" t="s">
        <v>249</v>
      </c>
      <c r="C1725" t="s">
        <v>460</v>
      </c>
      <c r="D1725" s="8">
        <v>0.29166666666666669</v>
      </c>
      <c r="E1725" s="8">
        <v>0.5625</v>
      </c>
      <c r="L1725" t="s">
        <v>563</v>
      </c>
      <c r="M1725" t="s">
        <v>478</v>
      </c>
      <c r="N1725" t="str">
        <f>Tabela_tudo[[#This Row],[Médico]]&amp;" ("&amp;Tabela_tudo[[#This Row],[Obs]]&amp;")"</f>
        <v>ISE ()</v>
      </c>
    </row>
    <row r="1726" spans="1:14" x14ac:dyDescent="0.3">
      <c r="A1726" s="1">
        <v>45183</v>
      </c>
      <c r="B1726" t="s">
        <v>249</v>
      </c>
      <c r="C1726" t="s">
        <v>460</v>
      </c>
      <c r="D1726" s="8">
        <v>0.29166666666666669</v>
      </c>
      <c r="E1726" s="8">
        <v>0.5625</v>
      </c>
      <c r="L1726" t="s">
        <v>563</v>
      </c>
      <c r="M1726" t="s">
        <v>478</v>
      </c>
      <c r="N1726" t="str">
        <f>Tabela_tudo[[#This Row],[Médico]]&amp;" ("&amp;Tabela_tudo[[#This Row],[Obs]]&amp;")"</f>
        <v>ISE ()</v>
      </c>
    </row>
    <row r="1727" spans="1:14" x14ac:dyDescent="0.3">
      <c r="A1727" s="1">
        <v>45204</v>
      </c>
      <c r="B1727" t="s">
        <v>249</v>
      </c>
      <c r="C1727" t="s">
        <v>460</v>
      </c>
      <c r="D1727" s="8">
        <v>0.29166666666666669</v>
      </c>
      <c r="E1727" s="8">
        <v>0.5625</v>
      </c>
      <c r="L1727" t="s">
        <v>563</v>
      </c>
      <c r="M1727" t="s">
        <v>478</v>
      </c>
      <c r="N1727" t="str">
        <f>Tabela_tudo[[#This Row],[Médico]]&amp;" ("&amp;Tabela_tudo[[#This Row],[Obs]]&amp;")"</f>
        <v>ISE ()</v>
      </c>
    </row>
    <row r="1728" spans="1:14" x14ac:dyDescent="0.3">
      <c r="A1728" s="1">
        <v>45225</v>
      </c>
      <c r="B1728" t="s">
        <v>249</v>
      </c>
      <c r="C1728" t="s">
        <v>460</v>
      </c>
      <c r="D1728" s="8">
        <v>0.29166666666666669</v>
      </c>
      <c r="E1728" s="8">
        <v>0.5625</v>
      </c>
      <c r="L1728" t="s">
        <v>563</v>
      </c>
      <c r="M1728" t="s">
        <v>478</v>
      </c>
      <c r="N1728" t="str">
        <f>Tabela_tudo[[#This Row],[Médico]]&amp;" ("&amp;Tabela_tudo[[#This Row],[Obs]]&amp;")"</f>
        <v>ISE ()</v>
      </c>
    </row>
    <row r="1729" spans="1:14" x14ac:dyDescent="0.3">
      <c r="A1729" s="1">
        <v>45218</v>
      </c>
      <c r="B1729" t="s">
        <v>249</v>
      </c>
      <c r="C1729" t="s">
        <v>460</v>
      </c>
      <c r="D1729" s="8">
        <v>0.29166666666666669</v>
      </c>
      <c r="E1729" s="8">
        <v>0.5625</v>
      </c>
      <c r="L1729" t="s">
        <v>563</v>
      </c>
      <c r="M1729" t="s">
        <v>478</v>
      </c>
      <c r="N1729" t="str">
        <f>Tabela_tudo[[#This Row],[Médico]]&amp;" ("&amp;Tabela_tudo[[#This Row],[Obs]]&amp;")"</f>
        <v>ISE ()</v>
      </c>
    </row>
    <row r="1730" spans="1:14" x14ac:dyDescent="0.3">
      <c r="A1730" s="1">
        <v>45211</v>
      </c>
      <c r="B1730" t="s">
        <v>249</v>
      </c>
      <c r="C1730" t="s">
        <v>460</v>
      </c>
      <c r="D1730" s="8">
        <v>0.29166666666666669</v>
      </c>
      <c r="E1730" s="8">
        <v>0.5625</v>
      </c>
      <c r="L1730" t="s">
        <v>563</v>
      </c>
      <c r="M1730" t="s">
        <v>478</v>
      </c>
      <c r="N1730" t="str">
        <f>Tabela_tudo[[#This Row],[Médico]]&amp;" ("&amp;Tabela_tudo[[#This Row],[Obs]]&amp;")"</f>
        <v>ISE ()</v>
      </c>
    </row>
    <row r="1731" spans="1:14" x14ac:dyDescent="0.3">
      <c r="A1731" s="1">
        <v>45148</v>
      </c>
      <c r="B1731" t="s">
        <v>249</v>
      </c>
      <c r="C1731" t="s">
        <v>460</v>
      </c>
      <c r="D1731" s="8">
        <v>0.29166666666666669</v>
      </c>
      <c r="E1731" s="8">
        <v>0.5625</v>
      </c>
      <c r="L1731" t="s">
        <v>563</v>
      </c>
      <c r="M1731" t="s">
        <v>478</v>
      </c>
      <c r="N1731" t="str">
        <f>Tabela_tudo[[#This Row],[Médico]]&amp;" ("&amp;Tabela_tudo[[#This Row],[Obs]]&amp;")"</f>
        <v>ISE ()</v>
      </c>
    </row>
    <row r="1732" spans="1:14" x14ac:dyDescent="0.3">
      <c r="A1732" s="1">
        <v>45141</v>
      </c>
      <c r="B1732" t="s">
        <v>249</v>
      </c>
      <c r="C1732" t="s">
        <v>460</v>
      </c>
      <c r="D1732" s="8">
        <v>0.29166666666666669</v>
      </c>
      <c r="E1732" s="8">
        <v>0.5625</v>
      </c>
      <c r="L1732" t="s">
        <v>563</v>
      </c>
      <c r="M1732" t="s">
        <v>478</v>
      </c>
      <c r="N1732" t="str">
        <f>Tabela_tudo[[#This Row],[Médico]]&amp;" ("&amp;Tabela_tudo[[#This Row],[Obs]]&amp;")"</f>
        <v>ISE ()</v>
      </c>
    </row>
    <row r="1733" spans="1:14" x14ac:dyDescent="0.3">
      <c r="A1733" s="1">
        <v>45134</v>
      </c>
      <c r="B1733" t="s">
        <v>249</v>
      </c>
      <c r="C1733" t="s">
        <v>460</v>
      </c>
      <c r="D1733" s="8">
        <v>0.29166666666666669</v>
      </c>
      <c r="E1733" s="8">
        <v>0.5625</v>
      </c>
      <c r="L1733" t="s">
        <v>563</v>
      </c>
      <c r="M1733" t="s">
        <v>478</v>
      </c>
      <c r="N1733" t="str">
        <f>Tabela_tudo[[#This Row],[Médico]]&amp;" ("&amp;Tabela_tudo[[#This Row],[Obs]]&amp;")"</f>
        <v>ISE ()</v>
      </c>
    </row>
    <row r="1734" spans="1:14" x14ac:dyDescent="0.3">
      <c r="A1734" s="1">
        <v>45155</v>
      </c>
      <c r="B1734" t="s">
        <v>249</v>
      </c>
      <c r="C1734" t="s">
        <v>460</v>
      </c>
      <c r="D1734" s="8">
        <v>0.29166666666666669</v>
      </c>
      <c r="E1734" s="8">
        <v>0.5625</v>
      </c>
      <c r="L1734" t="s">
        <v>563</v>
      </c>
      <c r="M1734" t="s">
        <v>478</v>
      </c>
      <c r="N1734" t="str">
        <f>Tabela_tudo[[#This Row],[Médico]]&amp;" ("&amp;Tabela_tudo[[#This Row],[Obs]]&amp;")"</f>
        <v>ISE ()</v>
      </c>
    </row>
    <row r="1735" spans="1:14" x14ac:dyDescent="0.3">
      <c r="A1735" s="1">
        <v>45176</v>
      </c>
      <c r="B1735" t="s">
        <v>249</v>
      </c>
      <c r="C1735" t="s">
        <v>460</v>
      </c>
      <c r="D1735" s="8">
        <v>0.29166666666666669</v>
      </c>
      <c r="E1735" s="8">
        <v>0.5625</v>
      </c>
      <c r="L1735" t="s">
        <v>563</v>
      </c>
      <c r="M1735" t="s">
        <v>478</v>
      </c>
      <c r="N1735" t="str">
        <f>Tabela_tudo[[#This Row],[Médico]]&amp;" ("&amp;Tabela_tudo[[#This Row],[Obs]]&amp;")"</f>
        <v>ISE ()</v>
      </c>
    </row>
    <row r="1736" spans="1:14" x14ac:dyDescent="0.3">
      <c r="A1736" s="1">
        <v>45169</v>
      </c>
      <c r="B1736" t="s">
        <v>249</v>
      </c>
      <c r="C1736" t="s">
        <v>460</v>
      </c>
      <c r="D1736" s="8">
        <v>0.29166666666666669</v>
      </c>
      <c r="E1736" s="8">
        <v>0.5625</v>
      </c>
      <c r="L1736" t="s">
        <v>563</v>
      </c>
      <c r="M1736" t="s">
        <v>478</v>
      </c>
      <c r="N1736" t="str">
        <f>Tabela_tudo[[#This Row],[Médico]]&amp;" ("&amp;Tabela_tudo[[#This Row],[Obs]]&amp;")"</f>
        <v>ISE ()</v>
      </c>
    </row>
    <row r="1737" spans="1:14" x14ac:dyDescent="0.3">
      <c r="A1737" s="1">
        <v>45162</v>
      </c>
      <c r="B1737" t="s">
        <v>249</v>
      </c>
      <c r="C1737" t="s">
        <v>460</v>
      </c>
      <c r="D1737" s="8">
        <v>0.29166666666666669</v>
      </c>
      <c r="E1737" s="8">
        <v>0.5625</v>
      </c>
      <c r="L1737" t="s">
        <v>563</v>
      </c>
      <c r="M1737" t="s">
        <v>478</v>
      </c>
      <c r="N1737" t="str">
        <f>Tabela_tudo[[#This Row],[Médico]]&amp;" ("&amp;Tabela_tudo[[#This Row],[Obs]]&amp;")"</f>
        <v>ISE ()</v>
      </c>
    </row>
    <row r="1738" spans="1:14" x14ac:dyDescent="0.3">
      <c r="A1738" s="1">
        <v>45232</v>
      </c>
      <c r="B1738" t="s">
        <v>249</v>
      </c>
      <c r="C1738" t="s">
        <v>460</v>
      </c>
      <c r="D1738" s="8">
        <v>0.29166666666666669</v>
      </c>
      <c r="E1738" s="8">
        <v>0.5625</v>
      </c>
      <c r="L1738" t="s">
        <v>563</v>
      </c>
      <c r="M1738" t="s">
        <v>478</v>
      </c>
      <c r="N1738" t="str">
        <f>Tabela_tudo[[#This Row],[Médico]]&amp;" ("&amp;Tabela_tudo[[#This Row],[Obs]]&amp;")"</f>
        <v>ISE ()</v>
      </c>
    </row>
    <row r="1739" spans="1:14" x14ac:dyDescent="0.3">
      <c r="A1739" s="1">
        <v>45302</v>
      </c>
      <c r="B1739" t="s">
        <v>249</v>
      </c>
      <c r="C1739" t="s">
        <v>460</v>
      </c>
      <c r="D1739" s="8">
        <v>0.29166666666666669</v>
      </c>
      <c r="E1739" s="8">
        <v>0.5625</v>
      </c>
      <c r="L1739" t="s">
        <v>563</v>
      </c>
      <c r="M1739" t="s">
        <v>478</v>
      </c>
      <c r="N1739" t="str">
        <f>Tabela_tudo[[#This Row],[Médico]]&amp;" ("&amp;Tabela_tudo[[#This Row],[Obs]]&amp;")"</f>
        <v>ISE ()</v>
      </c>
    </row>
    <row r="1740" spans="1:14" x14ac:dyDescent="0.3">
      <c r="A1740" s="1">
        <v>45295</v>
      </c>
      <c r="B1740" t="s">
        <v>249</v>
      </c>
      <c r="C1740" t="s">
        <v>460</v>
      </c>
      <c r="D1740" s="8">
        <v>0.29166666666666669</v>
      </c>
      <c r="E1740" s="8">
        <v>0.5625</v>
      </c>
      <c r="L1740" t="s">
        <v>563</v>
      </c>
      <c r="M1740" t="s">
        <v>478</v>
      </c>
      <c r="N1740" t="str">
        <f>Tabela_tudo[[#This Row],[Médico]]&amp;" ("&amp;Tabela_tudo[[#This Row],[Obs]]&amp;")"</f>
        <v>ISE ()</v>
      </c>
    </row>
    <row r="1741" spans="1:14" x14ac:dyDescent="0.3">
      <c r="A1741" s="1">
        <v>45288</v>
      </c>
      <c r="B1741" t="s">
        <v>249</v>
      </c>
      <c r="C1741" t="s">
        <v>460</v>
      </c>
      <c r="D1741" s="8">
        <v>0.29166666666666669</v>
      </c>
      <c r="E1741" s="8">
        <v>0.5625</v>
      </c>
      <c r="L1741" t="s">
        <v>563</v>
      </c>
      <c r="M1741" t="s">
        <v>478</v>
      </c>
      <c r="N1741" t="str">
        <f>Tabela_tudo[[#This Row],[Médico]]&amp;" ("&amp;Tabela_tudo[[#This Row],[Obs]]&amp;")"</f>
        <v>ISE ()</v>
      </c>
    </row>
    <row r="1742" spans="1:14" x14ac:dyDescent="0.3">
      <c r="A1742" s="1">
        <v>45309</v>
      </c>
      <c r="B1742" t="s">
        <v>249</v>
      </c>
      <c r="C1742" t="s">
        <v>460</v>
      </c>
      <c r="D1742" s="8">
        <v>0.29166666666666669</v>
      </c>
      <c r="E1742" s="8">
        <v>0.5625</v>
      </c>
      <c r="L1742" t="s">
        <v>563</v>
      </c>
      <c r="M1742" t="s">
        <v>478</v>
      </c>
      <c r="N1742" t="str">
        <f>Tabela_tudo[[#This Row],[Médico]]&amp;" ("&amp;Tabela_tudo[[#This Row],[Obs]]&amp;")"</f>
        <v>ISE ()</v>
      </c>
    </row>
    <row r="1743" spans="1:14" x14ac:dyDescent="0.3">
      <c r="A1743" s="1">
        <v>45330</v>
      </c>
      <c r="B1743" t="s">
        <v>249</v>
      </c>
      <c r="C1743" t="s">
        <v>460</v>
      </c>
      <c r="D1743" s="8">
        <v>0.29166666666666669</v>
      </c>
      <c r="E1743" s="8">
        <v>0.5625</v>
      </c>
      <c r="L1743" t="s">
        <v>563</v>
      </c>
      <c r="M1743" t="s">
        <v>478</v>
      </c>
      <c r="N1743" t="str">
        <f>Tabela_tudo[[#This Row],[Médico]]&amp;" ("&amp;Tabela_tudo[[#This Row],[Obs]]&amp;")"</f>
        <v>ISE ()</v>
      </c>
    </row>
    <row r="1744" spans="1:14" x14ac:dyDescent="0.3">
      <c r="A1744" s="1">
        <v>45323</v>
      </c>
      <c r="B1744" t="s">
        <v>249</v>
      </c>
      <c r="C1744" t="s">
        <v>460</v>
      </c>
      <c r="D1744" s="8">
        <v>0.29166666666666669</v>
      </c>
      <c r="E1744" s="8">
        <v>0.5625</v>
      </c>
      <c r="L1744" t="s">
        <v>563</v>
      </c>
      <c r="M1744" t="s">
        <v>478</v>
      </c>
      <c r="N1744" t="str">
        <f>Tabela_tudo[[#This Row],[Médico]]&amp;" ("&amp;Tabela_tudo[[#This Row],[Obs]]&amp;")"</f>
        <v>ISE ()</v>
      </c>
    </row>
    <row r="1745" spans="1:14" x14ac:dyDescent="0.3">
      <c r="A1745" s="1">
        <v>45316</v>
      </c>
      <c r="B1745" t="s">
        <v>249</v>
      </c>
      <c r="C1745" t="s">
        <v>460</v>
      </c>
      <c r="D1745" s="8">
        <v>0.29166666666666669</v>
      </c>
      <c r="E1745" s="8">
        <v>0.5625</v>
      </c>
      <c r="L1745" t="s">
        <v>563</v>
      </c>
      <c r="M1745" t="s">
        <v>478</v>
      </c>
      <c r="N1745" t="str">
        <f>Tabela_tudo[[#This Row],[Médico]]&amp;" ("&amp;Tabela_tudo[[#This Row],[Obs]]&amp;")"</f>
        <v>ISE ()</v>
      </c>
    </row>
    <row r="1746" spans="1:14" x14ac:dyDescent="0.3">
      <c r="A1746" s="1">
        <v>45253</v>
      </c>
      <c r="B1746" t="s">
        <v>249</v>
      </c>
      <c r="C1746" t="s">
        <v>460</v>
      </c>
      <c r="D1746" s="8">
        <v>0.29166666666666669</v>
      </c>
      <c r="E1746" s="8">
        <v>0.5625</v>
      </c>
      <c r="L1746" t="s">
        <v>563</v>
      </c>
      <c r="M1746" t="s">
        <v>478</v>
      </c>
      <c r="N1746" t="str">
        <f>Tabela_tudo[[#This Row],[Médico]]&amp;" ("&amp;Tabela_tudo[[#This Row],[Obs]]&amp;")"</f>
        <v>ISE ()</v>
      </c>
    </row>
    <row r="1747" spans="1:14" x14ac:dyDescent="0.3">
      <c r="A1747" s="1">
        <v>45246</v>
      </c>
      <c r="B1747" t="s">
        <v>249</v>
      </c>
      <c r="C1747" t="s">
        <v>460</v>
      </c>
      <c r="D1747" s="8">
        <v>0.29166666666666669</v>
      </c>
      <c r="E1747" s="8">
        <v>0.5625</v>
      </c>
      <c r="L1747" t="s">
        <v>563</v>
      </c>
      <c r="M1747" t="s">
        <v>478</v>
      </c>
      <c r="N1747" t="str">
        <f>Tabela_tudo[[#This Row],[Médico]]&amp;" ("&amp;Tabela_tudo[[#This Row],[Obs]]&amp;")"</f>
        <v>ISE ()</v>
      </c>
    </row>
    <row r="1748" spans="1:14" x14ac:dyDescent="0.3">
      <c r="A1748" s="1">
        <v>45239</v>
      </c>
      <c r="B1748" t="s">
        <v>249</v>
      </c>
      <c r="C1748" t="s">
        <v>460</v>
      </c>
      <c r="D1748" s="8">
        <v>0.29166666666666669</v>
      </c>
      <c r="E1748" s="8">
        <v>0.5625</v>
      </c>
      <c r="L1748" t="s">
        <v>563</v>
      </c>
      <c r="M1748" t="s">
        <v>478</v>
      </c>
      <c r="N1748" t="str">
        <f>Tabela_tudo[[#This Row],[Médico]]&amp;" ("&amp;Tabela_tudo[[#This Row],[Obs]]&amp;")"</f>
        <v>ISE ()</v>
      </c>
    </row>
    <row r="1749" spans="1:14" x14ac:dyDescent="0.3">
      <c r="A1749" s="1">
        <v>45260</v>
      </c>
      <c r="B1749" t="s">
        <v>249</v>
      </c>
      <c r="C1749" t="s">
        <v>460</v>
      </c>
      <c r="D1749" s="8">
        <v>0.29166666666666669</v>
      </c>
      <c r="E1749" s="8">
        <v>0.5625</v>
      </c>
      <c r="L1749" t="s">
        <v>563</v>
      </c>
      <c r="M1749" t="s">
        <v>478</v>
      </c>
      <c r="N1749" t="str">
        <f>Tabela_tudo[[#This Row],[Médico]]&amp;" ("&amp;Tabela_tudo[[#This Row],[Obs]]&amp;")"</f>
        <v>ISE ()</v>
      </c>
    </row>
    <row r="1750" spans="1:14" x14ac:dyDescent="0.3">
      <c r="A1750" s="1">
        <v>45281</v>
      </c>
      <c r="B1750" t="s">
        <v>249</v>
      </c>
      <c r="C1750" t="s">
        <v>460</v>
      </c>
      <c r="D1750" s="8">
        <v>0.29166666666666669</v>
      </c>
      <c r="E1750" s="8">
        <v>0.5625</v>
      </c>
      <c r="L1750" t="s">
        <v>563</v>
      </c>
      <c r="M1750" t="s">
        <v>478</v>
      </c>
      <c r="N1750" t="str">
        <f>Tabela_tudo[[#This Row],[Médico]]&amp;" ("&amp;Tabela_tudo[[#This Row],[Obs]]&amp;")"</f>
        <v>ISE ()</v>
      </c>
    </row>
    <row r="1751" spans="1:14" x14ac:dyDescent="0.3">
      <c r="A1751" s="1">
        <v>45274</v>
      </c>
      <c r="B1751" t="s">
        <v>249</v>
      </c>
      <c r="C1751" t="s">
        <v>460</v>
      </c>
      <c r="D1751" s="8">
        <v>0.29166666666666669</v>
      </c>
      <c r="E1751" s="8">
        <v>0.5625</v>
      </c>
      <c r="L1751" t="s">
        <v>563</v>
      </c>
      <c r="M1751" t="s">
        <v>478</v>
      </c>
      <c r="N1751" t="str">
        <f>Tabela_tudo[[#This Row],[Médico]]&amp;" ("&amp;Tabela_tudo[[#This Row],[Obs]]&amp;")"</f>
        <v>ISE ()</v>
      </c>
    </row>
    <row r="1752" spans="1:14" x14ac:dyDescent="0.3">
      <c r="A1752" s="1">
        <v>45267</v>
      </c>
      <c r="B1752" t="s">
        <v>249</v>
      </c>
      <c r="C1752" t="s">
        <v>460</v>
      </c>
      <c r="D1752" s="8">
        <v>0.29166666666666669</v>
      </c>
      <c r="E1752" s="8">
        <v>0.5625</v>
      </c>
      <c r="L1752" t="s">
        <v>563</v>
      </c>
      <c r="M1752" t="s">
        <v>478</v>
      </c>
      <c r="N1752" t="str">
        <f>Tabela_tudo[[#This Row],[Médico]]&amp;" ("&amp;Tabela_tudo[[#This Row],[Obs]]&amp;")"</f>
        <v>ISE ()</v>
      </c>
    </row>
    <row r="1753" spans="1:14" x14ac:dyDescent="0.3">
      <c r="A1753" s="1">
        <v>45139</v>
      </c>
      <c r="B1753" t="s">
        <v>12</v>
      </c>
      <c r="C1753" t="s">
        <v>463</v>
      </c>
      <c r="D1753" s="8">
        <v>0.75</v>
      </c>
      <c r="E1753" s="8">
        <v>0.79166666666666663</v>
      </c>
      <c r="L1753" t="s">
        <v>563</v>
      </c>
      <c r="M1753" t="s">
        <v>478</v>
      </c>
      <c r="N1753" t="str">
        <f>Tabela_tudo[[#This Row],[Médico]]&amp;" ("&amp;Tabela_tudo[[#This Row],[Obs]]&amp;")"</f>
        <v>EDU ()</v>
      </c>
    </row>
    <row r="1754" spans="1:14" x14ac:dyDescent="0.3">
      <c r="A1754" s="1">
        <v>45132</v>
      </c>
      <c r="B1754" t="s">
        <v>12</v>
      </c>
      <c r="C1754" t="s">
        <v>463</v>
      </c>
      <c r="D1754" s="8">
        <v>0.75</v>
      </c>
      <c r="E1754" s="8">
        <v>0.79166666666666663</v>
      </c>
      <c r="L1754" t="s">
        <v>563</v>
      </c>
      <c r="M1754" t="s">
        <v>478</v>
      </c>
      <c r="N1754" t="str">
        <f>Tabela_tudo[[#This Row],[Médico]]&amp;" ("&amp;Tabela_tudo[[#This Row],[Obs]]&amp;")"</f>
        <v>EDU ()</v>
      </c>
    </row>
    <row r="1755" spans="1:14" x14ac:dyDescent="0.3">
      <c r="A1755" s="1">
        <v>45125</v>
      </c>
      <c r="B1755" t="s">
        <v>12</v>
      </c>
      <c r="C1755" t="s">
        <v>463</v>
      </c>
      <c r="D1755" s="8">
        <v>0.75</v>
      </c>
      <c r="E1755" s="8">
        <v>0.79166666666666663</v>
      </c>
      <c r="L1755" t="s">
        <v>563</v>
      </c>
      <c r="M1755" t="s">
        <v>478</v>
      </c>
      <c r="N1755" t="str">
        <f>Tabela_tudo[[#This Row],[Médico]]&amp;" ("&amp;Tabela_tudo[[#This Row],[Obs]]&amp;")"</f>
        <v>EDU ()</v>
      </c>
    </row>
    <row r="1756" spans="1:14" x14ac:dyDescent="0.3">
      <c r="A1756" s="1">
        <v>45146</v>
      </c>
      <c r="B1756" t="s">
        <v>12</v>
      </c>
      <c r="C1756" t="s">
        <v>463</v>
      </c>
      <c r="D1756" s="8">
        <v>0.75</v>
      </c>
      <c r="E1756" s="8">
        <v>0.79166666666666663</v>
      </c>
      <c r="L1756" t="s">
        <v>563</v>
      </c>
      <c r="M1756" t="s">
        <v>478</v>
      </c>
      <c r="N1756" t="str">
        <f>Tabela_tudo[[#This Row],[Médico]]&amp;" ("&amp;Tabela_tudo[[#This Row],[Obs]]&amp;")"</f>
        <v>EDU ()</v>
      </c>
    </row>
    <row r="1757" spans="1:14" x14ac:dyDescent="0.3">
      <c r="A1757" s="1">
        <v>45167</v>
      </c>
      <c r="B1757" t="s">
        <v>12</v>
      </c>
      <c r="C1757" t="s">
        <v>463</v>
      </c>
      <c r="D1757" s="8">
        <v>0.75</v>
      </c>
      <c r="E1757" s="8">
        <v>0.79166666666666663</v>
      </c>
      <c r="L1757" t="s">
        <v>563</v>
      </c>
      <c r="M1757" t="s">
        <v>478</v>
      </c>
      <c r="N1757" t="str">
        <f>Tabela_tudo[[#This Row],[Médico]]&amp;" ("&amp;Tabela_tudo[[#This Row],[Obs]]&amp;")"</f>
        <v>EDU ()</v>
      </c>
    </row>
    <row r="1758" spans="1:14" x14ac:dyDescent="0.3">
      <c r="A1758" s="1">
        <v>45160</v>
      </c>
      <c r="B1758" t="s">
        <v>12</v>
      </c>
      <c r="C1758" t="s">
        <v>463</v>
      </c>
      <c r="D1758" s="8">
        <v>0.75</v>
      </c>
      <c r="E1758" s="8">
        <v>0.79166666666666663</v>
      </c>
      <c r="L1758" t="s">
        <v>563</v>
      </c>
      <c r="M1758" t="s">
        <v>478</v>
      </c>
      <c r="N1758" t="str">
        <f>Tabela_tudo[[#This Row],[Médico]]&amp;" ("&amp;Tabela_tudo[[#This Row],[Obs]]&amp;")"</f>
        <v>EDU ()</v>
      </c>
    </row>
    <row r="1759" spans="1:14" x14ac:dyDescent="0.3">
      <c r="A1759" s="1">
        <v>45153</v>
      </c>
      <c r="B1759" t="s">
        <v>12</v>
      </c>
      <c r="C1759" t="s">
        <v>463</v>
      </c>
      <c r="D1759" s="8">
        <v>0.75</v>
      </c>
      <c r="E1759" s="8">
        <v>0.79166666666666663</v>
      </c>
      <c r="L1759" t="s">
        <v>563</v>
      </c>
      <c r="M1759" t="s">
        <v>478</v>
      </c>
      <c r="N1759" t="str">
        <f>Tabela_tudo[[#This Row],[Médico]]&amp;" ("&amp;Tabela_tudo[[#This Row],[Obs]]&amp;")"</f>
        <v>EDU ()</v>
      </c>
    </row>
    <row r="1760" spans="1:14" x14ac:dyDescent="0.3">
      <c r="A1760" s="1">
        <v>45090</v>
      </c>
      <c r="B1760" t="s">
        <v>12</v>
      </c>
      <c r="C1760" t="s">
        <v>463</v>
      </c>
      <c r="D1760" s="8">
        <v>0.75</v>
      </c>
      <c r="E1760" s="8">
        <v>0.79166666666666663</v>
      </c>
      <c r="L1760" t="s">
        <v>563</v>
      </c>
      <c r="M1760" t="s">
        <v>478</v>
      </c>
      <c r="N1760" t="str">
        <f>Tabela_tudo[[#This Row],[Médico]]&amp;" ("&amp;Tabela_tudo[[#This Row],[Obs]]&amp;")"</f>
        <v>EDU ()</v>
      </c>
    </row>
    <row r="1761" spans="1:14" x14ac:dyDescent="0.3">
      <c r="A1761" s="1">
        <v>45083</v>
      </c>
      <c r="B1761" t="s">
        <v>12</v>
      </c>
      <c r="C1761" t="s">
        <v>463</v>
      </c>
      <c r="D1761" s="8">
        <v>0.75</v>
      </c>
      <c r="E1761" s="8">
        <v>0.79166666666666663</v>
      </c>
      <c r="L1761" t="s">
        <v>563</v>
      </c>
      <c r="M1761" t="s">
        <v>478</v>
      </c>
      <c r="N1761" t="str">
        <f>Tabela_tudo[[#This Row],[Médico]]&amp;" ("&amp;Tabela_tudo[[#This Row],[Obs]]&amp;")"</f>
        <v>EDU ()</v>
      </c>
    </row>
    <row r="1762" spans="1:14" x14ac:dyDescent="0.3">
      <c r="A1762" s="1">
        <v>45076</v>
      </c>
      <c r="B1762" t="s">
        <v>12</v>
      </c>
      <c r="C1762" t="s">
        <v>463</v>
      </c>
      <c r="D1762" s="8">
        <v>0.75</v>
      </c>
      <c r="E1762" s="8">
        <v>0.79166666666666663</v>
      </c>
      <c r="L1762" t="s">
        <v>563</v>
      </c>
      <c r="M1762" t="s">
        <v>478</v>
      </c>
      <c r="N1762" t="str">
        <f>Tabela_tudo[[#This Row],[Médico]]&amp;" ("&amp;Tabela_tudo[[#This Row],[Obs]]&amp;")"</f>
        <v>EDU ()</v>
      </c>
    </row>
    <row r="1763" spans="1:14" x14ac:dyDescent="0.3">
      <c r="A1763" s="1">
        <v>45097</v>
      </c>
      <c r="B1763" t="s">
        <v>12</v>
      </c>
      <c r="C1763" t="s">
        <v>463</v>
      </c>
      <c r="D1763" s="8">
        <v>0.75</v>
      </c>
      <c r="E1763" s="8">
        <v>0.79166666666666663</v>
      </c>
      <c r="L1763" t="s">
        <v>563</v>
      </c>
      <c r="M1763" t="s">
        <v>478</v>
      </c>
      <c r="N1763" t="str">
        <f>Tabela_tudo[[#This Row],[Médico]]&amp;" ("&amp;Tabela_tudo[[#This Row],[Obs]]&amp;")"</f>
        <v>EDU ()</v>
      </c>
    </row>
    <row r="1764" spans="1:14" x14ac:dyDescent="0.3">
      <c r="A1764" s="1">
        <v>45118</v>
      </c>
      <c r="B1764" t="s">
        <v>12</v>
      </c>
      <c r="C1764" t="s">
        <v>463</v>
      </c>
      <c r="D1764" s="8">
        <v>0.75</v>
      </c>
      <c r="E1764" s="8">
        <v>0.79166666666666663</v>
      </c>
      <c r="L1764" t="s">
        <v>563</v>
      </c>
      <c r="M1764" t="s">
        <v>478</v>
      </c>
      <c r="N1764" t="str">
        <f>Tabela_tudo[[#This Row],[Médico]]&amp;" ("&amp;Tabela_tudo[[#This Row],[Obs]]&amp;")"</f>
        <v>EDU ()</v>
      </c>
    </row>
    <row r="1765" spans="1:14" x14ac:dyDescent="0.3">
      <c r="A1765" s="1">
        <v>45111</v>
      </c>
      <c r="B1765" t="s">
        <v>12</v>
      </c>
      <c r="C1765" t="s">
        <v>463</v>
      </c>
      <c r="D1765" s="8">
        <v>0.75</v>
      </c>
      <c r="E1765" s="8">
        <v>0.79166666666666663</v>
      </c>
      <c r="L1765" t="s">
        <v>563</v>
      </c>
      <c r="M1765" t="s">
        <v>478</v>
      </c>
      <c r="N1765" t="str">
        <f>Tabela_tudo[[#This Row],[Médico]]&amp;" ("&amp;Tabela_tudo[[#This Row],[Obs]]&amp;")"</f>
        <v>EDU ()</v>
      </c>
    </row>
    <row r="1766" spans="1:14" x14ac:dyDescent="0.3">
      <c r="A1766" s="1">
        <v>45104</v>
      </c>
      <c r="B1766" t="s">
        <v>12</v>
      </c>
      <c r="C1766" t="s">
        <v>463</v>
      </c>
      <c r="D1766" s="8">
        <v>0.75</v>
      </c>
      <c r="E1766" s="8">
        <v>0.79166666666666663</v>
      </c>
      <c r="L1766" t="s">
        <v>563</v>
      </c>
      <c r="M1766" t="s">
        <v>478</v>
      </c>
      <c r="N1766" t="str">
        <f>Tabela_tudo[[#This Row],[Médico]]&amp;" ("&amp;Tabela_tudo[[#This Row],[Obs]]&amp;")"</f>
        <v>EDU ()</v>
      </c>
    </row>
    <row r="1767" spans="1:14" x14ac:dyDescent="0.3">
      <c r="A1767" s="1">
        <v>45181</v>
      </c>
      <c r="B1767" t="s">
        <v>12</v>
      </c>
      <c r="C1767" t="s">
        <v>463</v>
      </c>
      <c r="D1767" s="8">
        <v>0.75</v>
      </c>
      <c r="E1767" s="8">
        <v>0.79166666666666663</v>
      </c>
      <c r="L1767" t="s">
        <v>563</v>
      </c>
      <c r="M1767" t="s">
        <v>478</v>
      </c>
      <c r="N1767" t="str">
        <f>Tabela_tudo[[#This Row],[Médico]]&amp;" ("&amp;Tabela_tudo[[#This Row],[Obs]]&amp;")"</f>
        <v>EDU ()</v>
      </c>
    </row>
    <row r="1768" spans="1:14" x14ac:dyDescent="0.3">
      <c r="A1768" s="1">
        <v>45251</v>
      </c>
      <c r="B1768" t="s">
        <v>12</v>
      </c>
      <c r="C1768" t="s">
        <v>463</v>
      </c>
      <c r="D1768" s="8">
        <v>0.75</v>
      </c>
      <c r="E1768" s="8">
        <v>0.79166666666666663</v>
      </c>
      <c r="L1768" t="s">
        <v>563</v>
      </c>
      <c r="M1768" t="s">
        <v>478</v>
      </c>
      <c r="N1768" t="str">
        <f>Tabela_tudo[[#This Row],[Médico]]&amp;" ("&amp;Tabela_tudo[[#This Row],[Obs]]&amp;")"</f>
        <v>EDU ()</v>
      </c>
    </row>
    <row r="1769" spans="1:14" x14ac:dyDescent="0.3">
      <c r="A1769" s="1">
        <v>45244</v>
      </c>
      <c r="B1769" t="s">
        <v>12</v>
      </c>
      <c r="C1769" t="s">
        <v>463</v>
      </c>
      <c r="D1769" s="8">
        <v>0.75</v>
      </c>
      <c r="E1769" s="8">
        <v>0.79166666666666663</v>
      </c>
      <c r="L1769" t="s">
        <v>563</v>
      </c>
      <c r="M1769" t="s">
        <v>478</v>
      </c>
      <c r="N1769" t="str">
        <f>Tabela_tudo[[#This Row],[Médico]]&amp;" ("&amp;Tabela_tudo[[#This Row],[Obs]]&amp;")"</f>
        <v>EDU ()</v>
      </c>
    </row>
    <row r="1770" spans="1:14" x14ac:dyDescent="0.3">
      <c r="A1770" s="1">
        <v>45237</v>
      </c>
      <c r="B1770" t="s">
        <v>12</v>
      </c>
      <c r="C1770" t="s">
        <v>463</v>
      </c>
      <c r="D1770" s="8">
        <v>0.75</v>
      </c>
      <c r="E1770" s="8">
        <v>0.79166666666666663</v>
      </c>
      <c r="L1770" t="s">
        <v>563</v>
      </c>
      <c r="M1770" t="s">
        <v>478</v>
      </c>
      <c r="N1770" t="str">
        <f>Tabela_tudo[[#This Row],[Médico]]&amp;" ("&amp;Tabela_tudo[[#This Row],[Obs]]&amp;")"</f>
        <v>EDU ()</v>
      </c>
    </row>
    <row r="1771" spans="1:14" x14ac:dyDescent="0.3">
      <c r="A1771" s="1">
        <v>45258</v>
      </c>
      <c r="B1771" t="s">
        <v>12</v>
      </c>
      <c r="C1771" t="s">
        <v>463</v>
      </c>
      <c r="D1771" s="8">
        <v>0.75</v>
      </c>
      <c r="E1771" s="8">
        <v>0.79166666666666663</v>
      </c>
      <c r="L1771" t="s">
        <v>563</v>
      </c>
      <c r="M1771" t="s">
        <v>478</v>
      </c>
      <c r="N1771" t="str">
        <f>Tabela_tudo[[#This Row],[Médico]]&amp;" ("&amp;Tabela_tudo[[#This Row],[Obs]]&amp;")"</f>
        <v>EDU ()</v>
      </c>
    </row>
    <row r="1772" spans="1:14" x14ac:dyDescent="0.3">
      <c r="A1772" s="1">
        <v>45279</v>
      </c>
      <c r="B1772" t="s">
        <v>12</v>
      </c>
      <c r="C1772" t="s">
        <v>463</v>
      </c>
      <c r="D1772" s="8">
        <v>0.75</v>
      </c>
      <c r="E1772" s="8">
        <v>0.79166666666666663</v>
      </c>
      <c r="L1772" t="s">
        <v>563</v>
      </c>
      <c r="M1772" t="s">
        <v>478</v>
      </c>
      <c r="N1772" t="str">
        <f>Tabela_tudo[[#This Row],[Médico]]&amp;" ("&amp;Tabela_tudo[[#This Row],[Obs]]&amp;")"</f>
        <v>EDU ()</v>
      </c>
    </row>
    <row r="1773" spans="1:14" x14ac:dyDescent="0.3">
      <c r="A1773" s="1">
        <v>45272</v>
      </c>
      <c r="B1773" t="s">
        <v>12</v>
      </c>
      <c r="C1773" t="s">
        <v>463</v>
      </c>
      <c r="D1773" s="8">
        <v>0.75</v>
      </c>
      <c r="E1773" s="8">
        <v>0.79166666666666663</v>
      </c>
      <c r="L1773" t="s">
        <v>563</v>
      </c>
      <c r="M1773" t="s">
        <v>478</v>
      </c>
      <c r="N1773" t="str">
        <f>Tabela_tudo[[#This Row],[Médico]]&amp;" ("&amp;Tabela_tudo[[#This Row],[Obs]]&amp;")"</f>
        <v>EDU ()</v>
      </c>
    </row>
    <row r="1774" spans="1:14" x14ac:dyDescent="0.3">
      <c r="A1774" s="1">
        <v>45265</v>
      </c>
      <c r="B1774" t="s">
        <v>12</v>
      </c>
      <c r="C1774" t="s">
        <v>463</v>
      </c>
      <c r="D1774" s="8">
        <v>0.75</v>
      </c>
      <c r="E1774" s="8">
        <v>0.79166666666666663</v>
      </c>
      <c r="L1774" t="s">
        <v>563</v>
      </c>
      <c r="M1774" t="s">
        <v>478</v>
      </c>
      <c r="N1774" t="str">
        <f>Tabela_tudo[[#This Row],[Médico]]&amp;" ("&amp;Tabela_tudo[[#This Row],[Obs]]&amp;")"</f>
        <v>EDU ()</v>
      </c>
    </row>
    <row r="1775" spans="1:14" x14ac:dyDescent="0.3">
      <c r="A1775" s="1">
        <v>45202</v>
      </c>
      <c r="B1775" t="s">
        <v>12</v>
      </c>
      <c r="C1775" t="s">
        <v>463</v>
      </c>
      <c r="D1775" s="8">
        <v>0.75</v>
      </c>
      <c r="E1775" s="8">
        <v>0.79166666666666663</v>
      </c>
      <c r="L1775" t="s">
        <v>563</v>
      </c>
      <c r="M1775" t="s">
        <v>478</v>
      </c>
      <c r="N1775" t="str">
        <f>Tabela_tudo[[#This Row],[Médico]]&amp;" ("&amp;Tabela_tudo[[#This Row],[Obs]]&amp;")"</f>
        <v>EDU ()</v>
      </c>
    </row>
    <row r="1776" spans="1:14" x14ac:dyDescent="0.3">
      <c r="A1776" s="1">
        <v>45195</v>
      </c>
      <c r="B1776" t="s">
        <v>12</v>
      </c>
      <c r="C1776" t="s">
        <v>463</v>
      </c>
      <c r="D1776" s="8">
        <v>0.75</v>
      </c>
      <c r="E1776" s="8">
        <v>0.79166666666666663</v>
      </c>
      <c r="L1776" t="s">
        <v>563</v>
      </c>
      <c r="M1776" t="s">
        <v>478</v>
      </c>
      <c r="N1776" t="str">
        <f>Tabela_tudo[[#This Row],[Médico]]&amp;" ("&amp;Tabela_tudo[[#This Row],[Obs]]&amp;")"</f>
        <v>EDU ()</v>
      </c>
    </row>
    <row r="1777" spans="1:14" x14ac:dyDescent="0.3">
      <c r="A1777" s="1">
        <v>45188</v>
      </c>
      <c r="B1777" t="s">
        <v>12</v>
      </c>
      <c r="C1777" t="s">
        <v>463</v>
      </c>
      <c r="D1777" s="8">
        <v>0.75</v>
      </c>
      <c r="E1777" s="8">
        <v>0.79166666666666663</v>
      </c>
      <c r="L1777" t="s">
        <v>563</v>
      </c>
      <c r="M1777" t="s">
        <v>478</v>
      </c>
      <c r="N1777" t="str">
        <f>Tabela_tudo[[#This Row],[Médico]]&amp;" ("&amp;Tabela_tudo[[#This Row],[Obs]]&amp;")"</f>
        <v>EDU ()</v>
      </c>
    </row>
    <row r="1778" spans="1:14" x14ac:dyDescent="0.3">
      <c r="A1778" s="1">
        <v>45209</v>
      </c>
      <c r="B1778" t="s">
        <v>12</v>
      </c>
      <c r="C1778" t="s">
        <v>463</v>
      </c>
      <c r="D1778" s="8">
        <v>0.75</v>
      </c>
      <c r="E1778" s="8">
        <v>0.79166666666666663</v>
      </c>
      <c r="L1778" t="s">
        <v>563</v>
      </c>
      <c r="M1778" t="s">
        <v>478</v>
      </c>
      <c r="N1778" t="str">
        <f>Tabela_tudo[[#This Row],[Médico]]&amp;" ("&amp;Tabela_tudo[[#This Row],[Obs]]&amp;")"</f>
        <v>EDU ()</v>
      </c>
    </row>
    <row r="1779" spans="1:14" x14ac:dyDescent="0.3">
      <c r="A1779" s="1">
        <v>45230</v>
      </c>
      <c r="B1779" t="s">
        <v>12</v>
      </c>
      <c r="C1779" t="s">
        <v>463</v>
      </c>
      <c r="D1779" s="8">
        <v>0.75</v>
      </c>
      <c r="E1779" s="8">
        <v>0.79166666666666663</v>
      </c>
      <c r="L1779" t="s">
        <v>563</v>
      </c>
      <c r="M1779" t="s">
        <v>478</v>
      </c>
      <c r="N1779" t="str">
        <f>Tabela_tudo[[#This Row],[Médico]]&amp;" ("&amp;Tabela_tudo[[#This Row],[Obs]]&amp;")"</f>
        <v>EDU ()</v>
      </c>
    </row>
    <row r="1780" spans="1:14" x14ac:dyDescent="0.3">
      <c r="A1780" s="1">
        <v>45223</v>
      </c>
      <c r="B1780" t="s">
        <v>12</v>
      </c>
      <c r="C1780" t="s">
        <v>463</v>
      </c>
      <c r="D1780" s="8">
        <v>0.75</v>
      </c>
      <c r="E1780" s="8">
        <v>0.79166666666666663</v>
      </c>
      <c r="L1780" t="s">
        <v>563</v>
      </c>
      <c r="M1780" t="s">
        <v>478</v>
      </c>
      <c r="N1780" t="str">
        <f>Tabela_tudo[[#This Row],[Médico]]&amp;" ("&amp;Tabela_tudo[[#This Row],[Obs]]&amp;")"</f>
        <v>EDU ()</v>
      </c>
    </row>
    <row r="1781" spans="1:14" x14ac:dyDescent="0.3">
      <c r="A1781" s="1">
        <v>45216</v>
      </c>
      <c r="B1781" t="s">
        <v>12</v>
      </c>
      <c r="C1781" t="s">
        <v>463</v>
      </c>
      <c r="D1781" s="8">
        <v>0.75</v>
      </c>
      <c r="E1781" s="8">
        <v>0.79166666666666663</v>
      </c>
      <c r="L1781" t="s">
        <v>563</v>
      </c>
      <c r="M1781" t="s">
        <v>478</v>
      </c>
      <c r="N1781" t="str">
        <f>Tabela_tudo[[#This Row],[Médico]]&amp;" ("&amp;Tabela_tudo[[#This Row],[Obs]]&amp;")"</f>
        <v>EDU ()</v>
      </c>
    </row>
    <row r="1782" spans="1:14" x14ac:dyDescent="0.3">
      <c r="A1782" s="1">
        <v>45069</v>
      </c>
      <c r="B1782" t="s">
        <v>12</v>
      </c>
      <c r="C1782" t="s">
        <v>463</v>
      </c>
      <c r="D1782" s="8">
        <v>0.75</v>
      </c>
      <c r="E1782" s="8">
        <v>0.79166666666666663</v>
      </c>
      <c r="L1782" t="s">
        <v>563</v>
      </c>
      <c r="M1782" t="s">
        <v>478</v>
      </c>
      <c r="N1782" t="str">
        <f>Tabela_tudo[[#This Row],[Médico]]&amp;" ("&amp;Tabela_tudo[[#This Row],[Obs]]&amp;")"</f>
        <v>EDU ()</v>
      </c>
    </row>
    <row r="1783" spans="1:14" x14ac:dyDescent="0.3">
      <c r="A1783" s="1">
        <v>44929</v>
      </c>
      <c r="B1783" t="s">
        <v>12</v>
      </c>
      <c r="C1783" t="s">
        <v>463</v>
      </c>
      <c r="D1783" s="8">
        <v>0.75</v>
      </c>
      <c r="E1783" s="8">
        <v>0.79166666666666663</v>
      </c>
      <c r="L1783" t="s">
        <v>563</v>
      </c>
      <c r="M1783" t="s">
        <v>478</v>
      </c>
      <c r="N1783" t="str">
        <f>Tabela_tudo[[#This Row],[Médico]]&amp;" ("&amp;Tabela_tudo[[#This Row],[Obs]]&amp;")"</f>
        <v>EDU ()</v>
      </c>
    </row>
    <row r="1784" spans="1:14" x14ac:dyDescent="0.3">
      <c r="A1784" s="1">
        <v>45650</v>
      </c>
      <c r="B1784" t="s">
        <v>23</v>
      </c>
      <c r="C1784" t="s">
        <v>463</v>
      </c>
      <c r="D1784" s="8">
        <v>0.75</v>
      </c>
      <c r="E1784" s="8">
        <v>0.79166666666666663</v>
      </c>
      <c r="L1784" t="s">
        <v>563</v>
      </c>
      <c r="M1784" t="s">
        <v>478</v>
      </c>
      <c r="N1784" t="str">
        <f>Tabela_tudo[[#This Row],[Médico]]&amp;" ("&amp;Tabela_tudo[[#This Row],[Obs]]&amp;")"</f>
        <v>BG ()</v>
      </c>
    </row>
    <row r="1785" spans="1:14" x14ac:dyDescent="0.3">
      <c r="A1785" s="1">
        <v>45643</v>
      </c>
      <c r="B1785" t="s">
        <v>23</v>
      </c>
      <c r="C1785" t="s">
        <v>463</v>
      </c>
      <c r="D1785" s="8">
        <v>0.75</v>
      </c>
      <c r="E1785" s="8">
        <v>0.79166666666666663</v>
      </c>
      <c r="L1785" t="s">
        <v>563</v>
      </c>
      <c r="M1785" t="s">
        <v>478</v>
      </c>
      <c r="N1785" t="str">
        <f>Tabela_tudo[[#This Row],[Médico]]&amp;" ("&amp;Tabela_tudo[[#This Row],[Obs]]&amp;")"</f>
        <v>BG ()</v>
      </c>
    </row>
    <row r="1786" spans="1:14" x14ac:dyDescent="0.3">
      <c r="A1786" s="1">
        <v>44936</v>
      </c>
      <c r="B1786" t="s">
        <v>12</v>
      </c>
      <c r="C1786" t="s">
        <v>463</v>
      </c>
      <c r="D1786" s="8">
        <v>0.75</v>
      </c>
      <c r="E1786" s="8">
        <v>0.79166666666666663</v>
      </c>
      <c r="L1786" t="s">
        <v>563</v>
      </c>
      <c r="M1786" t="s">
        <v>478</v>
      </c>
      <c r="N1786" t="str">
        <f>Tabela_tudo[[#This Row],[Médico]]&amp;" ("&amp;Tabela_tudo[[#This Row],[Obs]]&amp;")"</f>
        <v>EDU ()</v>
      </c>
    </row>
    <row r="1787" spans="1:14" x14ac:dyDescent="0.3">
      <c r="A1787" s="1">
        <v>44957</v>
      </c>
      <c r="B1787" t="s">
        <v>12</v>
      </c>
      <c r="C1787" t="s">
        <v>463</v>
      </c>
      <c r="D1787" s="8">
        <v>0.75</v>
      </c>
      <c r="E1787" s="8">
        <v>0.79166666666666663</v>
      </c>
      <c r="L1787" t="s">
        <v>563</v>
      </c>
      <c r="M1787" t="s">
        <v>478</v>
      </c>
      <c r="N1787" t="str">
        <f>Tabela_tudo[[#This Row],[Médico]]&amp;" ("&amp;Tabela_tudo[[#This Row],[Obs]]&amp;")"</f>
        <v>EDU ()</v>
      </c>
    </row>
    <row r="1788" spans="1:14" x14ac:dyDescent="0.3">
      <c r="A1788" s="1">
        <v>44950</v>
      </c>
      <c r="B1788" t="s">
        <v>12</v>
      </c>
      <c r="C1788" t="s">
        <v>463</v>
      </c>
      <c r="D1788" s="8">
        <v>0.75</v>
      </c>
      <c r="E1788" s="8">
        <v>0.79166666666666663</v>
      </c>
      <c r="L1788" t="s">
        <v>563</v>
      </c>
      <c r="M1788" t="s">
        <v>478</v>
      </c>
      <c r="N1788" t="str">
        <f>Tabela_tudo[[#This Row],[Médico]]&amp;" ("&amp;Tabela_tudo[[#This Row],[Obs]]&amp;")"</f>
        <v>EDU ()</v>
      </c>
    </row>
    <row r="1789" spans="1:14" x14ac:dyDescent="0.3">
      <c r="A1789" s="1">
        <v>44943</v>
      </c>
      <c r="B1789" t="s">
        <v>12</v>
      </c>
      <c r="C1789" t="s">
        <v>463</v>
      </c>
      <c r="D1789" s="8">
        <v>0.75</v>
      </c>
      <c r="E1789" s="8">
        <v>0.79166666666666663</v>
      </c>
      <c r="L1789" t="s">
        <v>563</v>
      </c>
      <c r="M1789" t="s">
        <v>478</v>
      </c>
      <c r="N1789" t="str">
        <f>Tabela_tudo[[#This Row],[Médico]]&amp;" ("&amp;Tabela_tudo[[#This Row],[Obs]]&amp;")"</f>
        <v>EDU ()</v>
      </c>
    </row>
    <row r="1790" spans="1:14" x14ac:dyDescent="0.3">
      <c r="A1790" s="1">
        <v>45608</v>
      </c>
      <c r="B1790" t="s">
        <v>23</v>
      </c>
      <c r="C1790" t="s">
        <v>463</v>
      </c>
      <c r="D1790" s="8">
        <v>0.75</v>
      </c>
      <c r="E1790" s="8">
        <v>0.79166666666666663</v>
      </c>
      <c r="L1790" t="s">
        <v>563</v>
      </c>
      <c r="M1790" t="s">
        <v>478</v>
      </c>
      <c r="N1790" t="str">
        <f>Tabela_tudo[[#This Row],[Médico]]&amp;" ("&amp;Tabela_tudo[[#This Row],[Obs]]&amp;")"</f>
        <v>BG ()</v>
      </c>
    </row>
    <row r="1791" spans="1:14" x14ac:dyDescent="0.3">
      <c r="A1791" s="1">
        <v>45601</v>
      </c>
      <c r="B1791" t="s">
        <v>23</v>
      </c>
      <c r="C1791" t="s">
        <v>463</v>
      </c>
      <c r="D1791" s="8">
        <v>0.75</v>
      </c>
      <c r="E1791" s="8">
        <v>0.79166666666666663</v>
      </c>
      <c r="L1791" t="s">
        <v>563</v>
      </c>
      <c r="M1791" t="s">
        <v>478</v>
      </c>
      <c r="N1791" t="str">
        <f>Tabela_tudo[[#This Row],[Médico]]&amp;" ("&amp;Tabela_tudo[[#This Row],[Obs]]&amp;")"</f>
        <v>BG ()</v>
      </c>
    </row>
    <row r="1792" spans="1:14" x14ac:dyDescent="0.3">
      <c r="A1792" s="1">
        <v>45594</v>
      </c>
      <c r="B1792" t="s">
        <v>23</v>
      </c>
      <c r="C1792" t="s">
        <v>463</v>
      </c>
      <c r="D1792" s="8">
        <v>0.75</v>
      </c>
      <c r="E1792" s="8">
        <v>0.79166666666666663</v>
      </c>
      <c r="L1792" t="s">
        <v>563</v>
      </c>
      <c r="M1792" t="s">
        <v>478</v>
      </c>
      <c r="N1792" t="str">
        <f>Tabela_tudo[[#This Row],[Médico]]&amp;" ("&amp;Tabela_tudo[[#This Row],[Obs]]&amp;")"</f>
        <v>BG ()</v>
      </c>
    </row>
    <row r="1793" spans="1:14" x14ac:dyDescent="0.3">
      <c r="A1793" s="1">
        <v>45615</v>
      </c>
      <c r="B1793" t="s">
        <v>23</v>
      </c>
      <c r="C1793" t="s">
        <v>463</v>
      </c>
      <c r="D1793" s="8">
        <v>0.75</v>
      </c>
      <c r="E1793" s="8">
        <v>0.79166666666666663</v>
      </c>
      <c r="L1793" t="s">
        <v>563</v>
      </c>
      <c r="M1793" t="s">
        <v>478</v>
      </c>
      <c r="N1793" t="str">
        <f>Tabela_tudo[[#This Row],[Médico]]&amp;" ("&amp;Tabela_tudo[[#This Row],[Obs]]&amp;")"</f>
        <v>BG ()</v>
      </c>
    </row>
    <row r="1794" spans="1:14" x14ac:dyDescent="0.3">
      <c r="A1794" s="1">
        <v>45636</v>
      </c>
      <c r="B1794" t="s">
        <v>23</v>
      </c>
      <c r="C1794" t="s">
        <v>463</v>
      </c>
      <c r="D1794" s="8">
        <v>0.75</v>
      </c>
      <c r="E1794" s="8">
        <v>0.79166666666666663</v>
      </c>
      <c r="L1794" t="s">
        <v>563</v>
      </c>
      <c r="M1794" t="s">
        <v>478</v>
      </c>
      <c r="N1794" t="str">
        <f>Tabela_tudo[[#This Row],[Médico]]&amp;" ("&amp;Tabela_tudo[[#This Row],[Obs]]&amp;")"</f>
        <v>BG ()</v>
      </c>
    </row>
    <row r="1795" spans="1:14" x14ac:dyDescent="0.3">
      <c r="A1795" s="1">
        <v>45629</v>
      </c>
      <c r="B1795" t="s">
        <v>23</v>
      </c>
      <c r="C1795" t="s">
        <v>463</v>
      </c>
      <c r="D1795" s="8">
        <v>0.75</v>
      </c>
      <c r="E1795" s="8">
        <v>0.79166666666666663</v>
      </c>
      <c r="L1795" t="s">
        <v>563</v>
      </c>
      <c r="M1795" t="s">
        <v>478</v>
      </c>
      <c r="N1795" t="str">
        <f>Tabela_tudo[[#This Row],[Médico]]&amp;" ("&amp;Tabela_tudo[[#This Row],[Obs]]&amp;")"</f>
        <v>BG ()</v>
      </c>
    </row>
    <row r="1796" spans="1:14" x14ac:dyDescent="0.3">
      <c r="A1796" s="1">
        <v>45622</v>
      </c>
      <c r="B1796" t="s">
        <v>23</v>
      </c>
      <c r="C1796" t="s">
        <v>463</v>
      </c>
      <c r="D1796" s="8">
        <v>0.75</v>
      </c>
      <c r="E1796" s="8">
        <v>0.79166666666666663</v>
      </c>
      <c r="L1796" t="s">
        <v>563</v>
      </c>
      <c r="M1796" t="s">
        <v>478</v>
      </c>
      <c r="N1796" t="str">
        <f>Tabela_tudo[[#This Row],[Médico]]&amp;" ("&amp;Tabela_tudo[[#This Row],[Obs]]&amp;")"</f>
        <v>BG ()</v>
      </c>
    </row>
    <row r="1797" spans="1:14" x14ac:dyDescent="0.3">
      <c r="A1797" s="1">
        <v>44964</v>
      </c>
      <c r="B1797" t="s">
        <v>12</v>
      </c>
      <c r="C1797" t="s">
        <v>463</v>
      </c>
      <c r="D1797" s="8">
        <v>0.75</v>
      </c>
      <c r="E1797" s="8">
        <v>0.79166666666666663</v>
      </c>
      <c r="L1797" t="s">
        <v>563</v>
      </c>
      <c r="M1797" t="s">
        <v>478</v>
      </c>
      <c r="N1797" t="str">
        <f>Tabela_tudo[[#This Row],[Médico]]&amp;" ("&amp;Tabela_tudo[[#This Row],[Obs]]&amp;")"</f>
        <v>EDU ()</v>
      </c>
    </row>
    <row r="1798" spans="1:14" x14ac:dyDescent="0.3">
      <c r="A1798" s="1">
        <v>45034</v>
      </c>
      <c r="B1798" t="s">
        <v>12</v>
      </c>
      <c r="C1798" t="s">
        <v>463</v>
      </c>
      <c r="D1798" s="8">
        <v>0.75</v>
      </c>
      <c r="E1798" s="8">
        <v>0.79166666666666663</v>
      </c>
      <c r="L1798" t="s">
        <v>563</v>
      </c>
      <c r="M1798" t="s">
        <v>478</v>
      </c>
      <c r="N1798" t="str">
        <f>Tabela_tudo[[#This Row],[Médico]]&amp;" ("&amp;Tabela_tudo[[#This Row],[Obs]]&amp;")"</f>
        <v>EDU ()</v>
      </c>
    </row>
    <row r="1799" spans="1:14" x14ac:dyDescent="0.3">
      <c r="A1799" s="1">
        <v>45027</v>
      </c>
      <c r="B1799" t="s">
        <v>12</v>
      </c>
      <c r="C1799" t="s">
        <v>463</v>
      </c>
      <c r="D1799" s="8">
        <v>0.75</v>
      </c>
      <c r="E1799" s="8">
        <v>0.79166666666666663</v>
      </c>
      <c r="L1799" t="s">
        <v>563</v>
      </c>
      <c r="M1799" t="s">
        <v>478</v>
      </c>
      <c r="N1799" t="str">
        <f>Tabela_tudo[[#This Row],[Médico]]&amp;" ("&amp;Tabela_tudo[[#This Row],[Obs]]&amp;")"</f>
        <v>EDU ()</v>
      </c>
    </row>
    <row r="1800" spans="1:14" x14ac:dyDescent="0.3">
      <c r="A1800" s="1">
        <v>45020</v>
      </c>
      <c r="B1800" t="s">
        <v>12</v>
      </c>
      <c r="C1800" t="s">
        <v>463</v>
      </c>
      <c r="D1800" s="8">
        <v>0.75</v>
      </c>
      <c r="E1800" s="8">
        <v>0.79166666666666663</v>
      </c>
      <c r="L1800" t="s">
        <v>563</v>
      </c>
      <c r="M1800" t="s">
        <v>478</v>
      </c>
      <c r="N1800" t="str">
        <f>Tabela_tudo[[#This Row],[Médico]]&amp;" ("&amp;Tabela_tudo[[#This Row],[Obs]]&amp;")"</f>
        <v>EDU ()</v>
      </c>
    </row>
    <row r="1801" spans="1:14" x14ac:dyDescent="0.3">
      <c r="A1801" s="1">
        <v>45041</v>
      </c>
      <c r="B1801" t="s">
        <v>12</v>
      </c>
      <c r="C1801" t="s">
        <v>463</v>
      </c>
      <c r="D1801" s="8">
        <v>0.75</v>
      </c>
      <c r="E1801" s="8">
        <v>0.79166666666666663</v>
      </c>
      <c r="L1801" t="s">
        <v>563</v>
      </c>
      <c r="M1801" t="s">
        <v>478</v>
      </c>
      <c r="N1801" t="str">
        <f>Tabela_tudo[[#This Row],[Médico]]&amp;" ("&amp;Tabela_tudo[[#This Row],[Obs]]&amp;")"</f>
        <v>EDU ()</v>
      </c>
    </row>
    <row r="1802" spans="1:14" x14ac:dyDescent="0.3">
      <c r="A1802" s="1">
        <v>45062</v>
      </c>
      <c r="B1802" t="s">
        <v>12</v>
      </c>
      <c r="C1802" t="s">
        <v>463</v>
      </c>
      <c r="D1802" s="8">
        <v>0.75</v>
      </c>
      <c r="E1802" s="8">
        <v>0.79166666666666663</v>
      </c>
      <c r="L1802" t="s">
        <v>563</v>
      </c>
      <c r="M1802" t="s">
        <v>478</v>
      </c>
      <c r="N1802" t="str">
        <f>Tabela_tudo[[#This Row],[Médico]]&amp;" ("&amp;Tabela_tudo[[#This Row],[Obs]]&amp;")"</f>
        <v>EDU ()</v>
      </c>
    </row>
    <row r="1803" spans="1:14" x14ac:dyDescent="0.3">
      <c r="A1803" s="1">
        <v>45055</v>
      </c>
      <c r="B1803" t="s">
        <v>12</v>
      </c>
      <c r="C1803" t="s">
        <v>463</v>
      </c>
      <c r="D1803" s="8">
        <v>0.75</v>
      </c>
      <c r="E1803" s="8">
        <v>0.79166666666666663</v>
      </c>
      <c r="L1803" t="s">
        <v>563</v>
      </c>
      <c r="M1803" t="s">
        <v>478</v>
      </c>
      <c r="N1803" t="str">
        <f>Tabela_tudo[[#This Row],[Médico]]&amp;" ("&amp;Tabela_tudo[[#This Row],[Obs]]&amp;")"</f>
        <v>EDU ()</v>
      </c>
    </row>
    <row r="1804" spans="1:14" x14ac:dyDescent="0.3">
      <c r="A1804" s="1">
        <v>45048</v>
      </c>
      <c r="B1804" t="s">
        <v>12</v>
      </c>
      <c r="C1804" t="s">
        <v>463</v>
      </c>
      <c r="D1804" s="8">
        <v>0.75</v>
      </c>
      <c r="E1804" s="8">
        <v>0.79166666666666663</v>
      </c>
      <c r="L1804" t="s">
        <v>563</v>
      </c>
      <c r="M1804" t="s">
        <v>478</v>
      </c>
      <c r="N1804" t="str">
        <f>Tabela_tudo[[#This Row],[Médico]]&amp;" ("&amp;Tabela_tudo[[#This Row],[Obs]]&amp;")"</f>
        <v>EDU ()</v>
      </c>
    </row>
    <row r="1805" spans="1:14" x14ac:dyDescent="0.3">
      <c r="A1805" s="1">
        <v>44985</v>
      </c>
      <c r="B1805" t="s">
        <v>12</v>
      </c>
      <c r="C1805" t="s">
        <v>463</v>
      </c>
      <c r="D1805" s="8">
        <v>0.75</v>
      </c>
      <c r="E1805" s="8">
        <v>0.79166666666666663</v>
      </c>
      <c r="L1805" t="s">
        <v>563</v>
      </c>
      <c r="M1805" t="s">
        <v>478</v>
      </c>
      <c r="N1805" t="str">
        <f>Tabela_tudo[[#This Row],[Médico]]&amp;" ("&amp;Tabela_tudo[[#This Row],[Obs]]&amp;")"</f>
        <v>EDU ()</v>
      </c>
    </row>
    <row r="1806" spans="1:14" x14ac:dyDescent="0.3">
      <c r="A1806" s="1">
        <v>44978</v>
      </c>
      <c r="B1806" t="s">
        <v>12</v>
      </c>
      <c r="C1806" t="s">
        <v>463</v>
      </c>
      <c r="D1806" s="8">
        <v>0.75</v>
      </c>
      <c r="E1806" s="8">
        <v>0.79166666666666663</v>
      </c>
      <c r="L1806" t="s">
        <v>563</v>
      </c>
      <c r="M1806" t="s">
        <v>478</v>
      </c>
      <c r="N1806" t="str">
        <f>Tabela_tudo[[#This Row],[Médico]]&amp;" ("&amp;Tabela_tudo[[#This Row],[Obs]]&amp;")"</f>
        <v>EDU ()</v>
      </c>
    </row>
    <row r="1807" spans="1:14" x14ac:dyDescent="0.3">
      <c r="A1807" s="1">
        <v>44971</v>
      </c>
      <c r="B1807" t="s">
        <v>12</v>
      </c>
      <c r="C1807" t="s">
        <v>463</v>
      </c>
      <c r="D1807" s="8">
        <v>0.75</v>
      </c>
      <c r="E1807" s="8">
        <v>0.79166666666666663</v>
      </c>
      <c r="L1807" t="s">
        <v>563</v>
      </c>
      <c r="M1807" t="s">
        <v>478</v>
      </c>
      <c r="N1807" t="str">
        <f>Tabela_tudo[[#This Row],[Médico]]&amp;" ("&amp;Tabela_tudo[[#This Row],[Obs]]&amp;")"</f>
        <v>EDU ()</v>
      </c>
    </row>
    <row r="1808" spans="1:14" x14ac:dyDescent="0.3">
      <c r="A1808" s="1">
        <v>44992</v>
      </c>
      <c r="B1808" t="s">
        <v>12</v>
      </c>
      <c r="C1808" t="s">
        <v>463</v>
      </c>
      <c r="D1808" s="8">
        <v>0.75</v>
      </c>
      <c r="E1808" s="8">
        <v>0.79166666666666663</v>
      </c>
      <c r="L1808" t="s">
        <v>563</v>
      </c>
      <c r="M1808" t="s">
        <v>478</v>
      </c>
      <c r="N1808" t="str">
        <f>Tabela_tudo[[#This Row],[Médico]]&amp;" ("&amp;Tabela_tudo[[#This Row],[Obs]]&amp;")"</f>
        <v>EDU ()</v>
      </c>
    </row>
    <row r="1809" spans="1:14" x14ac:dyDescent="0.3">
      <c r="A1809" s="1">
        <v>45013</v>
      </c>
      <c r="B1809" t="s">
        <v>12</v>
      </c>
      <c r="C1809" t="s">
        <v>463</v>
      </c>
      <c r="D1809" s="8">
        <v>0.75</v>
      </c>
      <c r="E1809" s="8">
        <v>0.79166666666666663</v>
      </c>
      <c r="L1809" t="s">
        <v>563</v>
      </c>
      <c r="M1809" t="s">
        <v>478</v>
      </c>
      <c r="N1809" t="str">
        <f>Tabela_tudo[[#This Row],[Médico]]&amp;" ("&amp;Tabela_tudo[[#This Row],[Obs]]&amp;")"</f>
        <v>EDU ()</v>
      </c>
    </row>
    <row r="1810" spans="1:14" x14ac:dyDescent="0.3">
      <c r="A1810" s="1">
        <v>45006</v>
      </c>
      <c r="B1810" t="s">
        <v>12</v>
      </c>
      <c r="C1810" t="s">
        <v>463</v>
      </c>
      <c r="D1810" s="8">
        <v>0.75</v>
      </c>
      <c r="E1810" s="8">
        <v>0.79166666666666663</v>
      </c>
      <c r="L1810" t="s">
        <v>563</v>
      </c>
      <c r="M1810" t="s">
        <v>478</v>
      </c>
      <c r="N1810" t="str">
        <f>Tabela_tudo[[#This Row],[Médico]]&amp;" ("&amp;Tabela_tudo[[#This Row],[Obs]]&amp;")"</f>
        <v>EDU ()</v>
      </c>
    </row>
    <row r="1811" spans="1:14" x14ac:dyDescent="0.3">
      <c r="A1811" s="1">
        <v>44999</v>
      </c>
      <c r="B1811" t="s">
        <v>12</v>
      </c>
      <c r="C1811" t="s">
        <v>463</v>
      </c>
      <c r="D1811" s="8">
        <v>0.75</v>
      </c>
      <c r="E1811" s="8">
        <v>0.79166666666666663</v>
      </c>
      <c r="L1811" t="s">
        <v>563</v>
      </c>
      <c r="M1811" t="s">
        <v>478</v>
      </c>
      <c r="N1811" t="str">
        <f>Tabela_tudo[[#This Row],[Médico]]&amp;" ("&amp;Tabela_tudo[[#This Row],[Obs]]&amp;")"</f>
        <v>EDU ()</v>
      </c>
    </row>
    <row r="1812" spans="1:14" x14ac:dyDescent="0.3">
      <c r="A1812" s="1">
        <v>45286</v>
      </c>
      <c r="B1812" t="s">
        <v>12</v>
      </c>
      <c r="C1812" t="s">
        <v>463</v>
      </c>
      <c r="D1812" s="8">
        <v>0.75</v>
      </c>
      <c r="E1812" s="8">
        <v>0.79166666666666663</v>
      </c>
      <c r="L1812" t="s">
        <v>563</v>
      </c>
      <c r="M1812" t="s">
        <v>478</v>
      </c>
      <c r="N1812" t="str">
        <f>Tabela_tudo[[#This Row],[Médico]]&amp;" ("&amp;Tabela_tudo[[#This Row],[Obs]]&amp;")"</f>
        <v>EDU ()</v>
      </c>
    </row>
    <row r="1813" spans="1:14" x14ac:dyDescent="0.3">
      <c r="A1813" s="1">
        <v>45566</v>
      </c>
      <c r="B1813" t="s">
        <v>12</v>
      </c>
      <c r="C1813" t="s">
        <v>463</v>
      </c>
      <c r="D1813" s="8">
        <v>0.75</v>
      </c>
      <c r="E1813" s="8">
        <v>0.79166666666666663</v>
      </c>
      <c r="L1813" t="s">
        <v>563</v>
      </c>
      <c r="M1813" t="s">
        <v>478</v>
      </c>
      <c r="N1813" t="str">
        <f>Tabela_tudo[[#This Row],[Médico]]&amp;" ("&amp;Tabela_tudo[[#This Row],[Obs]]&amp;")"</f>
        <v>EDU ()</v>
      </c>
    </row>
    <row r="1814" spans="1:14" x14ac:dyDescent="0.3">
      <c r="A1814" s="1">
        <v>45559</v>
      </c>
      <c r="B1814" t="s">
        <v>12</v>
      </c>
      <c r="C1814" t="s">
        <v>463</v>
      </c>
      <c r="D1814" s="8">
        <v>0.75</v>
      </c>
      <c r="E1814" s="8">
        <v>0.79166666666666663</v>
      </c>
      <c r="L1814" t="s">
        <v>563</v>
      </c>
      <c r="M1814" t="s">
        <v>478</v>
      </c>
      <c r="N1814" t="str">
        <f>Tabela_tudo[[#This Row],[Médico]]&amp;" ("&amp;Tabela_tudo[[#This Row],[Obs]]&amp;")"</f>
        <v>EDU ()</v>
      </c>
    </row>
    <row r="1815" spans="1:14" x14ac:dyDescent="0.3">
      <c r="A1815" s="1">
        <v>45552</v>
      </c>
      <c r="B1815" t="s">
        <v>12</v>
      </c>
      <c r="C1815" t="s">
        <v>463</v>
      </c>
      <c r="D1815" s="8">
        <v>0.75</v>
      </c>
      <c r="E1815" s="8">
        <v>0.79166666666666663</v>
      </c>
      <c r="L1815" t="s">
        <v>563</v>
      </c>
      <c r="M1815" t="s">
        <v>478</v>
      </c>
      <c r="N1815" t="str">
        <f>Tabela_tudo[[#This Row],[Médico]]&amp;" ("&amp;Tabela_tudo[[#This Row],[Obs]]&amp;")"</f>
        <v>EDU ()</v>
      </c>
    </row>
    <row r="1816" spans="1:14" x14ac:dyDescent="0.3">
      <c r="A1816" s="1">
        <v>45573</v>
      </c>
      <c r="B1816" t="s">
        <v>12</v>
      </c>
      <c r="C1816" t="s">
        <v>463</v>
      </c>
      <c r="D1816" s="8">
        <v>0.75</v>
      </c>
      <c r="E1816" s="8">
        <v>0.79166666666666663</v>
      </c>
      <c r="L1816" t="s">
        <v>563</v>
      </c>
      <c r="M1816" t="s">
        <v>478</v>
      </c>
      <c r="N1816" t="str">
        <f>Tabela_tudo[[#This Row],[Médico]]&amp;" ("&amp;Tabela_tudo[[#This Row],[Obs]]&amp;")"</f>
        <v>EDU ()</v>
      </c>
    </row>
    <row r="1817" spans="1:14" x14ac:dyDescent="0.3">
      <c r="A1817" s="1">
        <v>45594</v>
      </c>
      <c r="B1817" t="s">
        <v>12</v>
      </c>
      <c r="C1817" t="s">
        <v>463</v>
      </c>
      <c r="D1817" s="8">
        <v>0.75</v>
      </c>
      <c r="E1817" s="8">
        <v>0.79166666666666663</v>
      </c>
      <c r="L1817" t="s">
        <v>563</v>
      </c>
      <c r="M1817" t="s">
        <v>478</v>
      </c>
      <c r="N1817" t="str">
        <f>Tabela_tudo[[#This Row],[Médico]]&amp;" ("&amp;Tabela_tudo[[#This Row],[Obs]]&amp;")"</f>
        <v>EDU ()</v>
      </c>
    </row>
    <row r="1818" spans="1:14" x14ac:dyDescent="0.3">
      <c r="A1818" s="1">
        <v>45587</v>
      </c>
      <c r="B1818" t="s">
        <v>12</v>
      </c>
      <c r="C1818" t="s">
        <v>463</v>
      </c>
      <c r="D1818" s="8">
        <v>0.75</v>
      </c>
      <c r="E1818" s="8">
        <v>0.79166666666666663</v>
      </c>
      <c r="L1818" t="s">
        <v>563</v>
      </c>
      <c r="M1818" t="s">
        <v>478</v>
      </c>
      <c r="N1818" t="str">
        <f>Tabela_tudo[[#This Row],[Médico]]&amp;" ("&amp;Tabela_tudo[[#This Row],[Obs]]&amp;")"</f>
        <v>EDU ()</v>
      </c>
    </row>
    <row r="1819" spans="1:14" x14ac:dyDescent="0.3">
      <c r="A1819" s="1">
        <v>45580</v>
      </c>
      <c r="B1819" t="s">
        <v>12</v>
      </c>
      <c r="C1819" t="s">
        <v>463</v>
      </c>
      <c r="D1819" s="8">
        <v>0.75</v>
      </c>
      <c r="E1819" s="8">
        <v>0.79166666666666663</v>
      </c>
      <c r="L1819" t="s">
        <v>563</v>
      </c>
      <c r="M1819" t="s">
        <v>478</v>
      </c>
      <c r="N1819" t="str">
        <f>Tabela_tudo[[#This Row],[Médico]]&amp;" ("&amp;Tabela_tudo[[#This Row],[Obs]]&amp;")"</f>
        <v>EDU ()</v>
      </c>
    </row>
    <row r="1820" spans="1:14" x14ac:dyDescent="0.3">
      <c r="A1820" s="1">
        <v>45517</v>
      </c>
      <c r="B1820" t="s">
        <v>12</v>
      </c>
      <c r="C1820" t="s">
        <v>463</v>
      </c>
      <c r="D1820" s="8">
        <v>0.75</v>
      </c>
      <c r="E1820" s="8">
        <v>0.79166666666666663</v>
      </c>
      <c r="L1820" t="s">
        <v>563</v>
      </c>
      <c r="M1820" t="s">
        <v>478</v>
      </c>
      <c r="N1820" t="str">
        <f>Tabela_tudo[[#This Row],[Médico]]&amp;" ("&amp;Tabela_tudo[[#This Row],[Obs]]&amp;")"</f>
        <v>EDU ()</v>
      </c>
    </row>
    <row r="1821" spans="1:14" x14ac:dyDescent="0.3">
      <c r="A1821" s="1">
        <v>45510</v>
      </c>
      <c r="B1821" t="s">
        <v>12</v>
      </c>
      <c r="C1821" t="s">
        <v>463</v>
      </c>
      <c r="D1821" s="8">
        <v>0.75</v>
      </c>
      <c r="E1821" s="8">
        <v>0.79166666666666663</v>
      </c>
      <c r="L1821" t="s">
        <v>563</v>
      </c>
      <c r="M1821" t="s">
        <v>478</v>
      </c>
      <c r="N1821" t="str">
        <f>Tabela_tudo[[#This Row],[Médico]]&amp;" ("&amp;Tabela_tudo[[#This Row],[Obs]]&amp;")"</f>
        <v>EDU ()</v>
      </c>
    </row>
    <row r="1822" spans="1:14" x14ac:dyDescent="0.3">
      <c r="A1822" s="1">
        <v>45503</v>
      </c>
      <c r="B1822" t="s">
        <v>12</v>
      </c>
      <c r="C1822" t="s">
        <v>463</v>
      </c>
      <c r="D1822" s="8">
        <v>0.75</v>
      </c>
      <c r="E1822" s="8">
        <v>0.79166666666666663</v>
      </c>
      <c r="L1822" t="s">
        <v>563</v>
      </c>
      <c r="M1822" t="s">
        <v>478</v>
      </c>
      <c r="N1822" t="str">
        <f>Tabela_tudo[[#This Row],[Médico]]&amp;" ("&amp;Tabela_tudo[[#This Row],[Obs]]&amp;")"</f>
        <v>EDU ()</v>
      </c>
    </row>
    <row r="1823" spans="1:14" x14ac:dyDescent="0.3">
      <c r="A1823" s="1">
        <v>45524</v>
      </c>
      <c r="B1823" t="s">
        <v>12</v>
      </c>
      <c r="C1823" t="s">
        <v>463</v>
      </c>
      <c r="D1823" s="8">
        <v>0.75</v>
      </c>
      <c r="E1823" s="8">
        <v>0.79166666666666663</v>
      </c>
      <c r="L1823" t="s">
        <v>563</v>
      </c>
      <c r="M1823" t="s">
        <v>478</v>
      </c>
      <c r="N1823" t="str">
        <f>Tabela_tudo[[#This Row],[Médico]]&amp;" ("&amp;Tabela_tudo[[#This Row],[Obs]]&amp;")"</f>
        <v>EDU ()</v>
      </c>
    </row>
    <row r="1824" spans="1:14" x14ac:dyDescent="0.3">
      <c r="A1824" s="1">
        <v>45545</v>
      </c>
      <c r="B1824" t="s">
        <v>12</v>
      </c>
      <c r="C1824" t="s">
        <v>463</v>
      </c>
      <c r="D1824" s="8">
        <v>0.75</v>
      </c>
      <c r="E1824" s="8">
        <v>0.79166666666666663</v>
      </c>
      <c r="L1824" t="s">
        <v>563</v>
      </c>
      <c r="M1824" t="s">
        <v>478</v>
      </c>
      <c r="N1824" t="str">
        <f>Tabela_tudo[[#This Row],[Médico]]&amp;" ("&amp;Tabela_tudo[[#This Row],[Obs]]&amp;")"</f>
        <v>EDU ()</v>
      </c>
    </row>
    <row r="1825" spans="1:14" x14ac:dyDescent="0.3">
      <c r="A1825" s="1">
        <v>45538</v>
      </c>
      <c r="B1825" t="s">
        <v>12</v>
      </c>
      <c r="C1825" t="s">
        <v>463</v>
      </c>
      <c r="D1825" s="8">
        <v>0.75</v>
      </c>
      <c r="E1825" s="8">
        <v>0.79166666666666663</v>
      </c>
      <c r="L1825" t="s">
        <v>563</v>
      </c>
      <c r="M1825" t="s">
        <v>478</v>
      </c>
      <c r="N1825" t="str">
        <f>Tabela_tudo[[#This Row],[Médico]]&amp;" ("&amp;Tabela_tudo[[#This Row],[Obs]]&amp;")"</f>
        <v>EDU ()</v>
      </c>
    </row>
    <row r="1826" spans="1:14" x14ac:dyDescent="0.3">
      <c r="A1826" s="1">
        <v>45531</v>
      </c>
      <c r="B1826" t="s">
        <v>12</v>
      </c>
      <c r="C1826" t="s">
        <v>463</v>
      </c>
      <c r="D1826" s="8">
        <v>0.75</v>
      </c>
      <c r="E1826" s="8">
        <v>0.79166666666666663</v>
      </c>
      <c r="L1826" t="s">
        <v>563</v>
      </c>
      <c r="M1826" t="s">
        <v>478</v>
      </c>
      <c r="N1826" t="str">
        <f>Tabela_tudo[[#This Row],[Médico]]&amp;" ("&amp;Tabela_tudo[[#This Row],[Obs]]&amp;")"</f>
        <v>EDU ()</v>
      </c>
    </row>
    <row r="1827" spans="1:14" x14ac:dyDescent="0.3">
      <c r="A1827" s="1">
        <v>45601</v>
      </c>
      <c r="B1827" t="s">
        <v>12</v>
      </c>
      <c r="C1827" t="s">
        <v>463</v>
      </c>
      <c r="D1827" s="8">
        <v>0.75</v>
      </c>
      <c r="E1827" s="8">
        <v>0.79166666666666663</v>
      </c>
      <c r="L1827" t="s">
        <v>563</v>
      </c>
      <c r="M1827" t="s">
        <v>478</v>
      </c>
      <c r="N1827" t="str">
        <f>Tabela_tudo[[#This Row],[Médico]]&amp;" ("&amp;Tabela_tudo[[#This Row],[Obs]]&amp;")"</f>
        <v>EDU ()</v>
      </c>
    </row>
    <row r="1828" spans="1:14" x14ac:dyDescent="0.3">
      <c r="A1828" s="1">
        <v>44943</v>
      </c>
      <c r="B1828" t="s">
        <v>73</v>
      </c>
      <c r="C1828" t="s">
        <v>463</v>
      </c>
      <c r="D1828" s="8">
        <v>0.75</v>
      </c>
      <c r="E1828" s="8">
        <v>0.79166666666666663</v>
      </c>
      <c r="L1828" t="s">
        <v>563</v>
      </c>
      <c r="M1828" t="s">
        <v>478</v>
      </c>
      <c r="N1828" t="str">
        <f>Tabela_tudo[[#This Row],[Médico]]&amp;" ("&amp;Tabela_tudo[[#This Row],[Obs]]&amp;")"</f>
        <v>RT ()</v>
      </c>
    </row>
    <row r="1829" spans="1:14" x14ac:dyDescent="0.3">
      <c r="A1829" s="1">
        <v>44936</v>
      </c>
      <c r="B1829" t="s">
        <v>73</v>
      </c>
      <c r="C1829" t="s">
        <v>463</v>
      </c>
      <c r="D1829" s="8">
        <v>0.75</v>
      </c>
      <c r="E1829" s="8">
        <v>0.79166666666666663</v>
      </c>
      <c r="L1829" t="s">
        <v>563</v>
      </c>
      <c r="M1829" t="s">
        <v>478</v>
      </c>
      <c r="N1829" t="str">
        <f>Tabela_tudo[[#This Row],[Médico]]&amp;" ("&amp;Tabela_tudo[[#This Row],[Obs]]&amp;")"</f>
        <v>RT ()</v>
      </c>
    </row>
    <row r="1830" spans="1:14" x14ac:dyDescent="0.3">
      <c r="A1830" s="1">
        <v>44929</v>
      </c>
      <c r="B1830" t="s">
        <v>73</v>
      </c>
      <c r="C1830" t="s">
        <v>463</v>
      </c>
      <c r="D1830" s="8">
        <v>0.75</v>
      </c>
      <c r="E1830" s="8">
        <v>0.79166666666666663</v>
      </c>
      <c r="L1830" t="s">
        <v>563</v>
      </c>
      <c r="M1830" t="s">
        <v>478</v>
      </c>
      <c r="N1830" t="str">
        <f>Tabela_tudo[[#This Row],[Médico]]&amp;" ("&amp;Tabela_tudo[[#This Row],[Obs]]&amp;")"</f>
        <v>RT ()</v>
      </c>
    </row>
    <row r="1831" spans="1:14" x14ac:dyDescent="0.3">
      <c r="A1831" s="1">
        <v>44950</v>
      </c>
      <c r="B1831" t="s">
        <v>73</v>
      </c>
      <c r="C1831" t="s">
        <v>463</v>
      </c>
      <c r="D1831" s="8">
        <v>0.75</v>
      </c>
      <c r="E1831" s="8">
        <v>0.79166666666666663</v>
      </c>
      <c r="L1831" t="s">
        <v>563</v>
      </c>
      <c r="M1831" t="s">
        <v>478</v>
      </c>
      <c r="N1831" t="str">
        <f>Tabela_tudo[[#This Row],[Médico]]&amp;" ("&amp;Tabela_tudo[[#This Row],[Obs]]&amp;")"</f>
        <v>RT ()</v>
      </c>
    </row>
    <row r="1832" spans="1:14" x14ac:dyDescent="0.3">
      <c r="A1832" s="1">
        <v>44971</v>
      </c>
      <c r="B1832" t="s">
        <v>73</v>
      </c>
      <c r="C1832" t="s">
        <v>463</v>
      </c>
      <c r="D1832" s="8">
        <v>0.75</v>
      </c>
      <c r="E1832" s="8">
        <v>0.79166666666666663</v>
      </c>
      <c r="L1832" t="s">
        <v>563</v>
      </c>
      <c r="M1832" t="s">
        <v>478</v>
      </c>
      <c r="N1832" t="str">
        <f>Tabela_tudo[[#This Row],[Médico]]&amp;" ("&amp;Tabela_tudo[[#This Row],[Obs]]&amp;")"</f>
        <v>RT ()</v>
      </c>
    </row>
    <row r="1833" spans="1:14" x14ac:dyDescent="0.3">
      <c r="A1833" s="1">
        <v>44964</v>
      </c>
      <c r="B1833" t="s">
        <v>73</v>
      </c>
      <c r="C1833" t="s">
        <v>463</v>
      </c>
      <c r="D1833" s="8">
        <v>0.75</v>
      </c>
      <c r="E1833" s="8">
        <v>0.79166666666666663</v>
      </c>
      <c r="L1833" t="s">
        <v>563</v>
      </c>
      <c r="M1833" t="s">
        <v>478</v>
      </c>
      <c r="N1833" t="str">
        <f>Tabela_tudo[[#This Row],[Médico]]&amp;" ("&amp;Tabela_tudo[[#This Row],[Obs]]&amp;")"</f>
        <v>RT ()</v>
      </c>
    </row>
    <row r="1834" spans="1:14" x14ac:dyDescent="0.3">
      <c r="A1834" s="1">
        <v>44957</v>
      </c>
      <c r="B1834" t="s">
        <v>73</v>
      </c>
      <c r="C1834" t="s">
        <v>463</v>
      </c>
      <c r="D1834" s="8">
        <v>0.75</v>
      </c>
      <c r="E1834" s="8">
        <v>0.79166666666666663</v>
      </c>
      <c r="L1834" t="s">
        <v>563</v>
      </c>
      <c r="M1834" t="s">
        <v>478</v>
      </c>
      <c r="N1834" t="str">
        <f>Tabela_tudo[[#This Row],[Médico]]&amp;" ("&amp;Tabela_tudo[[#This Row],[Obs]]&amp;")"</f>
        <v>RT ()</v>
      </c>
    </row>
    <row r="1835" spans="1:14" x14ac:dyDescent="0.3">
      <c r="A1835" s="1">
        <v>45622</v>
      </c>
      <c r="B1835" t="s">
        <v>12</v>
      </c>
      <c r="C1835" t="s">
        <v>463</v>
      </c>
      <c r="D1835" s="8">
        <v>0.75</v>
      </c>
      <c r="E1835" s="8">
        <v>0.79166666666666663</v>
      </c>
      <c r="L1835" t="s">
        <v>563</v>
      </c>
      <c r="M1835" t="s">
        <v>478</v>
      </c>
      <c r="N1835" t="str">
        <f>Tabela_tudo[[#This Row],[Médico]]&amp;" ("&amp;Tabela_tudo[[#This Row],[Obs]]&amp;")"</f>
        <v>EDU ()</v>
      </c>
    </row>
    <row r="1836" spans="1:14" x14ac:dyDescent="0.3">
      <c r="A1836" s="1">
        <v>45615</v>
      </c>
      <c r="B1836" t="s">
        <v>12</v>
      </c>
      <c r="C1836" t="s">
        <v>463</v>
      </c>
      <c r="D1836" s="8">
        <v>0.75</v>
      </c>
      <c r="E1836" s="8">
        <v>0.79166666666666663</v>
      </c>
      <c r="L1836" t="s">
        <v>563</v>
      </c>
      <c r="M1836" t="s">
        <v>478</v>
      </c>
      <c r="N1836" t="str">
        <f>Tabela_tudo[[#This Row],[Médico]]&amp;" ("&amp;Tabela_tudo[[#This Row],[Obs]]&amp;")"</f>
        <v>EDU ()</v>
      </c>
    </row>
    <row r="1837" spans="1:14" x14ac:dyDescent="0.3">
      <c r="A1837" s="1">
        <v>45608</v>
      </c>
      <c r="B1837" t="s">
        <v>12</v>
      </c>
      <c r="C1837" t="s">
        <v>463</v>
      </c>
      <c r="D1837" s="8">
        <v>0.75</v>
      </c>
      <c r="E1837" s="8">
        <v>0.79166666666666663</v>
      </c>
      <c r="L1837" t="s">
        <v>563</v>
      </c>
      <c r="M1837" t="s">
        <v>478</v>
      </c>
      <c r="N1837" t="str">
        <f>Tabela_tudo[[#This Row],[Médico]]&amp;" ("&amp;Tabela_tudo[[#This Row],[Obs]]&amp;")"</f>
        <v>EDU ()</v>
      </c>
    </row>
    <row r="1838" spans="1:14" x14ac:dyDescent="0.3">
      <c r="A1838" s="1">
        <v>45629</v>
      </c>
      <c r="B1838" t="s">
        <v>12</v>
      </c>
      <c r="C1838" t="s">
        <v>463</v>
      </c>
      <c r="D1838" s="8">
        <v>0.75</v>
      </c>
      <c r="E1838" s="8">
        <v>0.79166666666666663</v>
      </c>
      <c r="L1838" t="s">
        <v>563</v>
      </c>
      <c r="M1838" t="s">
        <v>478</v>
      </c>
      <c r="N1838" t="str">
        <f>Tabela_tudo[[#This Row],[Médico]]&amp;" ("&amp;Tabela_tudo[[#This Row],[Obs]]&amp;")"</f>
        <v>EDU ()</v>
      </c>
    </row>
    <row r="1839" spans="1:14" x14ac:dyDescent="0.3">
      <c r="A1839" s="1">
        <v>45650</v>
      </c>
      <c r="B1839" t="s">
        <v>12</v>
      </c>
      <c r="C1839" t="s">
        <v>463</v>
      </c>
      <c r="D1839" s="8">
        <v>0.75</v>
      </c>
      <c r="E1839" s="8">
        <v>0.79166666666666663</v>
      </c>
      <c r="L1839" t="s">
        <v>563</v>
      </c>
      <c r="M1839" t="s">
        <v>478</v>
      </c>
      <c r="N1839" t="str">
        <f>Tabela_tudo[[#This Row],[Médico]]&amp;" ("&amp;Tabela_tudo[[#This Row],[Obs]]&amp;")"</f>
        <v>EDU ()</v>
      </c>
    </row>
    <row r="1840" spans="1:14" x14ac:dyDescent="0.3">
      <c r="A1840" s="1">
        <v>45643</v>
      </c>
      <c r="B1840" t="s">
        <v>12</v>
      </c>
      <c r="C1840" t="s">
        <v>463</v>
      </c>
      <c r="D1840" s="8">
        <v>0.75</v>
      </c>
      <c r="E1840" s="8">
        <v>0.79166666666666663</v>
      </c>
      <c r="L1840" t="s">
        <v>563</v>
      </c>
      <c r="M1840" t="s">
        <v>478</v>
      </c>
      <c r="N1840" t="str">
        <f>Tabela_tudo[[#This Row],[Médico]]&amp;" ("&amp;Tabela_tudo[[#This Row],[Obs]]&amp;")"</f>
        <v>EDU ()</v>
      </c>
    </row>
    <row r="1841" spans="1:14" x14ac:dyDescent="0.3">
      <c r="A1841" s="1">
        <v>45636</v>
      </c>
      <c r="B1841" t="s">
        <v>12</v>
      </c>
      <c r="C1841" t="s">
        <v>463</v>
      </c>
      <c r="D1841" s="8">
        <v>0.75</v>
      </c>
      <c r="E1841" s="8">
        <v>0.79166666666666663</v>
      </c>
      <c r="L1841" t="s">
        <v>563</v>
      </c>
      <c r="M1841" t="s">
        <v>478</v>
      </c>
      <c r="N1841" t="str">
        <f>Tabela_tudo[[#This Row],[Médico]]&amp;" ("&amp;Tabela_tudo[[#This Row],[Obs]]&amp;")"</f>
        <v>EDU ()</v>
      </c>
    </row>
    <row r="1842" spans="1:14" x14ac:dyDescent="0.3">
      <c r="A1842" s="1">
        <v>45496</v>
      </c>
      <c r="B1842" t="s">
        <v>12</v>
      </c>
      <c r="C1842" t="s">
        <v>463</v>
      </c>
      <c r="D1842" s="8">
        <v>0.75</v>
      </c>
      <c r="E1842" s="8">
        <v>0.79166666666666663</v>
      </c>
      <c r="L1842" t="s">
        <v>563</v>
      </c>
      <c r="M1842" t="s">
        <v>478</v>
      </c>
      <c r="N1842" t="str">
        <f>Tabela_tudo[[#This Row],[Médico]]&amp;" ("&amp;Tabela_tudo[[#This Row],[Obs]]&amp;")"</f>
        <v>EDU ()</v>
      </c>
    </row>
    <row r="1843" spans="1:14" x14ac:dyDescent="0.3">
      <c r="A1843" s="1">
        <v>45356</v>
      </c>
      <c r="B1843" t="s">
        <v>12</v>
      </c>
      <c r="C1843" t="s">
        <v>463</v>
      </c>
      <c r="D1843" s="8">
        <v>0.75</v>
      </c>
      <c r="E1843" s="8">
        <v>0.79166666666666663</v>
      </c>
      <c r="L1843" t="s">
        <v>563</v>
      </c>
      <c r="M1843" t="s">
        <v>478</v>
      </c>
      <c r="N1843" t="str">
        <f>Tabela_tudo[[#This Row],[Médico]]&amp;" ("&amp;Tabela_tudo[[#This Row],[Obs]]&amp;")"</f>
        <v>EDU ()</v>
      </c>
    </row>
    <row r="1844" spans="1:14" x14ac:dyDescent="0.3">
      <c r="A1844" s="1">
        <v>45349</v>
      </c>
      <c r="B1844" t="s">
        <v>12</v>
      </c>
      <c r="C1844" t="s">
        <v>463</v>
      </c>
      <c r="D1844" s="8">
        <v>0.75</v>
      </c>
      <c r="E1844" s="8">
        <v>0.79166666666666663</v>
      </c>
      <c r="L1844" t="s">
        <v>563</v>
      </c>
      <c r="M1844" t="s">
        <v>478</v>
      </c>
      <c r="N1844" t="str">
        <f>Tabela_tudo[[#This Row],[Médico]]&amp;" ("&amp;Tabela_tudo[[#This Row],[Obs]]&amp;")"</f>
        <v>EDU ()</v>
      </c>
    </row>
    <row r="1845" spans="1:14" x14ac:dyDescent="0.3">
      <c r="A1845" s="1">
        <v>45342</v>
      </c>
      <c r="B1845" t="s">
        <v>12</v>
      </c>
      <c r="C1845" t="s">
        <v>463</v>
      </c>
      <c r="D1845" s="8">
        <v>0.75</v>
      </c>
      <c r="E1845" s="8">
        <v>0.79166666666666663</v>
      </c>
      <c r="L1845" t="s">
        <v>563</v>
      </c>
      <c r="M1845" t="s">
        <v>478</v>
      </c>
      <c r="N1845" t="str">
        <f>Tabela_tudo[[#This Row],[Médico]]&amp;" ("&amp;Tabela_tudo[[#This Row],[Obs]]&amp;")"</f>
        <v>EDU ()</v>
      </c>
    </row>
    <row r="1846" spans="1:14" x14ac:dyDescent="0.3">
      <c r="A1846" s="1">
        <v>45363</v>
      </c>
      <c r="B1846" t="s">
        <v>12</v>
      </c>
      <c r="C1846" t="s">
        <v>463</v>
      </c>
      <c r="D1846" s="8">
        <v>0.75</v>
      </c>
      <c r="E1846" s="8">
        <v>0.79166666666666663</v>
      </c>
      <c r="L1846" t="s">
        <v>563</v>
      </c>
      <c r="M1846" t="s">
        <v>478</v>
      </c>
      <c r="N1846" t="str">
        <f>Tabela_tudo[[#This Row],[Médico]]&amp;" ("&amp;Tabela_tudo[[#This Row],[Obs]]&amp;")"</f>
        <v>EDU ()</v>
      </c>
    </row>
    <row r="1847" spans="1:14" x14ac:dyDescent="0.3">
      <c r="A1847" s="1">
        <v>45384</v>
      </c>
      <c r="B1847" t="s">
        <v>12</v>
      </c>
      <c r="C1847" t="s">
        <v>463</v>
      </c>
      <c r="D1847" s="8">
        <v>0.75</v>
      </c>
      <c r="E1847" s="8">
        <v>0.79166666666666663</v>
      </c>
      <c r="L1847" t="s">
        <v>563</v>
      </c>
      <c r="M1847" t="s">
        <v>478</v>
      </c>
      <c r="N1847" t="str">
        <f>Tabela_tudo[[#This Row],[Médico]]&amp;" ("&amp;Tabela_tudo[[#This Row],[Obs]]&amp;")"</f>
        <v>EDU ()</v>
      </c>
    </row>
    <row r="1848" spans="1:14" x14ac:dyDescent="0.3">
      <c r="A1848" s="1">
        <v>45377</v>
      </c>
      <c r="B1848" t="s">
        <v>12</v>
      </c>
      <c r="C1848" t="s">
        <v>463</v>
      </c>
      <c r="D1848" s="8">
        <v>0.75</v>
      </c>
      <c r="E1848" s="8">
        <v>0.79166666666666663</v>
      </c>
      <c r="L1848" t="s">
        <v>563</v>
      </c>
      <c r="M1848" t="s">
        <v>478</v>
      </c>
      <c r="N1848" t="str">
        <f>Tabela_tudo[[#This Row],[Médico]]&amp;" ("&amp;Tabela_tudo[[#This Row],[Obs]]&amp;")"</f>
        <v>EDU ()</v>
      </c>
    </row>
    <row r="1849" spans="1:14" x14ac:dyDescent="0.3">
      <c r="A1849" s="1">
        <v>45370</v>
      </c>
      <c r="B1849" t="s">
        <v>12</v>
      </c>
      <c r="C1849" t="s">
        <v>463</v>
      </c>
      <c r="D1849" s="8">
        <v>0.75</v>
      </c>
      <c r="E1849" s="8">
        <v>0.79166666666666663</v>
      </c>
      <c r="L1849" t="s">
        <v>563</v>
      </c>
      <c r="M1849" t="s">
        <v>478</v>
      </c>
      <c r="N1849" t="str">
        <f>Tabela_tudo[[#This Row],[Médico]]&amp;" ("&amp;Tabela_tudo[[#This Row],[Obs]]&amp;")"</f>
        <v>EDU ()</v>
      </c>
    </row>
    <row r="1850" spans="1:14" x14ac:dyDescent="0.3">
      <c r="A1850" s="1">
        <v>45307</v>
      </c>
      <c r="B1850" t="s">
        <v>12</v>
      </c>
      <c r="C1850" t="s">
        <v>463</v>
      </c>
      <c r="D1850" s="8">
        <v>0.75</v>
      </c>
      <c r="E1850" s="8">
        <v>0.79166666666666663</v>
      </c>
      <c r="L1850" t="s">
        <v>563</v>
      </c>
      <c r="M1850" t="s">
        <v>478</v>
      </c>
      <c r="N1850" t="str">
        <f>Tabela_tudo[[#This Row],[Médico]]&amp;" ("&amp;Tabela_tudo[[#This Row],[Obs]]&amp;")"</f>
        <v>EDU ()</v>
      </c>
    </row>
    <row r="1851" spans="1:14" x14ac:dyDescent="0.3">
      <c r="A1851" s="1">
        <v>45300</v>
      </c>
      <c r="B1851" t="s">
        <v>12</v>
      </c>
      <c r="C1851" t="s">
        <v>463</v>
      </c>
      <c r="D1851" s="8">
        <v>0.75</v>
      </c>
      <c r="E1851" s="8">
        <v>0.79166666666666663</v>
      </c>
      <c r="L1851" t="s">
        <v>563</v>
      </c>
      <c r="M1851" t="s">
        <v>478</v>
      </c>
      <c r="N1851" t="str">
        <f>Tabela_tudo[[#This Row],[Médico]]&amp;" ("&amp;Tabela_tudo[[#This Row],[Obs]]&amp;")"</f>
        <v>EDU ()</v>
      </c>
    </row>
    <row r="1852" spans="1:14" x14ac:dyDescent="0.3">
      <c r="A1852" s="1">
        <v>45293</v>
      </c>
      <c r="B1852" t="s">
        <v>12</v>
      </c>
      <c r="C1852" t="s">
        <v>463</v>
      </c>
      <c r="D1852" s="8">
        <v>0.75</v>
      </c>
      <c r="E1852" s="8">
        <v>0.79166666666666663</v>
      </c>
      <c r="L1852" t="s">
        <v>563</v>
      </c>
      <c r="M1852" t="s">
        <v>478</v>
      </c>
      <c r="N1852" t="str">
        <f>Tabela_tudo[[#This Row],[Médico]]&amp;" ("&amp;Tabela_tudo[[#This Row],[Obs]]&amp;")"</f>
        <v>EDU ()</v>
      </c>
    </row>
    <row r="1853" spans="1:14" x14ac:dyDescent="0.3">
      <c r="A1853" s="1">
        <v>45314</v>
      </c>
      <c r="B1853" t="s">
        <v>12</v>
      </c>
      <c r="C1853" t="s">
        <v>463</v>
      </c>
      <c r="D1853" s="8">
        <v>0.75</v>
      </c>
      <c r="E1853" s="8">
        <v>0.79166666666666663</v>
      </c>
      <c r="L1853" t="s">
        <v>563</v>
      </c>
      <c r="M1853" t="s">
        <v>478</v>
      </c>
      <c r="N1853" t="str">
        <f>Tabela_tudo[[#This Row],[Médico]]&amp;" ("&amp;Tabela_tudo[[#This Row],[Obs]]&amp;")"</f>
        <v>EDU ()</v>
      </c>
    </row>
    <row r="1854" spans="1:14" x14ac:dyDescent="0.3">
      <c r="A1854" s="1">
        <v>45335</v>
      </c>
      <c r="B1854" t="s">
        <v>12</v>
      </c>
      <c r="C1854" t="s">
        <v>463</v>
      </c>
      <c r="D1854" s="8">
        <v>0.75</v>
      </c>
      <c r="E1854" s="8">
        <v>0.79166666666666663</v>
      </c>
      <c r="L1854" t="s">
        <v>563</v>
      </c>
      <c r="M1854" t="s">
        <v>478</v>
      </c>
      <c r="N1854" t="str">
        <f>Tabela_tudo[[#This Row],[Médico]]&amp;" ("&amp;Tabela_tudo[[#This Row],[Obs]]&amp;")"</f>
        <v>EDU ()</v>
      </c>
    </row>
    <row r="1855" spans="1:14" x14ac:dyDescent="0.3">
      <c r="A1855" s="1">
        <v>45328</v>
      </c>
      <c r="B1855" t="s">
        <v>12</v>
      </c>
      <c r="C1855" t="s">
        <v>463</v>
      </c>
      <c r="D1855" s="8">
        <v>0.75</v>
      </c>
      <c r="E1855" s="8">
        <v>0.79166666666666663</v>
      </c>
      <c r="L1855" t="s">
        <v>563</v>
      </c>
      <c r="M1855" t="s">
        <v>478</v>
      </c>
      <c r="N1855" t="str">
        <f>Tabela_tudo[[#This Row],[Médico]]&amp;" ("&amp;Tabela_tudo[[#This Row],[Obs]]&amp;")"</f>
        <v>EDU ()</v>
      </c>
    </row>
    <row r="1856" spans="1:14" x14ac:dyDescent="0.3">
      <c r="A1856" s="1">
        <v>45321</v>
      </c>
      <c r="B1856" t="s">
        <v>12</v>
      </c>
      <c r="C1856" t="s">
        <v>463</v>
      </c>
      <c r="D1856" s="8">
        <v>0.75</v>
      </c>
      <c r="E1856" s="8">
        <v>0.79166666666666663</v>
      </c>
      <c r="L1856" t="s">
        <v>563</v>
      </c>
      <c r="M1856" t="s">
        <v>478</v>
      </c>
      <c r="N1856" t="str">
        <f>Tabela_tudo[[#This Row],[Médico]]&amp;" ("&amp;Tabela_tudo[[#This Row],[Obs]]&amp;")"</f>
        <v>EDU ()</v>
      </c>
    </row>
    <row r="1857" spans="1:14" x14ac:dyDescent="0.3">
      <c r="A1857" s="1">
        <v>45391</v>
      </c>
      <c r="B1857" t="s">
        <v>12</v>
      </c>
      <c r="C1857" t="s">
        <v>463</v>
      </c>
      <c r="D1857" s="8">
        <v>0.75</v>
      </c>
      <c r="E1857" s="8">
        <v>0.79166666666666663</v>
      </c>
      <c r="L1857" t="s">
        <v>563</v>
      </c>
      <c r="M1857" t="s">
        <v>478</v>
      </c>
      <c r="N1857" t="str">
        <f>Tabela_tudo[[#This Row],[Médico]]&amp;" ("&amp;Tabela_tudo[[#This Row],[Obs]]&amp;")"</f>
        <v>EDU ()</v>
      </c>
    </row>
    <row r="1858" spans="1:14" x14ac:dyDescent="0.3">
      <c r="A1858" s="1">
        <v>45461</v>
      </c>
      <c r="B1858" t="s">
        <v>12</v>
      </c>
      <c r="C1858" t="s">
        <v>463</v>
      </c>
      <c r="D1858" s="8">
        <v>0.75</v>
      </c>
      <c r="E1858" s="8">
        <v>0.79166666666666663</v>
      </c>
      <c r="L1858" t="s">
        <v>563</v>
      </c>
      <c r="M1858" t="s">
        <v>478</v>
      </c>
      <c r="N1858" t="str">
        <f>Tabela_tudo[[#This Row],[Médico]]&amp;" ("&amp;Tabela_tudo[[#This Row],[Obs]]&amp;")"</f>
        <v>EDU ()</v>
      </c>
    </row>
    <row r="1859" spans="1:14" x14ac:dyDescent="0.3">
      <c r="A1859" s="1">
        <v>45454</v>
      </c>
      <c r="B1859" t="s">
        <v>12</v>
      </c>
      <c r="C1859" t="s">
        <v>463</v>
      </c>
      <c r="D1859" s="8">
        <v>0.75</v>
      </c>
      <c r="E1859" s="8">
        <v>0.79166666666666663</v>
      </c>
      <c r="L1859" t="s">
        <v>563</v>
      </c>
      <c r="M1859" t="s">
        <v>478</v>
      </c>
      <c r="N1859" t="str">
        <f>Tabela_tudo[[#This Row],[Médico]]&amp;" ("&amp;Tabela_tudo[[#This Row],[Obs]]&amp;")"</f>
        <v>EDU ()</v>
      </c>
    </row>
    <row r="1860" spans="1:14" x14ac:dyDescent="0.3">
      <c r="A1860" s="1">
        <v>45447</v>
      </c>
      <c r="B1860" t="s">
        <v>12</v>
      </c>
      <c r="C1860" t="s">
        <v>463</v>
      </c>
      <c r="D1860" s="8">
        <v>0.75</v>
      </c>
      <c r="E1860" s="8">
        <v>0.79166666666666663</v>
      </c>
      <c r="L1860" t="s">
        <v>563</v>
      </c>
      <c r="M1860" t="s">
        <v>478</v>
      </c>
      <c r="N1860" t="str">
        <f>Tabela_tudo[[#This Row],[Médico]]&amp;" ("&amp;Tabela_tudo[[#This Row],[Obs]]&amp;")"</f>
        <v>EDU ()</v>
      </c>
    </row>
    <row r="1861" spans="1:14" x14ac:dyDescent="0.3">
      <c r="A1861" s="1">
        <v>45468</v>
      </c>
      <c r="B1861" t="s">
        <v>12</v>
      </c>
      <c r="C1861" t="s">
        <v>463</v>
      </c>
      <c r="D1861" s="8">
        <v>0.75</v>
      </c>
      <c r="E1861" s="8">
        <v>0.79166666666666663</v>
      </c>
      <c r="L1861" t="s">
        <v>563</v>
      </c>
      <c r="M1861" t="s">
        <v>478</v>
      </c>
      <c r="N1861" t="str">
        <f>Tabela_tudo[[#This Row],[Médico]]&amp;" ("&amp;Tabela_tudo[[#This Row],[Obs]]&amp;")"</f>
        <v>EDU ()</v>
      </c>
    </row>
    <row r="1862" spans="1:14" x14ac:dyDescent="0.3">
      <c r="A1862" s="1">
        <v>45489</v>
      </c>
      <c r="B1862" t="s">
        <v>12</v>
      </c>
      <c r="C1862" t="s">
        <v>463</v>
      </c>
      <c r="D1862" s="8">
        <v>0.75</v>
      </c>
      <c r="E1862" s="8">
        <v>0.79166666666666663</v>
      </c>
      <c r="L1862" t="s">
        <v>563</v>
      </c>
      <c r="M1862" t="s">
        <v>478</v>
      </c>
      <c r="N1862" t="str">
        <f>Tabela_tudo[[#This Row],[Médico]]&amp;" ("&amp;Tabela_tudo[[#This Row],[Obs]]&amp;")"</f>
        <v>EDU ()</v>
      </c>
    </row>
    <row r="1863" spans="1:14" x14ac:dyDescent="0.3">
      <c r="A1863" s="1">
        <v>45482</v>
      </c>
      <c r="B1863" t="s">
        <v>12</v>
      </c>
      <c r="C1863" t="s">
        <v>463</v>
      </c>
      <c r="D1863" s="8">
        <v>0.75</v>
      </c>
      <c r="E1863" s="8">
        <v>0.79166666666666663</v>
      </c>
      <c r="L1863" t="s">
        <v>563</v>
      </c>
      <c r="M1863" t="s">
        <v>478</v>
      </c>
      <c r="N1863" t="str">
        <f>Tabela_tudo[[#This Row],[Médico]]&amp;" ("&amp;Tabela_tudo[[#This Row],[Obs]]&amp;")"</f>
        <v>EDU ()</v>
      </c>
    </row>
    <row r="1864" spans="1:14" x14ac:dyDescent="0.3">
      <c r="A1864" s="1">
        <v>45475</v>
      </c>
      <c r="B1864" t="s">
        <v>12</v>
      </c>
      <c r="C1864" t="s">
        <v>463</v>
      </c>
      <c r="D1864" s="8">
        <v>0.75</v>
      </c>
      <c r="E1864" s="8">
        <v>0.79166666666666663</v>
      </c>
      <c r="L1864" t="s">
        <v>563</v>
      </c>
      <c r="M1864" t="s">
        <v>478</v>
      </c>
      <c r="N1864" t="str">
        <f>Tabela_tudo[[#This Row],[Médico]]&amp;" ("&amp;Tabela_tudo[[#This Row],[Obs]]&amp;")"</f>
        <v>EDU ()</v>
      </c>
    </row>
    <row r="1865" spans="1:14" x14ac:dyDescent="0.3">
      <c r="A1865" s="1">
        <v>45412</v>
      </c>
      <c r="B1865" t="s">
        <v>12</v>
      </c>
      <c r="C1865" t="s">
        <v>463</v>
      </c>
      <c r="D1865" s="8">
        <v>0.75</v>
      </c>
      <c r="E1865" s="8">
        <v>0.79166666666666663</v>
      </c>
      <c r="L1865" t="s">
        <v>563</v>
      </c>
      <c r="M1865" t="s">
        <v>478</v>
      </c>
      <c r="N1865" t="str">
        <f>Tabela_tudo[[#This Row],[Médico]]&amp;" ("&amp;Tabela_tudo[[#This Row],[Obs]]&amp;")"</f>
        <v>EDU ()</v>
      </c>
    </row>
    <row r="1866" spans="1:14" x14ac:dyDescent="0.3">
      <c r="A1866" s="1">
        <v>45405</v>
      </c>
      <c r="B1866" t="s">
        <v>12</v>
      </c>
      <c r="C1866" t="s">
        <v>463</v>
      </c>
      <c r="D1866" s="8">
        <v>0.75</v>
      </c>
      <c r="E1866" s="8">
        <v>0.79166666666666663</v>
      </c>
      <c r="L1866" t="s">
        <v>563</v>
      </c>
      <c r="M1866" t="s">
        <v>478</v>
      </c>
      <c r="N1866" t="str">
        <f>Tabela_tudo[[#This Row],[Médico]]&amp;" ("&amp;Tabela_tudo[[#This Row],[Obs]]&amp;")"</f>
        <v>EDU ()</v>
      </c>
    </row>
    <row r="1867" spans="1:14" x14ac:dyDescent="0.3">
      <c r="A1867" s="1">
        <v>45398</v>
      </c>
      <c r="B1867" t="s">
        <v>12</v>
      </c>
      <c r="C1867" t="s">
        <v>463</v>
      </c>
      <c r="D1867" s="8">
        <v>0.75</v>
      </c>
      <c r="E1867" s="8">
        <v>0.79166666666666663</v>
      </c>
      <c r="L1867" t="s">
        <v>563</v>
      </c>
      <c r="M1867" t="s">
        <v>478</v>
      </c>
      <c r="N1867" t="str">
        <f>Tabela_tudo[[#This Row],[Médico]]&amp;" ("&amp;Tabela_tudo[[#This Row],[Obs]]&amp;")"</f>
        <v>EDU ()</v>
      </c>
    </row>
    <row r="1868" spans="1:14" x14ac:dyDescent="0.3">
      <c r="A1868" s="1">
        <v>45419</v>
      </c>
      <c r="B1868" t="s">
        <v>12</v>
      </c>
      <c r="C1868" t="s">
        <v>463</v>
      </c>
      <c r="D1868" s="8">
        <v>0.75</v>
      </c>
      <c r="E1868" s="8">
        <v>0.79166666666666663</v>
      </c>
      <c r="L1868" t="s">
        <v>563</v>
      </c>
      <c r="M1868" t="s">
        <v>478</v>
      </c>
      <c r="N1868" t="str">
        <f>Tabela_tudo[[#This Row],[Médico]]&amp;" ("&amp;Tabela_tudo[[#This Row],[Obs]]&amp;")"</f>
        <v>EDU ()</v>
      </c>
    </row>
    <row r="1869" spans="1:14" x14ac:dyDescent="0.3">
      <c r="A1869" s="1">
        <v>45440</v>
      </c>
      <c r="B1869" t="s">
        <v>12</v>
      </c>
      <c r="C1869" t="s">
        <v>463</v>
      </c>
      <c r="D1869" s="8">
        <v>0.75</v>
      </c>
      <c r="E1869" s="8">
        <v>0.79166666666666663</v>
      </c>
      <c r="L1869" t="s">
        <v>563</v>
      </c>
      <c r="M1869" t="s">
        <v>478</v>
      </c>
      <c r="N1869" t="str">
        <f>Tabela_tudo[[#This Row],[Médico]]&amp;" ("&amp;Tabela_tudo[[#This Row],[Obs]]&amp;")"</f>
        <v>EDU ()</v>
      </c>
    </row>
    <row r="1870" spans="1:14" x14ac:dyDescent="0.3">
      <c r="A1870" s="1">
        <v>45433</v>
      </c>
      <c r="B1870" t="s">
        <v>12</v>
      </c>
      <c r="C1870" t="s">
        <v>463</v>
      </c>
      <c r="D1870" s="8">
        <v>0.75</v>
      </c>
      <c r="E1870" s="8">
        <v>0.79166666666666663</v>
      </c>
      <c r="L1870" t="s">
        <v>563</v>
      </c>
      <c r="M1870" t="s">
        <v>478</v>
      </c>
      <c r="N1870" t="str">
        <f>Tabela_tudo[[#This Row],[Médico]]&amp;" ("&amp;Tabela_tudo[[#This Row],[Obs]]&amp;")"</f>
        <v>EDU ()</v>
      </c>
    </row>
    <row r="1871" spans="1:14" x14ac:dyDescent="0.3">
      <c r="A1871" s="1">
        <v>45426</v>
      </c>
      <c r="B1871" t="s">
        <v>12</v>
      </c>
      <c r="C1871" t="s">
        <v>463</v>
      </c>
      <c r="D1871" s="8">
        <v>0.75</v>
      </c>
      <c r="E1871" s="8">
        <v>0.79166666666666663</v>
      </c>
      <c r="L1871" t="s">
        <v>563</v>
      </c>
      <c r="M1871" t="s">
        <v>478</v>
      </c>
      <c r="N1871" t="str">
        <f>Tabela_tudo[[#This Row],[Médico]]&amp;" ("&amp;Tabela_tudo[[#This Row],[Obs]]&amp;")"</f>
        <v>EDU ()</v>
      </c>
    </row>
    <row r="1872" spans="1:14" x14ac:dyDescent="0.3">
      <c r="A1872" s="1">
        <v>45587</v>
      </c>
      <c r="B1872" t="s">
        <v>23</v>
      </c>
      <c r="C1872" t="s">
        <v>463</v>
      </c>
      <c r="D1872" s="8">
        <v>0.75</v>
      </c>
      <c r="E1872" s="8">
        <v>0.79166666666666663</v>
      </c>
      <c r="L1872" t="s">
        <v>563</v>
      </c>
      <c r="M1872" t="s">
        <v>478</v>
      </c>
      <c r="N1872" t="str">
        <f>Tabela_tudo[[#This Row],[Médico]]&amp;" ("&amp;Tabela_tudo[[#This Row],[Obs]]&amp;")"</f>
        <v>BG ()</v>
      </c>
    </row>
    <row r="1873" spans="1:14" x14ac:dyDescent="0.3">
      <c r="A1873" s="1">
        <v>45020</v>
      </c>
      <c r="B1873" t="s">
        <v>23</v>
      </c>
      <c r="C1873" t="s">
        <v>463</v>
      </c>
      <c r="D1873" s="8">
        <v>0.75</v>
      </c>
      <c r="E1873" s="8">
        <v>0.79166666666666663</v>
      </c>
      <c r="L1873" t="s">
        <v>563</v>
      </c>
      <c r="M1873" t="s">
        <v>478</v>
      </c>
      <c r="N1873" t="str">
        <f>Tabela_tudo[[#This Row],[Médico]]&amp;" ("&amp;Tabela_tudo[[#This Row],[Obs]]&amp;")"</f>
        <v>BG ()</v>
      </c>
    </row>
    <row r="1874" spans="1:14" x14ac:dyDescent="0.3">
      <c r="A1874" s="1">
        <v>45013</v>
      </c>
      <c r="B1874" t="s">
        <v>23</v>
      </c>
      <c r="C1874" t="s">
        <v>463</v>
      </c>
      <c r="D1874" s="8">
        <v>0.75</v>
      </c>
      <c r="E1874" s="8">
        <v>0.79166666666666663</v>
      </c>
      <c r="L1874" t="s">
        <v>563</v>
      </c>
      <c r="M1874" t="s">
        <v>478</v>
      </c>
      <c r="N1874" t="str">
        <f>Tabela_tudo[[#This Row],[Médico]]&amp;" ("&amp;Tabela_tudo[[#This Row],[Obs]]&amp;")"</f>
        <v>BG ()</v>
      </c>
    </row>
    <row r="1875" spans="1:14" x14ac:dyDescent="0.3">
      <c r="A1875" s="1">
        <v>45006</v>
      </c>
      <c r="B1875" t="s">
        <v>23</v>
      </c>
      <c r="C1875" t="s">
        <v>463</v>
      </c>
      <c r="D1875" s="8">
        <v>0.75</v>
      </c>
      <c r="E1875" s="8">
        <v>0.79166666666666663</v>
      </c>
      <c r="L1875" t="s">
        <v>563</v>
      </c>
      <c r="M1875" t="s">
        <v>478</v>
      </c>
      <c r="N1875" t="str">
        <f>Tabela_tudo[[#This Row],[Médico]]&amp;" ("&amp;Tabela_tudo[[#This Row],[Obs]]&amp;")"</f>
        <v>BG ()</v>
      </c>
    </row>
    <row r="1876" spans="1:14" x14ac:dyDescent="0.3">
      <c r="A1876" s="1">
        <v>45027</v>
      </c>
      <c r="B1876" t="s">
        <v>23</v>
      </c>
      <c r="C1876" t="s">
        <v>463</v>
      </c>
      <c r="D1876" s="8">
        <v>0.75</v>
      </c>
      <c r="E1876" s="8">
        <v>0.79166666666666663</v>
      </c>
      <c r="L1876" t="s">
        <v>563</v>
      </c>
      <c r="M1876" t="s">
        <v>478</v>
      </c>
      <c r="N1876" t="str">
        <f>Tabela_tudo[[#This Row],[Médico]]&amp;" ("&amp;Tabela_tudo[[#This Row],[Obs]]&amp;")"</f>
        <v>BG ()</v>
      </c>
    </row>
    <row r="1877" spans="1:14" x14ac:dyDescent="0.3">
      <c r="A1877" s="1">
        <v>45048</v>
      </c>
      <c r="B1877" t="s">
        <v>23</v>
      </c>
      <c r="C1877" t="s">
        <v>463</v>
      </c>
      <c r="D1877" s="8">
        <v>0.75</v>
      </c>
      <c r="E1877" s="8">
        <v>0.79166666666666663</v>
      </c>
      <c r="L1877" t="s">
        <v>563</v>
      </c>
      <c r="M1877" t="s">
        <v>478</v>
      </c>
      <c r="N1877" t="str">
        <f>Tabela_tudo[[#This Row],[Médico]]&amp;" ("&amp;Tabela_tudo[[#This Row],[Obs]]&amp;")"</f>
        <v>BG ()</v>
      </c>
    </row>
    <row r="1878" spans="1:14" x14ac:dyDescent="0.3">
      <c r="A1878" s="1">
        <v>45041</v>
      </c>
      <c r="B1878" t="s">
        <v>23</v>
      </c>
      <c r="C1878" t="s">
        <v>463</v>
      </c>
      <c r="D1878" s="8">
        <v>0.75</v>
      </c>
      <c r="E1878" s="8">
        <v>0.79166666666666663</v>
      </c>
      <c r="L1878" t="s">
        <v>563</v>
      </c>
      <c r="M1878" t="s">
        <v>478</v>
      </c>
      <c r="N1878" t="str">
        <f>Tabela_tudo[[#This Row],[Médico]]&amp;" ("&amp;Tabela_tudo[[#This Row],[Obs]]&amp;")"</f>
        <v>BG ()</v>
      </c>
    </row>
    <row r="1879" spans="1:14" x14ac:dyDescent="0.3">
      <c r="A1879" s="1">
        <v>45034</v>
      </c>
      <c r="B1879" t="s">
        <v>23</v>
      </c>
      <c r="C1879" t="s">
        <v>463</v>
      </c>
      <c r="D1879" s="8">
        <v>0.75</v>
      </c>
      <c r="E1879" s="8">
        <v>0.79166666666666663</v>
      </c>
      <c r="L1879" t="s">
        <v>563</v>
      </c>
      <c r="M1879" t="s">
        <v>478</v>
      </c>
      <c r="N1879" t="str">
        <f>Tabela_tudo[[#This Row],[Médico]]&amp;" ("&amp;Tabela_tudo[[#This Row],[Obs]]&amp;")"</f>
        <v>BG ()</v>
      </c>
    </row>
    <row r="1880" spans="1:14" x14ac:dyDescent="0.3">
      <c r="A1880" s="1">
        <v>44971</v>
      </c>
      <c r="B1880" t="s">
        <v>23</v>
      </c>
      <c r="C1880" t="s">
        <v>463</v>
      </c>
      <c r="D1880" s="8">
        <v>0.75</v>
      </c>
      <c r="E1880" s="8">
        <v>0.79166666666666663</v>
      </c>
      <c r="L1880" t="s">
        <v>563</v>
      </c>
      <c r="M1880" t="s">
        <v>478</v>
      </c>
      <c r="N1880" t="str">
        <f>Tabela_tudo[[#This Row],[Médico]]&amp;" ("&amp;Tabela_tudo[[#This Row],[Obs]]&amp;")"</f>
        <v>BG ()</v>
      </c>
    </row>
    <row r="1881" spans="1:14" x14ac:dyDescent="0.3">
      <c r="A1881" s="1">
        <v>44964</v>
      </c>
      <c r="B1881" t="s">
        <v>23</v>
      </c>
      <c r="C1881" t="s">
        <v>463</v>
      </c>
      <c r="D1881" s="8">
        <v>0.75</v>
      </c>
      <c r="E1881" s="8">
        <v>0.79166666666666663</v>
      </c>
      <c r="L1881" t="s">
        <v>563</v>
      </c>
      <c r="M1881" t="s">
        <v>478</v>
      </c>
      <c r="N1881" t="str">
        <f>Tabela_tudo[[#This Row],[Médico]]&amp;" ("&amp;Tabela_tudo[[#This Row],[Obs]]&amp;")"</f>
        <v>BG ()</v>
      </c>
    </row>
    <row r="1882" spans="1:14" x14ac:dyDescent="0.3">
      <c r="A1882" s="1">
        <v>44957</v>
      </c>
      <c r="B1882" t="s">
        <v>23</v>
      </c>
      <c r="C1882" t="s">
        <v>463</v>
      </c>
      <c r="D1882" s="8">
        <v>0.75</v>
      </c>
      <c r="E1882" s="8">
        <v>0.79166666666666663</v>
      </c>
      <c r="L1882" t="s">
        <v>563</v>
      </c>
      <c r="M1882" t="s">
        <v>478</v>
      </c>
      <c r="N1882" t="str">
        <f>Tabela_tudo[[#This Row],[Médico]]&amp;" ("&amp;Tabela_tudo[[#This Row],[Obs]]&amp;")"</f>
        <v>BG ()</v>
      </c>
    </row>
    <row r="1883" spans="1:14" x14ac:dyDescent="0.3">
      <c r="A1883" s="1">
        <v>44978</v>
      </c>
      <c r="B1883" t="s">
        <v>23</v>
      </c>
      <c r="C1883" t="s">
        <v>463</v>
      </c>
      <c r="D1883" s="8">
        <v>0.75</v>
      </c>
      <c r="E1883" s="8">
        <v>0.79166666666666663</v>
      </c>
      <c r="L1883" t="s">
        <v>563</v>
      </c>
      <c r="M1883" t="s">
        <v>478</v>
      </c>
      <c r="N1883" t="str">
        <f>Tabela_tudo[[#This Row],[Médico]]&amp;" ("&amp;Tabela_tudo[[#This Row],[Obs]]&amp;")"</f>
        <v>BG ()</v>
      </c>
    </row>
    <row r="1884" spans="1:14" x14ac:dyDescent="0.3">
      <c r="A1884" s="1">
        <v>44999</v>
      </c>
      <c r="B1884" t="s">
        <v>23</v>
      </c>
      <c r="C1884" t="s">
        <v>463</v>
      </c>
      <c r="D1884" s="8">
        <v>0.75</v>
      </c>
      <c r="E1884" s="8">
        <v>0.79166666666666663</v>
      </c>
      <c r="L1884" t="s">
        <v>563</v>
      </c>
      <c r="M1884" t="s">
        <v>478</v>
      </c>
      <c r="N1884" t="str">
        <f>Tabela_tudo[[#This Row],[Médico]]&amp;" ("&amp;Tabela_tudo[[#This Row],[Obs]]&amp;")"</f>
        <v>BG ()</v>
      </c>
    </row>
    <row r="1885" spans="1:14" x14ac:dyDescent="0.3">
      <c r="A1885" s="1">
        <v>44992</v>
      </c>
      <c r="B1885" t="s">
        <v>23</v>
      </c>
      <c r="C1885" t="s">
        <v>463</v>
      </c>
      <c r="D1885" s="8">
        <v>0.75</v>
      </c>
      <c r="E1885" s="8">
        <v>0.79166666666666663</v>
      </c>
      <c r="L1885" t="s">
        <v>563</v>
      </c>
      <c r="M1885" t="s">
        <v>478</v>
      </c>
      <c r="N1885" t="str">
        <f>Tabela_tudo[[#This Row],[Médico]]&amp;" ("&amp;Tabela_tudo[[#This Row],[Obs]]&amp;")"</f>
        <v>BG ()</v>
      </c>
    </row>
    <row r="1886" spans="1:14" x14ac:dyDescent="0.3">
      <c r="A1886" s="1">
        <v>44985</v>
      </c>
      <c r="B1886" t="s">
        <v>23</v>
      </c>
      <c r="C1886" t="s">
        <v>463</v>
      </c>
      <c r="D1886" s="8">
        <v>0.75</v>
      </c>
      <c r="E1886" s="8">
        <v>0.79166666666666663</v>
      </c>
      <c r="L1886" t="s">
        <v>563</v>
      </c>
      <c r="M1886" t="s">
        <v>478</v>
      </c>
      <c r="N1886" t="str">
        <f>Tabela_tudo[[#This Row],[Médico]]&amp;" ("&amp;Tabela_tudo[[#This Row],[Obs]]&amp;")"</f>
        <v>BG ()</v>
      </c>
    </row>
    <row r="1887" spans="1:14" x14ac:dyDescent="0.3">
      <c r="A1887" s="1">
        <v>45055</v>
      </c>
      <c r="B1887" t="s">
        <v>23</v>
      </c>
      <c r="C1887" t="s">
        <v>463</v>
      </c>
      <c r="D1887" s="8">
        <v>0.75</v>
      </c>
      <c r="E1887" s="8">
        <v>0.79166666666666663</v>
      </c>
      <c r="L1887" t="s">
        <v>563</v>
      </c>
      <c r="M1887" t="s">
        <v>478</v>
      </c>
      <c r="N1887" t="str">
        <f>Tabela_tudo[[#This Row],[Médico]]&amp;" ("&amp;Tabela_tudo[[#This Row],[Obs]]&amp;")"</f>
        <v>BG ()</v>
      </c>
    </row>
    <row r="1888" spans="1:14" x14ac:dyDescent="0.3">
      <c r="A1888" s="1">
        <v>45125</v>
      </c>
      <c r="B1888" t="s">
        <v>23</v>
      </c>
      <c r="C1888" t="s">
        <v>463</v>
      </c>
      <c r="D1888" s="8">
        <v>0.75</v>
      </c>
      <c r="E1888" s="8">
        <v>0.79166666666666663</v>
      </c>
      <c r="L1888" t="s">
        <v>563</v>
      </c>
      <c r="M1888" t="s">
        <v>478</v>
      </c>
      <c r="N1888" t="str">
        <f>Tabela_tudo[[#This Row],[Médico]]&amp;" ("&amp;Tabela_tudo[[#This Row],[Obs]]&amp;")"</f>
        <v>BG ()</v>
      </c>
    </row>
    <row r="1889" spans="1:14" x14ac:dyDescent="0.3">
      <c r="A1889" s="1">
        <v>45118</v>
      </c>
      <c r="B1889" t="s">
        <v>23</v>
      </c>
      <c r="C1889" t="s">
        <v>463</v>
      </c>
      <c r="D1889" s="8">
        <v>0.75</v>
      </c>
      <c r="E1889" s="8">
        <v>0.79166666666666663</v>
      </c>
      <c r="L1889" t="s">
        <v>563</v>
      </c>
      <c r="M1889" t="s">
        <v>478</v>
      </c>
      <c r="N1889" t="str">
        <f>Tabela_tudo[[#This Row],[Médico]]&amp;" ("&amp;Tabela_tudo[[#This Row],[Obs]]&amp;")"</f>
        <v>BG ()</v>
      </c>
    </row>
    <row r="1890" spans="1:14" x14ac:dyDescent="0.3">
      <c r="A1890" s="1">
        <v>45111</v>
      </c>
      <c r="B1890" t="s">
        <v>23</v>
      </c>
      <c r="C1890" t="s">
        <v>463</v>
      </c>
      <c r="D1890" s="8">
        <v>0.75</v>
      </c>
      <c r="E1890" s="8">
        <v>0.79166666666666663</v>
      </c>
      <c r="L1890" t="s">
        <v>563</v>
      </c>
      <c r="M1890" t="s">
        <v>478</v>
      </c>
      <c r="N1890" t="str">
        <f>Tabela_tudo[[#This Row],[Médico]]&amp;" ("&amp;Tabela_tudo[[#This Row],[Obs]]&amp;")"</f>
        <v>BG ()</v>
      </c>
    </row>
    <row r="1891" spans="1:14" x14ac:dyDescent="0.3">
      <c r="A1891" s="1">
        <v>45132</v>
      </c>
      <c r="B1891" t="s">
        <v>23</v>
      </c>
      <c r="C1891" t="s">
        <v>463</v>
      </c>
      <c r="D1891" s="8">
        <v>0.75</v>
      </c>
      <c r="E1891" s="8">
        <v>0.79166666666666663</v>
      </c>
      <c r="L1891" t="s">
        <v>563</v>
      </c>
      <c r="M1891" t="s">
        <v>478</v>
      </c>
      <c r="N1891" t="str">
        <f>Tabela_tudo[[#This Row],[Médico]]&amp;" ("&amp;Tabela_tudo[[#This Row],[Obs]]&amp;")"</f>
        <v>BG ()</v>
      </c>
    </row>
    <row r="1892" spans="1:14" x14ac:dyDescent="0.3">
      <c r="A1892" s="1">
        <v>45153</v>
      </c>
      <c r="B1892" t="s">
        <v>23</v>
      </c>
      <c r="C1892" t="s">
        <v>463</v>
      </c>
      <c r="D1892" s="8">
        <v>0.75</v>
      </c>
      <c r="E1892" s="8">
        <v>0.79166666666666663</v>
      </c>
      <c r="L1892" t="s">
        <v>563</v>
      </c>
      <c r="M1892" t="s">
        <v>478</v>
      </c>
      <c r="N1892" t="str">
        <f>Tabela_tudo[[#This Row],[Médico]]&amp;" ("&amp;Tabela_tudo[[#This Row],[Obs]]&amp;")"</f>
        <v>BG ()</v>
      </c>
    </row>
    <row r="1893" spans="1:14" x14ac:dyDescent="0.3">
      <c r="A1893" s="1">
        <v>45146</v>
      </c>
      <c r="B1893" t="s">
        <v>23</v>
      </c>
      <c r="C1893" t="s">
        <v>463</v>
      </c>
      <c r="D1893" s="8">
        <v>0.75</v>
      </c>
      <c r="E1893" s="8">
        <v>0.79166666666666663</v>
      </c>
      <c r="L1893" t="s">
        <v>563</v>
      </c>
      <c r="M1893" t="s">
        <v>478</v>
      </c>
      <c r="N1893" t="str">
        <f>Tabela_tudo[[#This Row],[Médico]]&amp;" ("&amp;Tabela_tudo[[#This Row],[Obs]]&amp;")"</f>
        <v>BG ()</v>
      </c>
    </row>
    <row r="1894" spans="1:14" x14ac:dyDescent="0.3">
      <c r="A1894" s="1">
        <v>45139</v>
      </c>
      <c r="B1894" t="s">
        <v>23</v>
      </c>
      <c r="C1894" t="s">
        <v>463</v>
      </c>
      <c r="D1894" s="8">
        <v>0.75</v>
      </c>
      <c r="E1894" s="8">
        <v>0.79166666666666663</v>
      </c>
      <c r="L1894" t="s">
        <v>563</v>
      </c>
      <c r="M1894" t="s">
        <v>478</v>
      </c>
      <c r="N1894" t="str">
        <f>Tabela_tudo[[#This Row],[Médico]]&amp;" ("&amp;Tabela_tudo[[#This Row],[Obs]]&amp;")"</f>
        <v>BG ()</v>
      </c>
    </row>
    <row r="1895" spans="1:14" x14ac:dyDescent="0.3">
      <c r="A1895" s="1">
        <v>45076</v>
      </c>
      <c r="B1895" t="s">
        <v>23</v>
      </c>
      <c r="C1895" t="s">
        <v>463</v>
      </c>
      <c r="D1895" s="8">
        <v>0.75</v>
      </c>
      <c r="E1895" s="8">
        <v>0.79166666666666663</v>
      </c>
      <c r="L1895" t="s">
        <v>563</v>
      </c>
      <c r="M1895" t="s">
        <v>478</v>
      </c>
      <c r="N1895" t="str">
        <f>Tabela_tudo[[#This Row],[Médico]]&amp;" ("&amp;Tabela_tudo[[#This Row],[Obs]]&amp;")"</f>
        <v>BG ()</v>
      </c>
    </row>
    <row r="1896" spans="1:14" x14ac:dyDescent="0.3">
      <c r="A1896" s="1">
        <v>45069</v>
      </c>
      <c r="B1896" t="s">
        <v>23</v>
      </c>
      <c r="C1896" t="s">
        <v>463</v>
      </c>
      <c r="D1896" s="8">
        <v>0.75</v>
      </c>
      <c r="E1896" s="8">
        <v>0.79166666666666663</v>
      </c>
      <c r="L1896" t="s">
        <v>563</v>
      </c>
      <c r="M1896" t="s">
        <v>478</v>
      </c>
      <c r="N1896" t="str">
        <f>Tabela_tudo[[#This Row],[Médico]]&amp;" ("&amp;Tabela_tudo[[#This Row],[Obs]]&amp;")"</f>
        <v>BG ()</v>
      </c>
    </row>
    <row r="1897" spans="1:14" x14ac:dyDescent="0.3">
      <c r="A1897" s="1">
        <v>45062</v>
      </c>
      <c r="B1897" t="s">
        <v>23</v>
      </c>
      <c r="C1897" t="s">
        <v>463</v>
      </c>
      <c r="D1897" s="8">
        <v>0.75</v>
      </c>
      <c r="E1897" s="8">
        <v>0.79166666666666663</v>
      </c>
      <c r="L1897" t="s">
        <v>563</v>
      </c>
      <c r="M1897" t="s">
        <v>478</v>
      </c>
      <c r="N1897" t="str">
        <f>Tabela_tudo[[#This Row],[Médico]]&amp;" ("&amp;Tabela_tudo[[#This Row],[Obs]]&amp;")"</f>
        <v>BG ()</v>
      </c>
    </row>
    <row r="1898" spans="1:14" x14ac:dyDescent="0.3">
      <c r="A1898" s="1">
        <v>45083</v>
      </c>
      <c r="B1898" t="s">
        <v>23</v>
      </c>
      <c r="C1898" t="s">
        <v>463</v>
      </c>
      <c r="D1898" s="8">
        <v>0.75</v>
      </c>
      <c r="E1898" s="8">
        <v>0.79166666666666663</v>
      </c>
      <c r="L1898" t="s">
        <v>563</v>
      </c>
      <c r="M1898" t="s">
        <v>478</v>
      </c>
      <c r="N1898" t="str">
        <f>Tabela_tudo[[#This Row],[Médico]]&amp;" ("&amp;Tabela_tudo[[#This Row],[Obs]]&amp;")"</f>
        <v>BG ()</v>
      </c>
    </row>
    <row r="1899" spans="1:14" x14ac:dyDescent="0.3">
      <c r="A1899" s="1">
        <v>45104</v>
      </c>
      <c r="B1899" t="s">
        <v>23</v>
      </c>
      <c r="C1899" t="s">
        <v>463</v>
      </c>
      <c r="D1899" s="8">
        <v>0.75</v>
      </c>
      <c r="E1899" s="8">
        <v>0.79166666666666663</v>
      </c>
      <c r="L1899" t="s">
        <v>563</v>
      </c>
      <c r="M1899" t="s">
        <v>478</v>
      </c>
      <c r="N1899" t="str">
        <f>Tabela_tudo[[#This Row],[Médico]]&amp;" ("&amp;Tabela_tudo[[#This Row],[Obs]]&amp;")"</f>
        <v>BG ()</v>
      </c>
    </row>
    <row r="1900" spans="1:14" x14ac:dyDescent="0.3">
      <c r="A1900" s="1">
        <v>45097</v>
      </c>
      <c r="B1900" t="s">
        <v>23</v>
      </c>
      <c r="C1900" t="s">
        <v>463</v>
      </c>
      <c r="D1900" s="8">
        <v>0.75</v>
      </c>
      <c r="E1900" s="8">
        <v>0.79166666666666663</v>
      </c>
      <c r="L1900" t="s">
        <v>563</v>
      </c>
      <c r="M1900" t="s">
        <v>478</v>
      </c>
      <c r="N1900" t="str">
        <f>Tabela_tudo[[#This Row],[Médico]]&amp;" ("&amp;Tabela_tudo[[#This Row],[Obs]]&amp;")"</f>
        <v>BG ()</v>
      </c>
    </row>
    <row r="1901" spans="1:14" x14ac:dyDescent="0.3">
      <c r="A1901" s="1">
        <v>45090</v>
      </c>
      <c r="B1901" t="s">
        <v>23</v>
      </c>
      <c r="C1901" t="s">
        <v>463</v>
      </c>
      <c r="D1901" s="8">
        <v>0.75</v>
      </c>
      <c r="E1901" s="8">
        <v>0.79166666666666663</v>
      </c>
      <c r="L1901" t="s">
        <v>563</v>
      </c>
      <c r="M1901" t="s">
        <v>478</v>
      </c>
      <c r="N1901" t="str">
        <f>Tabela_tudo[[#This Row],[Médico]]&amp;" ("&amp;Tabela_tudo[[#This Row],[Obs]]&amp;")"</f>
        <v>BG ()</v>
      </c>
    </row>
    <row r="1902" spans="1:14" x14ac:dyDescent="0.3">
      <c r="A1902" s="1">
        <v>44950</v>
      </c>
      <c r="B1902" t="s">
        <v>23</v>
      </c>
      <c r="C1902" t="s">
        <v>463</v>
      </c>
      <c r="D1902" s="8">
        <v>0.75</v>
      </c>
      <c r="E1902" s="8">
        <v>0.79166666666666663</v>
      </c>
      <c r="L1902" t="s">
        <v>563</v>
      </c>
      <c r="M1902" t="s">
        <v>478</v>
      </c>
      <c r="N1902" t="str">
        <f>Tabela_tudo[[#This Row],[Médico]]&amp;" ("&amp;Tabela_tudo[[#This Row],[Obs]]&amp;")"</f>
        <v>BG ()</v>
      </c>
    </row>
    <row r="1903" spans="1:14" x14ac:dyDescent="0.3">
      <c r="A1903" s="1">
        <v>45538</v>
      </c>
      <c r="B1903" t="s">
        <v>20</v>
      </c>
      <c r="C1903" t="s">
        <v>463</v>
      </c>
      <c r="D1903" s="8">
        <v>0.75</v>
      </c>
      <c r="E1903" s="8">
        <v>0.79166666666666663</v>
      </c>
      <c r="L1903" t="s">
        <v>563</v>
      </c>
      <c r="M1903" t="s">
        <v>478</v>
      </c>
      <c r="N1903" t="str">
        <f>Tabela_tudo[[#This Row],[Médico]]&amp;" ("&amp;Tabela_tudo[[#This Row],[Obs]]&amp;")"</f>
        <v>ROB ()</v>
      </c>
    </row>
    <row r="1904" spans="1:14" x14ac:dyDescent="0.3">
      <c r="A1904" s="1">
        <v>45531</v>
      </c>
      <c r="B1904" t="s">
        <v>20</v>
      </c>
      <c r="C1904" t="s">
        <v>463</v>
      </c>
      <c r="D1904" s="8">
        <v>0.75</v>
      </c>
      <c r="E1904" s="8">
        <v>0.79166666666666663</v>
      </c>
      <c r="L1904" t="s">
        <v>563</v>
      </c>
      <c r="M1904" t="s">
        <v>478</v>
      </c>
      <c r="N1904" t="str">
        <f>Tabela_tudo[[#This Row],[Médico]]&amp;" ("&amp;Tabela_tudo[[#This Row],[Obs]]&amp;")"</f>
        <v>ROB ()</v>
      </c>
    </row>
    <row r="1905" spans="1:14" x14ac:dyDescent="0.3">
      <c r="A1905" s="1">
        <v>45524</v>
      </c>
      <c r="B1905" t="s">
        <v>20</v>
      </c>
      <c r="C1905" t="s">
        <v>463</v>
      </c>
      <c r="D1905" s="8">
        <v>0.75</v>
      </c>
      <c r="E1905" s="8">
        <v>0.79166666666666663</v>
      </c>
      <c r="L1905" t="s">
        <v>563</v>
      </c>
      <c r="M1905" t="s">
        <v>478</v>
      </c>
      <c r="N1905" t="str">
        <f>Tabela_tudo[[#This Row],[Médico]]&amp;" ("&amp;Tabela_tudo[[#This Row],[Obs]]&amp;")"</f>
        <v>ROB ()</v>
      </c>
    </row>
    <row r="1906" spans="1:14" x14ac:dyDescent="0.3">
      <c r="A1906" s="1">
        <v>45545</v>
      </c>
      <c r="B1906" t="s">
        <v>20</v>
      </c>
      <c r="C1906" t="s">
        <v>463</v>
      </c>
      <c r="D1906" s="8">
        <v>0.75</v>
      </c>
      <c r="E1906" s="8">
        <v>0.79166666666666663</v>
      </c>
      <c r="L1906" t="s">
        <v>563</v>
      </c>
      <c r="M1906" t="s">
        <v>478</v>
      </c>
      <c r="N1906" t="str">
        <f>Tabela_tudo[[#This Row],[Médico]]&amp;" ("&amp;Tabela_tudo[[#This Row],[Obs]]&amp;")"</f>
        <v>ROB ()</v>
      </c>
    </row>
    <row r="1907" spans="1:14" x14ac:dyDescent="0.3">
      <c r="A1907" s="1">
        <v>45566</v>
      </c>
      <c r="B1907" t="s">
        <v>20</v>
      </c>
      <c r="C1907" t="s">
        <v>463</v>
      </c>
      <c r="D1907" s="8">
        <v>0.75</v>
      </c>
      <c r="E1907" s="8">
        <v>0.79166666666666663</v>
      </c>
      <c r="L1907" t="s">
        <v>563</v>
      </c>
      <c r="M1907" t="s">
        <v>478</v>
      </c>
      <c r="N1907" t="str">
        <f>Tabela_tudo[[#This Row],[Médico]]&amp;" ("&amp;Tabela_tudo[[#This Row],[Obs]]&amp;")"</f>
        <v>ROB ()</v>
      </c>
    </row>
    <row r="1908" spans="1:14" x14ac:dyDescent="0.3">
      <c r="A1908" s="1">
        <v>45559</v>
      </c>
      <c r="B1908" t="s">
        <v>20</v>
      </c>
      <c r="C1908" t="s">
        <v>463</v>
      </c>
      <c r="D1908" s="8">
        <v>0.75</v>
      </c>
      <c r="E1908" s="8">
        <v>0.79166666666666663</v>
      </c>
      <c r="L1908" t="s">
        <v>563</v>
      </c>
      <c r="M1908" t="s">
        <v>478</v>
      </c>
      <c r="N1908" t="str">
        <f>Tabela_tudo[[#This Row],[Médico]]&amp;" ("&amp;Tabela_tudo[[#This Row],[Obs]]&amp;")"</f>
        <v>ROB ()</v>
      </c>
    </row>
    <row r="1909" spans="1:14" x14ac:dyDescent="0.3">
      <c r="A1909" s="1">
        <v>45552</v>
      </c>
      <c r="B1909" t="s">
        <v>20</v>
      </c>
      <c r="C1909" t="s">
        <v>463</v>
      </c>
      <c r="D1909" s="8">
        <v>0.75</v>
      </c>
      <c r="E1909" s="8">
        <v>0.79166666666666663</v>
      </c>
      <c r="L1909" t="s">
        <v>563</v>
      </c>
      <c r="M1909" t="s">
        <v>478</v>
      </c>
      <c r="N1909" t="str">
        <f>Tabela_tudo[[#This Row],[Médico]]&amp;" ("&amp;Tabela_tudo[[#This Row],[Obs]]&amp;")"</f>
        <v>ROB ()</v>
      </c>
    </row>
    <row r="1910" spans="1:14" x14ac:dyDescent="0.3">
      <c r="A1910" s="1">
        <v>45489</v>
      </c>
      <c r="B1910" t="s">
        <v>20</v>
      </c>
      <c r="C1910" t="s">
        <v>463</v>
      </c>
      <c r="D1910" s="8">
        <v>0.75</v>
      </c>
      <c r="E1910" s="8">
        <v>0.79166666666666663</v>
      </c>
      <c r="L1910" t="s">
        <v>563</v>
      </c>
      <c r="M1910" t="s">
        <v>478</v>
      </c>
      <c r="N1910" t="str">
        <f>Tabela_tudo[[#This Row],[Médico]]&amp;" ("&amp;Tabela_tudo[[#This Row],[Obs]]&amp;")"</f>
        <v>ROB ()</v>
      </c>
    </row>
    <row r="1911" spans="1:14" x14ac:dyDescent="0.3">
      <c r="A1911" s="1">
        <v>45482</v>
      </c>
      <c r="B1911" t="s">
        <v>20</v>
      </c>
      <c r="C1911" t="s">
        <v>463</v>
      </c>
      <c r="D1911" s="8">
        <v>0.75</v>
      </c>
      <c r="E1911" s="8">
        <v>0.79166666666666663</v>
      </c>
      <c r="L1911" t="s">
        <v>563</v>
      </c>
      <c r="M1911" t="s">
        <v>478</v>
      </c>
      <c r="N1911" t="str">
        <f>Tabela_tudo[[#This Row],[Médico]]&amp;" ("&amp;Tabela_tudo[[#This Row],[Obs]]&amp;")"</f>
        <v>ROB ()</v>
      </c>
    </row>
    <row r="1912" spans="1:14" x14ac:dyDescent="0.3">
      <c r="A1912" s="1">
        <v>45475</v>
      </c>
      <c r="B1912" t="s">
        <v>20</v>
      </c>
      <c r="C1912" t="s">
        <v>463</v>
      </c>
      <c r="D1912" s="8">
        <v>0.75</v>
      </c>
      <c r="E1912" s="8">
        <v>0.79166666666666663</v>
      </c>
      <c r="L1912" t="s">
        <v>563</v>
      </c>
      <c r="M1912" t="s">
        <v>478</v>
      </c>
      <c r="N1912" t="str">
        <f>Tabela_tudo[[#This Row],[Médico]]&amp;" ("&amp;Tabela_tudo[[#This Row],[Obs]]&amp;")"</f>
        <v>ROB ()</v>
      </c>
    </row>
    <row r="1913" spans="1:14" x14ac:dyDescent="0.3">
      <c r="A1913" s="1">
        <v>45496</v>
      </c>
      <c r="B1913" t="s">
        <v>20</v>
      </c>
      <c r="C1913" t="s">
        <v>463</v>
      </c>
      <c r="D1913" s="8">
        <v>0.75</v>
      </c>
      <c r="E1913" s="8">
        <v>0.79166666666666663</v>
      </c>
      <c r="L1913" t="s">
        <v>563</v>
      </c>
      <c r="M1913" t="s">
        <v>478</v>
      </c>
      <c r="N1913" t="str">
        <f>Tabela_tudo[[#This Row],[Médico]]&amp;" ("&amp;Tabela_tudo[[#This Row],[Obs]]&amp;")"</f>
        <v>ROB ()</v>
      </c>
    </row>
    <row r="1914" spans="1:14" x14ac:dyDescent="0.3">
      <c r="A1914" s="1">
        <v>45517</v>
      </c>
      <c r="B1914" t="s">
        <v>20</v>
      </c>
      <c r="C1914" t="s">
        <v>463</v>
      </c>
      <c r="D1914" s="8">
        <v>0.75</v>
      </c>
      <c r="E1914" s="8">
        <v>0.79166666666666663</v>
      </c>
      <c r="L1914" t="s">
        <v>563</v>
      </c>
      <c r="M1914" t="s">
        <v>478</v>
      </c>
      <c r="N1914" t="str">
        <f>Tabela_tudo[[#This Row],[Médico]]&amp;" ("&amp;Tabela_tudo[[#This Row],[Obs]]&amp;")"</f>
        <v>ROB ()</v>
      </c>
    </row>
    <row r="1915" spans="1:14" x14ac:dyDescent="0.3">
      <c r="A1915" s="1">
        <v>45510</v>
      </c>
      <c r="B1915" t="s">
        <v>20</v>
      </c>
      <c r="C1915" t="s">
        <v>463</v>
      </c>
      <c r="D1915" s="8">
        <v>0.75</v>
      </c>
      <c r="E1915" s="8">
        <v>0.79166666666666663</v>
      </c>
      <c r="L1915" t="s">
        <v>563</v>
      </c>
      <c r="M1915" t="s">
        <v>478</v>
      </c>
      <c r="N1915" t="str">
        <f>Tabela_tudo[[#This Row],[Médico]]&amp;" ("&amp;Tabela_tudo[[#This Row],[Obs]]&amp;")"</f>
        <v>ROB ()</v>
      </c>
    </row>
    <row r="1916" spans="1:14" x14ac:dyDescent="0.3">
      <c r="A1916" s="1">
        <v>45503</v>
      </c>
      <c r="B1916" t="s">
        <v>20</v>
      </c>
      <c r="C1916" t="s">
        <v>463</v>
      </c>
      <c r="D1916" s="8">
        <v>0.75</v>
      </c>
      <c r="E1916" s="8">
        <v>0.79166666666666663</v>
      </c>
      <c r="L1916" t="s">
        <v>563</v>
      </c>
      <c r="M1916" t="s">
        <v>478</v>
      </c>
      <c r="N1916" t="str">
        <f>Tabela_tudo[[#This Row],[Médico]]&amp;" ("&amp;Tabela_tudo[[#This Row],[Obs]]&amp;")"</f>
        <v>ROB ()</v>
      </c>
    </row>
    <row r="1917" spans="1:14" x14ac:dyDescent="0.3">
      <c r="A1917" s="1">
        <v>45573</v>
      </c>
      <c r="B1917" t="s">
        <v>20</v>
      </c>
      <c r="C1917" t="s">
        <v>463</v>
      </c>
      <c r="D1917" s="8">
        <v>0.75</v>
      </c>
      <c r="E1917" s="8">
        <v>0.79166666666666663</v>
      </c>
      <c r="L1917" t="s">
        <v>563</v>
      </c>
      <c r="M1917" t="s">
        <v>478</v>
      </c>
      <c r="N1917" t="str">
        <f>Tabela_tudo[[#This Row],[Médico]]&amp;" ("&amp;Tabela_tudo[[#This Row],[Obs]]&amp;")"</f>
        <v>ROB ()</v>
      </c>
    </row>
    <row r="1918" spans="1:14" x14ac:dyDescent="0.3">
      <c r="A1918" s="1">
        <v>45643</v>
      </c>
      <c r="B1918" t="s">
        <v>20</v>
      </c>
      <c r="C1918" t="s">
        <v>463</v>
      </c>
      <c r="D1918" s="8">
        <v>0.75</v>
      </c>
      <c r="E1918" s="8">
        <v>0.79166666666666663</v>
      </c>
      <c r="L1918" t="s">
        <v>563</v>
      </c>
      <c r="M1918" t="s">
        <v>478</v>
      </c>
      <c r="N1918" t="str">
        <f>Tabela_tudo[[#This Row],[Médico]]&amp;" ("&amp;Tabela_tudo[[#This Row],[Obs]]&amp;")"</f>
        <v>ROB ()</v>
      </c>
    </row>
    <row r="1919" spans="1:14" x14ac:dyDescent="0.3">
      <c r="A1919" s="1">
        <v>45636</v>
      </c>
      <c r="B1919" t="s">
        <v>20</v>
      </c>
      <c r="C1919" t="s">
        <v>463</v>
      </c>
      <c r="D1919" s="8">
        <v>0.75</v>
      </c>
      <c r="E1919" s="8">
        <v>0.79166666666666663</v>
      </c>
      <c r="L1919" t="s">
        <v>563</v>
      </c>
      <c r="M1919" t="s">
        <v>478</v>
      </c>
      <c r="N1919" t="str">
        <f>Tabela_tudo[[#This Row],[Médico]]&amp;" ("&amp;Tabela_tudo[[#This Row],[Obs]]&amp;")"</f>
        <v>ROB ()</v>
      </c>
    </row>
    <row r="1920" spans="1:14" x14ac:dyDescent="0.3">
      <c r="A1920" s="1">
        <v>45629</v>
      </c>
      <c r="B1920" t="s">
        <v>20</v>
      </c>
      <c r="C1920" t="s">
        <v>463</v>
      </c>
      <c r="D1920" s="8">
        <v>0.75</v>
      </c>
      <c r="E1920" s="8">
        <v>0.79166666666666663</v>
      </c>
      <c r="L1920" t="s">
        <v>563</v>
      </c>
      <c r="M1920" t="s">
        <v>478</v>
      </c>
      <c r="N1920" t="str">
        <f>Tabela_tudo[[#This Row],[Médico]]&amp;" ("&amp;Tabela_tudo[[#This Row],[Obs]]&amp;")"</f>
        <v>ROB ()</v>
      </c>
    </row>
    <row r="1921" spans="1:14" x14ac:dyDescent="0.3">
      <c r="A1921" s="1">
        <v>45650</v>
      </c>
      <c r="B1921" t="s">
        <v>20</v>
      </c>
      <c r="C1921" t="s">
        <v>463</v>
      </c>
      <c r="D1921" s="8">
        <v>0.75</v>
      </c>
      <c r="E1921" s="8">
        <v>0.79166666666666663</v>
      </c>
      <c r="L1921" t="s">
        <v>563</v>
      </c>
      <c r="M1921" t="s">
        <v>478</v>
      </c>
      <c r="N1921" t="str">
        <f>Tabela_tudo[[#This Row],[Médico]]&amp;" ("&amp;Tabela_tudo[[#This Row],[Obs]]&amp;")"</f>
        <v>ROB ()</v>
      </c>
    </row>
    <row r="1922" spans="1:14" x14ac:dyDescent="0.3">
      <c r="A1922" s="1">
        <v>44943</v>
      </c>
      <c r="B1922" t="s">
        <v>23</v>
      </c>
      <c r="C1922" t="s">
        <v>463</v>
      </c>
      <c r="D1922" s="8">
        <v>0.75</v>
      </c>
      <c r="E1922" s="8">
        <v>0.79166666666666663</v>
      </c>
      <c r="L1922" t="s">
        <v>563</v>
      </c>
      <c r="M1922" t="s">
        <v>478</v>
      </c>
      <c r="N1922" t="str">
        <f>Tabela_tudo[[#This Row],[Médico]]&amp;" ("&amp;Tabela_tudo[[#This Row],[Obs]]&amp;")"</f>
        <v>BG ()</v>
      </c>
    </row>
    <row r="1923" spans="1:14" x14ac:dyDescent="0.3">
      <c r="A1923" s="1">
        <v>44936</v>
      </c>
      <c r="B1923" t="s">
        <v>23</v>
      </c>
      <c r="C1923" t="s">
        <v>463</v>
      </c>
      <c r="D1923" s="8">
        <v>0.75</v>
      </c>
      <c r="E1923" s="8">
        <v>0.79166666666666663</v>
      </c>
      <c r="L1923" t="s">
        <v>563</v>
      </c>
      <c r="M1923" t="s">
        <v>478</v>
      </c>
      <c r="N1923" t="str">
        <f>Tabela_tudo[[#This Row],[Médico]]&amp;" ("&amp;Tabela_tudo[[#This Row],[Obs]]&amp;")"</f>
        <v>BG ()</v>
      </c>
    </row>
    <row r="1924" spans="1:14" x14ac:dyDescent="0.3">
      <c r="A1924" s="1">
        <v>44929</v>
      </c>
      <c r="B1924" t="s">
        <v>23</v>
      </c>
      <c r="C1924" t="s">
        <v>463</v>
      </c>
      <c r="D1924" s="8">
        <v>0.75</v>
      </c>
      <c r="E1924" s="8">
        <v>0.79166666666666663</v>
      </c>
      <c r="L1924" t="s">
        <v>563</v>
      </c>
      <c r="M1924" t="s">
        <v>478</v>
      </c>
      <c r="N1924" t="str">
        <f>Tabela_tudo[[#This Row],[Médico]]&amp;" ("&amp;Tabela_tudo[[#This Row],[Obs]]&amp;")"</f>
        <v>BG ()</v>
      </c>
    </row>
    <row r="1925" spans="1:14" x14ac:dyDescent="0.3">
      <c r="A1925" s="1">
        <v>45594</v>
      </c>
      <c r="B1925" t="s">
        <v>20</v>
      </c>
      <c r="C1925" t="s">
        <v>463</v>
      </c>
      <c r="D1925" s="8">
        <v>0.75</v>
      </c>
      <c r="E1925" s="8">
        <v>0.79166666666666663</v>
      </c>
      <c r="L1925" t="s">
        <v>563</v>
      </c>
      <c r="M1925" t="s">
        <v>478</v>
      </c>
      <c r="N1925" t="str">
        <f>Tabela_tudo[[#This Row],[Médico]]&amp;" ("&amp;Tabela_tudo[[#This Row],[Obs]]&amp;")"</f>
        <v>ROB ()</v>
      </c>
    </row>
    <row r="1926" spans="1:14" x14ac:dyDescent="0.3">
      <c r="A1926" s="1">
        <v>45587</v>
      </c>
      <c r="B1926" t="s">
        <v>20</v>
      </c>
      <c r="C1926" t="s">
        <v>463</v>
      </c>
      <c r="D1926" s="8">
        <v>0.75</v>
      </c>
      <c r="E1926" s="8">
        <v>0.79166666666666663</v>
      </c>
      <c r="L1926" t="s">
        <v>563</v>
      </c>
      <c r="M1926" t="s">
        <v>478</v>
      </c>
      <c r="N1926" t="str">
        <f>Tabela_tudo[[#This Row],[Médico]]&amp;" ("&amp;Tabela_tudo[[#This Row],[Obs]]&amp;")"</f>
        <v>ROB ()</v>
      </c>
    </row>
    <row r="1927" spans="1:14" x14ac:dyDescent="0.3">
      <c r="A1927" s="1">
        <v>45580</v>
      </c>
      <c r="B1927" t="s">
        <v>20</v>
      </c>
      <c r="C1927" t="s">
        <v>463</v>
      </c>
      <c r="D1927" s="8">
        <v>0.75</v>
      </c>
      <c r="E1927" s="8">
        <v>0.79166666666666663</v>
      </c>
      <c r="L1927" t="s">
        <v>563</v>
      </c>
      <c r="M1927" t="s">
        <v>478</v>
      </c>
      <c r="N1927" t="str">
        <f>Tabela_tudo[[#This Row],[Médico]]&amp;" ("&amp;Tabela_tudo[[#This Row],[Obs]]&amp;")"</f>
        <v>ROB ()</v>
      </c>
    </row>
    <row r="1928" spans="1:14" x14ac:dyDescent="0.3">
      <c r="A1928" s="1">
        <v>45601</v>
      </c>
      <c r="B1928" t="s">
        <v>20</v>
      </c>
      <c r="C1928" t="s">
        <v>463</v>
      </c>
      <c r="D1928" s="8">
        <v>0.75</v>
      </c>
      <c r="E1928" s="8">
        <v>0.79166666666666663</v>
      </c>
      <c r="L1928" t="s">
        <v>563</v>
      </c>
      <c r="M1928" t="s">
        <v>478</v>
      </c>
      <c r="N1928" t="str">
        <f>Tabela_tudo[[#This Row],[Médico]]&amp;" ("&amp;Tabela_tudo[[#This Row],[Obs]]&amp;")"</f>
        <v>ROB ()</v>
      </c>
    </row>
    <row r="1929" spans="1:14" x14ac:dyDescent="0.3">
      <c r="A1929" s="1">
        <v>45622</v>
      </c>
      <c r="B1929" t="s">
        <v>20</v>
      </c>
      <c r="C1929" t="s">
        <v>463</v>
      </c>
      <c r="D1929" s="8">
        <v>0.75</v>
      </c>
      <c r="E1929" s="8">
        <v>0.79166666666666663</v>
      </c>
      <c r="L1929" t="s">
        <v>563</v>
      </c>
      <c r="M1929" t="s">
        <v>478</v>
      </c>
      <c r="N1929" t="str">
        <f>Tabela_tudo[[#This Row],[Médico]]&amp;" ("&amp;Tabela_tudo[[#This Row],[Obs]]&amp;")"</f>
        <v>ROB ()</v>
      </c>
    </row>
    <row r="1930" spans="1:14" x14ac:dyDescent="0.3">
      <c r="A1930" s="1">
        <v>45615</v>
      </c>
      <c r="B1930" t="s">
        <v>20</v>
      </c>
      <c r="C1930" t="s">
        <v>463</v>
      </c>
      <c r="D1930" s="8">
        <v>0.75</v>
      </c>
      <c r="E1930" s="8">
        <v>0.79166666666666663</v>
      </c>
      <c r="L1930" t="s">
        <v>563</v>
      </c>
      <c r="M1930" t="s">
        <v>478</v>
      </c>
      <c r="N1930" t="str">
        <f>Tabela_tudo[[#This Row],[Médico]]&amp;" ("&amp;Tabela_tudo[[#This Row],[Obs]]&amp;")"</f>
        <v>ROB ()</v>
      </c>
    </row>
    <row r="1931" spans="1:14" x14ac:dyDescent="0.3">
      <c r="A1931" s="1">
        <v>45608</v>
      </c>
      <c r="B1931" t="s">
        <v>20</v>
      </c>
      <c r="C1931" t="s">
        <v>463</v>
      </c>
      <c r="D1931" s="8">
        <v>0.75</v>
      </c>
      <c r="E1931" s="8">
        <v>0.79166666666666663</v>
      </c>
      <c r="L1931" t="s">
        <v>563</v>
      </c>
      <c r="M1931" t="s">
        <v>478</v>
      </c>
      <c r="N1931" t="str">
        <f>Tabela_tudo[[#This Row],[Médico]]&amp;" ("&amp;Tabela_tudo[[#This Row],[Obs]]&amp;")"</f>
        <v>ROB ()</v>
      </c>
    </row>
    <row r="1932" spans="1:14" x14ac:dyDescent="0.3">
      <c r="A1932" s="1">
        <v>45160</v>
      </c>
      <c r="B1932" t="s">
        <v>23</v>
      </c>
      <c r="C1932" t="s">
        <v>463</v>
      </c>
      <c r="D1932" s="8">
        <v>0.75</v>
      </c>
      <c r="E1932" s="8">
        <v>0.79166666666666663</v>
      </c>
      <c r="L1932" t="s">
        <v>563</v>
      </c>
      <c r="M1932" t="s">
        <v>478</v>
      </c>
      <c r="N1932" t="str">
        <f>Tabela_tudo[[#This Row],[Médico]]&amp;" ("&amp;Tabela_tudo[[#This Row],[Obs]]&amp;")"</f>
        <v>BG ()</v>
      </c>
    </row>
    <row r="1933" spans="1:14" x14ac:dyDescent="0.3">
      <c r="A1933" s="1">
        <v>45447</v>
      </c>
      <c r="B1933" t="s">
        <v>23</v>
      </c>
      <c r="C1933" t="s">
        <v>463</v>
      </c>
      <c r="D1933" s="8">
        <v>0.75</v>
      </c>
      <c r="E1933" s="8">
        <v>0.79166666666666663</v>
      </c>
      <c r="L1933" t="s">
        <v>563</v>
      </c>
      <c r="M1933" t="s">
        <v>478</v>
      </c>
      <c r="N1933" t="str">
        <f>Tabela_tudo[[#This Row],[Médico]]&amp;" ("&amp;Tabela_tudo[[#This Row],[Obs]]&amp;")"</f>
        <v>BG ()</v>
      </c>
    </row>
    <row r="1934" spans="1:14" x14ac:dyDescent="0.3">
      <c r="A1934" s="1">
        <v>45440</v>
      </c>
      <c r="B1934" t="s">
        <v>23</v>
      </c>
      <c r="C1934" t="s">
        <v>463</v>
      </c>
      <c r="D1934" s="8">
        <v>0.75</v>
      </c>
      <c r="E1934" s="8">
        <v>0.79166666666666663</v>
      </c>
      <c r="L1934" t="s">
        <v>563</v>
      </c>
      <c r="M1934" t="s">
        <v>478</v>
      </c>
      <c r="N1934" t="str">
        <f>Tabela_tudo[[#This Row],[Médico]]&amp;" ("&amp;Tabela_tudo[[#This Row],[Obs]]&amp;")"</f>
        <v>BG ()</v>
      </c>
    </row>
    <row r="1935" spans="1:14" x14ac:dyDescent="0.3">
      <c r="A1935" s="1">
        <v>45433</v>
      </c>
      <c r="B1935" t="s">
        <v>23</v>
      </c>
      <c r="C1935" t="s">
        <v>463</v>
      </c>
      <c r="D1935" s="8">
        <v>0.75</v>
      </c>
      <c r="E1935" s="8">
        <v>0.79166666666666663</v>
      </c>
      <c r="L1935" t="s">
        <v>563</v>
      </c>
      <c r="M1935" t="s">
        <v>478</v>
      </c>
      <c r="N1935" t="str">
        <f>Tabela_tudo[[#This Row],[Médico]]&amp;" ("&amp;Tabela_tudo[[#This Row],[Obs]]&amp;")"</f>
        <v>BG ()</v>
      </c>
    </row>
    <row r="1936" spans="1:14" x14ac:dyDescent="0.3">
      <c r="A1936" s="1">
        <v>45454</v>
      </c>
      <c r="B1936" t="s">
        <v>23</v>
      </c>
      <c r="C1936" t="s">
        <v>463</v>
      </c>
      <c r="D1936" s="8">
        <v>0.75</v>
      </c>
      <c r="E1936" s="8">
        <v>0.79166666666666663</v>
      </c>
      <c r="L1936" t="s">
        <v>563</v>
      </c>
      <c r="M1936" t="s">
        <v>478</v>
      </c>
      <c r="N1936" t="str">
        <f>Tabela_tudo[[#This Row],[Médico]]&amp;" ("&amp;Tabela_tudo[[#This Row],[Obs]]&amp;")"</f>
        <v>BG ()</v>
      </c>
    </row>
    <row r="1937" spans="1:14" x14ac:dyDescent="0.3">
      <c r="A1937" s="1">
        <v>45475</v>
      </c>
      <c r="B1937" t="s">
        <v>23</v>
      </c>
      <c r="C1937" t="s">
        <v>463</v>
      </c>
      <c r="D1937" s="8">
        <v>0.75</v>
      </c>
      <c r="E1937" s="8">
        <v>0.79166666666666663</v>
      </c>
      <c r="L1937" t="s">
        <v>563</v>
      </c>
      <c r="M1937" t="s">
        <v>478</v>
      </c>
      <c r="N1937" t="str">
        <f>Tabela_tudo[[#This Row],[Médico]]&amp;" ("&amp;Tabela_tudo[[#This Row],[Obs]]&amp;")"</f>
        <v>BG ()</v>
      </c>
    </row>
    <row r="1938" spans="1:14" x14ac:dyDescent="0.3">
      <c r="A1938" s="1">
        <v>45468</v>
      </c>
      <c r="B1938" t="s">
        <v>23</v>
      </c>
      <c r="C1938" t="s">
        <v>463</v>
      </c>
      <c r="D1938" s="8">
        <v>0.75</v>
      </c>
      <c r="E1938" s="8">
        <v>0.79166666666666663</v>
      </c>
      <c r="L1938" t="s">
        <v>563</v>
      </c>
      <c r="M1938" t="s">
        <v>478</v>
      </c>
      <c r="N1938" t="str">
        <f>Tabela_tudo[[#This Row],[Médico]]&amp;" ("&amp;Tabela_tudo[[#This Row],[Obs]]&amp;")"</f>
        <v>BG ()</v>
      </c>
    </row>
    <row r="1939" spans="1:14" x14ac:dyDescent="0.3">
      <c r="A1939" s="1">
        <v>45461</v>
      </c>
      <c r="B1939" t="s">
        <v>23</v>
      </c>
      <c r="C1939" t="s">
        <v>463</v>
      </c>
      <c r="D1939" s="8">
        <v>0.75</v>
      </c>
      <c r="E1939" s="8">
        <v>0.79166666666666663</v>
      </c>
      <c r="L1939" t="s">
        <v>563</v>
      </c>
      <c r="M1939" t="s">
        <v>478</v>
      </c>
      <c r="N1939" t="str">
        <f>Tabela_tudo[[#This Row],[Médico]]&amp;" ("&amp;Tabela_tudo[[#This Row],[Obs]]&amp;")"</f>
        <v>BG ()</v>
      </c>
    </row>
    <row r="1940" spans="1:14" x14ac:dyDescent="0.3">
      <c r="A1940" s="1">
        <v>45398</v>
      </c>
      <c r="B1940" t="s">
        <v>23</v>
      </c>
      <c r="C1940" t="s">
        <v>463</v>
      </c>
      <c r="D1940" s="8">
        <v>0.75</v>
      </c>
      <c r="E1940" s="8">
        <v>0.79166666666666663</v>
      </c>
      <c r="L1940" t="s">
        <v>563</v>
      </c>
      <c r="M1940" t="s">
        <v>478</v>
      </c>
      <c r="N1940" t="str">
        <f>Tabela_tudo[[#This Row],[Médico]]&amp;" ("&amp;Tabela_tudo[[#This Row],[Obs]]&amp;")"</f>
        <v>BG ()</v>
      </c>
    </row>
    <row r="1941" spans="1:14" x14ac:dyDescent="0.3">
      <c r="A1941" s="1">
        <v>45391</v>
      </c>
      <c r="B1941" t="s">
        <v>23</v>
      </c>
      <c r="C1941" t="s">
        <v>463</v>
      </c>
      <c r="D1941" s="8">
        <v>0.75</v>
      </c>
      <c r="E1941" s="8">
        <v>0.79166666666666663</v>
      </c>
      <c r="L1941" t="s">
        <v>563</v>
      </c>
      <c r="M1941" t="s">
        <v>478</v>
      </c>
      <c r="N1941" t="str">
        <f>Tabela_tudo[[#This Row],[Médico]]&amp;" ("&amp;Tabela_tudo[[#This Row],[Obs]]&amp;")"</f>
        <v>BG ()</v>
      </c>
    </row>
    <row r="1942" spans="1:14" x14ac:dyDescent="0.3">
      <c r="A1942" s="1">
        <v>45384</v>
      </c>
      <c r="B1942" t="s">
        <v>23</v>
      </c>
      <c r="C1942" t="s">
        <v>463</v>
      </c>
      <c r="D1942" s="8">
        <v>0.75</v>
      </c>
      <c r="E1942" s="8">
        <v>0.79166666666666663</v>
      </c>
      <c r="L1942" t="s">
        <v>563</v>
      </c>
      <c r="M1942" t="s">
        <v>478</v>
      </c>
      <c r="N1942" t="str">
        <f>Tabela_tudo[[#This Row],[Médico]]&amp;" ("&amp;Tabela_tudo[[#This Row],[Obs]]&amp;")"</f>
        <v>BG ()</v>
      </c>
    </row>
    <row r="1943" spans="1:14" x14ac:dyDescent="0.3">
      <c r="A1943" s="1">
        <v>45405</v>
      </c>
      <c r="B1943" t="s">
        <v>23</v>
      </c>
      <c r="C1943" t="s">
        <v>463</v>
      </c>
      <c r="D1943" s="8">
        <v>0.75</v>
      </c>
      <c r="E1943" s="8">
        <v>0.79166666666666663</v>
      </c>
      <c r="L1943" t="s">
        <v>563</v>
      </c>
      <c r="M1943" t="s">
        <v>478</v>
      </c>
      <c r="N1943" t="str">
        <f>Tabela_tudo[[#This Row],[Médico]]&amp;" ("&amp;Tabela_tudo[[#This Row],[Obs]]&amp;")"</f>
        <v>BG ()</v>
      </c>
    </row>
    <row r="1944" spans="1:14" x14ac:dyDescent="0.3">
      <c r="A1944" s="1">
        <v>45426</v>
      </c>
      <c r="B1944" t="s">
        <v>23</v>
      </c>
      <c r="C1944" t="s">
        <v>463</v>
      </c>
      <c r="D1944" s="8">
        <v>0.75</v>
      </c>
      <c r="E1944" s="8">
        <v>0.79166666666666663</v>
      </c>
      <c r="L1944" t="s">
        <v>563</v>
      </c>
      <c r="M1944" t="s">
        <v>478</v>
      </c>
      <c r="N1944" t="str">
        <f>Tabela_tudo[[#This Row],[Médico]]&amp;" ("&amp;Tabela_tudo[[#This Row],[Obs]]&amp;")"</f>
        <v>BG ()</v>
      </c>
    </row>
    <row r="1945" spans="1:14" x14ac:dyDescent="0.3">
      <c r="A1945" s="1">
        <v>45419</v>
      </c>
      <c r="B1945" t="s">
        <v>23</v>
      </c>
      <c r="C1945" t="s">
        <v>463</v>
      </c>
      <c r="D1945" s="8">
        <v>0.75</v>
      </c>
      <c r="E1945" s="8">
        <v>0.79166666666666663</v>
      </c>
      <c r="L1945" t="s">
        <v>563</v>
      </c>
      <c r="M1945" t="s">
        <v>478</v>
      </c>
      <c r="N1945" t="str">
        <f>Tabela_tudo[[#This Row],[Médico]]&amp;" ("&amp;Tabela_tudo[[#This Row],[Obs]]&amp;")"</f>
        <v>BG ()</v>
      </c>
    </row>
    <row r="1946" spans="1:14" x14ac:dyDescent="0.3">
      <c r="A1946" s="1">
        <v>45412</v>
      </c>
      <c r="B1946" t="s">
        <v>23</v>
      </c>
      <c r="C1946" t="s">
        <v>463</v>
      </c>
      <c r="D1946" s="8">
        <v>0.75</v>
      </c>
      <c r="E1946" s="8">
        <v>0.79166666666666663</v>
      </c>
      <c r="L1946" t="s">
        <v>563</v>
      </c>
      <c r="M1946" t="s">
        <v>478</v>
      </c>
      <c r="N1946" t="str">
        <f>Tabela_tudo[[#This Row],[Médico]]&amp;" ("&amp;Tabela_tudo[[#This Row],[Obs]]&amp;")"</f>
        <v>BG ()</v>
      </c>
    </row>
    <row r="1947" spans="1:14" x14ac:dyDescent="0.3">
      <c r="A1947" s="1">
        <v>45482</v>
      </c>
      <c r="B1947" t="s">
        <v>23</v>
      </c>
      <c r="C1947" t="s">
        <v>463</v>
      </c>
      <c r="D1947" s="8">
        <v>0.75</v>
      </c>
      <c r="E1947" s="8">
        <v>0.79166666666666663</v>
      </c>
      <c r="L1947" t="s">
        <v>563</v>
      </c>
      <c r="M1947" t="s">
        <v>478</v>
      </c>
      <c r="N1947" t="str">
        <f>Tabela_tudo[[#This Row],[Médico]]&amp;" ("&amp;Tabela_tudo[[#This Row],[Obs]]&amp;")"</f>
        <v>BG ()</v>
      </c>
    </row>
    <row r="1948" spans="1:14" x14ac:dyDescent="0.3">
      <c r="A1948" s="1">
        <v>45552</v>
      </c>
      <c r="B1948" t="s">
        <v>23</v>
      </c>
      <c r="C1948" t="s">
        <v>463</v>
      </c>
      <c r="D1948" s="8">
        <v>0.75</v>
      </c>
      <c r="E1948" s="8">
        <v>0.79166666666666663</v>
      </c>
      <c r="L1948" t="s">
        <v>563</v>
      </c>
      <c r="M1948" t="s">
        <v>478</v>
      </c>
      <c r="N1948" t="str">
        <f>Tabela_tudo[[#This Row],[Médico]]&amp;" ("&amp;Tabela_tudo[[#This Row],[Obs]]&amp;")"</f>
        <v>BG ()</v>
      </c>
    </row>
    <row r="1949" spans="1:14" x14ac:dyDescent="0.3">
      <c r="A1949" s="1">
        <v>45545</v>
      </c>
      <c r="B1949" t="s">
        <v>23</v>
      </c>
      <c r="C1949" t="s">
        <v>463</v>
      </c>
      <c r="D1949" s="8">
        <v>0.75</v>
      </c>
      <c r="E1949" s="8">
        <v>0.79166666666666663</v>
      </c>
      <c r="L1949" t="s">
        <v>563</v>
      </c>
      <c r="M1949" t="s">
        <v>478</v>
      </c>
      <c r="N1949" t="str">
        <f>Tabela_tudo[[#This Row],[Médico]]&amp;" ("&amp;Tabela_tudo[[#This Row],[Obs]]&amp;")"</f>
        <v>BG ()</v>
      </c>
    </row>
    <row r="1950" spans="1:14" x14ac:dyDescent="0.3">
      <c r="A1950" s="1">
        <v>45538</v>
      </c>
      <c r="B1950" t="s">
        <v>23</v>
      </c>
      <c r="C1950" t="s">
        <v>463</v>
      </c>
      <c r="D1950" s="8">
        <v>0.75</v>
      </c>
      <c r="E1950" s="8">
        <v>0.79166666666666663</v>
      </c>
      <c r="L1950" t="s">
        <v>563</v>
      </c>
      <c r="M1950" t="s">
        <v>478</v>
      </c>
      <c r="N1950" t="str">
        <f>Tabela_tudo[[#This Row],[Médico]]&amp;" ("&amp;Tabela_tudo[[#This Row],[Obs]]&amp;")"</f>
        <v>BG ()</v>
      </c>
    </row>
    <row r="1951" spans="1:14" x14ac:dyDescent="0.3">
      <c r="A1951" s="1">
        <v>45559</v>
      </c>
      <c r="B1951" t="s">
        <v>23</v>
      </c>
      <c r="C1951" t="s">
        <v>463</v>
      </c>
      <c r="D1951" s="8">
        <v>0.75</v>
      </c>
      <c r="E1951" s="8">
        <v>0.79166666666666663</v>
      </c>
      <c r="L1951" t="s">
        <v>563</v>
      </c>
      <c r="M1951" t="s">
        <v>478</v>
      </c>
      <c r="N1951" t="str">
        <f>Tabela_tudo[[#This Row],[Médico]]&amp;" ("&amp;Tabela_tudo[[#This Row],[Obs]]&amp;")"</f>
        <v>BG ()</v>
      </c>
    </row>
    <row r="1952" spans="1:14" x14ac:dyDescent="0.3">
      <c r="A1952" s="1">
        <v>45580</v>
      </c>
      <c r="B1952" t="s">
        <v>23</v>
      </c>
      <c r="C1952" t="s">
        <v>463</v>
      </c>
      <c r="D1952" s="8">
        <v>0.75</v>
      </c>
      <c r="E1952" s="8">
        <v>0.79166666666666663</v>
      </c>
      <c r="L1952" t="s">
        <v>563</v>
      </c>
      <c r="M1952" t="s">
        <v>478</v>
      </c>
      <c r="N1952" t="str">
        <f>Tabela_tudo[[#This Row],[Médico]]&amp;" ("&amp;Tabela_tudo[[#This Row],[Obs]]&amp;")"</f>
        <v>BG ()</v>
      </c>
    </row>
    <row r="1953" spans="1:14" x14ac:dyDescent="0.3">
      <c r="A1953" s="1">
        <v>45573</v>
      </c>
      <c r="B1953" t="s">
        <v>23</v>
      </c>
      <c r="C1953" t="s">
        <v>463</v>
      </c>
      <c r="D1953" s="8">
        <v>0.75</v>
      </c>
      <c r="E1953" s="8">
        <v>0.79166666666666663</v>
      </c>
      <c r="L1953" t="s">
        <v>563</v>
      </c>
      <c r="M1953" t="s">
        <v>478</v>
      </c>
      <c r="N1953" t="str">
        <f>Tabela_tudo[[#This Row],[Médico]]&amp;" ("&amp;Tabela_tudo[[#This Row],[Obs]]&amp;")"</f>
        <v>BG ()</v>
      </c>
    </row>
    <row r="1954" spans="1:14" x14ac:dyDescent="0.3">
      <c r="A1954" s="1">
        <v>45566</v>
      </c>
      <c r="B1954" t="s">
        <v>23</v>
      </c>
      <c r="C1954" t="s">
        <v>463</v>
      </c>
      <c r="D1954" s="8">
        <v>0.75</v>
      </c>
      <c r="E1954" s="8">
        <v>0.79166666666666663</v>
      </c>
      <c r="L1954" t="s">
        <v>563</v>
      </c>
      <c r="M1954" t="s">
        <v>478</v>
      </c>
      <c r="N1954" t="str">
        <f>Tabela_tudo[[#This Row],[Médico]]&amp;" ("&amp;Tabela_tudo[[#This Row],[Obs]]&amp;")"</f>
        <v>BG ()</v>
      </c>
    </row>
    <row r="1955" spans="1:14" x14ac:dyDescent="0.3">
      <c r="A1955" s="1">
        <v>45503</v>
      </c>
      <c r="B1955" t="s">
        <v>23</v>
      </c>
      <c r="C1955" t="s">
        <v>463</v>
      </c>
      <c r="D1955" s="8">
        <v>0.75</v>
      </c>
      <c r="E1955" s="8">
        <v>0.79166666666666663</v>
      </c>
      <c r="L1955" t="s">
        <v>563</v>
      </c>
      <c r="M1955" t="s">
        <v>478</v>
      </c>
      <c r="N1955" t="str">
        <f>Tabela_tudo[[#This Row],[Médico]]&amp;" ("&amp;Tabela_tudo[[#This Row],[Obs]]&amp;")"</f>
        <v>BG ()</v>
      </c>
    </row>
    <row r="1956" spans="1:14" x14ac:dyDescent="0.3">
      <c r="A1956" s="1">
        <v>45496</v>
      </c>
      <c r="B1956" t="s">
        <v>23</v>
      </c>
      <c r="C1956" t="s">
        <v>463</v>
      </c>
      <c r="D1956" s="8">
        <v>0.75</v>
      </c>
      <c r="E1956" s="8">
        <v>0.79166666666666663</v>
      </c>
      <c r="L1956" t="s">
        <v>563</v>
      </c>
      <c r="M1956" t="s">
        <v>478</v>
      </c>
      <c r="N1956" t="str">
        <f>Tabela_tudo[[#This Row],[Médico]]&amp;" ("&amp;Tabela_tudo[[#This Row],[Obs]]&amp;")"</f>
        <v>BG ()</v>
      </c>
    </row>
    <row r="1957" spans="1:14" x14ac:dyDescent="0.3">
      <c r="A1957" s="1">
        <v>45489</v>
      </c>
      <c r="B1957" t="s">
        <v>23</v>
      </c>
      <c r="C1957" t="s">
        <v>463</v>
      </c>
      <c r="D1957" s="8">
        <v>0.75</v>
      </c>
      <c r="E1957" s="8">
        <v>0.79166666666666663</v>
      </c>
      <c r="L1957" t="s">
        <v>563</v>
      </c>
      <c r="M1957" t="s">
        <v>478</v>
      </c>
      <c r="N1957" t="str">
        <f>Tabela_tudo[[#This Row],[Médico]]&amp;" ("&amp;Tabela_tudo[[#This Row],[Obs]]&amp;")"</f>
        <v>BG ()</v>
      </c>
    </row>
    <row r="1958" spans="1:14" x14ac:dyDescent="0.3">
      <c r="A1958" s="1">
        <v>45510</v>
      </c>
      <c r="B1958" t="s">
        <v>23</v>
      </c>
      <c r="C1958" t="s">
        <v>463</v>
      </c>
      <c r="D1958" s="8">
        <v>0.75</v>
      </c>
      <c r="E1958" s="8">
        <v>0.79166666666666663</v>
      </c>
      <c r="L1958" t="s">
        <v>563</v>
      </c>
      <c r="M1958" t="s">
        <v>478</v>
      </c>
      <c r="N1958" t="str">
        <f>Tabela_tudo[[#This Row],[Médico]]&amp;" ("&amp;Tabela_tudo[[#This Row],[Obs]]&amp;")"</f>
        <v>BG ()</v>
      </c>
    </row>
    <row r="1959" spans="1:14" x14ac:dyDescent="0.3">
      <c r="A1959" s="1">
        <v>45531</v>
      </c>
      <c r="B1959" t="s">
        <v>23</v>
      </c>
      <c r="C1959" t="s">
        <v>463</v>
      </c>
      <c r="D1959" s="8">
        <v>0.75</v>
      </c>
      <c r="E1959" s="8">
        <v>0.79166666666666663</v>
      </c>
      <c r="L1959" t="s">
        <v>563</v>
      </c>
      <c r="M1959" t="s">
        <v>478</v>
      </c>
      <c r="N1959" t="str">
        <f>Tabela_tudo[[#This Row],[Médico]]&amp;" ("&amp;Tabela_tudo[[#This Row],[Obs]]&amp;")"</f>
        <v>BG ()</v>
      </c>
    </row>
    <row r="1960" spans="1:14" x14ac:dyDescent="0.3">
      <c r="A1960" s="1">
        <v>45524</v>
      </c>
      <c r="B1960" t="s">
        <v>23</v>
      </c>
      <c r="C1960" t="s">
        <v>463</v>
      </c>
      <c r="D1960" s="8">
        <v>0.75</v>
      </c>
      <c r="E1960" s="8">
        <v>0.79166666666666663</v>
      </c>
      <c r="L1960" t="s">
        <v>563</v>
      </c>
      <c r="M1960" t="s">
        <v>478</v>
      </c>
      <c r="N1960" t="str">
        <f>Tabela_tudo[[#This Row],[Médico]]&amp;" ("&amp;Tabela_tudo[[#This Row],[Obs]]&amp;")"</f>
        <v>BG ()</v>
      </c>
    </row>
    <row r="1961" spans="1:14" x14ac:dyDescent="0.3">
      <c r="A1961" s="1">
        <v>45517</v>
      </c>
      <c r="B1961" t="s">
        <v>23</v>
      </c>
      <c r="C1961" t="s">
        <v>463</v>
      </c>
      <c r="D1961" s="8">
        <v>0.75</v>
      </c>
      <c r="E1961" s="8">
        <v>0.79166666666666663</v>
      </c>
      <c r="L1961" t="s">
        <v>563</v>
      </c>
      <c r="M1961" t="s">
        <v>478</v>
      </c>
      <c r="N1961" t="str">
        <f>Tabela_tudo[[#This Row],[Médico]]&amp;" ("&amp;Tabela_tudo[[#This Row],[Obs]]&amp;")"</f>
        <v>BG ()</v>
      </c>
    </row>
    <row r="1962" spans="1:14" x14ac:dyDescent="0.3">
      <c r="A1962" s="1">
        <v>45377</v>
      </c>
      <c r="B1962" t="s">
        <v>23</v>
      </c>
      <c r="C1962" t="s">
        <v>463</v>
      </c>
      <c r="D1962" s="8">
        <v>0.75</v>
      </c>
      <c r="E1962" s="8">
        <v>0.79166666666666663</v>
      </c>
      <c r="L1962" t="s">
        <v>563</v>
      </c>
      <c r="M1962" t="s">
        <v>478</v>
      </c>
      <c r="N1962" t="str">
        <f>Tabela_tudo[[#This Row],[Médico]]&amp;" ("&amp;Tabela_tudo[[#This Row],[Obs]]&amp;")"</f>
        <v>BG ()</v>
      </c>
    </row>
    <row r="1963" spans="1:14" x14ac:dyDescent="0.3">
      <c r="A1963" s="1">
        <v>45237</v>
      </c>
      <c r="B1963" t="s">
        <v>23</v>
      </c>
      <c r="C1963" t="s">
        <v>463</v>
      </c>
      <c r="D1963" s="8">
        <v>0.75</v>
      </c>
      <c r="E1963" s="8">
        <v>0.79166666666666663</v>
      </c>
      <c r="L1963" t="s">
        <v>563</v>
      </c>
      <c r="M1963" t="s">
        <v>478</v>
      </c>
      <c r="N1963" t="str">
        <f>Tabela_tudo[[#This Row],[Médico]]&amp;" ("&amp;Tabela_tudo[[#This Row],[Obs]]&amp;")"</f>
        <v>BG ()</v>
      </c>
    </row>
    <row r="1964" spans="1:14" x14ac:dyDescent="0.3">
      <c r="A1964" s="1">
        <v>45230</v>
      </c>
      <c r="B1964" t="s">
        <v>23</v>
      </c>
      <c r="C1964" t="s">
        <v>463</v>
      </c>
      <c r="D1964" s="8">
        <v>0.75</v>
      </c>
      <c r="E1964" s="8">
        <v>0.79166666666666663</v>
      </c>
      <c r="L1964" t="s">
        <v>563</v>
      </c>
      <c r="M1964" t="s">
        <v>478</v>
      </c>
      <c r="N1964" t="str">
        <f>Tabela_tudo[[#This Row],[Médico]]&amp;" ("&amp;Tabela_tudo[[#This Row],[Obs]]&amp;")"</f>
        <v>BG ()</v>
      </c>
    </row>
    <row r="1965" spans="1:14" x14ac:dyDescent="0.3">
      <c r="A1965" s="1">
        <v>45223</v>
      </c>
      <c r="B1965" t="s">
        <v>23</v>
      </c>
      <c r="C1965" t="s">
        <v>463</v>
      </c>
      <c r="D1965" s="8">
        <v>0.75</v>
      </c>
      <c r="E1965" s="8">
        <v>0.79166666666666663</v>
      </c>
      <c r="L1965" t="s">
        <v>563</v>
      </c>
      <c r="M1965" t="s">
        <v>478</v>
      </c>
      <c r="N1965" t="str">
        <f>Tabela_tudo[[#This Row],[Médico]]&amp;" ("&amp;Tabela_tudo[[#This Row],[Obs]]&amp;")"</f>
        <v>BG ()</v>
      </c>
    </row>
    <row r="1966" spans="1:14" x14ac:dyDescent="0.3">
      <c r="A1966" s="1">
        <v>45244</v>
      </c>
      <c r="B1966" t="s">
        <v>23</v>
      </c>
      <c r="C1966" t="s">
        <v>463</v>
      </c>
      <c r="D1966" s="8">
        <v>0.75</v>
      </c>
      <c r="E1966" s="8">
        <v>0.79166666666666663</v>
      </c>
      <c r="L1966" t="s">
        <v>563</v>
      </c>
      <c r="M1966" t="s">
        <v>478</v>
      </c>
      <c r="N1966" t="str">
        <f>Tabela_tudo[[#This Row],[Médico]]&amp;" ("&amp;Tabela_tudo[[#This Row],[Obs]]&amp;")"</f>
        <v>BG ()</v>
      </c>
    </row>
    <row r="1967" spans="1:14" x14ac:dyDescent="0.3">
      <c r="A1967" s="1">
        <v>45265</v>
      </c>
      <c r="B1967" t="s">
        <v>23</v>
      </c>
      <c r="C1967" t="s">
        <v>463</v>
      </c>
      <c r="D1967" s="8">
        <v>0.75</v>
      </c>
      <c r="E1967" s="8">
        <v>0.79166666666666663</v>
      </c>
      <c r="L1967" t="s">
        <v>563</v>
      </c>
      <c r="M1967" t="s">
        <v>478</v>
      </c>
      <c r="N1967" t="str">
        <f>Tabela_tudo[[#This Row],[Médico]]&amp;" ("&amp;Tabela_tudo[[#This Row],[Obs]]&amp;")"</f>
        <v>BG ()</v>
      </c>
    </row>
    <row r="1968" spans="1:14" x14ac:dyDescent="0.3">
      <c r="A1968" s="1">
        <v>45258</v>
      </c>
      <c r="B1968" t="s">
        <v>23</v>
      </c>
      <c r="C1968" t="s">
        <v>463</v>
      </c>
      <c r="D1968" s="8">
        <v>0.75</v>
      </c>
      <c r="E1968" s="8">
        <v>0.79166666666666663</v>
      </c>
      <c r="L1968" t="s">
        <v>563</v>
      </c>
      <c r="M1968" t="s">
        <v>478</v>
      </c>
      <c r="N1968" t="str">
        <f>Tabela_tudo[[#This Row],[Médico]]&amp;" ("&amp;Tabela_tudo[[#This Row],[Obs]]&amp;")"</f>
        <v>BG ()</v>
      </c>
    </row>
    <row r="1969" spans="1:14" x14ac:dyDescent="0.3">
      <c r="A1969" s="1">
        <v>45251</v>
      </c>
      <c r="B1969" t="s">
        <v>23</v>
      </c>
      <c r="C1969" t="s">
        <v>463</v>
      </c>
      <c r="D1969" s="8">
        <v>0.75</v>
      </c>
      <c r="E1969" s="8">
        <v>0.79166666666666663</v>
      </c>
      <c r="L1969" t="s">
        <v>563</v>
      </c>
      <c r="M1969" t="s">
        <v>478</v>
      </c>
      <c r="N1969" t="str">
        <f>Tabela_tudo[[#This Row],[Médico]]&amp;" ("&amp;Tabela_tudo[[#This Row],[Obs]]&amp;")"</f>
        <v>BG ()</v>
      </c>
    </row>
    <row r="1970" spans="1:14" x14ac:dyDescent="0.3">
      <c r="A1970" s="1">
        <v>45188</v>
      </c>
      <c r="B1970" t="s">
        <v>23</v>
      </c>
      <c r="C1970" t="s">
        <v>463</v>
      </c>
      <c r="D1970" s="8">
        <v>0.75</v>
      </c>
      <c r="E1970" s="8">
        <v>0.79166666666666663</v>
      </c>
      <c r="L1970" t="s">
        <v>563</v>
      </c>
      <c r="M1970" t="s">
        <v>478</v>
      </c>
      <c r="N1970" t="str">
        <f>Tabela_tudo[[#This Row],[Médico]]&amp;" ("&amp;Tabela_tudo[[#This Row],[Obs]]&amp;")"</f>
        <v>BG ()</v>
      </c>
    </row>
    <row r="1971" spans="1:14" x14ac:dyDescent="0.3">
      <c r="A1971" s="1">
        <v>45181</v>
      </c>
      <c r="B1971" t="s">
        <v>23</v>
      </c>
      <c r="C1971" t="s">
        <v>463</v>
      </c>
      <c r="D1971" s="8">
        <v>0.75</v>
      </c>
      <c r="E1971" s="8">
        <v>0.79166666666666663</v>
      </c>
      <c r="L1971" t="s">
        <v>563</v>
      </c>
      <c r="M1971" t="s">
        <v>478</v>
      </c>
      <c r="N1971" t="str">
        <f>Tabela_tudo[[#This Row],[Médico]]&amp;" ("&amp;Tabela_tudo[[#This Row],[Obs]]&amp;")"</f>
        <v>BG ()</v>
      </c>
    </row>
    <row r="1972" spans="1:14" x14ac:dyDescent="0.3">
      <c r="A1972" s="1">
        <v>45167</v>
      </c>
      <c r="B1972" t="s">
        <v>23</v>
      </c>
      <c r="C1972" t="s">
        <v>463</v>
      </c>
      <c r="D1972" s="8">
        <v>0.75</v>
      </c>
      <c r="E1972" s="8">
        <v>0.79166666666666663</v>
      </c>
      <c r="L1972" t="s">
        <v>563</v>
      </c>
      <c r="M1972" t="s">
        <v>478</v>
      </c>
      <c r="N1972" t="str">
        <f>Tabela_tudo[[#This Row],[Médico]]&amp;" ("&amp;Tabela_tudo[[#This Row],[Obs]]&amp;")"</f>
        <v>BG ()</v>
      </c>
    </row>
    <row r="1973" spans="1:14" x14ac:dyDescent="0.3">
      <c r="A1973" s="1">
        <v>45195</v>
      </c>
      <c r="B1973" t="s">
        <v>23</v>
      </c>
      <c r="C1973" t="s">
        <v>463</v>
      </c>
      <c r="D1973" s="8">
        <v>0.75</v>
      </c>
      <c r="E1973" s="8">
        <v>0.79166666666666663</v>
      </c>
      <c r="L1973" t="s">
        <v>563</v>
      </c>
      <c r="M1973" t="s">
        <v>478</v>
      </c>
      <c r="N1973" t="str">
        <f>Tabela_tudo[[#This Row],[Médico]]&amp;" ("&amp;Tabela_tudo[[#This Row],[Obs]]&amp;")"</f>
        <v>BG ()</v>
      </c>
    </row>
    <row r="1974" spans="1:14" x14ac:dyDescent="0.3">
      <c r="A1974" s="1">
        <v>45216</v>
      </c>
      <c r="B1974" t="s">
        <v>23</v>
      </c>
      <c r="C1974" t="s">
        <v>463</v>
      </c>
      <c r="D1974" s="8">
        <v>0.75</v>
      </c>
      <c r="E1974" s="8">
        <v>0.79166666666666663</v>
      </c>
      <c r="L1974" t="s">
        <v>563</v>
      </c>
      <c r="M1974" t="s">
        <v>478</v>
      </c>
      <c r="N1974" t="str">
        <f>Tabela_tudo[[#This Row],[Médico]]&amp;" ("&amp;Tabela_tudo[[#This Row],[Obs]]&amp;")"</f>
        <v>BG ()</v>
      </c>
    </row>
    <row r="1975" spans="1:14" x14ac:dyDescent="0.3">
      <c r="A1975" s="1">
        <v>45209</v>
      </c>
      <c r="B1975" t="s">
        <v>23</v>
      </c>
      <c r="C1975" t="s">
        <v>463</v>
      </c>
      <c r="D1975" s="8">
        <v>0.75</v>
      </c>
      <c r="E1975" s="8">
        <v>0.79166666666666663</v>
      </c>
      <c r="L1975" t="s">
        <v>563</v>
      </c>
      <c r="M1975" t="s">
        <v>478</v>
      </c>
      <c r="N1975" t="str">
        <f>Tabela_tudo[[#This Row],[Médico]]&amp;" ("&amp;Tabela_tudo[[#This Row],[Obs]]&amp;")"</f>
        <v>BG ()</v>
      </c>
    </row>
    <row r="1976" spans="1:14" x14ac:dyDescent="0.3">
      <c r="A1976" s="1">
        <v>45202</v>
      </c>
      <c r="B1976" t="s">
        <v>23</v>
      </c>
      <c r="C1976" t="s">
        <v>463</v>
      </c>
      <c r="D1976" s="8">
        <v>0.75</v>
      </c>
      <c r="E1976" s="8">
        <v>0.79166666666666663</v>
      </c>
      <c r="L1976" t="s">
        <v>563</v>
      </c>
      <c r="M1976" t="s">
        <v>478</v>
      </c>
      <c r="N1976" t="str">
        <f>Tabela_tudo[[#This Row],[Médico]]&amp;" ("&amp;Tabela_tudo[[#This Row],[Obs]]&amp;")"</f>
        <v>BG ()</v>
      </c>
    </row>
    <row r="1977" spans="1:14" x14ac:dyDescent="0.3">
      <c r="A1977" s="1">
        <v>45272</v>
      </c>
      <c r="B1977" t="s">
        <v>23</v>
      </c>
      <c r="C1977" t="s">
        <v>463</v>
      </c>
      <c r="D1977" s="8">
        <v>0.75</v>
      </c>
      <c r="E1977" s="8">
        <v>0.79166666666666663</v>
      </c>
      <c r="L1977" t="s">
        <v>563</v>
      </c>
      <c r="M1977" t="s">
        <v>478</v>
      </c>
      <c r="N1977" t="str">
        <f>Tabela_tudo[[#This Row],[Médico]]&amp;" ("&amp;Tabela_tudo[[#This Row],[Obs]]&amp;")"</f>
        <v>BG ()</v>
      </c>
    </row>
    <row r="1978" spans="1:14" x14ac:dyDescent="0.3">
      <c r="A1978" s="1">
        <v>45342</v>
      </c>
      <c r="B1978" t="s">
        <v>23</v>
      </c>
      <c r="C1978" t="s">
        <v>463</v>
      </c>
      <c r="D1978" s="8">
        <v>0.75</v>
      </c>
      <c r="E1978" s="8">
        <v>0.79166666666666663</v>
      </c>
      <c r="L1978" t="s">
        <v>563</v>
      </c>
      <c r="M1978" t="s">
        <v>478</v>
      </c>
      <c r="N1978" t="str">
        <f>Tabela_tudo[[#This Row],[Médico]]&amp;" ("&amp;Tabela_tudo[[#This Row],[Obs]]&amp;")"</f>
        <v>BG ()</v>
      </c>
    </row>
    <row r="1979" spans="1:14" x14ac:dyDescent="0.3">
      <c r="A1979" s="1">
        <v>45335</v>
      </c>
      <c r="B1979" t="s">
        <v>23</v>
      </c>
      <c r="C1979" t="s">
        <v>463</v>
      </c>
      <c r="D1979" s="8">
        <v>0.75</v>
      </c>
      <c r="E1979" s="8">
        <v>0.79166666666666663</v>
      </c>
      <c r="L1979" t="s">
        <v>563</v>
      </c>
      <c r="M1979" t="s">
        <v>478</v>
      </c>
      <c r="N1979" t="str">
        <f>Tabela_tudo[[#This Row],[Médico]]&amp;" ("&amp;Tabela_tudo[[#This Row],[Obs]]&amp;")"</f>
        <v>BG ()</v>
      </c>
    </row>
    <row r="1980" spans="1:14" x14ac:dyDescent="0.3">
      <c r="A1980" s="1">
        <v>45328</v>
      </c>
      <c r="B1980" t="s">
        <v>23</v>
      </c>
      <c r="C1980" t="s">
        <v>463</v>
      </c>
      <c r="D1980" s="8">
        <v>0.75</v>
      </c>
      <c r="E1980" s="8">
        <v>0.79166666666666663</v>
      </c>
      <c r="L1980" t="s">
        <v>563</v>
      </c>
      <c r="M1980" t="s">
        <v>478</v>
      </c>
      <c r="N1980" t="str">
        <f>Tabela_tudo[[#This Row],[Médico]]&amp;" ("&amp;Tabela_tudo[[#This Row],[Obs]]&amp;")"</f>
        <v>BG ()</v>
      </c>
    </row>
    <row r="1981" spans="1:14" x14ac:dyDescent="0.3">
      <c r="A1981" s="1">
        <v>45349</v>
      </c>
      <c r="B1981" t="s">
        <v>23</v>
      </c>
      <c r="C1981" t="s">
        <v>463</v>
      </c>
      <c r="D1981" s="8">
        <v>0.75</v>
      </c>
      <c r="E1981" s="8">
        <v>0.79166666666666663</v>
      </c>
      <c r="L1981" t="s">
        <v>563</v>
      </c>
      <c r="M1981" t="s">
        <v>478</v>
      </c>
      <c r="N1981" t="str">
        <f>Tabela_tudo[[#This Row],[Médico]]&amp;" ("&amp;Tabela_tudo[[#This Row],[Obs]]&amp;")"</f>
        <v>BG ()</v>
      </c>
    </row>
    <row r="1982" spans="1:14" x14ac:dyDescent="0.3">
      <c r="A1982" s="1">
        <v>45370</v>
      </c>
      <c r="B1982" t="s">
        <v>23</v>
      </c>
      <c r="C1982" t="s">
        <v>463</v>
      </c>
      <c r="D1982" s="8">
        <v>0.75</v>
      </c>
      <c r="E1982" s="8">
        <v>0.79166666666666663</v>
      </c>
      <c r="L1982" t="s">
        <v>563</v>
      </c>
      <c r="M1982" t="s">
        <v>478</v>
      </c>
      <c r="N1982" t="str">
        <f>Tabela_tudo[[#This Row],[Médico]]&amp;" ("&amp;Tabela_tudo[[#This Row],[Obs]]&amp;")"</f>
        <v>BG ()</v>
      </c>
    </row>
    <row r="1983" spans="1:14" x14ac:dyDescent="0.3">
      <c r="A1983" s="1">
        <v>45363</v>
      </c>
      <c r="B1983" t="s">
        <v>23</v>
      </c>
      <c r="C1983" t="s">
        <v>463</v>
      </c>
      <c r="D1983" s="8">
        <v>0.75</v>
      </c>
      <c r="E1983" s="8">
        <v>0.79166666666666663</v>
      </c>
      <c r="L1983" t="s">
        <v>563</v>
      </c>
      <c r="M1983" t="s">
        <v>478</v>
      </c>
      <c r="N1983" t="str">
        <f>Tabela_tudo[[#This Row],[Médico]]&amp;" ("&amp;Tabela_tudo[[#This Row],[Obs]]&amp;")"</f>
        <v>BG ()</v>
      </c>
    </row>
    <row r="1984" spans="1:14" x14ac:dyDescent="0.3">
      <c r="A1984" s="1">
        <v>45356</v>
      </c>
      <c r="B1984" t="s">
        <v>23</v>
      </c>
      <c r="C1984" t="s">
        <v>463</v>
      </c>
      <c r="D1984" s="8">
        <v>0.75</v>
      </c>
      <c r="E1984" s="8">
        <v>0.79166666666666663</v>
      </c>
      <c r="L1984" t="s">
        <v>563</v>
      </c>
      <c r="M1984" t="s">
        <v>478</v>
      </c>
      <c r="N1984" t="str">
        <f>Tabela_tudo[[#This Row],[Médico]]&amp;" ("&amp;Tabela_tudo[[#This Row],[Obs]]&amp;")"</f>
        <v>BG ()</v>
      </c>
    </row>
    <row r="1985" spans="1:14" x14ac:dyDescent="0.3">
      <c r="A1985" s="1">
        <v>45293</v>
      </c>
      <c r="B1985" t="s">
        <v>23</v>
      </c>
      <c r="C1985" t="s">
        <v>463</v>
      </c>
      <c r="D1985" s="8">
        <v>0.75</v>
      </c>
      <c r="E1985" s="8">
        <v>0.79166666666666663</v>
      </c>
      <c r="L1985" t="s">
        <v>563</v>
      </c>
      <c r="M1985" t="s">
        <v>478</v>
      </c>
      <c r="N1985" t="str">
        <f>Tabela_tudo[[#This Row],[Médico]]&amp;" ("&amp;Tabela_tudo[[#This Row],[Obs]]&amp;")"</f>
        <v>BG ()</v>
      </c>
    </row>
    <row r="1986" spans="1:14" x14ac:dyDescent="0.3">
      <c r="A1986" s="1">
        <v>45286</v>
      </c>
      <c r="B1986" t="s">
        <v>23</v>
      </c>
      <c r="C1986" t="s">
        <v>463</v>
      </c>
      <c r="D1986" s="8">
        <v>0.75</v>
      </c>
      <c r="E1986" s="8">
        <v>0.79166666666666663</v>
      </c>
      <c r="L1986" t="s">
        <v>563</v>
      </c>
      <c r="M1986" t="s">
        <v>478</v>
      </c>
      <c r="N1986" t="str">
        <f>Tabela_tudo[[#This Row],[Médico]]&amp;" ("&amp;Tabela_tudo[[#This Row],[Obs]]&amp;")"</f>
        <v>BG ()</v>
      </c>
    </row>
    <row r="1987" spans="1:14" x14ac:dyDescent="0.3">
      <c r="A1987" s="1">
        <v>45279</v>
      </c>
      <c r="B1987" t="s">
        <v>23</v>
      </c>
      <c r="C1987" t="s">
        <v>463</v>
      </c>
      <c r="D1987" s="8">
        <v>0.75</v>
      </c>
      <c r="E1987" s="8">
        <v>0.79166666666666663</v>
      </c>
      <c r="L1987" t="s">
        <v>563</v>
      </c>
      <c r="M1987" t="s">
        <v>478</v>
      </c>
      <c r="N1987" t="str">
        <f>Tabela_tudo[[#This Row],[Médico]]&amp;" ("&amp;Tabela_tudo[[#This Row],[Obs]]&amp;")"</f>
        <v>BG ()</v>
      </c>
    </row>
    <row r="1988" spans="1:14" x14ac:dyDescent="0.3">
      <c r="A1988" s="1">
        <v>45300</v>
      </c>
      <c r="B1988" t="s">
        <v>23</v>
      </c>
      <c r="C1988" t="s">
        <v>463</v>
      </c>
      <c r="D1988" s="8">
        <v>0.75</v>
      </c>
      <c r="E1988" s="8">
        <v>0.79166666666666663</v>
      </c>
      <c r="L1988" t="s">
        <v>563</v>
      </c>
      <c r="M1988" t="s">
        <v>478</v>
      </c>
      <c r="N1988" t="str">
        <f>Tabela_tudo[[#This Row],[Médico]]&amp;" ("&amp;Tabela_tudo[[#This Row],[Obs]]&amp;")"</f>
        <v>BG ()</v>
      </c>
    </row>
    <row r="1989" spans="1:14" x14ac:dyDescent="0.3">
      <c r="A1989" s="1">
        <v>45321</v>
      </c>
      <c r="B1989" t="s">
        <v>23</v>
      </c>
      <c r="C1989" t="s">
        <v>463</v>
      </c>
      <c r="D1989" s="8">
        <v>0.75</v>
      </c>
      <c r="E1989" s="8">
        <v>0.79166666666666663</v>
      </c>
      <c r="L1989" t="s">
        <v>563</v>
      </c>
      <c r="M1989" t="s">
        <v>478</v>
      </c>
      <c r="N1989" t="str">
        <f>Tabela_tudo[[#This Row],[Médico]]&amp;" ("&amp;Tabela_tudo[[#This Row],[Obs]]&amp;")"</f>
        <v>BG ()</v>
      </c>
    </row>
    <row r="1990" spans="1:14" x14ac:dyDescent="0.3">
      <c r="A1990" s="1">
        <v>45314</v>
      </c>
      <c r="B1990" t="s">
        <v>23</v>
      </c>
      <c r="C1990" t="s">
        <v>463</v>
      </c>
      <c r="D1990" s="8">
        <v>0.75</v>
      </c>
      <c r="E1990" s="8">
        <v>0.79166666666666663</v>
      </c>
      <c r="L1990" t="s">
        <v>563</v>
      </c>
      <c r="M1990" t="s">
        <v>478</v>
      </c>
      <c r="N1990" t="str">
        <f>Tabela_tudo[[#This Row],[Médico]]&amp;" ("&amp;Tabela_tudo[[#This Row],[Obs]]&amp;")"</f>
        <v>BG ()</v>
      </c>
    </row>
    <row r="1991" spans="1:14" x14ac:dyDescent="0.3">
      <c r="A1991" s="1">
        <v>45307</v>
      </c>
      <c r="B1991" t="s">
        <v>23</v>
      </c>
      <c r="C1991" t="s">
        <v>463</v>
      </c>
      <c r="D1991" s="8">
        <v>0.75</v>
      </c>
      <c r="E1991" s="8">
        <v>0.79166666666666663</v>
      </c>
      <c r="L1991" t="s">
        <v>563</v>
      </c>
      <c r="M1991" t="s">
        <v>478</v>
      </c>
      <c r="N1991" t="str">
        <f>Tabela_tudo[[#This Row],[Médico]]&amp;" ("&amp;Tabela_tudo[[#This Row],[Obs]]&amp;")"</f>
        <v>BG ()</v>
      </c>
    </row>
    <row r="1992" spans="1:14" x14ac:dyDescent="0.3">
      <c r="A1992" s="1">
        <v>45377</v>
      </c>
      <c r="B1992" t="s">
        <v>50</v>
      </c>
      <c r="C1992" t="s">
        <v>463</v>
      </c>
      <c r="D1992" s="8">
        <v>0.75</v>
      </c>
      <c r="E1992" s="8">
        <v>0.79166666666666663</v>
      </c>
      <c r="L1992" t="s">
        <v>563</v>
      </c>
      <c r="M1992" t="s">
        <v>478</v>
      </c>
      <c r="N1992" t="str">
        <f>Tabela_tudo[[#This Row],[Médico]]&amp;" ("&amp;Tabela_tudo[[#This Row],[Obs]]&amp;")"</f>
        <v>PJP ()</v>
      </c>
    </row>
    <row r="1993" spans="1:14" x14ac:dyDescent="0.3">
      <c r="A1993" s="1">
        <v>45370</v>
      </c>
      <c r="B1993" t="s">
        <v>50</v>
      </c>
      <c r="C1993" t="s">
        <v>463</v>
      </c>
      <c r="D1993" s="8">
        <v>0.75</v>
      </c>
      <c r="E1993" s="8">
        <v>0.79166666666666663</v>
      </c>
      <c r="L1993" t="s">
        <v>563</v>
      </c>
      <c r="M1993" t="s">
        <v>478</v>
      </c>
      <c r="N1993" t="str">
        <f>Tabela_tudo[[#This Row],[Médico]]&amp;" ("&amp;Tabela_tudo[[#This Row],[Obs]]&amp;")"</f>
        <v>PJP ()</v>
      </c>
    </row>
    <row r="1994" spans="1:14" x14ac:dyDescent="0.3">
      <c r="A1994" s="1">
        <v>45363</v>
      </c>
      <c r="B1994" t="s">
        <v>50</v>
      </c>
      <c r="C1994" t="s">
        <v>463</v>
      </c>
      <c r="D1994" s="8">
        <v>0.75</v>
      </c>
      <c r="E1994" s="8">
        <v>0.79166666666666663</v>
      </c>
      <c r="L1994" t="s">
        <v>563</v>
      </c>
      <c r="M1994" t="s">
        <v>478</v>
      </c>
      <c r="N1994" t="str">
        <f>Tabela_tudo[[#This Row],[Médico]]&amp;" ("&amp;Tabela_tudo[[#This Row],[Obs]]&amp;")"</f>
        <v>PJP ()</v>
      </c>
    </row>
    <row r="1995" spans="1:14" x14ac:dyDescent="0.3">
      <c r="A1995" s="1">
        <v>45384</v>
      </c>
      <c r="B1995" t="s">
        <v>50</v>
      </c>
      <c r="C1995" t="s">
        <v>463</v>
      </c>
      <c r="D1995" s="8">
        <v>0.75</v>
      </c>
      <c r="E1995" s="8">
        <v>0.79166666666666663</v>
      </c>
      <c r="L1995" t="s">
        <v>563</v>
      </c>
      <c r="M1995" t="s">
        <v>478</v>
      </c>
      <c r="N1995" t="str">
        <f>Tabela_tudo[[#This Row],[Médico]]&amp;" ("&amp;Tabela_tudo[[#This Row],[Obs]]&amp;")"</f>
        <v>PJP ()</v>
      </c>
    </row>
    <row r="1996" spans="1:14" x14ac:dyDescent="0.3">
      <c r="A1996" s="1">
        <v>45405</v>
      </c>
      <c r="B1996" t="s">
        <v>50</v>
      </c>
      <c r="C1996" t="s">
        <v>463</v>
      </c>
      <c r="D1996" s="8">
        <v>0.75</v>
      </c>
      <c r="E1996" s="8">
        <v>0.79166666666666663</v>
      </c>
      <c r="L1996" t="s">
        <v>563</v>
      </c>
      <c r="M1996" t="s">
        <v>478</v>
      </c>
      <c r="N1996" t="str">
        <f>Tabela_tudo[[#This Row],[Médico]]&amp;" ("&amp;Tabela_tudo[[#This Row],[Obs]]&amp;")"</f>
        <v>PJP ()</v>
      </c>
    </row>
    <row r="1997" spans="1:14" x14ac:dyDescent="0.3">
      <c r="A1997" s="1">
        <v>45398</v>
      </c>
      <c r="B1997" t="s">
        <v>50</v>
      </c>
      <c r="C1997" t="s">
        <v>463</v>
      </c>
      <c r="D1997" s="8">
        <v>0.75</v>
      </c>
      <c r="E1997" s="8">
        <v>0.79166666666666663</v>
      </c>
      <c r="L1997" t="s">
        <v>563</v>
      </c>
      <c r="M1997" t="s">
        <v>478</v>
      </c>
      <c r="N1997" t="str">
        <f>Tabela_tudo[[#This Row],[Médico]]&amp;" ("&amp;Tabela_tudo[[#This Row],[Obs]]&amp;")"</f>
        <v>PJP ()</v>
      </c>
    </row>
    <row r="1998" spans="1:14" x14ac:dyDescent="0.3">
      <c r="A1998" s="1">
        <v>45391</v>
      </c>
      <c r="B1998" t="s">
        <v>50</v>
      </c>
      <c r="C1998" t="s">
        <v>463</v>
      </c>
      <c r="D1998" s="8">
        <v>0.75</v>
      </c>
      <c r="E1998" s="8">
        <v>0.79166666666666663</v>
      </c>
      <c r="L1998" t="s">
        <v>563</v>
      </c>
      <c r="M1998" t="s">
        <v>478</v>
      </c>
      <c r="N1998" t="str">
        <f>Tabela_tudo[[#This Row],[Médico]]&amp;" ("&amp;Tabela_tudo[[#This Row],[Obs]]&amp;")"</f>
        <v>PJP ()</v>
      </c>
    </row>
    <row r="1999" spans="1:14" x14ac:dyDescent="0.3">
      <c r="A1999" s="1">
        <v>45328</v>
      </c>
      <c r="B1999" t="s">
        <v>50</v>
      </c>
      <c r="C1999" t="s">
        <v>463</v>
      </c>
      <c r="D1999" s="8">
        <v>0.75</v>
      </c>
      <c r="E1999" s="8">
        <v>0.79166666666666663</v>
      </c>
      <c r="L1999" t="s">
        <v>563</v>
      </c>
      <c r="M1999" t="s">
        <v>478</v>
      </c>
      <c r="N1999" t="str">
        <f>Tabela_tudo[[#This Row],[Médico]]&amp;" ("&amp;Tabela_tudo[[#This Row],[Obs]]&amp;")"</f>
        <v>PJP ()</v>
      </c>
    </row>
    <row r="2000" spans="1:14" x14ac:dyDescent="0.3">
      <c r="A2000" s="1">
        <v>45321</v>
      </c>
      <c r="B2000" t="s">
        <v>50</v>
      </c>
      <c r="C2000" t="s">
        <v>463</v>
      </c>
      <c r="D2000" s="8">
        <v>0.75</v>
      </c>
      <c r="E2000" s="8">
        <v>0.79166666666666663</v>
      </c>
      <c r="L2000" t="s">
        <v>563</v>
      </c>
      <c r="M2000" t="s">
        <v>478</v>
      </c>
      <c r="N2000" t="str">
        <f>Tabela_tudo[[#This Row],[Médico]]&amp;" ("&amp;Tabela_tudo[[#This Row],[Obs]]&amp;")"</f>
        <v>PJP ()</v>
      </c>
    </row>
    <row r="2001" spans="1:14" x14ac:dyDescent="0.3">
      <c r="A2001" s="1">
        <v>45314</v>
      </c>
      <c r="B2001" t="s">
        <v>50</v>
      </c>
      <c r="C2001" t="s">
        <v>463</v>
      </c>
      <c r="D2001" s="8">
        <v>0.75</v>
      </c>
      <c r="E2001" s="8">
        <v>0.79166666666666663</v>
      </c>
      <c r="L2001" t="s">
        <v>563</v>
      </c>
      <c r="M2001" t="s">
        <v>478</v>
      </c>
      <c r="N2001" t="str">
        <f>Tabela_tudo[[#This Row],[Médico]]&amp;" ("&amp;Tabela_tudo[[#This Row],[Obs]]&amp;")"</f>
        <v>PJP ()</v>
      </c>
    </row>
    <row r="2002" spans="1:14" x14ac:dyDescent="0.3">
      <c r="A2002" s="1">
        <v>45335</v>
      </c>
      <c r="B2002" t="s">
        <v>50</v>
      </c>
      <c r="C2002" t="s">
        <v>463</v>
      </c>
      <c r="D2002" s="8">
        <v>0.75</v>
      </c>
      <c r="E2002" s="8">
        <v>0.79166666666666663</v>
      </c>
      <c r="L2002" t="s">
        <v>563</v>
      </c>
      <c r="M2002" t="s">
        <v>478</v>
      </c>
      <c r="N2002" t="str">
        <f>Tabela_tudo[[#This Row],[Médico]]&amp;" ("&amp;Tabela_tudo[[#This Row],[Obs]]&amp;")"</f>
        <v>PJP ()</v>
      </c>
    </row>
    <row r="2003" spans="1:14" x14ac:dyDescent="0.3">
      <c r="A2003" s="1">
        <v>45356</v>
      </c>
      <c r="B2003" t="s">
        <v>50</v>
      </c>
      <c r="C2003" t="s">
        <v>463</v>
      </c>
      <c r="D2003" s="8">
        <v>0.75</v>
      </c>
      <c r="E2003" s="8">
        <v>0.79166666666666663</v>
      </c>
      <c r="L2003" t="s">
        <v>563</v>
      </c>
      <c r="M2003" t="s">
        <v>478</v>
      </c>
      <c r="N2003" t="str">
        <f>Tabela_tudo[[#This Row],[Médico]]&amp;" ("&amp;Tabela_tudo[[#This Row],[Obs]]&amp;")"</f>
        <v>PJP ()</v>
      </c>
    </row>
    <row r="2004" spans="1:14" x14ac:dyDescent="0.3">
      <c r="A2004" s="1">
        <v>45349</v>
      </c>
      <c r="B2004" t="s">
        <v>50</v>
      </c>
      <c r="C2004" t="s">
        <v>463</v>
      </c>
      <c r="D2004" s="8">
        <v>0.75</v>
      </c>
      <c r="E2004" s="8">
        <v>0.79166666666666663</v>
      </c>
      <c r="L2004" t="s">
        <v>563</v>
      </c>
      <c r="M2004" t="s">
        <v>478</v>
      </c>
      <c r="N2004" t="str">
        <f>Tabela_tudo[[#This Row],[Médico]]&amp;" ("&amp;Tabela_tudo[[#This Row],[Obs]]&amp;")"</f>
        <v>PJP ()</v>
      </c>
    </row>
    <row r="2005" spans="1:14" x14ac:dyDescent="0.3">
      <c r="A2005" s="1">
        <v>45342</v>
      </c>
      <c r="B2005" t="s">
        <v>50</v>
      </c>
      <c r="C2005" t="s">
        <v>463</v>
      </c>
      <c r="D2005" s="8">
        <v>0.75</v>
      </c>
      <c r="E2005" s="8">
        <v>0.79166666666666663</v>
      </c>
      <c r="L2005" t="s">
        <v>563</v>
      </c>
      <c r="M2005" t="s">
        <v>478</v>
      </c>
      <c r="N2005" t="str">
        <f>Tabela_tudo[[#This Row],[Médico]]&amp;" ("&amp;Tabela_tudo[[#This Row],[Obs]]&amp;")"</f>
        <v>PJP ()</v>
      </c>
    </row>
    <row r="2006" spans="1:14" x14ac:dyDescent="0.3">
      <c r="A2006" s="1">
        <v>45412</v>
      </c>
      <c r="B2006" t="s">
        <v>50</v>
      </c>
      <c r="C2006" t="s">
        <v>463</v>
      </c>
      <c r="D2006" s="8">
        <v>0.75</v>
      </c>
      <c r="E2006" s="8">
        <v>0.79166666666666663</v>
      </c>
      <c r="L2006" t="s">
        <v>563</v>
      </c>
      <c r="M2006" t="s">
        <v>478</v>
      </c>
      <c r="N2006" t="str">
        <f>Tabela_tudo[[#This Row],[Médico]]&amp;" ("&amp;Tabela_tudo[[#This Row],[Obs]]&amp;")"</f>
        <v>PJP ()</v>
      </c>
    </row>
    <row r="2007" spans="1:14" x14ac:dyDescent="0.3">
      <c r="A2007" s="1">
        <v>45482</v>
      </c>
      <c r="B2007" t="s">
        <v>50</v>
      </c>
      <c r="C2007" t="s">
        <v>463</v>
      </c>
      <c r="D2007" s="8">
        <v>0.75</v>
      </c>
      <c r="E2007" s="8">
        <v>0.79166666666666663</v>
      </c>
      <c r="L2007" t="s">
        <v>563</v>
      </c>
      <c r="M2007" t="s">
        <v>478</v>
      </c>
      <c r="N2007" t="str">
        <f>Tabela_tudo[[#This Row],[Médico]]&amp;" ("&amp;Tabela_tudo[[#This Row],[Obs]]&amp;")"</f>
        <v>PJP ()</v>
      </c>
    </row>
    <row r="2008" spans="1:14" x14ac:dyDescent="0.3">
      <c r="A2008" s="1">
        <v>45475</v>
      </c>
      <c r="B2008" t="s">
        <v>50</v>
      </c>
      <c r="C2008" t="s">
        <v>463</v>
      </c>
      <c r="D2008" s="8">
        <v>0.75</v>
      </c>
      <c r="E2008" s="8">
        <v>0.79166666666666663</v>
      </c>
      <c r="L2008" t="s">
        <v>563</v>
      </c>
      <c r="M2008" t="s">
        <v>478</v>
      </c>
      <c r="N2008" t="str">
        <f>Tabela_tudo[[#This Row],[Médico]]&amp;" ("&amp;Tabela_tudo[[#This Row],[Obs]]&amp;")"</f>
        <v>PJP ()</v>
      </c>
    </row>
    <row r="2009" spans="1:14" x14ac:dyDescent="0.3">
      <c r="A2009" s="1">
        <v>45468</v>
      </c>
      <c r="B2009" t="s">
        <v>50</v>
      </c>
      <c r="C2009" t="s">
        <v>463</v>
      </c>
      <c r="D2009" s="8">
        <v>0.75</v>
      </c>
      <c r="E2009" s="8">
        <v>0.79166666666666663</v>
      </c>
      <c r="L2009" t="s">
        <v>563</v>
      </c>
      <c r="M2009" t="s">
        <v>478</v>
      </c>
      <c r="N2009" t="str">
        <f>Tabela_tudo[[#This Row],[Médico]]&amp;" ("&amp;Tabela_tudo[[#This Row],[Obs]]&amp;")"</f>
        <v>PJP ()</v>
      </c>
    </row>
    <row r="2010" spans="1:14" x14ac:dyDescent="0.3">
      <c r="A2010" s="1">
        <v>45489</v>
      </c>
      <c r="B2010" t="s">
        <v>50</v>
      </c>
      <c r="C2010" t="s">
        <v>463</v>
      </c>
      <c r="D2010" s="8">
        <v>0.75</v>
      </c>
      <c r="E2010" s="8">
        <v>0.79166666666666663</v>
      </c>
      <c r="L2010" t="s">
        <v>563</v>
      </c>
      <c r="M2010" t="s">
        <v>478</v>
      </c>
      <c r="N2010" t="str">
        <f>Tabela_tudo[[#This Row],[Médico]]&amp;" ("&amp;Tabela_tudo[[#This Row],[Obs]]&amp;")"</f>
        <v>PJP ()</v>
      </c>
    </row>
    <row r="2011" spans="1:14" x14ac:dyDescent="0.3">
      <c r="A2011" s="1">
        <v>45510</v>
      </c>
      <c r="B2011" t="s">
        <v>50</v>
      </c>
      <c r="C2011" t="s">
        <v>463</v>
      </c>
      <c r="D2011" s="8">
        <v>0.75</v>
      </c>
      <c r="E2011" s="8">
        <v>0.79166666666666663</v>
      </c>
      <c r="L2011" t="s">
        <v>563</v>
      </c>
      <c r="M2011" t="s">
        <v>478</v>
      </c>
      <c r="N2011" t="str">
        <f>Tabela_tudo[[#This Row],[Médico]]&amp;" ("&amp;Tabela_tudo[[#This Row],[Obs]]&amp;")"</f>
        <v>PJP ()</v>
      </c>
    </row>
    <row r="2012" spans="1:14" x14ac:dyDescent="0.3">
      <c r="A2012" s="1">
        <v>45503</v>
      </c>
      <c r="B2012" t="s">
        <v>50</v>
      </c>
      <c r="C2012" t="s">
        <v>463</v>
      </c>
      <c r="D2012" s="8">
        <v>0.75</v>
      </c>
      <c r="E2012" s="8">
        <v>0.79166666666666663</v>
      </c>
      <c r="L2012" t="s">
        <v>563</v>
      </c>
      <c r="M2012" t="s">
        <v>478</v>
      </c>
      <c r="N2012" t="str">
        <f>Tabela_tudo[[#This Row],[Médico]]&amp;" ("&amp;Tabela_tudo[[#This Row],[Obs]]&amp;")"</f>
        <v>PJP ()</v>
      </c>
    </row>
    <row r="2013" spans="1:14" x14ac:dyDescent="0.3">
      <c r="A2013" s="1">
        <v>45496</v>
      </c>
      <c r="B2013" t="s">
        <v>50</v>
      </c>
      <c r="C2013" t="s">
        <v>463</v>
      </c>
      <c r="D2013" s="8">
        <v>0.75</v>
      </c>
      <c r="E2013" s="8">
        <v>0.79166666666666663</v>
      </c>
      <c r="L2013" t="s">
        <v>563</v>
      </c>
      <c r="M2013" t="s">
        <v>478</v>
      </c>
      <c r="N2013" t="str">
        <f>Tabela_tudo[[#This Row],[Médico]]&amp;" ("&amp;Tabela_tudo[[#This Row],[Obs]]&amp;")"</f>
        <v>PJP ()</v>
      </c>
    </row>
    <row r="2014" spans="1:14" x14ac:dyDescent="0.3">
      <c r="A2014" s="1">
        <v>45433</v>
      </c>
      <c r="B2014" t="s">
        <v>50</v>
      </c>
      <c r="C2014" t="s">
        <v>463</v>
      </c>
      <c r="D2014" s="8">
        <v>0.75</v>
      </c>
      <c r="E2014" s="8">
        <v>0.79166666666666663</v>
      </c>
      <c r="L2014" t="s">
        <v>563</v>
      </c>
      <c r="M2014" t="s">
        <v>478</v>
      </c>
      <c r="N2014" t="str">
        <f>Tabela_tudo[[#This Row],[Médico]]&amp;" ("&amp;Tabela_tudo[[#This Row],[Obs]]&amp;")"</f>
        <v>PJP ()</v>
      </c>
    </row>
    <row r="2015" spans="1:14" x14ac:dyDescent="0.3">
      <c r="A2015" s="1">
        <v>45426</v>
      </c>
      <c r="B2015" t="s">
        <v>50</v>
      </c>
      <c r="C2015" t="s">
        <v>463</v>
      </c>
      <c r="D2015" s="8">
        <v>0.75</v>
      </c>
      <c r="E2015" s="8">
        <v>0.79166666666666663</v>
      </c>
      <c r="L2015" t="s">
        <v>563</v>
      </c>
      <c r="M2015" t="s">
        <v>478</v>
      </c>
      <c r="N2015" t="str">
        <f>Tabela_tudo[[#This Row],[Médico]]&amp;" ("&amp;Tabela_tudo[[#This Row],[Obs]]&amp;")"</f>
        <v>PJP ()</v>
      </c>
    </row>
    <row r="2016" spans="1:14" x14ac:dyDescent="0.3">
      <c r="A2016" s="1">
        <v>45419</v>
      </c>
      <c r="B2016" t="s">
        <v>50</v>
      </c>
      <c r="C2016" t="s">
        <v>463</v>
      </c>
      <c r="D2016" s="8">
        <v>0.75</v>
      </c>
      <c r="E2016" s="8">
        <v>0.79166666666666663</v>
      </c>
      <c r="L2016" t="s">
        <v>563</v>
      </c>
      <c r="M2016" t="s">
        <v>478</v>
      </c>
      <c r="N2016" t="str">
        <f>Tabela_tudo[[#This Row],[Médico]]&amp;" ("&amp;Tabela_tudo[[#This Row],[Obs]]&amp;")"</f>
        <v>PJP ()</v>
      </c>
    </row>
    <row r="2017" spans="1:14" x14ac:dyDescent="0.3">
      <c r="A2017" s="1">
        <v>45440</v>
      </c>
      <c r="B2017" t="s">
        <v>50</v>
      </c>
      <c r="C2017" t="s">
        <v>463</v>
      </c>
      <c r="D2017" s="8">
        <v>0.75</v>
      </c>
      <c r="E2017" s="8">
        <v>0.79166666666666663</v>
      </c>
      <c r="L2017" t="s">
        <v>563</v>
      </c>
      <c r="M2017" t="s">
        <v>478</v>
      </c>
      <c r="N2017" t="str">
        <f>Tabela_tudo[[#This Row],[Médico]]&amp;" ("&amp;Tabela_tudo[[#This Row],[Obs]]&amp;")"</f>
        <v>PJP ()</v>
      </c>
    </row>
    <row r="2018" spans="1:14" x14ac:dyDescent="0.3">
      <c r="A2018" s="1">
        <v>45461</v>
      </c>
      <c r="B2018" t="s">
        <v>50</v>
      </c>
      <c r="C2018" t="s">
        <v>463</v>
      </c>
      <c r="D2018" s="8">
        <v>0.75</v>
      </c>
      <c r="E2018" s="8">
        <v>0.79166666666666663</v>
      </c>
      <c r="L2018" t="s">
        <v>563</v>
      </c>
      <c r="M2018" t="s">
        <v>478</v>
      </c>
      <c r="N2018" t="str">
        <f>Tabela_tudo[[#This Row],[Médico]]&amp;" ("&amp;Tabela_tudo[[#This Row],[Obs]]&amp;")"</f>
        <v>PJP ()</v>
      </c>
    </row>
    <row r="2019" spans="1:14" x14ac:dyDescent="0.3">
      <c r="A2019" s="1">
        <v>45454</v>
      </c>
      <c r="B2019" t="s">
        <v>50</v>
      </c>
      <c r="C2019" t="s">
        <v>463</v>
      </c>
      <c r="D2019" s="8">
        <v>0.75</v>
      </c>
      <c r="E2019" s="8">
        <v>0.79166666666666663</v>
      </c>
      <c r="L2019" t="s">
        <v>563</v>
      </c>
      <c r="M2019" t="s">
        <v>478</v>
      </c>
      <c r="N2019" t="str">
        <f>Tabela_tudo[[#This Row],[Médico]]&amp;" ("&amp;Tabela_tudo[[#This Row],[Obs]]&amp;")"</f>
        <v>PJP ()</v>
      </c>
    </row>
    <row r="2020" spans="1:14" x14ac:dyDescent="0.3">
      <c r="A2020" s="1">
        <v>45447</v>
      </c>
      <c r="B2020" t="s">
        <v>50</v>
      </c>
      <c r="C2020" t="s">
        <v>463</v>
      </c>
      <c r="D2020" s="8">
        <v>0.75</v>
      </c>
      <c r="E2020" s="8">
        <v>0.79166666666666663</v>
      </c>
      <c r="L2020" t="s">
        <v>563</v>
      </c>
      <c r="M2020" t="s">
        <v>478</v>
      </c>
      <c r="N2020" t="str">
        <f>Tabela_tudo[[#This Row],[Médico]]&amp;" ("&amp;Tabela_tudo[[#This Row],[Obs]]&amp;")"</f>
        <v>PJP ()</v>
      </c>
    </row>
    <row r="2021" spans="1:14" x14ac:dyDescent="0.3">
      <c r="A2021" s="1">
        <v>45307</v>
      </c>
      <c r="B2021" t="s">
        <v>50</v>
      </c>
      <c r="C2021" t="s">
        <v>463</v>
      </c>
      <c r="D2021" s="8">
        <v>0.75</v>
      </c>
      <c r="E2021" s="8">
        <v>0.79166666666666663</v>
      </c>
      <c r="L2021" t="s">
        <v>563</v>
      </c>
      <c r="M2021" t="s">
        <v>478</v>
      </c>
      <c r="N2021" t="str">
        <f>Tabela_tudo[[#This Row],[Médico]]&amp;" ("&amp;Tabela_tudo[[#This Row],[Obs]]&amp;")"</f>
        <v>PJP ()</v>
      </c>
    </row>
    <row r="2022" spans="1:14" x14ac:dyDescent="0.3">
      <c r="A2022" s="1">
        <v>45160</v>
      </c>
      <c r="B2022" t="s">
        <v>50</v>
      </c>
      <c r="C2022" t="s">
        <v>463</v>
      </c>
      <c r="D2022" s="8">
        <v>0.75</v>
      </c>
      <c r="E2022" s="8">
        <v>0.79166666666666663</v>
      </c>
      <c r="L2022" t="s">
        <v>563</v>
      </c>
      <c r="M2022" t="s">
        <v>478</v>
      </c>
      <c r="N2022" t="str">
        <f>Tabela_tudo[[#This Row],[Médico]]&amp;" ("&amp;Tabela_tudo[[#This Row],[Obs]]&amp;")"</f>
        <v>PJP ()</v>
      </c>
    </row>
    <row r="2023" spans="1:14" x14ac:dyDescent="0.3">
      <c r="A2023" s="1">
        <v>45153</v>
      </c>
      <c r="B2023" t="s">
        <v>50</v>
      </c>
      <c r="C2023" t="s">
        <v>463</v>
      </c>
      <c r="D2023" s="8">
        <v>0.75</v>
      </c>
      <c r="E2023" s="8">
        <v>0.79166666666666663</v>
      </c>
      <c r="L2023" t="s">
        <v>563</v>
      </c>
      <c r="M2023" t="s">
        <v>478</v>
      </c>
      <c r="N2023" t="str">
        <f>Tabela_tudo[[#This Row],[Médico]]&amp;" ("&amp;Tabela_tudo[[#This Row],[Obs]]&amp;")"</f>
        <v>PJP ()</v>
      </c>
    </row>
    <row r="2024" spans="1:14" x14ac:dyDescent="0.3">
      <c r="A2024" s="1">
        <v>45146</v>
      </c>
      <c r="B2024" t="s">
        <v>50</v>
      </c>
      <c r="C2024" t="s">
        <v>463</v>
      </c>
      <c r="D2024" s="8">
        <v>0.75</v>
      </c>
      <c r="E2024" s="8">
        <v>0.79166666666666663</v>
      </c>
      <c r="L2024" t="s">
        <v>563</v>
      </c>
      <c r="M2024" t="s">
        <v>478</v>
      </c>
      <c r="N2024" t="str">
        <f>Tabela_tudo[[#This Row],[Médico]]&amp;" ("&amp;Tabela_tudo[[#This Row],[Obs]]&amp;")"</f>
        <v>PJP ()</v>
      </c>
    </row>
    <row r="2025" spans="1:14" x14ac:dyDescent="0.3">
      <c r="A2025" s="1">
        <v>45167</v>
      </c>
      <c r="B2025" t="s">
        <v>50</v>
      </c>
      <c r="C2025" t="s">
        <v>463</v>
      </c>
      <c r="D2025" s="8">
        <v>0.75</v>
      </c>
      <c r="E2025" s="8">
        <v>0.79166666666666663</v>
      </c>
      <c r="L2025" t="s">
        <v>563</v>
      </c>
      <c r="M2025" t="s">
        <v>478</v>
      </c>
      <c r="N2025" t="str">
        <f>Tabela_tudo[[#This Row],[Médico]]&amp;" ("&amp;Tabela_tudo[[#This Row],[Obs]]&amp;")"</f>
        <v>PJP ()</v>
      </c>
    </row>
    <row r="2026" spans="1:14" x14ac:dyDescent="0.3">
      <c r="A2026" s="1">
        <v>45195</v>
      </c>
      <c r="B2026" t="s">
        <v>50</v>
      </c>
      <c r="C2026" t="s">
        <v>463</v>
      </c>
      <c r="D2026" s="8">
        <v>0.75</v>
      </c>
      <c r="E2026" s="8">
        <v>0.79166666666666663</v>
      </c>
      <c r="L2026" t="s">
        <v>563</v>
      </c>
      <c r="M2026" t="s">
        <v>478</v>
      </c>
      <c r="N2026" t="str">
        <f>Tabela_tudo[[#This Row],[Médico]]&amp;" ("&amp;Tabela_tudo[[#This Row],[Obs]]&amp;")"</f>
        <v>PJP ()</v>
      </c>
    </row>
    <row r="2027" spans="1:14" x14ac:dyDescent="0.3">
      <c r="A2027" s="1">
        <v>45188</v>
      </c>
      <c r="B2027" t="s">
        <v>50</v>
      </c>
      <c r="C2027" t="s">
        <v>463</v>
      </c>
      <c r="D2027" s="8">
        <v>0.75</v>
      </c>
      <c r="E2027" s="8">
        <v>0.79166666666666663</v>
      </c>
      <c r="L2027" t="s">
        <v>563</v>
      </c>
      <c r="M2027" t="s">
        <v>478</v>
      </c>
      <c r="N2027" t="str">
        <f>Tabela_tudo[[#This Row],[Médico]]&amp;" ("&amp;Tabela_tudo[[#This Row],[Obs]]&amp;")"</f>
        <v>PJP ()</v>
      </c>
    </row>
    <row r="2028" spans="1:14" x14ac:dyDescent="0.3">
      <c r="A2028" s="1">
        <v>45181</v>
      </c>
      <c r="B2028" t="s">
        <v>50</v>
      </c>
      <c r="C2028" t="s">
        <v>463</v>
      </c>
      <c r="D2028" s="8">
        <v>0.75</v>
      </c>
      <c r="E2028" s="8">
        <v>0.79166666666666663</v>
      </c>
      <c r="L2028" t="s">
        <v>563</v>
      </c>
      <c r="M2028" t="s">
        <v>478</v>
      </c>
      <c r="N2028" t="str">
        <f>Tabela_tudo[[#This Row],[Médico]]&amp;" ("&amp;Tabela_tudo[[#This Row],[Obs]]&amp;")"</f>
        <v>PJP ()</v>
      </c>
    </row>
    <row r="2029" spans="1:14" x14ac:dyDescent="0.3">
      <c r="A2029" s="1">
        <v>45111</v>
      </c>
      <c r="B2029" t="s">
        <v>50</v>
      </c>
      <c r="C2029" t="s">
        <v>463</v>
      </c>
      <c r="D2029" s="8">
        <v>0.75</v>
      </c>
      <c r="E2029" s="8">
        <v>0.79166666666666663</v>
      </c>
      <c r="L2029" t="s">
        <v>563</v>
      </c>
      <c r="M2029" t="s">
        <v>478</v>
      </c>
      <c r="N2029" t="str">
        <f>Tabela_tudo[[#This Row],[Médico]]&amp;" ("&amp;Tabela_tudo[[#This Row],[Obs]]&amp;")"</f>
        <v>PJP ()</v>
      </c>
    </row>
    <row r="2030" spans="1:14" x14ac:dyDescent="0.3">
      <c r="A2030" s="1">
        <v>45104</v>
      </c>
      <c r="B2030" t="s">
        <v>50</v>
      </c>
      <c r="C2030" t="s">
        <v>463</v>
      </c>
      <c r="D2030" s="8">
        <v>0.75</v>
      </c>
      <c r="E2030" s="8">
        <v>0.79166666666666663</v>
      </c>
      <c r="L2030" t="s">
        <v>563</v>
      </c>
      <c r="M2030" t="s">
        <v>478</v>
      </c>
      <c r="N2030" t="str">
        <f>Tabela_tudo[[#This Row],[Médico]]&amp;" ("&amp;Tabela_tudo[[#This Row],[Obs]]&amp;")"</f>
        <v>PJP ()</v>
      </c>
    </row>
    <row r="2031" spans="1:14" x14ac:dyDescent="0.3">
      <c r="A2031" s="1">
        <v>45097</v>
      </c>
      <c r="B2031" t="s">
        <v>50</v>
      </c>
      <c r="C2031" t="s">
        <v>463</v>
      </c>
      <c r="D2031" s="8">
        <v>0.75</v>
      </c>
      <c r="E2031" s="8">
        <v>0.79166666666666663</v>
      </c>
      <c r="L2031" t="s">
        <v>563</v>
      </c>
      <c r="M2031" t="s">
        <v>478</v>
      </c>
      <c r="N2031" t="str">
        <f>Tabela_tudo[[#This Row],[Médico]]&amp;" ("&amp;Tabela_tudo[[#This Row],[Obs]]&amp;")"</f>
        <v>PJP ()</v>
      </c>
    </row>
    <row r="2032" spans="1:14" x14ac:dyDescent="0.3">
      <c r="A2032" s="1">
        <v>45118</v>
      </c>
      <c r="B2032" t="s">
        <v>50</v>
      </c>
      <c r="C2032" t="s">
        <v>463</v>
      </c>
      <c r="D2032" s="8">
        <v>0.75</v>
      </c>
      <c r="E2032" s="8">
        <v>0.79166666666666663</v>
      </c>
      <c r="L2032" t="s">
        <v>563</v>
      </c>
      <c r="M2032" t="s">
        <v>478</v>
      </c>
      <c r="N2032" t="str">
        <f>Tabela_tudo[[#This Row],[Médico]]&amp;" ("&amp;Tabela_tudo[[#This Row],[Obs]]&amp;")"</f>
        <v>PJP ()</v>
      </c>
    </row>
    <row r="2033" spans="1:14" x14ac:dyDescent="0.3">
      <c r="A2033" s="1">
        <v>45139</v>
      </c>
      <c r="B2033" t="s">
        <v>50</v>
      </c>
      <c r="C2033" t="s">
        <v>463</v>
      </c>
      <c r="D2033" s="8">
        <v>0.75</v>
      </c>
      <c r="E2033" s="8">
        <v>0.79166666666666663</v>
      </c>
      <c r="L2033" t="s">
        <v>563</v>
      </c>
      <c r="M2033" t="s">
        <v>478</v>
      </c>
      <c r="N2033" t="str">
        <f>Tabela_tudo[[#This Row],[Médico]]&amp;" ("&amp;Tabela_tudo[[#This Row],[Obs]]&amp;")"</f>
        <v>PJP ()</v>
      </c>
    </row>
    <row r="2034" spans="1:14" x14ac:dyDescent="0.3">
      <c r="A2034" s="1">
        <v>45132</v>
      </c>
      <c r="B2034" t="s">
        <v>50</v>
      </c>
      <c r="C2034" t="s">
        <v>463</v>
      </c>
      <c r="D2034" s="8">
        <v>0.75</v>
      </c>
      <c r="E2034" s="8">
        <v>0.79166666666666663</v>
      </c>
      <c r="L2034" t="s">
        <v>563</v>
      </c>
      <c r="M2034" t="s">
        <v>478</v>
      </c>
      <c r="N2034" t="str">
        <f>Tabela_tudo[[#This Row],[Médico]]&amp;" ("&amp;Tabela_tudo[[#This Row],[Obs]]&amp;")"</f>
        <v>PJP ()</v>
      </c>
    </row>
    <row r="2035" spans="1:14" x14ac:dyDescent="0.3">
      <c r="A2035" s="1">
        <v>45125</v>
      </c>
      <c r="B2035" t="s">
        <v>50</v>
      </c>
      <c r="C2035" t="s">
        <v>463</v>
      </c>
      <c r="D2035" s="8">
        <v>0.75</v>
      </c>
      <c r="E2035" s="8">
        <v>0.79166666666666663</v>
      </c>
      <c r="L2035" t="s">
        <v>563</v>
      </c>
      <c r="M2035" t="s">
        <v>478</v>
      </c>
      <c r="N2035" t="str">
        <f>Tabela_tudo[[#This Row],[Médico]]&amp;" ("&amp;Tabela_tudo[[#This Row],[Obs]]&amp;")"</f>
        <v>PJP ()</v>
      </c>
    </row>
    <row r="2036" spans="1:14" x14ac:dyDescent="0.3">
      <c r="A2036" s="1">
        <v>45202</v>
      </c>
      <c r="B2036" t="s">
        <v>50</v>
      </c>
      <c r="C2036" t="s">
        <v>463</v>
      </c>
      <c r="D2036" s="8">
        <v>0.75</v>
      </c>
      <c r="E2036" s="8">
        <v>0.79166666666666663</v>
      </c>
      <c r="L2036" t="s">
        <v>563</v>
      </c>
      <c r="M2036" t="s">
        <v>478</v>
      </c>
      <c r="N2036" t="str">
        <f>Tabela_tudo[[#This Row],[Médico]]&amp;" ("&amp;Tabela_tudo[[#This Row],[Obs]]&amp;")"</f>
        <v>PJP ()</v>
      </c>
    </row>
    <row r="2037" spans="1:14" x14ac:dyDescent="0.3">
      <c r="A2037" s="1">
        <v>45272</v>
      </c>
      <c r="B2037" t="s">
        <v>50</v>
      </c>
      <c r="C2037" t="s">
        <v>463</v>
      </c>
      <c r="D2037" s="8">
        <v>0.75</v>
      </c>
      <c r="E2037" s="8">
        <v>0.79166666666666663</v>
      </c>
      <c r="L2037" t="s">
        <v>563</v>
      </c>
      <c r="M2037" t="s">
        <v>478</v>
      </c>
      <c r="N2037" t="str">
        <f>Tabela_tudo[[#This Row],[Médico]]&amp;" ("&amp;Tabela_tudo[[#This Row],[Obs]]&amp;")"</f>
        <v>PJP ()</v>
      </c>
    </row>
    <row r="2038" spans="1:14" x14ac:dyDescent="0.3">
      <c r="A2038" s="1">
        <v>45265</v>
      </c>
      <c r="B2038" t="s">
        <v>50</v>
      </c>
      <c r="C2038" t="s">
        <v>463</v>
      </c>
      <c r="D2038" s="8">
        <v>0.75</v>
      </c>
      <c r="E2038" s="8">
        <v>0.79166666666666663</v>
      </c>
      <c r="L2038" t="s">
        <v>563</v>
      </c>
      <c r="M2038" t="s">
        <v>478</v>
      </c>
      <c r="N2038" t="str">
        <f>Tabela_tudo[[#This Row],[Médico]]&amp;" ("&amp;Tabela_tudo[[#This Row],[Obs]]&amp;")"</f>
        <v>PJP ()</v>
      </c>
    </row>
    <row r="2039" spans="1:14" x14ac:dyDescent="0.3">
      <c r="A2039" s="1">
        <v>45258</v>
      </c>
      <c r="B2039" t="s">
        <v>50</v>
      </c>
      <c r="C2039" t="s">
        <v>463</v>
      </c>
      <c r="D2039" s="8">
        <v>0.75</v>
      </c>
      <c r="E2039" s="8">
        <v>0.79166666666666663</v>
      </c>
      <c r="L2039" t="s">
        <v>563</v>
      </c>
      <c r="M2039" t="s">
        <v>478</v>
      </c>
      <c r="N2039" t="str">
        <f>Tabela_tudo[[#This Row],[Médico]]&amp;" ("&amp;Tabela_tudo[[#This Row],[Obs]]&amp;")"</f>
        <v>PJP ()</v>
      </c>
    </row>
    <row r="2040" spans="1:14" x14ac:dyDescent="0.3">
      <c r="A2040" s="1">
        <v>45279</v>
      </c>
      <c r="B2040" t="s">
        <v>50</v>
      </c>
      <c r="C2040" t="s">
        <v>463</v>
      </c>
      <c r="D2040" s="8">
        <v>0.75</v>
      </c>
      <c r="E2040" s="8">
        <v>0.79166666666666663</v>
      </c>
      <c r="L2040" t="s">
        <v>563</v>
      </c>
      <c r="M2040" t="s">
        <v>478</v>
      </c>
      <c r="N2040" t="str">
        <f>Tabela_tudo[[#This Row],[Médico]]&amp;" ("&amp;Tabela_tudo[[#This Row],[Obs]]&amp;")"</f>
        <v>PJP ()</v>
      </c>
    </row>
    <row r="2041" spans="1:14" x14ac:dyDescent="0.3">
      <c r="A2041" s="1">
        <v>45300</v>
      </c>
      <c r="B2041" t="s">
        <v>50</v>
      </c>
      <c r="C2041" t="s">
        <v>463</v>
      </c>
      <c r="D2041" s="8">
        <v>0.75</v>
      </c>
      <c r="E2041" s="8">
        <v>0.79166666666666663</v>
      </c>
      <c r="L2041" t="s">
        <v>563</v>
      </c>
      <c r="M2041" t="s">
        <v>478</v>
      </c>
      <c r="N2041" t="str">
        <f>Tabela_tudo[[#This Row],[Médico]]&amp;" ("&amp;Tabela_tudo[[#This Row],[Obs]]&amp;")"</f>
        <v>PJP ()</v>
      </c>
    </row>
    <row r="2042" spans="1:14" x14ac:dyDescent="0.3">
      <c r="A2042" s="1">
        <v>45293</v>
      </c>
      <c r="B2042" t="s">
        <v>50</v>
      </c>
      <c r="C2042" t="s">
        <v>463</v>
      </c>
      <c r="D2042" s="8">
        <v>0.75</v>
      </c>
      <c r="E2042" s="8">
        <v>0.79166666666666663</v>
      </c>
      <c r="L2042" t="s">
        <v>563</v>
      </c>
      <c r="M2042" t="s">
        <v>478</v>
      </c>
      <c r="N2042" t="str">
        <f>Tabela_tudo[[#This Row],[Médico]]&amp;" ("&amp;Tabela_tudo[[#This Row],[Obs]]&amp;")"</f>
        <v>PJP ()</v>
      </c>
    </row>
    <row r="2043" spans="1:14" x14ac:dyDescent="0.3">
      <c r="A2043" s="1">
        <v>45286</v>
      </c>
      <c r="B2043" t="s">
        <v>50</v>
      </c>
      <c r="C2043" t="s">
        <v>463</v>
      </c>
      <c r="D2043" s="8">
        <v>0.75</v>
      </c>
      <c r="E2043" s="8">
        <v>0.79166666666666663</v>
      </c>
      <c r="L2043" t="s">
        <v>563</v>
      </c>
      <c r="M2043" t="s">
        <v>478</v>
      </c>
      <c r="N2043" t="str">
        <f>Tabela_tudo[[#This Row],[Médico]]&amp;" ("&amp;Tabela_tudo[[#This Row],[Obs]]&amp;")"</f>
        <v>PJP ()</v>
      </c>
    </row>
    <row r="2044" spans="1:14" x14ac:dyDescent="0.3">
      <c r="A2044" s="1">
        <v>45223</v>
      </c>
      <c r="B2044" t="s">
        <v>50</v>
      </c>
      <c r="C2044" t="s">
        <v>463</v>
      </c>
      <c r="D2044" s="8">
        <v>0.75</v>
      </c>
      <c r="E2044" s="8">
        <v>0.79166666666666663</v>
      </c>
      <c r="L2044" t="s">
        <v>563</v>
      </c>
      <c r="M2044" t="s">
        <v>478</v>
      </c>
      <c r="N2044" t="str">
        <f>Tabela_tudo[[#This Row],[Médico]]&amp;" ("&amp;Tabela_tudo[[#This Row],[Obs]]&amp;")"</f>
        <v>PJP ()</v>
      </c>
    </row>
    <row r="2045" spans="1:14" x14ac:dyDescent="0.3">
      <c r="A2045" s="1">
        <v>45216</v>
      </c>
      <c r="B2045" t="s">
        <v>50</v>
      </c>
      <c r="C2045" t="s">
        <v>463</v>
      </c>
      <c r="D2045" s="8">
        <v>0.75</v>
      </c>
      <c r="E2045" s="8">
        <v>0.79166666666666663</v>
      </c>
      <c r="L2045" t="s">
        <v>563</v>
      </c>
      <c r="M2045" t="s">
        <v>478</v>
      </c>
      <c r="N2045" t="str">
        <f>Tabela_tudo[[#This Row],[Médico]]&amp;" ("&amp;Tabela_tudo[[#This Row],[Obs]]&amp;")"</f>
        <v>PJP ()</v>
      </c>
    </row>
    <row r="2046" spans="1:14" x14ac:dyDescent="0.3">
      <c r="A2046" s="1">
        <v>45209</v>
      </c>
      <c r="B2046" t="s">
        <v>50</v>
      </c>
      <c r="C2046" t="s">
        <v>463</v>
      </c>
      <c r="D2046" s="8">
        <v>0.75</v>
      </c>
      <c r="E2046" s="8">
        <v>0.79166666666666663</v>
      </c>
      <c r="L2046" t="s">
        <v>563</v>
      </c>
      <c r="M2046" t="s">
        <v>478</v>
      </c>
      <c r="N2046" t="str">
        <f>Tabela_tudo[[#This Row],[Médico]]&amp;" ("&amp;Tabela_tudo[[#This Row],[Obs]]&amp;")"</f>
        <v>PJP ()</v>
      </c>
    </row>
    <row r="2047" spans="1:14" x14ac:dyDescent="0.3">
      <c r="A2047" s="1">
        <v>45230</v>
      </c>
      <c r="B2047" t="s">
        <v>50</v>
      </c>
      <c r="C2047" t="s">
        <v>463</v>
      </c>
      <c r="D2047" s="8">
        <v>0.75</v>
      </c>
      <c r="E2047" s="8">
        <v>0.79166666666666663</v>
      </c>
      <c r="L2047" t="s">
        <v>563</v>
      </c>
      <c r="M2047" t="s">
        <v>478</v>
      </c>
      <c r="N2047" t="str">
        <f>Tabela_tudo[[#This Row],[Médico]]&amp;" ("&amp;Tabela_tudo[[#This Row],[Obs]]&amp;")"</f>
        <v>PJP ()</v>
      </c>
    </row>
    <row r="2048" spans="1:14" x14ac:dyDescent="0.3">
      <c r="A2048" s="1">
        <v>45251</v>
      </c>
      <c r="B2048" t="s">
        <v>50</v>
      </c>
      <c r="C2048" t="s">
        <v>463</v>
      </c>
      <c r="D2048" s="8">
        <v>0.75</v>
      </c>
      <c r="E2048" s="8">
        <v>0.79166666666666663</v>
      </c>
      <c r="L2048" t="s">
        <v>563</v>
      </c>
      <c r="M2048" t="s">
        <v>478</v>
      </c>
      <c r="N2048" t="str">
        <f>Tabela_tudo[[#This Row],[Médico]]&amp;" ("&amp;Tabela_tudo[[#This Row],[Obs]]&amp;")"</f>
        <v>PJP ()</v>
      </c>
    </row>
    <row r="2049" spans="1:14" x14ac:dyDescent="0.3">
      <c r="A2049" s="1">
        <v>45244</v>
      </c>
      <c r="B2049" t="s">
        <v>50</v>
      </c>
      <c r="C2049" t="s">
        <v>463</v>
      </c>
      <c r="D2049" s="8">
        <v>0.75</v>
      </c>
      <c r="E2049" s="8">
        <v>0.79166666666666663</v>
      </c>
      <c r="L2049" t="s">
        <v>563</v>
      </c>
      <c r="M2049" t="s">
        <v>478</v>
      </c>
      <c r="N2049" t="str">
        <f>Tabela_tudo[[#This Row],[Médico]]&amp;" ("&amp;Tabela_tudo[[#This Row],[Obs]]&amp;")"</f>
        <v>PJP ()</v>
      </c>
    </row>
    <row r="2050" spans="1:14" x14ac:dyDescent="0.3">
      <c r="A2050" s="1">
        <v>45237</v>
      </c>
      <c r="B2050" t="s">
        <v>50</v>
      </c>
      <c r="C2050" t="s">
        <v>463</v>
      </c>
      <c r="D2050" s="8">
        <v>0.75</v>
      </c>
      <c r="E2050" s="8">
        <v>0.79166666666666663</v>
      </c>
      <c r="L2050" t="s">
        <v>563</v>
      </c>
      <c r="M2050" t="s">
        <v>478</v>
      </c>
      <c r="N2050" t="str">
        <f>Tabela_tudo[[#This Row],[Médico]]&amp;" ("&amp;Tabela_tudo[[#This Row],[Obs]]&amp;")"</f>
        <v>PJP ()</v>
      </c>
    </row>
    <row r="2051" spans="1:14" x14ac:dyDescent="0.3">
      <c r="A2051" s="1">
        <v>45517</v>
      </c>
      <c r="B2051" t="s">
        <v>50</v>
      </c>
      <c r="C2051" t="s">
        <v>463</v>
      </c>
      <c r="D2051" s="8">
        <v>0.75</v>
      </c>
      <c r="E2051" s="8">
        <v>0.79166666666666663</v>
      </c>
      <c r="L2051" t="s">
        <v>563</v>
      </c>
      <c r="M2051" t="s">
        <v>478</v>
      </c>
      <c r="N2051" t="str">
        <f>Tabela_tudo[[#This Row],[Médico]]&amp;" ("&amp;Tabela_tudo[[#This Row],[Obs]]&amp;")"</f>
        <v>PJP ()</v>
      </c>
    </row>
    <row r="2052" spans="1:14" x14ac:dyDescent="0.3">
      <c r="A2052" s="1">
        <v>45069</v>
      </c>
      <c r="B2052" t="s">
        <v>47</v>
      </c>
      <c r="C2052" t="s">
        <v>463</v>
      </c>
      <c r="D2052" s="8">
        <v>0.75</v>
      </c>
      <c r="E2052" s="8">
        <v>0.79166666666666663</v>
      </c>
      <c r="L2052" t="s">
        <v>563</v>
      </c>
      <c r="M2052" t="s">
        <v>478</v>
      </c>
      <c r="N2052" t="str">
        <f>Tabela_tudo[[#This Row],[Médico]]&amp;" ("&amp;Tabela_tudo[[#This Row],[Obs]]&amp;")"</f>
        <v>VIN ()</v>
      </c>
    </row>
    <row r="2053" spans="1:14" x14ac:dyDescent="0.3">
      <c r="A2053" s="1">
        <v>45062</v>
      </c>
      <c r="B2053" t="s">
        <v>47</v>
      </c>
      <c r="C2053" t="s">
        <v>463</v>
      </c>
      <c r="D2053" s="8">
        <v>0.75</v>
      </c>
      <c r="E2053" s="8">
        <v>0.79166666666666663</v>
      </c>
      <c r="L2053" t="s">
        <v>563</v>
      </c>
      <c r="M2053" t="s">
        <v>478</v>
      </c>
      <c r="N2053" t="str">
        <f>Tabela_tudo[[#This Row],[Médico]]&amp;" ("&amp;Tabela_tudo[[#This Row],[Obs]]&amp;")"</f>
        <v>VIN ()</v>
      </c>
    </row>
    <row r="2054" spans="1:14" x14ac:dyDescent="0.3">
      <c r="A2054" s="1">
        <v>45055</v>
      </c>
      <c r="B2054" t="s">
        <v>47</v>
      </c>
      <c r="C2054" t="s">
        <v>463</v>
      </c>
      <c r="D2054" s="8">
        <v>0.75</v>
      </c>
      <c r="E2054" s="8">
        <v>0.79166666666666663</v>
      </c>
      <c r="L2054" t="s">
        <v>563</v>
      </c>
      <c r="M2054" t="s">
        <v>478</v>
      </c>
      <c r="N2054" t="str">
        <f>Tabela_tudo[[#This Row],[Médico]]&amp;" ("&amp;Tabela_tudo[[#This Row],[Obs]]&amp;")"</f>
        <v>VIN ()</v>
      </c>
    </row>
    <row r="2055" spans="1:14" x14ac:dyDescent="0.3">
      <c r="A2055" s="1">
        <v>45076</v>
      </c>
      <c r="B2055" t="s">
        <v>47</v>
      </c>
      <c r="C2055" t="s">
        <v>463</v>
      </c>
      <c r="D2055" s="8">
        <v>0.75</v>
      </c>
      <c r="E2055" s="8">
        <v>0.79166666666666663</v>
      </c>
      <c r="L2055" t="s">
        <v>563</v>
      </c>
      <c r="M2055" t="s">
        <v>478</v>
      </c>
      <c r="N2055" t="str">
        <f>Tabela_tudo[[#This Row],[Médico]]&amp;" ("&amp;Tabela_tudo[[#This Row],[Obs]]&amp;")"</f>
        <v>VIN ()</v>
      </c>
    </row>
    <row r="2056" spans="1:14" x14ac:dyDescent="0.3">
      <c r="A2056" s="1">
        <v>45097</v>
      </c>
      <c r="B2056" t="s">
        <v>47</v>
      </c>
      <c r="C2056" t="s">
        <v>463</v>
      </c>
      <c r="D2056" s="8">
        <v>0.75</v>
      </c>
      <c r="E2056" s="8">
        <v>0.79166666666666663</v>
      </c>
      <c r="L2056" t="s">
        <v>563</v>
      </c>
      <c r="M2056" t="s">
        <v>478</v>
      </c>
      <c r="N2056" t="str">
        <f>Tabela_tudo[[#This Row],[Médico]]&amp;" ("&amp;Tabela_tudo[[#This Row],[Obs]]&amp;")"</f>
        <v>VIN ()</v>
      </c>
    </row>
    <row r="2057" spans="1:14" x14ac:dyDescent="0.3">
      <c r="A2057" s="1">
        <v>45090</v>
      </c>
      <c r="B2057" t="s">
        <v>47</v>
      </c>
      <c r="C2057" t="s">
        <v>463</v>
      </c>
      <c r="D2057" s="8">
        <v>0.75</v>
      </c>
      <c r="E2057" s="8">
        <v>0.79166666666666663</v>
      </c>
      <c r="L2057" t="s">
        <v>563</v>
      </c>
      <c r="M2057" t="s">
        <v>478</v>
      </c>
      <c r="N2057" t="str">
        <f>Tabela_tudo[[#This Row],[Médico]]&amp;" ("&amp;Tabela_tudo[[#This Row],[Obs]]&amp;")"</f>
        <v>VIN ()</v>
      </c>
    </row>
    <row r="2058" spans="1:14" x14ac:dyDescent="0.3">
      <c r="A2058" s="1">
        <v>45083</v>
      </c>
      <c r="B2058" t="s">
        <v>47</v>
      </c>
      <c r="C2058" t="s">
        <v>463</v>
      </c>
      <c r="D2058" s="8">
        <v>0.75</v>
      </c>
      <c r="E2058" s="8">
        <v>0.79166666666666663</v>
      </c>
      <c r="L2058" t="s">
        <v>563</v>
      </c>
      <c r="M2058" t="s">
        <v>478</v>
      </c>
      <c r="N2058" t="str">
        <f>Tabela_tudo[[#This Row],[Médico]]&amp;" ("&amp;Tabela_tudo[[#This Row],[Obs]]&amp;")"</f>
        <v>VIN ()</v>
      </c>
    </row>
    <row r="2059" spans="1:14" x14ac:dyDescent="0.3">
      <c r="A2059" s="1">
        <v>45020</v>
      </c>
      <c r="B2059" t="s">
        <v>47</v>
      </c>
      <c r="C2059" t="s">
        <v>463</v>
      </c>
      <c r="D2059" s="8">
        <v>0.75</v>
      </c>
      <c r="E2059" s="8">
        <v>0.79166666666666663</v>
      </c>
      <c r="L2059" t="s">
        <v>563</v>
      </c>
      <c r="M2059" t="s">
        <v>478</v>
      </c>
      <c r="N2059" t="str">
        <f>Tabela_tudo[[#This Row],[Médico]]&amp;" ("&amp;Tabela_tudo[[#This Row],[Obs]]&amp;")"</f>
        <v>VIN ()</v>
      </c>
    </row>
    <row r="2060" spans="1:14" x14ac:dyDescent="0.3">
      <c r="A2060" s="1">
        <v>45013</v>
      </c>
      <c r="B2060" t="s">
        <v>47</v>
      </c>
      <c r="C2060" t="s">
        <v>463</v>
      </c>
      <c r="D2060" s="8">
        <v>0.75</v>
      </c>
      <c r="E2060" s="8">
        <v>0.79166666666666663</v>
      </c>
      <c r="L2060" t="s">
        <v>563</v>
      </c>
      <c r="M2060" t="s">
        <v>478</v>
      </c>
      <c r="N2060" t="str">
        <f>Tabela_tudo[[#This Row],[Médico]]&amp;" ("&amp;Tabela_tudo[[#This Row],[Obs]]&amp;")"</f>
        <v>VIN ()</v>
      </c>
    </row>
    <row r="2061" spans="1:14" x14ac:dyDescent="0.3">
      <c r="A2061" s="1">
        <v>45006</v>
      </c>
      <c r="B2061" t="s">
        <v>47</v>
      </c>
      <c r="C2061" t="s">
        <v>463</v>
      </c>
      <c r="D2061" s="8">
        <v>0.75</v>
      </c>
      <c r="E2061" s="8">
        <v>0.79166666666666663</v>
      </c>
      <c r="L2061" t="s">
        <v>563</v>
      </c>
      <c r="M2061" t="s">
        <v>478</v>
      </c>
      <c r="N2061" t="str">
        <f>Tabela_tudo[[#This Row],[Médico]]&amp;" ("&amp;Tabela_tudo[[#This Row],[Obs]]&amp;")"</f>
        <v>VIN ()</v>
      </c>
    </row>
    <row r="2062" spans="1:14" x14ac:dyDescent="0.3">
      <c r="A2062" s="1">
        <v>45027</v>
      </c>
      <c r="B2062" t="s">
        <v>47</v>
      </c>
      <c r="C2062" t="s">
        <v>463</v>
      </c>
      <c r="D2062" s="8">
        <v>0.75</v>
      </c>
      <c r="E2062" s="8">
        <v>0.79166666666666663</v>
      </c>
      <c r="L2062" t="s">
        <v>563</v>
      </c>
      <c r="M2062" t="s">
        <v>478</v>
      </c>
      <c r="N2062" t="str">
        <f>Tabela_tudo[[#This Row],[Médico]]&amp;" ("&amp;Tabela_tudo[[#This Row],[Obs]]&amp;")"</f>
        <v>VIN ()</v>
      </c>
    </row>
    <row r="2063" spans="1:14" x14ac:dyDescent="0.3">
      <c r="A2063" s="1">
        <v>45048</v>
      </c>
      <c r="B2063" t="s">
        <v>47</v>
      </c>
      <c r="C2063" t="s">
        <v>463</v>
      </c>
      <c r="D2063" s="8">
        <v>0.75</v>
      </c>
      <c r="E2063" s="8">
        <v>0.79166666666666663</v>
      </c>
      <c r="L2063" t="s">
        <v>563</v>
      </c>
      <c r="M2063" t="s">
        <v>478</v>
      </c>
      <c r="N2063" t="str">
        <f>Tabela_tudo[[#This Row],[Médico]]&amp;" ("&amp;Tabela_tudo[[#This Row],[Obs]]&amp;")"</f>
        <v>VIN ()</v>
      </c>
    </row>
    <row r="2064" spans="1:14" x14ac:dyDescent="0.3">
      <c r="A2064" s="1">
        <v>45041</v>
      </c>
      <c r="B2064" t="s">
        <v>47</v>
      </c>
      <c r="C2064" t="s">
        <v>463</v>
      </c>
      <c r="D2064" s="8">
        <v>0.75</v>
      </c>
      <c r="E2064" s="8">
        <v>0.79166666666666663</v>
      </c>
      <c r="L2064" t="s">
        <v>563</v>
      </c>
      <c r="M2064" t="s">
        <v>478</v>
      </c>
      <c r="N2064" t="str">
        <f>Tabela_tudo[[#This Row],[Médico]]&amp;" ("&amp;Tabela_tudo[[#This Row],[Obs]]&amp;")"</f>
        <v>VIN ()</v>
      </c>
    </row>
    <row r="2065" spans="1:14" x14ac:dyDescent="0.3">
      <c r="A2065" s="1">
        <v>45034</v>
      </c>
      <c r="B2065" t="s">
        <v>47</v>
      </c>
      <c r="C2065" t="s">
        <v>463</v>
      </c>
      <c r="D2065" s="8">
        <v>0.75</v>
      </c>
      <c r="E2065" s="8">
        <v>0.79166666666666663</v>
      </c>
      <c r="L2065" t="s">
        <v>563</v>
      </c>
      <c r="M2065" t="s">
        <v>478</v>
      </c>
      <c r="N2065" t="str">
        <f>Tabela_tudo[[#This Row],[Médico]]&amp;" ("&amp;Tabela_tudo[[#This Row],[Obs]]&amp;")"</f>
        <v>VIN ()</v>
      </c>
    </row>
    <row r="2066" spans="1:14" x14ac:dyDescent="0.3">
      <c r="A2066" s="1">
        <v>45104</v>
      </c>
      <c r="B2066" t="s">
        <v>47</v>
      </c>
      <c r="C2066" t="s">
        <v>463</v>
      </c>
      <c r="D2066" s="8">
        <v>0.75</v>
      </c>
      <c r="E2066" s="8">
        <v>0.79166666666666663</v>
      </c>
      <c r="L2066" t="s">
        <v>563</v>
      </c>
      <c r="M2066" t="s">
        <v>478</v>
      </c>
      <c r="N2066" t="str">
        <f>Tabela_tudo[[#This Row],[Médico]]&amp;" ("&amp;Tabela_tudo[[#This Row],[Obs]]&amp;")"</f>
        <v>VIN ()</v>
      </c>
    </row>
    <row r="2067" spans="1:14" x14ac:dyDescent="0.3">
      <c r="A2067" s="1">
        <v>45181</v>
      </c>
      <c r="B2067" t="s">
        <v>47</v>
      </c>
      <c r="C2067" t="s">
        <v>463</v>
      </c>
      <c r="D2067" s="8">
        <v>0.75</v>
      </c>
      <c r="E2067" s="8">
        <v>0.79166666666666663</v>
      </c>
      <c r="L2067" t="s">
        <v>563</v>
      </c>
      <c r="M2067" t="s">
        <v>478</v>
      </c>
      <c r="N2067" t="str">
        <f>Tabela_tudo[[#This Row],[Médico]]&amp;" ("&amp;Tabela_tudo[[#This Row],[Obs]]&amp;")"</f>
        <v>VIN ()</v>
      </c>
    </row>
    <row r="2068" spans="1:14" x14ac:dyDescent="0.3">
      <c r="A2068" s="1">
        <v>45167</v>
      </c>
      <c r="B2068" t="s">
        <v>47</v>
      </c>
      <c r="C2068" t="s">
        <v>463</v>
      </c>
      <c r="D2068" s="8">
        <v>0.75</v>
      </c>
      <c r="E2068" s="8">
        <v>0.79166666666666663</v>
      </c>
      <c r="L2068" t="s">
        <v>563</v>
      </c>
      <c r="M2068" t="s">
        <v>478</v>
      </c>
      <c r="N2068" t="str">
        <f>Tabela_tudo[[#This Row],[Médico]]&amp;" ("&amp;Tabela_tudo[[#This Row],[Obs]]&amp;")"</f>
        <v>VIN ()</v>
      </c>
    </row>
    <row r="2069" spans="1:14" x14ac:dyDescent="0.3">
      <c r="A2069" s="1">
        <v>45160</v>
      </c>
      <c r="B2069" t="s">
        <v>47</v>
      </c>
      <c r="C2069" t="s">
        <v>463</v>
      </c>
      <c r="D2069" s="8">
        <v>0.75</v>
      </c>
      <c r="E2069" s="8">
        <v>0.79166666666666663</v>
      </c>
      <c r="L2069" t="s">
        <v>563</v>
      </c>
      <c r="M2069" t="s">
        <v>478</v>
      </c>
      <c r="N2069" t="str">
        <f>Tabela_tudo[[#This Row],[Médico]]&amp;" ("&amp;Tabela_tudo[[#This Row],[Obs]]&amp;")"</f>
        <v>VIN ()</v>
      </c>
    </row>
    <row r="2070" spans="1:14" x14ac:dyDescent="0.3">
      <c r="A2070" s="1">
        <v>45188</v>
      </c>
      <c r="B2070" t="s">
        <v>47</v>
      </c>
      <c r="C2070" t="s">
        <v>463</v>
      </c>
      <c r="D2070" s="8">
        <v>0.75</v>
      </c>
      <c r="E2070" s="8">
        <v>0.79166666666666663</v>
      </c>
      <c r="L2070" t="s">
        <v>563</v>
      </c>
      <c r="M2070" t="s">
        <v>478</v>
      </c>
      <c r="N2070" t="str">
        <f>Tabela_tudo[[#This Row],[Médico]]&amp;" ("&amp;Tabela_tudo[[#This Row],[Obs]]&amp;")"</f>
        <v>VIN ()</v>
      </c>
    </row>
    <row r="2071" spans="1:14" x14ac:dyDescent="0.3">
      <c r="A2071" s="1">
        <v>45209</v>
      </c>
      <c r="B2071" t="s">
        <v>47</v>
      </c>
      <c r="C2071" t="s">
        <v>463</v>
      </c>
      <c r="D2071" s="8">
        <v>0.75</v>
      </c>
      <c r="E2071" s="8">
        <v>0.79166666666666663</v>
      </c>
      <c r="L2071" t="s">
        <v>563</v>
      </c>
      <c r="M2071" t="s">
        <v>478</v>
      </c>
      <c r="N2071" t="str">
        <f>Tabela_tudo[[#This Row],[Médico]]&amp;" ("&amp;Tabela_tudo[[#This Row],[Obs]]&amp;")"</f>
        <v>VIN ()</v>
      </c>
    </row>
    <row r="2072" spans="1:14" x14ac:dyDescent="0.3">
      <c r="A2072" s="1">
        <v>45202</v>
      </c>
      <c r="B2072" t="s">
        <v>47</v>
      </c>
      <c r="C2072" t="s">
        <v>463</v>
      </c>
      <c r="D2072" s="8">
        <v>0.75</v>
      </c>
      <c r="E2072" s="8">
        <v>0.79166666666666663</v>
      </c>
      <c r="L2072" t="s">
        <v>563</v>
      </c>
      <c r="M2072" t="s">
        <v>478</v>
      </c>
      <c r="N2072" t="str">
        <f>Tabela_tudo[[#This Row],[Médico]]&amp;" ("&amp;Tabela_tudo[[#This Row],[Obs]]&amp;")"</f>
        <v>VIN ()</v>
      </c>
    </row>
    <row r="2073" spans="1:14" x14ac:dyDescent="0.3">
      <c r="A2073" s="1">
        <v>45195</v>
      </c>
      <c r="B2073" t="s">
        <v>47</v>
      </c>
      <c r="C2073" t="s">
        <v>463</v>
      </c>
      <c r="D2073" s="8">
        <v>0.75</v>
      </c>
      <c r="E2073" s="8">
        <v>0.79166666666666663</v>
      </c>
      <c r="L2073" t="s">
        <v>563</v>
      </c>
      <c r="M2073" t="s">
        <v>478</v>
      </c>
      <c r="N2073" t="str">
        <f>Tabela_tudo[[#This Row],[Médico]]&amp;" ("&amp;Tabela_tudo[[#This Row],[Obs]]&amp;")"</f>
        <v>VIN ()</v>
      </c>
    </row>
    <row r="2074" spans="1:14" x14ac:dyDescent="0.3">
      <c r="A2074" s="1">
        <v>45125</v>
      </c>
      <c r="B2074" t="s">
        <v>47</v>
      </c>
      <c r="C2074" t="s">
        <v>463</v>
      </c>
      <c r="D2074" s="8">
        <v>0.75</v>
      </c>
      <c r="E2074" s="8">
        <v>0.79166666666666663</v>
      </c>
      <c r="L2074" t="s">
        <v>563</v>
      </c>
      <c r="M2074" t="s">
        <v>478</v>
      </c>
      <c r="N2074" t="str">
        <f>Tabela_tudo[[#This Row],[Médico]]&amp;" ("&amp;Tabela_tudo[[#This Row],[Obs]]&amp;")"</f>
        <v>VIN ()</v>
      </c>
    </row>
    <row r="2075" spans="1:14" x14ac:dyDescent="0.3">
      <c r="A2075" s="1">
        <v>45118</v>
      </c>
      <c r="B2075" t="s">
        <v>47</v>
      </c>
      <c r="C2075" t="s">
        <v>463</v>
      </c>
      <c r="D2075" s="8">
        <v>0.75</v>
      </c>
      <c r="E2075" s="8">
        <v>0.79166666666666663</v>
      </c>
      <c r="L2075" t="s">
        <v>563</v>
      </c>
      <c r="M2075" t="s">
        <v>478</v>
      </c>
      <c r="N2075" t="str">
        <f>Tabela_tudo[[#This Row],[Médico]]&amp;" ("&amp;Tabela_tudo[[#This Row],[Obs]]&amp;")"</f>
        <v>VIN ()</v>
      </c>
    </row>
    <row r="2076" spans="1:14" x14ac:dyDescent="0.3">
      <c r="A2076" s="1">
        <v>45111</v>
      </c>
      <c r="B2076" t="s">
        <v>47</v>
      </c>
      <c r="C2076" t="s">
        <v>463</v>
      </c>
      <c r="D2076" s="8">
        <v>0.75</v>
      </c>
      <c r="E2076" s="8">
        <v>0.79166666666666663</v>
      </c>
      <c r="L2076" t="s">
        <v>563</v>
      </c>
      <c r="M2076" t="s">
        <v>478</v>
      </c>
      <c r="N2076" t="str">
        <f>Tabela_tudo[[#This Row],[Médico]]&amp;" ("&amp;Tabela_tudo[[#This Row],[Obs]]&amp;")"</f>
        <v>VIN ()</v>
      </c>
    </row>
    <row r="2077" spans="1:14" x14ac:dyDescent="0.3">
      <c r="A2077" s="1">
        <v>45132</v>
      </c>
      <c r="B2077" t="s">
        <v>47</v>
      </c>
      <c r="C2077" t="s">
        <v>463</v>
      </c>
      <c r="D2077" s="8">
        <v>0.75</v>
      </c>
      <c r="E2077" s="8">
        <v>0.79166666666666663</v>
      </c>
      <c r="L2077" t="s">
        <v>563</v>
      </c>
      <c r="M2077" t="s">
        <v>478</v>
      </c>
      <c r="N2077" t="str">
        <f>Tabela_tudo[[#This Row],[Médico]]&amp;" ("&amp;Tabela_tudo[[#This Row],[Obs]]&amp;")"</f>
        <v>VIN ()</v>
      </c>
    </row>
    <row r="2078" spans="1:14" x14ac:dyDescent="0.3">
      <c r="A2078" s="1">
        <v>45153</v>
      </c>
      <c r="B2078" t="s">
        <v>47</v>
      </c>
      <c r="C2078" t="s">
        <v>463</v>
      </c>
      <c r="D2078" s="8">
        <v>0.75</v>
      </c>
      <c r="E2078" s="8">
        <v>0.79166666666666663</v>
      </c>
      <c r="L2078" t="s">
        <v>563</v>
      </c>
      <c r="M2078" t="s">
        <v>478</v>
      </c>
      <c r="N2078" t="str">
        <f>Tabela_tudo[[#This Row],[Médico]]&amp;" ("&amp;Tabela_tudo[[#This Row],[Obs]]&amp;")"</f>
        <v>VIN ()</v>
      </c>
    </row>
    <row r="2079" spans="1:14" x14ac:dyDescent="0.3">
      <c r="A2079" s="1">
        <v>45146</v>
      </c>
      <c r="B2079" t="s">
        <v>47</v>
      </c>
      <c r="C2079" t="s">
        <v>463</v>
      </c>
      <c r="D2079" s="8">
        <v>0.75</v>
      </c>
      <c r="E2079" s="8">
        <v>0.79166666666666663</v>
      </c>
      <c r="L2079" t="s">
        <v>563</v>
      </c>
      <c r="M2079" t="s">
        <v>478</v>
      </c>
      <c r="N2079" t="str">
        <f>Tabela_tudo[[#This Row],[Médico]]&amp;" ("&amp;Tabela_tudo[[#This Row],[Obs]]&amp;")"</f>
        <v>VIN ()</v>
      </c>
    </row>
    <row r="2080" spans="1:14" x14ac:dyDescent="0.3">
      <c r="A2080" s="1">
        <v>45139</v>
      </c>
      <c r="B2080" t="s">
        <v>47</v>
      </c>
      <c r="C2080" t="s">
        <v>463</v>
      </c>
      <c r="D2080" s="8">
        <v>0.75</v>
      </c>
      <c r="E2080" s="8">
        <v>0.79166666666666663</v>
      </c>
      <c r="L2080" t="s">
        <v>563</v>
      </c>
      <c r="M2080" t="s">
        <v>478</v>
      </c>
      <c r="N2080" t="str">
        <f>Tabela_tudo[[#This Row],[Médico]]&amp;" ("&amp;Tabela_tudo[[#This Row],[Obs]]&amp;")"</f>
        <v>VIN ()</v>
      </c>
    </row>
    <row r="2081" spans="1:14" x14ac:dyDescent="0.3">
      <c r="A2081" s="1">
        <v>44999</v>
      </c>
      <c r="B2081" t="s">
        <v>47</v>
      </c>
      <c r="C2081" t="s">
        <v>463</v>
      </c>
      <c r="D2081" s="8">
        <v>0.75</v>
      </c>
      <c r="E2081" s="8">
        <v>0.79166666666666663</v>
      </c>
      <c r="L2081" t="s">
        <v>563</v>
      </c>
      <c r="M2081" t="s">
        <v>478</v>
      </c>
      <c r="N2081" t="str">
        <f>Tabela_tudo[[#This Row],[Médico]]&amp;" ("&amp;Tabela_tudo[[#This Row],[Obs]]&amp;")"</f>
        <v>VIN ()</v>
      </c>
    </row>
    <row r="2082" spans="1:14" x14ac:dyDescent="0.3">
      <c r="A2082" s="1">
        <v>45587</v>
      </c>
      <c r="B2082" t="s">
        <v>50</v>
      </c>
      <c r="C2082" t="s">
        <v>463</v>
      </c>
      <c r="D2082" s="8">
        <v>0.75</v>
      </c>
      <c r="E2082" s="8">
        <v>0.79166666666666663</v>
      </c>
      <c r="L2082" t="s">
        <v>563</v>
      </c>
      <c r="M2082" t="s">
        <v>478</v>
      </c>
      <c r="N2082" t="str">
        <f>Tabela_tudo[[#This Row],[Médico]]&amp;" ("&amp;Tabela_tudo[[#This Row],[Obs]]&amp;")"</f>
        <v>PJP ()</v>
      </c>
    </row>
    <row r="2083" spans="1:14" x14ac:dyDescent="0.3">
      <c r="A2083" s="1">
        <v>45580</v>
      </c>
      <c r="B2083" t="s">
        <v>50</v>
      </c>
      <c r="C2083" t="s">
        <v>463</v>
      </c>
      <c r="D2083" s="8">
        <v>0.75</v>
      </c>
      <c r="E2083" s="8">
        <v>0.79166666666666663</v>
      </c>
      <c r="L2083" t="s">
        <v>563</v>
      </c>
      <c r="M2083" t="s">
        <v>478</v>
      </c>
      <c r="N2083" t="str">
        <f>Tabela_tudo[[#This Row],[Médico]]&amp;" ("&amp;Tabela_tudo[[#This Row],[Obs]]&amp;")"</f>
        <v>PJP ()</v>
      </c>
    </row>
    <row r="2084" spans="1:14" x14ac:dyDescent="0.3">
      <c r="A2084" s="1">
        <v>45573</v>
      </c>
      <c r="B2084" t="s">
        <v>50</v>
      </c>
      <c r="C2084" t="s">
        <v>463</v>
      </c>
      <c r="D2084" s="8">
        <v>0.75</v>
      </c>
      <c r="E2084" s="8">
        <v>0.79166666666666663</v>
      </c>
      <c r="L2084" t="s">
        <v>563</v>
      </c>
      <c r="M2084" t="s">
        <v>478</v>
      </c>
      <c r="N2084" t="str">
        <f>Tabela_tudo[[#This Row],[Médico]]&amp;" ("&amp;Tabela_tudo[[#This Row],[Obs]]&amp;")"</f>
        <v>PJP ()</v>
      </c>
    </row>
    <row r="2085" spans="1:14" x14ac:dyDescent="0.3">
      <c r="A2085" s="1">
        <v>45594</v>
      </c>
      <c r="B2085" t="s">
        <v>50</v>
      </c>
      <c r="C2085" t="s">
        <v>463</v>
      </c>
      <c r="D2085" s="8">
        <v>0.75</v>
      </c>
      <c r="E2085" s="8">
        <v>0.79166666666666663</v>
      </c>
      <c r="L2085" t="s">
        <v>563</v>
      </c>
      <c r="M2085" t="s">
        <v>478</v>
      </c>
      <c r="N2085" t="str">
        <f>Tabela_tudo[[#This Row],[Médico]]&amp;" ("&amp;Tabela_tudo[[#This Row],[Obs]]&amp;")"</f>
        <v>PJP ()</v>
      </c>
    </row>
    <row r="2086" spans="1:14" x14ac:dyDescent="0.3">
      <c r="A2086" s="1">
        <v>45615</v>
      </c>
      <c r="B2086" t="s">
        <v>50</v>
      </c>
      <c r="C2086" t="s">
        <v>463</v>
      </c>
      <c r="D2086" s="8">
        <v>0.75</v>
      </c>
      <c r="E2086" s="8">
        <v>0.79166666666666663</v>
      </c>
      <c r="L2086" t="s">
        <v>563</v>
      </c>
      <c r="M2086" t="s">
        <v>478</v>
      </c>
      <c r="N2086" t="str">
        <f>Tabela_tudo[[#This Row],[Médico]]&amp;" ("&amp;Tabela_tudo[[#This Row],[Obs]]&amp;")"</f>
        <v>PJP ()</v>
      </c>
    </row>
    <row r="2087" spans="1:14" x14ac:dyDescent="0.3">
      <c r="A2087" s="1">
        <v>45608</v>
      </c>
      <c r="B2087" t="s">
        <v>50</v>
      </c>
      <c r="C2087" t="s">
        <v>463</v>
      </c>
      <c r="D2087" s="8">
        <v>0.75</v>
      </c>
      <c r="E2087" s="8">
        <v>0.79166666666666663</v>
      </c>
      <c r="L2087" t="s">
        <v>563</v>
      </c>
      <c r="M2087" t="s">
        <v>478</v>
      </c>
      <c r="N2087" t="str">
        <f>Tabela_tudo[[#This Row],[Médico]]&amp;" ("&amp;Tabela_tudo[[#This Row],[Obs]]&amp;")"</f>
        <v>PJP ()</v>
      </c>
    </row>
    <row r="2088" spans="1:14" x14ac:dyDescent="0.3">
      <c r="A2088" s="1">
        <v>45601</v>
      </c>
      <c r="B2088" t="s">
        <v>50</v>
      </c>
      <c r="C2088" t="s">
        <v>463</v>
      </c>
      <c r="D2088" s="8">
        <v>0.75</v>
      </c>
      <c r="E2088" s="8">
        <v>0.79166666666666663</v>
      </c>
      <c r="L2088" t="s">
        <v>563</v>
      </c>
      <c r="M2088" t="s">
        <v>478</v>
      </c>
      <c r="N2088" t="str">
        <f>Tabela_tudo[[#This Row],[Médico]]&amp;" ("&amp;Tabela_tudo[[#This Row],[Obs]]&amp;")"</f>
        <v>PJP ()</v>
      </c>
    </row>
    <row r="2089" spans="1:14" x14ac:dyDescent="0.3">
      <c r="A2089" s="1">
        <v>45538</v>
      </c>
      <c r="B2089" t="s">
        <v>50</v>
      </c>
      <c r="C2089" t="s">
        <v>463</v>
      </c>
      <c r="D2089" s="8">
        <v>0.75</v>
      </c>
      <c r="E2089" s="8">
        <v>0.79166666666666663</v>
      </c>
      <c r="L2089" t="s">
        <v>563</v>
      </c>
      <c r="M2089" t="s">
        <v>478</v>
      </c>
      <c r="N2089" t="str">
        <f>Tabela_tudo[[#This Row],[Médico]]&amp;" ("&amp;Tabela_tudo[[#This Row],[Obs]]&amp;")"</f>
        <v>PJP ()</v>
      </c>
    </row>
    <row r="2090" spans="1:14" x14ac:dyDescent="0.3">
      <c r="A2090" s="1">
        <v>45531</v>
      </c>
      <c r="B2090" t="s">
        <v>50</v>
      </c>
      <c r="C2090" t="s">
        <v>463</v>
      </c>
      <c r="D2090" s="8">
        <v>0.75</v>
      </c>
      <c r="E2090" s="8">
        <v>0.79166666666666663</v>
      </c>
      <c r="L2090" t="s">
        <v>563</v>
      </c>
      <c r="M2090" t="s">
        <v>478</v>
      </c>
      <c r="N2090" t="str">
        <f>Tabela_tudo[[#This Row],[Médico]]&amp;" ("&amp;Tabela_tudo[[#This Row],[Obs]]&amp;")"</f>
        <v>PJP ()</v>
      </c>
    </row>
    <row r="2091" spans="1:14" x14ac:dyDescent="0.3">
      <c r="A2091" s="1">
        <v>45524</v>
      </c>
      <c r="B2091" t="s">
        <v>50</v>
      </c>
      <c r="C2091" t="s">
        <v>463</v>
      </c>
      <c r="D2091" s="8">
        <v>0.75</v>
      </c>
      <c r="E2091" s="8">
        <v>0.79166666666666663</v>
      </c>
      <c r="L2091" t="s">
        <v>563</v>
      </c>
      <c r="M2091" t="s">
        <v>478</v>
      </c>
      <c r="N2091" t="str">
        <f>Tabela_tudo[[#This Row],[Médico]]&amp;" ("&amp;Tabela_tudo[[#This Row],[Obs]]&amp;")"</f>
        <v>PJP ()</v>
      </c>
    </row>
    <row r="2092" spans="1:14" x14ac:dyDescent="0.3">
      <c r="A2092" s="1">
        <v>45545</v>
      </c>
      <c r="B2092" t="s">
        <v>50</v>
      </c>
      <c r="C2092" t="s">
        <v>463</v>
      </c>
      <c r="D2092" s="8">
        <v>0.75</v>
      </c>
      <c r="E2092" s="8">
        <v>0.79166666666666663</v>
      </c>
      <c r="L2092" t="s">
        <v>563</v>
      </c>
      <c r="M2092" t="s">
        <v>478</v>
      </c>
      <c r="N2092" t="str">
        <f>Tabela_tudo[[#This Row],[Médico]]&amp;" ("&amp;Tabela_tudo[[#This Row],[Obs]]&amp;")"</f>
        <v>PJP ()</v>
      </c>
    </row>
    <row r="2093" spans="1:14" x14ac:dyDescent="0.3">
      <c r="A2093" s="1">
        <v>45566</v>
      </c>
      <c r="B2093" t="s">
        <v>50</v>
      </c>
      <c r="C2093" t="s">
        <v>463</v>
      </c>
      <c r="D2093" s="8">
        <v>0.75</v>
      </c>
      <c r="E2093" s="8">
        <v>0.79166666666666663</v>
      </c>
      <c r="L2093" t="s">
        <v>563</v>
      </c>
      <c r="M2093" t="s">
        <v>478</v>
      </c>
      <c r="N2093" t="str">
        <f>Tabela_tudo[[#This Row],[Médico]]&amp;" ("&amp;Tabela_tudo[[#This Row],[Obs]]&amp;")"</f>
        <v>PJP ()</v>
      </c>
    </row>
    <row r="2094" spans="1:14" x14ac:dyDescent="0.3">
      <c r="A2094" s="1">
        <v>45559</v>
      </c>
      <c r="B2094" t="s">
        <v>50</v>
      </c>
      <c r="C2094" t="s">
        <v>463</v>
      </c>
      <c r="D2094" s="8">
        <v>0.75</v>
      </c>
      <c r="E2094" s="8">
        <v>0.79166666666666663</v>
      </c>
      <c r="L2094" t="s">
        <v>563</v>
      </c>
      <c r="M2094" t="s">
        <v>478</v>
      </c>
      <c r="N2094" t="str">
        <f>Tabela_tudo[[#This Row],[Médico]]&amp;" ("&amp;Tabela_tudo[[#This Row],[Obs]]&amp;")"</f>
        <v>PJP ()</v>
      </c>
    </row>
    <row r="2095" spans="1:14" x14ac:dyDescent="0.3">
      <c r="A2095" s="1">
        <v>45552</v>
      </c>
      <c r="B2095" t="s">
        <v>50</v>
      </c>
      <c r="C2095" t="s">
        <v>463</v>
      </c>
      <c r="D2095" s="8">
        <v>0.75</v>
      </c>
      <c r="E2095" s="8">
        <v>0.79166666666666663</v>
      </c>
      <c r="L2095" t="s">
        <v>563</v>
      </c>
      <c r="M2095" t="s">
        <v>478</v>
      </c>
      <c r="N2095" t="str">
        <f>Tabela_tudo[[#This Row],[Médico]]&amp;" ("&amp;Tabela_tudo[[#This Row],[Obs]]&amp;")"</f>
        <v>PJP ()</v>
      </c>
    </row>
    <row r="2096" spans="1:14" x14ac:dyDescent="0.3">
      <c r="A2096" s="1">
        <v>45622</v>
      </c>
      <c r="B2096" t="s">
        <v>50</v>
      </c>
      <c r="C2096" t="s">
        <v>463</v>
      </c>
      <c r="D2096" s="8">
        <v>0.75</v>
      </c>
      <c r="E2096" s="8">
        <v>0.79166666666666663</v>
      </c>
      <c r="L2096" t="s">
        <v>563</v>
      </c>
      <c r="M2096" t="s">
        <v>478</v>
      </c>
      <c r="N2096" t="str">
        <f>Tabela_tudo[[#This Row],[Médico]]&amp;" ("&amp;Tabela_tudo[[#This Row],[Obs]]&amp;")"</f>
        <v>PJP ()</v>
      </c>
    </row>
    <row r="2097" spans="1:14" x14ac:dyDescent="0.3">
      <c r="A2097" s="1">
        <v>44964</v>
      </c>
      <c r="B2097" t="s">
        <v>47</v>
      </c>
      <c r="C2097" t="s">
        <v>463</v>
      </c>
      <c r="D2097" s="8">
        <v>0.75</v>
      </c>
      <c r="E2097" s="8">
        <v>0.79166666666666663</v>
      </c>
      <c r="L2097" t="s">
        <v>563</v>
      </c>
      <c r="M2097" t="s">
        <v>478</v>
      </c>
      <c r="N2097" t="str">
        <f>Tabela_tudo[[#This Row],[Médico]]&amp;" ("&amp;Tabela_tudo[[#This Row],[Obs]]&amp;")"</f>
        <v>VIN ()</v>
      </c>
    </row>
    <row r="2098" spans="1:14" x14ac:dyDescent="0.3">
      <c r="A2098" s="1">
        <v>44957</v>
      </c>
      <c r="B2098" t="s">
        <v>47</v>
      </c>
      <c r="C2098" t="s">
        <v>463</v>
      </c>
      <c r="D2098" s="8">
        <v>0.75</v>
      </c>
      <c r="E2098" s="8">
        <v>0.79166666666666663</v>
      </c>
      <c r="L2098" t="s">
        <v>563</v>
      </c>
      <c r="M2098" t="s">
        <v>478</v>
      </c>
      <c r="N2098" t="str">
        <f>Tabela_tudo[[#This Row],[Médico]]&amp;" ("&amp;Tabela_tudo[[#This Row],[Obs]]&amp;")"</f>
        <v>VIN ()</v>
      </c>
    </row>
    <row r="2099" spans="1:14" x14ac:dyDescent="0.3">
      <c r="A2099" s="1">
        <v>44950</v>
      </c>
      <c r="B2099" t="s">
        <v>47</v>
      </c>
      <c r="C2099" t="s">
        <v>463</v>
      </c>
      <c r="D2099" s="8">
        <v>0.75</v>
      </c>
      <c r="E2099" s="8">
        <v>0.79166666666666663</v>
      </c>
      <c r="L2099" t="s">
        <v>563</v>
      </c>
      <c r="M2099" t="s">
        <v>478</v>
      </c>
      <c r="N2099" t="str">
        <f>Tabela_tudo[[#This Row],[Médico]]&amp;" ("&amp;Tabela_tudo[[#This Row],[Obs]]&amp;")"</f>
        <v>VIN ()</v>
      </c>
    </row>
    <row r="2100" spans="1:14" x14ac:dyDescent="0.3">
      <c r="A2100" s="1">
        <v>44971</v>
      </c>
      <c r="B2100" t="s">
        <v>47</v>
      </c>
      <c r="C2100" t="s">
        <v>463</v>
      </c>
      <c r="D2100" s="8">
        <v>0.75</v>
      </c>
      <c r="E2100" s="8">
        <v>0.79166666666666663</v>
      </c>
      <c r="L2100" t="s">
        <v>563</v>
      </c>
      <c r="M2100" t="s">
        <v>478</v>
      </c>
      <c r="N2100" t="str">
        <f>Tabela_tudo[[#This Row],[Médico]]&amp;" ("&amp;Tabela_tudo[[#This Row],[Obs]]&amp;")"</f>
        <v>VIN ()</v>
      </c>
    </row>
    <row r="2101" spans="1:14" x14ac:dyDescent="0.3">
      <c r="A2101" s="1">
        <v>44992</v>
      </c>
      <c r="B2101" t="s">
        <v>47</v>
      </c>
      <c r="C2101" t="s">
        <v>463</v>
      </c>
      <c r="D2101" s="8">
        <v>0.75</v>
      </c>
      <c r="E2101" s="8">
        <v>0.79166666666666663</v>
      </c>
      <c r="L2101" t="s">
        <v>563</v>
      </c>
      <c r="M2101" t="s">
        <v>478</v>
      </c>
      <c r="N2101" t="str">
        <f>Tabela_tudo[[#This Row],[Médico]]&amp;" ("&amp;Tabela_tudo[[#This Row],[Obs]]&amp;")"</f>
        <v>VIN ()</v>
      </c>
    </row>
    <row r="2102" spans="1:14" x14ac:dyDescent="0.3">
      <c r="A2102" s="1">
        <v>44985</v>
      </c>
      <c r="B2102" t="s">
        <v>47</v>
      </c>
      <c r="C2102" t="s">
        <v>463</v>
      </c>
      <c r="D2102" s="8">
        <v>0.75</v>
      </c>
      <c r="E2102" s="8">
        <v>0.79166666666666663</v>
      </c>
      <c r="L2102" t="s">
        <v>563</v>
      </c>
      <c r="M2102" t="s">
        <v>478</v>
      </c>
      <c r="N2102" t="str">
        <f>Tabela_tudo[[#This Row],[Médico]]&amp;" ("&amp;Tabela_tudo[[#This Row],[Obs]]&amp;")"</f>
        <v>VIN ()</v>
      </c>
    </row>
    <row r="2103" spans="1:14" x14ac:dyDescent="0.3">
      <c r="A2103" s="1">
        <v>44978</v>
      </c>
      <c r="B2103" t="s">
        <v>47</v>
      </c>
      <c r="C2103" t="s">
        <v>463</v>
      </c>
      <c r="D2103" s="8">
        <v>0.75</v>
      </c>
      <c r="E2103" s="8">
        <v>0.79166666666666663</v>
      </c>
      <c r="L2103" t="s">
        <v>563</v>
      </c>
      <c r="M2103" t="s">
        <v>478</v>
      </c>
      <c r="N2103" t="str">
        <f>Tabela_tudo[[#This Row],[Médico]]&amp;" ("&amp;Tabela_tudo[[#This Row],[Obs]]&amp;")"</f>
        <v>VIN ()</v>
      </c>
    </row>
    <row r="2104" spans="1:14" x14ac:dyDescent="0.3">
      <c r="A2104" s="1">
        <v>45643</v>
      </c>
      <c r="B2104" t="s">
        <v>50</v>
      </c>
      <c r="C2104" t="s">
        <v>463</v>
      </c>
      <c r="D2104" s="8">
        <v>0.75</v>
      </c>
      <c r="E2104" s="8">
        <v>0.79166666666666663</v>
      </c>
      <c r="L2104" t="s">
        <v>563</v>
      </c>
      <c r="M2104" t="s">
        <v>478</v>
      </c>
      <c r="N2104" t="str">
        <f>Tabela_tudo[[#This Row],[Médico]]&amp;" ("&amp;Tabela_tudo[[#This Row],[Obs]]&amp;")"</f>
        <v>PJP ()</v>
      </c>
    </row>
    <row r="2105" spans="1:14" x14ac:dyDescent="0.3">
      <c r="A2105" s="1">
        <v>45636</v>
      </c>
      <c r="B2105" t="s">
        <v>50</v>
      </c>
      <c r="C2105" t="s">
        <v>463</v>
      </c>
      <c r="D2105" s="8">
        <v>0.75</v>
      </c>
      <c r="E2105" s="8">
        <v>0.79166666666666663</v>
      </c>
      <c r="L2105" t="s">
        <v>563</v>
      </c>
      <c r="M2105" t="s">
        <v>478</v>
      </c>
      <c r="N2105" t="str">
        <f>Tabela_tudo[[#This Row],[Médico]]&amp;" ("&amp;Tabela_tudo[[#This Row],[Obs]]&amp;")"</f>
        <v>PJP ()</v>
      </c>
    </row>
    <row r="2106" spans="1:14" x14ac:dyDescent="0.3">
      <c r="A2106" s="1">
        <v>45629</v>
      </c>
      <c r="B2106" t="s">
        <v>50</v>
      </c>
      <c r="C2106" t="s">
        <v>463</v>
      </c>
      <c r="D2106" s="8">
        <v>0.75</v>
      </c>
      <c r="E2106" s="8">
        <v>0.79166666666666663</v>
      </c>
      <c r="L2106" t="s">
        <v>563</v>
      </c>
      <c r="M2106" t="s">
        <v>478</v>
      </c>
      <c r="N2106" t="str">
        <f>Tabela_tudo[[#This Row],[Médico]]&amp;" ("&amp;Tabela_tudo[[#This Row],[Obs]]&amp;")"</f>
        <v>PJP ()</v>
      </c>
    </row>
    <row r="2107" spans="1:14" x14ac:dyDescent="0.3">
      <c r="A2107" s="1">
        <v>45650</v>
      </c>
      <c r="B2107" t="s">
        <v>50</v>
      </c>
      <c r="C2107" t="s">
        <v>463</v>
      </c>
      <c r="D2107" s="8">
        <v>0.75</v>
      </c>
      <c r="E2107" s="8">
        <v>0.79166666666666663</v>
      </c>
      <c r="L2107" t="s">
        <v>563</v>
      </c>
      <c r="M2107" t="s">
        <v>478</v>
      </c>
      <c r="N2107" t="str">
        <f>Tabela_tudo[[#This Row],[Médico]]&amp;" ("&amp;Tabela_tudo[[#This Row],[Obs]]&amp;")"</f>
        <v>PJP ()</v>
      </c>
    </row>
    <row r="2108" spans="1:14" x14ac:dyDescent="0.3">
      <c r="A2108" s="1">
        <v>44943</v>
      </c>
      <c r="B2108" t="s">
        <v>47</v>
      </c>
      <c r="C2108" t="s">
        <v>463</v>
      </c>
      <c r="D2108" s="8">
        <v>0.75</v>
      </c>
      <c r="E2108" s="8">
        <v>0.79166666666666663</v>
      </c>
      <c r="L2108" t="s">
        <v>563</v>
      </c>
      <c r="M2108" t="s">
        <v>478</v>
      </c>
      <c r="N2108" t="str">
        <f>Tabela_tudo[[#This Row],[Médico]]&amp;" ("&amp;Tabela_tudo[[#This Row],[Obs]]&amp;")"</f>
        <v>VIN ()</v>
      </c>
    </row>
    <row r="2109" spans="1:14" x14ac:dyDescent="0.3">
      <c r="A2109" s="1">
        <v>44936</v>
      </c>
      <c r="B2109" t="s">
        <v>47</v>
      </c>
      <c r="C2109" t="s">
        <v>463</v>
      </c>
      <c r="D2109" s="8">
        <v>0.75</v>
      </c>
      <c r="E2109" s="8">
        <v>0.79166666666666663</v>
      </c>
      <c r="L2109" t="s">
        <v>563</v>
      </c>
      <c r="M2109" t="s">
        <v>478</v>
      </c>
      <c r="N2109" t="str">
        <f>Tabela_tudo[[#This Row],[Médico]]&amp;" ("&amp;Tabela_tudo[[#This Row],[Obs]]&amp;")"</f>
        <v>VIN ()</v>
      </c>
    </row>
    <row r="2110" spans="1:14" x14ac:dyDescent="0.3">
      <c r="A2110" s="1">
        <v>44929</v>
      </c>
      <c r="B2110" t="s">
        <v>47</v>
      </c>
      <c r="C2110" t="s">
        <v>463</v>
      </c>
      <c r="D2110" s="8">
        <v>0.75</v>
      </c>
      <c r="E2110" s="8">
        <v>0.79166666666666663</v>
      </c>
      <c r="L2110" t="s">
        <v>563</v>
      </c>
      <c r="M2110" t="s">
        <v>478</v>
      </c>
      <c r="N2110" t="str">
        <f>Tabela_tudo[[#This Row],[Médico]]&amp;" ("&amp;Tabela_tudo[[#This Row],[Obs]]&amp;")"</f>
        <v>VIN ()</v>
      </c>
    </row>
    <row r="2111" spans="1:14" x14ac:dyDescent="0.3">
      <c r="A2111" s="1">
        <v>45090</v>
      </c>
      <c r="B2111" t="s">
        <v>50</v>
      </c>
      <c r="C2111" t="s">
        <v>463</v>
      </c>
      <c r="D2111" s="8">
        <v>0.75</v>
      </c>
      <c r="E2111" s="8">
        <v>0.79166666666666663</v>
      </c>
      <c r="L2111" t="s">
        <v>563</v>
      </c>
      <c r="M2111" t="s">
        <v>478</v>
      </c>
      <c r="N2111" t="str">
        <f>Tabela_tudo[[#This Row],[Médico]]&amp;" ("&amp;Tabela_tudo[[#This Row],[Obs]]&amp;")"</f>
        <v>PJP ()</v>
      </c>
    </row>
    <row r="2112" spans="1:14" x14ac:dyDescent="0.3">
      <c r="A2112" s="1">
        <v>45258</v>
      </c>
      <c r="B2112" t="s">
        <v>73</v>
      </c>
      <c r="C2112" t="s">
        <v>463</v>
      </c>
      <c r="D2112" s="8">
        <v>0.75</v>
      </c>
      <c r="E2112" s="8">
        <v>0.79166666666666663</v>
      </c>
      <c r="L2112" t="s">
        <v>563</v>
      </c>
      <c r="M2112" t="s">
        <v>478</v>
      </c>
      <c r="N2112" t="str">
        <f>Tabela_tudo[[#This Row],[Médico]]&amp;" ("&amp;Tabela_tudo[[#This Row],[Obs]]&amp;")"</f>
        <v>RT ()</v>
      </c>
    </row>
    <row r="2113" spans="1:14" x14ac:dyDescent="0.3">
      <c r="A2113" s="1">
        <v>45251</v>
      </c>
      <c r="B2113" t="s">
        <v>73</v>
      </c>
      <c r="C2113" t="s">
        <v>463</v>
      </c>
      <c r="D2113" s="8">
        <v>0.75</v>
      </c>
      <c r="E2113" s="8">
        <v>0.79166666666666663</v>
      </c>
      <c r="L2113" t="s">
        <v>563</v>
      </c>
      <c r="M2113" t="s">
        <v>478</v>
      </c>
      <c r="N2113" t="str">
        <f>Tabela_tudo[[#This Row],[Médico]]&amp;" ("&amp;Tabela_tudo[[#This Row],[Obs]]&amp;")"</f>
        <v>RT ()</v>
      </c>
    </row>
    <row r="2114" spans="1:14" x14ac:dyDescent="0.3">
      <c r="A2114" s="1">
        <v>45244</v>
      </c>
      <c r="B2114" t="s">
        <v>73</v>
      </c>
      <c r="C2114" t="s">
        <v>463</v>
      </c>
      <c r="D2114" s="8">
        <v>0.75</v>
      </c>
      <c r="E2114" s="8">
        <v>0.79166666666666663</v>
      </c>
      <c r="L2114" t="s">
        <v>563</v>
      </c>
      <c r="M2114" t="s">
        <v>478</v>
      </c>
      <c r="N2114" t="str">
        <f>Tabela_tudo[[#This Row],[Médico]]&amp;" ("&amp;Tabela_tudo[[#This Row],[Obs]]&amp;")"</f>
        <v>RT ()</v>
      </c>
    </row>
    <row r="2115" spans="1:14" x14ac:dyDescent="0.3">
      <c r="A2115" s="1">
        <v>45265</v>
      </c>
      <c r="B2115" t="s">
        <v>73</v>
      </c>
      <c r="C2115" t="s">
        <v>463</v>
      </c>
      <c r="D2115" s="8">
        <v>0.75</v>
      </c>
      <c r="E2115" s="8">
        <v>0.79166666666666663</v>
      </c>
      <c r="L2115" t="s">
        <v>563</v>
      </c>
      <c r="M2115" t="s">
        <v>478</v>
      </c>
      <c r="N2115" t="str">
        <f>Tabela_tudo[[#This Row],[Médico]]&amp;" ("&amp;Tabela_tudo[[#This Row],[Obs]]&amp;")"</f>
        <v>RT ()</v>
      </c>
    </row>
    <row r="2116" spans="1:14" x14ac:dyDescent="0.3">
      <c r="A2116" s="1">
        <v>45286</v>
      </c>
      <c r="B2116" t="s">
        <v>73</v>
      </c>
      <c r="C2116" t="s">
        <v>463</v>
      </c>
      <c r="D2116" s="8">
        <v>0.75</v>
      </c>
      <c r="E2116" s="8">
        <v>0.79166666666666663</v>
      </c>
      <c r="L2116" t="s">
        <v>563</v>
      </c>
      <c r="M2116" t="s">
        <v>478</v>
      </c>
      <c r="N2116" t="str">
        <f>Tabela_tudo[[#This Row],[Médico]]&amp;" ("&amp;Tabela_tudo[[#This Row],[Obs]]&amp;")"</f>
        <v>RT ()</v>
      </c>
    </row>
    <row r="2117" spans="1:14" x14ac:dyDescent="0.3">
      <c r="A2117" s="1">
        <v>45279</v>
      </c>
      <c r="B2117" t="s">
        <v>73</v>
      </c>
      <c r="C2117" t="s">
        <v>463</v>
      </c>
      <c r="D2117" s="8">
        <v>0.75</v>
      </c>
      <c r="E2117" s="8">
        <v>0.79166666666666663</v>
      </c>
      <c r="L2117" t="s">
        <v>563</v>
      </c>
      <c r="M2117" t="s">
        <v>478</v>
      </c>
      <c r="N2117" t="str">
        <f>Tabela_tudo[[#This Row],[Médico]]&amp;" ("&amp;Tabela_tudo[[#This Row],[Obs]]&amp;")"</f>
        <v>RT ()</v>
      </c>
    </row>
    <row r="2118" spans="1:14" x14ac:dyDescent="0.3">
      <c r="A2118" s="1">
        <v>45272</v>
      </c>
      <c r="B2118" t="s">
        <v>73</v>
      </c>
      <c r="C2118" t="s">
        <v>463</v>
      </c>
      <c r="D2118" s="8">
        <v>0.75</v>
      </c>
      <c r="E2118" s="8">
        <v>0.79166666666666663</v>
      </c>
      <c r="L2118" t="s">
        <v>563</v>
      </c>
      <c r="M2118" t="s">
        <v>478</v>
      </c>
      <c r="N2118" t="str">
        <f>Tabela_tudo[[#This Row],[Médico]]&amp;" ("&amp;Tabela_tudo[[#This Row],[Obs]]&amp;")"</f>
        <v>RT ()</v>
      </c>
    </row>
    <row r="2119" spans="1:14" x14ac:dyDescent="0.3">
      <c r="A2119" s="1">
        <v>45209</v>
      </c>
      <c r="B2119" t="s">
        <v>73</v>
      </c>
      <c r="C2119" t="s">
        <v>463</v>
      </c>
      <c r="D2119" s="8">
        <v>0.75</v>
      </c>
      <c r="E2119" s="8">
        <v>0.79166666666666663</v>
      </c>
      <c r="L2119" t="s">
        <v>563</v>
      </c>
      <c r="M2119" t="s">
        <v>478</v>
      </c>
      <c r="N2119" t="str">
        <f>Tabela_tudo[[#This Row],[Médico]]&amp;" ("&amp;Tabela_tudo[[#This Row],[Obs]]&amp;")"</f>
        <v>RT ()</v>
      </c>
    </row>
    <row r="2120" spans="1:14" x14ac:dyDescent="0.3">
      <c r="A2120" s="1">
        <v>45202</v>
      </c>
      <c r="B2120" t="s">
        <v>73</v>
      </c>
      <c r="C2120" t="s">
        <v>463</v>
      </c>
      <c r="D2120" s="8">
        <v>0.75</v>
      </c>
      <c r="E2120" s="8">
        <v>0.79166666666666663</v>
      </c>
      <c r="L2120" t="s">
        <v>563</v>
      </c>
      <c r="M2120" t="s">
        <v>478</v>
      </c>
      <c r="N2120" t="str">
        <f>Tabela_tudo[[#This Row],[Médico]]&amp;" ("&amp;Tabela_tudo[[#This Row],[Obs]]&amp;")"</f>
        <v>RT ()</v>
      </c>
    </row>
    <row r="2121" spans="1:14" x14ac:dyDescent="0.3">
      <c r="A2121" s="1">
        <v>45195</v>
      </c>
      <c r="B2121" t="s">
        <v>73</v>
      </c>
      <c r="C2121" t="s">
        <v>463</v>
      </c>
      <c r="D2121" s="8">
        <v>0.75</v>
      </c>
      <c r="E2121" s="8">
        <v>0.79166666666666663</v>
      </c>
      <c r="L2121" t="s">
        <v>563</v>
      </c>
      <c r="M2121" t="s">
        <v>478</v>
      </c>
      <c r="N2121" t="str">
        <f>Tabela_tudo[[#This Row],[Médico]]&amp;" ("&amp;Tabela_tudo[[#This Row],[Obs]]&amp;")"</f>
        <v>RT ()</v>
      </c>
    </row>
    <row r="2122" spans="1:14" x14ac:dyDescent="0.3">
      <c r="A2122" s="1">
        <v>45216</v>
      </c>
      <c r="B2122" t="s">
        <v>73</v>
      </c>
      <c r="C2122" t="s">
        <v>463</v>
      </c>
      <c r="D2122" s="8">
        <v>0.75</v>
      </c>
      <c r="E2122" s="8">
        <v>0.79166666666666663</v>
      </c>
      <c r="L2122" t="s">
        <v>563</v>
      </c>
      <c r="M2122" t="s">
        <v>478</v>
      </c>
      <c r="N2122" t="str">
        <f>Tabela_tudo[[#This Row],[Médico]]&amp;" ("&amp;Tabela_tudo[[#This Row],[Obs]]&amp;")"</f>
        <v>RT ()</v>
      </c>
    </row>
    <row r="2123" spans="1:14" x14ac:dyDescent="0.3">
      <c r="A2123" s="1">
        <v>45237</v>
      </c>
      <c r="B2123" t="s">
        <v>73</v>
      </c>
      <c r="C2123" t="s">
        <v>463</v>
      </c>
      <c r="D2123" s="8">
        <v>0.75</v>
      </c>
      <c r="E2123" s="8">
        <v>0.79166666666666663</v>
      </c>
      <c r="L2123" t="s">
        <v>563</v>
      </c>
      <c r="M2123" t="s">
        <v>478</v>
      </c>
      <c r="N2123" t="str">
        <f>Tabela_tudo[[#This Row],[Médico]]&amp;" ("&amp;Tabela_tudo[[#This Row],[Obs]]&amp;")"</f>
        <v>RT ()</v>
      </c>
    </row>
    <row r="2124" spans="1:14" x14ac:dyDescent="0.3">
      <c r="A2124" s="1">
        <v>45230</v>
      </c>
      <c r="B2124" t="s">
        <v>73</v>
      </c>
      <c r="C2124" t="s">
        <v>463</v>
      </c>
      <c r="D2124" s="8">
        <v>0.75</v>
      </c>
      <c r="E2124" s="8">
        <v>0.79166666666666663</v>
      </c>
      <c r="L2124" t="s">
        <v>563</v>
      </c>
      <c r="M2124" t="s">
        <v>478</v>
      </c>
      <c r="N2124" t="str">
        <f>Tabela_tudo[[#This Row],[Médico]]&amp;" ("&amp;Tabela_tudo[[#This Row],[Obs]]&amp;")"</f>
        <v>RT ()</v>
      </c>
    </row>
    <row r="2125" spans="1:14" x14ac:dyDescent="0.3">
      <c r="A2125" s="1">
        <v>45223</v>
      </c>
      <c r="B2125" t="s">
        <v>73</v>
      </c>
      <c r="C2125" t="s">
        <v>463</v>
      </c>
      <c r="D2125" s="8">
        <v>0.75</v>
      </c>
      <c r="E2125" s="8">
        <v>0.79166666666666663</v>
      </c>
      <c r="L2125" t="s">
        <v>563</v>
      </c>
      <c r="M2125" t="s">
        <v>478</v>
      </c>
      <c r="N2125" t="str">
        <f>Tabela_tudo[[#This Row],[Médico]]&amp;" ("&amp;Tabela_tudo[[#This Row],[Obs]]&amp;")"</f>
        <v>RT ()</v>
      </c>
    </row>
    <row r="2126" spans="1:14" x14ac:dyDescent="0.3">
      <c r="A2126" s="1">
        <v>45293</v>
      </c>
      <c r="B2126" t="s">
        <v>73</v>
      </c>
      <c r="C2126" t="s">
        <v>463</v>
      </c>
      <c r="D2126" s="8">
        <v>0.75</v>
      </c>
      <c r="E2126" s="8">
        <v>0.79166666666666663</v>
      </c>
      <c r="L2126" t="s">
        <v>563</v>
      </c>
      <c r="M2126" t="s">
        <v>478</v>
      </c>
      <c r="N2126" t="str">
        <f>Tabela_tudo[[#This Row],[Médico]]&amp;" ("&amp;Tabela_tudo[[#This Row],[Obs]]&amp;")"</f>
        <v>RT ()</v>
      </c>
    </row>
    <row r="2127" spans="1:14" x14ac:dyDescent="0.3">
      <c r="A2127" s="1">
        <v>45363</v>
      </c>
      <c r="B2127" t="s">
        <v>73</v>
      </c>
      <c r="C2127" t="s">
        <v>463</v>
      </c>
      <c r="D2127" s="8">
        <v>0.75</v>
      </c>
      <c r="E2127" s="8">
        <v>0.79166666666666663</v>
      </c>
      <c r="L2127" t="s">
        <v>563</v>
      </c>
      <c r="M2127" t="s">
        <v>478</v>
      </c>
      <c r="N2127" t="str">
        <f>Tabela_tudo[[#This Row],[Médico]]&amp;" ("&amp;Tabela_tudo[[#This Row],[Obs]]&amp;")"</f>
        <v>RT ()</v>
      </c>
    </row>
    <row r="2128" spans="1:14" x14ac:dyDescent="0.3">
      <c r="A2128" s="1">
        <v>45356</v>
      </c>
      <c r="B2128" t="s">
        <v>73</v>
      </c>
      <c r="C2128" t="s">
        <v>463</v>
      </c>
      <c r="D2128" s="8">
        <v>0.75</v>
      </c>
      <c r="E2128" s="8">
        <v>0.79166666666666663</v>
      </c>
      <c r="L2128" t="s">
        <v>563</v>
      </c>
      <c r="M2128" t="s">
        <v>478</v>
      </c>
      <c r="N2128" t="str">
        <f>Tabela_tudo[[#This Row],[Médico]]&amp;" ("&amp;Tabela_tudo[[#This Row],[Obs]]&amp;")"</f>
        <v>RT ()</v>
      </c>
    </row>
    <row r="2129" spans="1:14" x14ac:dyDescent="0.3">
      <c r="A2129" s="1">
        <v>45349</v>
      </c>
      <c r="B2129" t="s">
        <v>73</v>
      </c>
      <c r="C2129" t="s">
        <v>463</v>
      </c>
      <c r="D2129" s="8">
        <v>0.75</v>
      </c>
      <c r="E2129" s="8">
        <v>0.79166666666666663</v>
      </c>
      <c r="L2129" t="s">
        <v>563</v>
      </c>
      <c r="M2129" t="s">
        <v>478</v>
      </c>
      <c r="N2129" t="str">
        <f>Tabela_tudo[[#This Row],[Médico]]&amp;" ("&amp;Tabela_tudo[[#This Row],[Obs]]&amp;")"</f>
        <v>RT ()</v>
      </c>
    </row>
    <row r="2130" spans="1:14" x14ac:dyDescent="0.3">
      <c r="A2130" s="1">
        <v>45370</v>
      </c>
      <c r="B2130" t="s">
        <v>73</v>
      </c>
      <c r="C2130" t="s">
        <v>463</v>
      </c>
      <c r="D2130" s="8">
        <v>0.75</v>
      </c>
      <c r="E2130" s="8">
        <v>0.79166666666666663</v>
      </c>
      <c r="L2130" t="s">
        <v>563</v>
      </c>
      <c r="M2130" t="s">
        <v>478</v>
      </c>
      <c r="N2130" t="str">
        <f>Tabela_tudo[[#This Row],[Médico]]&amp;" ("&amp;Tabela_tudo[[#This Row],[Obs]]&amp;")"</f>
        <v>RT ()</v>
      </c>
    </row>
    <row r="2131" spans="1:14" x14ac:dyDescent="0.3">
      <c r="A2131" s="1">
        <v>45391</v>
      </c>
      <c r="B2131" t="s">
        <v>73</v>
      </c>
      <c r="C2131" t="s">
        <v>463</v>
      </c>
      <c r="D2131" s="8">
        <v>0.75</v>
      </c>
      <c r="E2131" s="8">
        <v>0.79166666666666663</v>
      </c>
      <c r="L2131" t="s">
        <v>563</v>
      </c>
      <c r="M2131" t="s">
        <v>478</v>
      </c>
      <c r="N2131" t="str">
        <f>Tabela_tudo[[#This Row],[Médico]]&amp;" ("&amp;Tabela_tudo[[#This Row],[Obs]]&amp;")"</f>
        <v>RT ()</v>
      </c>
    </row>
    <row r="2132" spans="1:14" x14ac:dyDescent="0.3">
      <c r="A2132" s="1">
        <v>45384</v>
      </c>
      <c r="B2132" t="s">
        <v>73</v>
      </c>
      <c r="C2132" t="s">
        <v>463</v>
      </c>
      <c r="D2132" s="8">
        <v>0.75</v>
      </c>
      <c r="E2132" s="8">
        <v>0.79166666666666663</v>
      </c>
      <c r="L2132" t="s">
        <v>563</v>
      </c>
      <c r="M2132" t="s">
        <v>478</v>
      </c>
      <c r="N2132" t="str">
        <f>Tabela_tudo[[#This Row],[Médico]]&amp;" ("&amp;Tabela_tudo[[#This Row],[Obs]]&amp;")"</f>
        <v>RT ()</v>
      </c>
    </row>
    <row r="2133" spans="1:14" x14ac:dyDescent="0.3">
      <c r="A2133" s="1">
        <v>45377</v>
      </c>
      <c r="B2133" t="s">
        <v>73</v>
      </c>
      <c r="C2133" t="s">
        <v>463</v>
      </c>
      <c r="D2133" s="8">
        <v>0.75</v>
      </c>
      <c r="E2133" s="8">
        <v>0.79166666666666663</v>
      </c>
      <c r="L2133" t="s">
        <v>563</v>
      </c>
      <c r="M2133" t="s">
        <v>478</v>
      </c>
      <c r="N2133" t="str">
        <f>Tabela_tudo[[#This Row],[Médico]]&amp;" ("&amp;Tabela_tudo[[#This Row],[Obs]]&amp;")"</f>
        <v>RT ()</v>
      </c>
    </row>
    <row r="2134" spans="1:14" x14ac:dyDescent="0.3">
      <c r="A2134" s="1">
        <v>45314</v>
      </c>
      <c r="B2134" t="s">
        <v>73</v>
      </c>
      <c r="C2134" t="s">
        <v>463</v>
      </c>
      <c r="D2134" s="8">
        <v>0.75</v>
      </c>
      <c r="E2134" s="8">
        <v>0.79166666666666663</v>
      </c>
      <c r="L2134" t="s">
        <v>563</v>
      </c>
      <c r="M2134" t="s">
        <v>478</v>
      </c>
      <c r="N2134" t="str">
        <f>Tabela_tudo[[#This Row],[Médico]]&amp;" ("&amp;Tabela_tudo[[#This Row],[Obs]]&amp;")"</f>
        <v>RT ()</v>
      </c>
    </row>
    <row r="2135" spans="1:14" x14ac:dyDescent="0.3">
      <c r="A2135" s="1">
        <v>45307</v>
      </c>
      <c r="B2135" t="s">
        <v>73</v>
      </c>
      <c r="C2135" t="s">
        <v>463</v>
      </c>
      <c r="D2135" s="8">
        <v>0.75</v>
      </c>
      <c r="E2135" s="8">
        <v>0.79166666666666663</v>
      </c>
      <c r="L2135" t="s">
        <v>563</v>
      </c>
      <c r="M2135" t="s">
        <v>478</v>
      </c>
      <c r="N2135" t="str">
        <f>Tabela_tudo[[#This Row],[Médico]]&amp;" ("&amp;Tabela_tudo[[#This Row],[Obs]]&amp;")"</f>
        <v>RT ()</v>
      </c>
    </row>
    <row r="2136" spans="1:14" x14ac:dyDescent="0.3">
      <c r="A2136" s="1">
        <v>45300</v>
      </c>
      <c r="B2136" t="s">
        <v>73</v>
      </c>
      <c r="C2136" t="s">
        <v>463</v>
      </c>
      <c r="D2136" s="8">
        <v>0.75</v>
      </c>
      <c r="E2136" s="8">
        <v>0.79166666666666663</v>
      </c>
      <c r="L2136" t="s">
        <v>563</v>
      </c>
      <c r="M2136" t="s">
        <v>478</v>
      </c>
      <c r="N2136" t="str">
        <f>Tabela_tudo[[#This Row],[Médico]]&amp;" ("&amp;Tabela_tudo[[#This Row],[Obs]]&amp;")"</f>
        <v>RT ()</v>
      </c>
    </row>
    <row r="2137" spans="1:14" x14ac:dyDescent="0.3">
      <c r="A2137" s="1">
        <v>45321</v>
      </c>
      <c r="B2137" t="s">
        <v>73</v>
      </c>
      <c r="C2137" t="s">
        <v>463</v>
      </c>
      <c r="D2137" s="8">
        <v>0.75</v>
      </c>
      <c r="E2137" s="8">
        <v>0.79166666666666663</v>
      </c>
      <c r="L2137" t="s">
        <v>563</v>
      </c>
      <c r="M2137" t="s">
        <v>478</v>
      </c>
      <c r="N2137" t="str">
        <f>Tabela_tudo[[#This Row],[Médico]]&amp;" ("&amp;Tabela_tudo[[#This Row],[Obs]]&amp;")"</f>
        <v>RT ()</v>
      </c>
    </row>
    <row r="2138" spans="1:14" x14ac:dyDescent="0.3">
      <c r="A2138" s="1">
        <v>45342</v>
      </c>
      <c r="B2138" t="s">
        <v>73</v>
      </c>
      <c r="C2138" t="s">
        <v>463</v>
      </c>
      <c r="D2138" s="8">
        <v>0.75</v>
      </c>
      <c r="E2138" s="8">
        <v>0.79166666666666663</v>
      </c>
      <c r="L2138" t="s">
        <v>563</v>
      </c>
      <c r="M2138" t="s">
        <v>478</v>
      </c>
      <c r="N2138" t="str">
        <f>Tabela_tudo[[#This Row],[Médico]]&amp;" ("&amp;Tabela_tudo[[#This Row],[Obs]]&amp;")"</f>
        <v>RT ()</v>
      </c>
    </row>
    <row r="2139" spans="1:14" x14ac:dyDescent="0.3">
      <c r="A2139" s="1">
        <v>45335</v>
      </c>
      <c r="B2139" t="s">
        <v>73</v>
      </c>
      <c r="C2139" t="s">
        <v>463</v>
      </c>
      <c r="D2139" s="8">
        <v>0.75</v>
      </c>
      <c r="E2139" s="8">
        <v>0.79166666666666663</v>
      </c>
      <c r="L2139" t="s">
        <v>563</v>
      </c>
      <c r="M2139" t="s">
        <v>478</v>
      </c>
      <c r="N2139" t="str">
        <f>Tabela_tudo[[#This Row],[Médico]]&amp;" ("&amp;Tabela_tudo[[#This Row],[Obs]]&amp;")"</f>
        <v>RT ()</v>
      </c>
    </row>
    <row r="2140" spans="1:14" x14ac:dyDescent="0.3">
      <c r="A2140" s="1">
        <v>45328</v>
      </c>
      <c r="B2140" t="s">
        <v>73</v>
      </c>
      <c r="C2140" t="s">
        <v>463</v>
      </c>
      <c r="D2140" s="8">
        <v>0.75</v>
      </c>
      <c r="E2140" s="8">
        <v>0.79166666666666663</v>
      </c>
      <c r="L2140" t="s">
        <v>563</v>
      </c>
      <c r="M2140" t="s">
        <v>478</v>
      </c>
      <c r="N2140" t="str">
        <f>Tabela_tudo[[#This Row],[Médico]]&amp;" ("&amp;Tabela_tudo[[#This Row],[Obs]]&amp;")"</f>
        <v>RT ()</v>
      </c>
    </row>
    <row r="2141" spans="1:14" x14ac:dyDescent="0.3">
      <c r="A2141" s="1">
        <v>45188</v>
      </c>
      <c r="B2141" t="s">
        <v>73</v>
      </c>
      <c r="C2141" t="s">
        <v>463</v>
      </c>
      <c r="D2141" s="8">
        <v>0.75</v>
      </c>
      <c r="E2141" s="8">
        <v>0.79166666666666663</v>
      </c>
      <c r="L2141" t="s">
        <v>563</v>
      </c>
      <c r="M2141" t="s">
        <v>478</v>
      </c>
      <c r="N2141" t="str">
        <f>Tabela_tudo[[#This Row],[Médico]]&amp;" ("&amp;Tabela_tudo[[#This Row],[Obs]]&amp;")"</f>
        <v>RT ()</v>
      </c>
    </row>
    <row r="2142" spans="1:14" x14ac:dyDescent="0.3">
      <c r="A2142" s="1">
        <v>45041</v>
      </c>
      <c r="B2142" t="s">
        <v>73</v>
      </c>
      <c r="C2142" t="s">
        <v>463</v>
      </c>
      <c r="D2142" s="8">
        <v>0.75</v>
      </c>
      <c r="E2142" s="8">
        <v>0.79166666666666663</v>
      </c>
      <c r="L2142" t="s">
        <v>563</v>
      </c>
      <c r="M2142" t="s">
        <v>478</v>
      </c>
      <c r="N2142" t="str">
        <f>Tabela_tudo[[#This Row],[Médico]]&amp;" ("&amp;Tabela_tudo[[#This Row],[Obs]]&amp;")"</f>
        <v>RT ()</v>
      </c>
    </row>
    <row r="2143" spans="1:14" x14ac:dyDescent="0.3">
      <c r="A2143" s="1">
        <v>45034</v>
      </c>
      <c r="B2143" t="s">
        <v>73</v>
      </c>
      <c r="C2143" t="s">
        <v>463</v>
      </c>
      <c r="D2143" s="8">
        <v>0.75</v>
      </c>
      <c r="E2143" s="8">
        <v>0.79166666666666663</v>
      </c>
      <c r="L2143" t="s">
        <v>563</v>
      </c>
      <c r="M2143" t="s">
        <v>478</v>
      </c>
      <c r="N2143" t="str">
        <f>Tabela_tudo[[#This Row],[Médico]]&amp;" ("&amp;Tabela_tudo[[#This Row],[Obs]]&amp;")"</f>
        <v>RT ()</v>
      </c>
    </row>
    <row r="2144" spans="1:14" x14ac:dyDescent="0.3">
      <c r="A2144" s="1">
        <v>45027</v>
      </c>
      <c r="B2144" t="s">
        <v>73</v>
      </c>
      <c r="C2144" t="s">
        <v>463</v>
      </c>
      <c r="D2144" s="8">
        <v>0.75</v>
      </c>
      <c r="E2144" s="8">
        <v>0.79166666666666663</v>
      </c>
      <c r="L2144" t="s">
        <v>563</v>
      </c>
      <c r="M2144" t="s">
        <v>478</v>
      </c>
      <c r="N2144" t="str">
        <f>Tabela_tudo[[#This Row],[Médico]]&amp;" ("&amp;Tabela_tudo[[#This Row],[Obs]]&amp;")"</f>
        <v>RT ()</v>
      </c>
    </row>
    <row r="2145" spans="1:14" x14ac:dyDescent="0.3">
      <c r="A2145" s="1">
        <v>45048</v>
      </c>
      <c r="B2145" t="s">
        <v>73</v>
      </c>
      <c r="C2145" t="s">
        <v>463</v>
      </c>
      <c r="D2145" s="8">
        <v>0.75</v>
      </c>
      <c r="E2145" s="8">
        <v>0.79166666666666663</v>
      </c>
      <c r="L2145" t="s">
        <v>563</v>
      </c>
      <c r="M2145" t="s">
        <v>478</v>
      </c>
      <c r="N2145" t="str">
        <f>Tabela_tudo[[#This Row],[Médico]]&amp;" ("&amp;Tabela_tudo[[#This Row],[Obs]]&amp;")"</f>
        <v>RT ()</v>
      </c>
    </row>
    <row r="2146" spans="1:14" x14ac:dyDescent="0.3">
      <c r="A2146" s="1">
        <v>45069</v>
      </c>
      <c r="B2146" t="s">
        <v>73</v>
      </c>
      <c r="C2146" t="s">
        <v>463</v>
      </c>
      <c r="D2146" s="8">
        <v>0.75</v>
      </c>
      <c r="E2146" s="8">
        <v>0.79166666666666663</v>
      </c>
      <c r="L2146" t="s">
        <v>563</v>
      </c>
      <c r="M2146" t="s">
        <v>478</v>
      </c>
      <c r="N2146" t="str">
        <f>Tabela_tudo[[#This Row],[Médico]]&amp;" ("&amp;Tabela_tudo[[#This Row],[Obs]]&amp;")"</f>
        <v>RT ()</v>
      </c>
    </row>
    <row r="2147" spans="1:14" x14ac:dyDescent="0.3">
      <c r="A2147" s="1">
        <v>45062</v>
      </c>
      <c r="B2147" t="s">
        <v>73</v>
      </c>
      <c r="C2147" t="s">
        <v>463</v>
      </c>
      <c r="D2147" s="8">
        <v>0.75</v>
      </c>
      <c r="E2147" s="8">
        <v>0.79166666666666663</v>
      </c>
      <c r="L2147" t="s">
        <v>563</v>
      </c>
      <c r="M2147" t="s">
        <v>478</v>
      </c>
      <c r="N2147" t="str">
        <f>Tabela_tudo[[#This Row],[Médico]]&amp;" ("&amp;Tabela_tudo[[#This Row],[Obs]]&amp;")"</f>
        <v>RT ()</v>
      </c>
    </row>
    <row r="2148" spans="1:14" x14ac:dyDescent="0.3">
      <c r="A2148" s="1">
        <v>45055</v>
      </c>
      <c r="B2148" t="s">
        <v>73</v>
      </c>
      <c r="C2148" t="s">
        <v>463</v>
      </c>
      <c r="D2148" s="8">
        <v>0.75</v>
      </c>
      <c r="E2148" s="8">
        <v>0.79166666666666663</v>
      </c>
      <c r="L2148" t="s">
        <v>563</v>
      </c>
      <c r="M2148" t="s">
        <v>478</v>
      </c>
      <c r="N2148" t="str">
        <f>Tabela_tudo[[#This Row],[Médico]]&amp;" ("&amp;Tabela_tudo[[#This Row],[Obs]]&amp;")"</f>
        <v>RT ()</v>
      </c>
    </row>
    <row r="2149" spans="1:14" x14ac:dyDescent="0.3">
      <c r="A2149" s="1">
        <v>44992</v>
      </c>
      <c r="B2149" t="s">
        <v>73</v>
      </c>
      <c r="C2149" t="s">
        <v>463</v>
      </c>
      <c r="D2149" s="8">
        <v>0.75</v>
      </c>
      <c r="E2149" s="8">
        <v>0.79166666666666663</v>
      </c>
      <c r="L2149" t="s">
        <v>563</v>
      </c>
      <c r="M2149" t="s">
        <v>478</v>
      </c>
      <c r="N2149" t="str">
        <f>Tabela_tudo[[#This Row],[Médico]]&amp;" ("&amp;Tabela_tudo[[#This Row],[Obs]]&amp;")"</f>
        <v>RT ()</v>
      </c>
    </row>
    <row r="2150" spans="1:14" x14ac:dyDescent="0.3">
      <c r="A2150" s="1">
        <v>44985</v>
      </c>
      <c r="B2150" t="s">
        <v>73</v>
      </c>
      <c r="C2150" t="s">
        <v>463</v>
      </c>
      <c r="D2150" s="8">
        <v>0.75</v>
      </c>
      <c r="E2150" s="8">
        <v>0.79166666666666663</v>
      </c>
      <c r="L2150" t="s">
        <v>563</v>
      </c>
      <c r="M2150" t="s">
        <v>478</v>
      </c>
      <c r="N2150" t="str">
        <f>Tabela_tudo[[#This Row],[Médico]]&amp;" ("&amp;Tabela_tudo[[#This Row],[Obs]]&amp;")"</f>
        <v>RT ()</v>
      </c>
    </row>
    <row r="2151" spans="1:14" x14ac:dyDescent="0.3">
      <c r="A2151" s="1">
        <v>44978</v>
      </c>
      <c r="B2151" t="s">
        <v>73</v>
      </c>
      <c r="C2151" t="s">
        <v>463</v>
      </c>
      <c r="D2151" s="8">
        <v>0.75</v>
      </c>
      <c r="E2151" s="8">
        <v>0.79166666666666663</v>
      </c>
      <c r="L2151" t="s">
        <v>563</v>
      </c>
      <c r="M2151" t="s">
        <v>478</v>
      </c>
      <c r="N2151" t="str">
        <f>Tabela_tudo[[#This Row],[Médico]]&amp;" ("&amp;Tabela_tudo[[#This Row],[Obs]]&amp;")"</f>
        <v>RT ()</v>
      </c>
    </row>
    <row r="2152" spans="1:14" x14ac:dyDescent="0.3">
      <c r="A2152" s="1">
        <v>44999</v>
      </c>
      <c r="B2152" t="s">
        <v>73</v>
      </c>
      <c r="C2152" t="s">
        <v>463</v>
      </c>
      <c r="D2152" s="8">
        <v>0.75</v>
      </c>
      <c r="E2152" s="8">
        <v>0.79166666666666663</v>
      </c>
      <c r="L2152" t="s">
        <v>563</v>
      </c>
      <c r="M2152" t="s">
        <v>478</v>
      </c>
      <c r="N2152" t="str">
        <f>Tabela_tudo[[#This Row],[Médico]]&amp;" ("&amp;Tabela_tudo[[#This Row],[Obs]]&amp;")"</f>
        <v>RT ()</v>
      </c>
    </row>
    <row r="2153" spans="1:14" x14ac:dyDescent="0.3">
      <c r="A2153" s="1">
        <v>45020</v>
      </c>
      <c r="B2153" t="s">
        <v>73</v>
      </c>
      <c r="C2153" t="s">
        <v>463</v>
      </c>
      <c r="D2153" s="8">
        <v>0.75</v>
      </c>
      <c r="E2153" s="8">
        <v>0.79166666666666663</v>
      </c>
      <c r="L2153" t="s">
        <v>563</v>
      </c>
      <c r="M2153" t="s">
        <v>478</v>
      </c>
      <c r="N2153" t="str">
        <f>Tabela_tudo[[#This Row],[Médico]]&amp;" ("&amp;Tabela_tudo[[#This Row],[Obs]]&amp;")"</f>
        <v>RT ()</v>
      </c>
    </row>
    <row r="2154" spans="1:14" x14ac:dyDescent="0.3">
      <c r="A2154" s="1">
        <v>45013</v>
      </c>
      <c r="B2154" t="s">
        <v>73</v>
      </c>
      <c r="C2154" t="s">
        <v>463</v>
      </c>
      <c r="D2154" s="8">
        <v>0.75</v>
      </c>
      <c r="E2154" s="8">
        <v>0.79166666666666663</v>
      </c>
      <c r="L2154" t="s">
        <v>563</v>
      </c>
      <c r="M2154" t="s">
        <v>478</v>
      </c>
      <c r="N2154" t="str">
        <f>Tabela_tudo[[#This Row],[Médico]]&amp;" ("&amp;Tabela_tudo[[#This Row],[Obs]]&amp;")"</f>
        <v>RT ()</v>
      </c>
    </row>
    <row r="2155" spans="1:14" x14ac:dyDescent="0.3">
      <c r="A2155" s="1">
        <v>45006</v>
      </c>
      <c r="B2155" t="s">
        <v>73</v>
      </c>
      <c r="C2155" t="s">
        <v>463</v>
      </c>
      <c r="D2155" s="8">
        <v>0.75</v>
      </c>
      <c r="E2155" s="8">
        <v>0.79166666666666663</v>
      </c>
      <c r="L2155" t="s">
        <v>563</v>
      </c>
      <c r="M2155" t="s">
        <v>478</v>
      </c>
      <c r="N2155" t="str">
        <f>Tabela_tudo[[#This Row],[Médico]]&amp;" ("&amp;Tabela_tudo[[#This Row],[Obs]]&amp;")"</f>
        <v>RT ()</v>
      </c>
    </row>
    <row r="2156" spans="1:14" x14ac:dyDescent="0.3">
      <c r="A2156" s="1">
        <v>45076</v>
      </c>
      <c r="B2156" t="s">
        <v>73</v>
      </c>
      <c r="C2156" t="s">
        <v>463</v>
      </c>
      <c r="D2156" s="8">
        <v>0.75</v>
      </c>
      <c r="E2156" s="8">
        <v>0.79166666666666663</v>
      </c>
      <c r="L2156" t="s">
        <v>563</v>
      </c>
      <c r="M2156" t="s">
        <v>478</v>
      </c>
      <c r="N2156" t="str">
        <f>Tabela_tudo[[#This Row],[Médico]]&amp;" ("&amp;Tabela_tudo[[#This Row],[Obs]]&amp;")"</f>
        <v>RT ()</v>
      </c>
    </row>
    <row r="2157" spans="1:14" x14ac:dyDescent="0.3">
      <c r="A2157" s="1">
        <v>45146</v>
      </c>
      <c r="B2157" t="s">
        <v>73</v>
      </c>
      <c r="C2157" t="s">
        <v>463</v>
      </c>
      <c r="D2157" s="8">
        <v>0.75</v>
      </c>
      <c r="E2157" s="8">
        <v>0.79166666666666663</v>
      </c>
      <c r="L2157" t="s">
        <v>563</v>
      </c>
      <c r="M2157" t="s">
        <v>478</v>
      </c>
      <c r="N2157" t="str">
        <f>Tabela_tudo[[#This Row],[Médico]]&amp;" ("&amp;Tabela_tudo[[#This Row],[Obs]]&amp;")"</f>
        <v>RT ()</v>
      </c>
    </row>
    <row r="2158" spans="1:14" x14ac:dyDescent="0.3">
      <c r="A2158" s="1">
        <v>45139</v>
      </c>
      <c r="B2158" t="s">
        <v>73</v>
      </c>
      <c r="C2158" t="s">
        <v>463</v>
      </c>
      <c r="D2158" s="8">
        <v>0.75</v>
      </c>
      <c r="E2158" s="8">
        <v>0.79166666666666663</v>
      </c>
      <c r="L2158" t="s">
        <v>563</v>
      </c>
      <c r="M2158" t="s">
        <v>478</v>
      </c>
      <c r="N2158" t="str">
        <f>Tabela_tudo[[#This Row],[Médico]]&amp;" ("&amp;Tabela_tudo[[#This Row],[Obs]]&amp;")"</f>
        <v>RT ()</v>
      </c>
    </row>
    <row r="2159" spans="1:14" x14ac:dyDescent="0.3">
      <c r="A2159" s="1">
        <v>45132</v>
      </c>
      <c r="B2159" t="s">
        <v>73</v>
      </c>
      <c r="C2159" t="s">
        <v>463</v>
      </c>
      <c r="D2159" s="8">
        <v>0.75</v>
      </c>
      <c r="E2159" s="8">
        <v>0.79166666666666663</v>
      </c>
      <c r="L2159" t="s">
        <v>563</v>
      </c>
      <c r="M2159" t="s">
        <v>478</v>
      </c>
      <c r="N2159" t="str">
        <f>Tabela_tudo[[#This Row],[Médico]]&amp;" ("&amp;Tabela_tudo[[#This Row],[Obs]]&amp;")"</f>
        <v>RT ()</v>
      </c>
    </row>
    <row r="2160" spans="1:14" x14ac:dyDescent="0.3">
      <c r="A2160" s="1">
        <v>45153</v>
      </c>
      <c r="B2160" t="s">
        <v>73</v>
      </c>
      <c r="C2160" t="s">
        <v>463</v>
      </c>
      <c r="D2160" s="8">
        <v>0.75</v>
      </c>
      <c r="E2160" s="8">
        <v>0.79166666666666663</v>
      </c>
      <c r="L2160" t="s">
        <v>563</v>
      </c>
      <c r="M2160" t="s">
        <v>478</v>
      </c>
      <c r="N2160" t="str">
        <f>Tabela_tudo[[#This Row],[Médico]]&amp;" ("&amp;Tabela_tudo[[#This Row],[Obs]]&amp;")"</f>
        <v>RT ()</v>
      </c>
    </row>
    <row r="2161" spans="1:14" x14ac:dyDescent="0.3">
      <c r="A2161" s="1">
        <v>45181</v>
      </c>
      <c r="B2161" t="s">
        <v>73</v>
      </c>
      <c r="C2161" t="s">
        <v>463</v>
      </c>
      <c r="D2161" s="8">
        <v>0.75</v>
      </c>
      <c r="E2161" s="8">
        <v>0.79166666666666663</v>
      </c>
      <c r="L2161" t="s">
        <v>563</v>
      </c>
      <c r="M2161" t="s">
        <v>478</v>
      </c>
      <c r="N2161" t="str">
        <f>Tabela_tudo[[#This Row],[Médico]]&amp;" ("&amp;Tabela_tudo[[#This Row],[Obs]]&amp;")"</f>
        <v>RT ()</v>
      </c>
    </row>
    <row r="2162" spans="1:14" x14ac:dyDescent="0.3">
      <c r="A2162" s="1">
        <v>45167</v>
      </c>
      <c r="B2162" t="s">
        <v>73</v>
      </c>
      <c r="C2162" t="s">
        <v>463</v>
      </c>
      <c r="D2162" s="8">
        <v>0.75</v>
      </c>
      <c r="E2162" s="8">
        <v>0.79166666666666663</v>
      </c>
      <c r="L2162" t="s">
        <v>563</v>
      </c>
      <c r="M2162" t="s">
        <v>478</v>
      </c>
      <c r="N2162" t="str">
        <f>Tabela_tudo[[#This Row],[Médico]]&amp;" ("&amp;Tabela_tudo[[#This Row],[Obs]]&amp;")"</f>
        <v>RT ()</v>
      </c>
    </row>
    <row r="2163" spans="1:14" x14ac:dyDescent="0.3">
      <c r="A2163" s="1">
        <v>45160</v>
      </c>
      <c r="B2163" t="s">
        <v>73</v>
      </c>
      <c r="C2163" t="s">
        <v>463</v>
      </c>
      <c r="D2163" s="8">
        <v>0.75</v>
      </c>
      <c r="E2163" s="8">
        <v>0.79166666666666663</v>
      </c>
      <c r="L2163" t="s">
        <v>563</v>
      </c>
      <c r="M2163" t="s">
        <v>478</v>
      </c>
      <c r="N2163" t="str">
        <f>Tabela_tudo[[#This Row],[Médico]]&amp;" ("&amp;Tabela_tudo[[#This Row],[Obs]]&amp;")"</f>
        <v>RT ()</v>
      </c>
    </row>
    <row r="2164" spans="1:14" x14ac:dyDescent="0.3">
      <c r="A2164" s="1">
        <v>45097</v>
      </c>
      <c r="B2164" t="s">
        <v>73</v>
      </c>
      <c r="C2164" t="s">
        <v>463</v>
      </c>
      <c r="D2164" s="8">
        <v>0.75</v>
      </c>
      <c r="E2164" s="8">
        <v>0.79166666666666663</v>
      </c>
      <c r="L2164" t="s">
        <v>563</v>
      </c>
      <c r="M2164" t="s">
        <v>478</v>
      </c>
      <c r="N2164" t="str">
        <f>Tabela_tudo[[#This Row],[Médico]]&amp;" ("&amp;Tabela_tudo[[#This Row],[Obs]]&amp;")"</f>
        <v>RT ()</v>
      </c>
    </row>
    <row r="2165" spans="1:14" x14ac:dyDescent="0.3">
      <c r="A2165" s="1">
        <v>45090</v>
      </c>
      <c r="B2165" t="s">
        <v>73</v>
      </c>
      <c r="C2165" t="s">
        <v>463</v>
      </c>
      <c r="D2165" s="8">
        <v>0.75</v>
      </c>
      <c r="E2165" s="8">
        <v>0.79166666666666663</v>
      </c>
      <c r="L2165" t="s">
        <v>563</v>
      </c>
      <c r="M2165" t="s">
        <v>478</v>
      </c>
      <c r="N2165" t="str">
        <f>Tabela_tudo[[#This Row],[Médico]]&amp;" ("&amp;Tabela_tudo[[#This Row],[Obs]]&amp;")"</f>
        <v>RT ()</v>
      </c>
    </row>
    <row r="2166" spans="1:14" x14ac:dyDescent="0.3">
      <c r="A2166" s="1">
        <v>45083</v>
      </c>
      <c r="B2166" t="s">
        <v>73</v>
      </c>
      <c r="C2166" t="s">
        <v>463</v>
      </c>
      <c r="D2166" s="8">
        <v>0.75</v>
      </c>
      <c r="E2166" s="8">
        <v>0.79166666666666663</v>
      </c>
      <c r="L2166" t="s">
        <v>563</v>
      </c>
      <c r="M2166" t="s">
        <v>478</v>
      </c>
      <c r="N2166" t="str">
        <f>Tabela_tudo[[#This Row],[Médico]]&amp;" ("&amp;Tabela_tudo[[#This Row],[Obs]]&amp;")"</f>
        <v>RT ()</v>
      </c>
    </row>
    <row r="2167" spans="1:14" x14ac:dyDescent="0.3">
      <c r="A2167" s="1">
        <v>45104</v>
      </c>
      <c r="B2167" t="s">
        <v>73</v>
      </c>
      <c r="C2167" t="s">
        <v>463</v>
      </c>
      <c r="D2167" s="8">
        <v>0.75</v>
      </c>
      <c r="E2167" s="8">
        <v>0.79166666666666663</v>
      </c>
      <c r="L2167" t="s">
        <v>563</v>
      </c>
      <c r="M2167" t="s">
        <v>478</v>
      </c>
      <c r="N2167" t="str">
        <f>Tabela_tudo[[#This Row],[Médico]]&amp;" ("&amp;Tabela_tudo[[#This Row],[Obs]]&amp;")"</f>
        <v>RT ()</v>
      </c>
    </row>
    <row r="2168" spans="1:14" x14ac:dyDescent="0.3">
      <c r="A2168" s="1">
        <v>45125</v>
      </c>
      <c r="B2168" t="s">
        <v>73</v>
      </c>
      <c r="C2168" t="s">
        <v>463</v>
      </c>
      <c r="D2168" s="8">
        <v>0.75</v>
      </c>
      <c r="E2168" s="8">
        <v>0.79166666666666663</v>
      </c>
      <c r="L2168" t="s">
        <v>563</v>
      </c>
      <c r="M2168" t="s">
        <v>478</v>
      </c>
      <c r="N2168" t="str">
        <f>Tabela_tudo[[#This Row],[Médico]]&amp;" ("&amp;Tabela_tudo[[#This Row],[Obs]]&amp;")"</f>
        <v>RT ()</v>
      </c>
    </row>
    <row r="2169" spans="1:14" x14ac:dyDescent="0.3">
      <c r="A2169" s="1">
        <v>45118</v>
      </c>
      <c r="B2169" t="s">
        <v>73</v>
      </c>
      <c r="C2169" t="s">
        <v>463</v>
      </c>
      <c r="D2169" s="8">
        <v>0.75</v>
      </c>
      <c r="E2169" s="8">
        <v>0.79166666666666663</v>
      </c>
      <c r="L2169" t="s">
        <v>563</v>
      </c>
      <c r="M2169" t="s">
        <v>478</v>
      </c>
      <c r="N2169" t="str">
        <f>Tabela_tudo[[#This Row],[Médico]]&amp;" ("&amp;Tabela_tudo[[#This Row],[Obs]]&amp;")"</f>
        <v>RT ()</v>
      </c>
    </row>
    <row r="2170" spans="1:14" x14ac:dyDescent="0.3">
      <c r="A2170" s="1">
        <v>45111</v>
      </c>
      <c r="B2170" t="s">
        <v>73</v>
      </c>
      <c r="C2170" t="s">
        <v>463</v>
      </c>
      <c r="D2170" s="8">
        <v>0.75</v>
      </c>
      <c r="E2170" s="8">
        <v>0.79166666666666663</v>
      </c>
      <c r="L2170" t="s">
        <v>563</v>
      </c>
      <c r="M2170" t="s">
        <v>478</v>
      </c>
      <c r="N2170" t="str">
        <f>Tabela_tudo[[#This Row],[Médico]]&amp;" ("&amp;Tabela_tudo[[#This Row],[Obs]]&amp;")"</f>
        <v>RT ()</v>
      </c>
    </row>
    <row r="2171" spans="1:14" x14ac:dyDescent="0.3">
      <c r="A2171" s="1">
        <v>45398</v>
      </c>
      <c r="B2171" t="s">
        <v>73</v>
      </c>
      <c r="C2171" t="s">
        <v>463</v>
      </c>
      <c r="D2171" s="8">
        <v>0.75</v>
      </c>
      <c r="E2171" s="8">
        <v>0.79166666666666663</v>
      </c>
      <c r="L2171" t="s">
        <v>563</v>
      </c>
      <c r="M2171" t="s">
        <v>478</v>
      </c>
      <c r="N2171" t="str">
        <f>Tabela_tudo[[#This Row],[Médico]]&amp;" ("&amp;Tabela_tudo[[#This Row],[Obs]]&amp;")"</f>
        <v>RT ()</v>
      </c>
    </row>
    <row r="2172" spans="1:14" x14ac:dyDescent="0.3">
      <c r="A2172" s="1">
        <v>44950</v>
      </c>
      <c r="B2172" t="s">
        <v>50</v>
      </c>
      <c r="C2172" t="s">
        <v>463</v>
      </c>
      <c r="D2172" s="8">
        <v>0.75</v>
      </c>
      <c r="E2172" s="8">
        <v>0.79166666666666663</v>
      </c>
      <c r="L2172" t="s">
        <v>563</v>
      </c>
      <c r="M2172" t="s">
        <v>478</v>
      </c>
      <c r="N2172" t="str">
        <f>Tabela_tudo[[#This Row],[Médico]]&amp;" ("&amp;Tabela_tudo[[#This Row],[Obs]]&amp;")"</f>
        <v>PJP ()</v>
      </c>
    </row>
    <row r="2173" spans="1:14" x14ac:dyDescent="0.3">
      <c r="A2173" s="1">
        <v>44943</v>
      </c>
      <c r="B2173" t="s">
        <v>50</v>
      </c>
      <c r="C2173" t="s">
        <v>463</v>
      </c>
      <c r="D2173" s="8">
        <v>0.75</v>
      </c>
      <c r="E2173" s="8">
        <v>0.79166666666666663</v>
      </c>
      <c r="L2173" t="s">
        <v>563</v>
      </c>
      <c r="M2173" t="s">
        <v>478</v>
      </c>
      <c r="N2173" t="str">
        <f>Tabela_tudo[[#This Row],[Médico]]&amp;" ("&amp;Tabela_tudo[[#This Row],[Obs]]&amp;")"</f>
        <v>PJP ()</v>
      </c>
    </row>
    <row r="2174" spans="1:14" x14ac:dyDescent="0.3">
      <c r="A2174" s="1">
        <v>44936</v>
      </c>
      <c r="B2174" t="s">
        <v>50</v>
      </c>
      <c r="C2174" t="s">
        <v>463</v>
      </c>
      <c r="D2174" s="8">
        <v>0.75</v>
      </c>
      <c r="E2174" s="8">
        <v>0.79166666666666663</v>
      </c>
      <c r="L2174" t="s">
        <v>563</v>
      </c>
      <c r="M2174" t="s">
        <v>478</v>
      </c>
      <c r="N2174" t="str">
        <f>Tabela_tudo[[#This Row],[Médico]]&amp;" ("&amp;Tabela_tudo[[#This Row],[Obs]]&amp;")"</f>
        <v>PJP ()</v>
      </c>
    </row>
    <row r="2175" spans="1:14" x14ac:dyDescent="0.3">
      <c r="A2175" s="1">
        <v>44957</v>
      </c>
      <c r="B2175" t="s">
        <v>50</v>
      </c>
      <c r="C2175" t="s">
        <v>463</v>
      </c>
      <c r="D2175" s="8">
        <v>0.75</v>
      </c>
      <c r="E2175" s="8">
        <v>0.79166666666666663</v>
      </c>
      <c r="L2175" t="s">
        <v>563</v>
      </c>
      <c r="M2175" t="s">
        <v>478</v>
      </c>
      <c r="N2175" t="str">
        <f>Tabela_tudo[[#This Row],[Médico]]&amp;" ("&amp;Tabela_tudo[[#This Row],[Obs]]&amp;")"</f>
        <v>PJP ()</v>
      </c>
    </row>
    <row r="2176" spans="1:14" x14ac:dyDescent="0.3">
      <c r="A2176" s="1">
        <v>44978</v>
      </c>
      <c r="B2176" t="s">
        <v>50</v>
      </c>
      <c r="C2176" t="s">
        <v>463</v>
      </c>
      <c r="D2176" s="8">
        <v>0.75</v>
      </c>
      <c r="E2176" s="8">
        <v>0.79166666666666663</v>
      </c>
      <c r="L2176" t="s">
        <v>563</v>
      </c>
      <c r="M2176" t="s">
        <v>478</v>
      </c>
      <c r="N2176" t="str">
        <f>Tabela_tudo[[#This Row],[Médico]]&amp;" ("&amp;Tabela_tudo[[#This Row],[Obs]]&amp;")"</f>
        <v>PJP ()</v>
      </c>
    </row>
    <row r="2177" spans="1:14" x14ac:dyDescent="0.3">
      <c r="A2177" s="1">
        <v>44971</v>
      </c>
      <c r="B2177" t="s">
        <v>50</v>
      </c>
      <c r="C2177" t="s">
        <v>463</v>
      </c>
      <c r="D2177" s="8">
        <v>0.75</v>
      </c>
      <c r="E2177" s="8">
        <v>0.79166666666666663</v>
      </c>
      <c r="L2177" t="s">
        <v>563</v>
      </c>
      <c r="M2177" t="s">
        <v>478</v>
      </c>
      <c r="N2177" t="str">
        <f>Tabela_tudo[[#This Row],[Médico]]&amp;" ("&amp;Tabela_tudo[[#This Row],[Obs]]&amp;")"</f>
        <v>PJP ()</v>
      </c>
    </row>
    <row r="2178" spans="1:14" x14ac:dyDescent="0.3">
      <c r="A2178" s="1">
        <v>44964</v>
      </c>
      <c r="B2178" t="s">
        <v>50</v>
      </c>
      <c r="C2178" t="s">
        <v>463</v>
      </c>
      <c r="D2178" s="8">
        <v>0.75</v>
      </c>
      <c r="E2178" s="8">
        <v>0.79166666666666663</v>
      </c>
      <c r="L2178" t="s">
        <v>563</v>
      </c>
      <c r="M2178" t="s">
        <v>478</v>
      </c>
      <c r="N2178" t="str">
        <f>Tabela_tudo[[#This Row],[Médico]]&amp;" ("&amp;Tabela_tudo[[#This Row],[Obs]]&amp;")"</f>
        <v>PJP ()</v>
      </c>
    </row>
    <row r="2179" spans="1:14" x14ac:dyDescent="0.3">
      <c r="A2179" s="1">
        <v>45629</v>
      </c>
      <c r="B2179" t="s">
        <v>73</v>
      </c>
      <c r="C2179" t="s">
        <v>463</v>
      </c>
      <c r="D2179" s="8">
        <v>0.75</v>
      </c>
      <c r="E2179" s="8">
        <v>0.79166666666666663</v>
      </c>
      <c r="L2179" t="s">
        <v>563</v>
      </c>
      <c r="M2179" t="s">
        <v>478</v>
      </c>
      <c r="N2179" t="str">
        <f>Tabela_tudo[[#This Row],[Médico]]&amp;" ("&amp;Tabela_tudo[[#This Row],[Obs]]&amp;")"</f>
        <v>RT ()</v>
      </c>
    </row>
    <row r="2180" spans="1:14" x14ac:dyDescent="0.3">
      <c r="A2180" s="1">
        <v>45622</v>
      </c>
      <c r="B2180" t="s">
        <v>73</v>
      </c>
      <c r="C2180" t="s">
        <v>463</v>
      </c>
      <c r="D2180" s="8">
        <v>0.75</v>
      </c>
      <c r="E2180" s="8">
        <v>0.79166666666666663</v>
      </c>
      <c r="L2180" t="s">
        <v>563</v>
      </c>
      <c r="M2180" t="s">
        <v>478</v>
      </c>
      <c r="N2180" t="str">
        <f>Tabela_tudo[[#This Row],[Médico]]&amp;" ("&amp;Tabela_tudo[[#This Row],[Obs]]&amp;")"</f>
        <v>RT ()</v>
      </c>
    </row>
    <row r="2181" spans="1:14" x14ac:dyDescent="0.3">
      <c r="A2181" s="1">
        <v>45615</v>
      </c>
      <c r="B2181" t="s">
        <v>73</v>
      </c>
      <c r="C2181" t="s">
        <v>463</v>
      </c>
      <c r="D2181" s="8">
        <v>0.75</v>
      </c>
      <c r="E2181" s="8">
        <v>0.79166666666666663</v>
      </c>
      <c r="L2181" t="s">
        <v>563</v>
      </c>
      <c r="M2181" t="s">
        <v>478</v>
      </c>
      <c r="N2181" t="str">
        <f>Tabela_tudo[[#This Row],[Médico]]&amp;" ("&amp;Tabela_tudo[[#This Row],[Obs]]&amp;")"</f>
        <v>RT ()</v>
      </c>
    </row>
    <row r="2182" spans="1:14" x14ac:dyDescent="0.3">
      <c r="A2182" s="1">
        <v>45636</v>
      </c>
      <c r="B2182" t="s">
        <v>73</v>
      </c>
      <c r="C2182" t="s">
        <v>463</v>
      </c>
      <c r="D2182" s="8">
        <v>0.75</v>
      </c>
      <c r="E2182" s="8">
        <v>0.79166666666666663</v>
      </c>
      <c r="L2182" t="s">
        <v>563</v>
      </c>
      <c r="M2182" t="s">
        <v>478</v>
      </c>
      <c r="N2182" t="str">
        <f>Tabela_tudo[[#This Row],[Médico]]&amp;" ("&amp;Tabela_tudo[[#This Row],[Obs]]&amp;")"</f>
        <v>RT ()</v>
      </c>
    </row>
    <row r="2183" spans="1:14" x14ac:dyDescent="0.3">
      <c r="A2183" s="1">
        <v>44929</v>
      </c>
      <c r="B2183" t="s">
        <v>50</v>
      </c>
      <c r="C2183" t="s">
        <v>463</v>
      </c>
      <c r="D2183" s="8">
        <v>0.75</v>
      </c>
      <c r="E2183" s="8">
        <v>0.79166666666666663</v>
      </c>
      <c r="L2183" t="s">
        <v>563</v>
      </c>
      <c r="M2183" t="s">
        <v>478</v>
      </c>
      <c r="N2183" t="str">
        <f>Tabela_tudo[[#This Row],[Médico]]&amp;" ("&amp;Tabela_tudo[[#This Row],[Obs]]&amp;")"</f>
        <v>PJP ()</v>
      </c>
    </row>
    <row r="2184" spans="1:14" x14ac:dyDescent="0.3">
      <c r="A2184" s="1">
        <v>45650</v>
      </c>
      <c r="B2184" t="s">
        <v>73</v>
      </c>
      <c r="C2184" t="s">
        <v>463</v>
      </c>
      <c r="D2184" s="8">
        <v>0.75</v>
      </c>
      <c r="E2184" s="8">
        <v>0.79166666666666663</v>
      </c>
      <c r="L2184" t="s">
        <v>563</v>
      </c>
      <c r="M2184" t="s">
        <v>478</v>
      </c>
      <c r="N2184" t="str">
        <f>Tabela_tudo[[#This Row],[Médico]]&amp;" ("&amp;Tabela_tudo[[#This Row],[Obs]]&amp;")"</f>
        <v>RT ()</v>
      </c>
    </row>
    <row r="2185" spans="1:14" x14ac:dyDescent="0.3">
      <c r="A2185" s="1">
        <v>45643</v>
      </c>
      <c r="B2185" t="s">
        <v>73</v>
      </c>
      <c r="C2185" t="s">
        <v>463</v>
      </c>
      <c r="D2185" s="8">
        <v>0.75</v>
      </c>
      <c r="E2185" s="8">
        <v>0.79166666666666663</v>
      </c>
      <c r="L2185" t="s">
        <v>563</v>
      </c>
      <c r="M2185" t="s">
        <v>478</v>
      </c>
      <c r="N2185" t="str">
        <f>Tabela_tudo[[#This Row],[Médico]]&amp;" ("&amp;Tabela_tudo[[#This Row],[Obs]]&amp;")"</f>
        <v>RT ()</v>
      </c>
    </row>
    <row r="2186" spans="1:14" x14ac:dyDescent="0.3">
      <c r="A2186" s="1">
        <v>44985</v>
      </c>
      <c r="B2186" t="s">
        <v>50</v>
      </c>
      <c r="C2186" t="s">
        <v>463</v>
      </c>
      <c r="D2186" s="8">
        <v>0.75</v>
      </c>
      <c r="E2186" s="8">
        <v>0.79166666666666663</v>
      </c>
      <c r="L2186" t="s">
        <v>563</v>
      </c>
      <c r="M2186" t="s">
        <v>478</v>
      </c>
      <c r="N2186" t="str">
        <f>Tabela_tudo[[#This Row],[Médico]]&amp;" ("&amp;Tabela_tudo[[#This Row],[Obs]]&amp;")"</f>
        <v>PJP ()</v>
      </c>
    </row>
    <row r="2187" spans="1:14" x14ac:dyDescent="0.3">
      <c r="A2187" s="1">
        <v>45055</v>
      </c>
      <c r="B2187" t="s">
        <v>50</v>
      </c>
      <c r="C2187" t="s">
        <v>463</v>
      </c>
      <c r="D2187" s="8">
        <v>0.75</v>
      </c>
      <c r="E2187" s="8">
        <v>0.79166666666666663</v>
      </c>
      <c r="L2187" t="s">
        <v>563</v>
      </c>
      <c r="M2187" t="s">
        <v>478</v>
      </c>
      <c r="N2187" t="str">
        <f>Tabela_tudo[[#This Row],[Médico]]&amp;" ("&amp;Tabela_tudo[[#This Row],[Obs]]&amp;")"</f>
        <v>PJP ()</v>
      </c>
    </row>
    <row r="2188" spans="1:14" x14ac:dyDescent="0.3">
      <c r="A2188" s="1">
        <v>45048</v>
      </c>
      <c r="B2188" t="s">
        <v>50</v>
      </c>
      <c r="C2188" t="s">
        <v>463</v>
      </c>
      <c r="D2188" s="8">
        <v>0.75</v>
      </c>
      <c r="E2188" s="8">
        <v>0.79166666666666663</v>
      </c>
      <c r="L2188" t="s">
        <v>563</v>
      </c>
      <c r="M2188" t="s">
        <v>478</v>
      </c>
      <c r="N2188" t="str">
        <f>Tabela_tudo[[#This Row],[Médico]]&amp;" ("&amp;Tabela_tudo[[#This Row],[Obs]]&amp;")"</f>
        <v>PJP ()</v>
      </c>
    </row>
    <row r="2189" spans="1:14" x14ac:dyDescent="0.3">
      <c r="A2189" s="1">
        <v>45041</v>
      </c>
      <c r="B2189" t="s">
        <v>50</v>
      </c>
      <c r="C2189" t="s">
        <v>463</v>
      </c>
      <c r="D2189" s="8">
        <v>0.75</v>
      </c>
      <c r="E2189" s="8">
        <v>0.79166666666666663</v>
      </c>
      <c r="L2189" t="s">
        <v>563</v>
      </c>
      <c r="M2189" t="s">
        <v>478</v>
      </c>
      <c r="N2189" t="str">
        <f>Tabela_tudo[[#This Row],[Médico]]&amp;" ("&amp;Tabela_tudo[[#This Row],[Obs]]&amp;")"</f>
        <v>PJP ()</v>
      </c>
    </row>
    <row r="2190" spans="1:14" x14ac:dyDescent="0.3">
      <c r="A2190" s="1">
        <v>45062</v>
      </c>
      <c r="B2190" t="s">
        <v>50</v>
      </c>
      <c r="C2190" t="s">
        <v>463</v>
      </c>
      <c r="D2190" s="8">
        <v>0.75</v>
      </c>
      <c r="E2190" s="8">
        <v>0.79166666666666663</v>
      </c>
      <c r="L2190" t="s">
        <v>563</v>
      </c>
      <c r="M2190" t="s">
        <v>478</v>
      </c>
      <c r="N2190" t="str">
        <f>Tabela_tudo[[#This Row],[Médico]]&amp;" ("&amp;Tabela_tudo[[#This Row],[Obs]]&amp;")"</f>
        <v>PJP ()</v>
      </c>
    </row>
    <row r="2191" spans="1:14" x14ac:dyDescent="0.3">
      <c r="A2191" s="1">
        <v>45083</v>
      </c>
      <c r="B2191" t="s">
        <v>50</v>
      </c>
      <c r="C2191" t="s">
        <v>463</v>
      </c>
      <c r="D2191" s="8">
        <v>0.75</v>
      </c>
      <c r="E2191" s="8">
        <v>0.79166666666666663</v>
      </c>
      <c r="L2191" t="s">
        <v>563</v>
      </c>
      <c r="M2191" t="s">
        <v>478</v>
      </c>
      <c r="N2191" t="str">
        <f>Tabela_tudo[[#This Row],[Médico]]&amp;" ("&amp;Tabela_tudo[[#This Row],[Obs]]&amp;")"</f>
        <v>PJP ()</v>
      </c>
    </row>
    <row r="2192" spans="1:14" x14ac:dyDescent="0.3">
      <c r="A2192" s="1">
        <v>45076</v>
      </c>
      <c r="B2192" t="s">
        <v>50</v>
      </c>
      <c r="C2192" t="s">
        <v>463</v>
      </c>
      <c r="D2192" s="8">
        <v>0.75</v>
      </c>
      <c r="E2192" s="8">
        <v>0.79166666666666663</v>
      </c>
      <c r="L2192" t="s">
        <v>563</v>
      </c>
      <c r="M2192" t="s">
        <v>478</v>
      </c>
      <c r="N2192" t="str">
        <f>Tabela_tudo[[#This Row],[Médico]]&amp;" ("&amp;Tabela_tudo[[#This Row],[Obs]]&amp;")"</f>
        <v>PJP ()</v>
      </c>
    </row>
    <row r="2193" spans="1:14" x14ac:dyDescent="0.3">
      <c r="A2193" s="1">
        <v>45069</v>
      </c>
      <c r="B2193" t="s">
        <v>50</v>
      </c>
      <c r="C2193" t="s">
        <v>463</v>
      </c>
      <c r="D2193" s="8">
        <v>0.75</v>
      </c>
      <c r="E2193" s="8">
        <v>0.79166666666666663</v>
      </c>
      <c r="L2193" t="s">
        <v>563</v>
      </c>
      <c r="M2193" t="s">
        <v>478</v>
      </c>
      <c r="N2193" t="str">
        <f>Tabela_tudo[[#This Row],[Médico]]&amp;" ("&amp;Tabela_tudo[[#This Row],[Obs]]&amp;")"</f>
        <v>PJP ()</v>
      </c>
    </row>
    <row r="2194" spans="1:14" x14ac:dyDescent="0.3">
      <c r="A2194" s="1">
        <v>45006</v>
      </c>
      <c r="B2194" t="s">
        <v>50</v>
      </c>
      <c r="C2194" t="s">
        <v>463</v>
      </c>
      <c r="D2194" s="8">
        <v>0.75</v>
      </c>
      <c r="E2194" s="8">
        <v>0.79166666666666663</v>
      </c>
      <c r="L2194" t="s">
        <v>563</v>
      </c>
      <c r="M2194" t="s">
        <v>478</v>
      </c>
      <c r="N2194" t="str">
        <f>Tabela_tudo[[#This Row],[Médico]]&amp;" ("&amp;Tabela_tudo[[#This Row],[Obs]]&amp;")"</f>
        <v>PJP ()</v>
      </c>
    </row>
    <row r="2195" spans="1:14" x14ac:dyDescent="0.3">
      <c r="A2195" s="1">
        <v>44999</v>
      </c>
      <c r="B2195" t="s">
        <v>50</v>
      </c>
      <c r="C2195" t="s">
        <v>463</v>
      </c>
      <c r="D2195" s="8">
        <v>0.75</v>
      </c>
      <c r="E2195" s="8">
        <v>0.79166666666666663</v>
      </c>
      <c r="L2195" t="s">
        <v>563</v>
      </c>
      <c r="M2195" t="s">
        <v>478</v>
      </c>
      <c r="N2195" t="str">
        <f>Tabela_tudo[[#This Row],[Médico]]&amp;" ("&amp;Tabela_tudo[[#This Row],[Obs]]&amp;")"</f>
        <v>PJP ()</v>
      </c>
    </row>
    <row r="2196" spans="1:14" x14ac:dyDescent="0.3">
      <c r="A2196" s="1">
        <v>44992</v>
      </c>
      <c r="B2196" t="s">
        <v>50</v>
      </c>
      <c r="C2196" t="s">
        <v>463</v>
      </c>
      <c r="D2196" s="8">
        <v>0.75</v>
      </c>
      <c r="E2196" s="8">
        <v>0.79166666666666663</v>
      </c>
      <c r="L2196" t="s">
        <v>563</v>
      </c>
      <c r="M2196" t="s">
        <v>478</v>
      </c>
      <c r="N2196" t="str">
        <f>Tabela_tudo[[#This Row],[Médico]]&amp;" ("&amp;Tabela_tudo[[#This Row],[Obs]]&amp;")"</f>
        <v>PJP ()</v>
      </c>
    </row>
    <row r="2197" spans="1:14" x14ac:dyDescent="0.3">
      <c r="A2197" s="1">
        <v>45013</v>
      </c>
      <c r="B2197" t="s">
        <v>50</v>
      </c>
      <c r="C2197" t="s">
        <v>463</v>
      </c>
      <c r="D2197" s="8">
        <v>0.75</v>
      </c>
      <c r="E2197" s="8">
        <v>0.79166666666666663</v>
      </c>
      <c r="L2197" t="s">
        <v>563</v>
      </c>
      <c r="M2197" t="s">
        <v>478</v>
      </c>
      <c r="N2197" t="str">
        <f>Tabela_tudo[[#This Row],[Médico]]&amp;" ("&amp;Tabela_tudo[[#This Row],[Obs]]&amp;")"</f>
        <v>PJP ()</v>
      </c>
    </row>
    <row r="2198" spans="1:14" x14ac:dyDescent="0.3">
      <c r="A2198" s="1">
        <v>45034</v>
      </c>
      <c r="B2198" t="s">
        <v>50</v>
      </c>
      <c r="C2198" t="s">
        <v>463</v>
      </c>
      <c r="D2198" s="8">
        <v>0.75</v>
      </c>
      <c r="E2198" s="8">
        <v>0.79166666666666663</v>
      </c>
      <c r="L2198" t="s">
        <v>563</v>
      </c>
      <c r="M2198" t="s">
        <v>478</v>
      </c>
      <c r="N2198" t="str">
        <f>Tabela_tudo[[#This Row],[Médico]]&amp;" ("&amp;Tabela_tudo[[#This Row],[Obs]]&amp;")"</f>
        <v>PJP ()</v>
      </c>
    </row>
    <row r="2199" spans="1:14" x14ac:dyDescent="0.3">
      <c r="A2199" s="1">
        <v>45027</v>
      </c>
      <c r="B2199" t="s">
        <v>50</v>
      </c>
      <c r="C2199" t="s">
        <v>463</v>
      </c>
      <c r="D2199" s="8">
        <v>0.75</v>
      </c>
      <c r="E2199" s="8">
        <v>0.79166666666666663</v>
      </c>
      <c r="L2199" t="s">
        <v>563</v>
      </c>
      <c r="M2199" t="s">
        <v>478</v>
      </c>
      <c r="N2199" t="str">
        <f>Tabela_tudo[[#This Row],[Médico]]&amp;" ("&amp;Tabela_tudo[[#This Row],[Obs]]&amp;")"</f>
        <v>PJP ()</v>
      </c>
    </row>
    <row r="2200" spans="1:14" x14ac:dyDescent="0.3">
      <c r="A2200" s="1">
        <v>45020</v>
      </c>
      <c r="B2200" t="s">
        <v>50</v>
      </c>
      <c r="C2200" t="s">
        <v>463</v>
      </c>
      <c r="D2200" s="8">
        <v>0.75</v>
      </c>
      <c r="E2200" s="8">
        <v>0.79166666666666663</v>
      </c>
      <c r="L2200" t="s">
        <v>563</v>
      </c>
      <c r="M2200" t="s">
        <v>478</v>
      </c>
      <c r="N2200" t="str">
        <f>Tabela_tudo[[#This Row],[Médico]]&amp;" ("&amp;Tabela_tudo[[#This Row],[Obs]]&amp;")"</f>
        <v>PJP ()</v>
      </c>
    </row>
    <row r="2201" spans="1:14" x14ac:dyDescent="0.3">
      <c r="A2201" s="1">
        <v>45608</v>
      </c>
      <c r="B2201" t="s">
        <v>73</v>
      </c>
      <c r="C2201" t="s">
        <v>463</v>
      </c>
      <c r="D2201" s="8">
        <v>0.75</v>
      </c>
      <c r="E2201" s="8">
        <v>0.79166666666666663</v>
      </c>
      <c r="L2201" t="s">
        <v>563</v>
      </c>
      <c r="M2201" t="s">
        <v>478</v>
      </c>
      <c r="N2201" t="str">
        <f>Tabela_tudo[[#This Row],[Médico]]&amp;" ("&amp;Tabela_tudo[[#This Row],[Obs]]&amp;")"</f>
        <v>RT ()</v>
      </c>
    </row>
    <row r="2202" spans="1:14" x14ac:dyDescent="0.3">
      <c r="A2202" s="1">
        <v>45468</v>
      </c>
      <c r="B2202" t="s">
        <v>73</v>
      </c>
      <c r="C2202" t="s">
        <v>463</v>
      </c>
      <c r="D2202" s="8">
        <v>0.75</v>
      </c>
      <c r="E2202" s="8">
        <v>0.79166666666666663</v>
      </c>
      <c r="L2202" t="s">
        <v>563</v>
      </c>
      <c r="M2202" t="s">
        <v>478</v>
      </c>
      <c r="N2202" t="str">
        <f>Tabela_tudo[[#This Row],[Médico]]&amp;" ("&amp;Tabela_tudo[[#This Row],[Obs]]&amp;")"</f>
        <v>RT ()</v>
      </c>
    </row>
    <row r="2203" spans="1:14" x14ac:dyDescent="0.3">
      <c r="A2203" s="1">
        <v>45461</v>
      </c>
      <c r="B2203" t="s">
        <v>73</v>
      </c>
      <c r="C2203" t="s">
        <v>463</v>
      </c>
      <c r="D2203" s="8">
        <v>0.75</v>
      </c>
      <c r="E2203" s="8">
        <v>0.79166666666666663</v>
      </c>
      <c r="L2203" t="s">
        <v>563</v>
      </c>
      <c r="M2203" t="s">
        <v>478</v>
      </c>
      <c r="N2203" t="str">
        <f>Tabela_tudo[[#This Row],[Médico]]&amp;" ("&amp;Tabela_tudo[[#This Row],[Obs]]&amp;")"</f>
        <v>RT ()</v>
      </c>
    </row>
    <row r="2204" spans="1:14" x14ac:dyDescent="0.3">
      <c r="A2204" s="1">
        <v>45454</v>
      </c>
      <c r="B2204" t="s">
        <v>73</v>
      </c>
      <c r="C2204" t="s">
        <v>463</v>
      </c>
      <c r="D2204" s="8">
        <v>0.75</v>
      </c>
      <c r="E2204" s="8">
        <v>0.79166666666666663</v>
      </c>
      <c r="L2204" t="s">
        <v>563</v>
      </c>
      <c r="M2204" t="s">
        <v>478</v>
      </c>
      <c r="N2204" t="str">
        <f>Tabela_tudo[[#This Row],[Médico]]&amp;" ("&amp;Tabela_tudo[[#This Row],[Obs]]&amp;")"</f>
        <v>RT ()</v>
      </c>
    </row>
    <row r="2205" spans="1:14" x14ac:dyDescent="0.3">
      <c r="A2205" s="1">
        <v>45475</v>
      </c>
      <c r="B2205" t="s">
        <v>73</v>
      </c>
      <c r="C2205" t="s">
        <v>463</v>
      </c>
      <c r="D2205" s="8">
        <v>0.75</v>
      </c>
      <c r="E2205" s="8">
        <v>0.79166666666666663</v>
      </c>
      <c r="L2205" t="s">
        <v>563</v>
      </c>
      <c r="M2205" t="s">
        <v>478</v>
      </c>
      <c r="N2205" t="str">
        <f>Tabela_tudo[[#This Row],[Médico]]&amp;" ("&amp;Tabela_tudo[[#This Row],[Obs]]&amp;")"</f>
        <v>RT ()</v>
      </c>
    </row>
    <row r="2206" spans="1:14" x14ac:dyDescent="0.3">
      <c r="A2206" s="1">
        <v>45496</v>
      </c>
      <c r="B2206" t="s">
        <v>73</v>
      </c>
      <c r="C2206" t="s">
        <v>463</v>
      </c>
      <c r="D2206" s="8">
        <v>0.75</v>
      </c>
      <c r="E2206" s="8">
        <v>0.79166666666666663</v>
      </c>
      <c r="L2206" t="s">
        <v>563</v>
      </c>
      <c r="M2206" t="s">
        <v>478</v>
      </c>
      <c r="N2206" t="str">
        <f>Tabela_tudo[[#This Row],[Médico]]&amp;" ("&amp;Tabela_tudo[[#This Row],[Obs]]&amp;")"</f>
        <v>RT ()</v>
      </c>
    </row>
    <row r="2207" spans="1:14" x14ac:dyDescent="0.3">
      <c r="A2207" s="1">
        <v>45489</v>
      </c>
      <c r="B2207" t="s">
        <v>73</v>
      </c>
      <c r="C2207" t="s">
        <v>463</v>
      </c>
      <c r="D2207" s="8">
        <v>0.75</v>
      </c>
      <c r="E2207" s="8">
        <v>0.79166666666666663</v>
      </c>
      <c r="L2207" t="s">
        <v>563</v>
      </c>
      <c r="M2207" t="s">
        <v>478</v>
      </c>
      <c r="N2207" t="str">
        <f>Tabela_tudo[[#This Row],[Médico]]&amp;" ("&amp;Tabela_tudo[[#This Row],[Obs]]&amp;")"</f>
        <v>RT ()</v>
      </c>
    </row>
    <row r="2208" spans="1:14" x14ac:dyDescent="0.3">
      <c r="A2208" s="1">
        <v>45482</v>
      </c>
      <c r="B2208" t="s">
        <v>73</v>
      </c>
      <c r="C2208" t="s">
        <v>463</v>
      </c>
      <c r="D2208" s="8">
        <v>0.75</v>
      </c>
      <c r="E2208" s="8">
        <v>0.79166666666666663</v>
      </c>
      <c r="L2208" t="s">
        <v>563</v>
      </c>
      <c r="M2208" t="s">
        <v>478</v>
      </c>
      <c r="N2208" t="str">
        <f>Tabela_tudo[[#This Row],[Médico]]&amp;" ("&amp;Tabela_tudo[[#This Row],[Obs]]&amp;")"</f>
        <v>RT ()</v>
      </c>
    </row>
    <row r="2209" spans="1:14" x14ac:dyDescent="0.3">
      <c r="A2209" s="1">
        <v>45419</v>
      </c>
      <c r="B2209" t="s">
        <v>73</v>
      </c>
      <c r="C2209" t="s">
        <v>463</v>
      </c>
      <c r="D2209" s="8">
        <v>0.75</v>
      </c>
      <c r="E2209" s="8">
        <v>0.79166666666666663</v>
      </c>
      <c r="L2209" t="s">
        <v>563</v>
      </c>
      <c r="M2209" t="s">
        <v>478</v>
      </c>
      <c r="N2209" t="str">
        <f>Tabela_tudo[[#This Row],[Médico]]&amp;" ("&amp;Tabela_tudo[[#This Row],[Obs]]&amp;")"</f>
        <v>RT ()</v>
      </c>
    </row>
    <row r="2210" spans="1:14" x14ac:dyDescent="0.3">
      <c r="A2210" s="1">
        <v>45412</v>
      </c>
      <c r="B2210" t="s">
        <v>73</v>
      </c>
      <c r="C2210" t="s">
        <v>463</v>
      </c>
      <c r="D2210" s="8">
        <v>0.75</v>
      </c>
      <c r="E2210" s="8">
        <v>0.79166666666666663</v>
      </c>
      <c r="L2210" t="s">
        <v>563</v>
      </c>
      <c r="M2210" t="s">
        <v>478</v>
      </c>
      <c r="N2210" t="str">
        <f>Tabela_tudo[[#This Row],[Médico]]&amp;" ("&amp;Tabela_tudo[[#This Row],[Obs]]&amp;")"</f>
        <v>RT ()</v>
      </c>
    </row>
    <row r="2211" spans="1:14" x14ac:dyDescent="0.3">
      <c r="A2211" s="1">
        <v>45405</v>
      </c>
      <c r="B2211" t="s">
        <v>73</v>
      </c>
      <c r="C2211" t="s">
        <v>463</v>
      </c>
      <c r="D2211" s="8">
        <v>0.75</v>
      </c>
      <c r="E2211" s="8">
        <v>0.79166666666666663</v>
      </c>
      <c r="L2211" t="s">
        <v>563</v>
      </c>
      <c r="M2211" t="s">
        <v>478</v>
      </c>
      <c r="N2211" t="str">
        <f>Tabela_tudo[[#This Row],[Médico]]&amp;" ("&amp;Tabela_tudo[[#This Row],[Obs]]&amp;")"</f>
        <v>RT ()</v>
      </c>
    </row>
    <row r="2212" spans="1:14" x14ac:dyDescent="0.3">
      <c r="A2212" s="1">
        <v>45426</v>
      </c>
      <c r="B2212" t="s">
        <v>73</v>
      </c>
      <c r="C2212" t="s">
        <v>463</v>
      </c>
      <c r="D2212" s="8">
        <v>0.75</v>
      </c>
      <c r="E2212" s="8">
        <v>0.79166666666666663</v>
      </c>
      <c r="L2212" t="s">
        <v>563</v>
      </c>
      <c r="M2212" t="s">
        <v>478</v>
      </c>
      <c r="N2212" t="str">
        <f>Tabela_tudo[[#This Row],[Médico]]&amp;" ("&amp;Tabela_tudo[[#This Row],[Obs]]&amp;")"</f>
        <v>RT ()</v>
      </c>
    </row>
    <row r="2213" spans="1:14" x14ac:dyDescent="0.3">
      <c r="A2213" s="1">
        <v>45447</v>
      </c>
      <c r="B2213" t="s">
        <v>73</v>
      </c>
      <c r="C2213" t="s">
        <v>463</v>
      </c>
      <c r="D2213" s="8">
        <v>0.75</v>
      </c>
      <c r="E2213" s="8">
        <v>0.79166666666666663</v>
      </c>
      <c r="L2213" t="s">
        <v>563</v>
      </c>
      <c r="M2213" t="s">
        <v>478</v>
      </c>
      <c r="N2213" t="str">
        <f>Tabela_tudo[[#This Row],[Médico]]&amp;" ("&amp;Tabela_tudo[[#This Row],[Obs]]&amp;")"</f>
        <v>RT ()</v>
      </c>
    </row>
    <row r="2214" spans="1:14" x14ac:dyDescent="0.3">
      <c r="A2214" s="1">
        <v>45440</v>
      </c>
      <c r="B2214" t="s">
        <v>73</v>
      </c>
      <c r="C2214" t="s">
        <v>463</v>
      </c>
      <c r="D2214" s="8">
        <v>0.75</v>
      </c>
      <c r="E2214" s="8">
        <v>0.79166666666666663</v>
      </c>
      <c r="L2214" t="s">
        <v>563</v>
      </c>
      <c r="M2214" t="s">
        <v>478</v>
      </c>
      <c r="N2214" t="str">
        <f>Tabela_tudo[[#This Row],[Médico]]&amp;" ("&amp;Tabela_tudo[[#This Row],[Obs]]&amp;")"</f>
        <v>RT ()</v>
      </c>
    </row>
    <row r="2215" spans="1:14" x14ac:dyDescent="0.3">
      <c r="A2215" s="1">
        <v>45433</v>
      </c>
      <c r="B2215" t="s">
        <v>73</v>
      </c>
      <c r="C2215" t="s">
        <v>463</v>
      </c>
      <c r="D2215" s="8">
        <v>0.75</v>
      </c>
      <c r="E2215" s="8">
        <v>0.79166666666666663</v>
      </c>
      <c r="L2215" t="s">
        <v>563</v>
      </c>
      <c r="M2215" t="s">
        <v>478</v>
      </c>
      <c r="N2215" t="str">
        <f>Tabela_tudo[[#This Row],[Médico]]&amp;" ("&amp;Tabela_tudo[[#This Row],[Obs]]&amp;")"</f>
        <v>RT ()</v>
      </c>
    </row>
    <row r="2216" spans="1:14" x14ac:dyDescent="0.3">
      <c r="A2216" s="1">
        <v>45503</v>
      </c>
      <c r="B2216" t="s">
        <v>73</v>
      </c>
      <c r="C2216" t="s">
        <v>463</v>
      </c>
      <c r="D2216" s="8">
        <v>0.75</v>
      </c>
      <c r="E2216" s="8">
        <v>0.79166666666666663</v>
      </c>
      <c r="L2216" t="s">
        <v>563</v>
      </c>
      <c r="M2216" t="s">
        <v>478</v>
      </c>
      <c r="N2216" t="str">
        <f>Tabela_tudo[[#This Row],[Médico]]&amp;" ("&amp;Tabela_tudo[[#This Row],[Obs]]&amp;")"</f>
        <v>RT ()</v>
      </c>
    </row>
    <row r="2217" spans="1:14" x14ac:dyDescent="0.3">
      <c r="A2217" s="1">
        <v>45573</v>
      </c>
      <c r="B2217" t="s">
        <v>73</v>
      </c>
      <c r="C2217" t="s">
        <v>463</v>
      </c>
      <c r="D2217" s="8">
        <v>0.75</v>
      </c>
      <c r="E2217" s="8">
        <v>0.79166666666666663</v>
      </c>
      <c r="L2217" t="s">
        <v>563</v>
      </c>
      <c r="M2217" t="s">
        <v>478</v>
      </c>
      <c r="N2217" t="str">
        <f>Tabela_tudo[[#This Row],[Médico]]&amp;" ("&amp;Tabela_tudo[[#This Row],[Obs]]&amp;")"</f>
        <v>RT ()</v>
      </c>
    </row>
    <row r="2218" spans="1:14" x14ac:dyDescent="0.3">
      <c r="A2218" s="1">
        <v>45566</v>
      </c>
      <c r="B2218" t="s">
        <v>73</v>
      </c>
      <c r="C2218" t="s">
        <v>463</v>
      </c>
      <c r="D2218" s="8">
        <v>0.75</v>
      </c>
      <c r="E2218" s="8">
        <v>0.79166666666666663</v>
      </c>
      <c r="L2218" t="s">
        <v>563</v>
      </c>
      <c r="M2218" t="s">
        <v>478</v>
      </c>
      <c r="N2218" t="str">
        <f>Tabela_tudo[[#This Row],[Médico]]&amp;" ("&amp;Tabela_tudo[[#This Row],[Obs]]&amp;")"</f>
        <v>RT ()</v>
      </c>
    </row>
    <row r="2219" spans="1:14" x14ac:dyDescent="0.3">
      <c r="A2219" s="1">
        <v>45559</v>
      </c>
      <c r="B2219" t="s">
        <v>73</v>
      </c>
      <c r="C2219" t="s">
        <v>463</v>
      </c>
      <c r="D2219" s="8">
        <v>0.75</v>
      </c>
      <c r="E2219" s="8">
        <v>0.79166666666666663</v>
      </c>
      <c r="L2219" t="s">
        <v>563</v>
      </c>
      <c r="M2219" t="s">
        <v>478</v>
      </c>
      <c r="N2219" t="str">
        <f>Tabela_tudo[[#This Row],[Médico]]&amp;" ("&amp;Tabela_tudo[[#This Row],[Obs]]&amp;")"</f>
        <v>RT ()</v>
      </c>
    </row>
    <row r="2220" spans="1:14" x14ac:dyDescent="0.3">
      <c r="A2220" s="1">
        <v>45580</v>
      </c>
      <c r="B2220" t="s">
        <v>73</v>
      </c>
      <c r="C2220" t="s">
        <v>463</v>
      </c>
      <c r="D2220" s="8">
        <v>0.75</v>
      </c>
      <c r="E2220" s="8">
        <v>0.79166666666666663</v>
      </c>
      <c r="L2220" t="s">
        <v>563</v>
      </c>
      <c r="M2220" t="s">
        <v>478</v>
      </c>
      <c r="N2220" t="str">
        <f>Tabela_tudo[[#This Row],[Médico]]&amp;" ("&amp;Tabela_tudo[[#This Row],[Obs]]&amp;")"</f>
        <v>RT ()</v>
      </c>
    </row>
    <row r="2221" spans="1:14" x14ac:dyDescent="0.3">
      <c r="A2221" s="1">
        <v>45601</v>
      </c>
      <c r="B2221" t="s">
        <v>73</v>
      </c>
      <c r="C2221" t="s">
        <v>463</v>
      </c>
      <c r="D2221" s="8">
        <v>0.75</v>
      </c>
      <c r="E2221" s="8">
        <v>0.79166666666666663</v>
      </c>
      <c r="L2221" t="s">
        <v>563</v>
      </c>
      <c r="M2221" t="s">
        <v>478</v>
      </c>
      <c r="N2221" t="str">
        <f>Tabela_tudo[[#This Row],[Médico]]&amp;" ("&amp;Tabela_tudo[[#This Row],[Obs]]&amp;")"</f>
        <v>RT ()</v>
      </c>
    </row>
    <row r="2222" spans="1:14" x14ac:dyDescent="0.3">
      <c r="A2222" s="1">
        <v>45594</v>
      </c>
      <c r="B2222" t="s">
        <v>73</v>
      </c>
      <c r="C2222" t="s">
        <v>463</v>
      </c>
      <c r="D2222" s="8">
        <v>0.75</v>
      </c>
      <c r="E2222" s="8">
        <v>0.79166666666666663</v>
      </c>
      <c r="L2222" t="s">
        <v>563</v>
      </c>
      <c r="M2222" t="s">
        <v>478</v>
      </c>
      <c r="N2222" t="str">
        <f>Tabela_tudo[[#This Row],[Médico]]&amp;" ("&amp;Tabela_tudo[[#This Row],[Obs]]&amp;")"</f>
        <v>RT ()</v>
      </c>
    </row>
    <row r="2223" spans="1:14" x14ac:dyDescent="0.3">
      <c r="A2223" s="1">
        <v>45587</v>
      </c>
      <c r="B2223" t="s">
        <v>73</v>
      </c>
      <c r="C2223" t="s">
        <v>463</v>
      </c>
      <c r="D2223" s="8">
        <v>0.75</v>
      </c>
      <c r="E2223" s="8">
        <v>0.79166666666666663</v>
      </c>
      <c r="L2223" t="s">
        <v>563</v>
      </c>
      <c r="M2223" t="s">
        <v>478</v>
      </c>
      <c r="N2223" t="str">
        <f>Tabela_tudo[[#This Row],[Médico]]&amp;" ("&amp;Tabela_tudo[[#This Row],[Obs]]&amp;")"</f>
        <v>RT ()</v>
      </c>
    </row>
    <row r="2224" spans="1:14" x14ac:dyDescent="0.3">
      <c r="A2224" s="1">
        <v>45524</v>
      </c>
      <c r="B2224" t="s">
        <v>73</v>
      </c>
      <c r="C2224" t="s">
        <v>463</v>
      </c>
      <c r="D2224" s="8">
        <v>0.75</v>
      </c>
      <c r="E2224" s="8">
        <v>0.79166666666666663</v>
      </c>
      <c r="L2224" t="s">
        <v>563</v>
      </c>
      <c r="M2224" t="s">
        <v>478</v>
      </c>
      <c r="N2224" t="str">
        <f>Tabela_tudo[[#This Row],[Médico]]&amp;" ("&amp;Tabela_tudo[[#This Row],[Obs]]&amp;")"</f>
        <v>RT ()</v>
      </c>
    </row>
    <row r="2225" spans="1:14" x14ac:dyDescent="0.3">
      <c r="A2225" s="1">
        <v>45517</v>
      </c>
      <c r="B2225" t="s">
        <v>73</v>
      </c>
      <c r="C2225" t="s">
        <v>463</v>
      </c>
      <c r="D2225" s="8">
        <v>0.75</v>
      </c>
      <c r="E2225" s="8">
        <v>0.79166666666666663</v>
      </c>
      <c r="L2225" t="s">
        <v>563</v>
      </c>
      <c r="M2225" t="s">
        <v>478</v>
      </c>
      <c r="N2225" t="str">
        <f>Tabela_tudo[[#This Row],[Médico]]&amp;" ("&amp;Tabela_tudo[[#This Row],[Obs]]&amp;")"</f>
        <v>RT ()</v>
      </c>
    </row>
    <row r="2226" spans="1:14" x14ac:dyDescent="0.3">
      <c r="A2226" s="1">
        <v>45510</v>
      </c>
      <c r="B2226" t="s">
        <v>73</v>
      </c>
      <c r="C2226" t="s">
        <v>463</v>
      </c>
      <c r="D2226" s="8">
        <v>0.75</v>
      </c>
      <c r="E2226" s="8">
        <v>0.79166666666666663</v>
      </c>
      <c r="L2226" t="s">
        <v>563</v>
      </c>
      <c r="M2226" t="s">
        <v>478</v>
      </c>
      <c r="N2226" t="str">
        <f>Tabela_tudo[[#This Row],[Médico]]&amp;" ("&amp;Tabela_tudo[[#This Row],[Obs]]&amp;")"</f>
        <v>RT ()</v>
      </c>
    </row>
    <row r="2227" spans="1:14" x14ac:dyDescent="0.3">
      <c r="A2227" s="1">
        <v>45531</v>
      </c>
      <c r="B2227" t="s">
        <v>73</v>
      </c>
      <c r="C2227" t="s">
        <v>463</v>
      </c>
      <c r="D2227" s="8">
        <v>0.75</v>
      </c>
      <c r="E2227" s="8">
        <v>0.79166666666666663</v>
      </c>
      <c r="L2227" t="s">
        <v>563</v>
      </c>
      <c r="M2227" t="s">
        <v>478</v>
      </c>
      <c r="N2227" t="str">
        <f>Tabela_tudo[[#This Row],[Médico]]&amp;" ("&amp;Tabela_tudo[[#This Row],[Obs]]&amp;")"</f>
        <v>RT ()</v>
      </c>
    </row>
    <row r="2228" spans="1:14" x14ac:dyDescent="0.3">
      <c r="A2228" s="1">
        <v>45552</v>
      </c>
      <c r="B2228" t="s">
        <v>73</v>
      </c>
      <c r="C2228" t="s">
        <v>463</v>
      </c>
      <c r="D2228" s="8">
        <v>0.75</v>
      </c>
      <c r="E2228" s="8">
        <v>0.79166666666666663</v>
      </c>
      <c r="L2228" t="s">
        <v>563</v>
      </c>
      <c r="M2228" t="s">
        <v>478</v>
      </c>
      <c r="N2228" t="str">
        <f>Tabela_tudo[[#This Row],[Médico]]&amp;" ("&amp;Tabela_tudo[[#This Row],[Obs]]&amp;")"</f>
        <v>RT ()</v>
      </c>
    </row>
    <row r="2229" spans="1:14" x14ac:dyDescent="0.3">
      <c r="A2229" s="1">
        <v>45545</v>
      </c>
      <c r="B2229" t="s">
        <v>73</v>
      </c>
      <c r="C2229" t="s">
        <v>463</v>
      </c>
      <c r="D2229" s="8">
        <v>0.75</v>
      </c>
      <c r="E2229" s="8">
        <v>0.79166666666666663</v>
      </c>
      <c r="L2229" t="s">
        <v>563</v>
      </c>
      <c r="M2229" t="s">
        <v>478</v>
      </c>
      <c r="N2229" t="str">
        <f>Tabela_tudo[[#This Row],[Médico]]&amp;" ("&amp;Tabela_tudo[[#This Row],[Obs]]&amp;")"</f>
        <v>RT ()</v>
      </c>
    </row>
    <row r="2230" spans="1:14" x14ac:dyDescent="0.3">
      <c r="A2230" s="1">
        <v>45538</v>
      </c>
      <c r="B2230" t="s">
        <v>73</v>
      </c>
      <c r="C2230" t="s">
        <v>463</v>
      </c>
      <c r="D2230" s="8">
        <v>0.75</v>
      </c>
      <c r="E2230" s="8">
        <v>0.79166666666666663</v>
      </c>
      <c r="L2230" t="s">
        <v>563</v>
      </c>
      <c r="M2230" t="s">
        <v>478</v>
      </c>
      <c r="N2230" t="str">
        <f>Tabela_tudo[[#This Row],[Médico]]&amp;" ("&amp;Tabela_tudo[[#This Row],[Obs]]&amp;")"</f>
        <v>RT ()</v>
      </c>
    </row>
    <row r="2231" spans="1:14" x14ac:dyDescent="0.3">
      <c r="A2231" s="1">
        <v>45048</v>
      </c>
      <c r="B2231" t="s">
        <v>25</v>
      </c>
      <c r="C2231" t="s">
        <v>455</v>
      </c>
      <c r="D2231" s="8"/>
      <c r="E2231" s="8"/>
      <c r="L2231" t="s">
        <v>563</v>
      </c>
      <c r="M2231" t="s">
        <v>478</v>
      </c>
      <c r="N2231" t="str">
        <f>Tabela_tudo[[#This Row],[Médico]]&amp;" ("&amp;Tabela_tudo[[#This Row],[Obs]]&amp;")"</f>
        <v>HEN ()</v>
      </c>
    </row>
    <row r="2232" spans="1:14" x14ac:dyDescent="0.3">
      <c r="A2232" s="1">
        <v>45041</v>
      </c>
      <c r="B2232" t="s">
        <v>25</v>
      </c>
      <c r="C2232" t="s">
        <v>455</v>
      </c>
      <c r="D2232" s="8"/>
      <c r="E2232" s="8"/>
      <c r="L2232" t="s">
        <v>563</v>
      </c>
      <c r="M2232" t="s">
        <v>478</v>
      </c>
      <c r="N2232" t="str">
        <f>Tabela_tudo[[#This Row],[Médico]]&amp;" ("&amp;Tabela_tudo[[#This Row],[Obs]]&amp;")"</f>
        <v>HEN ()</v>
      </c>
    </row>
    <row r="2233" spans="1:14" x14ac:dyDescent="0.3">
      <c r="A2233" s="1">
        <v>45034</v>
      </c>
      <c r="B2233" t="s">
        <v>25</v>
      </c>
      <c r="C2233" t="s">
        <v>455</v>
      </c>
      <c r="D2233" s="8"/>
      <c r="E2233" s="8"/>
      <c r="L2233" t="s">
        <v>563</v>
      </c>
      <c r="M2233" t="s">
        <v>478</v>
      </c>
      <c r="N2233" t="str">
        <f>Tabela_tudo[[#This Row],[Médico]]&amp;" ("&amp;Tabela_tudo[[#This Row],[Obs]]&amp;")"</f>
        <v>HEN ()</v>
      </c>
    </row>
    <row r="2234" spans="1:14" x14ac:dyDescent="0.3">
      <c r="A2234" s="1">
        <v>45055</v>
      </c>
      <c r="B2234" t="s">
        <v>25</v>
      </c>
      <c r="C2234" t="s">
        <v>455</v>
      </c>
      <c r="D2234" s="8"/>
      <c r="E2234" s="8"/>
      <c r="L2234" t="s">
        <v>563</v>
      </c>
      <c r="M2234" t="s">
        <v>478</v>
      </c>
      <c r="N2234" t="str">
        <f>Tabela_tudo[[#This Row],[Médico]]&amp;" ("&amp;Tabela_tudo[[#This Row],[Obs]]&amp;")"</f>
        <v>HEN ()</v>
      </c>
    </row>
    <row r="2235" spans="1:14" x14ac:dyDescent="0.3">
      <c r="A2235" s="1">
        <v>45076</v>
      </c>
      <c r="B2235" t="s">
        <v>25</v>
      </c>
      <c r="C2235" t="s">
        <v>455</v>
      </c>
      <c r="D2235" s="8"/>
      <c r="E2235" s="8"/>
      <c r="L2235" t="s">
        <v>563</v>
      </c>
      <c r="M2235" t="s">
        <v>478</v>
      </c>
      <c r="N2235" t="str">
        <f>Tabela_tudo[[#This Row],[Médico]]&amp;" ("&amp;Tabela_tudo[[#This Row],[Obs]]&amp;")"</f>
        <v>HEN ()</v>
      </c>
    </row>
    <row r="2236" spans="1:14" x14ac:dyDescent="0.3">
      <c r="A2236" s="1">
        <v>45069</v>
      </c>
      <c r="B2236" t="s">
        <v>25</v>
      </c>
      <c r="C2236" t="s">
        <v>455</v>
      </c>
      <c r="D2236" s="8"/>
      <c r="E2236" s="8"/>
      <c r="L2236" t="s">
        <v>563</v>
      </c>
      <c r="M2236" t="s">
        <v>478</v>
      </c>
      <c r="N2236" t="str">
        <f>Tabela_tudo[[#This Row],[Médico]]&amp;" ("&amp;Tabela_tudo[[#This Row],[Obs]]&amp;")"</f>
        <v>HEN ()</v>
      </c>
    </row>
    <row r="2237" spans="1:14" x14ac:dyDescent="0.3">
      <c r="A2237" s="1">
        <v>45062</v>
      </c>
      <c r="B2237" t="s">
        <v>25</v>
      </c>
      <c r="C2237" t="s">
        <v>455</v>
      </c>
      <c r="D2237" s="8"/>
      <c r="E2237" s="8"/>
      <c r="L2237" t="s">
        <v>563</v>
      </c>
      <c r="M2237" t="s">
        <v>478</v>
      </c>
      <c r="N2237" t="str">
        <f>Tabela_tudo[[#This Row],[Médico]]&amp;" ("&amp;Tabela_tudo[[#This Row],[Obs]]&amp;")"</f>
        <v>HEN ()</v>
      </c>
    </row>
    <row r="2238" spans="1:14" x14ac:dyDescent="0.3">
      <c r="A2238" s="1">
        <v>44999</v>
      </c>
      <c r="B2238" t="s">
        <v>25</v>
      </c>
      <c r="C2238" t="s">
        <v>455</v>
      </c>
      <c r="D2238" s="8"/>
      <c r="E2238" s="8"/>
      <c r="L2238" t="s">
        <v>563</v>
      </c>
      <c r="M2238" t="s">
        <v>478</v>
      </c>
      <c r="N2238" t="str">
        <f>Tabela_tudo[[#This Row],[Médico]]&amp;" ("&amp;Tabela_tudo[[#This Row],[Obs]]&amp;")"</f>
        <v>HEN ()</v>
      </c>
    </row>
    <row r="2239" spans="1:14" x14ac:dyDescent="0.3">
      <c r="A2239" s="1">
        <v>44992</v>
      </c>
      <c r="B2239" t="s">
        <v>25</v>
      </c>
      <c r="C2239" t="s">
        <v>455</v>
      </c>
      <c r="D2239" s="8"/>
      <c r="E2239" s="8"/>
      <c r="L2239" t="s">
        <v>563</v>
      </c>
      <c r="M2239" t="s">
        <v>478</v>
      </c>
      <c r="N2239" t="str">
        <f>Tabela_tudo[[#This Row],[Médico]]&amp;" ("&amp;Tabela_tudo[[#This Row],[Obs]]&amp;")"</f>
        <v>HEN ()</v>
      </c>
    </row>
    <row r="2240" spans="1:14" x14ac:dyDescent="0.3">
      <c r="A2240" s="1">
        <v>44985</v>
      </c>
      <c r="B2240" t="s">
        <v>25</v>
      </c>
      <c r="C2240" t="s">
        <v>455</v>
      </c>
      <c r="D2240" s="8"/>
      <c r="E2240" s="8"/>
      <c r="L2240" t="s">
        <v>563</v>
      </c>
      <c r="M2240" t="s">
        <v>478</v>
      </c>
      <c r="N2240" t="str">
        <f>Tabela_tudo[[#This Row],[Médico]]&amp;" ("&amp;Tabela_tudo[[#This Row],[Obs]]&amp;")"</f>
        <v>HEN ()</v>
      </c>
    </row>
    <row r="2241" spans="1:14" x14ac:dyDescent="0.3">
      <c r="A2241" s="1">
        <v>45006</v>
      </c>
      <c r="B2241" t="s">
        <v>25</v>
      </c>
      <c r="C2241" t="s">
        <v>455</v>
      </c>
      <c r="D2241" s="8"/>
      <c r="E2241" s="8"/>
      <c r="L2241" t="s">
        <v>563</v>
      </c>
      <c r="M2241" t="s">
        <v>478</v>
      </c>
      <c r="N2241" t="str">
        <f>Tabela_tudo[[#This Row],[Médico]]&amp;" ("&amp;Tabela_tudo[[#This Row],[Obs]]&amp;")"</f>
        <v>HEN ()</v>
      </c>
    </row>
    <row r="2242" spans="1:14" x14ac:dyDescent="0.3">
      <c r="A2242" s="1">
        <v>45027</v>
      </c>
      <c r="B2242" t="s">
        <v>25</v>
      </c>
      <c r="C2242" t="s">
        <v>455</v>
      </c>
      <c r="D2242" s="8"/>
      <c r="E2242" s="8"/>
      <c r="L2242" t="s">
        <v>563</v>
      </c>
      <c r="M2242" t="s">
        <v>478</v>
      </c>
      <c r="N2242" t="str">
        <f>Tabela_tudo[[#This Row],[Médico]]&amp;" ("&amp;Tabela_tudo[[#This Row],[Obs]]&amp;")"</f>
        <v>HEN ()</v>
      </c>
    </row>
    <row r="2243" spans="1:14" x14ac:dyDescent="0.3">
      <c r="A2243" s="1">
        <v>45020</v>
      </c>
      <c r="B2243" t="s">
        <v>25</v>
      </c>
      <c r="C2243" t="s">
        <v>455</v>
      </c>
      <c r="D2243" s="8"/>
      <c r="E2243" s="8"/>
      <c r="L2243" t="s">
        <v>563</v>
      </c>
      <c r="M2243" t="s">
        <v>478</v>
      </c>
      <c r="N2243" t="str">
        <f>Tabela_tudo[[#This Row],[Médico]]&amp;" ("&amp;Tabela_tudo[[#This Row],[Obs]]&amp;")"</f>
        <v>HEN ()</v>
      </c>
    </row>
    <row r="2244" spans="1:14" x14ac:dyDescent="0.3">
      <c r="A2244" s="1">
        <v>45013</v>
      </c>
      <c r="B2244" t="s">
        <v>25</v>
      </c>
      <c r="C2244" t="s">
        <v>455</v>
      </c>
      <c r="D2244" s="8"/>
      <c r="E2244" s="8"/>
      <c r="L2244" t="s">
        <v>563</v>
      </c>
      <c r="M2244" t="s">
        <v>478</v>
      </c>
      <c r="N2244" t="str">
        <f>Tabela_tudo[[#This Row],[Médico]]&amp;" ("&amp;Tabela_tudo[[#This Row],[Obs]]&amp;")"</f>
        <v>HEN ()</v>
      </c>
    </row>
    <row r="2245" spans="1:14" x14ac:dyDescent="0.3">
      <c r="A2245" s="1">
        <v>45083</v>
      </c>
      <c r="B2245" t="s">
        <v>25</v>
      </c>
      <c r="C2245" t="s">
        <v>455</v>
      </c>
      <c r="D2245" s="8"/>
      <c r="E2245" s="8"/>
      <c r="L2245" t="s">
        <v>563</v>
      </c>
      <c r="M2245" t="s">
        <v>478</v>
      </c>
      <c r="N2245" t="str">
        <f>Tabela_tudo[[#This Row],[Médico]]&amp;" ("&amp;Tabela_tudo[[#This Row],[Obs]]&amp;")"</f>
        <v>HEN ()</v>
      </c>
    </row>
    <row r="2246" spans="1:14" x14ac:dyDescent="0.3">
      <c r="A2246" s="1">
        <v>45153</v>
      </c>
      <c r="B2246" t="s">
        <v>25</v>
      </c>
      <c r="C2246" t="s">
        <v>455</v>
      </c>
      <c r="D2246" s="8"/>
      <c r="E2246" s="8"/>
      <c r="L2246" t="s">
        <v>563</v>
      </c>
      <c r="M2246" t="s">
        <v>478</v>
      </c>
      <c r="N2246" t="str">
        <f>Tabela_tudo[[#This Row],[Médico]]&amp;" ("&amp;Tabela_tudo[[#This Row],[Obs]]&amp;")"</f>
        <v>HEN ()</v>
      </c>
    </row>
    <row r="2247" spans="1:14" x14ac:dyDescent="0.3">
      <c r="A2247" s="1">
        <v>45146</v>
      </c>
      <c r="B2247" t="s">
        <v>25</v>
      </c>
      <c r="C2247" t="s">
        <v>455</v>
      </c>
      <c r="D2247" s="8"/>
      <c r="E2247" s="8"/>
      <c r="L2247" t="s">
        <v>563</v>
      </c>
      <c r="M2247" t="s">
        <v>478</v>
      </c>
      <c r="N2247" t="str">
        <f>Tabela_tudo[[#This Row],[Médico]]&amp;" ("&amp;Tabela_tudo[[#This Row],[Obs]]&amp;")"</f>
        <v>HEN ()</v>
      </c>
    </row>
    <row r="2248" spans="1:14" x14ac:dyDescent="0.3">
      <c r="A2248" s="1">
        <v>45139</v>
      </c>
      <c r="B2248" t="s">
        <v>25</v>
      </c>
      <c r="C2248" t="s">
        <v>455</v>
      </c>
      <c r="D2248" s="8"/>
      <c r="E2248" s="8"/>
      <c r="L2248" t="s">
        <v>563</v>
      </c>
      <c r="M2248" t="s">
        <v>478</v>
      </c>
      <c r="N2248" t="str">
        <f>Tabela_tudo[[#This Row],[Médico]]&amp;" ("&amp;Tabela_tudo[[#This Row],[Obs]]&amp;")"</f>
        <v>HEN ()</v>
      </c>
    </row>
    <row r="2249" spans="1:14" x14ac:dyDescent="0.3">
      <c r="A2249" s="1">
        <v>45160</v>
      </c>
      <c r="B2249" t="s">
        <v>25</v>
      </c>
      <c r="C2249" t="s">
        <v>455</v>
      </c>
      <c r="D2249" s="8"/>
      <c r="E2249" s="8"/>
      <c r="L2249" t="s">
        <v>563</v>
      </c>
      <c r="M2249" t="s">
        <v>478</v>
      </c>
      <c r="N2249" t="str">
        <f>Tabela_tudo[[#This Row],[Médico]]&amp;" ("&amp;Tabela_tudo[[#This Row],[Obs]]&amp;")"</f>
        <v>HEN ()</v>
      </c>
    </row>
    <row r="2250" spans="1:14" x14ac:dyDescent="0.3">
      <c r="A2250" s="1">
        <v>45181</v>
      </c>
      <c r="B2250" t="s">
        <v>25</v>
      </c>
      <c r="C2250" t="s">
        <v>455</v>
      </c>
      <c r="D2250" s="8"/>
      <c r="E2250" s="8"/>
      <c r="L2250" t="s">
        <v>563</v>
      </c>
      <c r="M2250" t="s">
        <v>478</v>
      </c>
      <c r="N2250" t="str">
        <f>Tabela_tudo[[#This Row],[Médico]]&amp;" ("&amp;Tabela_tudo[[#This Row],[Obs]]&amp;")"</f>
        <v>HEN ()</v>
      </c>
    </row>
    <row r="2251" spans="1:14" x14ac:dyDescent="0.3">
      <c r="A2251" s="1">
        <v>45174</v>
      </c>
      <c r="B2251" t="s">
        <v>25</v>
      </c>
      <c r="C2251" t="s">
        <v>455</v>
      </c>
      <c r="D2251" s="8"/>
      <c r="E2251" s="8"/>
      <c r="L2251" t="s">
        <v>563</v>
      </c>
      <c r="M2251" t="s">
        <v>478</v>
      </c>
      <c r="N2251" t="str">
        <f>Tabela_tudo[[#This Row],[Médico]]&amp;" ("&amp;Tabela_tudo[[#This Row],[Obs]]&amp;")"</f>
        <v>HEN ()</v>
      </c>
    </row>
    <row r="2252" spans="1:14" x14ac:dyDescent="0.3">
      <c r="A2252" s="1">
        <v>45167</v>
      </c>
      <c r="B2252" t="s">
        <v>25</v>
      </c>
      <c r="C2252" t="s">
        <v>455</v>
      </c>
      <c r="D2252" s="8"/>
      <c r="E2252" s="8"/>
      <c r="L2252" t="s">
        <v>563</v>
      </c>
      <c r="M2252" t="s">
        <v>478</v>
      </c>
      <c r="N2252" t="str">
        <f>Tabela_tudo[[#This Row],[Médico]]&amp;" ("&amp;Tabela_tudo[[#This Row],[Obs]]&amp;")"</f>
        <v>HEN ()</v>
      </c>
    </row>
    <row r="2253" spans="1:14" x14ac:dyDescent="0.3">
      <c r="A2253" s="1">
        <v>45104</v>
      </c>
      <c r="B2253" t="s">
        <v>25</v>
      </c>
      <c r="C2253" t="s">
        <v>455</v>
      </c>
      <c r="D2253" s="8"/>
      <c r="E2253" s="8"/>
      <c r="L2253" t="s">
        <v>563</v>
      </c>
      <c r="M2253" t="s">
        <v>478</v>
      </c>
      <c r="N2253" t="str">
        <f>Tabela_tudo[[#This Row],[Médico]]&amp;" ("&amp;Tabela_tudo[[#This Row],[Obs]]&amp;")"</f>
        <v>HEN ()</v>
      </c>
    </row>
    <row r="2254" spans="1:14" x14ac:dyDescent="0.3">
      <c r="A2254" s="1">
        <v>45097</v>
      </c>
      <c r="B2254" t="s">
        <v>25</v>
      </c>
      <c r="C2254" t="s">
        <v>455</v>
      </c>
      <c r="D2254" s="8"/>
      <c r="E2254" s="8"/>
      <c r="L2254" t="s">
        <v>563</v>
      </c>
      <c r="M2254" t="s">
        <v>478</v>
      </c>
      <c r="N2254" t="str">
        <f>Tabela_tudo[[#This Row],[Médico]]&amp;" ("&amp;Tabela_tudo[[#This Row],[Obs]]&amp;")"</f>
        <v>HEN ()</v>
      </c>
    </row>
    <row r="2255" spans="1:14" x14ac:dyDescent="0.3">
      <c r="A2255" s="1">
        <v>45090</v>
      </c>
      <c r="B2255" t="s">
        <v>25</v>
      </c>
      <c r="C2255" t="s">
        <v>455</v>
      </c>
      <c r="D2255" s="8"/>
      <c r="E2255" s="8"/>
      <c r="L2255" t="s">
        <v>563</v>
      </c>
      <c r="M2255" t="s">
        <v>478</v>
      </c>
      <c r="N2255" t="str">
        <f>Tabela_tudo[[#This Row],[Médico]]&amp;" ("&amp;Tabela_tudo[[#This Row],[Obs]]&amp;")"</f>
        <v>HEN ()</v>
      </c>
    </row>
    <row r="2256" spans="1:14" x14ac:dyDescent="0.3">
      <c r="A2256" s="1">
        <v>45111</v>
      </c>
      <c r="B2256" t="s">
        <v>25</v>
      </c>
      <c r="C2256" t="s">
        <v>455</v>
      </c>
      <c r="D2256" s="8"/>
      <c r="E2256" s="8"/>
      <c r="L2256" t="s">
        <v>563</v>
      </c>
      <c r="M2256" t="s">
        <v>478</v>
      </c>
      <c r="N2256" t="str">
        <f>Tabela_tudo[[#This Row],[Médico]]&amp;" ("&amp;Tabela_tudo[[#This Row],[Obs]]&amp;")"</f>
        <v>HEN ()</v>
      </c>
    </row>
    <row r="2257" spans="1:14" x14ac:dyDescent="0.3">
      <c r="A2257" s="1">
        <v>45132</v>
      </c>
      <c r="B2257" t="s">
        <v>25</v>
      </c>
      <c r="C2257" t="s">
        <v>455</v>
      </c>
      <c r="D2257" s="8"/>
      <c r="E2257" s="8"/>
      <c r="L2257" t="s">
        <v>563</v>
      </c>
      <c r="M2257" t="s">
        <v>478</v>
      </c>
      <c r="N2257" t="str">
        <f>Tabela_tudo[[#This Row],[Médico]]&amp;" ("&amp;Tabela_tudo[[#This Row],[Obs]]&amp;")"</f>
        <v>HEN ()</v>
      </c>
    </row>
    <row r="2258" spans="1:14" x14ac:dyDescent="0.3">
      <c r="A2258" s="1">
        <v>45125</v>
      </c>
      <c r="B2258" t="s">
        <v>25</v>
      </c>
      <c r="C2258" t="s">
        <v>455</v>
      </c>
      <c r="D2258" s="8"/>
      <c r="E2258" s="8"/>
      <c r="L2258" t="s">
        <v>563</v>
      </c>
      <c r="M2258" t="s">
        <v>478</v>
      </c>
      <c r="N2258" t="str">
        <f>Tabela_tudo[[#This Row],[Médico]]&amp;" ("&amp;Tabela_tudo[[#This Row],[Obs]]&amp;")"</f>
        <v>HEN ()</v>
      </c>
    </row>
    <row r="2259" spans="1:14" x14ac:dyDescent="0.3">
      <c r="A2259" s="1">
        <v>45118</v>
      </c>
      <c r="B2259" t="s">
        <v>25</v>
      </c>
      <c r="C2259" t="s">
        <v>455</v>
      </c>
      <c r="D2259" s="8"/>
      <c r="E2259" s="8"/>
      <c r="L2259" t="s">
        <v>563</v>
      </c>
      <c r="M2259" t="s">
        <v>478</v>
      </c>
      <c r="N2259" t="str">
        <f>Tabela_tudo[[#This Row],[Médico]]&amp;" ("&amp;Tabela_tudo[[#This Row],[Obs]]&amp;")"</f>
        <v>HEN ()</v>
      </c>
    </row>
    <row r="2260" spans="1:14" x14ac:dyDescent="0.3">
      <c r="A2260" s="1">
        <v>44978</v>
      </c>
      <c r="B2260" t="s">
        <v>25</v>
      </c>
      <c r="C2260" t="s">
        <v>455</v>
      </c>
      <c r="D2260" s="8"/>
      <c r="E2260" s="8"/>
      <c r="L2260" t="s">
        <v>563</v>
      </c>
      <c r="M2260" t="s">
        <v>478</v>
      </c>
      <c r="N2260" t="str">
        <f>Tabela_tudo[[#This Row],[Médico]]&amp;" ("&amp;Tabela_tudo[[#This Row],[Obs]]&amp;")"</f>
        <v>HEN ()</v>
      </c>
    </row>
    <row r="2261" spans="1:14" x14ac:dyDescent="0.3">
      <c r="A2261" s="1">
        <v>45566</v>
      </c>
      <c r="B2261" t="s">
        <v>84</v>
      </c>
      <c r="C2261" t="s">
        <v>455</v>
      </c>
      <c r="D2261" s="8"/>
      <c r="E2261" s="8"/>
      <c r="L2261" t="s">
        <v>563</v>
      </c>
      <c r="M2261" t="s">
        <v>478</v>
      </c>
      <c r="N2261" t="str">
        <f>Tabela_tudo[[#This Row],[Médico]]&amp;" ("&amp;Tabela_tudo[[#This Row],[Obs]]&amp;")"</f>
        <v>ANO ()</v>
      </c>
    </row>
    <row r="2262" spans="1:14" x14ac:dyDescent="0.3">
      <c r="A2262" s="1">
        <v>45559</v>
      </c>
      <c r="B2262" t="s">
        <v>84</v>
      </c>
      <c r="C2262" t="s">
        <v>455</v>
      </c>
      <c r="D2262" s="8"/>
      <c r="E2262" s="8"/>
      <c r="L2262" t="s">
        <v>563</v>
      </c>
      <c r="M2262" t="s">
        <v>478</v>
      </c>
      <c r="N2262" t="str">
        <f>Tabela_tudo[[#This Row],[Médico]]&amp;" ("&amp;Tabela_tudo[[#This Row],[Obs]]&amp;")"</f>
        <v>ANO ()</v>
      </c>
    </row>
    <row r="2263" spans="1:14" x14ac:dyDescent="0.3">
      <c r="A2263" s="1">
        <v>45552</v>
      </c>
      <c r="B2263" t="s">
        <v>84</v>
      </c>
      <c r="C2263" t="s">
        <v>455</v>
      </c>
      <c r="D2263" s="8"/>
      <c r="E2263" s="8"/>
      <c r="L2263" t="s">
        <v>563</v>
      </c>
      <c r="M2263" t="s">
        <v>478</v>
      </c>
      <c r="N2263" t="str">
        <f>Tabela_tudo[[#This Row],[Médico]]&amp;" ("&amp;Tabela_tudo[[#This Row],[Obs]]&amp;")"</f>
        <v>ANO ()</v>
      </c>
    </row>
    <row r="2264" spans="1:14" x14ac:dyDescent="0.3">
      <c r="A2264" s="1">
        <v>45573</v>
      </c>
      <c r="B2264" t="s">
        <v>84</v>
      </c>
      <c r="C2264" t="s">
        <v>455</v>
      </c>
      <c r="D2264" s="8"/>
      <c r="E2264" s="8"/>
      <c r="L2264" t="s">
        <v>563</v>
      </c>
      <c r="M2264" t="s">
        <v>478</v>
      </c>
      <c r="N2264" t="str">
        <f>Tabela_tudo[[#This Row],[Médico]]&amp;" ("&amp;Tabela_tudo[[#This Row],[Obs]]&amp;")"</f>
        <v>ANO ()</v>
      </c>
    </row>
    <row r="2265" spans="1:14" x14ac:dyDescent="0.3">
      <c r="A2265" s="1">
        <v>45594</v>
      </c>
      <c r="B2265" t="s">
        <v>84</v>
      </c>
      <c r="C2265" t="s">
        <v>455</v>
      </c>
      <c r="D2265" s="8"/>
      <c r="E2265" s="8"/>
      <c r="L2265" t="s">
        <v>563</v>
      </c>
      <c r="M2265" t="s">
        <v>478</v>
      </c>
      <c r="N2265" t="str">
        <f>Tabela_tudo[[#This Row],[Médico]]&amp;" ("&amp;Tabela_tudo[[#This Row],[Obs]]&amp;")"</f>
        <v>ANO ()</v>
      </c>
    </row>
    <row r="2266" spans="1:14" x14ac:dyDescent="0.3">
      <c r="A2266" s="1">
        <v>45587</v>
      </c>
      <c r="B2266" t="s">
        <v>84</v>
      </c>
      <c r="C2266" t="s">
        <v>455</v>
      </c>
      <c r="D2266" s="8"/>
      <c r="E2266" s="8"/>
      <c r="L2266" t="s">
        <v>563</v>
      </c>
      <c r="M2266" t="s">
        <v>478</v>
      </c>
      <c r="N2266" t="str">
        <f>Tabela_tudo[[#This Row],[Médico]]&amp;" ("&amp;Tabela_tudo[[#This Row],[Obs]]&amp;")"</f>
        <v>ANO ()</v>
      </c>
    </row>
    <row r="2267" spans="1:14" x14ac:dyDescent="0.3">
      <c r="A2267" s="1">
        <v>45580</v>
      </c>
      <c r="B2267" t="s">
        <v>84</v>
      </c>
      <c r="C2267" t="s">
        <v>455</v>
      </c>
      <c r="D2267" s="8"/>
      <c r="E2267" s="8"/>
      <c r="L2267" t="s">
        <v>563</v>
      </c>
      <c r="M2267" t="s">
        <v>478</v>
      </c>
      <c r="N2267" t="str">
        <f>Tabela_tudo[[#This Row],[Médico]]&amp;" ("&amp;Tabela_tudo[[#This Row],[Obs]]&amp;")"</f>
        <v>ANO ()</v>
      </c>
    </row>
    <row r="2268" spans="1:14" x14ac:dyDescent="0.3">
      <c r="A2268" s="1">
        <v>45517</v>
      </c>
      <c r="B2268" t="s">
        <v>84</v>
      </c>
      <c r="C2268" t="s">
        <v>455</v>
      </c>
      <c r="D2268" s="8"/>
      <c r="E2268" s="8"/>
      <c r="L2268" t="s">
        <v>563</v>
      </c>
      <c r="M2268" t="s">
        <v>478</v>
      </c>
      <c r="N2268" t="str">
        <f>Tabela_tudo[[#This Row],[Médico]]&amp;" ("&amp;Tabela_tudo[[#This Row],[Obs]]&amp;")"</f>
        <v>ANO ()</v>
      </c>
    </row>
    <row r="2269" spans="1:14" x14ac:dyDescent="0.3">
      <c r="A2269" s="1">
        <v>45510</v>
      </c>
      <c r="B2269" t="s">
        <v>84</v>
      </c>
      <c r="C2269" t="s">
        <v>455</v>
      </c>
      <c r="D2269" s="8"/>
      <c r="E2269" s="8"/>
      <c r="L2269" t="s">
        <v>563</v>
      </c>
      <c r="M2269" t="s">
        <v>478</v>
      </c>
      <c r="N2269" t="str">
        <f>Tabela_tudo[[#This Row],[Médico]]&amp;" ("&amp;Tabela_tudo[[#This Row],[Obs]]&amp;")"</f>
        <v>ANO ()</v>
      </c>
    </row>
    <row r="2270" spans="1:14" x14ac:dyDescent="0.3">
      <c r="A2270" s="1">
        <v>45503</v>
      </c>
      <c r="B2270" t="s">
        <v>84</v>
      </c>
      <c r="C2270" t="s">
        <v>455</v>
      </c>
      <c r="D2270" s="8"/>
      <c r="E2270" s="8"/>
      <c r="L2270" t="s">
        <v>563</v>
      </c>
      <c r="M2270" t="s">
        <v>478</v>
      </c>
      <c r="N2270" t="str">
        <f>Tabela_tudo[[#This Row],[Médico]]&amp;" ("&amp;Tabela_tudo[[#This Row],[Obs]]&amp;")"</f>
        <v>ANO ()</v>
      </c>
    </row>
    <row r="2271" spans="1:14" x14ac:dyDescent="0.3">
      <c r="A2271" s="1">
        <v>45524</v>
      </c>
      <c r="B2271" t="s">
        <v>84</v>
      </c>
      <c r="C2271" t="s">
        <v>455</v>
      </c>
      <c r="D2271" s="8"/>
      <c r="E2271" s="8"/>
      <c r="L2271" t="s">
        <v>563</v>
      </c>
      <c r="M2271" t="s">
        <v>478</v>
      </c>
      <c r="N2271" t="str">
        <f>Tabela_tudo[[#This Row],[Médico]]&amp;" ("&amp;Tabela_tudo[[#This Row],[Obs]]&amp;")"</f>
        <v>ANO ()</v>
      </c>
    </row>
    <row r="2272" spans="1:14" x14ac:dyDescent="0.3">
      <c r="A2272" s="1">
        <v>45545</v>
      </c>
      <c r="B2272" t="s">
        <v>84</v>
      </c>
      <c r="C2272" t="s">
        <v>455</v>
      </c>
      <c r="D2272" s="8"/>
      <c r="E2272" s="8"/>
      <c r="L2272" t="s">
        <v>563</v>
      </c>
      <c r="M2272" t="s">
        <v>478</v>
      </c>
      <c r="N2272" t="str">
        <f>Tabela_tudo[[#This Row],[Médico]]&amp;" ("&amp;Tabela_tudo[[#This Row],[Obs]]&amp;")"</f>
        <v>ANO ()</v>
      </c>
    </row>
    <row r="2273" spans="1:14" x14ac:dyDescent="0.3">
      <c r="A2273" s="1">
        <v>45538</v>
      </c>
      <c r="B2273" t="s">
        <v>84</v>
      </c>
      <c r="C2273" t="s">
        <v>455</v>
      </c>
      <c r="D2273" s="8"/>
      <c r="E2273" s="8"/>
      <c r="L2273" t="s">
        <v>563</v>
      </c>
      <c r="M2273" t="s">
        <v>478</v>
      </c>
      <c r="N2273" t="str">
        <f>Tabela_tudo[[#This Row],[Médico]]&amp;" ("&amp;Tabela_tudo[[#This Row],[Obs]]&amp;")"</f>
        <v>ANO ()</v>
      </c>
    </row>
    <row r="2274" spans="1:14" x14ac:dyDescent="0.3">
      <c r="A2274" s="1">
        <v>45531</v>
      </c>
      <c r="B2274" t="s">
        <v>84</v>
      </c>
      <c r="C2274" t="s">
        <v>455</v>
      </c>
      <c r="D2274" s="8"/>
      <c r="E2274" s="8"/>
      <c r="L2274" t="s">
        <v>563</v>
      </c>
      <c r="M2274" t="s">
        <v>478</v>
      </c>
      <c r="N2274" t="str">
        <f>Tabela_tudo[[#This Row],[Médico]]&amp;" ("&amp;Tabela_tudo[[#This Row],[Obs]]&amp;")"</f>
        <v>ANO ()</v>
      </c>
    </row>
    <row r="2275" spans="1:14" x14ac:dyDescent="0.3">
      <c r="A2275" s="1">
        <v>45601</v>
      </c>
      <c r="B2275" t="s">
        <v>84</v>
      </c>
      <c r="C2275" t="s">
        <v>455</v>
      </c>
      <c r="D2275" s="8"/>
      <c r="E2275" s="8"/>
      <c r="L2275" t="s">
        <v>563</v>
      </c>
      <c r="M2275" t="s">
        <v>478</v>
      </c>
      <c r="N2275" t="str">
        <f>Tabela_tudo[[#This Row],[Médico]]&amp;" ("&amp;Tabela_tudo[[#This Row],[Obs]]&amp;")"</f>
        <v>ANO ()</v>
      </c>
    </row>
    <row r="2276" spans="1:14" x14ac:dyDescent="0.3">
      <c r="A2276" s="1">
        <v>44943</v>
      </c>
      <c r="B2276" t="s">
        <v>25</v>
      </c>
      <c r="C2276" t="s">
        <v>455</v>
      </c>
      <c r="D2276" s="8"/>
      <c r="E2276" s="8"/>
      <c r="L2276" t="s">
        <v>563</v>
      </c>
      <c r="M2276" t="s">
        <v>478</v>
      </c>
      <c r="N2276" t="str">
        <f>Tabela_tudo[[#This Row],[Médico]]&amp;" ("&amp;Tabela_tudo[[#This Row],[Obs]]&amp;")"</f>
        <v>HEN ()</v>
      </c>
    </row>
    <row r="2277" spans="1:14" x14ac:dyDescent="0.3">
      <c r="A2277" s="1">
        <v>44936</v>
      </c>
      <c r="B2277" t="s">
        <v>25</v>
      </c>
      <c r="C2277" t="s">
        <v>455</v>
      </c>
      <c r="D2277" s="8"/>
      <c r="E2277" s="8"/>
      <c r="L2277" t="s">
        <v>563</v>
      </c>
      <c r="M2277" t="s">
        <v>478</v>
      </c>
      <c r="N2277" t="str">
        <f>Tabela_tudo[[#This Row],[Médico]]&amp;" ("&amp;Tabela_tudo[[#This Row],[Obs]]&amp;")"</f>
        <v>HEN ()</v>
      </c>
    </row>
    <row r="2278" spans="1:14" x14ac:dyDescent="0.3">
      <c r="A2278" s="1">
        <v>44929</v>
      </c>
      <c r="B2278" t="s">
        <v>25</v>
      </c>
      <c r="C2278" t="s">
        <v>455</v>
      </c>
      <c r="D2278" s="8"/>
      <c r="E2278" s="8"/>
      <c r="L2278" t="s">
        <v>563</v>
      </c>
      <c r="M2278" t="s">
        <v>478</v>
      </c>
      <c r="N2278" t="str">
        <f>Tabela_tudo[[#This Row],[Médico]]&amp;" ("&amp;Tabela_tudo[[#This Row],[Obs]]&amp;")"</f>
        <v>HEN ()</v>
      </c>
    </row>
    <row r="2279" spans="1:14" x14ac:dyDescent="0.3">
      <c r="A2279" s="1">
        <v>44950</v>
      </c>
      <c r="B2279" t="s">
        <v>25</v>
      </c>
      <c r="C2279" t="s">
        <v>455</v>
      </c>
      <c r="D2279" s="8"/>
      <c r="E2279" s="8"/>
      <c r="L2279" t="s">
        <v>563</v>
      </c>
      <c r="M2279" t="s">
        <v>478</v>
      </c>
      <c r="N2279" t="str">
        <f>Tabela_tudo[[#This Row],[Médico]]&amp;" ("&amp;Tabela_tudo[[#This Row],[Obs]]&amp;")"</f>
        <v>HEN ()</v>
      </c>
    </row>
    <row r="2280" spans="1:14" x14ac:dyDescent="0.3">
      <c r="A2280" s="1">
        <v>44971</v>
      </c>
      <c r="B2280" t="s">
        <v>25</v>
      </c>
      <c r="C2280" t="s">
        <v>455</v>
      </c>
      <c r="D2280" s="8"/>
      <c r="E2280" s="8"/>
      <c r="L2280" t="s">
        <v>563</v>
      </c>
      <c r="M2280" t="s">
        <v>478</v>
      </c>
      <c r="N2280" t="str">
        <f>Tabela_tudo[[#This Row],[Médico]]&amp;" ("&amp;Tabela_tudo[[#This Row],[Obs]]&amp;")"</f>
        <v>HEN ()</v>
      </c>
    </row>
    <row r="2281" spans="1:14" x14ac:dyDescent="0.3">
      <c r="A2281" s="1">
        <v>44964</v>
      </c>
      <c r="B2281" t="s">
        <v>25</v>
      </c>
      <c r="C2281" t="s">
        <v>455</v>
      </c>
      <c r="D2281" s="8"/>
      <c r="E2281" s="8"/>
      <c r="L2281" t="s">
        <v>563</v>
      </c>
      <c r="M2281" t="s">
        <v>478</v>
      </c>
      <c r="N2281" t="str">
        <f>Tabela_tudo[[#This Row],[Médico]]&amp;" ("&amp;Tabela_tudo[[#This Row],[Obs]]&amp;")"</f>
        <v>HEN ()</v>
      </c>
    </row>
    <row r="2282" spans="1:14" x14ac:dyDescent="0.3">
      <c r="A2282" s="1">
        <v>44957</v>
      </c>
      <c r="B2282" t="s">
        <v>25</v>
      </c>
      <c r="C2282" t="s">
        <v>455</v>
      </c>
      <c r="D2282" s="8"/>
      <c r="E2282" s="8"/>
      <c r="L2282" t="s">
        <v>563</v>
      </c>
      <c r="M2282" t="s">
        <v>478</v>
      </c>
      <c r="N2282" t="str">
        <f>Tabela_tudo[[#This Row],[Médico]]&amp;" ("&amp;Tabela_tudo[[#This Row],[Obs]]&amp;")"</f>
        <v>HEN ()</v>
      </c>
    </row>
    <row r="2283" spans="1:14" x14ac:dyDescent="0.3">
      <c r="A2283" s="1">
        <v>45622</v>
      </c>
      <c r="B2283" t="s">
        <v>84</v>
      </c>
      <c r="C2283" t="s">
        <v>455</v>
      </c>
      <c r="D2283" s="8"/>
      <c r="E2283" s="8"/>
      <c r="L2283" t="s">
        <v>563</v>
      </c>
      <c r="M2283" t="s">
        <v>478</v>
      </c>
      <c r="N2283" t="str">
        <f>Tabela_tudo[[#This Row],[Médico]]&amp;" ("&amp;Tabela_tudo[[#This Row],[Obs]]&amp;")"</f>
        <v>ANO ()</v>
      </c>
    </row>
    <row r="2284" spans="1:14" x14ac:dyDescent="0.3">
      <c r="A2284" s="1">
        <v>45615</v>
      </c>
      <c r="B2284" t="s">
        <v>84</v>
      </c>
      <c r="C2284" t="s">
        <v>455</v>
      </c>
      <c r="D2284" s="8"/>
      <c r="E2284" s="8"/>
      <c r="L2284" t="s">
        <v>563</v>
      </c>
      <c r="M2284" t="s">
        <v>478</v>
      </c>
      <c r="N2284" t="str">
        <f>Tabela_tudo[[#This Row],[Médico]]&amp;" ("&amp;Tabela_tudo[[#This Row],[Obs]]&amp;")"</f>
        <v>ANO ()</v>
      </c>
    </row>
    <row r="2285" spans="1:14" x14ac:dyDescent="0.3">
      <c r="A2285" s="1">
        <v>45608</v>
      </c>
      <c r="B2285" t="s">
        <v>84</v>
      </c>
      <c r="C2285" t="s">
        <v>455</v>
      </c>
      <c r="D2285" s="8"/>
      <c r="E2285" s="8"/>
      <c r="L2285" t="s">
        <v>563</v>
      </c>
      <c r="M2285" t="s">
        <v>478</v>
      </c>
      <c r="N2285" t="str">
        <f>Tabela_tudo[[#This Row],[Médico]]&amp;" ("&amp;Tabela_tudo[[#This Row],[Obs]]&amp;")"</f>
        <v>ANO ()</v>
      </c>
    </row>
    <row r="2286" spans="1:14" x14ac:dyDescent="0.3">
      <c r="A2286" s="1">
        <v>45629</v>
      </c>
      <c r="B2286" t="s">
        <v>84</v>
      </c>
      <c r="C2286" t="s">
        <v>455</v>
      </c>
      <c r="D2286" s="8"/>
      <c r="E2286" s="8"/>
      <c r="L2286" t="s">
        <v>563</v>
      </c>
      <c r="M2286" t="s">
        <v>478</v>
      </c>
      <c r="N2286" t="str">
        <f>Tabela_tudo[[#This Row],[Médico]]&amp;" ("&amp;Tabela_tudo[[#This Row],[Obs]]&amp;")"</f>
        <v>ANO ()</v>
      </c>
    </row>
    <row r="2287" spans="1:14" x14ac:dyDescent="0.3">
      <c r="A2287" s="1">
        <v>45650</v>
      </c>
      <c r="B2287" t="s">
        <v>84</v>
      </c>
      <c r="C2287" t="s">
        <v>455</v>
      </c>
      <c r="D2287" s="8"/>
      <c r="E2287" s="8"/>
      <c r="L2287" t="s">
        <v>563</v>
      </c>
      <c r="M2287" t="s">
        <v>478</v>
      </c>
      <c r="N2287" t="str">
        <f>Tabela_tudo[[#This Row],[Médico]]&amp;" ("&amp;Tabela_tudo[[#This Row],[Obs]]&amp;")"</f>
        <v>ANO ()</v>
      </c>
    </row>
    <row r="2288" spans="1:14" x14ac:dyDescent="0.3">
      <c r="A2288" s="1">
        <v>45643</v>
      </c>
      <c r="B2288" t="s">
        <v>84</v>
      </c>
      <c r="C2288" t="s">
        <v>455</v>
      </c>
      <c r="D2288" s="8"/>
      <c r="E2288" s="8"/>
      <c r="L2288" t="s">
        <v>563</v>
      </c>
      <c r="M2288" t="s">
        <v>478</v>
      </c>
      <c r="N2288" t="str">
        <f>Tabela_tudo[[#This Row],[Médico]]&amp;" ("&amp;Tabela_tudo[[#This Row],[Obs]]&amp;")"</f>
        <v>ANO ()</v>
      </c>
    </row>
    <row r="2289" spans="1:14" x14ac:dyDescent="0.3">
      <c r="A2289" s="1">
        <v>45636</v>
      </c>
      <c r="B2289" t="s">
        <v>84</v>
      </c>
      <c r="C2289" t="s">
        <v>455</v>
      </c>
      <c r="D2289" s="8"/>
      <c r="E2289" s="8"/>
      <c r="L2289" t="s">
        <v>563</v>
      </c>
      <c r="M2289" t="s">
        <v>478</v>
      </c>
      <c r="N2289" t="str">
        <f>Tabela_tudo[[#This Row],[Médico]]&amp;" ("&amp;Tabela_tudo[[#This Row],[Obs]]&amp;")"</f>
        <v>ANO ()</v>
      </c>
    </row>
    <row r="2290" spans="1:14" x14ac:dyDescent="0.3">
      <c r="A2290" s="1">
        <v>45188</v>
      </c>
      <c r="B2290" t="s">
        <v>25</v>
      </c>
      <c r="C2290" t="s">
        <v>455</v>
      </c>
      <c r="D2290" s="8"/>
      <c r="E2290" s="8"/>
      <c r="L2290" t="s">
        <v>563</v>
      </c>
      <c r="M2290" t="s">
        <v>478</v>
      </c>
      <c r="N2290" t="str">
        <f>Tabela_tudo[[#This Row],[Médico]]&amp;" ("&amp;Tabela_tudo[[#This Row],[Obs]]&amp;")"</f>
        <v>HEN ()</v>
      </c>
    </row>
    <row r="2291" spans="1:14" x14ac:dyDescent="0.3">
      <c r="A2291" s="1">
        <v>45468</v>
      </c>
      <c r="B2291" t="s">
        <v>25</v>
      </c>
      <c r="C2291" t="s">
        <v>455</v>
      </c>
      <c r="D2291" s="8"/>
      <c r="E2291" s="8"/>
      <c r="L2291" t="s">
        <v>563</v>
      </c>
      <c r="M2291" t="s">
        <v>478</v>
      </c>
      <c r="N2291" t="str">
        <f>Tabela_tudo[[#This Row],[Médico]]&amp;" ("&amp;Tabela_tudo[[#This Row],[Obs]]&amp;")"</f>
        <v>HEN ()</v>
      </c>
    </row>
    <row r="2292" spans="1:14" x14ac:dyDescent="0.3">
      <c r="A2292" s="1">
        <v>45461</v>
      </c>
      <c r="B2292" t="s">
        <v>25</v>
      </c>
      <c r="C2292" t="s">
        <v>455</v>
      </c>
      <c r="D2292" s="8"/>
      <c r="E2292" s="8"/>
      <c r="L2292" t="s">
        <v>563</v>
      </c>
      <c r="M2292" t="s">
        <v>478</v>
      </c>
      <c r="N2292" t="str">
        <f>Tabela_tudo[[#This Row],[Médico]]&amp;" ("&amp;Tabela_tudo[[#This Row],[Obs]]&amp;")"</f>
        <v>HEN ()</v>
      </c>
    </row>
    <row r="2293" spans="1:14" x14ac:dyDescent="0.3">
      <c r="A2293" s="1">
        <v>45454</v>
      </c>
      <c r="B2293" t="s">
        <v>25</v>
      </c>
      <c r="C2293" t="s">
        <v>455</v>
      </c>
      <c r="D2293" s="8"/>
      <c r="E2293" s="8"/>
      <c r="L2293" t="s">
        <v>563</v>
      </c>
      <c r="M2293" t="s">
        <v>478</v>
      </c>
      <c r="N2293" t="str">
        <f>Tabela_tudo[[#This Row],[Médico]]&amp;" ("&amp;Tabela_tudo[[#This Row],[Obs]]&amp;")"</f>
        <v>HEN ()</v>
      </c>
    </row>
    <row r="2294" spans="1:14" x14ac:dyDescent="0.3">
      <c r="A2294" s="1">
        <v>45475</v>
      </c>
      <c r="B2294" t="s">
        <v>25</v>
      </c>
      <c r="C2294" t="s">
        <v>455</v>
      </c>
      <c r="D2294" s="8"/>
      <c r="E2294" s="8"/>
      <c r="L2294" t="s">
        <v>563</v>
      </c>
      <c r="M2294" t="s">
        <v>478</v>
      </c>
      <c r="N2294" t="str">
        <f>Tabela_tudo[[#This Row],[Médico]]&amp;" ("&amp;Tabela_tudo[[#This Row],[Obs]]&amp;")"</f>
        <v>HEN ()</v>
      </c>
    </row>
    <row r="2295" spans="1:14" x14ac:dyDescent="0.3">
      <c r="A2295" s="1">
        <v>45496</v>
      </c>
      <c r="B2295" t="s">
        <v>25</v>
      </c>
      <c r="C2295" t="s">
        <v>455</v>
      </c>
      <c r="D2295" s="8"/>
      <c r="E2295" s="8"/>
      <c r="L2295" t="s">
        <v>563</v>
      </c>
      <c r="M2295" t="s">
        <v>478</v>
      </c>
      <c r="N2295" t="str">
        <f>Tabela_tudo[[#This Row],[Médico]]&amp;" ("&amp;Tabela_tudo[[#This Row],[Obs]]&amp;")"</f>
        <v>HEN ()</v>
      </c>
    </row>
    <row r="2296" spans="1:14" x14ac:dyDescent="0.3">
      <c r="A2296" s="1">
        <v>45489</v>
      </c>
      <c r="B2296" t="s">
        <v>25</v>
      </c>
      <c r="C2296" t="s">
        <v>455</v>
      </c>
      <c r="D2296" s="8"/>
      <c r="E2296" s="8"/>
      <c r="L2296" t="s">
        <v>563</v>
      </c>
      <c r="M2296" t="s">
        <v>478</v>
      </c>
      <c r="N2296" t="str">
        <f>Tabela_tudo[[#This Row],[Médico]]&amp;" ("&amp;Tabela_tudo[[#This Row],[Obs]]&amp;")"</f>
        <v>HEN ()</v>
      </c>
    </row>
    <row r="2297" spans="1:14" x14ac:dyDescent="0.3">
      <c r="A2297" s="1">
        <v>45482</v>
      </c>
      <c r="B2297" t="s">
        <v>25</v>
      </c>
      <c r="C2297" t="s">
        <v>455</v>
      </c>
      <c r="D2297" s="8"/>
      <c r="E2297" s="8"/>
      <c r="L2297" t="s">
        <v>563</v>
      </c>
      <c r="M2297" t="s">
        <v>478</v>
      </c>
      <c r="N2297" t="str">
        <f>Tabela_tudo[[#This Row],[Médico]]&amp;" ("&amp;Tabela_tudo[[#This Row],[Obs]]&amp;")"</f>
        <v>HEN ()</v>
      </c>
    </row>
    <row r="2298" spans="1:14" x14ac:dyDescent="0.3">
      <c r="A2298" s="1">
        <v>45419</v>
      </c>
      <c r="B2298" t="s">
        <v>25</v>
      </c>
      <c r="C2298" t="s">
        <v>455</v>
      </c>
      <c r="D2298" s="8"/>
      <c r="E2298" s="8"/>
      <c r="L2298" t="s">
        <v>563</v>
      </c>
      <c r="M2298" t="s">
        <v>478</v>
      </c>
      <c r="N2298" t="str">
        <f>Tabela_tudo[[#This Row],[Médico]]&amp;" ("&amp;Tabela_tudo[[#This Row],[Obs]]&amp;")"</f>
        <v>HEN ()</v>
      </c>
    </row>
    <row r="2299" spans="1:14" x14ac:dyDescent="0.3">
      <c r="A2299" s="1">
        <v>45412</v>
      </c>
      <c r="B2299" t="s">
        <v>25</v>
      </c>
      <c r="C2299" t="s">
        <v>455</v>
      </c>
      <c r="D2299" s="8"/>
      <c r="E2299" s="8"/>
      <c r="L2299" t="s">
        <v>563</v>
      </c>
      <c r="M2299" t="s">
        <v>478</v>
      </c>
      <c r="N2299" t="str">
        <f>Tabela_tudo[[#This Row],[Médico]]&amp;" ("&amp;Tabela_tudo[[#This Row],[Obs]]&amp;")"</f>
        <v>HEN ()</v>
      </c>
    </row>
    <row r="2300" spans="1:14" x14ac:dyDescent="0.3">
      <c r="A2300" s="1">
        <v>45405</v>
      </c>
      <c r="B2300" t="s">
        <v>25</v>
      </c>
      <c r="C2300" t="s">
        <v>455</v>
      </c>
      <c r="D2300" s="8"/>
      <c r="E2300" s="8"/>
      <c r="L2300" t="s">
        <v>563</v>
      </c>
      <c r="M2300" t="s">
        <v>478</v>
      </c>
      <c r="N2300" t="str">
        <f>Tabela_tudo[[#This Row],[Médico]]&amp;" ("&amp;Tabela_tudo[[#This Row],[Obs]]&amp;")"</f>
        <v>HEN ()</v>
      </c>
    </row>
    <row r="2301" spans="1:14" x14ac:dyDescent="0.3">
      <c r="A2301" s="1">
        <v>45426</v>
      </c>
      <c r="B2301" t="s">
        <v>25</v>
      </c>
      <c r="C2301" t="s">
        <v>455</v>
      </c>
      <c r="D2301" s="8"/>
      <c r="E2301" s="8"/>
      <c r="L2301" t="s">
        <v>563</v>
      </c>
      <c r="M2301" t="s">
        <v>478</v>
      </c>
      <c r="N2301" t="str">
        <f>Tabela_tudo[[#This Row],[Médico]]&amp;" ("&amp;Tabela_tudo[[#This Row],[Obs]]&amp;")"</f>
        <v>HEN ()</v>
      </c>
    </row>
    <row r="2302" spans="1:14" x14ac:dyDescent="0.3">
      <c r="A2302" s="1">
        <v>45447</v>
      </c>
      <c r="B2302" t="s">
        <v>25</v>
      </c>
      <c r="C2302" t="s">
        <v>455</v>
      </c>
      <c r="D2302" s="8"/>
      <c r="E2302" s="8"/>
      <c r="L2302" t="s">
        <v>563</v>
      </c>
      <c r="M2302" t="s">
        <v>478</v>
      </c>
      <c r="N2302" t="str">
        <f>Tabela_tudo[[#This Row],[Médico]]&amp;" ("&amp;Tabela_tudo[[#This Row],[Obs]]&amp;")"</f>
        <v>HEN ()</v>
      </c>
    </row>
    <row r="2303" spans="1:14" x14ac:dyDescent="0.3">
      <c r="A2303" s="1">
        <v>45440</v>
      </c>
      <c r="B2303" t="s">
        <v>25</v>
      </c>
      <c r="C2303" t="s">
        <v>455</v>
      </c>
      <c r="D2303" s="8"/>
      <c r="E2303" s="8"/>
      <c r="L2303" t="s">
        <v>563</v>
      </c>
      <c r="M2303" t="s">
        <v>478</v>
      </c>
      <c r="N2303" t="str">
        <f>Tabela_tudo[[#This Row],[Médico]]&amp;" ("&amp;Tabela_tudo[[#This Row],[Obs]]&amp;")"</f>
        <v>HEN ()</v>
      </c>
    </row>
    <row r="2304" spans="1:14" x14ac:dyDescent="0.3">
      <c r="A2304" s="1">
        <v>45433</v>
      </c>
      <c r="B2304" t="s">
        <v>25</v>
      </c>
      <c r="C2304" t="s">
        <v>455</v>
      </c>
      <c r="D2304" s="8"/>
      <c r="E2304" s="8"/>
      <c r="L2304" t="s">
        <v>563</v>
      </c>
      <c r="M2304" t="s">
        <v>478</v>
      </c>
      <c r="N2304" t="str">
        <f>Tabela_tudo[[#This Row],[Médico]]&amp;" ("&amp;Tabela_tudo[[#This Row],[Obs]]&amp;")"</f>
        <v>HEN ()</v>
      </c>
    </row>
    <row r="2305" spans="1:14" x14ac:dyDescent="0.3">
      <c r="A2305" s="1">
        <v>45503</v>
      </c>
      <c r="B2305" t="s">
        <v>25</v>
      </c>
      <c r="C2305" t="s">
        <v>455</v>
      </c>
      <c r="D2305" s="8"/>
      <c r="E2305" s="8"/>
      <c r="L2305" t="s">
        <v>563</v>
      </c>
      <c r="M2305" t="s">
        <v>478</v>
      </c>
      <c r="N2305" t="str">
        <f>Tabela_tudo[[#This Row],[Médico]]&amp;" ("&amp;Tabela_tudo[[#This Row],[Obs]]&amp;")"</f>
        <v>HEN ()</v>
      </c>
    </row>
    <row r="2306" spans="1:14" x14ac:dyDescent="0.3">
      <c r="A2306" s="1">
        <v>45573</v>
      </c>
      <c r="B2306" t="s">
        <v>25</v>
      </c>
      <c r="C2306" t="s">
        <v>455</v>
      </c>
      <c r="D2306" s="8"/>
      <c r="E2306" s="8"/>
      <c r="L2306" t="s">
        <v>563</v>
      </c>
      <c r="M2306" t="s">
        <v>478</v>
      </c>
      <c r="N2306" t="str">
        <f>Tabela_tudo[[#This Row],[Médico]]&amp;" ("&amp;Tabela_tudo[[#This Row],[Obs]]&amp;")"</f>
        <v>HEN ()</v>
      </c>
    </row>
    <row r="2307" spans="1:14" x14ac:dyDescent="0.3">
      <c r="A2307" s="1">
        <v>45566</v>
      </c>
      <c r="B2307" t="s">
        <v>25</v>
      </c>
      <c r="C2307" t="s">
        <v>455</v>
      </c>
      <c r="D2307" s="8"/>
      <c r="E2307" s="8"/>
      <c r="L2307" t="s">
        <v>563</v>
      </c>
      <c r="M2307" t="s">
        <v>478</v>
      </c>
      <c r="N2307" t="str">
        <f>Tabela_tudo[[#This Row],[Médico]]&amp;" ("&amp;Tabela_tudo[[#This Row],[Obs]]&amp;")"</f>
        <v>HEN ()</v>
      </c>
    </row>
    <row r="2308" spans="1:14" x14ac:dyDescent="0.3">
      <c r="A2308" s="1">
        <v>45559</v>
      </c>
      <c r="B2308" t="s">
        <v>25</v>
      </c>
      <c r="C2308" t="s">
        <v>455</v>
      </c>
      <c r="D2308" s="8"/>
      <c r="E2308" s="8"/>
      <c r="L2308" t="s">
        <v>563</v>
      </c>
      <c r="M2308" t="s">
        <v>478</v>
      </c>
      <c r="N2308" t="str">
        <f>Tabela_tudo[[#This Row],[Médico]]&amp;" ("&amp;Tabela_tudo[[#This Row],[Obs]]&amp;")"</f>
        <v>HEN ()</v>
      </c>
    </row>
    <row r="2309" spans="1:14" x14ac:dyDescent="0.3">
      <c r="A2309" s="1">
        <v>45580</v>
      </c>
      <c r="B2309" t="s">
        <v>25</v>
      </c>
      <c r="C2309" t="s">
        <v>455</v>
      </c>
      <c r="D2309" s="8"/>
      <c r="E2309" s="8"/>
      <c r="L2309" t="s">
        <v>563</v>
      </c>
      <c r="M2309" t="s">
        <v>478</v>
      </c>
      <c r="N2309" t="str">
        <f>Tabela_tudo[[#This Row],[Médico]]&amp;" ("&amp;Tabela_tudo[[#This Row],[Obs]]&amp;")"</f>
        <v>HEN ()</v>
      </c>
    </row>
    <row r="2310" spans="1:14" x14ac:dyDescent="0.3">
      <c r="A2310" s="1">
        <v>45601</v>
      </c>
      <c r="B2310" t="s">
        <v>25</v>
      </c>
      <c r="C2310" t="s">
        <v>455</v>
      </c>
      <c r="D2310" s="8"/>
      <c r="E2310" s="8"/>
      <c r="L2310" t="s">
        <v>563</v>
      </c>
      <c r="M2310" t="s">
        <v>478</v>
      </c>
      <c r="N2310" t="str">
        <f>Tabela_tudo[[#This Row],[Médico]]&amp;" ("&amp;Tabela_tudo[[#This Row],[Obs]]&amp;")"</f>
        <v>HEN ()</v>
      </c>
    </row>
    <row r="2311" spans="1:14" x14ac:dyDescent="0.3">
      <c r="A2311" s="1">
        <v>45594</v>
      </c>
      <c r="B2311" t="s">
        <v>25</v>
      </c>
      <c r="C2311" t="s">
        <v>455</v>
      </c>
      <c r="D2311" s="8"/>
      <c r="E2311" s="8"/>
      <c r="L2311" t="s">
        <v>563</v>
      </c>
      <c r="M2311" t="s">
        <v>478</v>
      </c>
      <c r="N2311" t="str">
        <f>Tabela_tudo[[#This Row],[Médico]]&amp;" ("&amp;Tabela_tudo[[#This Row],[Obs]]&amp;")"</f>
        <v>HEN ()</v>
      </c>
    </row>
    <row r="2312" spans="1:14" x14ac:dyDescent="0.3">
      <c r="A2312" s="1">
        <v>45587</v>
      </c>
      <c r="B2312" t="s">
        <v>25</v>
      </c>
      <c r="C2312" t="s">
        <v>455</v>
      </c>
      <c r="D2312" s="8"/>
      <c r="E2312" s="8"/>
      <c r="L2312" t="s">
        <v>563</v>
      </c>
      <c r="M2312" t="s">
        <v>478</v>
      </c>
      <c r="N2312" t="str">
        <f>Tabela_tudo[[#This Row],[Médico]]&amp;" ("&amp;Tabela_tudo[[#This Row],[Obs]]&amp;")"</f>
        <v>HEN ()</v>
      </c>
    </row>
    <row r="2313" spans="1:14" x14ac:dyDescent="0.3">
      <c r="A2313" s="1">
        <v>45524</v>
      </c>
      <c r="B2313" t="s">
        <v>25</v>
      </c>
      <c r="C2313" t="s">
        <v>455</v>
      </c>
      <c r="D2313" s="8"/>
      <c r="E2313" s="8"/>
      <c r="L2313" t="s">
        <v>563</v>
      </c>
      <c r="M2313" t="s">
        <v>478</v>
      </c>
      <c r="N2313" t="str">
        <f>Tabela_tudo[[#This Row],[Médico]]&amp;" ("&amp;Tabela_tudo[[#This Row],[Obs]]&amp;")"</f>
        <v>HEN ()</v>
      </c>
    </row>
    <row r="2314" spans="1:14" x14ac:dyDescent="0.3">
      <c r="A2314" s="1">
        <v>45517</v>
      </c>
      <c r="B2314" t="s">
        <v>25</v>
      </c>
      <c r="C2314" t="s">
        <v>455</v>
      </c>
      <c r="D2314" s="8"/>
      <c r="E2314" s="8"/>
      <c r="L2314" t="s">
        <v>563</v>
      </c>
      <c r="M2314" t="s">
        <v>478</v>
      </c>
      <c r="N2314" t="str">
        <f>Tabela_tudo[[#This Row],[Médico]]&amp;" ("&amp;Tabela_tudo[[#This Row],[Obs]]&amp;")"</f>
        <v>HEN ()</v>
      </c>
    </row>
    <row r="2315" spans="1:14" x14ac:dyDescent="0.3">
      <c r="A2315" s="1">
        <v>45510</v>
      </c>
      <c r="B2315" t="s">
        <v>25</v>
      </c>
      <c r="C2315" t="s">
        <v>455</v>
      </c>
      <c r="D2315" s="8"/>
      <c r="E2315" s="8"/>
      <c r="L2315" t="s">
        <v>563</v>
      </c>
      <c r="M2315" t="s">
        <v>478</v>
      </c>
      <c r="N2315" t="str">
        <f>Tabela_tudo[[#This Row],[Médico]]&amp;" ("&amp;Tabela_tudo[[#This Row],[Obs]]&amp;")"</f>
        <v>HEN ()</v>
      </c>
    </row>
    <row r="2316" spans="1:14" x14ac:dyDescent="0.3">
      <c r="A2316" s="1">
        <v>45531</v>
      </c>
      <c r="B2316" t="s">
        <v>25</v>
      </c>
      <c r="C2316" t="s">
        <v>455</v>
      </c>
      <c r="D2316" s="8"/>
      <c r="E2316" s="8"/>
      <c r="L2316" t="s">
        <v>563</v>
      </c>
      <c r="M2316" t="s">
        <v>478</v>
      </c>
      <c r="N2316" t="str">
        <f>Tabela_tudo[[#This Row],[Médico]]&amp;" ("&amp;Tabela_tudo[[#This Row],[Obs]]&amp;")"</f>
        <v>HEN ()</v>
      </c>
    </row>
    <row r="2317" spans="1:14" x14ac:dyDescent="0.3">
      <c r="A2317" s="1">
        <v>45552</v>
      </c>
      <c r="B2317" t="s">
        <v>25</v>
      </c>
      <c r="C2317" t="s">
        <v>455</v>
      </c>
      <c r="D2317" s="8"/>
      <c r="E2317" s="8"/>
      <c r="L2317" t="s">
        <v>563</v>
      </c>
      <c r="M2317" t="s">
        <v>478</v>
      </c>
      <c r="N2317" t="str">
        <f>Tabela_tudo[[#This Row],[Médico]]&amp;" ("&amp;Tabela_tudo[[#This Row],[Obs]]&amp;")"</f>
        <v>HEN ()</v>
      </c>
    </row>
    <row r="2318" spans="1:14" x14ac:dyDescent="0.3">
      <c r="A2318" s="1">
        <v>45545</v>
      </c>
      <c r="B2318" t="s">
        <v>25</v>
      </c>
      <c r="C2318" t="s">
        <v>455</v>
      </c>
      <c r="D2318" s="8"/>
      <c r="E2318" s="8"/>
      <c r="L2318" t="s">
        <v>563</v>
      </c>
      <c r="M2318" t="s">
        <v>478</v>
      </c>
      <c r="N2318" t="str">
        <f>Tabela_tudo[[#This Row],[Médico]]&amp;" ("&amp;Tabela_tudo[[#This Row],[Obs]]&amp;")"</f>
        <v>HEN ()</v>
      </c>
    </row>
    <row r="2319" spans="1:14" x14ac:dyDescent="0.3">
      <c r="A2319" s="1">
        <v>45538</v>
      </c>
      <c r="B2319" t="s">
        <v>25</v>
      </c>
      <c r="C2319" t="s">
        <v>455</v>
      </c>
      <c r="D2319" s="8"/>
      <c r="E2319" s="8"/>
      <c r="L2319" t="s">
        <v>563</v>
      </c>
      <c r="M2319" t="s">
        <v>478</v>
      </c>
      <c r="N2319" t="str">
        <f>Tabela_tudo[[#This Row],[Médico]]&amp;" ("&amp;Tabela_tudo[[#This Row],[Obs]]&amp;")"</f>
        <v>HEN ()</v>
      </c>
    </row>
    <row r="2320" spans="1:14" x14ac:dyDescent="0.3">
      <c r="A2320" s="1">
        <v>45398</v>
      </c>
      <c r="B2320" t="s">
        <v>25</v>
      </c>
      <c r="C2320" t="s">
        <v>455</v>
      </c>
      <c r="D2320" s="8"/>
      <c r="E2320" s="8"/>
      <c r="L2320" t="s">
        <v>563</v>
      </c>
      <c r="M2320" t="s">
        <v>478</v>
      </c>
      <c r="N2320" t="str">
        <f>Tabela_tudo[[#This Row],[Médico]]&amp;" ("&amp;Tabela_tudo[[#This Row],[Obs]]&amp;")"</f>
        <v>HEN ()</v>
      </c>
    </row>
    <row r="2321" spans="1:14" x14ac:dyDescent="0.3">
      <c r="A2321" s="1">
        <v>45258</v>
      </c>
      <c r="B2321" t="s">
        <v>25</v>
      </c>
      <c r="C2321" t="s">
        <v>455</v>
      </c>
      <c r="D2321" s="8"/>
      <c r="E2321" s="8"/>
      <c r="L2321" t="s">
        <v>563</v>
      </c>
      <c r="M2321" t="s">
        <v>478</v>
      </c>
      <c r="N2321" t="str">
        <f>Tabela_tudo[[#This Row],[Médico]]&amp;" ("&amp;Tabela_tudo[[#This Row],[Obs]]&amp;")"</f>
        <v>HEN ()</v>
      </c>
    </row>
    <row r="2322" spans="1:14" x14ac:dyDescent="0.3">
      <c r="A2322" s="1">
        <v>45251</v>
      </c>
      <c r="B2322" t="s">
        <v>25</v>
      </c>
      <c r="C2322" t="s">
        <v>455</v>
      </c>
      <c r="D2322" s="8"/>
      <c r="E2322" s="8"/>
      <c r="L2322" t="s">
        <v>563</v>
      </c>
      <c r="M2322" t="s">
        <v>478</v>
      </c>
      <c r="N2322" t="str">
        <f>Tabela_tudo[[#This Row],[Médico]]&amp;" ("&amp;Tabela_tudo[[#This Row],[Obs]]&amp;")"</f>
        <v>HEN ()</v>
      </c>
    </row>
    <row r="2323" spans="1:14" x14ac:dyDescent="0.3">
      <c r="A2323" s="1">
        <v>45244</v>
      </c>
      <c r="B2323" t="s">
        <v>25</v>
      </c>
      <c r="C2323" t="s">
        <v>455</v>
      </c>
      <c r="D2323" s="8"/>
      <c r="E2323" s="8"/>
      <c r="L2323" t="s">
        <v>563</v>
      </c>
      <c r="M2323" t="s">
        <v>478</v>
      </c>
      <c r="N2323" t="str">
        <f>Tabela_tudo[[#This Row],[Médico]]&amp;" ("&amp;Tabela_tudo[[#This Row],[Obs]]&amp;")"</f>
        <v>HEN ()</v>
      </c>
    </row>
    <row r="2324" spans="1:14" x14ac:dyDescent="0.3">
      <c r="A2324" s="1">
        <v>45265</v>
      </c>
      <c r="B2324" t="s">
        <v>25</v>
      </c>
      <c r="C2324" t="s">
        <v>455</v>
      </c>
      <c r="D2324" s="8"/>
      <c r="E2324" s="8"/>
      <c r="L2324" t="s">
        <v>563</v>
      </c>
      <c r="M2324" t="s">
        <v>478</v>
      </c>
      <c r="N2324" t="str">
        <f>Tabela_tudo[[#This Row],[Médico]]&amp;" ("&amp;Tabela_tudo[[#This Row],[Obs]]&amp;")"</f>
        <v>HEN ()</v>
      </c>
    </row>
    <row r="2325" spans="1:14" x14ac:dyDescent="0.3">
      <c r="A2325" s="1">
        <v>45286</v>
      </c>
      <c r="B2325" t="s">
        <v>25</v>
      </c>
      <c r="C2325" t="s">
        <v>455</v>
      </c>
      <c r="D2325" s="8"/>
      <c r="E2325" s="8"/>
      <c r="L2325" t="s">
        <v>563</v>
      </c>
      <c r="M2325" t="s">
        <v>478</v>
      </c>
      <c r="N2325" t="str">
        <f>Tabela_tudo[[#This Row],[Médico]]&amp;" ("&amp;Tabela_tudo[[#This Row],[Obs]]&amp;")"</f>
        <v>HEN ()</v>
      </c>
    </row>
    <row r="2326" spans="1:14" x14ac:dyDescent="0.3">
      <c r="A2326" s="1">
        <v>45279</v>
      </c>
      <c r="B2326" t="s">
        <v>25</v>
      </c>
      <c r="C2326" t="s">
        <v>455</v>
      </c>
      <c r="D2326" s="8"/>
      <c r="E2326" s="8"/>
      <c r="L2326" t="s">
        <v>563</v>
      </c>
      <c r="M2326" t="s">
        <v>478</v>
      </c>
      <c r="N2326" t="str">
        <f>Tabela_tudo[[#This Row],[Médico]]&amp;" ("&amp;Tabela_tudo[[#This Row],[Obs]]&amp;")"</f>
        <v>HEN ()</v>
      </c>
    </row>
    <row r="2327" spans="1:14" x14ac:dyDescent="0.3">
      <c r="A2327" s="1">
        <v>45272</v>
      </c>
      <c r="B2327" t="s">
        <v>25</v>
      </c>
      <c r="C2327" t="s">
        <v>455</v>
      </c>
      <c r="D2327" s="8"/>
      <c r="E2327" s="8"/>
      <c r="L2327" t="s">
        <v>563</v>
      </c>
      <c r="M2327" t="s">
        <v>478</v>
      </c>
      <c r="N2327" t="str">
        <f>Tabela_tudo[[#This Row],[Médico]]&amp;" ("&amp;Tabela_tudo[[#This Row],[Obs]]&amp;")"</f>
        <v>HEN ()</v>
      </c>
    </row>
    <row r="2328" spans="1:14" x14ac:dyDescent="0.3">
      <c r="A2328" s="1">
        <v>45209</v>
      </c>
      <c r="B2328" t="s">
        <v>25</v>
      </c>
      <c r="C2328" t="s">
        <v>455</v>
      </c>
      <c r="D2328" s="8"/>
      <c r="E2328" s="8"/>
      <c r="L2328" t="s">
        <v>563</v>
      </c>
      <c r="M2328" t="s">
        <v>478</v>
      </c>
      <c r="N2328" t="str">
        <f>Tabela_tudo[[#This Row],[Médico]]&amp;" ("&amp;Tabela_tudo[[#This Row],[Obs]]&amp;")"</f>
        <v>HEN ()</v>
      </c>
    </row>
    <row r="2329" spans="1:14" x14ac:dyDescent="0.3">
      <c r="A2329" s="1">
        <v>45202</v>
      </c>
      <c r="B2329" t="s">
        <v>25</v>
      </c>
      <c r="C2329" t="s">
        <v>455</v>
      </c>
      <c r="D2329" s="8"/>
      <c r="E2329" s="8"/>
      <c r="L2329" t="s">
        <v>563</v>
      </c>
      <c r="M2329" t="s">
        <v>478</v>
      </c>
      <c r="N2329" t="str">
        <f>Tabela_tudo[[#This Row],[Médico]]&amp;" ("&amp;Tabela_tudo[[#This Row],[Obs]]&amp;")"</f>
        <v>HEN ()</v>
      </c>
    </row>
    <row r="2330" spans="1:14" x14ac:dyDescent="0.3">
      <c r="A2330" s="1">
        <v>45195</v>
      </c>
      <c r="B2330" t="s">
        <v>25</v>
      </c>
      <c r="C2330" t="s">
        <v>455</v>
      </c>
      <c r="D2330" s="8"/>
      <c r="E2330" s="8"/>
      <c r="L2330" t="s">
        <v>563</v>
      </c>
      <c r="M2330" t="s">
        <v>478</v>
      </c>
      <c r="N2330" t="str">
        <f>Tabela_tudo[[#This Row],[Médico]]&amp;" ("&amp;Tabela_tudo[[#This Row],[Obs]]&amp;")"</f>
        <v>HEN ()</v>
      </c>
    </row>
    <row r="2331" spans="1:14" x14ac:dyDescent="0.3">
      <c r="A2331" s="1">
        <v>45216</v>
      </c>
      <c r="B2331" t="s">
        <v>25</v>
      </c>
      <c r="C2331" t="s">
        <v>455</v>
      </c>
      <c r="D2331" s="8"/>
      <c r="E2331" s="8"/>
      <c r="L2331" t="s">
        <v>563</v>
      </c>
      <c r="M2331" t="s">
        <v>478</v>
      </c>
      <c r="N2331" t="str">
        <f>Tabela_tudo[[#This Row],[Médico]]&amp;" ("&amp;Tabela_tudo[[#This Row],[Obs]]&amp;")"</f>
        <v>HEN ()</v>
      </c>
    </row>
    <row r="2332" spans="1:14" x14ac:dyDescent="0.3">
      <c r="A2332" s="1">
        <v>45237</v>
      </c>
      <c r="B2332" t="s">
        <v>25</v>
      </c>
      <c r="C2332" t="s">
        <v>455</v>
      </c>
      <c r="D2332" s="8"/>
      <c r="E2332" s="8"/>
      <c r="L2332" t="s">
        <v>563</v>
      </c>
      <c r="M2332" t="s">
        <v>478</v>
      </c>
      <c r="N2332" t="str">
        <f>Tabela_tudo[[#This Row],[Médico]]&amp;" ("&amp;Tabela_tudo[[#This Row],[Obs]]&amp;")"</f>
        <v>HEN ()</v>
      </c>
    </row>
    <row r="2333" spans="1:14" x14ac:dyDescent="0.3">
      <c r="A2333" s="1">
        <v>45230</v>
      </c>
      <c r="B2333" t="s">
        <v>25</v>
      </c>
      <c r="C2333" t="s">
        <v>455</v>
      </c>
      <c r="D2333" s="8"/>
      <c r="E2333" s="8"/>
      <c r="L2333" t="s">
        <v>563</v>
      </c>
      <c r="M2333" t="s">
        <v>478</v>
      </c>
      <c r="N2333" t="str">
        <f>Tabela_tudo[[#This Row],[Médico]]&amp;" ("&amp;Tabela_tudo[[#This Row],[Obs]]&amp;")"</f>
        <v>HEN ()</v>
      </c>
    </row>
    <row r="2334" spans="1:14" x14ac:dyDescent="0.3">
      <c r="A2334" s="1">
        <v>45223</v>
      </c>
      <c r="B2334" t="s">
        <v>25</v>
      </c>
      <c r="C2334" t="s">
        <v>455</v>
      </c>
      <c r="D2334" s="8"/>
      <c r="E2334" s="8"/>
      <c r="L2334" t="s">
        <v>563</v>
      </c>
      <c r="M2334" t="s">
        <v>478</v>
      </c>
      <c r="N2334" t="str">
        <f>Tabela_tudo[[#This Row],[Médico]]&amp;" ("&amp;Tabela_tudo[[#This Row],[Obs]]&amp;")"</f>
        <v>HEN ()</v>
      </c>
    </row>
    <row r="2335" spans="1:14" x14ac:dyDescent="0.3">
      <c r="A2335" s="1">
        <v>45293</v>
      </c>
      <c r="B2335" t="s">
        <v>25</v>
      </c>
      <c r="C2335" t="s">
        <v>455</v>
      </c>
      <c r="D2335" s="8"/>
      <c r="E2335" s="8"/>
      <c r="L2335" t="s">
        <v>563</v>
      </c>
      <c r="M2335" t="s">
        <v>478</v>
      </c>
      <c r="N2335" t="str">
        <f>Tabela_tudo[[#This Row],[Médico]]&amp;" ("&amp;Tabela_tudo[[#This Row],[Obs]]&amp;")"</f>
        <v>HEN ()</v>
      </c>
    </row>
    <row r="2336" spans="1:14" x14ac:dyDescent="0.3">
      <c r="A2336" s="1">
        <v>45363</v>
      </c>
      <c r="B2336" t="s">
        <v>25</v>
      </c>
      <c r="C2336" t="s">
        <v>455</v>
      </c>
      <c r="D2336" s="8"/>
      <c r="E2336" s="8"/>
      <c r="L2336" t="s">
        <v>563</v>
      </c>
      <c r="M2336" t="s">
        <v>478</v>
      </c>
      <c r="N2336" t="str">
        <f>Tabela_tudo[[#This Row],[Médico]]&amp;" ("&amp;Tabela_tudo[[#This Row],[Obs]]&amp;")"</f>
        <v>HEN ()</v>
      </c>
    </row>
    <row r="2337" spans="1:14" x14ac:dyDescent="0.3">
      <c r="A2337" s="1">
        <v>45356</v>
      </c>
      <c r="B2337" t="s">
        <v>25</v>
      </c>
      <c r="C2337" t="s">
        <v>455</v>
      </c>
      <c r="D2337" s="8"/>
      <c r="E2337" s="8"/>
      <c r="L2337" t="s">
        <v>563</v>
      </c>
      <c r="M2337" t="s">
        <v>478</v>
      </c>
      <c r="N2337" t="str">
        <f>Tabela_tudo[[#This Row],[Médico]]&amp;" ("&amp;Tabela_tudo[[#This Row],[Obs]]&amp;")"</f>
        <v>HEN ()</v>
      </c>
    </row>
    <row r="2338" spans="1:14" x14ac:dyDescent="0.3">
      <c r="A2338" s="1">
        <v>45349</v>
      </c>
      <c r="B2338" t="s">
        <v>25</v>
      </c>
      <c r="C2338" t="s">
        <v>455</v>
      </c>
      <c r="D2338" s="8"/>
      <c r="E2338" s="8"/>
      <c r="L2338" t="s">
        <v>563</v>
      </c>
      <c r="M2338" t="s">
        <v>478</v>
      </c>
      <c r="N2338" t="str">
        <f>Tabela_tudo[[#This Row],[Médico]]&amp;" ("&amp;Tabela_tudo[[#This Row],[Obs]]&amp;")"</f>
        <v>HEN ()</v>
      </c>
    </row>
    <row r="2339" spans="1:14" x14ac:dyDescent="0.3">
      <c r="A2339" s="1">
        <v>45370</v>
      </c>
      <c r="B2339" t="s">
        <v>25</v>
      </c>
      <c r="C2339" t="s">
        <v>455</v>
      </c>
      <c r="D2339" s="8"/>
      <c r="E2339" s="8"/>
      <c r="L2339" t="s">
        <v>563</v>
      </c>
      <c r="M2339" t="s">
        <v>478</v>
      </c>
      <c r="N2339" t="str">
        <f>Tabela_tudo[[#This Row],[Médico]]&amp;" ("&amp;Tabela_tudo[[#This Row],[Obs]]&amp;")"</f>
        <v>HEN ()</v>
      </c>
    </row>
    <row r="2340" spans="1:14" x14ac:dyDescent="0.3">
      <c r="A2340" s="1">
        <v>45391</v>
      </c>
      <c r="B2340" t="s">
        <v>25</v>
      </c>
      <c r="C2340" t="s">
        <v>455</v>
      </c>
      <c r="D2340" s="8"/>
      <c r="E2340" s="8"/>
      <c r="L2340" t="s">
        <v>563</v>
      </c>
      <c r="M2340" t="s">
        <v>478</v>
      </c>
      <c r="N2340" t="str">
        <f>Tabela_tudo[[#This Row],[Médico]]&amp;" ("&amp;Tabela_tudo[[#This Row],[Obs]]&amp;")"</f>
        <v>HEN ()</v>
      </c>
    </row>
    <row r="2341" spans="1:14" x14ac:dyDescent="0.3">
      <c r="A2341" s="1">
        <v>45384</v>
      </c>
      <c r="B2341" t="s">
        <v>25</v>
      </c>
      <c r="C2341" t="s">
        <v>455</v>
      </c>
      <c r="D2341" s="8"/>
      <c r="E2341" s="8"/>
      <c r="L2341" t="s">
        <v>563</v>
      </c>
      <c r="M2341" t="s">
        <v>478</v>
      </c>
      <c r="N2341" t="str">
        <f>Tabela_tudo[[#This Row],[Médico]]&amp;" ("&amp;Tabela_tudo[[#This Row],[Obs]]&amp;")"</f>
        <v>HEN ()</v>
      </c>
    </row>
    <row r="2342" spans="1:14" x14ac:dyDescent="0.3">
      <c r="A2342" s="1">
        <v>45377</v>
      </c>
      <c r="B2342" t="s">
        <v>25</v>
      </c>
      <c r="C2342" t="s">
        <v>455</v>
      </c>
      <c r="D2342" s="8"/>
      <c r="E2342" s="8"/>
      <c r="L2342" t="s">
        <v>563</v>
      </c>
      <c r="M2342" t="s">
        <v>478</v>
      </c>
      <c r="N2342" t="str">
        <f>Tabela_tudo[[#This Row],[Médico]]&amp;" ("&amp;Tabela_tudo[[#This Row],[Obs]]&amp;")"</f>
        <v>HEN ()</v>
      </c>
    </row>
    <row r="2343" spans="1:14" x14ac:dyDescent="0.3">
      <c r="A2343" s="1">
        <v>45314</v>
      </c>
      <c r="B2343" t="s">
        <v>25</v>
      </c>
      <c r="C2343" t="s">
        <v>455</v>
      </c>
      <c r="D2343" s="8"/>
      <c r="E2343" s="8"/>
      <c r="L2343" t="s">
        <v>563</v>
      </c>
      <c r="M2343" t="s">
        <v>478</v>
      </c>
      <c r="N2343" t="str">
        <f>Tabela_tudo[[#This Row],[Médico]]&amp;" ("&amp;Tabela_tudo[[#This Row],[Obs]]&amp;")"</f>
        <v>HEN ()</v>
      </c>
    </row>
    <row r="2344" spans="1:14" x14ac:dyDescent="0.3">
      <c r="A2344" s="1">
        <v>45307</v>
      </c>
      <c r="B2344" t="s">
        <v>25</v>
      </c>
      <c r="C2344" t="s">
        <v>455</v>
      </c>
      <c r="D2344" s="8"/>
      <c r="E2344" s="8"/>
      <c r="L2344" t="s">
        <v>563</v>
      </c>
      <c r="M2344" t="s">
        <v>478</v>
      </c>
      <c r="N2344" t="str">
        <f>Tabela_tudo[[#This Row],[Médico]]&amp;" ("&amp;Tabela_tudo[[#This Row],[Obs]]&amp;")"</f>
        <v>HEN ()</v>
      </c>
    </row>
    <row r="2345" spans="1:14" x14ac:dyDescent="0.3">
      <c r="A2345" s="1">
        <v>45300</v>
      </c>
      <c r="B2345" t="s">
        <v>25</v>
      </c>
      <c r="C2345" t="s">
        <v>455</v>
      </c>
      <c r="D2345" s="8"/>
      <c r="E2345" s="8"/>
      <c r="L2345" t="s">
        <v>563</v>
      </c>
      <c r="M2345" t="s">
        <v>478</v>
      </c>
      <c r="N2345" t="str">
        <f>Tabela_tudo[[#This Row],[Médico]]&amp;" ("&amp;Tabela_tudo[[#This Row],[Obs]]&amp;")"</f>
        <v>HEN ()</v>
      </c>
    </row>
    <row r="2346" spans="1:14" x14ac:dyDescent="0.3">
      <c r="A2346" s="1">
        <v>45321</v>
      </c>
      <c r="B2346" t="s">
        <v>25</v>
      </c>
      <c r="C2346" t="s">
        <v>455</v>
      </c>
      <c r="D2346" s="8"/>
      <c r="E2346" s="8"/>
      <c r="L2346" t="s">
        <v>563</v>
      </c>
      <c r="M2346" t="s">
        <v>478</v>
      </c>
      <c r="N2346" t="str">
        <f>Tabela_tudo[[#This Row],[Médico]]&amp;" ("&amp;Tabela_tudo[[#This Row],[Obs]]&amp;")"</f>
        <v>HEN ()</v>
      </c>
    </row>
    <row r="2347" spans="1:14" x14ac:dyDescent="0.3">
      <c r="A2347" s="1">
        <v>45342</v>
      </c>
      <c r="B2347" t="s">
        <v>25</v>
      </c>
      <c r="C2347" t="s">
        <v>455</v>
      </c>
      <c r="D2347" s="8"/>
      <c r="E2347" s="8"/>
      <c r="L2347" t="s">
        <v>563</v>
      </c>
      <c r="M2347" t="s">
        <v>478</v>
      </c>
      <c r="N2347" t="str">
        <f>Tabela_tudo[[#This Row],[Médico]]&amp;" ("&amp;Tabela_tudo[[#This Row],[Obs]]&amp;")"</f>
        <v>HEN ()</v>
      </c>
    </row>
    <row r="2348" spans="1:14" x14ac:dyDescent="0.3">
      <c r="A2348" s="1">
        <v>45335</v>
      </c>
      <c r="B2348" t="s">
        <v>25</v>
      </c>
      <c r="C2348" t="s">
        <v>455</v>
      </c>
      <c r="D2348" s="8"/>
      <c r="E2348" s="8"/>
      <c r="L2348" t="s">
        <v>563</v>
      </c>
      <c r="M2348" t="s">
        <v>478</v>
      </c>
      <c r="N2348" t="str">
        <f>Tabela_tudo[[#This Row],[Médico]]&amp;" ("&amp;Tabela_tudo[[#This Row],[Obs]]&amp;")"</f>
        <v>HEN ()</v>
      </c>
    </row>
    <row r="2349" spans="1:14" x14ac:dyDescent="0.3">
      <c r="A2349" s="1">
        <v>45328</v>
      </c>
      <c r="B2349" t="s">
        <v>25</v>
      </c>
      <c r="C2349" t="s">
        <v>455</v>
      </c>
      <c r="D2349" s="8"/>
      <c r="E2349" s="8"/>
      <c r="L2349" t="s">
        <v>563</v>
      </c>
      <c r="M2349" t="s">
        <v>478</v>
      </c>
      <c r="N2349" t="str">
        <f>Tabela_tudo[[#This Row],[Médico]]&amp;" ("&amp;Tabela_tudo[[#This Row],[Obs]]&amp;")"</f>
        <v>HEN ()</v>
      </c>
    </row>
    <row r="2350" spans="1:14" x14ac:dyDescent="0.3">
      <c r="A2350" s="1">
        <v>45496</v>
      </c>
      <c r="B2350" t="s">
        <v>84</v>
      </c>
      <c r="C2350" t="s">
        <v>455</v>
      </c>
      <c r="D2350" s="8"/>
      <c r="E2350" s="8"/>
      <c r="L2350" t="s">
        <v>563</v>
      </c>
      <c r="M2350" t="s">
        <v>478</v>
      </c>
      <c r="N2350" t="str">
        <f>Tabela_tudo[[#This Row],[Médico]]&amp;" ("&amp;Tabela_tudo[[#This Row],[Obs]]&amp;")"</f>
        <v>ANO ()</v>
      </c>
    </row>
    <row r="2351" spans="1:14" x14ac:dyDescent="0.3">
      <c r="A2351" s="1">
        <v>44936</v>
      </c>
      <c r="B2351" t="s">
        <v>84</v>
      </c>
      <c r="C2351" t="s">
        <v>455</v>
      </c>
      <c r="D2351" s="8"/>
      <c r="E2351" s="8"/>
      <c r="L2351" t="s">
        <v>563</v>
      </c>
      <c r="M2351" t="s">
        <v>478</v>
      </c>
      <c r="N2351" t="str">
        <f>Tabela_tudo[[#This Row],[Médico]]&amp;" ("&amp;Tabela_tudo[[#This Row],[Obs]]&amp;")"</f>
        <v>ANO ()</v>
      </c>
    </row>
    <row r="2352" spans="1:14" x14ac:dyDescent="0.3">
      <c r="A2352" s="1">
        <v>44929</v>
      </c>
      <c r="B2352" t="s">
        <v>84</v>
      </c>
      <c r="C2352" t="s">
        <v>455</v>
      </c>
      <c r="D2352" s="8"/>
      <c r="E2352" s="8"/>
      <c r="L2352" t="s">
        <v>563</v>
      </c>
      <c r="M2352" t="s">
        <v>478</v>
      </c>
      <c r="N2352" t="str">
        <f>Tabela_tudo[[#This Row],[Médico]]&amp;" ("&amp;Tabela_tudo[[#This Row],[Obs]]&amp;")"</f>
        <v>ANO ()</v>
      </c>
    </row>
    <row r="2353" spans="1:14" x14ac:dyDescent="0.3">
      <c r="A2353" s="1">
        <v>45650</v>
      </c>
      <c r="B2353" t="s">
        <v>214</v>
      </c>
      <c r="C2353" t="s">
        <v>455</v>
      </c>
      <c r="D2353" s="8"/>
      <c r="E2353" s="8"/>
      <c r="L2353" t="s">
        <v>563</v>
      </c>
      <c r="M2353" t="s">
        <v>478</v>
      </c>
      <c r="N2353" t="str">
        <f>Tabela_tudo[[#This Row],[Médico]]&amp;" ("&amp;Tabela_tudo[[#This Row],[Obs]]&amp;")"</f>
        <v>IFA ()</v>
      </c>
    </row>
    <row r="2354" spans="1:14" x14ac:dyDescent="0.3">
      <c r="A2354" s="1">
        <v>44943</v>
      </c>
      <c r="B2354" t="s">
        <v>84</v>
      </c>
      <c r="C2354" t="s">
        <v>455</v>
      </c>
      <c r="D2354" s="8"/>
      <c r="E2354" s="8"/>
      <c r="L2354" t="s">
        <v>563</v>
      </c>
      <c r="M2354" t="s">
        <v>478</v>
      </c>
      <c r="N2354" t="str">
        <f>Tabela_tudo[[#This Row],[Médico]]&amp;" ("&amp;Tabela_tudo[[#This Row],[Obs]]&amp;")"</f>
        <v>ANO ()</v>
      </c>
    </row>
    <row r="2355" spans="1:14" x14ac:dyDescent="0.3">
      <c r="A2355" s="1">
        <v>44964</v>
      </c>
      <c r="B2355" t="s">
        <v>84</v>
      </c>
      <c r="C2355" t="s">
        <v>455</v>
      </c>
      <c r="D2355" s="8"/>
      <c r="E2355" s="8"/>
      <c r="L2355" t="s">
        <v>563</v>
      </c>
      <c r="M2355" t="s">
        <v>478</v>
      </c>
      <c r="N2355" t="str">
        <f>Tabela_tudo[[#This Row],[Médico]]&amp;" ("&amp;Tabela_tudo[[#This Row],[Obs]]&amp;")"</f>
        <v>ANO ()</v>
      </c>
    </row>
    <row r="2356" spans="1:14" x14ac:dyDescent="0.3">
      <c r="A2356" s="1">
        <v>44957</v>
      </c>
      <c r="B2356" t="s">
        <v>84</v>
      </c>
      <c r="C2356" t="s">
        <v>455</v>
      </c>
      <c r="D2356" s="8"/>
      <c r="E2356" s="8"/>
      <c r="L2356" t="s">
        <v>563</v>
      </c>
      <c r="M2356" t="s">
        <v>478</v>
      </c>
      <c r="N2356" t="str">
        <f>Tabela_tudo[[#This Row],[Médico]]&amp;" ("&amp;Tabela_tudo[[#This Row],[Obs]]&amp;")"</f>
        <v>ANO ()</v>
      </c>
    </row>
    <row r="2357" spans="1:14" x14ac:dyDescent="0.3">
      <c r="A2357" s="1">
        <v>44950</v>
      </c>
      <c r="B2357" t="s">
        <v>84</v>
      </c>
      <c r="C2357" t="s">
        <v>455</v>
      </c>
      <c r="D2357" s="8"/>
      <c r="E2357" s="8"/>
      <c r="L2357" t="s">
        <v>563</v>
      </c>
      <c r="M2357" t="s">
        <v>478</v>
      </c>
      <c r="N2357" t="str">
        <f>Tabela_tudo[[#This Row],[Médico]]&amp;" ("&amp;Tabela_tudo[[#This Row],[Obs]]&amp;")"</f>
        <v>ANO ()</v>
      </c>
    </row>
    <row r="2358" spans="1:14" x14ac:dyDescent="0.3">
      <c r="A2358" s="1">
        <v>45615</v>
      </c>
      <c r="B2358" t="s">
        <v>214</v>
      </c>
      <c r="C2358" t="s">
        <v>455</v>
      </c>
      <c r="D2358" s="8"/>
      <c r="E2358" s="8"/>
      <c r="L2358" t="s">
        <v>563</v>
      </c>
      <c r="M2358" t="s">
        <v>478</v>
      </c>
      <c r="N2358" t="str">
        <f>Tabela_tudo[[#This Row],[Médico]]&amp;" ("&amp;Tabela_tudo[[#This Row],[Obs]]&amp;")"</f>
        <v>IFA ()</v>
      </c>
    </row>
    <row r="2359" spans="1:14" x14ac:dyDescent="0.3">
      <c r="A2359" s="1">
        <v>45608</v>
      </c>
      <c r="B2359" t="s">
        <v>214</v>
      </c>
      <c r="C2359" t="s">
        <v>455</v>
      </c>
      <c r="D2359" s="8"/>
      <c r="E2359" s="8"/>
      <c r="L2359" t="s">
        <v>563</v>
      </c>
      <c r="M2359" t="s">
        <v>478</v>
      </c>
      <c r="N2359" t="str">
        <f>Tabela_tudo[[#This Row],[Médico]]&amp;" ("&amp;Tabela_tudo[[#This Row],[Obs]]&amp;")"</f>
        <v>IFA ()</v>
      </c>
    </row>
    <row r="2360" spans="1:14" x14ac:dyDescent="0.3">
      <c r="A2360" s="1">
        <v>45601</v>
      </c>
      <c r="B2360" t="s">
        <v>214</v>
      </c>
      <c r="C2360" t="s">
        <v>455</v>
      </c>
      <c r="D2360" s="8"/>
      <c r="E2360" s="8"/>
      <c r="L2360" t="s">
        <v>563</v>
      </c>
      <c r="M2360" t="s">
        <v>478</v>
      </c>
      <c r="N2360" t="str">
        <f>Tabela_tudo[[#This Row],[Médico]]&amp;" ("&amp;Tabela_tudo[[#This Row],[Obs]]&amp;")"</f>
        <v>IFA ()</v>
      </c>
    </row>
    <row r="2361" spans="1:14" x14ac:dyDescent="0.3">
      <c r="A2361" s="1">
        <v>45622</v>
      </c>
      <c r="B2361" t="s">
        <v>214</v>
      </c>
      <c r="C2361" t="s">
        <v>455</v>
      </c>
      <c r="D2361" s="8"/>
      <c r="E2361" s="8"/>
      <c r="L2361" t="s">
        <v>563</v>
      </c>
      <c r="M2361" t="s">
        <v>478</v>
      </c>
      <c r="N2361" t="str">
        <f>Tabela_tudo[[#This Row],[Médico]]&amp;" ("&amp;Tabela_tudo[[#This Row],[Obs]]&amp;")"</f>
        <v>IFA ()</v>
      </c>
    </row>
    <row r="2362" spans="1:14" x14ac:dyDescent="0.3">
      <c r="A2362" s="1">
        <v>45643</v>
      </c>
      <c r="B2362" t="s">
        <v>214</v>
      </c>
      <c r="C2362" t="s">
        <v>455</v>
      </c>
      <c r="D2362" s="8"/>
      <c r="E2362" s="8"/>
      <c r="L2362" t="s">
        <v>563</v>
      </c>
      <c r="M2362" t="s">
        <v>478</v>
      </c>
      <c r="N2362" t="str">
        <f>Tabela_tudo[[#This Row],[Médico]]&amp;" ("&amp;Tabela_tudo[[#This Row],[Obs]]&amp;")"</f>
        <v>IFA ()</v>
      </c>
    </row>
    <row r="2363" spans="1:14" x14ac:dyDescent="0.3">
      <c r="A2363" s="1">
        <v>45636</v>
      </c>
      <c r="B2363" t="s">
        <v>214</v>
      </c>
      <c r="C2363" t="s">
        <v>455</v>
      </c>
      <c r="D2363" s="8"/>
      <c r="E2363" s="8"/>
      <c r="L2363" t="s">
        <v>563</v>
      </c>
      <c r="M2363" t="s">
        <v>478</v>
      </c>
      <c r="N2363" t="str">
        <f>Tabela_tudo[[#This Row],[Médico]]&amp;" ("&amp;Tabela_tudo[[#This Row],[Obs]]&amp;")"</f>
        <v>IFA ()</v>
      </c>
    </row>
    <row r="2364" spans="1:14" x14ac:dyDescent="0.3">
      <c r="A2364" s="1">
        <v>45629</v>
      </c>
      <c r="B2364" t="s">
        <v>214</v>
      </c>
      <c r="C2364" t="s">
        <v>455</v>
      </c>
      <c r="D2364" s="8"/>
      <c r="E2364" s="8"/>
      <c r="L2364" t="s">
        <v>563</v>
      </c>
      <c r="M2364" t="s">
        <v>478</v>
      </c>
      <c r="N2364" t="str">
        <f>Tabela_tudo[[#This Row],[Médico]]&amp;" ("&amp;Tabela_tudo[[#This Row],[Obs]]&amp;")"</f>
        <v>IFA ()</v>
      </c>
    </row>
    <row r="2365" spans="1:14" x14ac:dyDescent="0.3">
      <c r="A2365" s="1">
        <v>44971</v>
      </c>
      <c r="B2365" t="s">
        <v>84</v>
      </c>
      <c r="C2365" t="s">
        <v>455</v>
      </c>
      <c r="D2365" s="8"/>
      <c r="E2365" s="8"/>
      <c r="L2365" t="s">
        <v>563</v>
      </c>
      <c r="M2365" t="s">
        <v>478</v>
      </c>
      <c r="N2365" t="str">
        <f>Tabela_tudo[[#This Row],[Médico]]&amp;" ("&amp;Tabela_tudo[[#This Row],[Obs]]&amp;")"</f>
        <v>ANO ()</v>
      </c>
    </row>
    <row r="2366" spans="1:14" x14ac:dyDescent="0.3">
      <c r="A2366" s="1">
        <v>45041</v>
      </c>
      <c r="B2366" t="s">
        <v>84</v>
      </c>
      <c r="C2366" t="s">
        <v>455</v>
      </c>
      <c r="D2366" s="8"/>
      <c r="E2366" s="8"/>
      <c r="L2366" t="s">
        <v>563</v>
      </c>
      <c r="M2366" t="s">
        <v>478</v>
      </c>
      <c r="N2366" t="str">
        <f>Tabela_tudo[[#This Row],[Médico]]&amp;" ("&amp;Tabela_tudo[[#This Row],[Obs]]&amp;")"</f>
        <v>ANO ()</v>
      </c>
    </row>
    <row r="2367" spans="1:14" x14ac:dyDescent="0.3">
      <c r="A2367" s="1">
        <v>45034</v>
      </c>
      <c r="B2367" t="s">
        <v>84</v>
      </c>
      <c r="C2367" t="s">
        <v>455</v>
      </c>
      <c r="D2367" s="8"/>
      <c r="E2367" s="8"/>
      <c r="L2367" t="s">
        <v>563</v>
      </c>
      <c r="M2367" t="s">
        <v>478</v>
      </c>
      <c r="N2367" t="str">
        <f>Tabela_tudo[[#This Row],[Médico]]&amp;" ("&amp;Tabela_tudo[[#This Row],[Obs]]&amp;")"</f>
        <v>ANO ()</v>
      </c>
    </row>
    <row r="2368" spans="1:14" x14ac:dyDescent="0.3">
      <c r="A2368" s="1">
        <v>45027</v>
      </c>
      <c r="B2368" t="s">
        <v>84</v>
      </c>
      <c r="C2368" t="s">
        <v>455</v>
      </c>
      <c r="D2368" s="8"/>
      <c r="E2368" s="8"/>
      <c r="L2368" t="s">
        <v>563</v>
      </c>
      <c r="M2368" t="s">
        <v>478</v>
      </c>
      <c r="N2368" t="str">
        <f>Tabela_tudo[[#This Row],[Médico]]&amp;" ("&amp;Tabela_tudo[[#This Row],[Obs]]&amp;")"</f>
        <v>ANO ()</v>
      </c>
    </row>
    <row r="2369" spans="1:14" x14ac:dyDescent="0.3">
      <c r="A2369" s="1">
        <v>45048</v>
      </c>
      <c r="B2369" t="s">
        <v>84</v>
      </c>
      <c r="C2369" t="s">
        <v>455</v>
      </c>
      <c r="D2369" s="8"/>
      <c r="E2369" s="8"/>
      <c r="L2369" t="s">
        <v>563</v>
      </c>
      <c r="M2369" t="s">
        <v>478</v>
      </c>
      <c r="N2369" t="str">
        <f>Tabela_tudo[[#This Row],[Médico]]&amp;" ("&amp;Tabela_tudo[[#This Row],[Obs]]&amp;")"</f>
        <v>ANO ()</v>
      </c>
    </row>
    <row r="2370" spans="1:14" x14ac:dyDescent="0.3">
      <c r="A2370" s="1">
        <v>45069</v>
      </c>
      <c r="B2370" t="s">
        <v>84</v>
      </c>
      <c r="C2370" t="s">
        <v>455</v>
      </c>
      <c r="D2370" s="8"/>
      <c r="E2370" s="8"/>
      <c r="L2370" t="s">
        <v>563</v>
      </c>
      <c r="M2370" t="s">
        <v>478</v>
      </c>
      <c r="N2370" t="str">
        <f>Tabela_tudo[[#This Row],[Médico]]&amp;" ("&amp;Tabela_tudo[[#This Row],[Obs]]&amp;")"</f>
        <v>ANO ()</v>
      </c>
    </row>
    <row r="2371" spans="1:14" x14ac:dyDescent="0.3">
      <c r="A2371" s="1">
        <v>45062</v>
      </c>
      <c r="B2371" t="s">
        <v>84</v>
      </c>
      <c r="C2371" t="s">
        <v>455</v>
      </c>
      <c r="D2371" s="8"/>
      <c r="E2371" s="8"/>
      <c r="L2371" t="s">
        <v>563</v>
      </c>
      <c r="M2371" t="s">
        <v>478</v>
      </c>
      <c r="N2371" t="str">
        <f>Tabela_tudo[[#This Row],[Médico]]&amp;" ("&amp;Tabela_tudo[[#This Row],[Obs]]&amp;")"</f>
        <v>ANO ()</v>
      </c>
    </row>
    <row r="2372" spans="1:14" x14ac:dyDescent="0.3">
      <c r="A2372" s="1">
        <v>45055</v>
      </c>
      <c r="B2372" t="s">
        <v>84</v>
      </c>
      <c r="C2372" t="s">
        <v>455</v>
      </c>
      <c r="D2372" s="8"/>
      <c r="E2372" s="8"/>
      <c r="L2372" t="s">
        <v>563</v>
      </c>
      <c r="M2372" t="s">
        <v>478</v>
      </c>
      <c r="N2372" t="str">
        <f>Tabela_tudo[[#This Row],[Médico]]&amp;" ("&amp;Tabela_tudo[[#This Row],[Obs]]&amp;")"</f>
        <v>ANO ()</v>
      </c>
    </row>
    <row r="2373" spans="1:14" x14ac:dyDescent="0.3">
      <c r="A2373" s="1">
        <v>44992</v>
      </c>
      <c r="B2373" t="s">
        <v>84</v>
      </c>
      <c r="C2373" t="s">
        <v>455</v>
      </c>
      <c r="D2373" s="8"/>
      <c r="E2373" s="8"/>
      <c r="L2373" t="s">
        <v>563</v>
      </c>
      <c r="M2373" t="s">
        <v>478</v>
      </c>
      <c r="N2373" t="str">
        <f>Tabela_tudo[[#This Row],[Médico]]&amp;" ("&amp;Tabela_tudo[[#This Row],[Obs]]&amp;")"</f>
        <v>ANO ()</v>
      </c>
    </row>
    <row r="2374" spans="1:14" x14ac:dyDescent="0.3">
      <c r="A2374" s="1">
        <v>44985</v>
      </c>
      <c r="B2374" t="s">
        <v>84</v>
      </c>
      <c r="C2374" t="s">
        <v>455</v>
      </c>
      <c r="D2374" s="8"/>
      <c r="E2374" s="8"/>
      <c r="L2374" t="s">
        <v>563</v>
      </c>
      <c r="M2374" t="s">
        <v>478</v>
      </c>
      <c r="N2374" t="str">
        <f>Tabela_tudo[[#This Row],[Médico]]&amp;" ("&amp;Tabela_tudo[[#This Row],[Obs]]&amp;")"</f>
        <v>ANO ()</v>
      </c>
    </row>
    <row r="2375" spans="1:14" x14ac:dyDescent="0.3">
      <c r="A2375" s="1">
        <v>44978</v>
      </c>
      <c r="B2375" t="s">
        <v>84</v>
      </c>
      <c r="C2375" t="s">
        <v>455</v>
      </c>
      <c r="D2375" s="8"/>
      <c r="E2375" s="8"/>
      <c r="L2375" t="s">
        <v>563</v>
      </c>
      <c r="M2375" t="s">
        <v>478</v>
      </c>
      <c r="N2375" t="str">
        <f>Tabela_tudo[[#This Row],[Médico]]&amp;" ("&amp;Tabela_tudo[[#This Row],[Obs]]&amp;")"</f>
        <v>ANO ()</v>
      </c>
    </row>
    <row r="2376" spans="1:14" x14ac:dyDescent="0.3">
      <c r="A2376" s="1">
        <v>44999</v>
      </c>
      <c r="B2376" t="s">
        <v>84</v>
      </c>
      <c r="C2376" t="s">
        <v>455</v>
      </c>
      <c r="D2376" s="8"/>
      <c r="E2376" s="8"/>
      <c r="L2376" t="s">
        <v>563</v>
      </c>
      <c r="M2376" t="s">
        <v>478</v>
      </c>
      <c r="N2376" t="str">
        <f>Tabela_tudo[[#This Row],[Médico]]&amp;" ("&amp;Tabela_tudo[[#This Row],[Obs]]&amp;")"</f>
        <v>ANO ()</v>
      </c>
    </row>
    <row r="2377" spans="1:14" x14ac:dyDescent="0.3">
      <c r="A2377" s="1">
        <v>45020</v>
      </c>
      <c r="B2377" t="s">
        <v>84</v>
      </c>
      <c r="C2377" t="s">
        <v>455</v>
      </c>
      <c r="D2377" s="8"/>
      <c r="E2377" s="8"/>
      <c r="L2377" t="s">
        <v>563</v>
      </c>
      <c r="M2377" t="s">
        <v>478</v>
      </c>
      <c r="N2377" t="str">
        <f>Tabela_tudo[[#This Row],[Médico]]&amp;" ("&amp;Tabela_tudo[[#This Row],[Obs]]&amp;")"</f>
        <v>ANO ()</v>
      </c>
    </row>
    <row r="2378" spans="1:14" x14ac:dyDescent="0.3">
      <c r="A2378" s="1">
        <v>45013</v>
      </c>
      <c r="B2378" t="s">
        <v>84</v>
      </c>
      <c r="C2378" t="s">
        <v>455</v>
      </c>
      <c r="D2378" s="8"/>
      <c r="E2378" s="8"/>
      <c r="L2378" t="s">
        <v>563</v>
      </c>
      <c r="M2378" t="s">
        <v>478</v>
      </c>
      <c r="N2378" t="str">
        <f>Tabela_tudo[[#This Row],[Médico]]&amp;" ("&amp;Tabela_tudo[[#This Row],[Obs]]&amp;")"</f>
        <v>ANO ()</v>
      </c>
    </row>
    <row r="2379" spans="1:14" x14ac:dyDescent="0.3">
      <c r="A2379" s="1">
        <v>45006</v>
      </c>
      <c r="B2379" t="s">
        <v>84</v>
      </c>
      <c r="C2379" t="s">
        <v>455</v>
      </c>
      <c r="D2379" s="8"/>
      <c r="E2379" s="8"/>
      <c r="L2379" t="s">
        <v>563</v>
      </c>
      <c r="M2379" t="s">
        <v>478</v>
      </c>
      <c r="N2379" t="str">
        <f>Tabela_tudo[[#This Row],[Médico]]&amp;" ("&amp;Tabela_tudo[[#This Row],[Obs]]&amp;")"</f>
        <v>ANO ()</v>
      </c>
    </row>
    <row r="2380" spans="1:14" x14ac:dyDescent="0.3">
      <c r="A2380" s="1">
        <v>45594</v>
      </c>
      <c r="B2380" t="s">
        <v>214</v>
      </c>
      <c r="C2380" t="s">
        <v>455</v>
      </c>
      <c r="D2380" s="8"/>
      <c r="E2380" s="8"/>
      <c r="L2380" t="s">
        <v>563</v>
      </c>
      <c r="M2380" t="s">
        <v>478</v>
      </c>
      <c r="N2380" t="str">
        <f>Tabela_tudo[[#This Row],[Médico]]&amp;" ("&amp;Tabela_tudo[[#This Row],[Obs]]&amp;")"</f>
        <v>IFA ()</v>
      </c>
    </row>
    <row r="2381" spans="1:14" x14ac:dyDescent="0.3">
      <c r="A2381" s="1">
        <v>45454</v>
      </c>
      <c r="B2381" t="s">
        <v>214</v>
      </c>
      <c r="C2381" t="s">
        <v>455</v>
      </c>
      <c r="D2381" s="8"/>
      <c r="E2381" s="8"/>
      <c r="L2381" t="s">
        <v>563</v>
      </c>
      <c r="M2381" t="s">
        <v>478</v>
      </c>
      <c r="N2381" t="str">
        <f>Tabela_tudo[[#This Row],[Médico]]&amp;" ("&amp;Tabela_tudo[[#This Row],[Obs]]&amp;")"</f>
        <v>IFA ()</v>
      </c>
    </row>
    <row r="2382" spans="1:14" x14ac:dyDescent="0.3">
      <c r="A2382" s="1">
        <v>45447</v>
      </c>
      <c r="B2382" t="s">
        <v>214</v>
      </c>
      <c r="C2382" t="s">
        <v>455</v>
      </c>
      <c r="D2382" s="8"/>
      <c r="E2382" s="8"/>
      <c r="L2382" t="s">
        <v>563</v>
      </c>
      <c r="M2382" t="s">
        <v>478</v>
      </c>
      <c r="N2382" t="str">
        <f>Tabela_tudo[[#This Row],[Médico]]&amp;" ("&amp;Tabela_tudo[[#This Row],[Obs]]&amp;")"</f>
        <v>IFA ()</v>
      </c>
    </row>
    <row r="2383" spans="1:14" x14ac:dyDescent="0.3">
      <c r="A2383" s="1">
        <v>45440</v>
      </c>
      <c r="B2383" t="s">
        <v>214</v>
      </c>
      <c r="C2383" t="s">
        <v>455</v>
      </c>
      <c r="D2383" s="8"/>
      <c r="E2383" s="8"/>
      <c r="L2383" t="s">
        <v>563</v>
      </c>
      <c r="M2383" t="s">
        <v>478</v>
      </c>
      <c r="N2383" t="str">
        <f>Tabela_tudo[[#This Row],[Médico]]&amp;" ("&amp;Tabela_tudo[[#This Row],[Obs]]&amp;")"</f>
        <v>IFA ()</v>
      </c>
    </row>
    <row r="2384" spans="1:14" x14ac:dyDescent="0.3">
      <c r="A2384" s="1">
        <v>45461</v>
      </c>
      <c r="B2384" t="s">
        <v>214</v>
      </c>
      <c r="C2384" t="s">
        <v>455</v>
      </c>
      <c r="D2384" s="8"/>
      <c r="E2384" s="8"/>
      <c r="L2384" t="s">
        <v>563</v>
      </c>
      <c r="M2384" t="s">
        <v>478</v>
      </c>
      <c r="N2384" t="str">
        <f>Tabela_tudo[[#This Row],[Médico]]&amp;" ("&amp;Tabela_tudo[[#This Row],[Obs]]&amp;")"</f>
        <v>IFA ()</v>
      </c>
    </row>
    <row r="2385" spans="1:14" x14ac:dyDescent="0.3">
      <c r="A2385" s="1">
        <v>45482</v>
      </c>
      <c r="B2385" t="s">
        <v>214</v>
      </c>
      <c r="C2385" t="s">
        <v>455</v>
      </c>
      <c r="D2385" s="8"/>
      <c r="E2385" s="8"/>
      <c r="L2385" t="s">
        <v>563</v>
      </c>
      <c r="M2385" t="s">
        <v>478</v>
      </c>
      <c r="N2385" t="str">
        <f>Tabela_tudo[[#This Row],[Médico]]&amp;" ("&amp;Tabela_tudo[[#This Row],[Obs]]&amp;")"</f>
        <v>IFA ()</v>
      </c>
    </row>
    <row r="2386" spans="1:14" x14ac:dyDescent="0.3">
      <c r="A2386" s="1">
        <v>45475</v>
      </c>
      <c r="B2386" t="s">
        <v>214</v>
      </c>
      <c r="C2386" t="s">
        <v>455</v>
      </c>
      <c r="D2386" s="8"/>
      <c r="E2386" s="8"/>
      <c r="L2386" t="s">
        <v>563</v>
      </c>
      <c r="M2386" t="s">
        <v>478</v>
      </c>
      <c r="N2386" t="str">
        <f>Tabela_tudo[[#This Row],[Médico]]&amp;" ("&amp;Tabela_tudo[[#This Row],[Obs]]&amp;")"</f>
        <v>IFA ()</v>
      </c>
    </row>
    <row r="2387" spans="1:14" x14ac:dyDescent="0.3">
      <c r="A2387" s="1">
        <v>45468</v>
      </c>
      <c r="B2387" t="s">
        <v>214</v>
      </c>
      <c r="C2387" t="s">
        <v>455</v>
      </c>
      <c r="D2387" s="8"/>
      <c r="E2387" s="8"/>
      <c r="L2387" t="s">
        <v>563</v>
      </c>
      <c r="M2387" t="s">
        <v>478</v>
      </c>
      <c r="N2387" t="str">
        <f>Tabela_tudo[[#This Row],[Médico]]&amp;" ("&amp;Tabela_tudo[[#This Row],[Obs]]&amp;")"</f>
        <v>IFA ()</v>
      </c>
    </row>
    <row r="2388" spans="1:14" x14ac:dyDescent="0.3">
      <c r="A2388" s="1">
        <v>45405</v>
      </c>
      <c r="B2388" t="s">
        <v>214</v>
      </c>
      <c r="C2388" t="s">
        <v>455</v>
      </c>
      <c r="D2388" s="8"/>
      <c r="E2388" s="8"/>
      <c r="L2388" t="s">
        <v>563</v>
      </c>
      <c r="M2388" t="s">
        <v>478</v>
      </c>
      <c r="N2388" t="str">
        <f>Tabela_tudo[[#This Row],[Médico]]&amp;" ("&amp;Tabela_tudo[[#This Row],[Obs]]&amp;")"</f>
        <v>IFA ()</v>
      </c>
    </row>
    <row r="2389" spans="1:14" x14ac:dyDescent="0.3">
      <c r="A2389" s="1">
        <v>45398</v>
      </c>
      <c r="B2389" t="s">
        <v>214</v>
      </c>
      <c r="C2389" t="s">
        <v>455</v>
      </c>
      <c r="D2389" s="8"/>
      <c r="E2389" s="8"/>
      <c r="L2389" t="s">
        <v>563</v>
      </c>
      <c r="M2389" t="s">
        <v>478</v>
      </c>
      <c r="N2389" t="str">
        <f>Tabela_tudo[[#This Row],[Médico]]&amp;" ("&amp;Tabela_tudo[[#This Row],[Obs]]&amp;")"</f>
        <v>IFA ()</v>
      </c>
    </row>
    <row r="2390" spans="1:14" x14ac:dyDescent="0.3">
      <c r="A2390" s="1">
        <v>45391</v>
      </c>
      <c r="B2390" t="s">
        <v>214</v>
      </c>
      <c r="C2390" t="s">
        <v>455</v>
      </c>
      <c r="D2390" s="8"/>
      <c r="E2390" s="8"/>
      <c r="L2390" t="s">
        <v>563</v>
      </c>
      <c r="M2390" t="s">
        <v>478</v>
      </c>
      <c r="N2390" t="str">
        <f>Tabela_tudo[[#This Row],[Médico]]&amp;" ("&amp;Tabela_tudo[[#This Row],[Obs]]&amp;")"</f>
        <v>IFA ()</v>
      </c>
    </row>
    <row r="2391" spans="1:14" x14ac:dyDescent="0.3">
      <c r="A2391" s="1">
        <v>45412</v>
      </c>
      <c r="B2391" t="s">
        <v>214</v>
      </c>
      <c r="C2391" t="s">
        <v>455</v>
      </c>
      <c r="D2391" s="8"/>
      <c r="E2391" s="8"/>
      <c r="L2391" t="s">
        <v>563</v>
      </c>
      <c r="M2391" t="s">
        <v>478</v>
      </c>
      <c r="N2391" t="str">
        <f>Tabela_tudo[[#This Row],[Médico]]&amp;" ("&amp;Tabela_tudo[[#This Row],[Obs]]&amp;")"</f>
        <v>IFA ()</v>
      </c>
    </row>
    <row r="2392" spans="1:14" x14ac:dyDescent="0.3">
      <c r="A2392" s="1">
        <v>45433</v>
      </c>
      <c r="B2392" t="s">
        <v>214</v>
      </c>
      <c r="C2392" t="s">
        <v>455</v>
      </c>
      <c r="D2392" s="8"/>
      <c r="E2392" s="8"/>
      <c r="L2392" t="s">
        <v>563</v>
      </c>
      <c r="M2392" t="s">
        <v>478</v>
      </c>
      <c r="N2392" t="str">
        <f>Tabela_tudo[[#This Row],[Médico]]&amp;" ("&amp;Tabela_tudo[[#This Row],[Obs]]&amp;")"</f>
        <v>IFA ()</v>
      </c>
    </row>
    <row r="2393" spans="1:14" x14ac:dyDescent="0.3">
      <c r="A2393" s="1">
        <v>45426</v>
      </c>
      <c r="B2393" t="s">
        <v>214</v>
      </c>
      <c r="C2393" t="s">
        <v>455</v>
      </c>
      <c r="D2393" s="8"/>
      <c r="E2393" s="8"/>
      <c r="L2393" t="s">
        <v>563</v>
      </c>
      <c r="M2393" t="s">
        <v>478</v>
      </c>
      <c r="N2393" t="str">
        <f>Tabela_tudo[[#This Row],[Médico]]&amp;" ("&amp;Tabela_tudo[[#This Row],[Obs]]&amp;")"</f>
        <v>IFA ()</v>
      </c>
    </row>
    <row r="2394" spans="1:14" x14ac:dyDescent="0.3">
      <c r="A2394" s="1">
        <v>45419</v>
      </c>
      <c r="B2394" t="s">
        <v>214</v>
      </c>
      <c r="C2394" t="s">
        <v>455</v>
      </c>
      <c r="D2394" s="8"/>
      <c r="E2394" s="8"/>
      <c r="L2394" t="s">
        <v>563</v>
      </c>
      <c r="M2394" t="s">
        <v>478</v>
      </c>
      <c r="N2394" t="str">
        <f>Tabela_tudo[[#This Row],[Médico]]&amp;" ("&amp;Tabela_tudo[[#This Row],[Obs]]&amp;")"</f>
        <v>IFA ()</v>
      </c>
    </row>
    <row r="2395" spans="1:14" x14ac:dyDescent="0.3">
      <c r="A2395" s="1">
        <v>45489</v>
      </c>
      <c r="B2395" t="s">
        <v>214</v>
      </c>
      <c r="C2395" t="s">
        <v>455</v>
      </c>
      <c r="D2395" s="8"/>
      <c r="E2395" s="8"/>
      <c r="L2395" t="s">
        <v>563</v>
      </c>
      <c r="M2395" t="s">
        <v>478</v>
      </c>
      <c r="N2395" t="str">
        <f>Tabela_tudo[[#This Row],[Médico]]&amp;" ("&amp;Tabela_tudo[[#This Row],[Obs]]&amp;")"</f>
        <v>IFA ()</v>
      </c>
    </row>
    <row r="2396" spans="1:14" x14ac:dyDescent="0.3">
      <c r="A2396" s="1">
        <v>45559</v>
      </c>
      <c r="B2396" t="s">
        <v>214</v>
      </c>
      <c r="C2396" t="s">
        <v>455</v>
      </c>
      <c r="D2396" s="8"/>
      <c r="E2396" s="8"/>
      <c r="L2396" t="s">
        <v>563</v>
      </c>
      <c r="M2396" t="s">
        <v>478</v>
      </c>
      <c r="N2396" t="str">
        <f>Tabela_tudo[[#This Row],[Médico]]&amp;" ("&amp;Tabela_tudo[[#This Row],[Obs]]&amp;")"</f>
        <v>IFA ()</v>
      </c>
    </row>
    <row r="2397" spans="1:14" x14ac:dyDescent="0.3">
      <c r="A2397" s="1">
        <v>45552</v>
      </c>
      <c r="B2397" t="s">
        <v>214</v>
      </c>
      <c r="C2397" t="s">
        <v>455</v>
      </c>
      <c r="D2397" s="8"/>
      <c r="E2397" s="8"/>
      <c r="L2397" t="s">
        <v>563</v>
      </c>
      <c r="M2397" t="s">
        <v>478</v>
      </c>
      <c r="N2397" t="str">
        <f>Tabela_tudo[[#This Row],[Médico]]&amp;" ("&amp;Tabela_tudo[[#This Row],[Obs]]&amp;")"</f>
        <v>IFA ()</v>
      </c>
    </row>
    <row r="2398" spans="1:14" x14ac:dyDescent="0.3">
      <c r="A2398" s="1">
        <v>45545</v>
      </c>
      <c r="B2398" t="s">
        <v>214</v>
      </c>
      <c r="C2398" t="s">
        <v>455</v>
      </c>
      <c r="D2398" s="8"/>
      <c r="E2398" s="8"/>
      <c r="L2398" t="s">
        <v>563</v>
      </c>
      <c r="M2398" t="s">
        <v>478</v>
      </c>
      <c r="N2398" t="str">
        <f>Tabela_tudo[[#This Row],[Médico]]&amp;" ("&amp;Tabela_tudo[[#This Row],[Obs]]&amp;")"</f>
        <v>IFA ()</v>
      </c>
    </row>
    <row r="2399" spans="1:14" x14ac:dyDescent="0.3">
      <c r="A2399" s="1">
        <v>45566</v>
      </c>
      <c r="B2399" t="s">
        <v>214</v>
      </c>
      <c r="C2399" t="s">
        <v>455</v>
      </c>
      <c r="D2399" s="8"/>
      <c r="E2399" s="8"/>
      <c r="L2399" t="s">
        <v>563</v>
      </c>
      <c r="M2399" t="s">
        <v>478</v>
      </c>
      <c r="N2399" t="str">
        <f>Tabela_tudo[[#This Row],[Médico]]&amp;" ("&amp;Tabela_tudo[[#This Row],[Obs]]&amp;")"</f>
        <v>IFA ()</v>
      </c>
    </row>
    <row r="2400" spans="1:14" x14ac:dyDescent="0.3">
      <c r="A2400" s="1">
        <v>45587</v>
      </c>
      <c r="B2400" t="s">
        <v>214</v>
      </c>
      <c r="C2400" t="s">
        <v>455</v>
      </c>
      <c r="D2400" s="8"/>
      <c r="E2400" s="8"/>
      <c r="L2400" t="s">
        <v>563</v>
      </c>
      <c r="M2400" t="s">
        <v>478</v>
      </c>
      <c r="N2400" t="str">
        <f>Tabela_tudo[[#This Row],[Médico]]&amp;" ("&amp;Tabela_tudo[[#This Row],[Obs]]&amp;")"</f>
        <v>IFA ()</v>
      </c>
    </row>
    <row r="2401" spans="1:14" x14ac:dyDescent="0.3">
      <c r="A2401" s="1">
        <v>45580</v>
      </c>
      <c r="B2401" t="s">
        <v>214</v>
      </c>
      <c r="C2401" t="s">
        <v>455</v>
      </c>
      <c r="D2401" s="8"/>
      <c r="E2401" s="8"/>
      <c r="L2401" t="s">
        <v>563</v>
      </c>
      <c r="M2401" t="s">
        <v>478</v>
      </c>
      <c r="N2401" t="str">
        <f>Tabela_tudo[[#This Row],[Médico]]&amp;" ("&amp;Tabela_tudo[[#This Row],[Obs]]&amp;")"</f>
        <v>IFA ()</v>
      </c>
    </row>
    <row r="2402" spans="1:14" x14ac:dyDescent="0.3">
      <c r="A2402" s="1">
        <v>45573</v>
      </c>
      <c r="B2402" t="s">
        <v>214</v>
      </c>
      <c r="C2402" t="s">
        <v>455</v>
      </c>
      <c r="D2402" s="8"/>
      <c r="E2402" s="8"/>
      <c r="L2402" t="s">
        <v>563</v>
      </c>
      <c r="M2402" t="s">
        <v>478</v>
      </c>
      <c r="N2402" t="str">
        <f>Tabela_tudo[[#This Row],[Médico]]&amp;" ("&amp;Tabela_tudo[[#This Row],[Obs]]&amp;")"</f>
        <v>IFA ()</v>
      </c>
    </row>
    <row r="2403" spans="1:14" x14ac:dyDescent="0.3">
      <c r="A2403" s="1">
        <v>45510</v>
      </c>
      <c r="B2403" t="s">
        <v>214</v>
      </c>
      <c r="C2403" t="s">
        <v>455</v>
      </c>
      <c r="D2403" s="8"/>
      <c r="E2403" s="8"/>
      <c r="L2403" t="s">
        <v>563</v>
      </c>
      <c r="M2403" t="s">
        <v>478</v>
      </c>
      <c r="N2403" t="str">
        <f>Tabela_tudo[[#This Row],[Médico]]&amp;" ("&amp;Tabela_tudo[[#This Row],[Obs]]&amp;")"</f>
        <v>IFA ()</v>
      </c>
    </row>
    <row r="2404" spans="1:14" x14ac:dyDescent="0.3">
      <c r="A2404" s="1">
        <v>45503</v>
      </c>
      <c r="B2404" t="s">
        <v>214</v>
      </c>
      <c r="C2404" t="s">
        <v>455</v>
      </c>
      <c r="D2404" s="8"/>
      <c r="E2404" s="8"/>
      <c r="L2404" t="s">
        <v>563</v>
      </c>
      <c r="M2404" t="s">
        <v>478</v>
      </c>
      <c r="N2404" t="str">
        <f>Tabela_tudo[[#This Row],[Médico]]&amp;" ("&amp;Tabela_tudo[[#This Row],[Obs]]&amp;")"</f>
        <v>IFA ()</v>
      </c>
    </row>
    <row r="2405" spans="1:14" x14ac:dyDescent="0.3">
      <c r="A2405" s="1">
        <v>45496</v>
      </c>
      <c r="B2405" t="s">
        <v>214</v>
      </c>
      <c r="C2405" t="s">
        <v>455</v>
      </c>
      <c r="D2405" s="8"/>
      <c r="E2405" s="8"/>
      <c r="L2405" t="s">
        <v>563</v>
      </c>
      <c r="M2405" t="s">
        <v>478</v>
      </c>
      <c r="N2405" t="str">
        <f>Tabela_tudo[[#This Row],[Médico]]&amp;" ("&amp;Tabela_tudo[[#This Row],[Obs]]&amp;")"</f>
        <v>IFA ()</v>
      </c>
    </row>
    <row r="2406" spans="1:14" x14ac:dyDescent="0.3">
      <c r="A2406" s="1">
        <v>45517</v>
      </c>
      <c r="B2406" t="s">
        <v>214</v>
      </c>
      <c r="C2406" t="s">
        <v>455</v>
      </c>
      <c r="D2406" s="8"/>
      <c r="E2406" s="8"/>
      <c r="L2406" t="s">
        <v>563</v>
      </c>
      <c r="M2406" t="s">
        <v>478</v>
      </c>
      <c r="N2406" t="str">
        <f>Tabela_tudo[[#This Row],[Médico]]&amp;" ("&amp;Tabela_tudo[[#This Row],[Obs]]&amp;")"</f>
        <v>IFA ()</v>
      </c>
    </row>
    <row r="2407" spans="1:14" x14ac:dyDescent="0.3">
      <c r="A2407" s="1">
        <v>45538</v>
      </c>
      <c r="B2407" t="s">
        <v>214</v>
      </c>
      <c r="C2407" t="s">
        <v>455</v>
      </c>
      <c r="D2407" s="8"/>
      <c r="E2407" s="8"/>
      <c r="L2407" t="s">
        <v>563</v>
      </c>
      <c r="M2407" t="s">
        <v>478</v>
      </c>
      <c r="N2407" t="str">
        <f>Tabela_tudo[[#This Row],[Médico]]&amp;" ("&amp;Tabela_tudo[[#This Row],[Obs]]&amp;")"</f>
        <v>IFA ()</v>
      </c>
    </row>
    <row r="2408" spans="1:14" x14ac:dyDescent="0.3">
      <c r="A2408" s="1">
        <v>45531</v>
      </c>
      <c r="B2408" t="s">
        <v>214</v>
      </c>
      <c r="C2408" t="s">
        <v>455</v>
      </c>
      <c r="D2408" s="8"/>
      <c r="E2408" s="8"/>
      <c r="L2408" t="s">
        <v>563</v>
      </c>
      <c r="M2408" t="s">
        <v>478</v>
      </c>
      <c r="N2408" t="str">
        <f>Tabela_tudo[[#This Row],[Médico]]&amp;" ("&amp;Tabela_tudo[[#This Row],[Obs]]&amp;")"</f>
        <v>IFA ()</v>
      </c>
    </row>
    <row r="2409" spans="1:14" x14ac:dyDescent="0.3">
      <c r="A2409" s="1">
        <v>45524</v>
      </c>
      <c r="B2409" t="s">
        <v>214</v>
      </c>
      <c r="C2409" t="s">
        <v>455</v>
      </c>
      <c r="D2409" s="8"/>
      <c r="E2409" s="8"/>
      <c r="L2409" t="s">
        <v>563</v>
      </c>
      <c r="M2409" t="s">
        <v>478</v>
      </c>
      <c r="N2409" t="str">
        <f>Tabela_tudo[[#This Row],[Médico]]&amp;" ("&amp;Tabela_tudo[[#This Row],[Obs]]&amp;")"</f>
        <v>IFA ()</v>
      </c>
    </row>
    <row r="2410" spans="1:14" x14ac:dyDescent="0.3">
      <c r="A2410" s="1">
        <v>45076</v>
      </c>
      <c r="B2410" t="s">
        <v>84</v>
      </c>
      <c r="C2410" t="s">
        <v>455</v>
      </c>
      <c r="D2410" s="8"/>
      <c r="E2410" s="8"/>
      <c r="L2410" t="s">
        <v>563</v>
      </c>
      <c r="M2410" t="s">
        <v>478</v>
      </c>
      <c r="N2410" t="str">
        <f>Tabela_tudo[[#This Row],[Médico]]&amp;" ("&amp;Tabela_tudo[[#This Row],[Obs]]&amp;")"</f>
        <v>ANO ()</v>
      </c>
    </row>
    <row r="2411" spans="1:14" x14ac:dyDescent="0.3">
      <c r="A2411" s="1">
        <v>45356</v>
      </c>
      <c r="B2411" t="s">
        <v>84</v>
      </c>
      <c r="C2411" t="s">
        <v>455</v>
      </c>
      <c r="D2411" s="8"/>
      <c r="E2411" s="8"/>
      <c r="L2411" t="s">
        <v>563</v>
      </c>
      <c r="M2411" t="s">
        <v>478</v>
      </c>
      <c r="N2411" t="str">
        <f>Tabela_tudo[[#This Row],[Médico]]&amp;" ("&amp;Tabela_tudo[[#This Row],[Obs]]&amp;")"</f>
        <v>ANO ()</v>
      </c>
    </row>
    <row r="2412" spans="1:14" x14ac:dyDescent="0.3">
      <c r="A2412" s="1">
        <v>45349</v>
      </c>
      <c r="B2412" t="s">
        <v>84</v>
      </c>
      <c r="C2412" t="s">
        <v>455</v>
      </c>
      <c r="D2412" s="8"/>
      <c r="E2412" s="8"/>
      <c r="L2412" t="s">
        <v>563</v>
      </c>
      <c r="M2412" t="s">
        <v>478</v>
      </c>
      <c r="N2412" t="str">
        <f>Tabela_tudo[[#This Row],[Médico]]&amp;" ("&amp;Tabela_tudo[[#This Row],[Obs]]&amp;")"</f>
        <v>ANO ()</v>
      </c>
    </row>
    <row r="2413" spans="1:14" x14ac:dyDescent="0.3">
      <c r="A2413" s="1">
        <v>45342</v>
      </c>
      <c r="B2413" t="s">
        <v>84</v>
      </c>
      <c r="C2413" t="s">
        <v>455</v>
      </c>
      <c r="D2413" s="8"/>
      <c r="E2413" s="8"/>
      <c r="L2413" t="s">
        <v>563</v>
      </c>
      <c r="M2413" t="s">
        <v>478</v>
      </c>
      <c r="N2413" t="str">
        <f>Tabela_tudo[[#This Row],[Médico]]&amp;" ("&amp;Tabela_tudo[[#This Row],[Obs]]&amp;")"</f>
        <v>ANO ()</v>
      </c>
    </row>
    <row r="2414" spans="1:14" x14ac:dyDescent="0.3">
      <c r="A2414" s="1">
        <v>45363</v>
      </c>
      <c r="B2414" t="s">
        <v>84</v>
      </c>
      <c r="C2414" t="s">
        <v>455</v>
      </c>
      <c r="D2414" s="8"/>
      <c r="E2414" s="8"/>
      <c r="L2414" t="s">
        <v>563</v>
      </c>
      <c r="M2414" t="s">
        <v>478</v>
      </c>
      <c r="N2414" t="str">
        <f>Tabela_tudo[[#This Row],[Médico]]&amp;" ("&amp;Tabela_tudo[[#This Row],[Obs]]&amp;")"</f>
        <v>ANO ()</v>
      </c>
    </row>
    <row r="2415" spans="1:14" x14ac:dyDescent="0.3">
      <c r="A2415" s="1">
        <v>45384</v>
      </c>
      <c r="B2415" t="s">
        <v>84</v>
      </c>
      <c r="C2415" t="s">
        <v>455</v>
      </c>
      <c r="D2415" s="8"/>
      <c r="E2415" s="8"/>
      <c r="L2415" t="s">
        <v>563</v>
      </c>
      <c r="M2415" t="s">
        <v>478</v>
      </c>
      <c r="N2415" t="str">
        <f>Tabela_tudo[[#This Row],[Médico]]&amp;" ("&amp;Tabela_tudo[[#This Row],[Obs]]&amp;")"</f>
        <v>ANO ()</v>
      </c>
    </row>
    <row r="2416" spans="1:14" x14ac:dyDescent="0.3">
      <c r="A2416" s="1">
        <v>45377</v>
      </c>
      <c r="B2416" t="s">
        <v>84</v>
      </c>
      <c r="C2416" t="s">
        <v>455</v>
      </c>
      <c r="D2416" s="8"/>
      <c r="E2416" s="8"/>
      <c r="L2416" t="s">
        <v>563</v>
      </c>
      <c r="M2416" t="s">
        <v>478</v>
      </c>
      <c r="N2416" t="str">
        <f>Tabela_tudo[[#This Row],[Médico]]&amp;" ("&amp;Tabela_tudo[[#This Row],[Obs]]&amp;")"</f>
        <v>ANO ()</v>
      </c>
    </row>
    <row r="2417" spans="1:14" x14ac:dyDescent="0.3">
      <c r="A2417" s="1">
        <v>45370</v>
      </c>
      <c r="B2417" t="s">
        <v>84</v>
      </c>
      <c r="C2417" t="s">
        <v>455</v>
      </c>
      <c r="D2417" s="8"/>
      <c r="E2417" s="8"/>
      <c r="L2417" t="s">
        <v>563</v>
      </c>
      <c r="M2417" t="s">
        <v>478</v>
      </c>
      <c r="N2417" t="str">
        <f>Tabela_tudo[[#This Row],[Médico]]&amp;" ("&amp;Tabela_tudo[[#This Row],[Obs]]&amp;")"</f>
        <v>ANO ()</v>
      </c>
    </row>
    <row r="2418" spans="1:14" x14ac:dyDescent="0.3">
      <c r="A2418" s="1">
        <v>45307</v>
      </c>
      <c r="B2418" t="s">
        <v>84</v>
      </c>
      <c r="C2418" t="s">
        <v>455</v>
      </c>
      <c r="D2418" s="8"/>
      <c r="E2418" s="8"/>
      <c r="L2418" t="s">
        <v>563</v>
      </c>
      <c r="M2418" t="s">
        <v>478</v>
      </c>
      <c r="N2418" t="str">
        <f>Tabela_tudo[[#This Row],[Médico]]&amp;" ("&amp;Tabela_tudo[[#This Row],[Obs]]&amp;")"</f>
        <v>ANO ()</v>
      </c>
    </row>
    <row r="2419" spans="1:14" x14ac:dyDescent="0.3">
      <c r="A2419" s="1">
        <v>45300</v>
      </c>
      <c r="B2419" t="s">
        <v>84</v>
      </c>
      <c r="C2419" t="s">
        <v>455</v>
      </c>
      <c r="D2419" s="8"/>
      <c r="E2419" s="8"/>
      <c r="L2419" t="s">
        <v>563</v>
      </c>
      <c r="M2419" t="s">
        <v>478</v>
      </c>
      <c r="N2419" t="str">
        <f>Tabela_tudo[[#This Row],[Médico]]&amp;" ("&amp;Tabela_tudo[[#This Row],[Obs]]&amp;")"</f>
        <v>ANO ()</v>
      </c>
    </row>
    <row r="2420" spans="1:14" x14ac:dyDescent="0.3">
      <c r="A2420" s="1">
        <v>45293</v>
      </c>
      <c r="B2420" t="s">
        <v>84</v>
      </c>
      <c r="C2420" t="s">
        <v>455</v>
      </c>
      <c r="D2420" s="8"/>
      <c r="E2420" s="8"/>
      <c r="L2420" t="s">
        <v>563</v>
      </c>
      <c r="M2420" t="s">
        <v>478</v>
      </c>
      <c r="N2420" t="str">
        <f>Tabela_tudo[[#This Row],[Médico]]&amp;" ("&amp;Tabela_tudo[[#This Row],[Obs]]&amp;")"</f>
        <v>ANO ()</v>
      </c>
    </row>
    <row r="2421" spans="1:14" x14ac:dyDescent="0.3">
      <c r="A2421" s="1">
        <v>45314</v>
      </c>
      <c r="B2421" t="s">
        <v>84</v>
      </c>
      <c r="C2421" t="s">
        <v>455</v>
      </c>
      <c r="D2421" s="8"/>
      <c r="E2421" s="8"/>
      <c r="L2421" t="s">
        <v>563</v>
      </c>
      <c r="M2421" t="s">
        <v>478</v>
      </c>
      <c r="N2421" t="str">
        <f>Tabela_tudo[[#This Row],[Médico]]&amp;" ("&amp;Tabela_tudo[[#This Row],[Obs]]&amp;")"</f>
        <v>ANO ()</v>
      </c>
    </row>
    <row r="2422" spans="1:14" x14ac:dyDescent="0.3">
      <c r="A2422" s="1">
        <v>45335</v>
      </c>
      <c r="B2422" t="s">
        <v>84</v>
      </c>
      <c r="C2422" t="s">
        <v>455</v>
      </c>
      <c r="D2422" s="8"/>
      <c r="E2422" s="8"/>
      <c r="L2422" t="s">
        <v>563</v>
      </c>
      <c r="M2422" t="s">
        <v>478</v>
      </c>
      <c r="N2422" t="str">
        <f>Tabela_tudo[[#This Row],[Médico]]&amp;" ("&amp;Tabela_tudo[[#This Row],[Obs]]&amp;")"</f>
        <v>ANO ()</v>
      </c>
    </row>
    <row r="2423" spans="1:14" x14ac:dyDescent="0.3">
      <c r="A2423" s="1">
        <v>45328</v>
      </c>
      <c r="B2423" t="s">
        <v>84</v>
      </c>
      <c r="C2423" t="s">
        <v>455</v>
      </c>
      <c r="D2423" s="8"/>
      <c r="E2423" s="8"/>
      <c r="L2423" t="s">
        <v>563</v>
      </c>
      <c r="M2423" t="s">
        <v>478</v>
      </c>
      <c r="N2423" t="str">
        <f>Tabela_tudo[[#This Row],[Médico]]&amp;" ("&amp;Tabela_tudo[[#This Row],[Obs]]&amp;")"</f>
        <v>ANO ()</v>
      </c>
    </row>
    <row r="2424" spans="1:14" x14ac:dyDescent="0.3">
      <c r="A2424" s="1">
        <v>45321</v>
      </c>
      <c r="B2424" t="s">
        <v>84</v>
      </c>
      <c r="C2424" t="s">
        <v>455</v>
      </c>
      <c r="D2424" s="8"/>
      <c r="E2424" s="8"/>
      <c r="L2424" t="s">
        <v>563</v>
      </c>
      <c r="M2424" t="s">
        <v>478</v>
      </c>
      <c r="N2424" t="str">
        <f>Tabela_tudo[[#This Row],[Médico]]&amp;" ("&amp;Tabela_tudo[[#This Row],[Obs]]&amp;")"</f>
        <v>ANO ()</v>
      </c>
    </row>
    <row r="2425" spans="1:14" x14ac:dyDescent="0.3">
      <c r="A2425" s="1">
        <v>45391</v>
      </c>
      <c r="B2425" t="s">
        <v>84</v>
      </c>
      <c r="C2425" t="s">
        <v>455</v>
      </c>
      <c r="D2425" s="8"/>
      <c r="E2425" s="8"/>
      <c r="L2425" t="s">
        <v>563</v>
      </c>
      <c r="M2425" t="s">
        <v>478</v>
      </c>
      <c r="N2425" t="str">
        <f>Tabela_tudo[[#This Row],[Médico]]&amp;" ("&amp;Tabela_tudo[[#This Row],[Obs]]&amp;")"</f>
        <v>ANO ()</v>
      </c>
    </row>
    <row r="2426" spans="1:14" x14ac:dyDescent="0.3">
      <c r="A2426" s="1">
        <v>45461</v>
      </c>
      <c r="B2426" t="s">
        <v>84</v>
      </c>
      <c r="C2426" t="s">
        <v>455</v>
      </c>
      <c r="D2426" s="8"/>
      <c r="E2426" s="8"/>
      <c r="L2426" t="s">
        <v>563</v>
      </c>
      <c r="M2426" t="s">
        <v>478</v>
      </c>
      <c r="N2426" t="str">
        <f>Tabela_tudo[[#This Row],[Médico]]&amp;" ("&amp;Tabela_tudo[[#This Row],[Obs]]&amp;")"</f>
        <v>ANO ()</v>
      </c>
    </row>
    <row r="2427" spans="1:14" x14ac:dyDescent="0.3">
      <c r="A2427" s="1">
        <v>45454</v>
      </c>
      <c r="B2427" t="s">
        <v>84</v>
      </c>
      <c r="C2427" t="s">
        <v>455</v>
      </c>
      <c r="D2427" s="8"/>
      <c r="E2427" s="8"/>
      <c r="L2427" t="s">
        <v>563</v>
      </c>
      <c r="M2427" t="s">
        <v>478</v>
      </c>
      <c r="N2427" t="str">
        <f>Tabela_tudo[[#This Row],[Médico]]&amp;" ("&amp;Tabela_tudo[[#This Row],[Obs]]&amp;")"</f>
        <v>ANO ()</v>
      </c>
    </row>
    <row r="2428" spans="1:14" x14ac:dyDescent="0.3">
      <c r="A2428" s="1">
        <v>45447</v>
      </c>
      <c r="B2428" t="s">
        <v>84</v>
      </c>
      <c r="C2428" t="s">
        <v>455</v>
      </c>
      <c r="D2428" s="8"/>
      <c r="E2428" s="8"/>
      <c r="L2428" t="s">
        <v>563</v>
      </c>
      <c r="M2428" t="s">
        <v>478</v>
      </c>
      <c r="N2428" t="str">
        <f>Tabela_tudo[[#This Row],[Médico]]&amp;" ("&amp;Tabela_tudo[[#This Row],[Obs]]&amp;")"</f>
        <v>ANO ()</v>
      </c>
    </row>
    <row r="2429" spans="1:14" x14ac:dyDescent="0.3">
      <c r="A2429" s="1">
        <v>45468</v>
      </c>
      <c r="B2429" t="s">
        <v>84</v>
      </c>
      <c r="C2429" t="s">
        <v>455</v>
      </c>
      <c r="D2429" s="8"/>
      <c r="E2429" s="8"/>
      <c r="L2429" t="s">
        <v>563</v>
      </c>
      <c r="M2429" t="s">
        <v>478</v>
      </c>
      <c r="N2429" t="str">
        <f>Tabela_tudo[[#This Row],[Médico]]&amp;" ("&amp;Tabela_tudo[[#This Row],[Obs]]&amp;")"</f>
        <v>ANO ()</v>
      </c>
    </row>
    <row r="2430" spans="1:14" x14ac:dyDescent="0.3">
      <c r="A2430" s="1">
        <v>45489</v>
      </c>
      <c r="B2430" t="s">
        <v>84</v>
      </c>
      <c r="C2430" t="s">
        <v>455</v>
      </c>
      <c r="D2430" s="8"/>
      <c r="E2430" s="8"/>
      <c r="L2430" t="s">
        <v>563</v>
      </c>
      <c r="M2430" t="s">
        <v>478</v>
      </c>
      <c r="N2430" t="str">
        <f>Tabela_tudo[[#This Row],[Médico]]&amp;" ("&amp;Tabela_tudo[[#This Row],[Obs]]&amp;")"</f>
        <v>ANO ()</v>
      </c>
    </row>
    <row r="2431" spans="1:14" x14ac:dyDescent="0.3">
      <c r="A2431" s="1">
        <v>45482</v>
      </c>
      <c r="B2431" t="s">
        <v>84</v>
      </c>
      <c r="C2431" t="s">
        <v>455</v>
      </c>
      <c r="D2431" s="8"/>
      <c r="E2431" s="8"/>
      <c r="L2431" t="s">
        <v>563</v>
      </c>
      <c r="M2431" t="s">
        <v>478</v>
      </c>
      <c r="N2431" t="str">
        <f>Tabela_tudo[[#This Row],[Médico]]&amp;" ("&amp;Tabela_tudo[[#This Row],[Obs]]&amp;")"</f>
        <v>ANO ()</v>
      </c>
    </row>
    <row r="2432" spans="1:14" x14ac:dyDescent="0.3">
      <c r="A2432" s="1">
        <v>45475</v>
      </c>
      <c r="B2432" t="s">
        <v>84</v>
      </c>
      <c r="C2432" t="s">
        <v>455</v>
      </c>
      <c r="D2432" s="8"/>
      <c r="E2432" s="8"/>
      <c r="L2432" t="s">
        <v>563</v>
      </c>
      <c r="M2432" t="s">
        <v>478</v>
      </c>
      <c r="N2432" t="str">
        <f>Tabela_tudo[[#This Row],[Médico]]&amp;" ("&amp;Tabela_tudo[[#This Row],[Obs]]&amp;")"</f>
        <v>ANO ()</v>
      </c>
    </row>
    <row r="2433" spans="1:14" x14ac:dyDescent="0.3">
      <c r="A2433" s="1">
        <v>45412</v>
      </c>
      <c r="B2433" t="s">
        <v>84</v>
      </c>
      <c r="C2433" t="s">
        <v>455</v>
      </c>
      <c r="D2433" s="8"/>
      <c r="E2433" s="8"/>
      <c r="L2433" t="s">
        <v>563</v>
      </c>
      <c r="M2433" t="s">
        <v>478</v>
      </c>
      <c r="N2433" t="str">
        <f>Tabela_tudo[[#This Row],[Médico]]&amp;" ("&amp;Tabela_tudo[[#This Row],[Obs]]&amp;")"</f>
        <v>ANO ()</v>
      </c>
    </row>
    <row r="2434" spans="1:14" x14ac:dyDescent="0.3">
      <c r="A2434" s="1">
        <v>45405</v>
      </c>
      <c r="B2434" t="s">
        <v>84</v>
      </c>
      <c r="C2434" t="s">
        <v>455</v>
      </c>
      <c r="D2434" s="8"/>
      <c r="E2434" s="8"/>
      <c r="L2434" t="s">
        <v>563</v>
      </c>
      <c r="M2434" t="s">
        <v>478</v>
      </c>
      <c r="N2434" t="str">
        <f>Tabela_tudo[[#This Row],[Médico]]&amp;" ("&amp;Tabela_tudo[[#This Row],[Obs]]&amp;")"</f>
        <v>ANO ()</v>
      </c>
    </row>
    <row r="2435" spans="1:14" x14ac:dyDescent="0.3">
      <c r="A2435" s="1">
        <v>45398</v>
      </c>
      <c r="B2435" t="s">
        <v>84</v>
      </c>
      <c r="C2435" t="s">
        <v>455</v>
      </c>
      <c r="D2435" s="8"/>
      <c r="E2435" s="8"/>
      <c r="L2435" t="s">
        <v>563</v>
      </c>
      <c r="M2435" t="s">
        <v>478</v>
      </c>
      <c r="N2435" t="str">
        <f>Tabela_tudo[[#This Row],[Médico]]&amp;" ("&amp;Tabela_tudo[[#This Row],[Obs]]&amp;")"</f>
        <v>ANO ()</v>
      </c>
    </row>
    <row r="2436" spans="1:14" x14ac:dyDescent="0.3">
      <c r="A2436" s="1">
        <v>45419</v>
      </c>
      <c r="B2436" t="s">
        <v>84</v>
      </c>
      <c r="C2436" t="s">
        <v>455</v>
      </c>
      <c r="D2436" s="8"/>
      <c r="E2436" s="8"/>
      <c r="L2436" t="s">
        <v>563</v>
      </c>
      <c r="M2436" t="s">
        <v>478</v>
      </c>
      <c r="N2436" t="str">
        <f>Tabela_tudo[[#This Row],[Médico]]&amp;" ("&amp;Tabela_tudo[[#This Row],[Obs]]&amp;")"</f>
        <v>ANO ()</v>
      </c>
    </row>
    <row r="2437" spans="1:14" x14ac:dyDescent="0.3">
      <c r="A2437" s="1">
        <v>45440</v>
      </c>
      <c r="B2437" t="s">
        <v>84</v>
      </c>
      <c r="C2437" t="s">
        <v>455</v>
      </c>
      <c r="D2437" s="8"/>
      <c r="E2437" s="8"/>
      <c r="L2437" t="s">
        <v>563</v>
      </c>
      <c r="M2437" t="s">
        <v>478</v>
      </c>
      <c r="N2437" t="str">
        <f>Tabela_tudo[[#This Row],[Médico]]&amp;" ("&amp;Tabela_tudo[[#This Row],[Obs]]&amp;")"</f>
        <v>ANO ()</v>
      </c>
    </row>
    <row r="2438" spans="1:14" x14ac:dyDescent="0.3">
      <c r="A2438" s="1">
        <v>45433</v>
      </c>
      <c r="B2438" t="s">
        <v>84</v>
      </c>
      <c r="C2438" t="s">
        <v>455</v>
      </c>
      <c r="D2438" s="8"/>
      <c r="E2438" s="8"/>
      <c r="L2438" t="s">
        <v>563</v>
      </c>
      <c r="M2438" t="s">
        <v>478</v>
      </c>
      <c r="N2438" t="str">
        <f>Tabela_tudo[[#This Row],[Médico]]&amp;" ("&amp;Tabela_tudo[[#This Row],[Obs]]&amp;")"</f>
        <v>ANO ()</v>
      </c>
    </row>
    <row r="2439" spans="1:14" x14ac:dyDescent="0.3">
      <c r="A2439" s="1">
        <v>45426</v>
      </c>
      <c r="B2439" t="s">
        <v>84</v>
      </c>
      <c r="C2439" t="s">
        <v>455</v>
      </c>
      <c r="D2439" s="8"/>
      <c r="E2439" s="8"/>
      <c r="L2439" t="s">
        <v>563</v>
      </c>
      <c r="M2439" t="s">
        <v>478</v>
      </c>
      <c r="N2439" t="str">
        <f>Tabela_tudo[[#This Row],[Médico]]&amp;" ("&amp;Tabela_tudo[[#This Row],[Obs]]&amp;")"</f>
        <v>ANO ()</v>
      </c>
    </row>
    <row r="2440" spans="1:14" x14ac:dyDescent="0.3">
      <c r="A2440" s="1">
        <v>45286</v>
      </c>
      <c r="B2440" t="s">
        <v>84</v>
      </c>
      <c r="C2440" t="s">
        <v>455</v>
      </c>
      <c r="D2440" s="8"/>
      <c r="E2440" s="8"/>
      <c r="L2440" t="s">
        <v>563</v>
      </c>
      <c r="M2440" t="s">
        <v>478</v>
      </c>
      <c r="N2440" t="str">
        <f>Tabela_tudo[[#This Row],[Médico]]&amp;" ("&amp;Tabela_tudo[[#This Row],[Obs]]&amp;")"</f>
        <v>ANO ()</v>
      </c>
    </row>
    <row r="2441" spans="1:14" x14ac:dyDescent="0.3">
      <c r="A2441" s="1">
        <v>45146</v>
      </c>
      <c r="B2441" t="s">
        <v>84</v>
      </c>
      <c r="C2441" t="s">
        <v>455</v>
      </c>
      <c r="D2441" s="8"/>
      <c r="E2441" s="8"/>
      <c r="L2441" t="s">
        <v>563</v>
      </c>
      <c r="M2441" t="s">
        <v>478</v>
      </c>
      <c r="N2441" t="str">
        <f>Tabela_tudo[[#This Row],[Médico]]&amp;" ("&amp;Tabela_tudo[[#This Row],[Obs]]&amp;")"</f>
        <v>ANO ()</v>
      </c>
    </row>
    <row r="2442" spans="1:14" x14ac:dyDescent="0.3">
      <c r="A2442" s="1">
        <v>45139</v>
      </c>
      <c r="B2442" t="s">
        <v>84</v>
      </c>
      <c r="C2442" t="s">
        <v>455</v>
      </c>
      <c r="D2442" s="8"/>
      <c r="E2442" s="8"/>
      <c r="L2442" t="s">
        <v>563</v>
      </c>
      <c r="M2442" t="s">
        <v>478</v>
      </c>
      <c r="N2442" t="str">
        <f>Tabela_tudo[[#This Row],[Médico]]&amp;" ("&amp;Tabela_tudo[[#This Row],[Obs]]&amp;")"</f>
        <v>ANO ()</v>
      </c>
    </row>
    <row r="2443" spans="1:14" x14ac:dyDescent="0.3">
      <c r="A2443" s="1">
        <v>45132</v>
      </c>
      <c r="B2443" t="s">
        <v>84</v>
      </c>
      <c r="C2443" t="s">
        <v>455</v>
      </c>
      <c r="D2443" s="8"/>
      <c r="E2443" s="8"/>
      <c r="L2443" t="s">
        <v>563</v>
      </c>
      <c r="M2443" t="s">
        <v>478</v>
      </c>
      <c r="N2443" t="str">
        <f>Tabela_tudo[[#This Row],[Médico]]&amp;" ("&amp;Tabela_tudo[[#This Row],[Obs]]&amp;")"</f>
        <v>ANO ()</v>
      </c>
    </row>
    <row r="2444" spans="1:14" x14ac:dyDescent="0.3">
      <c r="A2444" s="1">
        <v>45153</v>
      </c>
      <c r="B2444" t="s">
        <v>84</v>
      </c>
      <c r="C2444" t="s">
        <v>455</v>
      </c>
      <c r="D2444" s="8"/>
      <c r="E2444" s="8"/>
      <c r="L2444" t="s">
        <v>563</v>
      </c>
      <c r="M2444" t="s">
        <v>478</v>
      </c>
      <c r="N2444" t="str">
        <f>Tabela_tudo[[#This Row],[Médico]]&amp;" ("&amp;Tabela_tudo[[#This Row],[Obs]]&amp;")"</f>
        <v>ANO ()</v>
      </c>
    </row>
    <row r="2445" spans="1:14" x14ac:dyDescent="0.3">
      <c r="A2445" s="1">
        <v>45174</v>
      </c>
      <c r="B2445" t="s">
        <v>84</v>
      </c>
      <c r="C2445" t="s">
        <v>455</v>
      </c>
      <c r="D2445" s="8"/>
      <c r="E2445" s="8"/>
      <c r="L2445" t="s">
        <v>563</v>
      </c>
      <c r="M2445" t="s">
        <v>478</v>
      </c>
      <c r="N2445" t="str">
        <f>Tabela_tudo[[#This Row],[Médico]]&amp;" ("&amp;Tabela_tudo[[#This Row],[Obs]]&amp;")"</f>
        <v>ANO ()</v>
      </c>
    </row>
    <row r="2446" spans="1:14" x14ac:dyDescent="0.3">
      <c r="A2446" s="1">
        <v>45167</v>
      </c>
      <c r="B2446" t="s">
        <v>84</v>
      </c>
      <c r="C2446" t="s">
        <v>455</v>
      </c>
      <c r="D2446" s="8"/>
      <c r="E2446" s="8"/>
      <c r="L2446" t="s">
        <v>563</v>
      </c>
      <c r="M2446" t="s">
        <v>478</v>
      </c>
      <c r="N2446" t="str">
        <f>Tabela_tudo[[#This Row],[Médico]]&amp;" ("&amp;Tabela_tudo[[#This Row],[Obs]]&amp;")"</f>
        <v>ANO ()</v>
      </c>
    </row>
    <row r="2447" spans="1:14" x14ac:dyDescent="0.3">
      <c r="A2447" s="1">
        <v>45160</v>
      </c>
      <c r="B2447" t="s">
        <v>84</v>
      </c>
      <c r="C2447" t="s">
        <v>455</v>
      </c>
      <c r="D2447" s="8"/>
      <c r="E2447" s="8"/>
      <c r="L2447" t="s">
        <v>563</v>
      </c>
      <c r="M2447" t="s">
        <v>478</v>
      </c>
      <c r="N2447" t="str">
        <f>Tabela_tudo[[#This Row],[Médico]]&amp;" ("&amp;Tabela_tudo[[#This Row],[Obs]]&amp;")"</f>
        <v>ANO ()</v>
      </c>
    </row>
    <row r="2448" spans="1:14" x14ac:dyDescent="0.3">
      <c r="A2448" s="1">
        <v>45097</v>
      </c>
      <c r="B2448" t="s">
        <v>84</v>
      </c>
      <c r="C2448" t="s">
        <v>455</v>
      </c>
      <c r="D2448" s="8"/>
      <c r="E2448" s="8"/>
      <c r="L2448" t="s">
        <v>563</v>
      </c>
      <c r="M2448" t="s">
        <v>478</v>
      </c>
      <c r="N2448" t="str">
        <f>Tabela_tudo[[#This Row],[Médico]]&amp;" ("&amp;Tabela_tudo[[#This Row],[Obs]]&amp;")"</f>
        <v>ANO ()</v>
      </c>
    </row>
    <row r="2449" spans="1:14" x14ac:dyDescent="0.3">
      <c r="A2449" s="1">
        <v>45090</v>
      </c>
      <c r="B2449" t="s">
        <v>84</v>
      </c>
      <c r="C2449" t="s">
        <v>455</v>
      </c>
      <c r="D2449" s="8"/>
      <c r="E2449" s="8"/>
      <c r="L2449" t="s">
        <v>563</v>
      </c>
      <c r="M2449" t="s">
        <v>478</v>
      </c>
      <c r="N2449" t="str">
        <f>Tabela_tudo[[#This Row],[Médico]]&amp;" ("&amp;Tabela_tudo[[#This Row],[Obs]]&amp;")"</f>
        <v>ANO ()</v>
      </c>
    </row>
    <row r="2450" spans="1:14" x14ac:dyDescent="0.3">
      <c r="A2450" s="1">
        <v>45083</v>
      </c>
      <c r="B2450" t="s">
        <v>84</v>
      </c>
      <c r="C2450" t="s">
        <v>455</v>
      </c>
      <c r="D2450" s="8"/>
      <c r="E2450" s="8"/>
      <c r="L2450" t="s">
        <v>563</v>
      </c>
      <c r="M2450" t="s">
        <v>478</v>
      </c>
      <c r="N2450" t="str">
        <f>Tabela_tudo[[#This Row],[Médico]]&amp;" ("&amp;Tabela_tudo[[#This Row],[Obs]]&amp;")"</f>
        <v>ANO ()</v>
      </c>
    </row>
    <row r="2451" spans="1:14" x14ac:dyDescent="0.3">
      <c r="A2451" s="1">
        <v>45104</v>
      </c>
      <c r="B2451" t="s">
        <v>84</v>
      </c>
      <c r="C2451" t="s">
        <v>455</v>
      </c>
      <c r="D2451" s="8"/>
      <c r="E2451" s="8"/>
      <c r="L2451" t="s">
        <v>563</v>
      </c>
      <c r="M2451" t="s">
        <v>478</v>
      </c>
      <c r="N2451" t="str">
        <f>Tabela_tudo[[#This Row],[Médico]]&amp;" ("&amp;Tabela_tudo[[#This Row],[Obs]]&amp;")"</f>
        <v>ANO ()</v>
      </c>
    </row>
    <row r="2452" spans="1:14" x14ac:dyDescent="0.3">
      <c r="A2452" s="1">
        <v>45125</v>
      </c>
      <c r="B2452" t="s">
        <v>84</v>
      </c>
      <c r="C2452" t="s">
        <v>455</v>
      </c>
      <c r="D2452" s="8"/>
      <c r="E2452" s="8"/>
      <c r="L2452" t="s">
        <v>563</v>
      </c>
      <c r="M2452" t="s">
        <v>478</v>
      </c>
      <c r="N2452" t="str">
        <f>Tabela_tudo[[#This Row],[Médico]]&amp;" ("&amp;Tabela_tudo[[#This Row],[Obs]]&amp;")"</f>
        <v>ANO ()</v>
      </c>
    </row>
    <row r="2453" spans="1:14" x14ac:dyDescent="0.3">
      <c r="A2453" s="1">
        <v>45118</v>
      </c>
      <c r="B2453" t="s">
        <v>84</v>
      </c>
      <c r="C2453" t="s">
        <v>455</v>
      </c>
      <c r="D2453" s="8"/>
      <c r="E2453" s="8"/>
      <c r="L2453" t="s">
        <v>563</v>
      </c>
      <c r="M2453" t="s">
        <v>478</v>
      </c>
      <c r="N2453" t="str">
        <f>Tabela_tudo[[#This Row],[Médico]]&amp;" ("&amp;Tabela_tudo[[#This Row],[Obs]]&amp;")"</f>
        <v>ANO ()</v>
      </c>
    </row>
    <row r="2454" spans="1:14" x14ac:dyDescent="0.3">
      <c r="A2454" s="1">
        <v>45111</v>
      </c>
      <c r="B2454" t="s">
        <v>84</v>
      </c>
      <c r="C2454" t="s">
        <v>455</v>
      </c>
      <c r="D2454" s="8"/>
      <c r="E2454" s="8"/>
      <c r="L2454" t="s">
        <v>563</v>
      </c>
      <c r="M2454" t="s">
        <v>478</v>
      </c>
      <c r="N2454" t="str">
        <f>Tabela_tudo[[#This Row],[Médico]]&amp;" ("&amp;Tabela_tudo[[#This Row],[Obs]]&amp;")"</f>
        <v>ANO ()</v>
      </c>
    </row>
    <row r="2455" spans="1:14" x14ac:dyDescent="0.3">
      <c r="A2455" s="1">
        <v>45181</v>
      </c>
      <c r="B2455" t="s">
        <v>84</v>
      </c>
      <c r="C2455" t="s">
        <v>455</v>
      </c>
      <c r="D2455" s="8"/>
      <c r="E2455" s="8"/>
      <c r="L2455" t="s">
        <v>563</v>
      </c>
      <c r="M2455" t="s">
        <v>478</v>
      </c>
      <c r="N2455" t="str">
        <f>Tabela_tudo[[#This Row],[Médico]]&amp;" ("&amp;Tabela_tudo[[#This Row],[Obs]]&amp;")"</f>
        <v>ANO ()</v>
      </c>
    </row>
    <row r="2456" spans="1:14" x14ac:dyDescent="0.3">
      <c r="A2456" s="1">
        <v>45251</v>
      </c>
      <c r="B2456" t="s">
        <v>84</v>
      </c>
      <c r="C2456" t="s">
        <v>455</v>
      </c>
      <c r="D2456" s="8"/>
      <c r="E2456" s="8"/>
      <c r="L2456" t="s">
        <v>563</v>
      </c>
      <c r="M2456" t="s">
        <v>478</v>
      </c>
      <c r="N2456" t="str">
        <f>Tabela_tudo[[#This Row],[Médico]]&amp;" ("&amp;Tabela_tudo[[#This Row],[Obs]]&amp;")"</f>
        <v>ANO ()</v>
      </c>
    </row>
    <row r="2457" spans="1:14" x14ac:dyDescent="0.3">
      <c r="A2457" s="1">
        <v>45244</v>
      </c>
      <c r="B2457" t="s">
        <v>84</v>
      </c>
      <c r="C2457" t="s">
        <v>455</v>
      </c>
      <c r="D2457" s="8"/>
      <c r="E2457" s="8"/>
      <c r="L2457" t="s">
        <v>563</v>
      </c>
      <c r="M2457" t="s">
        <v>478</v>
      </c>
      <c r="N2457" t="str">
        <f>Tabela_tudo[[#This Row],[Médico]]&amp;" ("&amp;Tabela_tudo[[#This Row],[Obs]]&amp;")"</f>
        <v>ANO ()</v>
      </c>
    </row>
    <row r="2458" spans="1:14" x14ac:dyDescent="0.3">
      <c r="A2458" s="1">
        <v>45237</v>
      </c>
      <c r="B2458" t="s">
        <v>84</v>
      </c>
      <c r="C2458" t="s">
        <v>455</v>
      </c>
      <c r="D2458" s="8"/>
      <c r="E2458" s="8"/>
      <c r="L2458" t="s">
        <v>563</v>
      </c>
      <c r="M2458" t="s">
        <v>478</v>
      </c>
      <c r="N2458" t="str">
        <f>Tabela_tudo[[#This Row],[Médico]]&amp;" ("&amp;Tabela_tudo[[#This Row],[Obs]]&amp;")"</f>
        <v>ANO ()</v>
      </c>
    </row>
    <row r="2459" spans="1:14" x14ac:dyDescent="0.3">
      <c r="A2459" s="1">
        <v>45258</v>
      </c>
      <c r="B2459" t="s">
        <v>84</v>
      </c>
      <c r="C2459" t="s">
        <v>455</v>
      </c>
      <c r="D2459" s="8"/>
      <c r="E2459" s="8"/>
      <c r="L2459" t="s">
        <v>563</v>
      </c>
      <c r="M2459" t="s">
        <v>478</v>
      </c>
      <c r="N2459" t="str">
        <f>Tabela_tudo[[#This Row],[Médico]]&amp;" ("&amp;Tabela_tudo[[#This Row],[Obs]]&amp;")"</f>
        <v>ANO ()</v>
      </c>
    </row>
    <row r="2460" spans="1:14" x14ac:dyDescent="0.3">
      <c r="A2460" s="1">
        <v>45279</v>
      </c>
      <c r="B2460" t="s">
        <v>84</v>
      </c>
      <c r="C2460" t="s">
        <v>455</v>
      </c>
      <c r="D2460" s="8"/>
      <c r="E2460" s="8"/>
      <c r="L2460" t="s">
        <v>563</v>
      </c>
      <c r="M2460" t="s">
        <v>478</v>
      </c>
      <c r="N2460" t="str">
        <f>Tabela_tudo[[#This Row],[Médico]]&amp;" ("&amp;Tabela_tudo[[#This Row],[Obs]]&amp;")"</f>
        <v>ANO ()</v>
      </c>
    </row>
    <row r="2461" spans="1:14" x14ac:dyDescent="0.3">
      <c r="A2461" s="1">
        <v>45272</v>
      </c>
      <c r="B2461" t="s">
        <v>84</v>
      </c>
      <c r="C2461" t="s">
        <v>455</v>
      </c>
      <c r="D2461" s="8"/>
      <c r="E2461" s="8"/>
      <c r="L2461" t="s">
        <v>563</v>
      </c>
      <c r="M2461" t="s">
        <v>478</v>
      </c>
      <c r="N2461" t="str">
        <f>Tabela_tudo[[#This Row],[Médico]]&amp;" ("&amp;Tabela_tudo[[#This Row],[Obs]]&amp;")"</f>
        <v>ANO ()</v>
      </c>
    </row>
    <row r="2462" spans="1:14" x14ac:dyDescent="0.3">
      <c r="A2462" s="1">
        <v>45265</v>
      </c>
      <c r="B2462" t="s">
        <v>84</v>
      </c>
      <c r="C2462" t="s">
        <v>455</v>
      </c>
      <c r="D2462" s="8"/>
      <c r="E2462" s="8"/>
      <c r="L2462" t="s">
        <v>563</v>
      </c>
      <c r="M2462" t="s">
        <v>478</v>
      </c>
      <c r="N2462" t="str">
        <f>Tabela_tudo[[#This Row],[Médico]]&amp;" ("&amp;Tabela_tudo[[#This Row],[Obs]]&amp;")"</f>
        <v>ANO ()</v>
      </c>
    </row>
    <row r="2463" spans="1:14" x14ac:dyDescent="0.3">
      <c r="A2463" s="1">
        <v>45202</v>
      </c>
      <c r="B2463" t="s">
        <v>84</v>
      </c>
      <c r="C2463" t="s">
        <v>455</v>
      </c>
      <c r="D2463" s="8"/>
      <c r="E2463" s="8"/>
      <c r="L2463" t="s">
        <v>563</v>
      </c>
      <c r="M2463" t="s">
        <v>478</v>
      </c>
      <c r="N2463" t="str">
        <f>Tabela_tudo[[#This Row],[Médico]]&amp;" ("&amp;Tabela_tudo[[#This Row],[Obs]]&amp;")"</f>
        <v>ANO ()</v>
      </c>
    </row>
    <row r="2464" spans="1:14" x14ac:dyDescent="0.3">
      <c r="A2464" s="1">
        <v>45195</v>
      </c>
      <c r="B2464" t="s">
        <v>84</v>
      </c>
      <c r="C2464" t="s">
        <v>455</v>
      </c>
      <c r="D2464" s="8"/>
      <c r="E2464" s="8"/>
      <c r="L2464" t="s">
        <v>563</v>
      </c>
      <c r="M2464" t="s">
        <v>478</v>
      </c>
      <c r="N2464" t="str">
        <f>Tabela_tudo[[#This Row],[Médico]]&amp;" ("&amp;Tabela_tudo[[#This Row],[Obs]]&amp;")"</f>
        <v>ANO ()</v>
      </c>
    </row>
    <row r="2465" spans="1:14" x14ac:dyDescent="0.3">
      <c r="A2465" s="1">
        <v>45188</v>
      </c>
      <c r="B2465" t="s">
        <v>84</v>
      </c>
      <c r="C2465" t="s">
        <v>455</v>
      </c>
      <c r="D2465" s="8"/>
      <c r="E2465" s="8"/>
      <c r="L2465" t="s">
        <v>563</v>
      </c>
      <c r="M2465" t="s">
        <v>478</v>
      </c>
      <c r="N2465" t="str">
        <f>Tabela_tudo[[#This Row],[Médico]]&amp;" ("&amp;Tabela_tudo[[#This Row],[Obs]]&amp;")"</f>
        <v>ANO ()</v>
      </c>
    </row>
    <row r="2466" spans="1:14" x14ac:dyDescent="0.3">
      <c r="A2466" s="1">
        <v>45209</v>
      </c>
      <c r="B2466" t="s">
        <v>84</v>
      </c>
      <c r="C2466" t="s">
        <v>455</v>
      </c>
      <c r="D2466" s="8"/>
      <c r="E2466" s="8"/>
      <c r="L2466" t="s">
        <v>563</v>
      </c>
      <c r="M2466" t="s">
        <v>478</v>
      </c>
      <c r="N2466" t="str">
        <f>Tabela_tudo[[#This Row],[Médico]]&amp;" ("&amp;Tabela_tudo[[#This Row],[Obs]]&amp;")"</f>
        <v>ANO ()</v>
      </c>
    </row>
    <row r="2467" spans="1:14" x14ac:dyDescent="0.3">
      <c r="A2467" s="1">
        <v>45230</v>
      </c>
      <c r="B2467" t="s">
        <v>84</v>
      </c>
      <c r="C2467" t="s">
        <v>455</v>
      </c>
      <c r="D2467" s="8"/>
      <c r="E2467" s="8"/>
      <c r="L2467" t="s">
        <v>563</v>
      </c>
      <c r="M2467" t="s">
        <v>478</v>
      </c>
      <c r="N2467" t="str">
        <f>Tabela_tudo[[#This Row],[Médico]]&amp;" ("&amp;Tabela_tudo[[#This Row],[Obs]]&amp;")"</f>
        <v>ANO ()</v>
      </c>
    </row>
    <row r="2468" spans="1:14" x14ac:dyDescent="0.3">
      <c r="A2468" s="1">
        <v>45223</v>
      </c>
      <c r="B2468" t="s">
        <v>84</v>
      </c>
      <c r="C2468" t="s">
        <v>455</v>
      </c>
      <c r="D2468" s="8"/>
      <c r="E2468" s="8"/>
      <c r="L2468" t="s">
        <v>563</v>
      </c>
      <c r="M2468" t="s">
        <v>478</v>
      </c>
      <c r="N2468" t="str">
        <f>Tabela_tudo[[#This Row],[Médico]]&amp;" ("&amp;Tabela_tudo[[#This Row],[Obs]]&amp;")"</f>
        <v>ANO ()</v>
      </c>
    </row>
    <row r="2469" spans="1:14" x14ac:dyDescent="0.3">
      <c r="A2469" s="1">
        <v>45216</v>
      </c>
      <c r="B2469" t="s">
        <v>84</v>
      </c>
      <c r="C2469" t="s">
        <v>455</v>
      </c>
      <c r="D2469" s="8"/>
      <c r="E2469" s="8"/>
      <c r="L2469" t="s">
        <v>563</v>
      </c>
      <c r="M2469" t="s">
        <v>478</v>
      </c>
      <c r="N2469" t="str">
        <f>Tabela_tudo[[#This Row],[Médico]]&amp;" ("&amp;Tabela_tudo[[#This Row],[Obs]]&amp;")"</f>
        <v>ANO ()</v>
      </c>
    </row>
    <row r="2470" spans="1:14" x14ac:dyDescent="0.3">
      <c r="A2470" s="1">
        <v>45273</v>
      </c>
      <c r="B2470" t="s">
        <v>249</v>
      </c>
      <c r="C2470" t="s">
        <v>455</v>
      </c>
      <c r="D2470" s="8"/>
      <c r="E2470" s="8"/>
      <c r="L2470" t="s">
        <v>563</v>
      </c>
      <c r="M2470" t="s">
        <v>478</v>
      </c>
      <c r="N2470" t="str">
        <f>Tabela_tudo[[#This Row],[Médico]]&amp;" ("&amp;Tabela_tudo[[#This Row],[Obs]]&amp;")"</f>
        <v>ISE ()</v>
      </c>
    </row>
    <row r="2471" spans="1:14" x14ac:dyDescent="0.3">
      <c r="A2471" s="1">
        <v>45266</v>
      </c>
      <c r="B2471" t="s">
        <v>249</v>
      </c>
      <c r="C2471" t="s">
        <v>455</v>
      </c>
      <c r="D2471" s="8"/>
      <c r="E2471" s="8"/>
      <c r="L2471" t="s">
        <v>563</v>
      </c>
      <c r="M2471" t="s">
        <v>478</v>
      </c>
      <c r="N2471" t="str">
        <f>Tabela_tudo[[#This Row],[Médico]]&amp;" ("&amp;Tabela_tudo[[#This Row],[Obs]]&amp;")"</f>
        <v>ISE ()</v>
      </c>
    </row>
    <row r="2472" spans="1:14" x14ac:dyDescent="0.3">
      <c r="A2472" s="1">
        <v>45259</v>
      </c>
      <c r="B2472" t="s">
        <v>249</v>
      </c>
      <c r="C2472" t="s">
        <v>455</v>
      </c>
      <c r="D2472" s="8"/>
      <c r="E2472" s="8"/>
      <c r="L2472" t="s">
        <v>563</v>
      </c>
      <c r="M2472" t="s">
        <v>478</v>
      </c>
      <c r="N2472" t="str">
        <f>Tabela_tudo[[#This Row],[Médico]]&amp;" ("&amp;Tabela_tudo[[#This Row],[Obs]]&amp;")"</f>
        <v>ISE ()</v>
      </c>
    </row>
    <row r="2473" spans="1:14" x14ac:dyDescent="0.3">
      <c r="A2473" s="1">
        <v>45280</v>
      </c>
      <c r="B2473" t="s">
        <v>249</v>
      </c>
      <c r="C2473" t="s">
        <v>455</v>
      </c>
      <c r="D2473" s="8"/>
      <c r="E2473" s="8"/>
      <c r="L2473" t="s">
        <v>563</v>
      </c>
      <c r="M2473" t="s">
        <v>478</v>
      </c>
      <c r="N2473" t="str">
        <f>Tabela_tudo[[#This Row],[Médico]]&amp;" ("&amp;Tabela_tudo[[#This Row],[Obs]]&amp;")"</f>
        <v>ISE ()</v>
      </c>
    </row>
    <row r="2474" spans="1:14" x14ac:dyDescent="0.3">
      <c r="A2474" s="1">
        <v>45301</v>
      </c>
      <c r="B2474" t="s">
        <v>249</v>
      </c>
      <c r="C2474" t="s">
        <v>455</v>
      </c>
      <c r="D2474" s="8"/>
      <c r="E2474" s="8"/>
      <c r="L2474" t="s">
        <v>563</v>
      </c>
      <c r="M2474" t="s">
        <v>478</v>
      </c>
      <c r="N2474" t="str">
        <f>Tabela_tudo[[#This Row],[Médico]]&amp;" ("&amp;Tabela_tudo[[#This Row],[Obs]]&amp;")"</f>
        <v>ISE ()</v>
      </c>
    </row>
    <row r="2475" spans="1:14" x14ac:dyDescent="0.3">
      <c r="A2475" s="1">
        <v>45294</v>
      </c>
      <c r="B2475" t="s">
        <v>249</v>
      </c>
      <c r="C2475" t="s">
        <v>455</v>
      </c>
      <c r="D2475" s="8"/>
      <c r="E2475" s="8"/>
      <c r="L2475" t="s">
        <v>563</v>
      </c>
      <c r="M2475" t="s">
        <v>478</v>
      </c>
      <c r="N2475" t="str">
        <f>Tabela_tudo[[#This Row],[Médico]]&amp;" ("&amp;Tabela_tudo[[#This Row],[Obs]]&amp;")"</f>
        <v>ISE ()</v>
      </c>
    </row>
    <row r="2476" spans="1:14" x14ac:dyDescent="0.3">
      <c r="A2476" s="1">
        <v>45287</v>
      </c>
      <c r="B2476" t="s">
        <v>249</v>
      </c>
      <c r="C2476" t="s">
        <v>455</v>
      </c>
      <c r="D2476" s="8"/>
      <c r="E2476" s="8"/>
      <c r="L2476" t="s">
        <v>563</v>
      </c>
      <c r="M2476" t="s">
        <v>478</v>
      </c>
      <c r="N2476" t="str">
        <f>Tabela_tudo[[#This Row],[Médico]]&amp;" ("&amp;Tabela_tudo[[#This Row],[Obs]]&amp;")"</f>
        <v>ISE ()</v>
      </c>
    </row>
    <row r="2477" spans="1:14" x14ac:dyDescent="0.3">
      <c r="A2477" s="1">
        <v>45224</v>
      </c>
      <c r="B2477" t="s">
        <v>249</v>
      </c>
      <c r="C2477" t="s">
        <v>455</v>
      </c>
      <c r="D2477" s="8"/>
      <c r="E2477" s="8"/>
      <c r="L2477" t="s">
        <v>563</v>
      </c>
      <c r="M2477" t="s">
        <v>478</v>
      </c>
      <c r="N2477" t="str">
        <f>Tabela_tudo[[#This Row],[Médico]]&amp;" ("&amp;Tabela_tudo[[#This Row],[Obs]]&amp;")"</f>
        <v>ISE ()</v>
      </c>
    </row>
    <row r="2478" spans="1:14" x14ac:dyDescent="0.3">
      <c r="A2478" s="1">
        <v>45217</v>
      </c>
      <c r="B2478" t="s">
        <v>249</v>
      </c>
      <c r="C2478" t="s">
        <v>455</v>
      </c>
      <c r="D2478" s="8"/>
      <c r="E2478" s="8"/>
      <c r="L2478" t="s">
        <v>563</v>
      </c>
      <c r="M2478" t="s">
        <v>478</v>
      </c>
      <c r="N2478" t="str">
        <f>Tabela_tudo[[#This Row],[Médico]]&amp;" ("&amp;Tabela_tudo[[#This Row],[Obs]]&amp;")"</f>
        <v>ISE ()</v>
      </c>
    </row>
    <row r="2479" spans="1:14" x14ac:dyDescent="0.3">
      <c r="A2479" s="1">
        <v>45210</v>
      </c>
      <c r="B2479" t="s">
        <v>249</v>
      </c>
      <c r="C2479" t="s">
        <v>455</v>
      </c>
      <c r="D2479" s="8"/>
      <c r="E2479" s="8"/>
      <c r="L2479" t="s">
        <v>563</v>
      </c>
      <c r="M2479" t="s">
        <v>478</v>
      </c>
      <c r="N2479" t="str">
        <f>Tabela_tudo[[#This Row],[Médico]]&amp;" ("&amp;Tabela_tudo[[#This Row],[Obs]]&amp;")"</f>
        <v>ISE ()</v>
      </c>
    </row>
    <row r="2480" spans="1:14" x14ac:dyDescent="0.3">
      <c r="A2480" s="1">
        <v>45231</v>
      </c>
      <c r="B2480" t="s">
        <v>249</v>
      </c>
      <c r="C2480" t="s">
        <v>455</v>
      </c>
      <c r="D2480" s="8"/>
      <c r="E2480" s="8"/>
      <c r="L2480" t="s">
        <v>563</v>
      </c>
      <c r="M2480" t="s">
        <v>478</v>
      </c>
      <c r="N2480" t="str">
        <f>Tabela_tudo[[#This Row],[Médico]]&amp;" ("&amp;Tabela_tudo[[#This Row],[Obs]]&amp;")"</f>
        <v>ISE ()</v>
      </c>
    </row>
    <row r="2481" spans="1:14" x14ac:dyDescent="0.3">
      <c r="A2481" s="1">
        <v>45252</v>
      </c>
      <c r="B2481" t="s">
        <v>249</v>
      </c>
      <c r="C2481" t="s">
        <v>455</v>
      </c>
      <c r="D2481" s="8"/>
      <c r="E2481" s="8"/>
      <c r="L2481" t="s">
        <v>563</v>
      </c>
      <c r="M2481" t="s">
        <v>478</v>
      </c>
      <c r="N2481" t="str">
        <f>Tabela_tudo[[#This Row],[Médico]]&amp;" ("&amp;Tabela_tudo[[#This Row],[Obs]]&amp;")"</f>
        <v>ISE ()</v>
      </c>
    </row>
    <row r="2482" spans="1:14" x14ac:dyDescent="0.3">
      <c r="A2482" s="1">
        <v>45245</v>
      </c>
      <c r="B2482" t="s">
        <v>249</v>
      </c>
      <c r="C2482" t="s">
        <v>455</v>
      </c>
      <c r="D2482" s="8"/>
      <c r="E2482" s="8"/>
      <c r="L2482" t="s">
        <v>563</v>
      </c>
      <c r="M2482" t="s">
        <v>478</v>
      </c>
      <c r="N2482" t="str">
        <f>Tabela_tudo[[#This Row],[Médico]]&amp;" ("&amp;Tabela_tudo[[#This Row],[Obs]]&amp;")"</f>
        <v>ISE ()</v>
      </c>
    </row>
    <row r="2483" spans="1:14" x14ac:dyDescent="0.3">
      <c r="A2483" s="1">
        <v>45238</v>
      </c>
      <c r="B2483" t="s">
        <v>249</v>
      </c>
      <c r="C2483" t="s">
        <v>455</v>
      </c>
      <c r="D2483" s="8"/>
      <c r="E2483" s="8"/>
      <c r="L2483" t="s">
        <v>563</v>
      </c>
      <c r="M2483" t="s">
        <v>478</v>
      </c>
      <c r="N2483" t="str">
        <f>Tabela_tudo[[#This Row],[Médico]]&amp;" ("&amp;Tabela_tudo[[#This Row],[Obs]]&amp;")"</f>
        <v>ISE ()</v>
      </c>
    </row>
    <row r="2484" spans="1:14" x14ac:dyDescent="0.3">
      <c r="A2484" s="1">
        <v>45308</v>
      </c>
      <c r="B2484" t="s">
        <v>249</v>
      </c>
      <c r="C2484" t="s">
        <v>455</v>
      </c>
      <c r="D2484" s="8"/>
      <c r="E2484" s="8"/>
      <c r="L2484" t="s">
        <v>563</v>
      </c>
      <c r="M2484" t="s">
        <v>478</v>
      </c>
      <c r="N2484" t="str">
        <f>Tabela_tudo[[#This Row],[Médico]]&amp;" ("&amp;Tabela_tudo[[#This Row],[Obs]]&amp;")"</f>
        <v>ISE ()</v>
      </c>
    </row>
    <row r="2485" spans="1:14" x14ac:dyDescent="0.3">
      <c r="A2485" s="1">
        <v>45378</v>
      </c>
      <c r="B2485" t="s">
        <v>249</v>
      </c>
      <c r="C2485" t="s">
        <v>455</v>
      </c>
      <c r="D2485" s="8"/>
      <c r="E2485" s="8"/>
      <c r="L2485" t="s">
        <v>563</v>
      </c>
      <c r="M2485" t="s">
        <v>478</v>
      </c>
      <c r="N2485" t="str">
        <f>Tabela_tudo[[#This Row],[Médico]]&amp;" ("&amp;Tabela_tudo[[#This Row],[Obs]]&amp;")"</f>
        <v>ISE ()</v>
      </c>
    </row>
    <row r="2486" spans="1:14" x14ac:dyDescent="0.3">
      <c r="A2486" s="1">
        <v>45371</v>
      </c>
      <c r="B2486" t="s">
        <v>249</v>
      </c>
      <c r="C2486" t="s">
        <v>455</v>
      </c>
      <c r="D2486" s="8"/>
      <c r="E2486" s="8"/>
      <c r="L2486" t="s">
        <v>563</v>
      </c>
      <c r="M2486" t="s">
        <v>478</v>
      </c>
      <c r="N2486" t="str">
        <f>Tabela_tudo[[#This Row],[Médico]]&amp;" ("&amp;Tabela_tudo[[#This Row],[Obs]]&amp;")"</f>
        <v>ISE ()</v>
      </c>
    </row>
    <row r="2487" spans="1:14" x14ac:dyDescent="0.3">
      <c r="A2487" s="1">
        <v>45364</v>
      </c>
      <c r="B2487" t="s">
        <v>249</v>
      </c>
      <c r="C2487" t="s">
        <v>455</v>
      </c>
      <c r="D2487" s="8"/>
      <c r="E2487" s="8"/>
      <c r="L2487" t="s">
        <v>563</v>
      </c>
      <c r="M2487" t="s">
        <v>478</v>
      </c>
      <c r="N2487" t="str">
        <f>Tabela_tudo[[#This Row],[Médico]]&amp;" ("&amp;Tabela_tudo[[#This Row],[Obs]]&amp;")"</f>
        <v>ISE ()</v>
      </c>
    </row>
    <row r="2488" spans="1:14" x14ac:dyDescent="0.3">
      <c r="A2488" s="1">
        <v>45385</v>
      </c>
      <c r="B2488" t="s">
        <v>249</v>
      </c>
      <c r="C2488" t="s">
        <v>455</v>
      </c>
      <c r="D2488" s="8"/>
      <c r="E2488" s="8"/>
      <c r="L2488" t="s">
        <v>563</v>
      </c>
      <c r="M2488" t="s">
        <v>478</v>
      </c>
      <c r="N2488" t="str">
        <f>Tabela_tudo[[#This Row],[Médico]]&amp;" ("&amp;Tabela_tudo[[#This Row],[Obs]]&amp;")"</f>
        <v>ISE ()</v>
      </c>
    </row>
    <row r="2489" spans="1:14" x14ac:dyDescent="0.3">
      <c r="A2489" s="1">
        <v>45406</v>
      </c>
      <c r="B2489" t="s">
        <v>249</v>
      </c>
      <c r="C2489" t="s">
        <v>455</v>
      </c>
      <c r="D2489" s="8"/>
      <c r="E2489" s="8"/>
      <c r="L2489" t="s">
        <v>563</v>
      </c>
      <c r="M2489" t="s">
        <v>478</v>
      </c>
      <c r="N2489" t="str">
        <f>Tabela_tudo[[#This Row],[Médico]]&amp;" ("&amp;Tabela_tudo[[#This Row],[Obs]]&amp;")"</f>
        <v>ISE ()</v>
      </c>
    </row>
    <row r="2490" spans="1:14" x14ac:dyDescent="0.3">
      <c r="A2490" s="1">
        <v>45399</v>
      </c>
      <c r="B2490" t="s">
        <v>249</v>
      </c>
      <c r="C2490" t="s">
        <v>455</v>
      </c>
      <c r="D2490" s="8"/>
      <c r="E2490" s="8"/>
      <c r="L2490" t="s">
        <v>563</v>
      </c>
      <c r="M2490" t="s">
        <v>478</v>
      </c>
      <c r="N2490" t="str">
        <f>Tabela_tudo[[#This Row],[Médico]]&amp;" ("&amp;Tabela_tudo[[#This Row],[Obs]]&amp;")"</f>
        <v>ISE ()</v>
      </c>
    </row>
    <row r="2491" spans="1:14" x14ac:dyDescent="0.3">
      <c r="A2491" s="1">
        <v>45392</v>
      </c>
      <c r="B2491" t="s">
        <v>249</v>
      </c>
      <c r="C2491" t="s">
        <v>455</v>
      </c>
      <c r="D2491" s="8"/>
      <c r="E2491" s="8"/>
      <c r="L2491" t="s">
        <v>563</v>
      </c>
      <c r="M2491" t="s">
        <v>478</v>
      </c>
      <c r="N2491" t="str">
        <f>Tabela_tudo[[#This Row],[Médico]]&amp;" ("&amp;Tabela_tudo[[#This Row],[Obs]]&amp;")"</f>
        <v>ISE ()</v>
      </c>
    </row>
    <row r="2492" spans="1:14" x14ac:dyDescent="0.3">
      <c r="A2492" s="1">
        <v>45329</v>
      </c>
      <c r="B2492" t="s">
        <v>249</v>
      </c>
      <c r="C2492" t="s">
        <v>455</v>
      </c>
      <c r="D2492" s="8"/>
      <c r="E2492" s="8"/>
      <c r="L2492" t="s">
        <v>563</v>
      </c>
      <c r="M2492" t="s">
        <v>478</v>
      </c>
      <c r="N2492" t="str">
        <f>Tabela_tudo[[#This Row],[Médico]]&amp;" ("&amp;Tabela_tudo[[#This Row],[Obs]]&amp;")"</f>
        <v>ISE ()</v>
      </c>
    </row>
    <row r="2493" spans="1:14" x14ac:dyDescent="0.3">
      <c r="A2493" s="1">
        <v>45322</v>
      </c>
      <c r="B2493" t="s">
        <v>249</v>
      </c>
      <c r="C2493" t="s">
        <v>455</v>
      </c>
      <c r="D2493" s="8"/>
      <c r="E2493" s="8"/>
      <c r="L2493" t="s">
        <v>563</v>
      </c>
      <c r="M2493" t="s">
        <v>478</v>
      </c>
      <c r="N2493" t="str">
        <f>Tabela_tudo[[#This Row],[Médico]]&amp;" ("&amp;Tabela_tudo[[#This Row],[Obs]]&amp;")"</f>
        <v>ISE ()</v>
      </c>
    </row>
    <row r="2494" spans="1:14" x14ac:dyDescent="0.3">
      <c r="A2494" s="1">
        <v>45315</v>
      </c>
      <c r="B2494" t="s">
        <v>249</v>
      </c>
      <c r="C2494" t="s">
        <v>455</v>
      </c>
      <c r="D2494" s="8"/>
      <c r="E2494" s="8"/>
      <c r="L2494" t="s">
        <v>563</v>
      </c>
      <c r="M2494" t="s">
        <v>478</v>
      </c>
      <c r="N2494" t="str">
        <f>Tabela_tudo[[#This Row],[Médico]]&amp;" ("&amp;Tabela_tudo[[#This Row],[Obs]]&amp;")"</f>
        <v>ISE ()</v>
      </c>
    </row>
    <row r="2495" spans="1:14" x14ac:dyDescent="0.3">
      <c r="A2495" s="1">
        <v>45336</v>
      </c>
      <c r="B2495" t="s">
        <v>249</v>
      </c>
      <c r="C2495" t="s">
        <v>455</v>
      </c>
      <c r="D2495" s="8"/>
      <c r="E2495" s="8"/>
      <c r="L2495" t="s">
        <v>563</v>
      </c>
      <c r="M2495" t="s">
        <v>478</v>
      </c>
      <c r="N2495" t="str">
        <f>Tabela_tudo[[#This Row],[Médico]]&amp;" ("&amp;Tabela_tudo[[#This Row],[Obs]]&amp;")"</f>
        <v>ISE ()</v>
      </c>
    </row>
    <row r="2496" spans="1:14" x14ac:dyDescent="0.3">
      <c r="A2496" s="1">
        <v>45357</v>
      </c>
      <c r="B2496" t="s">
        <v>249</v>
      </c>
      <c r="C2496" t="s">
        <v>455</v>
      </c>
      <c r="D2496" s="8"/>
      <c r="E2496" s="8"/>
      <c r="L2496" t="s">
        <v>563</v>
      </c>
      <c r="M2496" t="s">
        <v>478</v>
      </c>
      <c r="N2496" t="str">
        <f>Tabela_tudo[[#This Row],[Médico]]&amp;" ("&amp;Tabela_tudo[[#This Row],[Obs]]&amp;")"</f>
        <v>ISE ()</v>
      </c>
    </row>
    <row r="2497" spans="1:14" x14ac:dyDescent="0.3">
      <c r="A2497" s="1">
        <v>45350</v>
      </c>
      <c r="B2497" t="s">
        <v>249</v>
      </c>
      <c r="C2497" t="s">
        <v>455</v>
      </c>
      <c r="D2497" s="8"/>
      <c r="E2497" s="8"/>
      <c r="L2497" t="s">
        <v>563</v>
      </c>
      <c r="M2497" t="s">
        <v>478</v>
      </c>
      <c r="N2497" t="str">
        <f>Tabela_tudo[[#This Row],[Médico]]&amp;" ("&amp;Tabela_tudo[[#This Row],[Obs]]&amp;")"</f>
        <v>ISE ()</v>
      </c>
    </row>
    <row r="2498" spans="1:14" x14ac:dyDescent="0.3">
      <c r="A2498" s="1">
        <v>45343</v>
      </c>
      <c r="B2498" t="s">
        <v>249</v>
      </c>
      <c r="C2498" t="s">
        <v>455</v>
      </c>
      <c r="D2498" s="8"/>
      <c r="E2498" s="8"/>
      <c r="L2498" t="s">
        <v>563</v>
      </c>
      <c r="M2498" t="s">
        <v>478</v>
      </c>
      <c r="N2498" t="str">
        <f>Tabela_tudo[[#This Row],[Médico]]&amp;" ("&amp;Tabela_tudo[[#This Row],[Obs]]&amp;")"</f>
        <v>ISE ()</v>
      </c>
    </row>
    <row r="2499" spans="1:14" x14ac:dyDescent="0.3">
      <c r="A2499" s="1">
        <v>45203</v>
      </c>
      <c r="B2499" t="s">
        <v>249</v>
      </c>
      <c r="C2499" t="s">
        <v>455</v>
      </c>
      <c r="D2499" s="8"/>
      <c r="E2499" s="8"/>
      <c r="L2499" t="s">
        <v>563</v>
      </c>
      <c r="M2499" t="s">
        <v>478</v>
      </c>
      <c r="N2499" t="str">
        <f>Tabela_tudo[[#This Row],[Médico]]&amp;" ("&amp;Tabela_tudo[[#This Row],[Obs]]&amp;")"</f>
        <v>ISE ()</v>
      </c>
    </row>
    <row r="2500" spans="1:14" x14ac:dyDescent="0.3">
      <c r="A2500" s="1">
        <v>45056</v>
      </c>
      <c r="B2500" t="s">
        <v>249</v>
      </c>
      <c r="C2500" t="s">
        <v>455</v>
      </c>
      <c r="D2500" s="8"/>
      <c r="E2500" s="8"/>
      <c r="L2500" t="s">
        <v>563</v>
      </c>
      <c r="M2500" t="s">
        <v>478</v>
      </c>
      <c r="N2500" t="str">
        <f>Tabela_tudo[[#This Row],[Médico]]&amp;" ("&amp;Tabela_tudo[[#This Row],[Obs]]&amp;")"</f>
        <v>ISE ()</v>
      </c>
    </row>
    <row r="2501" spans="1:14" x14ac:dyDescent="0.3">
      <c r="A2501" s="1">
        <v>45049</v>
      </c>
      <c r="B2501" t="s">
        <v>249</v>
      </c>
      <c r="C2501" t="s">
        <v>455</v>
      </c>
      <c r="D2501" s="8"/>
      <c r="E2501" s="8"/>
      <c r="L2501" t="s">
        <v>563</v>
      </c>
      <c r="M2501" t="s">
        <v>478</v>
      </c>
      <c r="N2501" t="str">
        <f>Tabela_tudo[[#This Row],[Médico]]&amp;" ("&amp;Tabela_tudo[[#This Row],[Obs]]&amp;")"</f>
        <v>ISE ()</v>
      </c>
    </row>
    <row r="2502" spans="1:14" x14ac:dyDescent="0.3">
      <c r="A2502" s="1">
        <v>45042</v>
      </c>
      <c r="B2502" t="s">
        <v>249</v>
      </c>
      <c r="C2502" t="s">
        <v>455</v>
      </c>
      <c r="D2502" s="8"/>
      <c r="E2502" s="8"/>
      <c r="L2502" t="s">
        <v>563</v>
      </c>
      <c r="M2502" t="s">
        <v>478</v>
      </c>
      <c r="N2502" t="str">
        <f>Tabela_tudo[[#This Row],[Médico]]&amp;" ("&amp;Tabela_tudo[[#This Row],[Obs]]&amp;")"</f>
        <v>ISE ()</v>
      </c>
    </row>
    <row r="2503" spans="1:14" x14ac:dyDescent="0.3">
      <c r="A2503" s="1">
        <v>45063</v>
      </c>
      <c r="B2503" t="s">
        <v>249</v>
      </c>
      <c r="C2503" t="s">
        <v>455</v>
      </c>
      <c r="D2503" s="8"/>
      <c r="E2503" s="8"/>
      <c r="L2503" t="s">
        <v>563</v>
      </c>
      <c r="M2503" t="s">
        <v>478</v>
      </c>
      <c r="N2503" t="str">
        <f>Tabela_tudo[[#This Row],[Médico]]&amp;" ("&amp;Tabela_tudo[[#This Row],[Obs]]&amp;")"</f>
        <v>ISE ()</v>
      </c>
    </row>
    <row r="2504" spans="1:14" x14ac:dyDescent="0.3">
      <c r="A2504" s="1">
        <v>45084</v>
      </c>
      <c r="B2504" t="s">
        <v>249</v>
      </c>
      <c r="C2504" t="s">
        <v>455</v>
      </c>
      <c r="D2504" s="8"/>
      <c r="E2504" s="8"/>
      <c r="L2504" t="s">
        <v>563</v>
      </c>
      <c r="M2504" t="s">
        <v>478</v>
      </c>
      <c r="N2504" t="str">
        <f>Tabela_tudo[[#This Row],[Médico]]&amp;" ("&amp;Tabela_tudo[[#This Row],[Obs]]&amp;")"</f>
        <v>ISE ()</v>
      </c>
    </row>
    <row r="2505" spans="1:14" x14ac:dyDescent="0.3">
      <c r="A2505" s="1">
        <v>45077</v>
      </c>
      <c r="B2505" t="s">
        <v>249</v>
      </c>
      <c r="C2505" t="s">
        <v>455</v>
      </c>
      <c r="D2505" s="8"/>
      <c r="E2505" s="8"/>
      <c r="L2505" t="s">
        <v>563</v>
      </c>
      <c r="M2505" t="s">
        <v>478</v>
      </c>
      <c r="N2505" t="str">
        <f>Tabela_tudo[[#This Row],[Médico]]&amp;" ("&amp;Tabela_tudo[[#This Row],[Obs]]&amp;")"</f>
        <v>ISE ()</v>
      </c>
    </row>
    <row r="2506" spans="1:14" x14ac:dyDescent="0.3">
      <c r="A2506" s="1">
        <v>45070</v>
      </c>
      <c r="B2506" t="s">
        <v>249</v>
      </c>
      <c r="C2506" t="s">
        <v>455</v>
      </c>
      <c r="D2506" s="8"/>
      <c r="E2506" s="8"/>
      <c r="L2506" t="s">
        <v>563</v>
      </c>
      <c r="M2506" t="s">
        <v>478</v>
      </c>
      <c r="N2506" t="str">
        <f>Tabela_tudo[[#This Row],[Médico]]&amp;" ("&amp;Tabela_tudo[[#This Row],[Obs]]&amp;")"</f>
        <v>ISE ()</v>
      </c>
    </row>
    <row r="2507" spans="1:14" x14ac:dyDescent="0.3">
      <c r="A2507" s="1">
        <v>45007</v>
      </c>
      <c r="B2507" t="s">
        <v>249</v>
      </c>
      <c r="C2507" t="s">
        <v>455</v>
      </c>
      <c r="D2507" s="8"/>
      <c r="E2507" s="8"/>
      <c r="L2507" t="s">
        <v>563</v>
      </c>
      <c r="M2507" t="s">
        <v>478</v>
      </c>
      <c r="N2507" t="str">
        <f>Tabela_tudo[[#This Row],[Médico]]&amp;" ("&amp;Tabela_tudo[[#This Row],[Obs]]&amp;")"</f>
        <v>ISE ()</v>
      </c>
    </row>
    <row r="2508" spans="1:14" x14ac:dyDescent="0.3">
      <c r="A2508" s="1">
        <v>45000</v>
      </c>
      <c r="B2508" t="s">
        <v>249</v>
      </c>
      <c r="C2508" t="s">
        <v>455</v>
      </c>
      <c r="D2508" s="8"/>
      <c r="E2508" s="8"/>
      <c r="L2508" t="s">
        <v>563</v>
      </c>
      <c r="M2508" t="s">
        <v>478</v>
      </c>
      <c r="N2508" t="str">
        <f>Tabela_tudo[[#This Row],[Médico]]&amp;" ("&amp;Tabela_tudo[[#This Row],[Obs]]&amp;")"</f>
        <v>ISE ()</v>
      </c>
    </row>
    <row r="2509" spans="1:14" x14ac:dyDescent="0.3">
      <c r="A2509" s="1">
        <v>44993</v>
      </c>
      <c r="B2509" t="s">
        <v>249</v>
      </c>
      <c r="C2509" t="s">
        <v>455</v>
      </c>
      <c r="D2509" s="8"/>
      <c r="E2509" s="8"/>
      <c r="L2509" t="s">
        <v>563</v>
      </c>
      <c r="M2509" t="s">
        <v>478</v>
      </c>
      <c r="N2509" t="str">
        <f>Tabela_tudo[[#This Row],[Médico]]&amp;" ("&amp;Tabela_tudo[[#This Row],[Obs]]&amp;")"</f>
        <v>ISE ()</v>
      </c>
    </row>
    <row r="2510" spans="1:14" x14ac:dyDescent="0.3">
      <c r="A2510" s="1">
        <v>45014</v>
      </c>
      <c r="B2510" t="s">
        <v>249</v>
      </c>
      <c r="C2510" t="s">
        <v>455</v>
      </c>
      <c r="D2510" s="8"/>
      <c r="E2510" s="8"/>
      <c r="L2510" t="s">
        <v>563</v>
      </c>
      <c r="M2510" t="s">
        <v>478</v>
      </c>
      <c r="N2510" t="str">
        <f>Tabela_tudo[[#This Row],[Médico]]&amp;" ("&amp;Tabela_tudo[[#This Row],[Obs]]&amp;")"</f>
        <v>ISE ()</v>
      </c>
    </row>
    <row r="2511" spans="1:14" x14ac:dyDescent="0.3">
      <c r="A2511" s="1">
        <v>45035</v>
      </c>
      <c r="B2511" t="s">
        <v>249</v>
      </c>
      <c r="C2511" t="s">
        <v>455</v>
      </c>
      <c r="D2511" s="8"/>
      <c r="E2511" s="8"/>
      <c r="L2511" t="s">
        <v>563</v>
      </c>
      <c r="M2511" t="s">
        <v>478</v>
      </c>
      <c r="N2511" t="str">
        <f>Tabela_tudo[[#This Row],[Médico]]&amp;" ("&amp;Tabela_tudo[[#This Row],[Obs]]&amp;")"</f>
        <v>ISE ()</v>
      </c>
    </row>
    <row r="2512" spans="1:14" x14ac:dyDescent="0.3">
      <c r="A2512" s="1">
        <v>45028</v>
      </c>
      <c r="B2512" t="s">
        <v>249</v>
      </c>
      <c r="C2512" t="s">
        <v>455</v>
      </c>
      <c r="D2512" s="8"/>
      <c r="E2512" s="8"/>
      <c r="L2512" t="s">
        <v>563</v>
      </c>
      <c r="M2512" t="s">
        <v>478</v>
      </c>
      <c r="N2512" t="str">
        <f>Tabela_tudo[[#This Row],[Médico]]&amp;" ("&amp;Tabela_tudo[[#This Row],[Obs]]&amp;")"</f>
        <v>ISE ()</v>
      </c>
    </row>
    <row r="2513" spans="1:14" x14ac:dyDescent="0.3">
      <c r="A2513" s="1">
        <v>45021</v>
      </c>
      <c r="B2513" t="s">
        <v>249</v>
      </c>
      <c r="C2513" t="s">
        <v>455</v>
      </c>
      <c r="D2513" s="8"/>
      <c r="E2513" s="8"/>
      <c r="L2513" t="s">
        <v>563</v>
      </c>
      <c r="M2513" t="s">
        <v>478</v>
      </c>
      <c r="N2513" t="str">
        <f>Tabela_tudo[[#This Row],[Médico]]&amp;" ("&amp;Tabela_tudo[[#This Row],[Obs]]&amp;")"</f>
        <v>ISE ()</v>
      </c>
    </row>
    <row r="2514" spans="1:14" x14ac:dyDescent="0.3">
      <c r="A2514" s="1">
        <v>45091</v>
      </c>
      <c r="B2514" t="s">
        <v>249</v>
      </c>
      <c r="C2514" t="s">
        <v>455</v>
      </c>
      <c r="D2514" s="8"/>
      <c r="E2514" s="8"/>
      <c r="L2514" t="s">
        <v>563</v>
      </c>
      <c r="M2514" t="s">
        <v>478</v>
      </c>
      <c r="N2514" t="str">
        <f>Tabela_tudo[[#This Row],[Médico]]&amp;" ("&amp;Tabela_tudo[[#This Row],[Obs]]&amp;")"</f>
        <v>ISE ()</v>
      </c>
    </row>
    <row r="2515" spans="1:14" x14ac:dyDescent="0.3">
      <c r="A2515" s="1">
        <v>45168</v>
      </c>
      <c r="B2515" t="s">
        <v>249</v>
      </c>
      <c r="C2515" t="s">
        <v>455</v>
      </c>
      <c r="D2515" s="8"/>
      <c r="E2515" s="8"/>
      <c r="L2515" t="s">
        <v>563</v>
      </c>
      <c r="M2515" t="s">
        <v>478</v>
      </c>
      <c r="N2515" t="str">
        <f>Tabela_tudo[[#This Row],[Médico]]&amp;" ("&amp;Tabela_tudo[[#This Row],[Obs]]&amp;")"</f>
        <v>ISE ()</v>
      </c>
    </row>
    <row r="2516" spans="1:14" x14ac:dyDescent="0.3">
      <c r="A2516" s="1">
        <v>45161</v>
      </c>
      <c r="B2516" t="s">
        <v>249</v>
      </c>
      <c r="C2516" t="s">
        <v>455</v>
      </c>
      <c r="D2516" s="8"/>
      <c r="E2516" s="8"/>
      <c r="L2516" t="s">
        <v>563</v>
      </c>
      <c r="M2516" t="s">
        <v>478</v>
      </c>
      <c r="N2516" t="str">
        <f>Tabela_tudo[[#This Row],[Médico]]&amp;" ("&amp;Tabela_tudo[[#This Row],[Obs]]&amp;")"</f>
        <v>ISE ()</v>
      </c>
    </row>
    <row r="2517" spans="1:14" x14ac:dyDescent="0.3">
      <c r="A2517" s="1">
        <v>45154</v>
      </c>
      <c r="B2517" t="s">
        <v>249</v>
      </c>
      <c r="C2517" t="s">
        <v>455</v>
      </c>
      <c r="D2517" s="8"/>
      <c r="E2517" s="8"/>
      <c r="L2517" t="s">
        <v>563</v>
      </c>
      <c r="M2517" t="s">
        <v>478</v>
      </c>
      <c r="N2517" t="str">
        <f>Tabela_tudo[[#This Row],[Médico]]&amp;" ("&amp;Tabela_tudo[[#This Row],[Obs]]&amp;")"</f>
        <v>ISE ()</v>
      </c>
    </row>
    <row r="2518" spans="1:14" x14ac:dyDescent="0.3">
      <c r="A2518" s="1">
        <v>45175</v>
      </c>
      <c r="B2518" t="s">
        <v>249</v>
      </c>
      <c r="C2518" t="s">
        <v>455</v>
      </c>
      <c r="D2518" s="8"/>
      <c r="E2518" s="8"/>
      <c r="L2518" t="s">
        <v>563</v>
      </c>
      <c r="M2518" t="s">
        <v>478</v>
      </c>
      <c r="N2518" t="str">
        <f>Tabela_tudo[[#This Row],[Médico]]&amp;" ("&amp;Tabela_tudo[[#This Row],[Obs]]&amp;")"</f>
        <v>ISE ()</v>
      </c>
    </row>
    <row r="2519" spans="1:14" x14ac:dyDescent="0.3">
      <c r="A2519" s="1">
        <v>45196</v>
      </c>
      <c r="B2519" t="s">
        <v>249</v>
      </c>
      <c r="C2519" t="s">
        <v>455</v>
      </c>
      <c r="D2519" s="8"/>
      <c r="E2519" s="8"/>
      <c r="L2519" t="s">
        <v>563</v>
      </c>
      <c r="M2519" t="s">
        <v>478</v>
      </c>
      <c r="N2519" t="str">
        <f>Tabela_tudo[[#This Row],[Médico]]&amp;" ("&amp;Tabela_tudo[[#This Row],[Obs]]&amp;")"</f>
        <v>ISE ()</v>
      </c>
    </row>
    <row r="2520" spans="1:14" x14ac:dyDescent="0.3">
      <c r="A2520" s="1">
        <v>45189</v>
      </c>
      <c r="B2520" t="s">
        <v>249</v>
      </c>
      <c r="C2520" t="s">
        <v>455</v>
      </c>
      <c r="D2520" s="8"/>
      <c r="E2520" s="8"/>
      <c r="L2520" t="s">
        <v>563</v>
      </c>
      <c r="M2520" t="s">
        <v>478</v>
      </c>
      <c r="N2520" t="str">
        <f>Tabela_tudo[[#This Row],[Médico]]&amp;" ("&amp;Tabela_tudo[[#This Row],[Obs]]&amp;")"</f>
        <v>ISE ()</v>
      </c>
    </row>
    <row r="2521" spans="1:14" x14ac:dyDescent="0.3">
      <c r="A2521" s="1">
        <v>45182</v>
      </c>
      <c r="B2521" t="s">
        <v>249</v>
      </c>
      <c r="C2521" t="s">
        <v>455</v>
      </c>
      <c r="D2521" s="8"/>
      <c r="E2521" s="8"/>
      <c r="L2521" t="s">
        <v>563</v>
      </c>
      <c r="M2521" t="s">
        <v>478</v>
      </c>
      <c r="N2521" t="str">
        <f>Tabela_tudo[[#This Row],[Médico]]&amp;" ("&amp;Tabela_tudo[[#This Row],[Obs]]&amp;")"</f>
        <v>ISE ()</v>
      </c>
    </row>
    <row r="2522" spans="1:14" x14ac:dyDescent="0.3">
      <c r="A2522" s="1">
        <v>45112</v>
      </c>
      <c r="B2522" t="s">
        <v>249</v>
      </c>
      <c r="C2522" t="s">
        <v>455</v>
      </c>
      <c r="D2522" s="8"/>
      <c r="E2522" s="8"/>
      <c r="L2522" t="s">
        <v>563</v>
      </c>
      <c r="M2522" t="s">
        <v>478</v>
      </c>
      <c r="N2522" t="str">
        <f>Tabela_tudo[[#This Row],[Médico]]&amp;" ("&amp;Tabela_tudo[[#This Row],[Obs]]&amp;")"</f>
        <v>ISE ()</v>
      </c>
    </row>
    <row r="2523" spans="1:14" x14ac:dyDescent="0.3">
      <c r="A2523" s="1">
        <v>45105</v>
      </c>
      <c r="B2523" t="s">
        <v>249</v>
      </c>
      <c r="C2523" t="s">
        <v>455</v>
      </c>
      <c r="D2523" s="8"/>
      <c r="E2523" s="8"/>
      <c r="L2523" t="s">
        <v>563</v>
      </c>
      <c r="M2523" t="s">
        <v>478</v>
      </c>
      <c r="N2523" t="str">
        <f>Tabela_tudo[[#This Row],[Médico]]&amp;" ("&amp;Tabela_tudo[[#This Row],[Obs]]&amp;")"</f>
        <v>ISE ()</v>
      </c>
    </row>
    <row r="2524" spans="1:14" x14ac:dyDescent="0.3">
      <c r="A2524" s="1">
        <v>45098</v>
      </c>
      <c r="B2524" t="s">
        <v>249</v>
      </c>
      <c r="C2524" t="s">
        <v>455</v>
      </c>
      <c r="D2524" s="8"/>
      <c r="E2524" s="8"/>
      <c r="L2524" t="s">
        <v>563</v>
      </c>
      <c r="M2524" t="s">
        <v>478</v>
      </c>
      <c r="N2524" t="str">
        <f>Tabela_tudo[[#This Row],[Médico]]&amp;" ("&amp;Tabela_tudo[[#This Row],[Obs]]&amp;")"</f>
        <v>ISE ()</v>
      </c>
    </row>
    <row r="2525" spans="1:14" x14ac:dyDescent="0.3">
      <c r="A2525" s="1">
        <v>45119</v>
      </c>
      <c r="B2525" t="s">
        <v>249</v>
      </c>
      <c r="C2525" t="s">
        <v>455</v>
      </c>
      <c r="D2525" s="8"/>
      <c r="E2525" s="8"/>
      <c r="L2525" t="s">
        <v>563</v>
      </c>
      <c r="M2525" t="s">
        <v>478</v>
      </c>
      <c r="N2525" t="str">
        <f>Tabela_tudo[[#This Row],[Médico]]&amp;" ("&amp;Tabela_tudo[[#This Row],[Obs]]&amp;")"</f>
        <v>ISE ()</v>
      </c>
    </row>
    <row r="2526" spans="1:14" x14ac:dyDescent="0.3">
      <c r="A2526" s="1">
        <v>45147</v>
      </c>
      <c r="B2526" t="s">
        <v>249</v>
      </c>
      <c r="C2526" t="s">
        <v>455</v>
      </c>
      <c r="D2526" s="8"/>
      <c r="E2526" s="8"/>
      <c r="L2526" t="s">
        <v>563</v>
      </c>
      <c r="M2526" t="s">
        <v>478</v>
      </c>
      <c r="N2526" t="str">
        <f>Tabela_tudo[[#This Row],[Médico]]&amp;" ("&amp;Tabela_tudo[[#This Row],[Obs]]&amp;")"</f>
        <v>ISE ()</v>
      </c>
    </row>
    <row r="2527" spans="1:14" x14ac:dyDescent="0.3">
      <c r="A2527" s="1">
        <v>45140</v>
      </c>
      <c r="B2527" t="s">
        <v>249</v>
      </c>
      <c r="C2527" t="s">
        <v>455</v>
      </c>
      <c r="D2527" s="8"/>
      <c r="E2527" s="8"/>
      <c r="L2527" t="s">
        <v>563</v>
      </c>
      <c r="M2527" t="s">
        <v>478</v>
      </c>
      <c r="N2527" t="str">
        <f>Tabela_tudo[[#This Row],[Médico]]&amp;" ("&amp;Tabela_tudo[[#This Row],[Obs]]&amp;")"</f>
        <v>ISE ()</v>
      </c>
    </row>
    <row r="2528" spans="1:14" x14ac:dyDescent="0.3">
      <c r="A2528" s="1">
        <v>45126</v>
      </c>
      <c r="B2528" t="s">
        <v>249</v>
      </c>
      <c r="C2528" t="s">
        <v>455</v>
      </c>
      <c r="D2528" s="8"/>
      <c r="E2528" s="8"/>
      <c r="L2528" t="s">
        <v>563</v>
      </c>
      <c r="M2528" t="s">
        <v>478</v>
      </c>
      <c r="N2528" t="str">
        <f>Tabela_tudo[[#This Row],[Médico]]&amp;" ("&amp;Tabela_tudo[[#This Row],[Obs]]&amp;")"</f>
        <v>ISE ()</v>
      </c>
    </row>
    <row r="2529" spans="1:14" x14ac:dyDescent="0.3">
      <c r="A2529" s="1">
        <v>45413</v>
      </c>
      <c r="B2529" t="s">
        <v>249</v>
      </c>
      <c r="C2529" t="s">
        <v>455</v>
      </c>
      <c r="D2529" s="8"/>
      <c r="E2529" s="8"/>
      <c r="L2529" t="s">
        <v>563</v>
      </c>
      <c r="M2529" t="s">
        <v>478</v>
      </c>
      <c r="N2529" t="str">
        <f>Tabela_tudo[[#This Row],[Médico]]&amp;" ("&amp;Tabela_tudo[[#This Row],[Obs]]&amp;")"</f>
        <v>ISE ()</v>
      </c>
    </row>
    <row r="2530" spans="1:14" x14ac:dyDescent="0.3">
      <c r="A2530" s="1">
        <v>44965</v>
      </c>
      <c r="B2530" t="s">
        <v>17</v>
      </c>
      <c r="C2530" t="s">
        <v>455</v>
      </c>
      <c r="D2530" s="8"/>
      <c r="E2530" s="8"/>
      <c r="L2530" t="s">
        <v>563</v>
      </c>
      <c r="M2530" t="s">
        <v>478</v>
      </c>
      <c r="N2530" t="str">
        <f>Tabela_tudo[[#This Row],[Médico]]&amp;" ("&amp;Tabela_tudo[[#This Row],[Obs]]&amp;")"</f>
        <v>FAB ()</v>
      </c>
    </row>
    <row r="2531" spans="1:14" x14ac:dyDescent="0.3">
      <c r="A2531" s="1">
        <v>44958</v>
      </c>
      <c r="B2531" t="s">
        <v>17</v>
      </c>
      <c r="C2531" t="s">
        <v>455</v>
      </c>
      <c r="D2531" s="8"/>
      <c r="E2531" s="8"/>
      <c r="L2531" t="s">
        <v>563</v>
      </c>
      <c r="M2531" t="s">
        <v>478</v>
      </c>
      <c r="N2531" t="str">
        <f>Tabela_tudo[[#This Row],[Médico]]&amp;" ("&amp;Tabela_tudo[[#This Row],[Obs]]&amp;")"</f>
        <v>FAB ()</v>
      </c>
    </row>
    <row r="2532" spans="1:14" x14ac:dyDescent="0.3">
      <c r="A2532" s="1">
        <v>44951</v>
      </c>
      <c r="B2532" t="s">
        <v>17</v>
      </c>
      <c r="C2532" t="s">
        <v>455</v>
      </c>
      <c r="D2532" s="8"/>
      <c r="E2532" s="8"/>
      <c r="L2532" t="s">
        <v>563</v>
      </c>
      <c r="M2532" t="s">
        <v>478</v>
      </c>
      <c r="N2532" t="str">
        <f>Tabela_tudo[[#This Row],[Médico]]&amp;" ("&amp;Tabela_tudo[[#This Row],[Obs]]&amp;")"</f>
        <v>FAB ()</v>
      </c>
    </row>
    <row r="2533" spans="1:14" x14ac:dyDescent="0.3">
      <c r="A2533" s="1">
        <v>44972</v>
      </c>
      <c r="B2533" t="s">
        <v>17</v>
      </c>
      <c r="C2533" t="s">
        <v>455</v>
      </c>
      <c r="D2533" s="8"/>
      <c r="E2533" s="8"/>
      <c r="L2533" t="s">
        <v>563</v>
      </c>
      <c r="M2533" t="s">
        <v>478</v>
      </c>
      <c r="N2533" t="str">
        <f>Tabela_tudo[[#This Row],[Médico]]&amp;" ("&amp;Tabela_tudo[[#This Row],[Obs]]&amp;")"</f>
        <v>FAB ()</v>
      </c>
    </row>
    <row r="2534" spans="1:14" x14ac:dyDescent="0.3">
      <c r="A2534" s="1">
        <v>44993</v>
      </c>
      <c r="B2534" t="s">
        <v>17</v>
      </c>
      <c r="C2534" t="s">
        <v>455</v>
      </c>
      <c r="D2534" s="8"/>
      <c r="E2534" s="8"/>
      <c r="L2534" t="s">
        <v>563</v>
      </c>
      <c r="M2534" t="s">
        <v>478</v>
      </c>
      <c r="N2534" t="str">
        <f>Tabela_tudo[[#This Row],[Médico]]&amp;" ("&amp;Tabela_tudo[[#This Row],[Obs]]&amp;")"</f>
        <v>FAB ()</v>
      </c>
    </row>
    <row r="2535" spans="1:14" x14ac:dyDescent="0.3">
      <c r="A2535" s="1">
        <v>44986</v>
      </c>
      <c r="B2535" t="s">
        <v>17</v>
      </c>
      <c r="C2535" t="s">
        <v>455</v>
      </c>
      <c r="D2535" s="8"/>
      <c r="E2535" s="8"/>
      <c r="L2535" t="s">
        <v>563</v>
      </c>
      <c r="M2535" t="s">
        <v>478</v>
      </c>
      <c r="N2535" t="str">
        <f>Tabela_tudo[[#This Row],[Médico]]&amp;" ("&amp;Tabela_tudo[[#This Row],[Obs]]&amp;")"</f>
        <v>FAB ()</v>
      </c>
    </row>
    <row r="2536" spans="1:14" x14ac:dyDescent="0.3">
      <c r="A2536" s="1">
        <v>44979</v>
      </c>
      <c r="B2536" t="s">
        <v>17</v>
      </c>
      <c r="C2536" t="s">
        <v>455</v>
      </c>
      <c r="D2536" s="8"/>
      <c r="E2536" s="8"/>
      <c r="L2536" t="s">
        <v>563</v>
      </c>
      <c r="M2536" t="s">
        <v>478</v>
      </c>
      <c r="N2536" t="str">
        <f>Tabela_tudo[[#This Row],[Médico]]&amp;" ("&amp;Tabela_tudo[[#This Row],[Obs]]&amp;")"</f>
        <v>FAB ()</v>
      </c>
    </row>
    <row r="2537" spans="1:14" x14ac:dyDescent="0.3">
      <c r="A2537" s="1">
        <v>45644</v>
      </c>
      <c r="B2537" t="s">
        <v>249</v>
      </c>
      <c r="C2537" t="s">
        <v>455</v>
      </c>
      <c r="D2537" s="8"/>
      <c r="E2537" s="8"/>
      <c r="L2537" t="s">
        <v>563</v>
      </c>
      <c r="M2537" t="s">
        <v>478</v>
      </c>
      <c r="N2537" t="str">
        <f>Tabela_tudo[[#This Row],[Médico]]&amp;" ("&amp;Tabela_tudo[[#This Row],[Obs]]&amp;")"</f>
        <v>ISE ()</v>
      </c>
    </row>
    <row r="2538" spans="1:14" x14ac:dyDescent="0.3">
      <c r="A2538" s="1">
        <v>45637</v>
      </c>
      <c r="B2538" t="s">
        <v>249</v>
      </c>
      <c r="C2538" t="s">
        <v>455</v>
      </c>
      <c r="D2538" s="8"/>
      <c r="E2538" s="8"/>
      <c r="L2538" t="s">
        <v>563</v>
      </c>
      <c r="M2538" t="s">
        <v>478</v>
      </c>
      <c r="N2538" t="str">
        <f>Tabela_tudo[[#This Row],[Médico]]&amp;" ("&amp;Tabela_tudo[[#This Row],[Obs]]&amp;")"</f>
        <v>ISE ()</v>
      </c>
    </row>
    <row r="2539" spans="1:14" x14ac:dyDescent="0.3">
      <c r="A2539" s="1">
        <v>45630</v>
      </c>
      <c r="B2539" t="s">
        <v>249</v>
      </c>
      <c r="C2539" t="s">
        <v>455</v>
      </c>
      <c r="D2539" s="8"/>
      <c r="E2539" s="8"/>
      <c r="L2539" t="s">
        <v>563</v>
      </c>
      <c r="M2539" t="s">
        <v>478</v>
      </c>
      <c r="N2539" t="str">
        <f>Tabela_tudo[[#This Row],[Médico]]&amp;" ("&amp;Tabela_tudo[[#This Row],[Obs]]&amp;")"</f>
        <v>ISE ()</v>
      </c>
    </row>
    <row r="2540" spans="1:14" x14ac:dyDescent="0.3">
      <c r="A2540" s="1">
        <v>45651</v>
      </c>
      <c r="B2540" t="s">
        <v>249</v>
      </c>
      <c r="C2540" t="s">
        <v>455</v>
      </c>
      <c r="D2540" s="8"/>
      <c r="E2540" s="8"/>
      <c r="L2540" t="s">
        <v>563</v>
      </c>
      <c r="M2540" t="s">
        <v>478</v>
      </c>
      <c r="N2540" t="str">
        <f>Tabela_tudo[[#This Row],[Médico]]&amp;" ("&amp;Tabela_tudo[[#This Row],[Obs]]&amp;")"</f>
        <v>ISE ()</v>
      </c>
    </row>
    <row r="2541" spans="1:14" x14ac:dyDescent="0.3">
      <c r="A2541" s="1">
        <v>44944</v>
      </c>
      <c r="B2541" t="s">
        <v>17</v>
      </c>
      <c r="C2541" t="s">
        <v>455</v>
      </c>
      <c r="D2541" s="8"/>
      <c r="E2541" s="8"/>
      <c r="L2541" t="s">
        <v>563</v>
      </c>
      <c r="M2541" t="s">
        <v>478</v>
      </c>
      <c r="N2541" t="str">
        <f>Tabela_tudo[[#This Row],[Médico]]&amp;" ("&amp;Tabela_tudo[[#This Row],[Obs]]&amp;")"</f>
        <v>FAB ()</v>
      </c>
    </row>
    <row r="2542" spans="1:14" x14ac:dyDescent="0.3">
      <c r="A2542" s="1">
        <v>44937</v>
      </c>
      <c r="B2542" t="s">
        <v>17</v>
      </c>
      <c r="C2542" t="s">
        <v>455</v>
      </c>
      <c r="D2542" s="8"/>
      <c r="E2542" s="8"/>
      <c r="L2542" t="s">
        <v>563</v>
      </c>
      <c r="M2542" t="s">
        <v>478</v>
      </c>
      <c r="N2542" t="str">
        <f>Tabela_tudo[[#This Row],[Médico]]&amp;" ("&amp;Tabela_tudo[[#This Row],[Obs]]&amp;")"</f>
        <v>FAB ()</v>
      </c>
    </row>
    <row r="2543" spans="1:14" x14ac:dyDescent="0.3">
      <c r="A2543" s="1">
        <v>44930</v>
      </c>
      <c r="B2543" t="s">
        <v>17</v>
      </c>
      <c r="C2543" t="s">
        <v>455</v>
      </c>
      <c r="D2543" s="8"/>
      <c r="E2543" s="8"/>
      <c r="L2543" t="s">
        <v>563</v>
      </c>
      <c r="M2543" t="s">
        <v>478</v>
      </c>
      <c r="N2543" t="str">
        <f>Tabela_tudo[[#This Row],[Médico]]&amp;" ("&amp;Tabela_tudo[[#This Row],[Obs]]&amp;")"</f>
        <v>FAB ()</v>
      </c>
    </row>
    <row r="2544" spans="1:14" x14ac:dyDescent="0.3">
      <c r="A2544" s="1">
        <v>45000</v>
      </c>
      <c r="B2544" t="s">
        <v>17</v>
      </c>
      <c r="C2544" t="s">
        <v>455</v>
      </c>
      <c r="D2544" s="8"/>
      <c r="E2544" s="8"/>
      <c r="L2544" t="s">
        <v>563</v>
      </c>
      <c r="M2544" t="s">
        <v>478</v>
      </c>
      <c r="N2544" t="str">
        <f>Tabela_tudo[[#This Row],[Médico]]&amp;" ("&amp;Tabela_tudo[[#This Row],[Obs]]&amp;")"</f>
        <v>FAB ()</v>
      </c>
    </row>
    <row r="2545" spans="1:14" x14ac:dyDescent="0.3">
      <c r="A2545" s="1">
        <v>45070</v>
      </c>
      <c r="B2545" t="s">
        <v>17</v>
      </c>
      <c r="C2545" t="s">
        <v>455</v>
      </c>
      <c r="D2545" s="8"/>
      <c r="E2545" s="8"/>
      <c r="L2545" t="s">
        <v>563</v>
      </c>
      <c r="M2545" t="s">
        <v>478</v>
      </c>
      <c r="N2545" t="str">
        <f>Tabela_tudo[[#This Row],[Médico]]&amp;" ("&amp;Tabela_tudo[[#This Row],[Obs]]&amp;")"</f>
        <v>FAB ()</v>
      </c>
    </row>
    <row r="2546" spans="1:14" x14ac:dyDescent="0.3">
      <c r="A2546" s="1">
        <v>45063</v>
      </c>
      <c r="B2546" t="s">
        <v>17</v>
      </c>
      <c r="C2546" t="s">
        <v>455</v>
      </c>
      <c r="D2546" s="8"/>
      <c r="E2546" s="8"/>
      <c r="L2546" t="s">
        <v>563</v>
      </c>
      <c r="M2546" t="s">
        <v>478</v>
      </c>
      <c r="N2546" t="str">
        <f>Tabela_tudo[[#This Row],[Médico]]&amp;" ("&amp;Tabela_tudo[[#This Row],[Obs]]&amp;")"</f>
        <v>FAB ()</v>
      </c>
    </row>
    <row r="2547" spans="1:14" x14ac:dyDescent="0.3">
      <c r="A2547" s="1">
        <v>45056</v>
      </c>
      <c r="B2547" t="s">
        <v>17</v>
      </c>
      <c r="C2547" t="s">
        <v>455</v>
      </c>
      <c r="D2547" s="8"/>
      <c r="E2547" s="8"/>
      <c r="L2547" t="s">
        <v>563</v>
      </c>
      <c r="M2547" t="s">
        <v>478</v>
      </c>
      <c r="N2547" t="str">
        <f>Tabela_tudo[[#This Row],[Médico]]&amp;" ("&amp;Tabela_tudo[[#This Row],[Obs]]&amp;")"</f>
        <v>FAB ()</v>
      </c>
    </row>
    <row r="2548" spans="1:14" x14ac:dyDescent="0.3">
      <c r="A2548" s="1">
        <v>45077</v>
      </c>
      <c r="B2548" t="s">
        <v>17</v>
      </c>
      <c r="C2548" t="s">
        <v>455</v>
      </c>
      <c r="D2548" s="8"/>
      <c r="E2548" s="8"/>
      <c r="L2548" t="s">
        <v>563</v>
      </c>
      <c r="M2548" t="s">
        <v>478</v>
      </c>
      <c r="N2548" t="str">
        <f>Tabela_tudo[[#This Row],[Médico]]&amp;" ("&amp;Tabela_tudo[[#This Row],[Obs]]&amp;")"</f>
        <v>FAB ()</v>
      </c>
    </row>
    <row r="2549" spans="1:14" x14ac:dyDescent="0.3">
      <c r="A2549" s="1">
        <v>45098</v>
      </c>
      <c r="B2549" t="s">
        <v>17</v>
      </c>
      <c r="C2549" t="s">
        <v>455</v>
      </c>
      <c r="D2549" s="8"/>
      <c r="E2549" s="8"/>
      <c r="L2549" t="s">
        <v>563</v>
      </c>
      <c r="M2549" t="s">
        <v>478</v>
      </c>
      <c r="N2549" t="str">
        <f>Tabela_tudo[[#This Row],[Médico]]&amp;" ("&amp;Tabela_tudo[[#This Row],[Obs]]&amp;")"</f>
        <v>FAB ()</v>
      </c>
    </row>
    <row r="2550" spans="1:14" x14ac:dyDescent="0.3">
      <c r="A2550" s="1">
        <v>45091</v>
      </c>
      <c r="B2550" t="s">
        <v>17</v>
      </c>
      <c r="C2550" t="s">
        <v>455</v>
      </c>
      <c r="D2550" s="8"/>
      <c r="E2550" s="8"/>
      <c r="L2550" t="s">
        <v>563</v>
      </c>
      <c r="M2550" t="s">
        <v>478</v>
      </c>
      <c r="N2550" t="str">
        <f>Tabela_tudo[[#This Row],[Médico]]&amp;" ("&amp;Tabela_tudo[[#This Row],[Obs]]&amp;")"</f>
        <v>FAB ()</v>
      </c>
    </row>
    <row r="2551" spans="1:14" x14ac:dyDescent="0.3">
      <c r="A2551" s="1">
        <v>45084</v>
      </c>
      <c r="B2551" t="s">
        <v>17</v>
      </c>
      <c r="C2551" t="s">
        <v>455</v>
      </c>
      <c r="D2551" s="8"/>
      <c r="E2551" s="8"/>
      <c r="L2551" t="s">
        <v>563</v>
      </c>
      <c r="M2551" t="s">
        <v>478</v>
      </c>
      <c r="N2551" t="str">
        <f>Tabela_tudo[[#This Row],[Médico]]&amp;" ("&amp;Tabela_tudo[[#This Row],[Obs]]&amp;")"</f>
        <v>FAB ()</v>
      </c>
    </row>
    <row r="2552" spans="1:14" x14ac:dyDescent="0.3">
      <c r="A2552" s="1">
        <v>45021</v>
      </c>
      <c r="B2552" t="s">
        <v>17</v>
      </c>
      <c r="C2552" t="s">
        <v>455</v>
      </c>
      <c r="D2552" s="8"/>
      <c r="E2552" s="8"/>
      <c r="L2552" t="s">
        <v>563</v>
      </c>
      <c r="M2552" t="s">
        <v>478</v>
      </c>
      <c r="N2552" t="str">
        <f>Tabela_tudo[[#This Row],[Médico]]&amp;" ("&amp;Tabela_tudo[[#This Row],[Obs]]&amp;")"</f>
        <v>FAB ()</v>
      </c>
    </row>
    <row r="2553" spans="1:14" x14ac:dyDescent="0.3">
      <c r="A2553" s="1">
        <v>45014</v>
      </c>
      <c r="B2553" t="s">
        <v>17</v>
      </c>
      <c r="C2553" t="s">
        <v>455</v>
      </c>
      <c r="D2553" s="8"/>
      <c r="E2553" s="8"/>
      <c r="L2553" t="s">
        <v>563</v>
      </c>
      <c r="M2553" t="s">
        <v>478</v>
      </c>
      <c r="N2553" t="str">
        <f>Tabela_tudo[[#This Row],[Médico]]&amp;" ("&amp;Tabela_tudo[[#This Row],[Obs]]&amp;")"</f>
        <v>FAB ()</v>
      </c>
    </row>
    <row r="2554" spans="1:14" x14ac:dyDescent="0.3">
      <c r="A2554" s="1">
        <v>45007</v>
      </c>
      <c r="B2554" t="s">
        <v>17</v>
      </c>
      <c r="C2554" t="s">
        <v>455</v>
      </c>
      <c r="D2554" s="8"/>
      <c r="E2554" s="8"/>
      <c r="L2554" t="s">
        <v>563</v>
      </c>
      <c r="M2554" t="s">
        <v>478</v>
      </c>
      <c r="N2554" t="str">
        <f>Tabela_tudo[[#This Row],[Médico]]&amp;" ("&amp;Tabela_tudo[[#This Row],[Obs]]&amp;")"</f>
        <v>FAB ()</v>
      </c>
    </row>
    <row r="2555" spans="1:14" x14ac:dyDescent="0.3">
      <c r="A2555" s="1">
        <v>45028</v>
      </c>
      <c r="B2555" t="s">
        <v>17</v>
      </c>
      <c r="C2555" t="s">
        <v>455</v>
      </c>
      <c r="D2555" s="8"/>
      <c r="E2555" s="8"/>
      <c r="L2555" t="s">
        <v>563</v>
      </c>
      <c r="M2555" t="s">
        <v>478</v>
      </c>
      <c r="N2555" t="str">
        <f>Tabela_tudo[[#This Row],[Médico]]&amp;" ("&amp;Tabela_tudo[[#This Row],[Obs]]&amp;")"</f>
        <v>FAB ()</v>
      </c>
    </row>
    <row r="2556" spans="1:14" x14ac:dyDescent="0.3">
      <c r="A2556" s="1">
        <v>45049</v>
      </c>
      <c r="B2556" t="s">
        <v>17</v>
      </c>
      <c r="C2556" t="s">
        <v>455</v>
      </c>
      <c r="D2556" s="8"/>
      <c r="E2556" s="8"/>
      <c r="L2556" t="s">
        <v>563</v>
      </c>
      <c r="M2556" t="s">
        <v>478</v>
      </c>
      <c r="N2556" t="str">
        <f>Tabela_tudo[[#This Row],[Médico]]&amp;" ("&amp;Tabela_tudo[[#This Row],[Obs]]&amp;")"</f>
        <v>FAB ()</v>
      </c>
    </row>
    <row r="2557" spans="1:14" x14ac:dyDescent="0.3">
      <c r="A2557" s="1">
        <v>45042</v>
      </c>
      <c r="B2557" t="s">
        <v>17</v>
      </c>
      <c r="C2557" t="s">
        <v>455</v>
      </c>
      <c r="D2557" s="8"/>
      <c r="E2557" s="8"/>
      <c r="L2557" t="s">
        <v>563</v>
      </c>
      <c r="M2557" t="s">
        <v>478</v>
      </c>
      <c r="N2557" t="str">
        <f>Tabela_tudo[[#This Row],[Médico]]&amp;" ("&amp;Tabela_tudo[[#This Row],[Obs]]&amp;")"</f>
        <v>FAB ()</v>
      </c>
    </row>
    <row r="2558" spans="1:14" x14ac:dyDescent="0.3">
      <c r="A2558" s="1">
        <v>45035</v>
      </c>
      <c r="B2558" t="s">
        <v>17</v>
      </c>
      <c r="C2558" t="s">
        <v>455</v>
      </c>
      <c r="D2558" s="8"/>
      <c r="E2558" s="8"/>
      <c r="L2558" t="s">
        <v>563</v>
      </c>
      <c r="M2558" t="s">
        <v>478</v>
      </c>
      <c r="N2558" t="str">
        <f>Tabela_tudo[[#This Row],[Médico]]&amp;" ("&amp;Tabela_tudo[[#This Row],[Obs]]&amp;")"</f>
        <v>FAB ()</v>
      </c>
    </row>
    <row r="2559" spans="1:14" x14ac:dyDescent="0.3">
      <c r="A2559" s="1">
        <v>45623</v>
      </c>
      <c r="B2559" t="s">
        <v>249</v>
      </c>
      <c r="C2559" t="s">
        <v>455</v>
      </c>
      <c r="D2559" s="8"/>
      <c r="E2559" s="8"/>
      <c r="L2559" t="s">
        <v>563</v>
      </c>
      <c r="M2559" t="s">
        <v>478</v>
      </c>
      <c r="N2559" t="str">
        <f>Tabela_tudo[[#This Row],[Médico]]&amp;" ("&amp;Tabela_tudo[[#This Row],[Obs]]&amp;")"</f>
        <v>ISE ()</v>
      </c>
    </row>
    <row r="2560" spans="1:14" x14ac:dyDescent="0.3">
      <c r="A2560" s="1">
        <v>45483</v>
      </c>
      <c r="B2560" t="s">
        <v>249</v>
      </c>
      <c r="C2560" t="s">
        <v>455</v>
      </c>
      <c r="D2560" s="8"/>
      <c r="E2560" s="8"/>
      <c r="L2560" t="s">
        <v>563</v>
      </c>
      <c r="M2560" t="s">
        <v>478</v>
      </c>
      <c r="N2560" t="str">
        <f>Tabela_tudo[[#This Row],[Médico]]&amp;" ("&amp;Tabela_tudo[[#This Row],[Obs]]&amp;")"</f>
        <v>ISE ()</v>
      </c>
    </row>
    <row r="2561" spans="1:14" x14ac:dyDescent="0.3">
      <c r="A2561" s="1">
        <v>45476</v>
      </c>
      <c r="B2561" t="s">
        <v>249</v>
      </c>
      <c r="C2561" t="s">
        <v>455</v>
      </c>
      <c r="D2561" s="8"/>
      <c r="E2561" s="8"/>
      <c r="L2561" t="s">
        <v>563</v>
      </c>
      <c r="M2561" t="s">
        <v>478</v>
      </c>
      <c r="N2561" t="str">
        <f>Tabela_tudo[[#This Row],[Médico]]&amp;" ("&amp;Tabela_tudo[[#This Row],[Obs]]&amp;")"</f>
        <v>ISE ()</v>
      </c>
    </row>
    <row r="2562" spans="1:14" x14ac:dyDescent="0.3">
      <c r="A2562" s="1">
        <v>45469</v>
      </c>
      <c r="B2562" t="s">
        <v>249</v>
      </c>
      <c r="C2562" t="s">
        <v>455</v>
      </c>
      <c r="D2562" s="8"/>
      <c r="E2562" s="8"/>
      <c r="L2562" t="s">
        <v>563</v>
      </c>
      <c r="M2562" t="s">
        <v>478</v>
      </c>
      <c r="N2562" t="str">
        <f>Tabela_tudo[[#This Row],[Médico]]&amp;" ("&amp;Tabela_tudo[[#This Row],[Obs]]&amp;")"</f>
        <v>ISE ()</v>
      </c>
    </row>
    <row r="2563" spans="1:14" x14ac:dyDescent="0.3">
      <c r="A2563" s="1">
        <v>45490</v>
      </c>
      <c r="B2563" t="s">
        <v>249</v>
      </c>
      <c r="C2563" t="s">
        <v>455</v>
      </c>
      <c r="D2563" s="8"/>
      <c r="E2563" s="8"/>
      <c r="L2563" t="s">
        <v>563</v>
      </c>
      <c r="M2563" t="s">
        <v>478</v>
      </c>
      <c r="N2563" t="str">
        <f>Tabela_tudo[[#This Row],[Médico]]&amp;" ("&amp;Tabela_tudo[[#This Row],[Obs]]&amp;")"</f>
        <v>ISE ()</v>
      </c>
    </row>
    <row r="2564" spans="1:14" x14ac:dyDescent="0.3">
      <c r="A2564" s="1">
        <v>45511</v>
      </c>
      <c r="B2564" t="s">
        <v>249</v>
      </c>
      <c r="C2564" t="s">
        <v>455</v>
      </c>
      <c r="D2564" s="8"/>
      <c r="E2564" s="8"/>
      <c r="L2564" t="s">
        <v>563</v>
      </c>
      <c r="M2564" t="s">
        <v>478</v>
      </c>
      <c r="N2564" t="str">
        <f>Tabela_tudo[[#This Row],[Médico]]&amp;" ("&amp;Tabela_tudo[[#This Row],[Obs]]&amp;")"</f>
        <v>ISE ()</v>
      </c>
    </row>
    <row r="2565" spans="1:14" x14ac:dyDescent="0.3">
      <c r="A2565" s="1">
        <v>45504</v>
      </c>
      <c r="B2565" t="s">
        <v>249</v>
      </c>
      <c r="C2565" t="s">
        <v>455</v>
      </c>
      <c r="D2565" s="8"/>
      <c r="E2565" s="8"/>
      <c r="L2565" t="s">
        <v>563</v>
      </c>
      <c r="M2565" t="s">
        <v>478</v>
      </c>
      <c r="N2565" t="str">
        <f>Tabela_tudo[[#This Row],[Médico]]&amp;" ("&amp;Tabela_tudo[[#This Row],[Obs]]&amp;")"</f>
        <v>ISE ()</v>
      </c>
    </row>
    <row r="2566" spans="1:14" x14ac:dyDescent="0.3">
      <c r="A2566" s="1">
        <v>45497</v>
      </c>
      <c r="B2566" t="s">
        <v>249</v>
      </c>
      <c r="C2566" t="s">
        <v>455</v>
      </c>
      <c r="D2566" s="8"/>
      <c r="E2566" s="8"/>
      <c r="L2566" t="s">
        <v>563</v>
      </c>
      <c r="M2566" t="s">
        <v>478</v>
      </c>
      <c r="N2566" t="str">
        <f>Tabela_tudo[[#This Row],[Médico]]&amp;" ("&amp;Tabela_tudo[[#This Row],[Obs]]&amp;")"</f>
        <v>ISE ()</v>
      </c>
    </row>
    <row r="2567" spans="1:14" x14ac:dyDescent="0.3">
      <c r="A2567" s="1">
        <v>45434</v>
      </c>
      <c r="B2567" t="s">
        <v>249</v>
      </c>
      <c r="C2567" t="s">
        <v>455</v>
      </c>
      <c r="D2567" s="8"/>
      <c r="E2567" s="8"/>
      <c r="L2567" t="s">
        <v>563</v>
      </c>
      <c r="M2567" t="s">
        <v>478</v>
      </c>
      <c r="N2567" t="str">
        <f>Tabela_tudo[[#This Row],[Médico]]&amp;" ("&amp;Tabela_tudo[[#This Row],[Obs]]&amp;")"</f>
        <v>ISE ()</v>
      </c>
    </row>
    <row r="2568" spans="1:14" x14ac:dyDescent="0.3">
      <c r="A2568" s="1">
        <v>45427</v>
      </c>
      <c r="B2568" t="s">
        <v>249</v>
      </c>
      <c r="C2568" t="s">
        <v>455</v>
      </c>
      <c r="D2568" s="8"/>
      <c r="E2568" s="8"/>
      <c r="L2568" t="s">
        <v>563</v>
      </c>
      <c r="M2568" t="s">
        <v>478</v>
      </c>
      <c r="N2568" t="str">
        <f>Tabela_tudo[[#This Row],[Médico]]&amp;" ("&amp;Tabela_tudo[[#This Row],[Obs]]&amp;")"</f>
        <v>ISE ()</v>
      </c>
    </row>
    <row r="2569" spans="1:14" x14ac:dyDescent="0.3">
      <c r="A2569" s="1">
        <v>45420</v>
      </c>
      <c r="B2569" t="s">
        <v>249</v>
      </c>
      <c r="C2569" t="s">
        <v>455</v>
      </c>
      <c r="D2569" s="8"/>
      <c r="E2569" s="8"/>
      <c r="L2569" t="s">
        <v>563</v>
      </c>
      <c r="M2569" t="s">
        <v>478</v>
      </c>
      <c r="N2569" t="str">
        <f>Tabela_tudo[[#This Row],[Médico]]&amp;" ("&amp;Tabela_tudo[[#This Row],[Obs]]&amp;")"</f>
        <v>ISE ()</v>
      </c>
    </row>
    <row r="2570" spans="1:14" x14ac:dyDescent="0.3">
      <c r="A2570" s="1">
        <v>45441</v>
      </c>
      <c r="B2570" t="s">
        <v>249</v>
      </c>
      <c r="C2570" t="s">
        <v>455</v>
      </c>
      <c r="D2570" s="8"/>
      <c r="E2570" s="8"/>
      <c r="L2570" t="s">
        <v>563</v>
      </c>
      <c r="M2570" t="s">
        <v>478</v>
      </c>
      <c r="N2570" t="str">
        <f>Tabela_tudo[[#This Row],[Médico]]&amp;" ("&amp;Tabela_tudo[[#This Row],[Obs]]&amp;")"</f>
        <v>ISE ()</v>
      </c>
    </row>
    <row r="2571" spans="1:14" x14ac:dyDescent="0.3">
      <c r="A2571" s="1">
        <v>45462</v>
      </c>
      <c r="B2571" t="s">
        <v>249</v>
      </c>
      <c r="C2571" t="s">
        <v>455</v>
      </c>
      <c r="D2571" s="8"/>
      <c r="E2571" s="8"/>
      <c r="L2571" t="s">
        <v>563</v>
      </c>
      <c r="M2571" t="s">
        <v>478</v>
      </c>
      <c r="N2571" t="str">
        <f>Tabela_tudo[[#This Row],[Médico]]&amp;" ("&amp;Tabela_tudo[[#This Row],[Obs]]&amp;")"</f>
        <v>ISE ()</v>
      </c>
    </row>
    <row r="2572" spans="1:14" x14ac:dyDescent="0.3">
      <c r="A2572" s="1">
        <v>45455</v>
      </c>
      <c r="B2572" t="s">
        <v>249</v>
      </c>
      <c r="C2572" t="s">
        <v>455</v>
      </c>
      <c r="D2572" s="8"/>
      <c r="E2572" s="8"/>
      <c r="L2572" t="s">
        <v>563</v>
      </c>
      <c r="M2572" t="s">
        <v>478</v>
      </c>
      <c r="N2572" t="str">
        <f>Tabela_tudo[[#This Row],[Médico]]&amp;" ("&amp;Tabela_tudo[[#This Row],[Obs]]&amp;")"</f>
        <v>ISE ()</v>
      </c>
    </row>
    <row r="2573" spans="1:14" x14ac:dyDescent="0.3">
      <c r="A2573" s="1">
        <v>45448</v>
      </c>
      <c r="B2573" t="s">
        <v>249</v>
      </c>
      <c r="C2573" t="s">
        <v>455</v>
      </c>
      <c r="D2573" s="8"/>
      <c r="E2573" s="8"/>
      <c r="L2573" t="s">
        <v>563</v>
      </c>
      <c r="M2573" t="s">
        <v>478</v>
      </c>
      <c r="N2573" t="str">
        <f>Tabela_tudo[[#This Row],[Médico]]&amp;" ("&amp;Tabela_tudo[[#This Row],[Obs]]&amp;")"</f>
        <v>ISE ()</v>
      </c>
    </row>
    <row r="2574" spans="1:14" x14ac:dyDescent="0.3">
      <c r="A2574" s="1">
        <v>45518</v>
      </c>
      <c r="B2574" t="s">
        <v>249</v>
      </c>
      <c r="C2574" t="s">
        <v>455</v>
      </c>
      <c r="D2574" s="8"/>
      <c r="E2574" s="8"/>
      <c r="L2574" t="s">
        <v>563</v>
      </c>
      <c r="M2574" t="s">
        <v>478</v>
      </c>
      <c r="N2574" t="str">
        <f>Tabela_tudo[[#This Row],[Médico]]&amp;" ("&amp;Tabela_tudo[[#This Row],[Obs]]&amp;")"</f>
        <v>ISE ()</v>
      </c>
    </row>
    <row r="2575" spans="1:14" x14ac:dyDescent="0.3">
      <c r="A2575" s="1">
        <v>45588</v>
      </c>
      <c r="B2575" t="s">
        <v>249</v>
      </c>
      <c r="C2575" t="s">
        <v>455</v>
      </c>
      <c r="D2575" s="8"/>
      <c r="E2575" s="8"/>
      <c r="L2575" t="s">
        <v>563</v>
      </c>
      <c r="M2575" t="s">
        <v>478</v>
      </c>
      <c r="N2575" t="str">
        <f>Tabela_tudo[[#This Row],[Médico]]&amp;" ("&amp;Tabela_tudo[[#This Row],[Obs]]&amp;")"</f>
        <v>ISE ()</v>
      </c>
    </row>
    <row r="2576" spans="1:14" x14ac:dyDescent="0.3">
      <c r="A2576" s="1">
        <v>45581</v>
      </c>
      <c r="B2576" t="s">
        <v>249</v>
      </c>
      <c r="C2576" t="s">
        <v>455</v>
      </c>
      <c r="D2576" s="8"/>
      <c r="E2576" s="8"/>
      <c r="L2576" t="s">
        <v>563</v>
      </c>
      <c r="M2576" t="s">
        <v>478</v>
      </c>
      <c r="N2576" t="str">
        <f>Tabela_tudo[[#This Row],[Médico]]&amp;" ("&amp;Tabela_tudo[[#This Row],[Obs]]&amp;")"</f>
        <v>ISE ()</v>
      </c>
    </row>
    <row r="2577" spans="1:14" x14ac:dyDescent="0.3">
      <c r="A2577" s="1">
        <v>45574</v>
      </c>
      <c r="B2577" t="s">
        <v>249</v>
      </c>
      <c r="C2577" t="s">
        <v>455</v>
      </c>
      <c r="D2577" s="8"/>
      <c r="E2577" s="8"/>
      <c r="L2577" t="s">
        <v>563</v>
      </c>
      <c r="M2577" t="s">
        <v>478</v>
      </c>
      <c r="N2577" t="str">
        <f>Tabela_tudo[[#This Row],[Médico]]&amp;" ("&amp;Tabela_tudo[[#This Row],[Obs]]&amp;")"</f>
        <v>ISE ()</v>
      </c>
    </row>
    <row r="2578" spans="1:14" x14ac:dyDescent="0.3">
      <c r="A2578" s="1">
        <v>45595</v>
      </c>
      <c r="B2578" t="s">
        <v>249</v>
      </c>
      <c r="C2578" t="s">
        <v>455</v>
      </c>
      <c r="D2578" s="8"/>
      <c r="E2578" s="8"/>
      <c r="L2578" t="s">
        <v>563</v>
      </c>
      <c r="M2578" t="s">
        <v>478</v>
      </c>
      <c r="N2578" t="str">
        <f>Tabela_tudo[[#This Row],[Médico]]&amp;" ("&amp;Tabela_tudo[[#This Row],[Obs]]&amp;")"</f>
        <v>ISE ()</v>
      </c>
    </row>
    <row r="2579" spans="1:14" x14ac:dyDescent="0.3">
      <c r="A2579" s="1">
        <v>45616</v>
      </c>
      <c r="B2579" t="s">
        <v>249</v>
      </c>
      <c r="C2579" t="s">
        <v>455</v>
      </c>
      <c r="D2579" s="8"/>
      <c r="E2579" s="8"/>
      <c r="L2579" t="s">
        <v>563</v>
      </c>
      <c r="M2579" t="s">
        <v>478</v>
      </c>
      <c r="N2579" t="str">
        <f>Tabela_tudo[[#This Row],[Médico]]&amp;" ("&amp;Tabela_tudo[[#This Row],[Obs]]&amp;")"</f>
        <v>ISE ()</v>
      </c>
    </row>
    <row r="2580" spans="1:14" x14ac:dyDescent="0.3">
      <c r="A2580" s="1">
        <v>45609</v>
      </c>
      <c r="B2580" t="s">
        <v>249</v>
      </c>
      <c r="C2580" t="s">
        <v>455</v>
      </c>
      <c r="D2580" s="8"/>
      <c r="E2580" s="8"/>
      <c r="L2580" t="s">
        <v>563</v>
      </c>
      <c r="M2580" t="s">
        <v>478</v>
      </c>
      <c r="N2580" t="str">
        <f>Tabela_tudo[[#This Row],[Médico]]&amp;" ("&amp;Tabela_tudo[[#This Row],[Obs]]&amp;")"</f>
        <v>ISE ()</v>
      </c>
    </row>
    <row r="2581" spans="1:14" x14ac:dyDescent="0.3">
      <c r="A2581" s="1">
        <v>45602</v>
      </c>
      <c r="B2581" t="s">
        <v>249</v>
      </c>
      <c r="C2581" t="s">
        <v>455</v>
      </c>
      <c r="D2581" s="8"/>
      <c r="E2581" s="8"/>
      <c r="L2581" t="s">
        <v>563</v>
      </c>
      <c r="M2581" t="s">
        <v>478</v>
      </c>
      <c r="N2581" t="str">
        <f>Tabela_tudo[[#This Row],[Médico]]&amp;" ("&amp;Tabela_tudo[[#This Row],[Obs]]&amp;")"</f>
        <v>ISE ()</v>
      </c>
    </row>
    <row r="2582" spans="1:14" x14ac:dyDescent="0.3">
      <c r="A2582" s="1">
        <v>45539</v>
      </c>
      <c r="B2582" t="s">
        <v>249</v>
      </c>
      <c r="C2582" t="s">
        <v>455</v>
      </c>
      <c r="D2582" s="8"/>
      <c r="E2582" s="8"/>
      <c r="L2582" t="s">
        <v>563</v>
      </c>
      <c r="M2582" t="s">
        <v>478</v>
      </c>
      <c r="N2582" t="str">
        <f>Tabela_tudo[[#This Row],[Médico]]&amp;" ("&amp;Tabela_tudo[[#This Row],[Obs]]&amp;")"</f>
        <v>ISE ()</v>
      </c>
    </row>
    <row r="2583" spans="1:14" x14ac:dyDescent="0.3">
      <c r="A2583" s="1">
        <v>45532</v>
      </c>
      <c r="B2583" t="s">
        <v>249</v>
      </c>
      <c r="C2583" t="s">
        <v>455</v>
      </c>
      <c r="D2583" s="8"/>
      <c r="E2583" s="8"/>
      <c r="L2583" t="s">
        <v>563</v>
      </c>
      <c r="M2583" t="s">
        <v>478</v>
      </c>
      <c r="N2583" t="str">
        <f>Tabela_tudo[[#This Row],[Médico]]&amp;" ("&amp;Tabela_tudo[[#This Row],[Obs]]&amp;")"</f>
        <v>ISE ()</v>
      </c>
    </row>
    <row r="2584" spans="1:14" x14ac:dyDescent="0.3">
      <c r="A2584" s="1">
        <v>45525</v>
      </c>
      <c r="B2584" t="s">
        <v>249</v>
      </c>
      <c r="C2584" t="s">
        <v>455</v>
      </c>
      <c r="D2584" s="8"/>
      <c r="E2584" s="8"/>
      <c r="L2584" t="s">
        <v>563</v>
      </c>
      <c r="M2584" t="s">
        <v>478</v>
      </c>
      <c r="N2584" t="str">
        <f>Tabela_tudo[[#This Row],[Médico]]&amp;" ("&amp;Tabela_tudo[[#This Row],[Obs]]&amp;")"</f>
        <v>ISE ()</v>
      </c>
    </row>
    <row r="2585" spans="1:14" x14ac:dyDescent="0.3">
      <c r="A2585" s="1">
        <v>45546</v>
      </c>
      <c r="B2585" t="s">
        <v>249</v>
      </c>
      <c r="C2585" t="s">
        <v>455</v>
      </c>
      <c r="D2585" s="8"/>
      <c r="E2585" s="8"/>
      <c r="L2585" t="s">
        <v>563</v>
      </c>
      <c r="M2585" t="s">
        <v>478</v>
      </c>
      <c r="N2585" t="str">
        <f>Tabela_tudo[[#This Row],[Médico]]&amp;" ("&amp;Tabela_tudo[[#This Row],[Obs]]&amp;")"</f>
        <v>ISE ()</v>
      </c>
    </row>
    <row r="2586" spans="1:14" x14ac:dyDescent="0.3">
      <c r="A2586" s="1">
        <v>45567</v>
      </c>
      <c r="B2586" t="s">
        <v>249</v>
      </c>
      <c r="C2586" t="s">
        <v>455</v>
      </c>
      <c r="D2586" s="8"/>
      <c r="E2586" s="8"/>
      <c r="L2586" t="s">
        <v>563</v>
      </c>
      <c r="M2586" t="s">
        <v>478</v>
      </c>
      <c r="N2586" t="str">
        <f>Tabela_tudo[[#This Row],[Médico]]&amp;" ("&amp;Tabela_tudo[[#This Row],[Obs]]&amp;")"</f>
        <v>ISE ()</v>
      </c>
    </row>
    <row r="2587" spans="1:14" x14ac:dyDescent="0.3">
      <c r="A2587" s="1">
        <v>45560</v>
      </c>
      <c r="B2587" t="s">
        <v>249</v>
      </c>
      <c r="C2587" t="s">
        <v>455</v>
      </c>
      <c r="D2587" s="8"/>
      <c r="E2587" s="8"/>
      <c r="L2587" t="s">
        <v>563</v>
      </c>
      <c r="M2587" t="s">
        <v>478</v>
      </c>
      <c r="N2587" t="str">
        <f>Tabela_tudo[[#This Row],[Médico]]&amp;" ("&amp;Tabela_tudo[[#This Row],[Obs]]&amp;")"</f>
        <v>ISE ()</v>
      </c>
    </row>
    <row r="2588" spans="1:14" x14ac:dyDescent="0.3">
      <c r="A2588" s="1">
        <v>45553</v>
      </c>
      <c r="B2588" t="s">
        <v>249</v>
      </c>
      <c r="C2588" t="s">
        <v>455</v>
      </c>
      <c r="D2588" s="8"/>
      <c r="E2588" s="8"/>
      <c r="L2588" t="s">
        <v>563</v>
      </c>
      <c r="M2588" t="s">
        <v>478</v>
      </c>
      <c r="N2588" t="str">
        <f>Tabela_tudo[[#This Row],[Médico]]&amp;" ("&amp;Tabela_tudo[[#This Row],[Obs]]&amp;")"</f>
        <v>ISE ()</v>
      </c>
    </row>
    <row r="2589" spans="1:14" x14ac:dyDescent="0.3">
      <c r="A2589" s="1">
        <v>44986</v>
      </c>
      <c r="B2589" t="s">
        <v>249</v>
      </c>
      <c r="C2589" t="s">
        <v>455</v>
      </c>
      <c r="D2589" s="8"/>
      <c r="E2589" s="8"/>
      <c r="L2589" t="s">
        <v>563</v>
      </c>
      <c r="M2589" t="s">
        <v>478</v>
      </c>
      <c r="N2589" t="str">
        <f>Tabela_tudo[[#This Row],[Médico]]&amp;" ("&amp;Tabela_tudo[[#This Row],[Obs]]&amp;")"</f>
        <v>ISE ()</v>
      </c>
    </row>
    <row r="2590" spans="1:14" x14ac:dyDescent="0.3">
      <c r="A2590" s="1">
        <v>45153</v>
      </c>
      <c r="B2590" t="s">
        <v>333</v>
      </c>
      <c r="C2590" t="s">
        <v>455</v>
      </c>
      <c r="D2590" s="8"/>
      <c r="E2590" s="8"/>
      <c r="L2590" t="s">
        <v>563</v>
      </c>
      <c r="M2590" t="s">
        <v>478</v>
      </c>
      <c r="N2590" t="str">
        <f>Tabela_tudo[[#This Row],[Médico]]&amp;" ("&amp;Tabela_tudo[[#This Row],[Obs]]&amp;")"</f>
        <v>COR ()</v>
      </c>
    </row>
    <row r="2591" spans="1:14" x14ac:dyDescent="0.3">
      <c r="A2591" s="1">
        <v>45146</v>
      </c>
      <c r="B2591" t="s">
        <v>333</v>
      </c>
      <c r="C2591" t="s">
        <v>455</v>
      </c>
      <c r="D2591" s="8"/>
      <c r="E2591" s="8"/>
      <c r="L2591" t="s">
        <v>563</v>
      </c>
      <c r="M2591" t="s">
        <v>478</v>
      </c>
      <c r="N2591" t="str">
        <f>Tabela_tudo[[#This Row],[Médico]]&amp;" ("&amp;Tabela_tudo[[#This Row],[Obs]]&amp;")"</f>
        <v>COR ()</v>
      </c>
    </row>
    <row r="2592" spans="1:14" x14ac:dyDescent="0.3">
      <c r="A2592" s="1">
        <v>45139</v>
      </c>
      <c r="B2592" t="s">
        <v>333</v>
      </c>
      <c r="C2592" t="s">
        <v>455</v>
      </c>
      <c r="D2592" s="8"/>
      <c r="E2592" s="8"/>
      <c r="L2592" t="s">
        <v>563</v>
      </c>
      <c r="M2592" t="s">
        <v>478</v>
      </c>
      <c r="N2592" t="str">
        <f>Tabela_tudo[[#This Row],[Médico]]&amp;" ("&amp;Tabela_tudo[[#This Row],[Obs]]&amp;")"</f>
        <v>COR ()</v>
      </c>
    </row>
    <row r="2593" spans="1:14" x14ac:dyDescent="0.3">
      <c r="A2593" s="1">
        <v>45160</v>
      </c>
      <c r="B2593" t="s">
        <v>333</v>
      </c>
      <c r="C2593" t="s">
        <v>455</v>
      </c>
      <c r="D2593" s="8"/>
      <c r="E2593" s="8"/>
      <c r="L2593" t="s">
        <v>563</v>
      </c>
      <c r="M2593" t="s">
        <v>478</v>
      </c>
      <c r="N2593" t="str">
        <f>Tabela_tudo[[#This Row],[Médico]]&amp;" ("&amp;Tabela_tudo[[#This Row],[Obs]]&amp;")"</f>
        <v>COR ()</v>
      </c>
    </row>
    <row r="2594" spans="1:14" x14ac:dyDescent="0.3">
      <c r="A2594" s="1">
        <v>45181</v>
      </c>
      <c r="B2594" t="s">
        <v>333</v>
      </c>
      <c r="C2594" t="s">
        <v>455</v>
      </c>
      <c r="D2594" s="8"/>
      <c r="E2594" s="8"/>
      <c r="L2594" t="s">
        <v>563</v>
      </c>
      <c r="M2594" t="s">
        <v>478</v>
      </c>
      <c r="N2594" t="str">
        <f>Tabela_tudo[[#This Row],[Médico]]&amp;" ("&amp;Tabela_tudo[[#This Row],[Obs]]&amp;")"</f>
        <v>COR ()</v>
      </c>
    </row>
    <row r="2595" spans="1:14" x14ac:dyDescent="0.3">
      <c r="A2595" s="1">
        <v>45174</v>
      </c>
      <c r="B2595" t="s">
        <v>333</v>
      </c>
      <c r="C2595" t="s">
        <v>455</v>
      </c>
      <c r="D2595" s="8"/>
      <c r="E2595" s="8"/>
      <c r="L2595" t="s">
        <v>563</v>
      </c>
      <c r="M2595" t="s">
        <v>478</v>
      </c>
      <c r="N2595" t="str">
        <f>Tabela_tudo[[#This Row],[Médico]]&amp;" ("&amp;Tabela_tudo[[#This Row],[Obs]]&amp;")"</f>
        <v>COR ()</v>
      </c>
    </row>
    <row r="2596" spans="1:14" x14ac:dyDescent="0.3">
      <c r="A2596" s="1">
        <v>45167</v>
      </c>
      <c r="B2596" t="s">
        <v>333</v>
      </c>
      <c r="C2596" t="s">
        <v>455</v>
      </c>
      <c r="D2596" s="8"/>
      <c r="E2596" s="8"/>
      <c r="L2596" t="s">
        <v>563</v>
      </c>
      <c r="M2596" t="s">
        <v>478</v>
      </c>
      <c r="N2596" t="str">
        <f>Tabela_tudo[[#This Row],[Médico]]&amp;" ("&amp;Tabela_tudo[[#This Row],[Obs]]&amp;")"</f>
        <v>COR ()</v>
      </c>
    </row>
    <row r="2597" spans="1:14" x14ac:dyDescent="0.3">
      <c r="A2597" s="1">
        <v>45104</v>
      </c>
      <c r="B2597" t="s">
        <v>333</v>
      </c>
      <c r="C2597" t="s">
        <v>455</v>
      </c>
      <c r="D2597" s="8"/>
      <c r="E2597" s="8"/>
      <c r="L2597" t="s">
        <v>563</v>
      </c>
      <c r="M2597" t="s">
        <v>478</v>
      </c>
      <c r="N2597" t="str">
        <f>Tabela_tudo[[#This Row],[Médico]]&amp;" ("&amp;Tabela_tudo[[#This Row],[Obs]]&amp;")"</f>
        <v>COR ()</v>
      </c>
    </row>
    <row r="2598" spans="1:14" x14ac:dyDescent="0.3">
      <c r="A2598" s="1">
        <v>45097</v>
      </c>
      <c r="B2598" t="s">
        <v>333</v>
      </c>
      <c r="C2598" t="s">
        <v>455</v>
      </c>
      <c r="D2598" s="8"/>
      <c r="E2598" s="8"/>
      <c r="L2598" t="s">
        <v>563</v>
      </c>
      <c r="M2598" t="s">
        <v>478</v>
      </c>
      <c r="N2598" t="str">
        <f>Tabela_tudo[[#This Row],[Médico]]&amp;" ("&amp;Tabela_tudo[[#This Row],[Obs]]&amp;")"</f>
        <v>COR ()</v>
      </c>
    </row>
    <row r="2599" spans="1:14" x14ac:dyDescent="0.3">
      <c r="A2599" s="1">
        <v>45090</v>
      </c>
      <c r="B2599" t="s">
        <v>333</v>
      </c>
      <c r="C2599" t="s">
        <v>455</v>
      </c>
      <c r="D2599" s="8"/>
      <c r="E2599" s="8"/>
      <c r="L2599" t="s">
        <v>563</v>
      </c>
      <c r="M2599" t="s">
        <v>478</v>
      </c>
      <c r="N2599" t="str">
        <f>Tabela_tudo[[#This Row],[Médico]]&amp;" ("&amp;Tabela_tudo[[#This Row],[Obs]]&amp;")"</f>
        <v>COR ()</v>
      </c>
    </row>
    <row r="2600" spans="1:14" x14ac:dyDescent="0.3">
      <c r="A2600" s="1">
        <v>45111</v>
      </c>
      <c r="B2600" t="s">
        <v>333</v>
      </c>
      <c r="C2600" t="s">
        <v>455</v>
      </c>
      <c r="D2600" s="8"/>
      <c r="E2600" s="8"/>
      <c r="L2600" t="s">
        <v>563</v>
      </c>
      <c r="M2600" t="s">
        <v>478</v>
      </c>
      <c r="N2600" t="str">
        <f>Tabela_tudo[[#This Row],[Médico]]&amp;" ("&amp;Tabela_tudo[[#This Row],[Obs]]&amp;")"</f>
        <v>COR ()</v>
      </c>
    </row>
    <row r="2601" spans="1:14" x14ac:dyDescent="0.3">
      <c r="A2601" s="1">
        <v>45132</v>
      </c>
      <c r="B2601" t="s">
        <v>333</v>
      </c>
      <c r="C2601" t="s">
        <v>455</v>
      </c>
      <c r="D2601" s="8"/>
      <c r="E2601" s="8"/>
      <c r="L2601" t="s">
        <v>563</v>
      </c>
      <c r="M2601" t="s">
        <v>478</v>
      </c>
      <c r="N2601" t="str">
        <f>Tabela_tudo[[#This Row],[Médico]]&amp;" ("&amp;Tabela_tudo[[#This Row],[Obs]]&amp;")"</f>
        <v>COR ()</v>
      </c>
    </row>
    <row r="2602" spans="1:14" x14ac:dyDescent="0.3">
      <c r="A2602" s="1">
        <v>45125</v>
      </c>
      <c r="B2602" t="s">
        <v>333</v>
      </c>
      <c r="C2602" t="s">
        <v>455</v>
      </c>
      <c r="D2602" s="8"/>
      <c r="E2602" s="8"/>
      <c r="L2602" t="s">
        <v>563</v>
      </c>
      <c r="M2602" t="s">
        <v>478</v>
      </c>
      <c r="N2602" t="str">
        <f>Tabela_tudo[[#This Row],[Médico]]&amp;" ("&amp;Tabela_tudo[[#This Row],[Obs]]&amp;")"</f>
        <v>COR ()</v>
      </c>
    </row>
    <row r="2603" spans="1:14" x14ac:dyDescent="0.3">
      <c r="A2603" s="1">
        <v>45118</v>
      </c>
      <c r="B2603" t="s">
        <v>333</v>
      </c>
      <c r="C2603" t="s">
        <v>455</v>
      </c>
      <c r="D2603" s="8"/>
      <c r="E2603" s="8"/>
      <c r="L2603" t="s">
        <v>563</v>
      </c>
      <c r="M2603" t="s">
        <v>478</v>
      </c>
      <c r="N2603" t="str">
        <f>Tabela_tudo[[#This Row],[Médico]]&amp;" ("&amp;Tabela_tudo[[#This Row],[Obs]]&amp;")"</f>
        <v>COR ()</v>
      </c>
    </row>
    <row r="2604" spans="1:14" x14ac:dyDescent="0.3">
      <c r="A2604" s="1">
        <v>45188</v>
      </c>
      <c r="B2604" t="s">
        <v>333</v>
      </c>
      <c r="C2604" t="s">
        <v>455</v>
      </c>
      <c r="D2604" s="8"/>
      <c r="E2604" s="8"/>
      <c r="L2604" t="s">
        <v>563</v>
      </c>
      <c r="M2604" t="s">
        <v>478</v>
      </c>
      <c r="N2604" t="str">
        <f>Tabela_tudo[[#This Row],[Médico]]&amp;" ("&amp;Tabela_tudo[[#This Row],[Obs]]&amp;")"</f>
        <v>COR ()</v>
      </c>
    </row>
    <row r="2605" spans="1:14" x14ac:dyDescent="0.3">
      <c r="A2605" s="1">
        <v>45258</v>
      </c>
      <c r="B2605" t="s">
        <v>333</v>
      </c>
      <c r="C2605" t="s">
        <v>455</v>
      </c>
      <c r="D2605" s="8"/>
      <c r="E2605" s="8"/>
      <c r="L2605" t="s">
        <v>563</v>
      </c>
      <c r="M2605" t="s">
        <v>478</v>
      </c>
      <c r="N2605" t="str">
        <f>Tabela_tudo[[#This Row],[Médico]]&amp;" ("&amp;Tabela_tudo[[#This Row],[Obs]]&amp;")"</f>
        <v>COR ()</v>
      </c>
    </row>
    <row r="2606" spans="1:14" x14ac:dyDescent="0.3">
      <c r="A2606" s="1">
        <v>45251</v>
      </c>
      <c r="B2606" t="s">
        <v>333</v>
      </c>
      <c r="C2606" t="s">
        <v>455</v>
      </c>
      <c r="D2606" s="8"/>
      <c r="E2606" s="8"/>
      <c r="L2606" t="s">
        <v>563</v>
      </c>
      <c r="M2606" t="s">
        <v>478</v>
      </c>
      <c r="N2606" t="str">
        <f>Tabela_tudo[[#This Row],[Médico]]&amp;" ("&amp;Tabela_tudo[[#This Row],[Obs]]&amp;")"</f>
        <v>COR ()</v>
      </c>
    </row>
    <row r="2607" spans="1:14" x14ac:dyDescent="0.3">
      <c r="A2607" s="1">
        <v>45244</v>
      </c>
      <c r="B2607" t="s">
        <v>333</v>
      </c>
      <c r="C2607" t="s">
        <v>455</v>
      </c>
      <c r="D2607" s="8"/>
      <c r="E2607" s="8"/>
      <c r="L2607" t="s">
        <v>563</v>
      </c>
      <c r="M2607" t="s">
        <v>478</v>
      </c>
      <c r="N2607" t="str">
        <f>Tabela_tudo[[#This Row],[Médico]]&amp;" ("&amp;Tabela_tudo[[#This Row],[Obs]]&amp;")"</f>
        <v>COR ()</v>
      </c>
    </row>
    <row r="2608" spans="1:14" x14ac:dyDescent="0.3">
      <c r="A2608" s="1">
        <v>45265</v>
      </c>
      <c r="B2608" t="s">
        <v>333</v>
      </c>
      <c r="C2608" t="s">
        <v>455</v>
      </c>
      <c r="D2608" s="8"/>
      <c r="E2608" s="8"/>
      <c r="L2608" t="s">
        <v>563</v>
      </c>
      <c r="M2608" t="s">
        <v>478</v>
      </c>
      <c r="N2608" t="str">
        <f>Tabela_tudo[[#This Row],[Médico]]&amp;" ("&amp;Tabela_tudo[[#This Row],[Obs]]&amp;")"</f>
        <v>COR ()</v>
      </c>
    </row>
    <row r="2609" spans="1:14" x14ac:dyDescent="0.3">
      <c r="A2609" s="1">
        <v>45286</v>
      </c>
      <c r="B2609" t="s">
        <v>333</v>
      </c>
      <c r="C2609" t="s">
        <v>455</v>
      </c>
      <c r="D2609" s="8"/>
      <c r="E2609" s="8"/>
      <c r="L2609" t="s">
        <v>563</v>
      </c>
      <c r="M2609" t="s">
        <v>478</v>
      </c>
      <c r="N2609" t="str">
        <f>Tabela_tudo[[#This Row],[Médico]]&amp;" ("&amp;Tabela_tudo[[#This Row],[Obs]]&amp;")"</f>
        <v>COR ()</v>
      </c>
    </row>
    <row r="2610" spans="1:14" x14ac:dyDescent="0.3">
      <c r="A2610" s="1">
        <v>45279</v>
      </c>
      <c r="B2610" t="s">
        <v>333</v>
      </c>
      <c r="C2610" t="s">
        <v>455</v>
      </c>
      <c r="D2610" s="8"/>
      <c r="E2610" s="8"/>
      <c r="L2610" t="s">
        <v>563</v>
      </c>
      <c r="M2610" t="s">
        <v>478</v>
      </c>
      <c r="N2610" t="str">
        <f>Tabela_tudo[[#This Row],[Médico]]&amp;" ("&amp;Tabela_tudo[[#This Row],[Obs]]&amp;")"</f>
        <v>COR ()</v>
      </c>
    </row>
    <row r="2611" spans="1:14" x14ac:dyDescent="0.3">
      <c r="A2611" s="1">
        <v>45272</v>
      </c>
      <c r="B2611" t="s">
        <v>333</v>
      </c>
      <c r="C2611" t="s">
        <v>455</v>
      </c>
      <c r="D2611" s="8"/>
      <c r="E2611" s="8"/>
      <c r="L2611" t="s">
        <v>563</v>
      </c>
      <c r="M2611" t="s">
        <v>478</v>
      </c>
      <c r="N2611" t="str">
        <f>Tabela_tudo[[#This Row],[Médico]]&amp;" ("&amp;Tabela_tudo[[#This Row],[Obs]]&amp;")"</f>
        <v>COR ()</v>
      </c>
    </row>
    <row r="2612" spans="1:14" x14ac:dyDescent="0.3">
      <c r="A2612" s="1">
        <v>45209</v>
      </c>
      <c r="B2612" t="s">
        <v>333</v>
      </c>
      <c r="C2612" t="s">
        <v>455</v>
      </c>
      <c r="D2612" s="8"/>
      <c r="E2612" s="8"/>
      <c r="L2612" t="s">
        <v>563</v>
      </c>
      <c r="M2612" t="s">
        <v>478</v>
      </c>
      <c r="N2612" t="str">
        <f>Tabela_tudo[[#This Row],[Médico]]&amp;" ("&amp;Tabela_tudo[[#This Row],[Obs]]&amp;")"</f>
        <v>COR ()</v>
      </c>
    </row>
    <row r="2613" spans="1:14" x14ac:dyDescent="0.3">
      <c r="A2613" s="1">
        <v>45202</v>
      </c>
      <c r="B2613" t="s">
        <v>333</v>
      </c>
      <c r="C2613" t="s">
        <v>455</v>
      </c>
      <c r="D2613" s="8"/>
      <c r="E2613" s="8"/>
      <c r="L2613" t="s">
        <v>563</v>
      </c>
      <c r="M2613" t="s">
        <v>478</v>
      </c>
      <c r="N2613" t="str">
        <f>Tabela_tudo[[#This Row],[Médico]]&amp;" ("&amp;Tabela_tudo[[#This Row],[Obs]]&amp;")"</f>
        <v>COR ()</v>
      </c>
    </row>
    <row r="2614" spans="1:14" x14ac:dyDescent="0.3">
      <c r="A2614" s="1">
        <v>45195</v>
      </c>
      <c r="B2614" t="s">
        <v>333</v>
      </c>
      <c r="C2614" t="s">
        <v>455</v>
      </c>
      <c r="D2614" s="8"/>
      <c r="E2614" s="8"/>
      <c r="L2614" t="s">
        <v>563</v>
      </c>
      <c r="M2614" t="s">
        <v>478</v>
      </c>
      <c r="N2614" t="str">
        <f>Tabela_tudo[[#This Row],[Médico]]&amp;" ("&amp;Tabela_tudo[[#This Row],[Obs]]&amp;")"</f>
        <v>COR ()</v>
      </c>
    </row>
    <row r="2615" spans="1:14" x14ac:dyDescent="0.3">
      <c r="A2615" s="1">
        <v>45216</v>
      </c>
      <c r="B2615" t="s">
        <v>333</v>
      </c>
      <c r="C2615" t="s">
        <v>455</v>
      </c>
      <c r="D2615" s="8"/>
      <c r="E2615" s="8"/>
      <c r="L2615" t="s">
        <v>563</v>
      </c>
      <c r="M2615" t="s">
        <v>478</v>
      </c>
      <c r="N2615" t="str">
        <f>Tabela_tudo[[#This Row],[Médico]]&amp;" ("&amp;Tabela_tudo[[#This Row],[Obs]]&amp;")"</f>
        <v>COR ()</v>
      </c>
    </row>
    <row r="2616" spans="1:14" x14ac:dyDescent="0.3">
      <c r="A2616" s="1">
        <v>45237</v>
      </c>
      <c r="B2616" t="s">
        <v>333</v>
      </c>
      <c r="C2616" t="s">
        <v>455</v>
      </c>
      <c r="D2616" s="8"/>
      <c r="E2616" s="8"/>
      <c r="L2616" t="s">
        <v>563</v>
      </c>
      <c r="M2616" t="s">
        <v>478</v>
      </c>
      <c r="N2616" t="str">
        <f>Tabela_tudo[[#This Row],[Médico]]&amp;" ("&amp;Tabela_tudo[[#This Row],[Obs]]&amp;")"</f>
        <v>COR ()</v>
      </c>
    </row>
    <row r="2617" spans="1:14" x14ac:dyDescent="0.3">
      <c r="A2617" s="1">
        <v>45230</v>
      </c>
      <c r="B2617" t="s">
        <v>333</v>
      </c>
      <c r="C2617" t="s">
        <v>455</v>
      </c>
      <c r="D2617" s="8"/>
      <c r="E2617" s="8"/>
      <c r="L2617" t="s">
        <v>563</v>
      </c>
      <c r="M2617" t="s">
        <v>478</v>
      </c>
      <c r="N2617" t="str">
        <f>Tabela_tudo[[#This Row],[Médico]]&amp;" ("&amp;Tabela_tudo[[#This Row],[Obs]]&amp;")"</f>
        <v>COR ()</v>
      </c>
    </row>
    <row r="2618" spans="1:14" x14ac:dyDescent="0.3">
      <c r="A2618" s="1">
        <v>45223</v>
      </c>
      <c r="B2618" t="s">
        <v>333</v>
      </c>
      <c r="C2618" t="s">
        <v>455</v>
      </c>
      <c r="D2618" s="8"/>
      <c r="E2618" s="8"/>
      <c r="L2618" t="s">
        <v>563</v>
      </c>
      <c r="M2618" t="s">
        <v>478</v>
      </c>
      <c r="N2618" t="str">
        <f>Tabela_tudo[[#This Row],[Médico]]&amp;" ("&amp;Tabela_tudo[[#This Row],[Obs]]&amp;")"</f>
        <v>COR ()</v>
      </c>
    </row>
    <row r="2619" spans="1:14" x14ac:dyDescent="0.3">
      <c r="A2619" s="1">
        <v>45083</v>
      </c>
      <c r="B2619" t="s">
        <v>333</v>
      </c>
      <c r="C2619" t="s">
        <v>455</v>
      </c>
      <c r="D2619" s="8"/>
      <c r="E2619" s="8"/>
      <c r="L2619" t="s">
        <v>563</v>
      </c>
      <c r="M2619" t="s">
        <v>478</v>
      </c>
      <c r="N2619" t="str">
        <f>Tabela_tudo[[#This Row],[Médico]]&amp;" ("&amp;Tabela_tudo[[#This Row],[Obs]]&amp;")"</f>
        <v>COR ()</v>
      </c>
    </row>
    <row r="2620" spans="1:14" x14ac:dyDescent="0.3">
      <c r="A2620" s="1">
        <v>44943</v>
      </c>
      <c r="B2620" t="s">
        <v>333</v>
      </c>
      <c r="C2620" t="s">
        <v>455</v>
      </c>
      <c r="D2620" s="8"/>
      <c r="E2620" s="8"/>
      <c r="L2620" t="s">
        <v>563</v>
      </c>
      <c r="M2620" t="s">
        <v>478</v>
      </c>
      <c r="N2620" t="str">
        <f>Tabela_tudo[[#This Row],[Médico]]&amp;" ("&amp;Tabela_tudo[[#This Row],[Obs]]&amp;")"</f>
        <v>COR ()</v>
      </c>
    </row>
    <row r="2621" spans="1:14" x14ac:dyDescent="0.3">
      <c r="A2621" s="1">
        <v>44936</v>
      </c>
      <c r="B2621" t="s">
        <v>333</v>
      </c>
      <c r="C2621" t="s">
        <v>455</v>
      </c>
      <c r="D2621" s="8"/>
      <c r="E2621" s="8"/>
      <c r="L2621" t="s">
        <v>563</v>
      </c>
      <c r="M2621" t="s">
        <v>478</v>
      </c>
      <c r="N2621" t="str">
        <f>Tabela_tudo[[#This Row],[Médico]]&amp;" ("&amp;Tabela_tudo[[#This Row],[Obs]]&amp;")"</f>
        <v>COR ()</v>
      </c>
    </row>
    <row r="2622" spans="1:14" x14ac:dyDescent="0.3">
      <c r="A2622" s="1">
        <v>44929</v>
      </c>
      <c r="B2622" t="s">
        <v>333</v>
      </c>
      <c r="C2622" t="s">
        <v>455</v>
      </c>
      <c r="D2622" s="8"/>
      <c r="E2622" s="8"/>
      <c r="L2622" t="s">
        <v>563</v>
      </c>
      <c r="M2622" t="s">
        <v>478</v>
      </c>
      <c r="N2622" t="str">
        <f>Tabela_tudo[[#This Row],[Médico]]&amp;" ("&amp;Tabela_tudo[[#This Row],[Obs]]&amp;")"</f>
        <v>COR ()</v>
      </c>
    </row>
    <row r="2623" spans="1:14" x14ac:dyDescent="0.3">
      <c r="A2623" s="1">
        <v>44950</v>
      </c>
      <c r="B2623" t="s">
        <v>333</v>
      </c>
      <c r="C2623" t="s">
        <v>455</v>
      </c>
      <c r="D2623" s="8"/>
      <c r="E2623" s="8"/>
      <c r="L2623" t="s">
        <v>563</v>
      </c>
      <c r="M2623" t="s">
        <v>478</v>
      </c>
      <c r="N2623" t="str">
        <f>Tabela_tudo[[#This Row],[Médico]]&amp;" ("&amp;Tabela_tudo[[#This Row],[Obs]]&amp;")"</f>
        <v>COR ()</v>
      </c>
    </row>
    <row r="2624" spans="1:14" x14ac:dyDescent="0.3">
      <c r="A2624" s="1">
        <v>44971</v>
      </c>
      <c r="B2624" t="s">
        <v>333</v>
      </c>
      <c r="C2624" t="s">
        <v>455</v>
      </c>
      <c r="D2624" s="8"/>
      <c r="E2624" s="8"/>
      <c r="L2624" t="s">
        <v>563</v>
      </c>
      <c r="M2624" t="s">
        <v>478</v>
      </c>
      <c r="N2624" t="str">
        <f>Tabela_tudo[[#This Row],[Médico]]&amp;" ("&amp;Tabela_tudo[[#This Row],[Obs]]&amp;")"</f>
        <v>COR ()</v>
      </c>
    </row>
    <row r="2625" spans="1:14" x14ac:dyDescent="0.3">
      <c r="A2625" s="1">
        <v>44964</v>
      </c>
      <c r="B2625" t="s">
        <v>333</v>
      </c>
      <c r="C2625" t="s">
        <v>455</v>
      </c>
      <c r="D2625" s="8"/>
      <c r="E2625" s="8"/>
      <c r="L2625" t="s">
        <v>563</v>
      </c>
      <c r="M2625" t="s">
        <v>478</v>
      </c>
      <c r="N2625" t="str">
        <f>Tabela_tudo[[#This Row],[Médico]]&amp;" ("&amp;Tabela_tudo[[#This Row],[Obs]]&amp;")"</f>
        <v>COR ()</v>
      </c>
    </row>
    <row r="2626" spans="1:14" x14ac:dyDescent="0.3">
      <c r="A2626" s="1">
        <v>44957</v>
      </c>
      <c r="B2626" t="s">
        <v>333</v>
      </c>
      <c r="C2626" t="s">
        <v>455</v>
      </c>
      <c r="D2626" s="8"/>
      <c r="E2626" s="8"/>
      <c r="L2626" t="s">
        <v>563</v>
      </c>
      <c r="M2626" t="s">
        <v>478</v>
      </c>
      <c r="N2626" t="str">
        <f>Tabela_tudo[[#This Row],[Médico]]&amp;" ("&amp;Tabela_tudo[[#This Row],[Obs]]&amp;")"</f>
        <v>COR ()</v>
      </c>
    </row>
    <row r="2627" spans="1:14" x14ac:dyDescent="0.3">
      <c r="A2627" s="1">
        <v>45622</v>
      </c>
      <c r="B2627" t="s">
        <v>25</v>
      </c>
      <c r="C2627" t="s">
        <v>455</v>
      </c>
      <c r="D2627" s="8"/>
      <c r="E2627" s="8"/>
      <c r="L2627" t="s">
        <v>563</v>
      </c>
      <c r="M2627" t="s">
        <v>478</v>
      </c>
      <c r="N2627" t="str">
        <f>Tabela_tudo[[#This Row],[Médico]]&amp;" ("&amp;Tabela_tudo[[#This Row],[Obs]]&amp;")"</f>
        <v>HEN ()</v>
      </c>
    </row>
    <row r="2628" spans="1:14" x14ac:dyDescent="0.3">
      <c r="A2628" s="1">
        <v>45615</v>
      </c>
      <c r="B2628" t="s">
        <v>25</v>
      </c>
      <c r="C2628" t="s">
        <v>455</v>
      </c>
      <c r="D2628" s="8"/>
      <c r="E2628" s="8"/>
      <c r="L2628" t="s">
        <v>563</v>
      </c>
      <c r="M2628" t="s">
        <v>478</v>
      </c>
      <c r="N2628" t="str">
        <f>Tabela_tudo[[#This Row],[Médico]]&amp;" ("&amp;Tabela_tudo[[#This Row],[Obs]]&amp;")"</f>
        <v>HEN ()</v>
      </c>
    </row>
    <row r="2629" spans="1:14" x14ac:dyDescent="0.3">
      <c r="A2629" s="1">
        <v>45608</v>
      </c>
      <c r="B2629" t="s">
        <v>25</v>
      </c>
      <c r="C2629" t="s">
        <v>455</v>
      </c>
      <c r="D2629" s="8"/>
      <c r="E2629" s="8"/>
      <c r="L2629" t="s">
        <v>563</v>
      </c>
      <c r="M2629" t="s">
        <v>478</v>
      </c>
      <c r="N2629" t="str">
        <f>Tabela_tudo[[#This Row],[Médico]]&amp;" ("&amp;Tabela_tudo[[#This Row],[Obs]]&amp;")"</f>
        <v>HEN ()</v>
      </c>
    </row>
    <row r="2630" spans="1:14" x14ac:dyDescent="0.3">
      <c r="A2630" s="1">
        <v>45629</v>
      </c>
      <c r="B2630" t="s">
        <v>25</v>
      </c>
      <c r="C2630" t="s">
        <v>455</v>
      </c>
      <c r="D2630" s="8"/>
      <c r="E2630" s="8"/>
      <c r="L2630" t="s">
        <v>563</v>
      </c>
      <c r="M2630" t="s">
        <v>478</v>
      </c>
      <c r="N2630" t="str">
        <f>Tabela_tudo[[#This Row],[Médico]]&amp;" ("&amp;Tabela_tudo[[#This Row],[Obs]]&amp;")"</f>
        <v>HEN ()</v>
      </c>
    </row>
    <row r="2631" spans="1:14" x14ac:dyDescent="0.3">
      <c r="A2631" s="1">
        <v>45650</v>
      </c>
      <c r="B2631" t="s">
        <v>25</v>
      </c>
      <c r="C2631" t="s">
        <v>455</v>
      </c>
      <c r="D2631" s="8"/>
      <c r="E2631" s="8"/>
      <c r="L2631" t="s">
        <v>563</v>
      </c>
      <c r="M2631" t="s">
        <v>478</v>
      </c>
      <c r="N2631" t="str">
        <f>Tabela_tudo[[#This Row],[Médico]]&amp;" ("&amp;Tabela_tudo[[#This Row],[Obs]]&amp;")"</f>
        <v>HEN ()</v>
      </c>
    </row>
    <row r="2632" spans="1:14" x14ac:dyDescent="0.3">
      <c r="A2632" s="1">
        <v>45643</v>
      </c>
      <c r="B2632" t="s">
        <v>25</v>
      </c>
      <c r="C2632" t="s">
        <v>455</v>
      </c>
      <c r="D2632" s="8"/>
      <c r="E2632" s="8"/>
      <c r="L2632" t="s">
        <v>563</v>
      </c>
      <c r="M2632" t="s">
        <v>478</v>
      </c>
      <c r="N2632" t="str">
        <f>Tabela_tudo[[#This Row],[Médico]]&amp;" ("&amp;Tabela_tudo[[#This Row],[Obs]]&amp;")"</f>
        <v>HEN ()</v>
      </c>
    </row>
    <row r="2633" spans="1:14" x14ac:dyDescent="0.3">
      <c r="A2633" s="1">
        <v>45636</v>
      </c>
      <c r="B2633" t="s">
        <v>25</v>
      </c>
      <c r="C2633" t="s">
        <v>455</v>
      </c>
      <c r="D2633" s="8"/>
      <c r="E2633" s="8"/>
      <c r="L2633" t="s">
        <v>563</v>
      </c>
      <c r="M2633" t="s">
        <v>478</v>
      </c>
      <c r="N2633" t="str">
        <f>Tabela_tudo[[#This Row],[Médico]]&amp;" ("&amp;Tabela_tudo[[#This Row],[Obs]]&amp;")"</f>
        <v>HEN ()</v>
      </c>
    </row>
    <row r="2634" spans="1:14" x14ac:dyDescent="0.3">
      <c r="A2634" s="1">
        <v>44978</v>
      </c>
      <c r="B2634" t="s">
        <v>333</v>
      </c>
      <c r="C2634" t="s">
        <v>455</v>
      </c>
      <c r="D2634" s="8"/>
      <c r="E2634" s="8"/>
      <c r="L2634" t="s">
        <v>563</v>
      </c>
      <c r="M2634" t="s">
        <v>478</v>
      </c>
      <c r="N2634" t="str">
        <f>Tabela_tudo[[#This Row],[Médico]]&amp;" ("&amp;Tabela_tudo[[#This Row],[Obs]]&amp;")"</f>
        <v>COR ()</v>
      </c>
    </row>
    <row r="2635" spans="1:14" x14ac:dyDescent="0.3">
      <c r="A2635" s="1">
        <v>45048</v>
      </c>
      <c r="B2635" t="s">
        <v>333</v>
      </c>
      <c r="C2635" t="s">
        <v>455</v>
      </c>
      <c r="D2635" s="8"/>
      <c r="E2635" s="8"/>
      <c r="L2635" t="s">
        <v>563</v>
      </c>
      <c r="M2635" t="s">
        <v>478</v>
      </c>
      <c r="N2635" t="str">
        <f>Tabela_tudo[[#This Row],[Médico]]&amp;" ("&amp;Tabela_tudo[[#This Row],[Obs]]&amp;")"</f>
        <v>COR ()</v>
      </c>
    </row>
    <row r="2636" spans="1:14" x14ac:dyDescent="0.3">
      <c r="A2636" s="1">
        <v>45041</v>
      </c>
      <c r="B2636" t="s">
        <v>333</v>
      </c>
      <c r="C2636" t="s">
        <v>455</v>
      </c>
      <c r="D2636" s="8"/>
      <c r="E2636" s="8"/>
      <c r="L2636" t="s">
        <v>563</v>
      </c>
      <c r="M2636" t="s">
        <v>478</v>
      </c>
      <c r="N2636" t="str">
        <f>Tabela_tudo[[#This Row],[Médico]]&amp;" ("&amp;Tabela_tudo[[#This Row],[Obs]]&amp;")"</f>
        <v>COR ()</v>
      </c>
    </row>
    <row r="2637" spans="1:14" x14ac:dyDescent="0.3">
      <c r="A2637" s="1">
        <v>45034</v>
      </c>
      <c r="B2637" t="s">
        <v>333</v>
      </c>
      <c r="C2637" t="s">
        <v>455</v>
      </c>
      <c r="D2637" s="8"/>
      <c r="E2637" s="8"/>
      <c r="L2637" t="s">
        <v>563</v>
      </c>
      <c r="M2637" t="s">
        <v>478</v>
      </c>
      <c r="N2637" t="str">
        <f>Tabela_tudo[[#This Row],[Médico]]&amp;" ("&amp;Tabela_tudo[[#This Row],[Obs]]&amp;")"</f>
        <v>COR ()</v>
      </c>
    </row>
    <row r="2638" spans="1:14" x14ac:dyDescent="0.3">
      <c r="A2638" s="1">
        <v>45055</v>
      </c>
      <c r="B2638" t="s">
        <v>333</v>
      </c>
      <c r="C2638" t="s">
        <v>455</v>
      </c>
      <c r="D2638" s="8"/>
      <c r="E2638" s="8"/>
      <c r="L2638" t="s">
        <v>563</v>
      </c>
      <c r="M2638" t="s">
        <v>478</v>
      </c>
      <c r="N2638" t="str">
        <f>Tabela_tudo[[#This Row],[Médico]]&amp;" ("&amp;Tabela_tudo[[#This Row],[Obs]]&amp;")"</f>
        <v>COR ()</v>
      </c>
    </row>
    <row r="2639" spans="1:14" x14ac:dyDescent="0.3">
      <c r="A2639" s="1">
        <v>45076</v>
      </c>
      <c r="B2639" t="s">
        <v>333</v>
      </c>
      <c r="C2639" t="s">
        <v>455</v>
      </c>
      <c r="D2639" s="8"/>
      <c r="E2639" s="8"/>
      <c r="L2639" t="s">
        <v>563</v>
      </c>
      <c r="M2639" t="s">
        <v>478</v>
      </c>
      <c r="N2639" t="str">
        <f>Tabela_tudo[[#This Row],[Médico]]&amp;" ("&amp;Tabela_tudo[[#This Row],[Obs]]&amp;")"</f>
        <v>COR ()</v>
      </c>
    </row>
    <row r="2640" spans="1:14" x14ac:dyDescent="0.3">
      <c r="A2640" s="1">
        <v>45069</v>
      </c>
      <c r="B2640" t="s">
        <v>333</v>
      </c>
      <c r="C2640" t="s">
        <v>455</v>
      </c>
      <c r="D2640" s="8"/>
      <c r="E2640" s="8"/>
      <c r="L2640" t="s">
        <v>563</v>
      </c>
      <c r="M2640" t="s">
        <v>478</v>
      </c>
      <c r="N2640" t="str">
        <f>Tabela_tudo[[#This Row],[Médico]]&amp;" ("&amp;Tabela_tudo[[#This Row],[Obs]]&amp;")"</f>
        <v>COR ()</v>
      </c>
    </row>
    <row r="2641" spans="1:14" x14ac:dyDescent="0.3">
      <c r="A2641" s="1">
        <v>45062</v>
      </c>
      <c r="B2641" t="s">
        <v>333</v>
      </c>
      <c r="C2641" t="s">
        <v>455</v>
      </c>
      <c r="D2641" s="8"/>
      <c r="E2641" s="8"/>
      <c r="L2641" t="s">
        <v>563</v>
      </c>
      <c r="M2641" t="s">
        <v>478</v>
      </c>
      <c r="N2641" t="str">
        <f>Tabela_tudo[[#This Row],[Médico]]&amp;" ("&amp;Tabela_tudo[[#This Row],[Obs]]&amp;")"</f>
        <v>COR ()</v>
      </c>
    </row>
    <row r="2642" spans="1:14" x14ac:dyDescent="0.3">
      <c r="A2642" s="1">
        <v>44999</v>
      </c>
      <c r="B2642" t="s">
        <v>333</v>
      </c>
      <c r="C2642" t="s">
        <v>455</v>
      </c>
      <c r="D2642" s="8"/>
      <c r="E2642" s="8"/>
      <c r="L2642" t="s">
        <v>563</v>
      </c>
      <c r="M2642" t="s">
        <v>478</v>
      </c>
      <c r="N2642" t="str">
        <f>Tabela_tudo[[#This Row],[Médico]]&amp;" ("&amp;Tabela_tudo[[#This Row],[Obs]]&amp;")"</f>
        <v>COR ()</v>
      </c>
    </row>
    <row r="2643" spans="1:14" x14ac:dyDescent="0.3">
      <c r="A2643" s="1">
        <v>44992</v>
      </c>
      <c r="B2643" t="s">
        <v>333</v>
      </c>
      <c r="C2643" t="s">
        <v>455</v>
      </c>
      <c r="D2643" s="8"/>
      <c r="E2643" s="8"/>
      <c r="L2643" t="s">
        <v>563</v>
      </c>
      <c r="M2643" t="s">
        <v>478</v>
      </c>
      <c r="N2643" t="str">
        <f>Tabela_tudo[[#This Row],[Médico]]&amp;" ("&amp;Tabela_tudo[[#This Row],[Obs]]&amp;")"</f>
        <v>COR ()</v>
      </c>
    </row>
    <row r="2644" spans="1:14" x14ac:dyDescent="0.3">
      <c r="A2644" s="1">
        <v>44985</v>
      </c>
      <c r="B2644" t="s">
        <v>333</v>
      </c>
      <c r="C2644" t="s">
        <v>455</v>
      </c>
      <c r="D2644" s="8"/>
      <c r="E2644" s="8"/>
      <c r="L2644" t="s">
        <v>563</v>
      </c>
      <c r="M2644" t="s">
        <v>478</v>
      </c>
      <c r="N2644" t="str">
        <f>Tabela_tudo[[#This Row],[Médico]]&amp;" ("&amp;Tabela_tudo[[#This Row],[Obs]]&amp;")"</f>
        <v>COR ()</v>
      </c>
    </row>
    <row r="2645" spans="1:14" x14ac:dyDescent="0.3">
      <c r="A2645" s="1">
        <v>45006</v>
      </c>
      <c r="B2645" t="s">
        <v>333</v>
      </c>
      <c r="C2645" t="s">
        <v>455</v>
      </c>
      <c r="D2645" s="8"/>
      <c r="E2645" s="8"/>
      <c r="L2645" t="s">
        <v>563</v>
      </c>
      <c r="M2645" t="s">
        <v>478</v>
      </c>
      <c r="N2645" t="str">
        <f>Tabela_tudo[[#This Row],[Médico]]&amp;" ("&amp;Tabela_tudo[[#This Row],[Obs]]&amp;")"</f>
        <v>COR ()</v>
      </c>
    </row>
    <row r="2646" spans="1:14" x14ac:dyDescent="0.3">
      <c r="A2646" s="1">
        <v>45027</v>
      </c>
      <c r="B2646" t="s">
        <v>333</v>
      </c>
      <c r="C2646" t="s">
        <v>455</v>
      </c>
      <c r="D2646" s="8"/>
      <c r="E2646" s="8"/>
      <c r="L2646" t="s">
        <v>563</v>
      </c>
      <c r="M2646" t="s">
        <v>478</v>
      </c>
      <c r="N2646" t="str">
        <f>Tabela_tudo[[#This Row],[Médico]]&amp;" ("&amp;Tabela_tudo[[#This Row],[Obs]]&amp;")"</f>
        <v>COR ()</v>
      </c>
    </row>
    <row r="2647" spans="1:14" x14ac:dyDescent="0.3">
      <c r="A2647" s="1">
        <v>45020</v>
      </c>
      <c r="B2647" t="s">
        <v>333</v>
      </c>
      <c r="C2647" t="s">
        <v>455</v>
      </c>
      <c r="D2647" s="8"/>
      <c r="E2647" s="8"/>
      <c r="L2647" t="s">
        <v>563</v>
      </c>
      <c r="M2647" t="s">
        <v>478</v>
      </c>
      <c r="N2647" t="str">
        <f>Tabela_tudo[[#This Row],[Médico]]&amp;" ("&amp;Tabela_tudo[[#This Row],[Obs]]&amp;")"</f>
        <v>COR ()</v>
      </c>
    </row>
    <row r="2648" spans="1:14" x14ac:dyDescent="0.3">
      <c r="A2648" s="1">
        <v>45013</v>
      </c>
      <c r="B2648" t="s">
        <v>333</v>
      </c>
      <c r="C2648" t="s">
        <v>455</v>
      </c>
      <c r="D2648" s="8"/>
      <c r="E2648" s="8"/>
      <c r="L2648" t="s">
        <v>563</v>
      </c>
      <c r="M2648" t="s">
        <v>478</v>
      </c>
      <c r="N2648" t="str">
        <f>Tabela_tudo[[#This Row],[Médico]]&amp;" ("&amp;Tabela_tudo[[#This Row],[Obs]]&amp;")"</f>
        <v>COR ()</v>
      </c>
    </row>
    <row r="2649" spans="1:14" x14ac:dyDescent="0.3">
      <c r="A2649" s="1">
        <v>45293</v>
      </c>
      <c r="B2649" t="s">
        <v>333</v>
      </c>
      <c r="C2649" t="s">
        <v>455</v>
      </c>
      <c r="D2649" s="8"/>
      <c r="E2649" s="8"/>
      <c r="L2649" t="s">
        <v>563</v>
      </c>
      <c r="M2649" t="s">
        <v>478</v>
      </c>
      <c r="N2649" t="str">
        <f>Tabela_tudo[[#This Row],[Médico]]&amp;" ("&amp;Tabela_tudo[[#This Row],[Obs]]&amp;")"</f>
        <v>COR ()</v>
      </c>
    </row>
    <row r="2650" spans="1:14" x14ac:dyDescent="0.3">
      <c r="A2650" s="1">
        <v>45573</v>
      </c>
      <c r="B2650" t="s">
        <v>333</v>
      </c>
      <c r="C2650" t="s">
        <v>455</v>
      </c>
      <c r="D2650" s="8"/>
      <c r="E2650" s="8"/>
      <c r="L2650" t="s">
        <v>563</v>
      </c>
      <c r="M2650" t="s">
        <v>478</v>
      </c>
      <c r="N2650" t="str">
        <f>Tabela_tudo[[#This Row],[Médico]]&amp;" ("&amp;Tabela_tudo[[#This Row],[Obs]]&amp;")"</f>
        <v>COR ()</v>
      </c>
    </row>
    <row r="2651" spans="1:14" x14ac:dyDescent="0.3">
      <c r="A2651" s="1">
        <v>45566</v>
      </c>
      <c r="B2651" t="s">
        <v>333</v>
      </c>
      <c r="C2651" t="s">
        <v>455</v>
      </c>
      <c r="D2651" s="8"/>
      <c r="E2651" s="8"/>
      <c r="L2651" t="s">
        <v>563</v>
      </c>
      <c r="M2651" t="s">
        <v>478</v>
      </c>
      <c r="N2651" t="str">
        <f>Tabela_tudo[[#This Row],[Médico]]&amp;" ("&amp;Tabela_tudo[[#This Row],[Obs]]&amp;")"</f>
        <v>COR ()</v>
      </c>
    </row>
    <row r="2652" spans="1:14" x14ac:dyDescent="0.3">
      <c r="A2652" s="1">
        <v>45559</v>
      </c>
      <c r="B2652" t="s">
        <v>333</v>
      </c>
      <c r="C2652" t="s">
        <v>455</v>
      </c>
      <c r="D2652" s="8"/>
      <c r="E2652" s="8"/>
      <c r="L2652" t="s">
        <v>563</v>
      </c>
      <c r="M2652" t="s">
        <v>478</v>
      </c>
      <c r="N2652" t="str">
        <f>Tabela_tudo[[#This Row],[Médico]]&amp;" ("&amp;Tabela_tudo[[#This Row],[Obs]]&amp;")"</f>
        <v>COR ()</v>
      </c>
    </row>
    <row r="2653" spans="1:14" x14ac:dyDescent="0.3">
      <c r="A2653" s="1">
        <v>45580</v>
      </c>
      <c r="B2653" t="s">
        <v>333</v>
      </c>
      <c r="C2653" t="s">
        <v>455</v>
      </c>
      <c r="D2653" s="8"/>
      <c r="E2653" s="8"/>
      <c r="L2653" t="s">
        <v>563</v>
      </c>
      <c r="M2653" t="s">
        <v>478</v>
      </c>
      <c r="N2653" t="str">
        <f>Tabela_tudo[[#This Row],[Médico]]&amp;" ("&amp;Tabela_tudo[[#This Row],[Obs]]&amp;")"</f>
        <v>COR ()</v>
      </c>
    </row>
    <row r="2654" spans="1:14" x14ac:dyDescent="0.3">
      <c r="A2654" s="1">
        <v>45601</v>
      </c>
      <c r="B2654" t="s">
        <v>333</v>
      </c>
      <c r="C2654" t="s">
        <v>455</v>
      </c>
      <c r="D2654" s="8"/>
      <c r="E2654" s="8"/>
      <c r="L2654" t="s">
        <v>563</v>
      </c>
      <c r="M2654" t="s">
        <v>478</v>
      </c>
      <c r="N2654" t="str">
        <f>Tabela_tudo[[#This Row],[Médico]]&amp;" ("&amp;Tabela_tudo[[#This Row],[Obs]]&amp;")"</f>
        <v>COR ()</v>
      </c>
    </row>
    <row r="2655" spans="1:14" x14ac:dyDescent="0.3">
      <c r="A2655" s="1">
        <v>45594</v>
      </c>
      <c r="B2655" t="s">
        <v>333</v>
      </c>
      <c r="C2655" t="s">
        <v>455</v>
      </c>
      <c r="D2655" s="8"/>
      <c r="E2655" s="8"/>
      <c r="L2655" t="s">
        <v>563</v>
      </c>
      <c r="M2655" t="s">
        <v>478</v>
      </c>
      <c r="N2655" t="str">
        <f>Tabela_tudo[[#This Row],[Médico]]&amp;" ("&amp;Tabela_tudo[[#This Row],[Obs]]&amp;")"</f>
        <v>COR ()</v>
      </c>
    </row>
    <row r="2656" spans="1:14" x14ac:dyDescent="0.3">
      <c r="A2656" s="1">
        <v>45587</v>
      </c>
      <c r="B2656" t="s">
        <v>333</v>
      </c>
      <c r="C2656" t="s">
        <v>455</v>
      </c>
      <c r="D2656" s="8"/>
      <c r="E2656" s="8"/>
      <c r="L2656" t="s">
        <v>563</v>
      </c>
      <c r="M2656" t="s">
        <v>478</v>
      </c>
      <c r="N2656" t="str">
        <f>Tabela_tudo[[#This Row],[Médico]]&amp;" ("&amp;Tabela_tudo[[#This Row],[Obs]]&amp;")"</f>
        <v>COR ()</v>
      </c>
    </row>
    <row r="2657" spans="1:14" x14ac:dyDescent="0.3">
      <c r="A2657" s="1">
        <v>45524</v>
      </c>
      <c r="B2657" t="s">
        <v>333</v>
      </c>
      <c r="C2657" t="s">
        <v>455</v>
      </c>
      <c r="D2657" s="8"/>
      <c r="E2657" s="8"/>
      <c r="L2657" t="s">
        <v>563</v>
      </c>
      <c r="M2657" t="s">
        <v>478</v>
      </c>
      <c r="N2657" t="str">
        <f>Tabela_tudo[[#This Row],[Médico]]&amp;" ("&amp;Tabela_tudo[[#This Row],[Obs]]&amp;")"</f>
        <v>COR ()</v>
      </c>
    </row>
    <row r="2658" spans="1:14" x14ac:dyDescent="0.3">
      <c r="A2658" s="1">
        <v>45517</v>
      </c>
      <c r="B2658" t="s">
        <v>333</v>
      </c>
      <c r="C2658" t="s">
        <v>455</v>
      </c>
      <c r="D2658" s="8"/>
      <c r="E2658" s="8"/>
      <c r="L2658" t="s">
        <v>563</v>
      </c>
      <c r="M2658" t="s">
        <v>478</v>
      </c>
      <c r="N2658" t="str">
        <f>Tabela_tudo[[#This Row],[Médico]]&amp;" ("&amp;Tabela_tudo[[#This Row],[Obs]]&amp;")"</f>
        <v>COR ()</v>
      </c>
    </row>
    <row r="2659" spans="1:14" x14ac:dyDescent="0.3">
      <c r="A2659" s="1">
        <v>45510</v>
      </c>
      <c r="B2659" t="s">
        <v>333</v>
      </c>
      <c r="C2659" t="s">
        <v>455</v>
      </c>
      <c r="D2659" s="8"/>
      <c r="E2659" s="8"/>
      <c r="L2659" t="s">
        <v>563</v>
      </c>
      <c r="M2659" t="s">
        <v>478</v>
      </c>
      <c r="N2659" t="str">
        <f>Tabela_tudo[[#This Row],[Médico]]&amp;" ("&amp;Tabela_tudo[[#This Row],[Obs]]&amp;")"</f>
        <v>COR ()</v>
      </c>
    </row>
    <row r="2660" spans="1:14" x14ac:dyDescent="0.3">
      <c r="A2660" s="1">
        <v>45531</v>
      </c>
      <c r="B2660" t="s">
        <v>333</v>
      </c>
      <c r="C2660" t="s">
        <v>455</v>
      </c>
      <c r="D2660" s="8"/>
      <c r="E2660" s="8"/>
      <c r="L2660" t="s">
        <v>563</v>
      </c>
      <c r="M2660" t="s">
        <v>478</v>
      </c>
      <c r="N2660" t="str">
        <f>Tabela_tudo[[#This Row],[Médico]]&amp;" ("&amp;Tabela_tudo[[#This Row],[Obs]]&amp;")"</f>
        <v>COR ()</v>
      </c>
    </row>
    <row r="2661" spans="1:14" x14ac:dyDescent="0.3">
      <c r="A2661" s="1">
        <v>45552</v>
      </c>
      <c r="B2661" t="s">
        <v>333</v>
      </c>
      <c r="C2661" t="s">
        <v>455</v>
      </c>
      <c r="D2661" s="8"/>
      <c r="E2661" s="8"/>
      <c r="L2661" t="s">
        <v>563</v>
      </c>
      <c r="M2661" t="s">
        <v>478</v>
      </c>
      <c r="N2661" t="str">
        <f>Tabela_tudo[[#This Row],[Médico]]&amp;" ("&amp;Tabela_tudo[[#This Row],[Obs]]&amp;")"</f>
        <v>COR ()</v>
      </c>
    </row>
    <row r="2662" spans="1:14" x14ac:dyDescent="0.3">
      <c r="A2662" s="1">
        <v>45545</v>
      </c>
      <c r="B2662" t="s">
        <v>333</v>
      </c>
      <c r="C2662" t="s">
        <v>455</v>
      </c>
      <c r="D2662" s="8"/>
      <c r="E2662" s="8"/>
      <c r="L2662" t="s">
        <v>563</v>
      </c>
      <c r="M2662" t="s">
        <v>478</v>
      </c>
      <c r="N2662" t="str">
        <f>Tabela_tudo[[#This Row],[Médico]]&amp;" ("&amp;Tabela_tudo[[#This Row],[Obs]]&amp;")"</f>
        <v>COR ()</v>
      </c>
    </row>
    <row r="2663" spans="1:14" x14ac:dyDescent="0.3">
      <c r="A2663" s="1">
        <v>45538</v>
      </c>
      <c r="B2663" t="s">
        <v>333</v>
      </c>
      <c r="C2663" t="s">
        <v>455</v>
      </c>
      <c r="D2663" s="8"/>
      <c r="E2663" s="8"/>
      <c r="L2663" t="s">
        <v>563</v>
      </c>
      <c r="M2663" t="s">
        <v>478</v>
      </c>
      <c r="N2663" t="str">
        <f>Tabela_tudo[[#This Row],[Médico]]&amp;" ("&amp;Tabela_tudo[[#This Row],[Obs]]&amp;")"</f>
        <v>COR ()</v>
      </c>
    </row>
    <row r="2664" spans="1:14" x14ac:dyDescent="0.3">
      <c r="A2664" s="1">
        <v>45608</v>
      </c>
      <c r="B2664" t="s">
        <v>333</v>
      </c>
      <c r="C2664" t="s">
        <v>455</v>
      </c>
      <c r="D2664" s="8"/>
      <c r="E2664" s="8"/>
      <c r="L2664" t="s">
        <v>563</v>
      </c>
      <c r="M2664" t="s">
        <v>478</v>
      </c>
      <c r="N2664" t="str">
        <f>Tabela_tudo[[#This Row],[Médico]]&amp;" ("&amp;Tabela_tudo[[#This Row],[Obs]]&amp;")"</f>
        <v>COR ()</v>
      </c>
    </row>
    <row r="2665" spans="1:14" x14ac:dyDescent="0.3">
      <c r="A2665" s="1">
        <v>44951</v>
      </c>
      <c r="B2665" t="s">
        <v>249</v>
      </c>
      <c r="C2665" t="s">
        <v>455</v>
      </c>
      <c r="D2665" s="8"/>
      <c r="E2665" s="8"/>
      <c r="L2665" t="s">
        <v>563</v>
      </c>
      <c r="M2665" t="s">
        <v>478</v>
      </c>
      <c r="N2665" t="str">
        <f>Tabela_tudo[[#This Row],[Médico]]&amp;" ("&amp;Tabela_tudo[[#This Row],[Obs]]&amp;")"</f>
        <v>ISE ()</v>
      </c>
    </row>
    <row r="2666" spans="1:14" x14ac:dyDescent="0.3">
      <c r="A2666" s="1">
        <v>44944</v>
      </c>
      <c r="B2666" t="s">
        <v>249</v>
      </c>
      <c r="C2666" t="s">
        <v>455</v>
      </c>
      <c r="D2666" s="8"/>
      <c r="E2666" s="8"/>
      <c r="L2666" t="s">
        <v>563</v>
      </c>
      <c r="M2666" t="s">
        <v>478</v>
      </c>
      <c r="N2666" t="str">
        <f>Tabela_tudo[[#This Row],[Médico]]&amp;" ("&amp;Tabela_tudo[[#This Row],[Obs]]&amp;")"</f>
        <v>ISE ()</v>
      </c>
    </row>
    <row r="2667" spans="1:14" x14ac:dyDescent="0.3">
      <c r="A2667" s="1">
        <v>44937</v>
      </c>
      <c r="B2667" t="s">
        <v>249</v>
      </c>
      <c r="C2667" t="s">
        <v>455</v>
      </c>
      <c r="D2667" s="8"/>
      <c r="E2667" s="8"/>
      <c r="L2667" t="s">
        <v>563</v>
      </c>
      <c r="M2667" t="s">
        <v>478</v>
      </c>
      <c r="N2667" t="str">
        <f>Tabela_tudo[[#This Row],[Médico]]&amp;" ("&amp;Tabela_tudo[[#This Row],[Obs]]&amp;")"</f>
        <v>ISE ()</v>
      </c>
    </row>
    <row r="2668" spans="1:14" x14ac:dyDescent="0.3">
      <c r="A2668" s="1">
        <v>44958</v>
      </c>
      <c r="B2668" t="s">
        <v>249</v>
      </c>
      <c r="C2668" t="s">
        <v>455</v>
      </c>
      <c r="D2668" s="8"/>
      <c r="E2668" s="8"/>
      <c r="L2668" t="s">
        <v>563</v>
      </c>
      <c r="M2668" t="s">
        <v>478</v>
      </c>
      <c r="N2668" t="str">
        <f>Tabela_tudo[[#This Row],[Médico]]&amp;" ("&amp;Tabela_tudo[[#This Row],[Obs]]&amp;")"</f>
        <v>ISE ()</v>
      </c>
    </row>
    <row r="2669" spans="1:14" x14ac:dyDescent="0.3">
      <c r="A2669" s="1">
        <v>44979</v>
      </c>
      <c r="B2669" t="s">
        <v>249</v>
      </c>
      <c r="C2669" t="s">
        <v>455</v>
      </c>
      <c r="D2669" s="8"/>
      <c r="E2669" s="8"/>
      <c r="L2669" t="s">
        <v>563</v>
      </c>
      <c r="M2669" t="s">
        <v>478</v>
      </c>
      <c r="N2669" t="str">
        <f>Tabela_tudo[[#This Row],[Médico]]&amp;" ("&amp;Tabela_tudo[[#This Row],[Obs]]&amp;")"</f>
        <v>ISE ()</v>
      </c>
    </row>
    <row r="2670" spans="1:14" x14ac:dyDescent="0.3">
      <c r="A2670" s="1">
        <v>44972</v>
      </c>
      <c r="B2670" t="s">
        <v>249</v>
      </c>
      <c r="C2670" t="s">
        <v>455</v>
      </c>
      <c r="D2670" s="8"/>
      <c r="E2670" s="8"/>
      <c r="L2670" t="s">
        <v>563</v>
      </c>
      <c r="M2670" t="s">
        <v>478</v>
      </c>
      <c r="N2670" t="str">
        <f>Tabela_tudo[[#This Row],[Médico]]&amp;" ("&amp;Tabela_tudo[[#This Row],[Obs]]&amp;")"</f>
        <v>ISE ()</v>
      </c>
    </row>
    <row r="2671" spans="1:14" x14ac:dyDescent="0.3">
      <c r="A2671" s="1">
        <v>44965</v>
      </c>
      <c r="B2671" t="s">
        <v>249</v>
      </c>
      <c r="C2671" t="s">
        <v>455</v>
      </c>
      <c r="D2671" s="8"/>
      <c r="E2671" s="8"/>
      <c r="L2671" t="s">
        <v>563</v>
      </c>
      <c r="M2671" t="s">
        <v>478</v>
      </c>
      <c r="N2671" t="str">
        <f>Tabela_tudo[[#This Row],[Médico]]&amp;" ("&amp;Tabela_tudo[[#This Row],[Obs]]&amp;")"</f>
        <v>ISE ()</v>
      </c>
    </row>
    <row r="2672" spans="1:14" x14ac:dyDescent="0.3">
      <c r="A2672" s="1">
        <v>45629</v>
      </c>
      <c r="B2672" t="s">
        <v>333</v>
      </c>
      <c r="C2672" t="s">
        <v>455</v>
      </c>
      <c r="D2672" s="8"/>
      <c r="E2672" s="8"/>
      <c r="L2672" t="s">
        <v>563</v>
      </c>
      <c r="M2672" t="s">
        <v>478</v>
      </c>
      <c r="N2672" t="str">
        <f>Tabela_tudo[[#This Row],[Médico]]&amp;" ("&amp;Tabela_tudo[[#This Row],[Obs]]&amp;")"</f>
        <v>COR ()</v>
      </c>
    </row>
    <row r="2673" spans="1:14" x14ac:dyDescent="0.3">
      <c r="A2673" s="1">
        <v>45622</v>
      </c>
      <c r="B2673" t="s">
        <v>333</v>
      </c>
      <c r="C2673" t="s">
        <v>455</v>
      </c>
      <c r="D2673" s="8"/>
      <c r="E2673" s="8"/>
      <c r="L2673" t="s">
        <v>563</v>
      </c>
      <c r="M2673" t="s">
        <v>478</v>
      </c>
      <c r="N2673" t="str">
        <f>Tabela_tudo[[#This Row],[Médico]]&amp;" ("&amp;Tabela_tudo[[#This Row],[Obs]]&amp;")"</f>
        <v>COR ()</v>
      </c>
    </row>
    <row r="2674" spans="1:14" x14ac:dyDescent="0.3">
      <c r="A2674" s="1">
        <v>45615</v>
      </c>
      <c r="B2674" t="s">
        <v>333</v>
      </c>
      <c r="C2674" t="s">
        <v>455</v>
      </c>
      <c r="D2674" s="8"/>
      <c r="E2674" s="8"/>
      <c r="L2674" t="s">
        <v>563</v>
      </c>
      <c r="M2674" t="s">
        <v>478</v>
      </c>
      <c r="N2674" t="str">
        <f>Tabela_tudo[[#This Row],[Médico]]&amp;" ("&amp;Tabela_tudo[[#This Row],[Obs]]&amp;")"</f>
        <v>COR ()</v>
      </c>
    </row>
    <row r="2675" spans="1:14" x14ac:dyDescent="0.3">
      <c r="A2675" s="1">
        <v>45636</v>
      </c>
      <c r="B2675" t="s">
        <v>333</v>
      </c>
      <c r="C2675" t="s">
        <v>455</v>
      </c>
      <c r="D2675" s="8"/>
      <c r="E2675" s="8"/>
      <c r="L2675" t="s">
        <v>563</v>
      </c>
      <c r="M2675" t="s">
        <v>478</v>
      </c>
      <c r="N2675" t="str">
        <f>Tabela_tudo[[#This Row],[Médico]]&amp;" ("&amp;Tabela_tudo[[#This Row],[Obs]]&amp;")"</f>
        <v>COR ()</v>
      </c>
    </row>
    <row r="2676" spans="1:14" x14ac:dyDescent="0.3">
      <c r="A2676" s="1">
        <v>44930</v>
      </c>
      <c r="B2676" t="s">
        <v>249</v>
      </c>
      <c r="C2676" t="s">
        <v>455</v>
      </c>
      <c r="D2676" s="8"/>
      <c r="E2676" s="8"/>
      <c r="L2676" t="s">
        <v>563</v>
      </c>
      <c r="M2676" t="s">
        <v>478</v>
      </c>
      <c r="N2676" t="str">
        <f>Tabela_tudo[[#This Row],[Médico]]&amp;" ("&amp;Tabela_tudo[[#This Row],[Obs]]&amp;")"</f>
        <v>ISE ()</v>
      </c>
    </row>
    <row r="2677" spans="1:14" x14ac:dyDescent="0.3">
      <c r="A2677" s="1">
        <v>45650</v>
      </c>
      <c r="B2677" t="s">
        <v>333</v>
      </c>
      <c r="C2677" t="s">
        <v>455</v>
      </c>
      <c r="D2677" s="8"/>
      <c r="E2677" s="8"/>
      <c r="L2677" t="s">
        <v>563</v>
      </c>
      <c r="M2677" t="s">
        <v>478</v>
      </c>
      <c r="N2677" t="str">
        <f>Tabela_tudo[[#This Row],[Médico]]&amp;" ("&amp;Tabela_tudo[[#This Row],[Obs]]&amp;")"</f>
        <v>COR ()</v>
      </c>
    </row>
    <row r="2678" spans="1:14" x14ac:dyDescent="0.3">
      <c r="A2678" s="1">
        <v>45643</v>
      </c>
      <c r="B2678" t="s">
        <v>333</v>
      </c>
      <c r="C2678" t="s">
        <v>455</v>
      </c>
      <c r="D2678" s="8"/>
      <c r="E2678" s="8"/>
      <c r="L2678" t="s">
        <v>563</v>
      </c>
      <c r="M2678" t="s">
        <v>478</v>
      </c>
      <c r="N2678" t="str">
        <f>Tabela_tudo[[#This Row],[Médico]]&amp;" ("&amp;Tabela_tudo[[#This Row],[Obs]]&amp;")"</f>
        <v>COR ()</v>
      </c>
    </row>
    <row r="2679" spans="1:14" x14ac:dyDescent="0.3">
      <c r="A2679" s="1">
        <v>45503</v>
      </c>
      <c r="B2679" t="s">
        <v>333</v>
      </c>
      <c r="C2679" t="s">
        <v>455</v>
      </c>
      <c r="D2679" s="8"/>
      <c r="E2679" s="8"/>
      <c r="L2679" t="s">
        <v>563</v>
      </c>
      <c r="M2679" t="s">
        <v>478</v>
      </c>
      <c r="N2679" t="str">
        <f>Tabela_tudo[[#This Row],[Médico]]&amp;" ("&amp;Tabela_tudo[[#This Row],[Obs]]&amp;")"</f>
        <v>COR ()</v>
      </c>
    </row>
    <row r="2680" spans="1:14" x14ac:dyDescent="0.3">
      <c r="A2680" s="1">
        <v>45363</v>
      </c>
      <c r="B2680" t="s">
        <v>333</v>
      </c>
      <c r="C2680" t="s">
        <v>455</v>
      </c>
      <c r="D2680" s="8"/>
      <c r="E2680" s="8"/>
      <c r="L2680" t="s">
        <v>563</v>
      </c>
      <c r="M2680" t="s">
        <v>478</v>
      </c>
      <c r="N2680" t="str">
        <f>Tabela_tudo[[#This Row],[Médico]]&amp;" ("&amp;Tabela_tudo[[#This Row],[Obs]]&amp;")"</f>
        <v>COR ()</v>
      </c>
    </row>
    <row r="2681" spans="1:14" x14ac:dyDescent="0.3">
      <c r="A2681" s="1">
        <v>45356</v>
      </c>
      <c r="B2681" t="s">
        <v>333</v>
      </c>
      <c r="C2681" t="s">
        <v>455</v>
      </c>
      <c r="D2681" s="8"/>
      <c r="E2681" s="8"/>
      <c r="L2681" t="s">
        <v>563</v>
      </c>
      <c r="M2681" t="s">
        <v>478</v>
      </c>
      <c r="N2681" t="str">
        <f>Tabela_tudo[[#This Row],[Médico]]&amp;" ("&amp;Tabela_tudo[[#This Row],[Obs]]&amp;")"</f>
        <v>COR ()</v>
      </c>
    </row>
    <row r="2682" spans="1:14" x14ac:dyDescent="0.3">
      <c r="A2682" s="1">
        <v>45349</v>
      </c>
      <c r="B2682" t="s">
        <v>333</v>
      </c>
      <c r="C2682" t="s">
        <v>455</v>
      </c>
      <c r="D2682" s="8"/>
      <c r="E2682" s="8"/>
      <c r="L2682" t="s">
        <v>563</v>
      </c>
      <c r="M2682" t="s">
        <v>478</v>
      </c>
      <c r="N2682" t="str">
        <f>Tabela_tudo[[#This Row],[Médico]]&amp;" ("&amp;Tabela_tudo[[#This Row],[Obs]]&amp;")"</f>
        <v>COR ()</v>
      </c>
    </row>
    <row r="2683" spans="1:14" x14ac:dyDescent="0.3">
      <c r="A2683" s="1">
        <v>45370</v>
      </c>
      <c r="B2683" t="s">
        <v>333</v>
      </c>
      <c r="C2683" t="s">
        <v>455</v>
      </c>
      <c r="D2683" s="8"/>
      <c r="E2683" s="8"/>
      <c r="L2683" t="s">
        <v>563</v>
      </c>
      <c r="M2683" t="s">
        <v>478</v>
      </c>
      <c r="N2683" t="str">
        <f>Tabela_tudo[[#This Row],[Médico]]&amp;" ("&amp;Tabela_tudo[[#This Row],[Obs]]&amp;")"</f>
        <v>COR ()</v>
      </c>
    </row>
    <row r="2684" spans="1:14" x14ac:dyDescent="0.3">
      <c r="A2684" s="1">
        <v>45391</v>
      </c>
      <c r="B2684" t="s">
        <v>333</v>
      </c>
      <c r="C2684" t="s">
        <v>455</v>
      </c>
      <c r="D2684" s="8"/>
      <c r="E2684" s="8"/>
      <c r="L2684" t="s">
        <v>563</v>
      </c>
      <c r="M2684" t="s">
        <v>478</v>
      </c>
      <c r="N2684" t="str">
        <f>Tabela_tudo[[#This Row],[Médico]]&amp;" ("&amp;Tabela_tudo[[#This Row],[Obs]]&amp;")"</f>
        <v>COR ()</v>
      </c>
    </row>
    <row r="2685" spans="1:14" x14ac:dyDescent="0.3">
      <c r="A2685" s="1">
        <v>45384</v>
      </c>
      <c r="B2685" t="s">
        <v>333</v>
      </c>
      <c r="C2685" t="s">
        <v>455</v>
      </c>
      <c r="D2685" s="8"/>
      <c r="E2685" s="8"/>
      <c r="L2685" t="s">
        <v>563</v>
      </c>
      <c r="M2685" t="s">
        <v>478</v>
      </c>
      <c r="N2685" t="str">
        <f>Tabela_tudo[[#This Row],[Médico]]&amp;" ("&amp;Tabela_tudo[[#This Row],[Obs]]&amp;")"</f>
        <v>COR ()</v>
      </c>
    </row>
    <row r="2686" spans="1:14" x14ac:dyDescent="0.3">
      <c r="A2686" s="1">
        <v>45377</v>
      </c>
      <c r="B2686" t="s">
        <v>333</v>
      </c>
      <c r="C2686" t="s">
        <v>455</v>
      </c>
      <c r="D2686" s="8"/>
      <c r="E2686" s="8"/>
      <c r="L2686" t="s">
        <v>563</v>
      </c>
      <c r="M2686" t="s">
        <v>478</v>
      </c>
      <c r="N2686" t="str">
        <f>Tabela_tudo[[#This Row],[Médico]]&amp;" ("&amp;Tabela_tudo[[#This Row],[Obs]]&amp;")"</f>
        <v>COR ()</v>
      </c>
    </row>
    <row r="2687" spans="1:14" x14ac:dyDescent="0.3">
      <c r="A2687" s="1">
        <v>45314</v>
      </c>
      <c r="B2687" t="s">
        <v>333</v>
      </c>
      <c r="C2687" t="s">
        <v>455</v>
      </c>
      <c r="D2687" s="8"/>
      <c r="E2687" s="8"/>
      <c r="L2687" t="s">
        <v>563</v>
      </c>
      <c r="M2687" t="s">
        <v>478</v>
      </c>
      <c r="N2687" t="str">
        <f>Tabela_tudo[[#This Row],[Médico]]&amp;" ("&amp;Tabela_tudo[[#This Row],[Obs]]&amp;")"</f>
        <v>COR ()</v>
      </c>
    </row>
    <row r="2688" spans="1:14" x14ac:dyDescent="0.3">
      <c r="A2688" s="1">
        <v>45307</v>
      </c>
      <c r="B2688" t="s">
        <v>333</v>
      </c>
      <c r="C2688" t="s">
        <v>455</v>
      </c>
      <c r="D2688" s="8"/>
      <c r="E2688" s="8"/>
      <c r="L2688" t="s">
        <v>563</v>
      </c>
      <c r="M2688" t="s">
        <v>478</v>
      </c>
      <c r="N2688" t="str">
        <f>Tabela_tudo[[#This Row],[Médico]]&amp;" ("&amp;Tabela_tudo[[#This Row],[Obs]]&amp;")"</f>
        <v>COR ()</v>
      </c>
    </row>
    <row r="2689" spans="1:14" x14ac:dyDescent="0.3">
      <c r="A2689" s="1">
        <v>45300</v>
      </c>
      <c r="B2689" t="s">
        <v>333</v>
      </c>
      <c r="C2689" t="s">
        <v>455</v>
      </c>
      <c r="D2689" s="8"/>
      <c r="E2689" s="8"/>
      <c r="L2689" t="s">
        <v>563</v>
      </c>
      <c r="M2689" t="s">
        <v>478</v>
      </c>
      <c r="N2689" t="str">
        <f>Tabela_tudo[[#This Row],[Médico]]&amp;" ("&amp;Tabela_tudo[[#This Row],[Obs]]&amp;")"</f>
        <v>COR ()</v>
      </c>
    </row>
    <row r="2690" spans="1:14" x14ac:dyDescent="0.3">
      <c r="A2690" s="1">
        <v>45321</v>
      </c>
      <c r="B2690" t="s">
        <v>333</v>
      </c>
      <c r="C2690" t="s">
        <v>455</v>
      </c>
      <c r="D2690" s="8"/>
      <c r="E2690" s="8"/>
      <c r="L2690" t="s">
        <v>563</v>
      </c>
      <c r="M2690" t="s">
        <v>478</v>
      </c>
      <c r="N2690" t="str">
        <f>Tabela_tudo[[#This Row],[Médico]]&amp;" ("&amp;Tabela_tudo[[#This Row],[Obs]]&amp;")"</f>
        <v>COR ()</v>
      </c>
    </row>
    <row r="2691" spans="1:14" x14ac:dyDescent="0.3">
      <c r="A2691" s="1">
        <v>45342</v>
      </c>
      <c r="B2691" t="s">
        <v>333</v>
      </c>
      <c r="C2691" t="s">
        <v>455</v>
      </c>
      <c r="D2691" s="8"/>
      <c r="E2691" s="8"/>
      <c r="L2691" t="s">
        <v>563</v>
      </c>
      <c r="M2691" t="s">
        <v>478</v>
      </c>
      <c r="N2691" t="str">
        <f>Tabela_tudo[[#This Row],[Médico]]&amp;" ("&amp;Tabela_tudo[[#This Row],[Obs]]&amp;")"</f>
        <v>COR ()</v>
      </c>
    </row>
    <row r="2692" spans="1:14" x14ac:dyDescent="0.3">
      <c r="A2692" s="1">
        <v>45335</v>
      </c>
      <c r="B2692" t="s">
        <v>333</v>
      </c>
      <c r="C2692" t="s">
        <v>455</v>
      </c>
      <c r="D2692" s="8"/>
      <c r="E2692" s="8"/>
      <c r="L2692" t="s">
        <v>563</v>
      </c>
      <c r="M2692" t="s">
        <v>478</v>
      </c>
      <c r="N2692" t="str">
        <f>Tabela_tudo[[#This Row],[Médico]]&amp;" ("&amp;Tabela_tudo[[#This Row],[Obs]]&amp;")"</f>
        <v>COR ()</v>
      </c>
    </row>
    <row r="2693" spans="1:14" x14ac:dyDescent="0.3">
      <c r="A2693" s="1">
        <v>45328</v>
      </c>
      <c r="B2693" t="s">
        <v>333</v>
      </c>
      <c r="C2693" t="s">
        <v>455</v>
      </c>
      <c r="D2693" s="8"/>
      <c r="E2693" s="8"/>
      <c r="L2693" t="s">
        <v>563</v>
      </c>
      <c r="M2693" t="s">
        <v>478</v>
      </c>
      <c r="N2693" t="str">
        <f>Tabela_tudo[[#This Row],[Médico]]&amp;" ("&amp;Tabela_tudo[[#This Row],[Obs]]&amp;")"</f>
        <v>COR ()</v>
      </c>
    </row>
    <row r="2694" spans="1:14" x14ac:dyDescent="0.3">
      <c r="A2694" s="1">
        <v>45398</v>
      </c>
      <c r="B2694" t="s">
        <v>333</v>
      </c>
      <c r="C2694" t="s">
        <v>455</v>
      </c>
      <c r="D2694" s="8"/>
      <c r="E2694" s="8"/>
      <c r="L2694" t="s">
        <v>563</v>
      </c>
      <c r="M2694" t="s">
        <v>478</v>
      </c>
      <c r="N2694" t="str">
        <f>Tabela_tudo[[#This Row],[Médico]]&amp;" ("&amp;Tabela_tudo[[#This Row],[Obs]]&amp;")"</f>
        <v>COR ()</v>
      </c>
    </row>
    <row r="2695" spans="1:14" x14ac:dyDescent="0.3">
      <c r="A2695" s="1">
        <v>45468</v>
      </c>
      <c r="B2695" t="s">
        <v>333</v>
      </c>
      <c r="C2695" t="s">
        <v>455</v>
      </c>
      <c r="D2695" s="8"/>
      <c r="E2695" s="8"/>
      <c r="L2695" t="s">
        <v>563</v>
      </c>
      <c r="M2695" t="s">
        <v>478</v>
      </c>
      <c r="N2695" t="str">
        <f>Tabela_tudo[[#This Row],[Médico]]&amp;" ("&amp;Tabela_tudo[[#This Row],[Obs]]&amp;")"</f>
        <v>COR ()</v>
      </c>
    </row>
    <row r="2696" spans="1:14" x14ac:dyDescent="0.3">
      <c r="A2696" s="1">
        <v>45461</v>
      </c>
      <c r="B2696" t="s">
        <v>333</v>
      </c>
      <c r="C2696" t="s">
        <v>455</v>
      </c>
      <c r="D2696" s="8"/>
      <c r="E2696" s="8"/>
      <c r="L2696" t="s">
        <v>563</v>
      </c>
      <c r="M2696" t="s">
        <v>478</v>
      </c>
      <c r="N2696" t="str">
        <f>Tabela_tudo[[#This Row],[Médico]]&amp;" ("&amp;Tabela_tudo[[#This Row],[Obs]]&amp;")"</f>
        <v>COR ()</v>
      </c>
    </row>
    <row r="2697" spans="1:14" x14ac:dyDescent="0.3">
      <c r="A2697" s="1">
        <v>45454</v>
      </c>
      <c r="B2697" t="s">
        <v>333</v>
      </c>
      <c r="C2697" t="s">
        <v>455</v>
      </c>
      <c r="D2697" s="8"/>
      <c r="E2697" s="8"/>
      <c r="L2697" t="s">
        <v>563</v>
      </c>
      <c r="M2697" t="s">
        <v>478</v>
      </c>
      <c r="N2697" t="str">
        <f>Tabela_tudo[[#This Row],[Médico]]&amp;" ("&amp;Tabela_tudo[[#This Row],[Obs]]&amp;")"</f>
        <v>COR ()</v>
      </c>
    </row>
    <row r="2698" spans="1:14" x14ac:dyDescent="0.3">
      <c r="A2698" s="1">
        <v>45475</v>
      </c>
      <c r="B2698" t="s">
        <v>333</v>
      </c>
      <c r="C2698" t="s">
        <v>455</v>
      </c>
      <c r="D2698" s="8"/>
      <c r="E2698" s="8"/>
      <c r="L2698" t="s">
        <v>563</v>
      </c>
      <c r="M2698" t="s">
        <v>478</v>
      </c>
      <c r="N2698" t="str">
        <f>Tabela_tudo[[#This Row],[Médico]]&amp;" ("&amp;Tabela_tudo[[#This Row],[Obs]]&amp;")"</f>
        <v>COR ()</v>
      </c>
    </row>
    <row r="2699" spans="1:14" x14ac:dyDescent="0.3">
      <c r="A2699" s="1">
        <v>45496</v>
      </c>
      <c r="B2699" t="s">
        <v>333</v>
      </c>
      <c r="C2699" t="s">
        <v>455</v>
      </c>
      <c r="D2699" s="8"/>
      <c r="E2699" s="8"/>
      <c r="L2699" t="s">
        <v>563</v>
      </c>
      <c r="M2699" t="s">
        <v>478</v>
      </c>
      <c r="N2699" t="str">
        <f>Tabela_tudo[[#This Row],[Médico]]&amp;" ("&amp;Tabela_tudo[[#This Row],[Obs]]&amp;")"</f>
        <v>COR ()</v>
      </c>
    </row>
    <row r="2700" spans="1:14" x14ac:dyDescent="0.3">
      <c r="A2700" s="1">
        <v>45489</v>
      </c>
      <c r="B2700" t="s">
        <v>333</v>
      </c>
      <c r="C2700" t="s">
        <v>455</v>
      </c>
      <c r="D2700" s="8"/>
      <c r="E2700" s="8"/>
      <c r="L2700" t="s">
        <v>563</v>
      </c>
      <c r="M2700" t="s">
        <v>478</v>
      </c>
      <c r="N2700" t="str">
        <f>Tabela_tudo[[#This Row],[Médico]]&amp;" ("&amp;Tabela_tudo[[#This Row],[Obs]]&amp;")"</f>
        <v>COR ()</v>
      </c>
    </row>
    <row r="2701" spans="1:14" x14ac:dyDescent="0.3">
      <c r="A2701" s="1">
        <v>45482</v>
      </c>
      <c r="B2701" t="s">
        <v>333</v>
      </c>
      <c r="C2701" t="s">
        <v>455</v>
      </c>
      <c r="D2701" s="8"/>
      <c r="E2701" s="8"/>
      <c r="L2701" t="s">
        <v>563</v>
      </c>
      <c r="M2701" t="s">
        <v>478</v>
      </c>
      <c r="N2701" t="str">
        <f>Tabela_tudo[[#This Row],[Médico]]&amp;" ("&amp;Tabela_tudo[[#This Row],[Obs]]&amp;")"</f>
        <v>COR ()</v>
      </c>
    </row>
    <row r="2702" spans="1:14" x14ac:dyDescent="0.3">
      <c r="A2702" s="1">
        <v>45419</v>
      </c>
      <c r="B2702" t="s">
        <v>333</v>
      </c>
      <c r="C2702" t="s">
        <v>455</v>
      </c>
      <c r="D2702" s="8"/>
      <c r="E2702" s="8"/>
      <c r="L2702" t="s">
        <v>563</v>
      </c>
      <c r="M2702" t="s">
        <v>478</v>
      </c>
      <c r="N2702" t="str">
        <f>Tabela_tudo[[#This Row],[Médico]]&amp;" ("&amp;Tabela_tudo[[#This Row],[Obs]]&amp;")"</f>
        <v>COR ()</v>
      </c>
    </row>
    <row r="2703" spans="1:14" x14ac:dyDescent="0.3">
      <c r="A2703" s="1">
        <v>45412</v>
      </c>
      <c r="B2703" t="s">
        <v>333</v>
      </c>
      <c r="C2703" t="s">
        <v>455</v>
      </c>
      <c r="D2703" s="8"/>
      <c r="E2703" s="8"/>
      <c r="L2703" t="s">
        <v>563</v>
      </c>
      <c r="M2703" t="s">
        <v>478</v>
      </c>
      <c r="N2703" t="str">
        <f>Tabela_tudo[[#This Row],[Médico]]&amp;" ("&amp;Tabela_tudo[[#This Row],[Obs]]&amp;")"</f>
        <v>COR ()</v>
      </c>
    </row>
    <row r="2704" spans="1:14" x14ac:dyDescent="0.3">
      <c r="A2704" s="1">
        <v>45405</v>
      </c>
      <c r="B2704" t="s">
        <v>333</v>
      </c>
      <c r="C2704" t="s">
        <v>455</v>
      </c>
      <c r="D2704" s="8"/>
      <c r="E2704" s="8"/>
      <c r="L2704" t="s">
        <v>563</v>
      </c>
      <c r="M2704" t="s">
        <v>478</v>
      </c>
      <c r="N2704" t="str">
        <f>Tabela_tudo[[#This Row],[Médico]]&amp;" ("&amp;Tabela_tudo[[#This Row],[Obs]]&amp;")"</f>
        <v>COR ()</v>
      </c>
    </row>
    <row r="2705" spans="1:14" x14ac:dyDescent="0.3">
      <c r="A2705" s="1">
        <v>45426</v>
      </c>
      <c r="B2705" t="s">
        <v>333</v>
      </c>
      <c r="C2705" t="s">
        <v>455</v>
      </c>
      <c r="D2705" s="8"/>
      <c r="E2705" s="8"/>
      <c r="L2705" t="s">
        <v>563</v>
      </c>
      <c r="M2705" t="s">
        <v>478</v>
      </c>
      <c r="N2705" t="str">
        <f>Tabela_tudo[[#This Row],[Médico]]&amp;" ("&amp;Tabela_tudo[[#This Row],[Obs]]&amp;")"</f>
        <v>COR ()</v>
      </c>
    </row>
    <row r="2706" spans="1:14" x14ac:dyDescent="0.3">
      <c r="A2706" s="1">
        <v>45447</v>
      </c>
      <c r="B2706" t="s">
        <v>333</v>
      </c>
      <c r="C2706" t="s">
        <v>455</v>
      </c>
      <c r="D2706" s="8"/>
      <c r="E2706" s="8"/>
      <c r="L2706" t="s">
        <v>563</v>
      </c>
      <c r="M2706" t="s">
        <v>478</v>
      </c>
      <c r="N2706" t="str">
        <f>Tabela_tudo[[#This Row],[Médico]]&amp;" ("&amp;Tabela_tudo[[#This Row],[Obs]]&amp;")"</f>
        <v>COR ()</v>
      </c>
    </row>
    <row r="2707" spans="1:14" x14ac:dyDescent="0.3">
      <c r="A2707" s="1">
        <v>45440</v>
      </c>
      <c r="B2707" t="s">
        <v>333</v>
      </c>
      <c r="C2707" t="s">
        <v>455</v>
      </c>
      <c r="D2707" s="8"/>
      <c r="E2707" s="8"/>
      <c r="L2707" t="s">
        <v>563</v>
      </c>
      <c r="M2707" t="s">
        <v>478</v>
      </c>
      <c r="N2707" t="str">
        <f>Tabela_tudo[[#This Row],[Médico]]&amp;" ("&amp;Tabela_tudo[[#This Row],[Obs]]&amp;")"</f>
        <v>COR ()</v>
      </c>
    </row>
    <row r="2708" spans="1:14" x14ac:dyDescent="0.3">
      <c r="A2708" s="1">
        <v>45433</v>
      </c>
      <c r="B2708" t="s">
        <v>333</v>
      </c>
      <c r="C2708" t="s">
        <v>455</v>
      </c>
      <c r="D2708" s="8"/>
      <c r="E2708" s="8"/>
      <c r="L2708" t="s">
        <v>563</v>
      </c>
      <c r="M2708" t="s">
        <v>478</v>
      </c>
      <c r="N2708" t="str">
        <f>Tabela_tudo[[#This Row],[Médico]]&amp;" ("&amp;Tabela_tudo[[#This Row],[Obs]]&amp;")"</f>
        <v>COR ()</v>
      </c>
    </row>
    <row r="2709" spans="1:14" x14ac:dyDescent="0.3">
      <c r="A2709" s="1">
        <v>45320</v>
      </c>
      <c r="B2709" t="s">
        <v>25</v>
      </c>
      <c r="C2709" t="s">
        <v>455</v>
      </c>
      <c r="D2709" s="8"/>
      <c r="E2709" s="8"/>
      <c r="L2709" t="s">
        <v>563</v>
      </c>
      <c r="M2709" t="s">
        <v>478</v>
      </c>
      <c r="N2709" t="str">
        <f>Tabela_tudo[[#This Row],[Médico]]&amp;" ("&amp;Tabela_tudo[[#This Row],[Obs]]&amp;")"</f>
        <v>HEN ()</v>
      </c>
    </row>
    <row r="2710" spans="1:14" x14ac:dyDescent="0.3">
      <c r="A2710" s="1">
        <v>45313</v>
      </c>
      <c r="B2710" t="s">
        <v>25</v>
      </c>
      <c r="C2710" t="s">
        <v>455</v>
      </c>
      <c r="D2710" s="8"/>
      <c r="E2710" s="8"/>
      <c r="L2710" t="s">
        <v>563</v>
      </c>
      <c r="M2710" t="s">
        <v>478</v>
      </c>
      <c r="N2710" t="str">
        <f>Tabela_tudo[[#This Row],[Médico]]&amp;" ("&amp;Tabela_tudo[[#This Row],[Obs]]&amp;")"</f>
        <v>HEN ()</v>
      </c>
    </row>
    <row r="2711" spans="1:14" x14ac:dyDescent="0.3">
      <c r="A2711" s="1">
        <v>45306</v>
      </c>
      <c r="B2711" t="s">
        <v>25</v>
      </c>
      <c r="C2711" t="s">
        <v>455</v>
      </c>
      <c r="D2711" s="8"/>
      <c r="E2711" s="8"/>
      <c r="L2711" t="s">
        <v>563</v>
      </c>
      <c r="M2711" t="s">
        <v>478</v>
      </c>
      <c r="N2711" t="str">
        <f>Tabela_tudo[[#This Row],[Médico]]&amp;" ("&amp;Tabela_tudo[[#This Row],[Obs]]&amp;")"</f>
        <v>HEN ()</v>
      </c>
    </row>
    <row r="2712" spans="1:14" x14ac:dyDescent="0.3">
      <c r="A2712" s="1">
        <v>45327</v>
      </c>
      <c r="B2712" t="s">
        <v>25</v>
      </c>
      <c r="C2712" t="s">
        <v>455</v>
      </c>
      <c r="D2712" s="8"/>
      <c r="E2712" s="8"/>
      <c r="L2712" t="s">
        <v>563</v>
      </c>
      <c r="M2712" t="s">
        <v>478</v>
      </c>
      <c r="N2712" t="str">
        <f>Tabela_tudo[[#This Row],[Médico]]&amp;" ("&amp;Tabela_tudo[[#This Row],[Obs]]&amp;")"</f>
        <v>HEN ()</v>
      </c>
    </row>
    <row r="2713" spans="1:14" x14ac:dyDescent="0.3">
      <c r="A2713" s="1">
        <v>45348</v>
      </c>
      <c r="B2713" t="s">
        <v>25</v>
      </c>
      <c r="C2713" t="s">
        <v>455</v>
      </c>
      <c r="D2713" s="8"/>
      <c r="E2713" s="8"/>
      <c r="L2713" t="s">
        <v>563</v>
      </c>
      <c r="M2713" t="s">
        <v>478</v>
      </c>
      <c r="N2713" t="str">
        <f>Tabela_tudo[[#This Row],[Médico]]&amp;" ("&amp;Tabela_tudo[[#This Row],[Obs]]&amp;")"</f>
        <v>HEN ()</v>
      </c>
    </row>
    <row r="2714" spans="1:14" x14ac:dyDescent="0.3">
      <c r="A2714" s="1">
        <v>45341</v>
      </c>
      <c r="B2714" t="s">
        <v>25</v>
      </c>
      <c r="C2714" t="s">
        <v>455</v>
      </c>
      <c r="D2714" s="8"/>
      <c r="E2714" s="8"/>
      <c r="L2714" t="s">
        <v>563</v>
      </c>
      <c r="M2714" t="s">
        <v>478</v>
      </c>
      <c r="N2714" t="str">
        <f>Tabela_tudo[[#This Row],[Médico]]&amp;" ("&amp;Tabela_tudo[[#This Row],[Obs]]&amp;")"</f>
        <v>HEN ()</v>
      </c>
    </row>
    <row r="2715" spans="1:14" x14ac:dyDescent="0.3">
      <c r="A2715" s="1">
        <v>45334</v>
      </c>
      <c r="B2715" t="s">
        <v>25</v>
      </c>
      <c r="C2715" t="s">
        <v>455</v>
      </c>
      <c r="D2715" s="8"/>
      <c r="E2715" s="8"/>
      <c r="L2715" t="s">
        <v>563</v>
      </c>
      <c r="M2715" t="s">
        <v>478</v>
      </c>
      <c r="N2715" t="str">
        <f>Tabela_tudo[[#This Row],[Médico]]&amp;" ("&amp;Tabela_tudo[[#This Row],[Obs]]&amp;")"</f>
        <v>HEN ()</v>
      </c>
    </row>
    <row r="2716" spans="1:14" x14ac:dyDescent="0.3">
      <c r="A2716" s="1">
        <v>45271</v>
      </c>
      <c r="B2716" t="s">
        <v>25</v>
      </c>
      <c r="C2716" t="s">
        <v>455</v>
      </c>
      <c r="D2716" s="8"/>
      <c r="E2716" s="8"/>
      <c r="L2716" t="s">
        <v>563</v>
      </c>
      <c r="M2716" t="s">
        <v>478</v>
      </c>
      <c r="N2716" t="str">
        <f>Tabela_tudo[[#This Row],[Médico]]&amp;" ("&amp;Tabela_tudo[[#This Row],[Obs]]&amp;")"</f>
        <v>HEN ()</v>
      </c>
    </row>
    <row r="2717" spans="1:14" x14ac:dyDescent="0.3">
      <c r="A2717" s="1">
        <v>45264</v>
      </c>
      <c r="B2717" t="s">
        <v>25</v>
      </c>
      <c r="C2717" t="s">
        <v>455</v>
      </c>
      <c r="D2717" s="8"/>
      <c r="E2717" s="8"/>
      <c r="L2717" t="s">
        <v>563</v>
      </c>
      <c r="M2717" t="s">
        <v>478</v>
      </c>
      <c r="N2717" t="str">
        <f>Tabela_tudo[[#This Row],[Médico]]&amp;" ("&amp;Tabela_tudo[[#This Row],[Obs]]&amp;")"</f>
        <v>HEN ()</v>
      </c>
    </row>
    <row r="2718" spans="1:14" x14ac:dyDescent="0.3">
      <c r="A2718" s="1">
        <v>45257</v>
      </c>
      <c r="B2718" t="s">
        <v>25</v>
      </c>
      <c r="C2718" t="s">
        <v>455</v>
      </c>
      <c r="D2718" s="8"/>
      <c r="E2718" s="8"/>
      <c r="L2718" t="s">
        <v>563</v>
      </c>
      <c r="M2718" t="s">
        <v>478</v>
      </c>
      <c r="N2718" t="str">
        <f>Tabela_tudo[[#This Row],[Médico]]&amp;" ("&amp;Tabela_tudo[[#This Row],[Obs]]&amp;")"</f>
        <v>HEN ()</v>
      </c>
    </row>
    <row r="2719" spans="1:14" x14ac:dyDescent="0.3">
      <c r="A2719" s="1">
        <v>45278</v>
      </c>
      <c r="B2719" t="s">
        <v>25</v>
      </c>
      <c r="C2719" t="s">
        <v>455</v>
      </c>
      <c r="D2719" s="8"/>
      <c r="E2719" s="8"/>
      <c r="L2719" t="s">
        <v>563</v>
      </c>
      <c r="M2719" t="s">
        <v>478</v>
      </c>
      <c r="N2719" t="str">
        <f>Tabela_tudo[[#This Row],[Médico]]&amp;" ("&amp;Tabela_tudo[[#This Row],[Obs]]&amp;")"</f>
        <v>HEN ()</v>
      </c>
    </row>
    <row r="2720" spans="1:14" x14ac:dyDescent="0.3">
      <c r="A2720" s="1">
        <v>45299</v>
      </c>
      <c r="B2720" t="s">
        <v>25</v>
      </c>
      <c r="C2720" t="s">
        <v>455</v>
      </c>
      <c r="D2720" s="8"/>
      <c r="E2720" s="8"/>
      <c r="L2720" t="s">
        <v>563</v>
      </c>
      <c r="M2720" t="s">
        <v>478</v>
      </c>
      <c r="N2720" t="str">
        <f>Tabela_tudo[[#This Row],[Médico]]&amp;" ("&amp;Tabela_tudo[[#This Row],[Obs]]&amp;")"</f>
        <v>HEN ()</v>
      </c>
    </row>
    <row r="2721" spans="1:14" x14ac:dyDescent="0.3">
      <c r="A2721" s="1">
        <v>45292</v>
      </c>
      <c r="B2721" t="s">
        <v>25</v>
      </c>
      <c r="C2721" t="s">
        <v>455</v>
      </c>
      <c r="D2721" s="8"/>
      <c r="E2721" s="8"/>
      <c r="L2721" t="s">
        <v>563</v>
      </c>
      <c r="M2721" t="s">
        <v>478</v>
      </c>
      <c r="N2721" t="str">
        <f>Tabela_tudo[[#This Row],[Médico]]&amp;" ("&amp;Tabela_tudo[[#This Row],[Obs]]&amp;")"</f>
        <v>HEN ()</v>
      </c>
    </row>
    <row r="2722" spans="1:14" x14ac:dyDescent="0.3">
      <c r="A2722" s="1">
        <v>45285</v>
      </c>
      <c r="B2722" t="s">
        <v>25</v>
      </c>
      <c r="C2722" t="s">
        <v>455</v>
      </c>
      <c r="D2722" s="8"/>
      <c r="E2722" s="8"/>
      <c r="L2722" t="s">
        <v>563</v>
      </c>
      <c r="M2722" t="s">
        <v>478</v>
      </c>
      <c r="N2722" t="str">
        <f>Tabela_tudo[[#This Row],[Médico]]&amp;" ("&amp;Tabela_tudo[[#This Row],[Obs]]&amp;")"</f>
        <v>HEN ()</v>
      </c>
    </row>
    <row r="2723" spans="1:14" x14ac:dyDescent="0.3">
      <c r="A2723" s="1">
        <v>45355</v>
      </c>
      <c r="B2723" t="s">
        <v>25</v>
      </c>
      <c r="C2723" t="s">
        <v>455</v>
      </c>
      <c r="D2723" s="8"/>
      <c r="E2723" s="8"/>
      <c r="L2723" t="s">
        <v>563</v>
      </c>
      <c r="M2723" t="s">
        <v>478</v>
      </c>
      <c r="N2723" t="str">
        <f>Tabela_tudo[[#This Row],[Médico]]&amp;" ("&amp;Tabela_tudo[[#This Row],[Obs]]&amp;")"</f>
        <v>HEN ()</v>
      </c>
    </row>
    <row r="2724" spans="1:14" x14ac:dyDescent="0.3">
      <c r="A2724" s="1">
        <v>45425</v>
      </c>
      <c r="B2724" t="s">
        <v>25</v>
      </c>
      <c r="C2724" t="s">
        <v>455</v>
      </c>
      <c r="D2724" s="8"/>
      <c r="E2724" s="8"/>
      <c r="L2724" t="s">
        <v>563</v>
      </c>
      <c r="M2724" t="s">
        <v>478</v>
      </c>
      <c r="N2724" t="str">
        <f>Tabela_tudo[[#This Row],[Médico]]&amp;" ("&amp;Tabela_tudo[[#This Row],[Obs]]&amp;")"</f>
        <v>HEN ()</v>
      </c>
    </row>
    <row r="2725" spans="1:14" x14ac:dyDescent="0.3">
      <c r="A2725" s="1">
        <v>45418</v>
      </c>
      <c r="B2725" t="s">
        <v>25</v>
      </c>
      <c r="C2725" t="s">
        <v>455</v>
      </c>
      <c r="D2725" s="8"/>
      <c r="E2725" s="8"/>
      <c r="L2725" t="s">
        <v>563</v>
      </c>
      <c r="M2725" t="s">
        <v>478</v>
      </c>
      <c r="N2725" t="str">
        <f>Tabela_tudo[[#This Row],[Médico]]&amp;" ("&amp;Tabela_tudo[[#This Row],[Obs]]&amp;")"</f>
        <v>HEN ()</v>
      </c>
    </row>
    <row r="2726" spans="1:14" x14ac:dyDescent="0.3">
      <c r="A2726" s="1">
        <v>45411</v>
      </c>
      <c r="B2726" t="s">
        <v>25</v>
      </c>
      <c r="C2726" t="s">
        <v>455</v>
      </c>
      <c r="D2726" s="8"/>
      <c r="E2726" s="8"/>
      <c r="L2726" t="s">
        <v>563</v>
      </c>
      <c r="M2726" t="s">
        <v>478</v>
      </c>
      <c r="N2726" t="str">
        <f>Tabela_tudo[[#This Row],[Médico]]&amp;" ("&amp;Tabela_tudo[[#This Row],[Obs]]&amp;")"</f>
        <v>HEN ()</v>
      </c>
    </row>
    <row r="2727" spans="1:14" x14ac:dyDescent="0.3">
      <c r="A2727" s="1">
        <v>45432</v>
      </c>
      <c r="B2727" t="s">
        <v>25</v>
      </c>
      <c r="C2727" t="s">
        <v>455</v>
      </c>
      <c r="D2727" s="8"/>
      <c r="E2727" s="8"/>
      <c r="L2727" t="s">
        <v>563</v>
      </c>
      <c r="M2727" t="s">
        <v>478</v>
      </c>
      <c r="N2727" t="str">
        <f>Tabela_tudo[[#This Row],[Médico]]&amp;" ("&amp;Tabela_tudo[[#This Row],[Obs]]&amp;")"</f>
        <v>HEN ()</v>
      </c>
    </row>
    <row r="2728" spans="1:14" x14ac:dyDescent="0.3">
      <c r="A2728" s="1">
        <v>45453</v>
      </c>
      <c r="B2728" t="s">
        <v>25</v>
      </c>
      <c r="C2728" t="s">
        <v>455</v>
      </c>
      <c r="D2728" s="8"/>
      <c r="E2728" s="8"/>
      <c r="L2728" t="s">
        <v>563</v>
      </c>
      <c r="M2728" t="s">
        <v>478</v>
      </c>
      <c r="N2728" t="str">
        <f>Tabela_tudo[[#This Row],[Médico]]&amp;" ("&amp;Tabela_tudo[[#This Row],[Obs]]&amp;")"</f>
        <v>HEN ()</v>
      </c>
    </row>
    <row r="2729" spans="1:14" x14ac:dyDescent="0.3">
      <c r="A2729" s="1">
        <v>45446</v>
      </c>
      <c r="B2729" t="s">
        <v>25</v>
      </c>
      <c r="C2729" t="s">
        <v>455</v>
      </c>
      <c r="D2729" s="8"/>
      <c r="E2729" s="8"/>
      <c r="L2729" t="s">
        <v>563</v>
      </c>
      <c r="M2729" t="s">
        <v>478</v>
      </c>
      <c r="N2729" t="str">
        <f>Tabela_tudo[[#This Row],[Médico]]&amp;" ("&amp;Tabela_tudo[[#This Row],[Obs]]&amp;")"</f>
        <v>HEN ()</v>
      </c>
    </row>
    <row r="2730" spans="1:14" x14ac:dyDescent="0.3">
      <c r="A2730" s="1">
        <v>45439</v>
      </c>
      <c r="B2730" t="s">
        <v>25</v>
      </c>
      <c r="C2730" t="s">
        <v>455</v>
      </c>
      <c r="D2730" s="8"/>
      <c r="E2730" s="8"/>
      <c r="L2730" t="s">
        <v>563</v>
      </c>
      <c r="M2730" t="s">
        <v>478</v>
      </c>
      <c r="N2730" t="str">
        <f>Tabela_tudo[[#This Row],[Médico]]&amp;" ("&amp;Tabela_tudo[[#This Row],[Obs]]&amp;")"</f>
        <v>HEN ()</v>
      </c>
    </row>
    <row r="2731" spans="1:14" x14ac:dyDescent="0.3">
      <c r="A2731" s="1">
        <v>45376</v>
      </c>
      <c r="B2731" t="s">
        <v>25</v>
      </c>
      <c r="C2731" t="s">
        <v>455</v>
      </c>
      <c r="D2731" s="8"/>
      <c r="E2731" s="8"/>
      <c r="L2731" t="s">
        <v>563</v>
      </c>
      <c r="M2731" t="s">
        <v>478</v>
      </c>
      <c r="N2731" t="str">
        <f>Tabela_tudo[[#This Row],[Médico]]&amp;" ("&amp;Tabela_tudo[[#This Row],[Obs]]&amp;")"</f>
        <v>HEN ()</v>
      </c>
    </row>
    <row r="2732" spans="1:14" x14ac:dyDescent="0.3">
      <c r="A2732" s="1">
        <v>45369</v>
      </c>
      <c r="B2732" t="s">
        <v>25</v>
      </c>
      <c r="C2732" t="s">
        <v>455</v>
      </c>
      <c r="D2732" s="8"/>
      <c r="E2732" s="8"/>
      <c r="L2732" t="s">
        <v>563</v>
      </c>
      <c r="M2732" t="s">
        <v>478</v>
      </c>
      <c r="N2732" t="str">
        <f>Tabela_tudo[[#This Row],[Médico]]&amp;" ("&amp;Tabela_tudo[[#This Row],[Obs]]&amp;")"</f>
        <v>HEN ()</v>
      </c>
    </row>
    <row r="2733" spans="1:14" x14ac:dyDescent="0.3">
      <c r="A2733" s="1">
        <v>45362</v>
      </c>
      <c r="B2733" t="s">
        <v>25</v>
      </c>
      <c r="C2733" t="s">
        <v>455</v>
      </c>
      <c r="D2733" s="8"/>
      <c r="E2733" s="8"/>
      <c r="L2733" t="s">
        <v>563</v>
      </c>
      <c r="M2733" t="s">
        <v>478</v>
      </c>
      <c r="N2733" t="str">
        <f>Tabela_tudo[[#This Row],[Médico]]&amp;" ("&amp;Tabela_tudo[[#This Row],[Obs]]&amp;")"</f>
        <v>HEN ()</v>
      </c>
    </row>
    <row r="2734" spans="1:14" x14ac:dyDescent="0.3">
      <c r="A2734" s="1">
        <v>45383</v>
      </c>
      <c r="B2734" t="s">
        <v>25</v>
      </c>
      <c r="C2734" t="s">
        <v>455</v>
      </c>
      <c r="D2734" s="8"/>
      <c r="E2734" s="8"/>
      <c r="L2734" t="s">
        <v>563</v>
      </c>
      <c r="M2734" t="s">
        <v>478</v>
      </c>
      <c r="N2734" t="str">
        <f>Tabela_tudo[[#This Row],[Médico]]&amp;" ("&amp;Tabela_tudo[[#This Row],[Obs]]&amp;")"</f>
        <v>HEN ()</v>
      </c>
    </row>
    <row r="2735" spans="1:14" x14ac:dyDescent="0.3">
      <c r="A2735" s="1">
        <v>45404</v>
      </c>
      <c r="B2735" t="s">
        <v>25</v>
      </c>
      <c r="C2735" t="s">
        <v>455</v>
      </c>
      <c r="D2735" s="8"/>
      <c r="E2735" s="8"/>
      <c r="L2735" t="s">
        <v>563</v>
      </c>
      <c r="M2735" t="s">
        <v>478</v>
      </c>
      <c r="N2735" t="str">
        <f>Tabela_tudo[[#This Row],[Médico]]&amp;" ("&amp;Tabela_tudo[[#This Row],[Obs]]&amp;")"</f>
        <v>HEN ()</v>
      </c>
    </row>
    <row r="2736" spans="1:14" x14ac:dyDescent="0.3">
      <c r="A2736" s="1">
        <v>45397</v>
      </c>
      <c r="B2736" t="s">
        <v>25</v>
      </c>
      <c r="C2736" t="s">
        <v>455</v>
      </c>
      <c r="D2736" s="8"/>
      <c r="E2736" s="8"/>
      <c r="L2736" t="s">
        <v>563</v>
      </c>
      <c r="M2736" t="s">
        <v>478</v>
      </c>
      <c r="N2736" t="str">
        <f>Tabela_tudo[[#This Row],[Médico]]&amp;" ("&amp;Tabela_tudo[[#This Row],[Obs]]&amp;")"</f>
        <v>HEN ()</v>
      </c>
    </row>
    <row r="2737" spans="1:14" x14ac:dyDescent="0.3">
      <c r="A2737" s="1">
        <v>45390</v>
      </c>
      <c r="B2737" t="s">
        <v>25</v>
      </c>
      <c r="C2737" t="s">
        <v>455</v>
      </c>
      <c r="D2737" s="8"/>
      <c r="E2737" s="8"/>
      <c r="L2737" t="s">
        <v>563</v>
      </c>
      <c r="M2737" t="s">
        <v>478</v>
      </c>
      <c r="N2737" t="str">
        <f>Tabela_tudo[[#This Row],[Médico]]&amp;" ("&amp;Tabela_tudo[[#This Row],[Obs]]&amp;")"</f>
        <v>HEN ()</v>
      </c>
    </row>
    <row r="2738" spans="1:14" x14ac:dyDescent="0.3">
      <c r="A2738" s="1">
        <v>45250</v>
      </c>
      <c r="B2738" t="s">
        <v>25</v>
      </c>
      <c r="C2738" t="s">
        <v>455</v>
      </c>
      <c r="D2738" s="8"/>
      <c r="E2738" s="8"/>
      <c r="L2738" t="s">
        <v>563</v>
      </c>
      <c r="M2738" t="s">
        <v>478</v>
      </c>
      <c r="N2738" t="str">
        <f>Tabela_tudo[[#This Row],[Médico]]&amp;" ("&amp;Tabela_tudo[[#This Row],[Obs]]&amp;")"</f>
        <v>HEN ()</v>
      </c>
    </row>
    <row r="2739" spans="1:14" x14ac:dyDescent="0.3">
      <c r="A2739" s="1">
        <v>45110</v>
      </c>
      <c r="B2739" t="s">
        <v>25</v>
      </c>
      <c r="C2739" t="s">
        <v>455</v>
      </c>
      <c r="D2739" s="8"/>
      <c r="E2739" s="8"/>
      <c r="L2739" t="s">
        <v>563</v>
      </c>
      <c r="M2739" t="s">
        <v>478</v>
      </c>
      <c r="N2739" t="str">
        <f>Tabela_tudo[[#This Row],[Médico]]&amp;" ("&amp;Tabela_tudo[[#This Row],[Obs]]&amp;")"</f>
        <v>HEN ()</v>
      </c>
    </row>
    <row r="2740" spans="1:14" x14ac:dyDescent="0.3">
      <c r="A2740" s="1">
        <v>45103</v>
      </c>
      <c r="B2740" t="s">
        <v>25</v>
      </c>
      <c r="C2740" t="s">
        <v>455</v>
      </c>
      <c r="D2740" s="8"/>
      <c r="E2740" s="8"/>
      <c r="L2740" t="s">
        <v>563</v>
      </c>
      <c r="M2740" t="s">
        <v>478</v>
      </c>
      <c r="N2740" t="str">
        <f>Tabela_tudo[[#This Row],[Médico]]&amp;" ("&amp;Tabela_tudo[[#This Row],[Obs]]&amp;")"</f>
        <v>HEN ()</v>
      </c>
    </row>
    <row r="2741" spans="1:14" x14ac:dyDescent="0.3">
      <c r="A2741" s="1">
        <v>45096</v>
      </c>
      <c r="B2741" t="s">
        <v>25</v>
      </c>
      <c r="C2741" t="s">
        <v>455</v>
      </c>
      <c r="D2741" s="8"/>
      <c r="E2741" s="8"/>
      <c r="L2741" t="s">
        <v>563</v>
      </c>
      <c r="M2741" t="s">
        <v>478</v>
      </c>
      <c r="N2741" t="str">
        <f>Tabela_tudo[[#This Row],[Médico]]&amp;" ("&amp;Tabela_tudo[[#This Row],[Obs]]&amp;")"</f>
        <v>HEN ()</v>
      </c>
    </row>
    <row r="2742" spans="1:14" x14ac:dyDescent="0.3">
      <c r="A2742" s="1">
        <v>45117</v>
      </c>
      <c r="B2742" t="s">
        <v>25</v>
      </c>
      <c r="C2742" t="s">
        <v>455</v>
      </c>
      <c r="D2742" s="8"/>
      <c r="E2742" s="8"/>
      <c r="L2742" t="s">
        <v>563</v>
      </c>
      <c r="M2742" t="s">
        <v>478</v>
      </c>
      <c r="N2742" t="str">
        <f>Tabela_tudo[[#This Row],[Médico]]&amp;" ("&amp;Tabela_tudo[[#This Row],[Obs]]&amp;")"</f>
        <v>HEN ()</v>
      </c>
    </row>
    <row r="2743" spans="1:14" x14ac:dyDescent="0.3">
      <c r="A2743" s="1">
        <v>45138</v>
      </c>
      <c r="B2743" t="s">
        <v>25</v>
      </c>
      <c r="C2743" t="s">
        <v>455</v>
      </c>
      <c r="D2743" s="8"/>
      <c r="E2743" s="8"/>
      <c r="L2743" t="s">
        <v>563</v>
      </c>
      <c r="M2743" t="s">
        <v>478</v>
      </c>
      <c r="N2743" t="str">
        <f>Tabela_tudo[[#This Row],[Médico]]&amp;" ("&amp;Tabela_tudo[[#This Row],[Obs]]&amp;")"</f>
        <v>HEN ()</v>
      </c>
    </row>
    <row r="2744" spans="1:14" x14ac:dyDescent="0.3">
      <c r="A2744" s="1">
        <v>45131</v>
      </c>
      <c r="B2744" t="s">
        <v>25</v>
      </c>
      <c r="C2744" t="s">
        <v>455</v>
      </c>
      <c r="D2744" s="8"/>
      <c r="E2744" s="8"/>
      <c r="L2744" t="s">
        <v>563</v>
      </c>
      <c r="M2744" t="s">
        <v>478</v>
      </c>
      <c r="N2744" t="str">
        <f>Tabela_tudo[[#This Row],[Médico]]&amp;" ("&amp;Tabela_tudo[[#This Row],[Obs]]&amp;")"</f>
        <v>HEN ()</v>
      </c>
    </row>
    <row r="2745" spans="1:14" x14ac:dyDescent="0.3">
      <c r="A2745" s="1">
        <v>45124</v>
      </c>
      <c r="B2745" t="s">
        <v>25</v>
      </c>
      <c r="C2745" t="s">
        <v>455</v>
      </c>
      <c r="D2745" s="8"/>
      <c r="E2745" s="8"/>
      <c r="L2745" t="s">
        <v>563</v>
      </c>
      <c r="M2745" t="s">
        <v>478</v>
      </c>
      <c r="N2745" t="str">
        <f>Tabela_tudo[[#This Row],[Médico]]&amp;" ("&amp;Tabela_tudo[[#This Row],[Obs]]&amp;")"</f>
        <v>HEN ()</v>
      </c>
    </row>
    <row r="2746" spans="1:14" x14ac:dyDescent="0.3">
      <c r="A2746" s="1">
        <v>45061</v>
      </c>
      <c r="B2746" t="s">
        <v>25</v>
      </c>
      <c r="C2746" t="s">
        <v>455</v>
      </c>
      <c r="D2746" s="8"/>
      <c r="E2746" s="8"/>
      <c r="L2746" t="s">
        <v>563</v>
      </c>
      <c r="M2746" t="s">
        <v>478</v>
      </c>
      <c r="N2746" t="str">
        <f>Tabela_tudo[[#This Row],[Médico]]&amp;" ("&amp;Tabela_tudo[[#This Row],[Obs]]&amp;")"</f>
        <v>HEN ()</v>
      </c>
    </row>
    <row r="2747" spans="1:14" x14ac:dyDescent="0.3">
      <c r="A2747" s="1">
        <v>45054</v>
      </c>
      <c r="B2747" t="s">
        <v>25</v>
      </c>
      <c r="C2747" t="s">
        <v>455</v>
      </c>
      <c r="D2747" s="8"/>
      <c r="E2747" s="8"/>
      <c r="L2747" t="s">
        <v>563</v>
      </c>
      <c r="M2747" t="s">
        <v>478</v>
      </c>
      <c r="N2747" t="str">
        <f>Tabela_tudo[[#This Row],[Médico]]&amp;" ("&amp;Tabela_tudo[[#This Row],[Obs]]&amp;")"</f>
        <v>HEN ()</v>
      </c>
    </row>
    <row r="2748" spans="1:14" x14ac:dyDescent="0.3">
      <c r="A2748" s="1">
        <v>45047</v>
      </c>
      <c r="B2748" t="s">
        <v>25</v>
      </c>
      <c r="C2748" t="s">
        <v>455</v>
      </c>
      <c r="D2748" s="8"/>
      <c r="E2748" s="8"/>
      <c r="L2748" t="s">
        <v>563</v>
      </c>
      <c r="M2748" t="s">
        <v>478</v>
      </c>
      <c r="N2748" t="str">
        <f>Tabela_tudo[[#This Row],[Médico]]&amp;" ("&amp;Tabela_tudo[[#This Row],[Obs]]&amp;")"</f>
        <v>HEN ()</v>
      </c>
    </row>
    <row r="2749" spans="1:14" x14ac:dyDescent="0.3">
      <c r="A2749" s="1">
        <v>45068</v>
      </c>
      <c r="B2749" t="s">
        <v>25</v>
      </c>
      <c r="C2749" t="s">
        <v>455</v>
      </c>
      <c r="D2749" s="8"/>
      <c r="E2749" s="8"/>
      <c r="L2749" t="s">
        <v>563</v>
      </c>
      <c r="M2749" t="s">
        <v>478</v>
      </c>
      <c r="N2749" t="str">
        <f>Tabela_tudo[[#This Row],[Médico]]&amp;" ("&amp;Tabela_tudo[[#This Row],[Obs]]&amp;")"</f>
        <v>HEN ()</v>
      </c>
    </row>
    <row r="2750" spans="1:14" x14ac:dyDescent="0.3">
      <c r="A2750" s="1">
        <v>45089</v>
      </c>
      <c r="B2750" t="s">
        <v>25</v>
      </c>
      <c r="C2750" t="s">
        <v>455</v>
      </c>
      <c r="D2750" s="8"/>
      <c r="E2750" s="8"/>
      <c r="L2750" t="s">
        <v>563</v>
      </c>
      <c r="M2750" t="s">
        <v>478</v>
      </c>
      <c r="N2750" t="str">
        <f>Tabela_tudo[[#This Row],[Médico]]&amp;" ("&amp;Tabela_tudo[[#This Row],[Obs]]&amp;")"</f>
        <v>HEN ()</v>
      </c>
    </row>
    <row r="2751" spans="1:14" x14ac:dyDescent="0.3">
      <c r="A2751" s="1">
        <v>45082</v>
      </c>
      <c r="B2751" t="s">
        <v>25</v>
      </c>
      <c r="C2751" t="s">
        <v>455</v>
      </c>
      <c r="D2751" s="8"/>
      <c r="E2751" s="8"/>
      <c r="L2751" t="s">
        <v>563</v>
      </c>
      <c r="M2751" t="s">
        <v>478</v>
      </c>
      <c r="N2751" t="str">
        <f>Tabela_tudo[[#This Row],[Médico]]&amp;" ("&amp;Tabela_tudo[[#This Row],[Obs]]&amp;")"</f>
        <v>HEN ()</v>
      </c>
    </row>
    <row r="2752" spans="1:14" x14ac:dyDescent="0.3">
      <c r="A2752" s="1">
        <v>45075</v>
      </c>
      <c r="B2752" t="s">
        <v>25</v>
      </c>
      <c r="C2752" t="s">
        <v>455</v>
      </c>
      <c r="D2752" s="8"/>
      <c r="E2752" s="8"/>
      <c r="L2752" t="s">
        <v>563</v>
      </c>
      <c r="M2752" t="s">
        <v>478</v>
      </c>
      <c r="N2752" t="str">
        <f>Tabela_tudo[[#This Row],[Médico]]&amp;" ("&amp;Tabela_tudo[[#This Row],[Obs]]&amp;")"</f>
        <v>HEN ()</v>
      </c>
    </row>
    <row r="2753" spans="1:14" x14ac:dyDescent="0.3">
      <c r="A2753" s="1">
        <v>45145</v>
      </c>
      <c r="B2753" t="s">
        <v>25</v>
      </c>
      <c r="C2753" t="s">
        <v>455</v>
      </c>
      <c r="D2753" s="8"/>
      <c r="E2753" s="8"/>
      <c r="L2753" t="s">
        <v>563</v>
      </c>
      <c r="M2753" t="s">
        <v>478</v>
      </c>
      <c r="N2753" t="str">
        <f>Tabela_tudo[[#This Row],[Médico]]&amp;" ("&amp;Tabela_tudo[[#This Row],[Obs]]&amp;")"</f>
        <v>HEN ()</v>
      </c>
    </row>
    <row r="2754" spans="1:14" x14ac:dyDescent="0.3">
      <c r="A2754" s="1">
        <v>45215</v>
      </c>
      <c r="B2754" t="s">
        <v>25</v>
      </c>
      <c r="C2754" t="s">
        <v>455</v>
      </c>
      <c r="D2754" s="8"/>
      <c r="E2754" s="8"/>
      <c r="L2754" t="s">
        <v>563</v>
      </c>
      <c r="M2754" t="s">
        <v>478</v>
      </c>
      <c r="N2754" t="str">
        <f>Tabela_tudo[[#This Row],[Médico]]&amp;" ("&amp;Tabela_tudo[[#This Row],[Obs]]&amp;")"</f>
        <v>HEN ()</v>
      </c>
    </row>
    <row r="2755" spans="1:14" x14ac:dyDescent="0.3">
      <c r="A2755" s="1">
        <v>45208</v>
      </c>
      <c r="B2755" t="s">
        <v>25</v>
      </c>
      <c r="C2755" t="s">
        <v>455</v>
      </c>
      <c r="D2755" s="8"/>
      <c r="E2755" s="8"/>
      <c r="L2755" t="s">
        <v>563</v>
      </c>
      <c r="M2755" t="s">
        <v>478</v>
      </c>
      <c r="N2755" t="str">
        <f>Tabela_tudo[[#This Row],[Médico]]&amp;" ("&amp;Tabela_tudo[[#This Row],[Obs]]&amp;")"</f>
        <v>HEN ()</v>
      </c>
    </row>
    <row r="2756" spans="1:14" x14ac:dyDescent="0.3">
      <c r="A2756" s="1">
        <v>45201</v>
      </c>
      <c r="B2756" t="s">
        <v>25</v>
      </c>
      <c r="C2756" t="s">
        <v>455</v>
      </c>
      <c r="D2756" s="8"/>
      <c r="E2756" s="8"/>
      <c r="L2756" t="s">
        <v>563</v>
      </c>
      <c r="M2756" t="s">
        <v>478</v>
      </c>
      <c r="N2756" t="str">
        <f>Tabela_tudo[[#This Row],[Médico]]&amp;" ("&amp;Tabela_tudo[[#This Row],[Obs]]&amp;")"</f>
        <v>HEN ()</v>
      </c>
    </row>
    <row r="2757" spans="1:14" x14ac:dyDescent="0.3">
      <c r="A2757" s="1">
        <v>45222</v>
      </c>
      <c r="B2757" t="s">
        <v>25</v>
      </c>
      <c r="C2757" t="s">
        <v>455</v>
      </c>
      <c r="D2757" s="8"/>
      <c r="E2757" s="8"/>
      <c r="L2757" t="s">
        <v>563</v>
      </c>
      <c r="M2757" t="s">
        <v>478</v>
      </c>
      <c r="N2757" t="str">
        <f>Tabela_tudo[[#This Row],[Médico]]&amp;" ("&amp;Tabela_tudo[[#This Row],[Obs]]&amp;")"</f>
        <v>HEN ()</v>
      </c>
    </row>
    <row r="2758" spans="1:14" x14ac:dyDescent="0.3">
      <c r="A2758" s="1">
        <v>45243</v>
      </c>
      <c r="B2758" t="s">
        <v>25</v>
      </c>
      <c r="C2758" t="s">
        <v>455</v>
      </c>
      <c r="D2758" s="8"/>
      <c r="E2758" s="8"/>
      <c r="L2758" t="s">
        <v>563</v>
      </c>
      <c r="M2758" t="s">
        <v>478</v>
      </c>
      <c r="N2758" t="str">
        <f>Tabela_tudo[[#This Row],[Médico]]&amp;" ("&amp;Tabela_tudo[[#This Row],[Obs]]&amp;")"</f>
        <v>HEN ()</v>
      </c>
    </row>
    <row r="2759" spans="1:14" x14ac:dyDescent="0.3">
      <c r="A2759" s="1">
        <v>45236</v>
      </c>
      <c r="B2759" t="s">
        <v>25</v>
      </c>
      <c r="C2759" t="s">
        <v>455</v>
      </c>
      <c r="D2759" s="8"/>
      <c r="E2759" s="8"/>
      <c r="L2759" t="s">
        <v>563</v>
      </c>
      <c r="M2759" t="s">
        <v>478</v>
      </c>
      <c r="N2759" t="str">
        <f>Tabela_tudo[[#This Row],[Médico]]&amp;" ("&amp;Tabela_tudo[[#This Row],[Obs]]&amp;")"</f>
        <v>HEN ()</v>
      </c>
    </row>
    <row r="2760" spans="1:14" x14ac:dyDescent="0.3">
      <c r="A2760" s="1">
        <v>45229</v>
      </c>
      <c r="B2760" t="s">
        <v>25</v>
      </c>
      <c r="C2760" t="s">
        <v>455</v>
      </c>
      <c r="D2760" s="8"/>
      <c r="E2760" s="8"/>
      <c r="L2760" t="s">
        <v>563</v>
      </c>
      <c r="M2760" t="s">
        <v>478</v>
      </c>
      <c r="N2760" t="str">
        <f>Tabela_tudo[[#This Row],[Médico]]&amp;" ("&amp;Tabela_tudo[[#This Row],[Obs]]&amp;")"</f>
        <v>HEN ()</v>
      </c>
    </row>
    <row r="2761" spans="1:14" x14ac:dyDescent="0.3">
      <c r="A2761" s="1">
        <v>45166</v>
      </c>
      <c r="B2761" t="s">
        <v>25</v>
      </c>
      <c r="C2761" t="s">
        <v>455</v>
      </c>
      <c r="D2761" s="8"/>
      <c r="E2761" s="8"/>
      <c r="L2761" t="s">
        <v>563</v>
      </c>
      <c r="M2761" t="s">
        <v>478</v>
      </c>
      <c r="N2761" t="str">
        <f>Tabela_tudo[[#This Row],[Médico]]&amp;" ("&amp;Tabela_tudo[[#This Row],[Obs]]&amp;")"</f>
        <v>HEN ()</v>
      </c>
    </row>
    <row r="2762" spans="1:14" x14ac:dyDescent="0.3">
      <c r="A2762" s="1">
        <v>45159</v>
      </c>
      <c r="B2762" t="s">
        <v>25</v>
      </c>
      <c r="C2762" t="s">
        <v>455</v>
      </c>
      <c r="D2762" s="8"/>
      <c r="E2762" s="8"/>
      <c r="L2762" t="s">
        <v>563</v>
      </c>
      <c r="M2762" t="s">
        <v>478</v>
      </c>
      <c r="N2762" t="str">
        <f>Tabela_tudo[[#This Row],[Médico]]&amp;" ("&amp;Tabela_tudo[[#This Row],[Obs]]&amp;")"</f>
        <v>HEN ()</v>
      </c>
    </row>
    <row r="2763" spans="1:14" x14ac:dyDescent="0.3">
      <c r="A2763" s="1">
        <v>45152</v>
      </c>
      <c r="B2763" t="s">
        <v>25</v>
      </c>
      <c r="C2763" t="s">
        <v>455</v>
      </c>
      <c r="D2763" s="8"/>
      <c r="E2763" s="8"/>
      <c r="L2763" t="s">
        <v>563</v>
      </c>
      <c r="M2763" t="s">
        <v>478</v>
      </c>
      <c r="N2763" t="str">
        <f>Tabela_tudo[[#This Row],[Médico]]&amp;" ("&amp;Tabela_tudo[[#This Row],[Obs]]&amp;")"</f>
        <v>HEN ()</v>
      </c>
    </row>
    <row r="2764" spans="1:14" x14ac:dyDescent="0.3">
      <c r="A2764" s="1">
        <v>45173</v>
      </c>
      <c r="B2764" t="s">
        <v>25</v>
      </c>
      <c r="C2764" t="s">
        <v>455</v>
      </c>
      <c r="D2764" s="8"/>
      <c r="E2764" s="8"/>
      <c r="L2764" t="s">
        <v>563</v>
      </c>
      <c r="M2764" t="s">
        <v>478</v>
      </c>
      <c r="N2764" t="str">
        <f>Tabela_tudo[[#This Row],[Médico]]&amp;" ("&amp;Tabela_tudo[[#This Row],[Obs]]&amp;")"</f>
        <v>HEN ()</v>
      </c>
    </row>
    <row r="2765" spans="1:14" x14ac:dyDescent="0.3">
      <c r="A2765" s="1">
        <v>45194</v>
      </c>
      <c r="B2765" t="s">
        <v>25</v>
      </c>
      <c r="C2765" t="s">
        <v>455</v>
      </c>
      <c r="D2765" s="8"/>
      <c r="E2765" s="8"/>
      <c r="L2765" t="s">
        <v>563</v>
      </c>
      <c r="M2765" t="s">
        <v>478</v>
      </c>
      <c r="N2765" t="str">
        <f>Tabela_tudo[[#This Row],[Médico]]&amp;" ("&amp;Tabela_tudo[[#This Row],[Obs]]&amp;")"</f>
        <v>HEN ()</v>
      </c>
    </row>
    <row r="2766" spans="1:14" x14ac:dyDescent="0.3">
      <c r="A2766" s="1">
        <v>45187</v>
      </c>
      <c r="B2766" t="s">
        <v>25</v>
      </c>
      <c r="C2766" t="s">
        <v>455</v>
      </c>
      <c r="D2766" s="8"/>
      <c r="E2766" s="8"/>
      <c r="L2766" t="s">
        <v>563</v>
      </c>
      <c r="M2766" t="s">
        <v>478</v>
      </c>
      <c r="N2766" t="str">
        <f>Tabela_tudo[[#This Row],[Médico]]&amp;" ("&amp;Tabela_tudo[[#This Row],[Obs]]&amp;")"</f>
        <v>HEN ()</v>
      </c>
    </row>
    <row r="2767" spans="1:14" x14ac:dyDescent="0.3">
      <c r="A2767" s="1">
        <v>45180</v>
      </c>
      <c r="B2767" t="s">
        <v>25</v>
      </c>
      <c r="C2767" t="s">
        <v>455</v>
      </c>
      <c r="D2767" s="8"/>
      <c r="E2767" s="8"/>
      <c r="L2767" t="s">
        <v>563</v>
      </c>
      <c r="M2767" t="s">
        <v>478</v>
      </c>
      <c r="N2767" t="str">
        <f>Tabela_tudo[[#This Row],[Médico]]&amp;" ("&amp;Tabela_tudo[[#This Row],[Obs]]&amp;")"</f>
        <v>HEN ()</v>
      </c>
    </row>
    <row r="2768" spans="1:14" x14ac:dyDescent="0.3">
      <c r="A2768" s="1">
        <v>45460</v>
      </c>
      <c r="B2768" t="s">
        <v>25</v>
      </c>
      <c r="C2768" t="s">
        <v>455</v>
      </c>
      <c r="D2768" s="8"/>
      <c r="E2768" s="8"/>
      <c r="L2768" t="s">
        <v>563</v>
      </c>
      <c r="M2768" t="s">
        <v>478</v>
      </c>
      <c r="N2768" t="str">
        <f>Tabela_tudo[[#This Row],[Médico]]&amp;" ("&amp;Tabela_tudo[[#This Row],[Obs]]&amp;")"</f>
        <v>HEN ()</v>
      </c>
    </row>
    <row r="2769" spans="1:14" x14ac:dyDescent="0.3">
      <c r="A2769" s="1">
        <v>45012</v>
      </c>
      <c r="B2769" t="s">
        <v>333</v>
      </c>
      <c r="C2769" t="s">
        <v>455</v>
      </c>
      <c r="D2769" s="8"/>
      <c r="E2769" s="8"/>
      <c r="L2769" t="s">
        <v>563</v>
      </c>
      <c r="M2769" t="s">
        <v>478</v>
      </c>
      <c r="N2769" t="str">
        <f>Tabela_tudo[[#This Row],[Médico]]&amp;" ("&amp;Tabela_tudo[[#This Row],[Obs]]&amp;")"</f>
        <v>COR ()</v>
      </c>
    </row>
    <row r="2770" spans="1:14" x14ac:dyDescent="0.3">
      <c r="A2770" s="1">
        <v>45005</v>
      </c>
      <c r="B2770" t="s">
        <v>333</v>
      </c>
      <c r="C2770" t="s">
        <v>455</v>
      </c>
      <c r="D2770" s="8"/>
      <c r="E2770" s="8"/>
      <c r="L2770" t="s">
        <v>563</v>
      </c>
      <c r="M2770" t="s">
        <v>478</v>
      </c>
      <c r="N2770" t="str">
        <f>Tabela_tudo[[#This Row],[Médico]]&amp;" ("&amp;Tabela_tudo[[#This Row],[Obs]]&amp;")"</f>
        <v>COR ()</v>
      </c>
    </row>
    <row r="2771" spans="1:14" x14ac:dyDescent="0.3">
      <c r="A2771" s="1">
        <v>44998</v>
      </c>
      <c r="B2771" t="s">
        <v>333</v>
      </c>
      <c r="C2771" t="s">
        <v>455</v>
      </c>
      <c r="D2771" s="8"/>
      <c r="E2771" s="8"/>
      <c r="L2771" t="s">
        <v>563</v>
      </c>
      <c r="M2771" t="s">
        <v>478</v>
      </c>
      <c r="N2771" t="str">
        <f>Tabela_tudo[[#This Row],[Médico]]&amp;" ("&amp;Tabela_tudo[[#This Row],[Obs]]&amp;")"</f>
        <v>COR ()</v>
      </c>
    </row>
    <row r="2772" spans="1:14" x14ac:dyDescent="0.3">
      <c r="A2772" s="1">
        <v>45019</v>
      </c>
      <c r="B2772" t="s">
        <v>333</v>
      </c>
      <c r="C2772" t="s">
        <v>455</v>
      </c>
      <c r="D2772" s="8"/>
      <c r="E2772" s="8"/>
      <c r="L2772" t="s">
        <v>563</v>
      </c>
      <c r="M2772" t="s">
        <v>478</v>
      </c>
      <c r="N2772" t="str">
        <f>Tabela_tudo[[#This Row],[Médico]]&amp;" ("&amp;Tabela_tudo[[#This Row],[Obs]]&amp;")"</f>
        <v>COR ()</v>
      </c>
    </row>
    <row r="2773" spans="1:14" x14ac:dyDescent="0.3">
      <c r="A2773" s="1">
        <v>45040</v>
      </c>
      <c r="B2773" t="s">
        <v>333</v>
      </c>
      <c r="C2773" t="s">
        <v>455</v>
      </c>
      <c r="D2773" s="8"/>
      <c r="E2773" s="8"/>
      <c r="L2773" t="s">
        <v>563</v>
      </c>
      <c r="M2773" t="s">
        <v>478</v>
      </c>
      <c r="N2773" t="str">
        <f>Tabela_tudo[[#This Row],[Médico]]&amp;" ("&amp;Tabela_tudo[[#This Row],[Obs]]&amp;")"</f>
        <v>COR ()</v>
      </c>
    </row>
    <row r="2774" spans="1:14" x14ac:dyDescent="0.3">
      <c r="A2774" s="1">
        <v>45033</v>
      </c>
      <c r="B2774" t="s">
        <v>333</v>
      </c>
      <c r="C2774" t="s">
        <v>455</v>
      </c>
      <c r="D2774" s="8"/>
      <c r="E2774" s="8"/>
      <c r="L2774" t="s">
        <v>563</v>
      </c>
      <c r="M2774" t="s">
        <v>478</v>
      </c>
      <c r="N2774" t="str">
        <f>Tabela_tudo[[#This Row],[Médico]]&amp;" ("&amp;Tabela_tudo[[#This Row],[Obs]]&amp;")"</f>
        <v>COR ()</v>
      </c>
    </row>
    <row r="2775" spans="1:14" x14ac:dyDescent="0.3">
      <c r="A2775" s="1">
        <v>45026</v>
      </c>
      <c r="B2775" t="s">
        <v>333</v>
      </c>
      <c r="C2775" t="s">
        <v>455</v>
      </c>
      <c r="D2775" s="8"/>
      <c r="E2775" s="8"/>
      <c r="L2775" t="s">
        <v>563</v>
      </c>
      <c r="M2775" t="s">
        <v>478</v>
      </c>
      <c r="N2775" t="str">
        <f>Tabela_tudo[[#This Row],[Médico]]&amp;" ("&amp;Tabela_tudo[[#This Row],[Obs]]&amp;")"</f>
        <v>COR ()</v>
      </c>
    </row>
    <row r="2776" spans="1:14" x14ac:dyDescent="0.3">
      <c r="A2776" s="1">
        <v>44963</v>
      </c>
      <c r="B2776" t="s">
        <v>333</v>
      </c>
      <c r="C2776" t="s">
        <v>455</v>
      </c>
      <c r="D2776" s="8"/>
      <c r="E2776" s="8"/>
      <c r="L2776" t="s">
        <v>563</v>
      </c>
      <c r="M2776" t="s">
        <v>478</v>
      </c>
      <c r="N2776" t="str">
        <f>Tabela_tudo[[#This Row],[Médico]]&amp;" ("&amp;Tabela_tudo[[#This Row],[Obs]]&amp;")"</f>
        <v>COR ()</v>
      </c>
    </row>
    <row r="2777" spans="1:14" x14ac:dyDescent="0.3">
      <c r="A2777" s="1">
        <v>44956</v>
      </c>
      <c r="B2777" t="s">
        <v>333</v>
      </c>
      <c r="C2777" t="s">
        <v>455</v>
      </c>
      <c r="D2777" s="8"/>
      <c r="E2777" s="8"/>
      <c r="L2777" t="s">
        <v>563</v>
      </c>
      <c r="M2777" t="s">
        <v>478</v>
      </c>
      <c r="N2777" t="str">
        <f>Tabela_tudo[[#This Row],[Médico]]&amp;" ("&amp;Tabela_tudo[[#This Row],[Obs]]&amp;")"</f>
        <v>COR ()</v>
      </c>
    </row>
    <row r="2778" spans="1:14" x14ac:dyDescent="0.3">
      <c r="A2778" s="1">
        <v>44949</v>
      </c>
      <c r="B2778" t="s">
        <v>333</v>
      </c>
      <c r="C2778" t="s">
        <v>455</v>
      </c>
      <c r="D2778" s="8"/>
      <c r="E2778" s="8"/>
      <c r="L2778" t="s">
        <v>563</v>
      </c>
      <c r="M2778" t="s">
        <v>478</v>
      </c>
      <c r="N2778" t="str">
        <f>Tabela_tudo[[#This Row],[Médico]]&amp;" ("&amp;Tabela_tudo[[#This Row],[Obs]]&amp;")"</f>
        <v>COR ()</v>
      </c>
    </row>
    <row r="2779" spans="1:14" x14ac:dyDescent="0.3">
      <c r="A2779" s="1">
        <v>44970</v>
      </c>
      <c r="B2779" t="s">
        <v>333</v>
      </c>
      <c r="C2779" t="s">
        <v>455</v>
      </c>
      <c r="D2779" s="8"/>
      <c r="E2779" s="8"/>
      <c r="L2779" t="s">
        <v>563</v>
      </c>
      <c r="M2779" t="s">
        <v>478</v>
      </c>
      <c r="N2779" t="str">
        <f>Tabela_tudo[[#This Row],[Médico]]&amp;" ("&amp;Tabela_tudo[[#This Row],[Obs]]&amp;")"</f>
        <v>COR ()</v>
      </c>
    </row>
    <row r="2780" spans="1:14" x14ac:dyDescent="0.3">
      <c r="A2780" s="1">
        <v>44991</v>
      </c>
      <c r="B2780" t="s">
        <v>333</v>
      </c>
      <c r="C2780" t="s">
        <v>455</v>
      </c>
      <c r="D2780" s="8"/>
      <c r="E2780" s="8"/>
      <c r="L2780" t="s">
        <v>563</v>
      </c>
      <c r="M2780" t="s">
        <v>478</v>
      </c>
      <c r="N2780" t="str">
        <f>Tabela_tudo[[#This Row],[Médico]]&amp;" ("&amp;Tabela_tudo[[#This Row],[Obs]]&amp;")"</f>
        <v>COR ()</v>
      </c>
    </row>
    <row r="2781" spans="1:14" x14ac:dyDescent="0.3">
      <c r="A2781" s="1">
        <v>44984</v>
      </c>
      <c r="B2781" t="s">
        <v>333</v>
      </c>
      <c r="C2781" t="s">
        <v>455</v>
      </c>
      <c r="D2781" s="8"/>
      <c r="E2781" s="8"/>
      <c r="L2781" t="s">
        <v>563</v>
      </c>
      <c r="M2781" t="s">
        <v>478</v>
      </c>
      <c r="N2781" t="str">
        <f>Tabela_tudo[[#This Row],[Médico]]&amp;" ("&amp;Tabela_tudo[[#This Row],[Obs]]&amp;")"</f>
        <v>COR ()</v>
      </c>
    </row>
    <row r="2782" spans="1:14" x14ac:dyDescent="0.3">
      <c r="A2782" s="1">
        <v>44977</v>
      </c>
      <c r="B2782" t="s">
        <v>333</v>
      </c>
      <c r="C2782" t="s">
        <v>455</v>
      </c>
      <c r="D2782" s="8"/>
      <c r="E2782" s="8"/>
      <c r="L2782" t="s">
        <v>563</v>
      </c>
      <c r="M2782" t="s">
        <v>478</v>
      </c>
      <c r="N2782" t="str">
        <f>Tabela_tudo[[#This Row],[Médico]]&amp;" ("&amp;Tabela_tudo[[#This Row],[Obs]]&amp;")"</f>
        <v>COR ()</v>
      </c>
    </row>
    <row r="2783" spans="1:14" x14ac:dyDescent="0.3">
      <c r="A2783" s="1">
        <v>45047</v>
      </c>
      <c r="B2783" t="s">
        <v>333</v>
      </c>
      <c r="C2783" t="s">
        <v>455</v>
      </c>
      <c r="D2783" s="8"/>
      <c r="E2783" s="8"/>
      <c r="L2783" t="s">
        <v>563</v>
      </c>
      <c r="M2783" t="s">
        <v>478</v>
      </c>
      <c r="N2783" t="str">
        <f>Tabela_tudo[[#This Row],[Médico]]&amp;" ("&amp;Tabela_tudo[[#This Row],[Obs]]&amp;")"</f>
        <v>COR ()</v>
      </c>
    </row>
    <row r="2784" spans="1:14" x14ac:dyDescent="0.3">
      <c r="A2784" s="1">
        <v>45117</v>
      </c>
      <c r="B2784" t="s">
        <v>333</v>
      </c>
      <c r="C2784" t="s">
        <v>455</v>
      </c>
      <c r="D2784" s="8"/>
      <c r="E2784" s="8"/>
      <c r="L2784" t="s">
        <v>563</v>
      </c>
      <c r="M2784" t="s">
        <v>478</v>
      </c>
      <c r="N2784" t="str">
        <f>Tabela_tudo[[#This Row],[Médico]]&amp;" ("&amp;Tabela_tudo[[#This Row],[Obs]]&amp;")"</f>
        <v>COR ()</v>
      </c>
    </row>
    <row r="2785" spans="1:14" x14ac:dyDescent="0.3">
      <c r="A2785" s="1">
        <v>45110</v>
      </c>
      <c r="B2785" t="s">
        <v>333</v>
      </c>
      <c r="C2785" t="s">
        <v>455</v>
      </c>
      <c r="D2785" s="8"/>
      <c r="E2785" s="8"/>
      <c r="L2785" t="s">
        <v>563</v>
      </c>
      <c r="M2785" t="s">
        <v>478</v>
      </c>
      <c r="N2785" t="str">
        <f>Tabela_tudo[[#This Row],[Médico]]&amp;" ("&amp;Tabela_tudo[[#This Row],[Obs]]&amp;")"</f>
        <v>COR ()</v>
      </c>
    </row>
    <row r="2786" spans="1:14" x14ac:dyDescent="0.3">
      <c r="A2786" s="1">
        <v>45103</v>
      </c>
      <c r="B2786" t="s">
        <v>333</v>
      </c>
      <c r="C2786" t="s">
        <v>455</v>
      </c>
      <c r="D2786" s="8"/>
      <c r="E2786" s="8"/>
      <c r="L2786" t="s">
        <v>563</v>
      </c>
      <c r="M2786" t="s">
        <v>478</v>
      </c>
      <c r="N2786" t="str">
        <f>Tabela_tudo[[#This Row],[Médico]]&amp;" ("&amp;Tabela_tudo[[#This Row],[Obs]]&amp;")"</f>
        <v>COR ()</v>
      </c>
    </row>
    <row r="2787" spans="1:14" x14ac:dyDescent="0.3">
      <c r="A2787" s="1">
        <v>45124</v>
      </c>
      <c r="B2787" t="s">
        <v>333</v>
      </c>
      <c r="C2787" t="s">
        <v>455</v>
      </c>
      <c r="D2787" s="8"/>
      <c r="E2787" s="8"/>
      <c r="L2787" t="s">
        <v>563</v>
      </c>
      <c r="M2787" t="s">
        <v>478</v>
      </c>
      <c r="N2787" t="str">
        <f>Tabela_tudo[[#This Row],[Médico]]&amp;" ("&amp;Tabela_tudo[[#This Row],[Obs]]&amp;")"</f>
        <v>COR ()</v>
      </c>
    </row>
    <row r="2788" spans="1:14" x14ac:dyDescent="0.3">
      <c r="A2788" s="1">
        <v>45145</v>
      </c>
      <c r="B2788" t="s">
        <v>333</v>
      </c>
      <c r="C2788" t="s">
        <v>455</v>
      </c>
      <c r="D2788" s="8"/>
      <c r="E2788" s="8"/>
      <c r="L2788" t="s">
        <v>563</v>
      </c>
      <c r="M2788" t="s">
        <v>478</v>
      </c>
      <c r="N2788" t="str">
        <f>Tabela_tudo[[#This Row],[Médico]]&amp;" ("&amp;Tabela_tudo[[#This Row],[Obs]]&amp;")"</f>
        <v>COR ()</v>
      </c>
    </row>
    <row r="2789" spans="1:14" x14ac:dyDescent="0.3">
      <c r="A2789" s="1">
        <v>45138</v>
      </c>
      <c r="B2789" t="s">
        <v>333</v>
      </c>
      <c r="C2789" t="s">
        <v>455</v>
      </c>
      <c r="D2789" s="8"/>
      <c r="E2789" s="8"/>
      <c r="L2789" t="s">
        <v>563</v>
      </c>
      <c r="M2789" t="s">
        <v>478</v>
      </c>
      <c r="N2789" t="str">
        <f>Tabela_tudo[[#This Row],[Médico]]&amp;" ("&amp;Tabela_tudo[[#This Row],[Obs]]&amp;")"</f>
        <v>COR ()</v>
      </c>
    </row>
    <row r="2790" spans="1:14" x14ac:dyDescent="0.3">
      <c r="A2790" s="1">
        <v>45131</v>
      </c>
      <c r="B2790" t="s">
        <v>333</v>
      </c>
      <c r="C2790" t="s">
        <v>455</v>
      </c>
      <c r="D2790" s="8"/>
      <c r="E2790" s="8"/>
      <c r="L2790" t="s">
        <v>563</v>
      </c>
      <c r="M2790" t="s">
        <v>478</v>
      </c>
      <c r="N2790" t="str">
        <f>Tabela_tudo[[#This Row],[Médico]]&amp;" ("&amp;Tabela_tudo[[#This Row],[Obs]]&amp;")"</f>
        <v>COR ()</v>
      </c>
    </row>
    <row r="2791" spans="1:14" x14ac:dyDescent="0.3">
      <c r="A2791" s="1">
        <v>45068</v>
      </c>
      <c r="B2791" t="s">
        <v>333</v>
      </c>
      <c r="C2791" t="s">
        <v>455</v>
      </c>
      <c r="D2791" s="8"/>
      <c r="E2791" s="8"/>
      <c r="L2791" t="s">
        <v>563</v>
      </c>
      <c r="M2791" t="s">
        <v>478</v>
      </c>
      <c r="N2791" t="str">
        <f>Tabela_tudo[[#This Row],[Médico]]&amp;" ("&amp;Tabela_tudo[[#This Row],[Obs]]&amp;")"</f>
        <v>COR ()</v>
      </c>
    </row>
    <row r="2792" spans="1:14" x14ac:dyDescent="0.3">
      <c r="A2792" s="1">
        <v>45061</v>
      </c>
      <c r="B2792" t="s">
        <v>333</v>
      </c>
      <c r="C2792" t="s">
        <v>455</v>
      </c>
      <c r="D2792" s="8"/>
      <c r="E2792" s="8"/>
      <c r="L2792" t="s">
        <v>563</v>
      </c>
      <c r="M2792" t="s">
        <v>478</v>
      </c>
      <c r="N2792" t="str">
        <f>Tabela_tudo[[#This Row],[Médico]]&amp;" ("&amp;Tabela_tudo[[#This Row],[Obs]]&amp;")"</f>
        <v>COR ()</v>
      </c>
    </row>
    <row r="2793" spans="1:14" x14ac:dyDescent="0.3">
      <c r="A2793" s="1">
        <v>45054</v>
      </c>
      <c r="B2793" t="s">
        <v>333</v>
      </c>
      <c r="C2793" t="s">
        <v>455</v>
      </c>
      <c r="D2793" s="8"/>
      <c r="E2793" s="8"/>
      <c r="L2793" t="s">
        <v>563</v>
      </c>
      <c r="M2793" t="s">
        <v>478</v>
      </c>
      <c r="N2793" t="str">
        <f>Tabela_tudo[[#This Row],[Médico]]&amp;" ("&amp;Tabela_tudo[[#This Row],[Obs]]&amp;")"</f>
        <v>COR ()</v>
      </c>
    </row>
    <row r="2794" spans="1:14" x14ac:dyDescent="0.3">
      <c r="A2794" s="1">
        <v>45075</v>
      </c>
      <c r="B2794" t="s">
        <v>333</v>
      </c>
      <c r="C2794" t="s">
        <v>455</v>
      </c>
      <c r="D2794" s="8"/>
      <c r="E2794" s="8"/>
      <c r="L2794" t="s">
        <v>563</v>
      </c>
      <c r="M2794" t="s">
        <v>478</v>
      </c>
      <c r="N2794" t="str">
        <f>Tabela_tudo[[#This Row],[Médico]]&amp;" ("&amp;Tabela_tudo[[#This Row],[Obs]]&amp;")"</f>
        <v>COR ()</v>
      </c>
    </row>
    <row r="2795" spans="1:14" x14ac:dyDescent="0.3">
      <c r="A2795" s="1">
        <v>45096</v>
      </c>
      <c r="B2795" t="s">
        <v>333</v>
      </c>
      <c r="C2795" t="s">
        <v>455</v>
      </c>
      <c r="D2795" s="8"/>
      <c r="E2795" s="8"/>
      <c r="L2795" t="s">
        <v>563</v>
      </c>
      <c r="M2795" t="s">
        <v>478</v>
      </c>
      <c r="N2795" t="str">
        <f>Tabela_tudo[[#This Row],[Médico]]&amp;" ("&amp;Tabela_tudo[[#This Row],[Obs]]&amp;")"</f>
        <v>COR ()</v>
      </c>
    </row>
    <row r="2796" spans="1:14" x14ac:dyDescent="0.3">
      <c r="A2796" s="1">
        <v>45089</v>
      </c>
      <c r="B2796" t="s">
        <v>333</v>
      </c>
      <c r="C2796" t="s">
        <v>455</v>
      </c>
      <c r="D2796" s="8"/>
      <c r="E2796" s="8"/>
      <c r="L2796" t="s">
        <v>563</v>
      </c>
      <c r="M2796" t="s">
        <v>478</v>
      </c>
      <c r="N2796" t="str">
        <f>Tabela_tudo[[#This Row],[Médico]]&amp;" ("&amp;Tabela_tudo[[#This Row],[Obs]]&amp;")"</f>
        <v>COR ()</v>
      </c>
    </row>
    <row r="2797" spans="1:14" x14ac:dyDescent="0.3">
      <c r="A2797" s="1">
        <v>45082</v>
      </c>
      <c r="B2797" t="s">
        <v>333</v>
      </c>
      <c r="C2797" t="s">
        <v>455</v>
      </c>
      <c r="D2797" s="8"/>
      <c r="E2797" s="8"/>
      <c r="L2797" t="s">
        <v>563</v>
      </c>
      <c r="M2797" t="s">
        <v>478</v>
      </c>
      <c r="N2797" t="str">
        <f>Tabela_tudo[[#This Row],[Médico]]&amp;" ("&amp;Tabela_tudo[[#This Row],[Obs]]&amp;")"</f>
        <v>COR ()</v>
      </c>
    </row>
    <row r="2798" spans="1:14" x14ac:dyDescent="0.3">
      <c r="A2798" s="1">
        <v>44942</v>
      </c>
      <c r="B2798" t="s">
        <v>333</v>
      </c>
      <c r="C2798" t="s">
        <v>455</v>
      </c>
      <c r="D2798" s="8"/>
      <c r="E2798" s="8"/>
      <c r="L2798" t="s">
        <v>563</v>
      </c>
      <c r="M2798" t="s">
        <v>478</v>
      </c>
      <c r="N2798" t="str">
        <f>Tabela_tudo[[#This Row],[Médico]]&amp;" ("&amp;Tabela_tudo[[#This Row],[Obs]]&amp;")"</f>
        <v>COR ()</v>
      </c>
    </row>
    <row r="2799" spans="1:14" x14ac:dyDescent="0.3">
      <c r="A2799" s="1">
        <v>45530</v>
      </c>
      <c r="B2799" t="s">
        <v>25</v>
      </c>
      <c r="C2799" t="s">
        <v>455</v>
      </c>
      <c r="D2799" s="8"/>
      <c r="E2799" s="8"/>
      <c r="L2799" t="s">
        <v>563</v>
      </c>
      <c r="M2799" t="s">
        <v>478</v>
      </c>
      <c r="N2799" t="str">
        <f>Tabela_tudo[[#This Row],[Médico]]&amp;" ("&amp;Tabela_tudo[[#This Row],[Obs]]&amp;")"</f>
        <v>HEN ()</v>
      </c>
    </row>
    <row r="2800" spans="1:14" x14ac:dyDescent="0.3">
      <c r="A2800" s="1">
        <v>45523</v>
      </c>
      <c r="B2800" t="s">
        <v>25</v>
      </c>
      <c r="C2800" t="s">
        <v>455</v>
      </c>
      <c r="D2800" s="8"/>
      <c r="E2800" s="8"/>
      <c r="L2800" t="s">
        <v>563</v>
      </c>
      <c r="M2800" t="s">
        <v>478</v>
      </c>
      <c r="N2800" t="str">
        <f>Tabela_tudo[[#This Row],[Médico]]&amp;" ("&amp;Tabela_tudo[[#This Row],[Obs]]&amp;")"</f>
        <v>HEN ()</v>
      </c>
    </row>
    <row r="2801" spans="1:14" x14ac:dyDescent="0.3">
      <c r="A2801" s="1">
        <v>45516</v>
      </c>
      <c r="B2801" t="s">
        <v>25</v>
      </c>
      <c r="C2801" t="s">
        <v>455</v>
      </c>
      <c r="D2801" s="8"/>
      <c r="E2801" s="8"/>
      <c r="L2801" t="s">
        <v>563</v>
      </c>
      <c r="M2801" t="s">
        <v>478</v>
      </c>
      <c r="N2801" t="str">
        <f>Tabela_tudo[[#This Row],[Médico]]&amp;" ("&amp;Tabela_tudo[[#This Row],[Obs]]&amp;")"</f>
        <v>HEN ()</v>
      </c>
    </row>
    <row r="2802" spans="1:14" x14ac:dyDescent="0.3">
      <c r="A2802" s="1">
        <v>45537</v>
      </c>
      <c r="B2802" t="s">
        <v>25</v>
      </c>
      <c r="C2802" t="s">
        <v>455</v>
      </c>
      <c r="D2802" s="8"/>
      <c r="E2802" s="8"/>
      <c r="L2802" t="s">
        <v>563</v>
      </c>
      <c r="M2802" t="s">
        <v>478</v>
      </c>
      <c r="N2802" t="str">
        <f>Tabela_tudo[[#This Row],[Médico]]&amp;" ("&amp;Tabela_tudo[[#This Row],[Obs]]&amp;")"</f>
        <v>HEN ()</v>
      </c>
    </row>
    <row r="2803" spans="1:14" x14ac:dyDescent="0.3">
      <c r="A2803" s="1">
        <v>45558</v>
      </c>
      <c r="B2803" t="s">
        <v>25</v>
      </c>
      <c r="C2803" t="s">
        <v>455</v>
      </c>
      <c r="D2803" s="8"/>
      <c r="E2803" s="8"/>
      <c r="L2803" t="s">
        <v>563</v>
      </c>
      <c r="M2803" t="s">
        <v>478</v>
      </c>
      <c r="N2803" t="str">
        <f>Tabela_tudo[[#This Row],[Médico]]&amp;" ("&amp;Tabela_tudo[[#This Row],[Obs]]&amp;")"</f>
        <v>HEN ()</v>
      </c>
    </row>
    <row r="2804" spans="1:14" x14ac:dyDescent="0.3">
      <c r="A2804" s="1">
        <v>45551</v>
      </c>
      <c r="B2804" t="s">
        <v>25</v>
      </c>
      <c r="C2804" t="s">
        <v>455</v>
      </c>
      <c r="D2804" s="8"/>
      <c r="E2804" s="8"/>
      <c r="L2804" t="s">
        <v>563</v>
      </c>
      <c r="M2804" t="s">
        <v>478</v>
      </c>
      <c r="N2804" t="str">
        <f>Tabela_tudo[[#This Row],[Médico]]&amp;" ("&amp;Tabela_tudo[[#This Row],[Obs]]&amp;")"</f>
        <v>HEN ()</v>
      </c>
    </row>
    <row r="2805" spans="1:14" x14ac:dyDescent="0.3">
      <c r="A2805" s="1">
        <v>45544</v>
      </c>
      <c r="B2805" t="s">
        <v>25</v>
      </c>
      <c r="C2805" t="s">
        <v>455</v>
      </c>
      <c r="D2805" s="8"/>
      <c r="E2805" s="8"/>
      <c r="L2805" t="s">
        <v>563</v>
      </c>
      <c r="M2805" t="s">
        <v>478</v>
      </c>
      <c r="N2805" t="str">
        <f>Tabela_tudo[[#This Row],[Médico]]&amp;" ("&amp;Tabela_tudo[[#This Row],[Obs]]&amp;")"</f>
        <v>HEN ()</v>
      </c>
    </row>
    <row r="2806" spans="1:14" x14ac:dyDescent="0.3">
      <c r="A2806" s="1">
        <v>45481</v>
      </c>
      <c r="B2806" t="s">
        <v>25</v>
      </c>
      <c r="C2806" t="s">
        <v>455</v>
      </c>
      <c r="D2806" s="8"/>
      <c r="E2806" s="8"/>
      <c r="L2806" t="s">
        <v>563</v>
      </c>
      <c r="M2806" t="s">
        <v>478</v>
      </c>
      <c r="N2806" t="str">
        <f>Tabela_tudo[[#This Row],[Médico]]&amp;" ("&amp;Tabela_tudo[[#This Row],[Obs]]&amp;")"</f>
        <v>HEN ()</v>
      </c>
    </row>
    <row r="2807" spans="1:14" x14ac:dyDescent="0.3">
      <c r="A2807" s="1">
        <v>45474</v>
      </c>
      <c r="B2807" t="s">
        <v>25</v>
      </c>
      <c r="C2807" t="s">
        <v>455</v>
      </c>
      <c r="D2807" s="8"/>
      <c r="E2807" s="8"/>
      <c r="L2807" t="s">
        <v>563</v>
      </c>
      <c r="M2807" t="s">
        <v>478</v>
      </c>
      <c r="N2807" t="str">
        <f>Tabela_tudo[[#This Row],[Médico]]&amp;" ("&amp;Tabela_tudo[[#This Row],[Obs]]&amp;")"</f>
        <v>HEN ()</v>
      </c>
    </row>
    <row r="2808" spans="1:14" x14ac:dyDescent="0.3">
      <c r="A2808" s="1">
        <v>45467</v>
      </c>
      <c r="B2808" t="s">
        <v>25</v>
      </c>
      <c r="C2808" t="s">
        <v>455</v>
      </c>
      <c r="D2808" s="8"/>
      <c r="E2808" s="8"/>
      <c r="L2808" t="s">
        <v>563</v>
      </c>
      <c r="M2808" t="s">
        <v>478</v>
      </c>
      <c r="N2808" t="str">
        <f>Tabela_tudo[[#This Row],[Médico]]&amp;" ("&amp;Tabela_tudo[[#This Row],[Obs]]&amp;")"</f>
        <v>HEN ()</v>
      </c>
    </row>
    <row r="2809" spans="1:14" x14ac:dyDescent="0.3">
      <c r="A2809" s="1">
        <v>45488</v>
      </c>
      <c r="B2809" t="s">
        <v>25</v>
      </c>
      <c r="C2809" t="s">
        <v>455</v>
      </c>
      <c r="D2809" s="8"/>
      <c r="E2809" s="8"/>
      <c r="L2809" t="s">
        <v>563</v>
      </c>
      <c r="M2809" t="s">
        <v>478</v>
      </c>
      <c r="N2809" t="str">
        <f>Tabela_tudo[[#This Row],[Médico]]&amp;" ("&amp;Tabela_tudo[[#This Row],[Obs]]&amp;")"</f>
        <v>HEN ()</v>
      </c>
    </row>
    <row r="2810" spans="1:14" x14ac:dyDescent="0.3">
      <c r="A2810" s="1">
        <v>45509</v>
      </c>
      <c r="B2810" t="s">
        <v>25</v>
      </c>
      <c r="C2810" t="s">
        <v>455</v>
      </c>
      <c r="D2810" s="8"/>
      <c r="E2810" s="8"/>
      <c r="L2810" t="s">
        <v>563</v>
      </c>
      <c r="M2810" t="s">
        <v>478</v>
      </c>
      <c r="N2810" t="str">
        <f>Tabela_tudo[[#This Row],[Médico]]&amp;" ("&amp;Tabela_tudo[[#This Row],[Obs]]&amp;")"</f>
        <v>HEN ()</v>
      </c>
    </row>
    <row r="2811" spans="1:14" x14ac:dyDescent="0.3">
      <c r="A2811" s="1">
        <v>45502</v>
      </c>
      <c r="B2811" t="s">
        <v>25</v>
      </c>
      <c r="C2811" t="s">
        <v>455</v>
      </c>
      <c r="D2811" s="8"/>
      <c r="E2811" s="8"/>
      <c r="L2811" t="s">
        <v>563</v>
      </c>
      <c r="M2811" t="s">
        <v>478</v>
      </c>
      <c r="N2811" t="str">
        <f>Tabela_tudo[[#This Row],[Médico]]&amp;" ("&amp;Tabela_tudo[[#This Row],[Obs]]&amp;")"</f>
        <v>HEN ()</v>
      </c>
    </row>
    <row r="2812" spans="1:14" x14ac:dyDescent="0.3">
      <c r="A2812" s="1">
        <v>45495</v>
      </c>
      <c r="B2812" t="s">
        <v>25</v>
      </c>
      <c r="C2812" t="s">
        <v>455</v>
      </c>
      <c r="D2812" s="8"/>
      <c r="E2812" s="8"/>
      <c r="L2812" t="s">
        <v>563</v>
      </c>
      <c r="M2812" t="s">
        <v>478</v>
      </c>
      <c r="N2812" t="str">
        <f>Tabela_tudo[[#This Row],[Médico]]&amp;" ("&amp;Tabela_tudo[[#This Row],[Obs]]&amp;")"</f>
        <v>HEN ()</v>
      </c>
    </row>
    <row r="2813" spans="1:14" x14ac:dyDescent="0.3">
      <c r="A2813" s="1">
        <v>45565</v>
      </c>
      <c r="B2813" t="s">
        <v>25</v>
      </c>
      <c r="C2813" t="s">
        <v>455</v>
      </c>
      <c r="D2813" s="8"/>
      <c r="E2813" s="8"/>
      <c r="L2813" t="s">
        <v>563</v>
      </c>
      <c r="M2813" t="s">
        <v>478</v>
      </c>
      <c r="N2813" t="str">
        <f>Tabela_tudo[[#This Row],[Médico]]&amp;" ("&amp;Tabela_tudo[[#This Row],[Obs]]&amp;")"</f>
        <v>HEN ()</v>
      </c>
    </row>
    <row r="2814" spans="1:14" x14ac:dyDescent="0.3">
      <c r="A2814" s="1">
        <v>45635</v>
      </c>
      <c r="B2814" t="s">
        <v>25</v>
      </c>
      <c r="C2814" t="s">
        <v>455</v>
      </c>
      <c r="D2814" s="8"/>
      <c r="E2814" s="8"/>
      <c r="L2814" t="s">
        <v>563</v>
      </c>
      <c r="M2814" t="s">
        <v>478</v>
      </c>
      <c r="N2814" t="str">
        <f>Tabela_tudo[[#This Row],[Médico]]&amp;" ("&amp;Tabela_tudo[[#This Row],[Obs]]&amp;")"</f>
        <v>HEN ()</v>
      </c>
    </row>
    <row r="2815" spans="1:14" x14ac:dyDescent="0.3">
      <c r="A2815" s="1">
        <v>45628</v>
      </c>
      <c r="B2815" t="s">
        <v>25</v>
      </c>
      <c r="C2815" t="s">
        <v>455</v>
      </c>
      <c r="D2815" s="8"/>
      <c r="E2815" s="8"/>
      <c r="L2815" t="s">
        <v>563</v>
      </c>
      <c r="M2815" t="s">
        <v>478</v>
      </c>
      <c r="N2815" t="str">
        <f>Tabela_tudo[[#This Row],[Médico]]&amp;" ("&amp;Tabela_tudo[[#This Row],[Obs]]&amp;")"</f>
        <v>HEN ()</v>
      </c>
    </row>
    <row r="2816" spans="1:14" x14ac:dyDescent="0.3">
      <c r="A2816" s="1">
        <v>45621</v>
      </c>
      <c r="B2816" t="s">
        <v>25</v>
      </c>
      <c r="C2816" t="s">
        <v>455</v>
      </c>
      <c r="D2816" s="8"/>
      <c r="E2816" s="8"/>
      <c r="L2816" t="s">
        <v>563</v>
      </c>
      <c r="M2816" t="s">
        <v>478</v>
      </c>
      <c r="N2816" t="str">
        <f>Tabela_tudo[[#This Row],[Médico]]&amp;" ("&amp;Tabela_tudo[[#This Row],[Obs]]&amp;")"</f>
        <v>HEN ()</v>
      </c>
    </row>
    <row r="2817" spans="1:14" x14ac:dyDescent="0.3">
      <c r="A2817" s="1">
        <v>45642</v>
      </c>
      <c r="B2817" t="s">
        <v>25</v>
      </c>
      <c r="C2817" t="s">
        <v>455</v>
      </c>
      <c r="D2817" s="8"/>
      <c r="E2817" s="8"/>
      <c r="L2817" t="s">
        <v>563</v>
      </c>
      <c r="M2817" t="s">
        <v>478</v>
      </c>
      <c r="N2817" t="str">
        <f>Tabela_tudo[[#This Row],[Médico]]&amp;" ("&amp;Tabela_tudo[[#This Row],[Obs]]&amp;")"</f>
        <v>HEN ()</v>
      </c>
    </row>
    <row r="2818" spans="1:14" x14ac:dyDescent="0.3">
      <c r="A2818" s="1">
        <v>44935</v>
      </c>
      <c r="B2818" t="s">
        <v>333</v>
      </c>
      <c r="C2818" t="s">
        <v>455</v>
      </c>
      <c r="D2818" s="8"/>
      <c r="E2818" s="8"/>
      <c r="L2818" t="s">
        <v>563</v>
      </c>
      <c r="M2818" t="s">
        <v>478</v>
      </c>
      <c r="N2818" t="str">
        <f>Tabela_tudo[[#This Row],[Médico]]&amp;" ("&amp;Tabela_tudo[[#This Row],[Obs]]&amp;")"</f>
        <v>COR ()</v>
      </c>
    </row>
    <row r="2819" spans="1:14" x14ac:dyDescent="0.3">
      <c r="A2819" s="1">
        <v>44928</v>
      </c>
      <c r="B2819" t="s">
        <v>333</v>
      </c>
      <c r="C2819" t="s">
        <v>455</v>
      </c>
      <c r="D2819" s="8"/>
      <c r="E2819" s="8"/>
      <c r="L2819" t="s">
        <v>563</v>
      </c>
      <c r="M2819" t="s">
        <v>478</v>
      </c>
      <c r="N2819" t="str">
        <f>Tabela_tudo[[#This Row],[Médico]]&amp;" ("&amp;Tabela_tudo[[#This Row],[Obs]]&amp;")"</f>
        <v>COR ()</v>
      </c>
    </row>
    <row r="2820" spans="1:14" x14ac:dyDescent="0.3">
      <c r="A2820" s="1">
        <v>45649</v>
      </c>
      <c r="B2820" t="s">
        <v>25</v>
      </c>
      <c r="C2820" t="s">
        <v>455</v>
      </c>
      <c r="D2820" s="8"/>
      <c r="E2820" s="8"/>
      <c r="L2820" t="s">
        <v>563</v>
      </c>
      <c r="M2820" t="s">
        <v>478</v>
      </c>
      <c r="N2820" t="str">
        <f>Tabela_tudo[[#This Row],[Médico]]&amp;" ("&amp;Tabela_tudo[[#This Row],[Obs]]&amp;")"</f>
        <v>HEN ()</v>
      </c>
    </row>
    <row r="2821" spans="1:14" x14ac:dyDescent="0.3">
      <c r="A2821" s="1">
        <v>45586</v>
      </c>
      <c r="B2821" t="s">
        <v>25</v>
      </c>
      <c r="C2821" t="s">
        <v>455</v>
      </c>
      <c r="D2821" s="8"/>
      <c r="E2821" s="8"/>
      <c r="L2821" t="s">
        <v>563</v>
      </c>
      <c r="M2821" t="s">
        <v>478</v>
      </c>
      <c r="N2821" t="str">
        <f>Tabela_tudo[[#This Row],[Médico]]&amp;" ("&amp;Tabela_tudo[[#This Row],[Obs]]&amp;")"</f>
        <v>HEN ()</v>
      </c>
    </row>
    <row r="2822" spans="1:14" x14ac:dyDescent="0.3">
      <c r="A2822" s="1">
        <v>45579</v>
      </c>
      <c r="B2822" t="s">
        <v>25</v>
      </c>
      <c r="C2822" t="s">
        <v>455</v>
      </c>
      <c r="D2822" s="8"/>
      <c r="E2822" s="8"/>
      <c r="L2822" t="s">
        <v>563</v>
      </c>
      <c r="M2822" t="s">
        <v>478</v>
      </c>
      <c r="N2822" t="str">
        <f>Tabela_tudo[[#This Row],[Médico]]&amp;" ("&amp;Tabela_tudo[[#This Row],[Obs]]&amp;")"</f>
        <v>HEN ()</v>
      </c>
    </row>
    <row r="2823" spans="1:14" x14ac:dyDescent="0.3">
      <c r="A2823" s="1">
        <v>45572</v>
      </c>
      <c r="B2823" t="s">
        <v>25</v>
      </c>
      <c r="C2823" t="s">
        <v>455</v>
      </c>
      <c r="D2823" s="8"/>
      <c r="E2823" s="8"/>
      <c r="L2823" t="s">
        <v>563</v>
      </c>
      <c r="M2823" t="s">
        <v>478</v>
      </c>
      <c r="N2823" t="str">
        <f>Tabela_tudo[[#This Row],[Médico]]&amp;" ("&amp;Tabela_tudo[[#This Row],[Obs]]&amp;")"</f>
        <v>HEN ()</v>
      </c>
    </row>
    <row r="2824" spans="1:14" x14ac:dyDescent="0.3">
      <c r="A2824" s="1">
        <v>45593</v>
      </c>
      <c r="B2824" t="s">
        <v>25</v>
      </c>
      <c r="C2824" t="s">
        <v>455</v>
      </c>
      <c r="D2824" s="8"/>
      <c r="E2824" s="8"/>
      <c r="L2824" t="s">
        <v>563</v>
      </c>
      <c r="M2824" t="s">
        <v>478</v>
      </c>
      <c r="N2824" t="str">
        <f>Tabela_tudo[[#This Row],[Médico]]&amp;" ("&amp;Tabela_tudo[[#This Row],[Obs]]&amp;")"</f>
        <v>HEN ()</v>
      </c>
    </row>
    <row r="2825" spans="1:14" x14ac:dyDescent="0.3">
      <c r="A2825" s="1">
        <v>45614</v>
      </c>
      <c r="B2825" t="s">
        <v>25</v>
      </c>
      <c r="C2825" t="s">
        <v>455</v>
      </c>
      <c r="D2825" s="8"/>
      <c r="E2825" s="8"/>
      <c r="L2825" t="s">
        <v>563</v>
      </c>
      <c r="M2825" t="s">
        <v>478</v>
      </c>
      <c r="N2825" t="str">
        <f>Tabela_tudo[[#This Row],[Médico]]&amp;" ("&amp;Tabela_tudo[[#This Row],[Obs]]&amp;")"</f>
        <v>HEN ()</v>
      </c>
    </row>
    <row r="2826" spans="1:14" x14ac:dyDescent="0.3">
      <c r="A2826" s="1">
        <v>45607</v>
      </c>
      <c r="B2826" t="s">
        <v>25</v>
      </c>
      <c r="C2826" t="s">
        <v>455</v>
      </c>
      <c r="D2826" s="8"/>
      <c r="E2826" s="8"/>
      <c r="L2826" t="s">
        <v>563</v>
      </c>
      <c r="M2826" t="s">
        <v>478</v>
      </c>
      <c r="N2826" t="str">
        <f>Tabela_tudo[[#This Row],[Médico]]&amp;" ("&amp;Tabela_tudo[[#This Row],[Obs]]&amp;")"</f>
        <v>HEN ()</v>
      </c>
    </row>
    <row r="2827" spans="1:14" x14ac:dyDescent="0.3">
      <c r="A2827" s="1">
        <v>45600</v>
      </c>
      <c r="B2827" t="s">
        <v>25</v>
      </c>
      <c r="C2827" t="s">
        <v>455</v>
      </c>
      <c r="D2827" s="8"/>
      <c r="E2827" s="8"/>
      <c r="L2827" t="s">
        <v>563</v>
      </c>
      <c r="M2827" t="s">
        <v>478</v>
      </c>
      <c r="N2827" t="str">
        <f>Tabela_tudo[[#This Row],[Médico]]&amp;" ("&amp;Tabela_tudo[[#This Row],[Obs]]&amp;")"</f>
        <v>HEN ()</v>
      </c>
    </row>
    <row r="2828" spans="1:14" x14ac:dyDescent="0.3">
      <c r="A2828" s="1">
        <v>45040</v>
      </c>
      <c r="B2828" t="s">
        <v>25</v>
      </c>
      <c r="C2828" t="s">
        <v>455</v>
      </c>
      <c r="D2828" s="8"/>
      <c r="E2828" s="8"/>
      <c r="L2828" t="s">
        <v>563</v>
      </c>
      <c r="M2828" t="s">
        <v>478</v>
      </c>
      <c r="N2828" t="str">
        <f>Tabela_tudo[[#This Row],[Médico]]&amp;" ("&amp;Tabela_tudo[[#This Row],[Obs]]&amp;")"</f>
        <v>HEN ()</v>
      </c>
    </row>
    <row r="2829" spans="1:14" x14ac:dyDescent="0.3">
      <c r="A2829" s="1">
        <v>45208</v>
      </c>
      <c r="B2829" t="s">
        <v>20</v>
      </c>
      <c r="C2829" t="s">
        <v>455</v>
      </c>
      <c r="D2829" s="8"/>
      <c r="E2829" s="8"/>
      <c r="L2829" t="s">
        <v>563</v>
      </c>
      <c r="M2829" t="s">
        <v>478</v>
      </c>
      <c r="N2829" t="str">
        <f>Tabela_tudo[[#This Row],[Médico]]&amp;" ("&amp;Tabela_tudo[[#This Row],[Obs]]&amp;")"</f>
        <v>ROB ()</v>
      </c>
    </row>
    <row r="2830" spans="1:14" x14ac:dyDescent="0.3">
      <c r="A2830" s="1">
        <v>45194</v>
      </c>
      <c r="B2830" t="s">
        <v>20</v>
      </c>
      <c r="C2830" t="s">
        <v>455</v>
      </c>
      <c r="D2830" s="8"/>
      <c r="E2830" s="8"/>
      <c r="L2830" t="s">
        <v>563</v>
      </c>
      <c r="M2830" t="s">
        <v>478</v>
      </c>
      <c r="N2830" t="str">
        <f>Tabela_tudo[[#This Row],[Médico]]&amp;" ("&amp;Tabela_tudo[[#This Row],[Obs]]&amp;")"</f>
        <v>ROB ()</v>
      </c>
    </row>
    <row r="2831" spans="1:14" x14ac:dyDescent="0.3">
      <c r="A2831" s="1">
        <v>45187</v>
      </c>
      <c r="B2831" t="s">
        <v>20</v>
      </c>
      <c r="C2831" t="s">
        <v>455</v>
      </c>
      <c r="D2831" s="8"/>
      <c r="E2831" s="8"/>
      <c r="L2831" t="s">
        <v>563</v>
      </c>
      <c r="M2831" t="s">
        <v>478</v>
      </c>
      <c r="N2831" t="str">
        <f>Tabela_tudo[[#This Row],[Médico]]&amp;" ("&amp;Tabela_tudo[[#This Row],[Obs]]&amp;")"</f>
        <v>ROB ()</v>
      </c>
    </row>
    <row r="2832" spans="1:14" x14ac:dyDescent="0.3">
      <c r="A2832" s="1">
        <v>45215</v>
      </c>
      <c r="B2832" t="s">
        <v>20</v>
      </c>
      <c r="C2832" t="s">
        <v>455</v>
      </c>
      <c r="D2832" s="8"/>
      <c r="E2832" s="8"/>
      <c r="L2832" t="s">
        <v>563</v>
      </c>
      <c r="M2832" t="s">
        <v>478</v>
      </c>
      <c r="N2832" t="str">
        <f>Tabela_tudo[[#This Row],[Médico]]&amp;" ("&amp;Tabela_tudo[[#This Row],[Obs]]&amp;")"</f>
        <v>ROB ()</v>
      </c>
    </row>
    <row r="2833" spans="1:14" x14ac:dyDescent="0.3">
      <c r="A2833" s="1">
        <v>45236</v>
      </c>
      <c r="B2833" t="s">
        <v>20</v>
      </c>
      <c r="C2833" t="s">
        <v>455</v>
      </c>
      <c r="D2833" s="8"/>
      <c r="E2833" s="8"/>
      <c r="L2833" t="s">
        <v>563</v>
      </c>
      <c r="M2833" t="s">
        <v>478</v>
      </c>
      <c r="N2833" t="str">
        <f>Tabela_tudo[[#This Row],[Médico]]&amp;" ("&amp;Tabela_tudo[[#This Row],[Obs]]&amp;")"</f>
        <v>ROB ()</v>
      </c>
    </row>
    <row r="2834" spans="1:14" x14ac:dyDescent="0.3">
      <c r="A2834" s="1">
        <v>45229</v>
      </c>
      <c r="B2834" t="s">
        <v>20</v>
      </c>
      <c r="C2834" t="s">
        <v>455</v>
      </c>
      <c r="D2834" s="8"/>
      <c r="E2834" s="8"/>
      <c r="L2834" t="s">
        <v>563</v>
      </c>
      <c r="M2834" t="s">
        <v>478</v>
      </c>
      <c r="N2834" t="str">
        <f>Tabela_tudo[[#This Row],[Médico]]&amp;" ("&amp;Tabela_tudo[[#This Row],[Obs]]&amp;")"</f>
        <v>ROB ()</v>
      </c>
    </row>
    <row r="2835" spans="1:14" x14ac:dyDescent="0.3">
      <c r="A2835" s="1">
        <v>45222</v>
      </c>
      <c r="B2835" t="s">
        <v>20</v>
      </c>
      <c r="C2835" t="s">
        <v>455</v>
      </c>
      <c r="D2835" s="8"/>
      <c r="E2835" s="8"/>
      <c r="L2835" t="s">
        <v>563</v>
      </c>
      <c r="M2835" t="s">
        <v>478</v>
      </c>
      <c r="N2835" t="str">
        <f>Tabela_tudo[[#This Row],[Médico]]&amp;" ("&amp;Tabela_tudo[[#This Row],[Obs]]&amp;")"</f>
        <v>ROB ()</v>
      </c>
    </row>
    <row r="2836" spans="1:14" x14ac:dyDescent="0.3">
      <c r="A2836" s="1">
        <v>45152</v>
      </c>
      <c r="B2836" t="s">
        <v>20</v>
      </c>
      <c r="C2836" t="s">
        <v>455</v>
      </c>
      <c r="D2836" s="8"/>
      <c r="E2836" s="8"/>
      <c r="L2836" t="s">
        <v>563</v>
      </c>
      <c r="M2836" t="s">
        <v>478</v>
      </c>
      <c r="N2836" t="str">
        <f>Tabela_tudo[[#This Row],[Médico]]&amp;" ("&amp;Tabela_tudo[[#This Row],[Obs]]&amp;")"</f>
        <v>ROB ()</v>
      </c>
    </row>
    <row r="2837" spans="1:14" x14ac:dyDescent="0.3">
      <c r="A2837" s="1">
        <v>45145</v>
      </c>
      <c r="B2837" t="s">
        <v>20</v>
      </c>
      <c r="C2837" t="s">
        <v>455</v>
      </c>
      <c r="D2837" s="8"/>
      <c r="E2837" s="8"/>
      <c r="L2837" t="s">
        <v>563</v>
      </c>
      <c r="M2837" t="s">
        <v>478</v>
      </c>
      <c r="N2837" t="str">
        <f>Tabela_tudo[[#This Row],[Médico]]&amp;" ("&amp;Tabela_tudo[[#This Row],[Obs]]&amp;")"</f>
        <v>ROB ()</v>
      </c>
    </row>
    <row r="2838" spans="1:14" x14ac:dyDescent="0.3">
      <c r="A2838" s="1">
        <v>45138</v>
      </c>
      <c r="B2838" t="s">
        <v>20</v>
      </c>
      <c r="C2838" t="s">
        <v>455</v>
      </c>
      <c r="D2838" s="8"/>
      <c r="E2838" s="8"/>
      <c r="L2838" t="s">
        <v>563</v>
      </c>
      <c r="M2838" t="s">
        <v>478</v>
      </c>
      <c r="N2838" t="str">
        <f>Tabela_tudo[[#This Row],[Médico]]&amp;" ("&amp;Tabela_tudo[[#This Row],[Obs]]&amp;")"</f>
        <v>ROB ()</v>
      </c>
    </row>
    <row r="2839" spans="1:14" x14ac:dyDescent="0.3">
      <c r="A2839" s="1">
        <v>45159</v>
      </c>
      <c r="B2839" t="s">
        <v>20</v>
      </c>
      <c r="C2839" t="s">
        <v>455</v>
      </c>
      <c r="D2839" s="8"/>
      <c r="E2839" s="8"/>
      <c r="L2839" t="s">
        <v>563</v>
      </c>
      <c r="M2839" t="s">
        <v>478</v>
      </c>
      <c r="N2839" t="str">
        <f>Tabela_tudo[[#This Row],[Médico]]&amp;" ("&amp;Tabela_tudo[[#This Row],[Obs]]&amp;")"</f>
        <v>ROB ()</v>
      </c>
    </row>
    <row r="2840" spans="1:14" x14ac:dyDescent="0.3">
      <c r="A2840" s="1">
        <v>45180</v>
      </c>
      <c r="B2840" t="s">
        <v>20</v>
      </c>
      <c r="C2840" t="s">
        <v>455</v>
      </c>
      <c r="D2840" s="8"/>
      <c r="E2840" s="8"/>
      <c r="L2840" t="s">
        <v>563</v>
      </c>
      <c r="M2840" t="s">
        <v>478</v>
      </c>
      <c r="N2840" t="str">
        <f>Tabela_tudo[[#This Row],[Médico]]&amp;" ("&amp;Tabela_tudo[[#This Row],[Obs]]&amp;")"</f>
        <v>ROB ()</v>
      </c>
    </row>
    <row r="2841" spans="1:14" x14ac:dyDescent="0.3">
      <c r="A2841" s="1">
        <v>45173</v>
      </c>
      <c r="B2841" t="s">
        <v>20</v>
      </c>
      <c r="C2841" t="s">
        <v>455</v>
      </c>
      <c r="D2841" s="8"/>
      <c r="E2841" s="8"/>
      <c r="L2841" t="s">
        <v>563</v>
      </c>
      <c r="M2841" t="s">
        <v>478</v>
      </c>
      <c r="N2841" t="str">
        <f>Tabela_tudo[[#This Row],[Médico]]&amp;" ("&amp;Tabela_tudo[[#This Row],[Obs]]&amp;")"</f>
        <v>ROB ()</v>
      </c>
    </row>
    <row r="2842" spans="1:14" x14ac:dyDescent="0.3">
      <c r="A2842" s="1">
        <v>45166</v>
      </c>
      <c r="B2842" t="s">
        <v>20</v>
      </c>
      <c r="C2842" t="s">
        <v>455</v>
      </c>
      <c r="D2842" s="8"/>
      <c r="E2842" s="8"/>
      <c r="L2842" t="s">
        <v>563</v>
      </c>
      <c r="M2842" t="s">
        <v>478</v>
      </c>
      <c r="N2842" t="str">
        <f>Tabela_tudo[[#This Row],[Médico]]&amp;" ("&amp;Tabela_tudo[[#This Row],[Obs]]&amp;")"</f>
        <v>ROB ()</v>
      </c>
    </row>
    <row r="2843" spans="1:14" x14ac:dyDescent="0.3">
      <c r="A2843" s="1">
        <v>45243</v>
      </c>
      <c r="B2843" t="s">
        <v>20</v>
      </c>
      <c r="C2843" t="s">
        <v>455</v>
      </c>
      <c r="D2843" s="8"/>
      <c r="E2843" s="8"/>
      <c r="L2843" t="s">
        <v>563</v>
      </c>
      <c r="M2843" t="s">
        <v>478</v>
      </c>
      <c r="N2843" t="str">
        <f>Tabela_tudo[[#This Row],[Médico]]&amp;" ("&amp;Tabela_tudo[[#This Row],[Obs]]&amp;")"</f>
        <v>ROB ()</v>
      </c>
    </row>
    <row r="2844" spans="1:14" x14ac:dyDescent="0.3">
      <c r="A2844" s="1">
        <v>45313</v>
      </c>
      <c r="B2844" t="s">
        <v>20</v>
      </c>
      <c r="C2844" t="s">
        <v>455</v>
      </c>
      <c r="D2844" s="8"/>
      <c r="E2844" s="8"/>
      <c r="L2844" t="s">
        <v>563</v>
      </c>
      <c r="M2844" t="s">
        <v>478</v>
      </c>
      <c r="N2844" t="str">
        <f>Tabela_tudo[[#This Row],[Médico]]&amp;" ("&amp;Tabela_tudo[[#This Row],[Obs]]&amp;")"</f>
        <v>ROB ()</v>
      </c>
    </row>
    <row r="2845" spans="1:14" x14ac:dyDescent="0.3">
      <c r="A2845" s="1">
        <v>45306</v>
      </c>
      <c r="B2845" t="s">
        <v>20</v>
      </c>
      <c r="C2845" t="s">
        <v>455</v>
      </c>
      <c r="D2845" s="8"/>
      <c r="E2845" s="8"/>
      <c r="L2845" t="s">
        <v>563</v>
      </c>
      <c r="M2845" t="s">
        <v>478</v>
      </c>
      <c r="N2845" t="str">
        <f>Tabela_tudo[[#This Row],[Médico]]&amp;" ("&amp;Tabela_tudo[[#This Row],[Obs]]&amp;")"</f>
        <v>ROB ()</v>
      </c>
    </row>
    <row r="2846" spans="1:14" x14ac:dyDescent="0.3">
      <c r="A2846" s="1">
        <v>45299</v>
      </c>
      <c r="B2846" t="s">
        <v>20</v>
      </c>
      <c r="C2846" t="s">
        <v>455</v>
      </c>
      <c r="D2846" s="8"/>
      <c r="E2846" s="8"/>
      <c r="L2846" t="s">
        <v>563</v>
      </c>
      <c r="M2846" t="s">
        <v>478</v>
      </c>
      <c r="N2846" t="str">
        <f>Tabela_tudo[[#This Row],[Médico]]&amp;" ("&amp;Tabela_tudo[[#This Row],[Obs]]&amp;")"</f>
        <v>ROB ()</v>
      </c>
    </row>
    <row r="2847" spans="1:14" x14ac:dyDescent="0.3">
      <c r="A2847" s="1">
        <v>45320</v>
      </c>
      <c r="B2847" t="s">
        <v>20</v>
      </c>
      <c r="C2847" t="s">
        <v>455</v>
      </c>
      <c r="D2847" s="8"/>
      <c r="E2847" s="8"/>
      <c r="L2847" t="s">
        <v>563</v>
      </c>
      <c r="M2847" t="s">
        <v>478</v>
      </c>
      <c r="N2847" t="str">
        <f>Tabela_tudo[[#This Row],[Médico]]&amp;" ("&amp;Tabela_tudo[[#This Row],[Obs]]&amp;")"</f>
        <v>ROB ()</v>
      </c>
    </row>
    <row r="2848" spans="1:14" x14ac:dyDescent="0.3">
      <c r="A2848" s="1">
        <v>45341</v>
      </c>
      <c r="B2848" t="s">
        <v>20</v>
      </c>
      <c r="C2848" t="s">
        <v>455</v>
      </c>
      <c r="D2848" s="8"/>
      <c r="E2848" s="8"/>
      <c r="L2848" t="s">
        <v>563</v>
      </c>
      <c r="M2848" t="s">
        <v>478</v>
      </c>
      <c r="N2848" t="str">
        <f>Tabela_tudo[[#This Row],[Médico]]&amp;" ("&amp;Tabela_tudo[[#This Row],[Obs]]&amp;")"</f>
        <v>ROB ()</v>
      </c>
    </row>
    <row r="2849" spans="1:14" x14ac:dyDescent="0.3">
      <c r="A2849" s="1">
        <v>45334</v>
      </c>
      <c r="B2849" t="s">
        <v>20</v>
      </c>
      <c r="C2849" t="s">
        <v>455</v>
      </c>
      <c r="D2849" s="8"/>
      <c r="E2849" s="8"/>
      <c r="L2849" t="s">
        <v>563</v>
      </c>
      <c r="M2849" t="s">
        <v>478</v>
      </c>
      <c r="N2849" t="str">
        <f>Tabela_tudo[[#This Row],[Médico]]&amp;" ("&amp;Tabela_tudo[[#This Row],[Obs]]&amp;")"</f>
        <v>ROB ()</v>
      </c>
    </row>
    <row r="2850" spans="1:14" x14ac:dyDescent="0.3">
      <c r="A2850" s="1">
        <v>45327</v>
      </c>
      <c r="B2850" t="s">
        <v>20</v>
      </c>
      <c r="C2850" t="s">
        <v>455</v>
      </c>
      <c r="D2850" s="8"/>
      <c r="E2850" s="8"/>
      <c r="L2850" t="s">
        <v>563</v>
      </c>
      <c r="M2850" t="s">
        <v>478</v>
      </c>
      <c r="N2850" t="str">
        <f>Tabela_tudo[[#This Row],[Médico]]&amp;" ("&amp;Tabela_tudo[[#This Row],[Obs]]&amp;")"</f>
        <v>ROB ()</v>
      </c>
    </row>
    <row r="2851" spans="1:14" x14ac:dyDescent="0.3">
      <c r="A2851" s="1">
        <v>45264</v>
      </c>
      <c r="B2851" t="s">
        <v>20</v>
      </c>
      <c r="C2851" t="s">
        <v>455</v>
      </c>
      <c r="D2851" s="8"/>
      <c r="E2851" s="8"/>
      <c r="L2851" t="s">
        <v>563</v>
      </c>
      <c r="M2851" t="s">
        <v>478</v>
      </c>
      <c r="N2851" t="str">
        <f>Tabela_tudo[[#This Row],[Médico]]&amp;" ("&amp;Tabela_tudo[[#This Row],[Obs]]&amp;")"</f>
        <v>ROB ()</v>
      </c>
    </row>
    <row r="2852" spans="1:14" x14ac:dyDescent="0.3">
      <c r="A2852" s="1">
        <v>45257</v>
      </c>
      <c r="B2852" t="s">
        <v>20</v>
      </c>
      <c r="C2852" t="s">
        <v>455</v>
      </c>
      <c r="D2852" s="8"/>
      <c r="E2852" s="8"/>
      <c r="L2852" t="s">
        <v>563</v>
      </c>
      <c r="M2852" t="s">
        <v>478</v>
      </c>
      <c r="N2852" t="str">
        <f>Tabela_tudo[[#This Row],[Médico]]&amp;" ("&amp;Tabela_tudo[[#This Row],[Obs]]&amp;")"</f>
        <v>ROB ()</v>
      </c>
    </row>
    <row r="2853" spans="1:14" x14ac:dyDescent="0.3">
      <c r="A2853" s="1">
        <v>45250</v>
      </c>
      <c r="B2853" t="s">
        <v>20</v>
      </c>
      <c r="C2853" t="s">
        <v>455</v>
      </c>
      <c r="D2853" s="8"/>
      <c r="E2853" s="8"/>
      <c r="L2853" t="s">
        <v>563</v>
      </c>
      <c r="M2853" t="s">
        <v>478</v>
      </c>
      <c r="N2853" t="str">
        <f>Tabela_tudo[[#This Row],[Médico]]&amp;" ("&amp;Tabela_tudo[[#This Row],[Obs]]&amp;")"</f>
        <v>ROB ()</v>
      </c>
    </row>
    <row r="2854" spans="1:14" x14ac:dyDescent="0.3">
      <c r="A2854" s="1">
        <v>45271</v>
      </c>
      <c r="B2854" t="s">
        <v>20</v>
      </c>
      <c r="C2854" t="s">
        <v>455</v>
      </c>
      <c r="D2854" s="8"/>
      <c r="E2854" s="8"/>
      <c r="L2854" t="s">
        <v>563</v>
      </c>
      <c r="M2854" t="s">
        <v>478</v>
      </c>
      <c r="N2854" t="str">
        <f>Tabela_tudo[[#This Row],[Médico]]&amp;" ("&amp;Tabela_tudo[[#This Row],[Obs]]&amp;")"</f>
        <v>ROB ()</v>
      </c>
    </row>
    <row r="2855" spans="1:14" x14ac:dyDescent="0.3">
      <c r="A2855" s="1">
        <v>45292</v>
      </c>
      <c r="B2855" t="s">
        <v>20</v>
      </c>
      <c r="C2855" t="s">
        <v>455</v>
      </c>
      <c r="D2855" s="8"/>
      <c r="E2855" s="8"/>
      <c r="L2855" t="s">
        <v>563</v>
      </c>
      <c r="M2855" t="s">
        <v>478</v>
      </c>
      <c r="N2855" t="str">
        <f>Tabela_tudo[[#This Row],[Médico]]&amp;" ("&amp;Tabela_tudo[[#This Row],[Obs]]&amp;")"</f>
        <v>ROB ()</v>
      </c>
    </row>
    <row r="2856" spans="1:14" x14ac:dyDescent="0.3">
      <c r="A2856" s="1">
        <v>45285</v>
      </c>
      <c r="B2856" t="s">
        <v>20</v>
      </c>
      <c r="C2856" t="s">
        <v>455</v>
      </c>
      <c r="D2856" s="8"/>
      <c r="E2856" s="8"/>
      <c r="L2856" t="s">
        <v>563</v>
      </c>
      <c r="M2856" t="s">
        <v>478</v>
      </c>
      <c r="N2856" t="str">
        <f>Tabela_tudo[[#This Row],[Médico]]&amp;" ("&amp;Tabela_tudo[[#This Row],[Obs]]&amp;")"</f>
        <v>ROB ()</v>
      </c>
    </row>
    <row r="2857" spans="1:14" x14ac:dyDescent="0.3">
      <c r="A2857" s="1">
        <v>45278</v>
      </c>
      <c r="B2857" t="s">
        <v>20</v>
      </c>
      <c r="C2857" t="s">
        <v>455</v>
      </c>
      <c r="D2857" s="8"/>
      <c r="E2857" s="8"/>
      <c r="L2857" t="s">
        <v>563</v>
      </c>
      <c r="M2857" t="s">
        <v>478</v>
      </c>
      <c r="N2857" t="str">
        <f>Tabela_tudo[[#This Row],[Médico]]&amp;" ("&amp;Tabela_tudo[[#This Row],[Obs]]&amp;")"</f>
        <v>ROB ()</v>
      </c>
    </row>
    <row r="2858" spans="1:14" x14ac:dyDescent="0.3">
      <c r="A2858" s="1">
        <v>45131</v>
      </c>
      <c r="B2858" t="s">
        <v>20</v>
      </c>
      <c r="C2858" t="s">
        <v>455</v>
      </c>
      <c r="D2858" s="8"/>
      <c r="E2858" s="8"/>
      <c r="L2858" t="s">
        <v>563</v>
      </c>
      <c r="M2858" t="s">
        <v>478</v>
      </c>
      <c r="N2858" t="str">
        <f>Tabela_tudo[[#This Row],[Médico]]&amp;" ("&amp;Tabela_tudo[[#This Row],[Obs]]&amp;")"</f>
        <v>ROB ()</v>
      </c>
    </row>
    <row r="2859" spans="1:14" x14ac:dyDescent="0.3">
      <c r="A2859" s="1">
        <v>44991</v>
      </c>
      <c r="B2859" t="s">
        <v>20</v>
      </c>
      <c r="C2859" t="s">
        <v>455</v>
      </c>
      <c r="D2859" s="8"/>
      <c r="E2859" s="8"/>
      <c r="L2859" t="s">
        <v>563</v>
      </c>
      <c r="M2859" t="s">
        <v>478</v>
      </c>
      <c r="N2859" t="str">
        <f>Tabela_tudo[[#This Row],[Médico]]&amp;" ("&amp;Tabela_tudo[[#This Row],[Obs]]&amp;")"</f>
        <v>ROB ()</v>
      </c>
    </row>
    <row r="2860" spans="1:14" x14ac:dyDescent="0.3">
      <c r="A2860" s="1">
        <v>44984</v>
      </c>
      <c r="B2860" t="s">
        <v>20</v>
      </c>
      <c r="C2860" t="s">
        <v>455</v>
      </c>
      <c r="D2860" s="8"/>
      <c r="E2860" s="8"/>
      <c r="L2860" t="s">
        <v>563</v>
      </c>
      <c r="M2860" t="s">
        <v>478</v>
      </c>
      <c r="N2860" t="str">
        <f>Tabela_tudo[[#This Row],[Médico]]&amp;" ("&amp;Tabela_tudo[[#This Row],[Obs]]&amp;")"</f>
        <v>ROB ()</v>
      </c>
    </row>
    <row r="2861" spans="1:14" x14ac:dyDescent="0.3">
      <c r="A2861" s="1">
        <v>44977</v>
      </c>
      <c r="B2861" t="s">
        <v>20</v>
      </c>
      <c r="C2861" t="s">
        <v>455</v>
      </c>
      <c r="D2861" s="8"/>
      <c r="E2861" s="8"/>
      <c r="L2861" t="s">
        <v>563</v>
      </c>
      <c r="M2861" t="s">
        <v>478</v>
      </c>
      <c r="N2861" t="str">
        <f>Tabela_tudo[[#This Row],[Médico]]&amp;" ("&amp;Tabela_tudo[[#This Row],[Obs]]&amp;")"</f>
        <v>ROB ()</v>
      </c>
    </row>
    <row r="2862" spans="1:14" x14ac:dyDescent="0.3">
      <c r="A2862" s="1">
        <v>44998</v>
      </c>
      <c r="B2862" t="s">
        <v>20</v>
      </c>
      <c r="C2862" t="s">
        <v>455</v>
      </c>
      <c r="D2862" s="8"/>
      <c r="E2862" s="8"/>
      <c r="L2862" t="s">
        <v>563</v>
      </c>
      <c r="M2862" t="s">
        <v>478</v>
      </c>
      <c r="N2862" t="str">
        <f>Tabela_tudo[[#This Row],[Médico]]&amp;" ("&amp;Tabela_tudo[[#This Row],[Obs]]&amp;")"</f>
        <v>ROB ()</v>
      </c>
    </row>
    <row r="2863" spans="1:14" x14ac:dyDescent="0.3">
      <c r="A2863" s="1">
        <v>45019</v>
      </c>
      <c r="B2863" t="s">
        <v>20</v>
      </c>
      <c r="C2863" t="s">
        <v>455</v>
      </c>
      <c r="D2863" s="8"/>
      <c r="E2863" s="8"/>
      <c r="L2863" t="s">
        <v>563</v>
      </c>
      <c r="M2863" t="s">
        <v>478</v>
      </c>
      <c r="N2863" t="str">
        <f>Tabela_tudo[[#This Row],[Médico]]&amp;" ("&amp;Tabela_tudo[[#This Row],[Obs]]&amp;")"</f>
        <v>ROB ()</v>
      </c>
    </row>
    <row r="2864" spans="1:14" x14ac:dyDescent="0.3">
      <c r="A2864" s="1">
        <v>45012</v>
      </c>
      <c r="B2864" t="s">
        <v>20</v>
      </c>
      <c r="C2864" t="s">
        <v>455</v>
      </c>
      <c r="D2864" s="8"/>
      <c r="E2864" s="8"/>
      <c r="L2864" t="s">
        <v>563</v>
      </c>
      <c r="M2864" t="s">
        <v>478</v>
      </c>
      <c r="N2864" t="str">
        <f>Tabela_tudo[[#This Row],[Médico]]&amp;" ("&amp;Tabela_tudo[[#This Row],[Obs]]&amp;")"</f>
        <v>ROB ()</v>
      </c>
    </row>
    <row r="2865" spans="1:14" x14ac:dyDescent="0.3">
      <c r="A2865" s="1">
        <v>45005</v>
      </c>
      <c r="B2865" t="s">
        <v>20</v>
      </c>
      <c r="C2865" t="s">
        <v>455</v>
      </c>
      <c r="D2865" s="8"/>
      <c r="E2865" s="8"/>
      <c r="L2865" t="s">
        <v>563</v>
      </c>
      <c r="M2865" t="s">
        <v>478</v>
      </c>
      <c r="N2865" t="str">
        <f>Tabela_tudo[[#This Row],[Médico]]&amp;" ("&amp;Tabela_tudo[[#This Row],[Obs]]&amp;")"</f>
        <v>ROB ()</v>
      </c>
    </row>
    <row r="2866" spans="1:14" x14ac:dyDescent="0.3">
      <c r="A2866" s="1">
        <v>44942</v>
      </c>
      <c r="B2866" t="s">
        <v>20</v>
      </c>
      <c r="C2866" t="s">
        <v>455</v>
      </c>
      <c r="D2866" s="8"/>
      <c r="E2866" s="8"/>
      <c r="L2866" t="s">
        <v>563</v>
      </c>
      <c r="M2866" t="s">
        <v>478</v>
      </c>
      <c r="N2866" t="str">
        <f>Tabela_tudo[[#This Row],[Médico]]&amp;" ("&amp;Tabela_tudo[[#This Row],[Obs]]&amp;")"</f>
        <v>ROB ()</v>
      </c>
    </row>
    <row r="2867" spans="1:14" x14ac:dyDescent="0.3">
      <c r="A2867" s="1">
        <v>44935</v>
      </c>
      <c r="B2867" t="s">
        <v>20</v>
      </c>
      <c r="C2867" t="s">
        <v>455</v>
      </c>
      <c r="D2867" s="8"/>
      <c r="E2867" s="8"/>
      <c r="L2867" t="s">
        <v>563</v>
      </c>
      <c r="M2867" t="s">
        <v>478</v>
      </c>
      <c r="N2867" t="str">
        <f>Tabela_tudo[[#This Row],[Médico]]&amp;" ("&amp;Tabela_tudo[[#This Row],[Obs]]&amp;")"</f>
        <v>ROB ()</v>
      </c>
    </row>
    <row r="2868" spans="1:14" x14ac:dyDescent="0.3">
      <c r="A2868" s="1">
        <v>44928</v>
      </c>
      <c r="B2868" t="s">
        <v>20</v>
      </c>
      <c r="C2868" t="s">
        <v>455</v>
      </c>
      <c r="D2868" s="8"/>
      <c r="E2868" s="8"/>
      <c r="L2868" t="s">
        <v>563</v>
      </c>
      <c r="M2868" t="s">
        <v>478</v>
      </c>
      <c r="N2868" t="str">
        <f>Tabela_tudo[[#This Row],[Médico]]&amp;" ("&amp;Tabela_tudo[[#This Row],[Obs]]&amp;")"</f>
        <v>ROB ()</v>
      </c>
    </row>
    <row r="2869" spans="1:14" x14ac:dyDescent="0.3">
      <c r="A2869" s="1">
        <v>44949</v>
      </c>
      <c r="B2869" t="s">
        <v>20</v>
      </c>
      <c r="C2869" t="s">
        <v>455</v>
      </c>
      <c r="D2869" s="8"/>
      <c r="E2869" s="8"/>
      <c r="L2869" t="s">
        <v>563</v>
      </c>
      <c r="M2869" t="s">
        <v>478</v>
      </c>
      <c r="N2869" t="str">
        <f>Tabela_tudo[[#This Row],[Médico]]&amp;" ("&amp;Tabela_tudo[[#This Row],[Obs]]&amp;")"</f>
        <v>ROB ()</v>
      </c>
    </row>
    <row r="2870" spans="1:14" x14ac:dyDescent="0.3">
      <c r="A2870" s="1">
        <v>44970</v>
      </c>
      <c r="B2870" t="s">
        <v>20</v>
      </c>
      <c r="C2870" t="s">
        <v>455</v>
      </c>
      <c r="D2870" s="8"/>
      <c r="E2870" s="8"/>
      <c r="L2870" t="s">
        <v>563</v>
      </c>
      <c r="M2870" t="s">
        <v>478</v>
      </c>
      <c r="N2870" t="str">
        <f>Tabela_tudo[[#This Row],[Médico]]&amp;" ("&amp;Tabela_tudo[[#This Row],[Obs]]&amp;")"</f>
        <v>ROB ()</v>
      </c>
    </row>
    <row r="2871" spans="1:14" x14ac:dyDescent="0.3">
      <c r="A2871" s="1">
        <v>44963</v>
      </c>
      <c r="B2871" t="s">
        <v>20</v>
      </c>
      <c r="C2871" t="s">
        <v>455</v>
      </c>
      <c r="D2871" s="8"/>
      <c r="E2871" s="8"/>
      <c r="L2871" t="s">
        <v>563</v>
      </c>
      <c r="M2871" t="s">
        <v>478</v>
      </c>
      <c r="N2871" t="str">
        <f>Tabela_tudo[[#This Row],[Médico]]&amp;" ("&amp;Tabela_tudo[[#This Row],[Obs]]&amp;")"</f>
        <v>ROB ()</v>
      </c>
    </row>
    <row r="2872" spans="1:14" x14ac:dyDescent="0.3">
      <c r="A2872" s="1">
        <v>44956</v>
      </c>
      <c r="B2872" t="s">
        <v>20</v>
      </c>
      <c r="C2872" t="s">
        <v>455</v>
      </c>
      <c r="D2872" s="8"/>
      <c r="E2872" s="8"/>
      <c r="L2872" t="s">
        <v>563</v>
      </c>
      <c r="M2872" t="s">
        <v>478</v>
      </c>
      <c r="N2872" t="str">
        <f>Tabela_tudo[[#This Row],[Médico]]&amp;" ("&amp;Tabela_tudo[[#This Row],[Obs]]&amp;")"</f>
        <v>ROB ()</v>
      </c>
    </row>
    <row r="2873" spans="1:14" x14ac:dyDescent="0.3">
      <c r="A2873" s="1">
        <v>45026</v>
      </c>
      <c r="B2873" t="s">
        <v>20</v>
      </c>
      <c r="C2873" t="s">
        <v>455</v>
      </c>
      <c r="D2873" s="8"/>
      <c r="E2873" s="8"/>
      <c r="L2873" t="s">
        <v>563</v>
      </c>
      <c r="M2873" t="s">
        <v>478</v>
      </c>
      <c r="N2873" t="str">
        <f>Tabela_tudo[[#This Row],[Médico]]&amp;" ("&amp;Tabela_tudo[[#This Row],[Obs]]&amp;")"</f>
        <v>ROB ()</v>
      </c>
    </row>
    <row r="2874" spans="1:14" x14ac:dyDescent="0.3">
      <c r="A2874" s="1">
        <v>45096</v>
      </c>
      <c r="B2874" t="s">
        <v>20</v>
      </c>
      <c r="C2874" t="s">
        <v>455</v>
      </c>
      <c r="D2874" s="8"/>
      <c r="E2874" s="8"/>
      <c r="L2874" t="s">
        <v>563</v>
      </c>
      <c r="M2874" t="s">
        <v>478</v>
      </c>
      <c r="N2874" t="str">
        <f>Tabela_tudo[[#This Row],[Médico]]&amp;" ("&amp;Tabela_tudo[[#This Row],[Obs]]&amp;")"</f>
        <v>ROB ()</v>
      </c>
    </row>
    <row r="2875" spans="1:14" x14ac:dyDescent="0.3">
      <c r="A2875" s="1">
        <v>45089</v>
      </c>
      <c r="B2875" t="s">
        <v>20</v>
      </c>
      <c r="C2875" t="s">
        <v>455</v>
      </c>
      <c r="D2875" s="8"/>
      <c r="E2875" s="8"/>
      <c r="L2875" t="s">
        <v>563</v>
      </c>
      <c r="M2875" t="s">
        <v>478</v>
      </c>
      <c r="N2875" t="str">
        <f>Tabela_tudo[[#This Row],[Médico]]&amp;" ("&amp;Tabela_tudo[[#This Row],[Obs]]&amp;")"</f>
        <v>ROB ()</v>
      </c>
    </row>
    <row r="2876" spans="1:14" x14ac:dyDescent="0.3">
      <c r="A2876" s="1">
        <v>45082</v>
      </c>
      <c r="B2876" t="s">
        <v>20</v>
      </c>
      <c r="C2876" t="s">
        <v>455</v>
      </c>
      <c r="D2876" s="8"/>
      <c r="E2876" s="8"/>
      <c r="L2876" t="s">
        <v>563</v>
      </c>
      <c r="M2876" t="s">
        <v>478</v>
      </c>
      <c r="N2876" t="str">
        <f>Tabela_tudo[[#This Row],[Médico]]&amp;" ("&amp;Tabela_tudo[[#This Row],[Obs]]&amp;")"</f>
        <v>ROB ()</v>
      </c>
    </row>
    <row r="2877" spans="1:14" x14ac:dyDescent="0.3">
      <c r="A2877" s="1">
        <v>45103</v>
      </c>
      <c r="B2877" t="s">
        <v>20</v>
      </c>
      <c r="C2877" t="s">
        <v>455</v>
      </c>
      <c r="D2877" s="8"/>
      <c r="E2877" s="8"/>
      <c r="L2877" t="s">
        <v>563</v>
      </c>
      <c r="M2877" t="s">
        <v>478</v>
      </c>
      <c r="N2877" t="str">
        <f>Tabela_tudo[[#This Row],[Médico]]&amp;" ("&amp;Tabela_tudo[[#This Row],[Obs]]&amp;")"</f>
        <v>ROB ()</v>
      </c>
    </row>
    <row r="2878" spans="1:14" x14ac:dyDescent="0.3">
      <c r="A2878" s="1">
        <v>45124</v>
      </c>
      <c r="B2878" t="s">
        <v>20</v>
      </c>
      <c r="C2878" t="s">
        <v>455</v>
      </c>
      <c r="D2878" s="8"/>
      <c r="E2878" s="8"/>
      <c r="L2878" t="s">
        <v>563</v>
      </c>
      <c r="M2878" t="s">
        <v>478</v>
      </c>
      <c r="N2878" t="str">
        <f>Tabela_tudo[[#This Row],[Médico]]&amp;" ("&amp;Tabela_tudo[[#This Row],[Obs]]&amp;")"</f>
        <v>ROB ()</v>
      </c>
    </row>
    <row r="2879" spans="1:14" x14ac:dyDescent="0.3">
      <c r="A2879" s="1">
        <v>45117</v>
      </c>
      <c r="B2879" t="s">
        <v>20</v>
      </c>
      <c r="C2879" t="s">
        <v>455</v>
      </c>
      <c r="D2879" s="8"/>
      <c r="E2879" s="8"/>
      <c r="L2879" t="s">
        <v>563</v>
      </c>
      <c r="M2879" t="s">
        <v>478</v>
      </c>
      <c r="N2879" t="str">
        <f>Tabela_tudo[[#This Row],[Médico]]&amp;" ("&amp;Tabela_tudo[[#This Row],[Obs]]&amp;")"</f>
        <v>ROB ()</v>
      </c>
    </row>
    <row r="2880" spans="1:14" x14ac:dyDescent="0.3">
      <c r="A2880" s="1">
        <v>45110</v>
      </c>
      <c r="B2880" t="s">
        <v>20</v>
      </c>
      <c r="C2880" t="s">
        <v>455</v>
      </c>
      <c r="D2880" s="8"/>
      <c r="E2880" s="8"/>
      <c r="L2880" t="s">
        <v>563</v>
      </c>
      <c r="M2880" t="s">
        <v>478</v>
      </c>
      <c r="N2880" t="str">
        <f>Tabela_tudo[[#This Row],[Médico]]&amp;" ("&amp;Tabela_tudo[[#This Row],[Obs]]&amp;")"</f>
        <v>ROB ()</v>
      </c>
    </row>
    <row r="2881" spans="1:14" x14ac:dyDescent="0.3">
      <c r="A2881" s="1">
        <v>45047</v>
      </c>
      <c r="B2881" t="s">
        <v>20</v>
      </c>
      <c r="C2881" t="s">
        <v>455</v>
      </c>
      <c r="D2881" s="8"/>
      <c r="E2881" s="8"/>
      <c r="L2881" t="s">
        <v>563</v>
      </c>
      <c r="M2881" t="s">
        <v>478</v>
      </c>
      <c r="N2881" t="str">
        <f>Tabela_tudo[[#This Row],[Médico]]&amp;" ("&amp;Tabela_tudo[[#This Row],[Obs]]&amp;")"</f>
        <v>ROB ()</v>
      </c>
    </row>
    <row r="2882" spans="1:14" x14ac:dyDescent="0.3">
      <c r="A2882" s="1">
        <v>45040</v>
      </c>
      <c r="B2882" t="s">
        <v>20</v>
      </c>
      <c r="C2882" t="s">
        <v>455</v>
      </c>
      <c r="D2882" s="8"/>
      <c r="E2882" s="8"/>
      <c r="L2882" t="s">
        <v>563</v>
      </c>
      <c r="M2882" t="s">
        <v>478</v>
      </c>
      <c r="N2882" t="str">
        <f>Tabela_tudo[[#This Row],[Médico]]&amp;" ("&amp;Tabela_tudo[[#This Row],[Obs]]&amp;")"</f>
        <v>ROB ()</v>
      </c>
    </row>
    <row r="2883" spans="1:14" x14ac:dyDescent="0.3">
      <c r="A2883" s="1">
        <v>45033</v>
      </c>
      <c r="B2883" t="s">
        <v>20</v>
      </c>
      <c r="C2883" t="s">
        <v>455</v>
      </c>
      <c r="D2883" s="8"/>
      <c r="E2883" s="8"/>
      <c r="L2883" t="s">
        <v>563</v>
      </c>
      <c r="M2883" t="s">
        <v>478</v>
      </c>
      <c r="N2883" t="str">
        <f>Tabela_tudo[[#This Row],[Médico]]&amp;" ("&amp;Tabela_tudo[[#This Row],[Obs]]&amp;")"</f>
        <v>ROB ()</v>
      </c>
    </row>
    <row r="2884" spans="1:14" x14ac:dyDescent="0.3">
      <c r="A2884" s="1">
        <v>45054</v>
      </c>
      <c r="B2884" t="s">
        <v>20</v>
      </c>
      <c r="C2884" t="s">
        <v>455</v>
      </c>
      <c r="D2884" s="8"/>
      <c r="E2884" s="8"/>
      <c r="L2884" t="s">
        <v>563</v>
      </c>
      <c r="M2884" t="s">
        <v>478</v>
      </c>
      <c r="N2884" t="str">
        <f>Tabela_tudo[[#This Row],[Médico]]&amp;" ("&amp;Tabela_tudo[[#This Row],[Obs]]&amp;")"</f>
        <v>ROB ()</v>
      </c>
    </row>
    <row r="2885" spans="1:14" x14ac:dyDescent="0.3">
      <c r="A2885" s="1">
        <v>45075</v>
      </c>
      <c r="B2885" t="s">
        <v>20</v>
      </c>
      <c r="C2885" t="s">
        <v>455</v>
      </c>
      <c r="D2885" s="8"/>
      <c r="E2885" s="8"/>
      <c r="L2885" t="s">
        <v>563</v>
      </c>
      <c r="M2885" t="s">
        <v>478</v>
      </c>
      <c r="N2885" t="str">
        <f>Tabela_tudo[[#This Row],[Médico]]&amp;" ("&amp;Tabela_tudo[[#This Row],[Obs]]&amp;")"</f>
        <v>ROB ()</v>
      </c>
    </row>
    <row r="2886" spans="1:14" x14ac:dyDescent="0.3">
      <c r="A2886" s="1">
        <v>45068</v>
      </c>
      <c r="B2886" t="s">
        <v>20</v>
      </c>
      <c r="C2886" t="s">
        <v>455</v>
      </c>
      <c r="D2886" s="8"/>
      <c r="E2886" s="8"/>
      <c r="L2886" t="s">
        <v>563</v>
      </c>
      <c r="M2886" t="s">
        <v>478</v>
      </c>
      <c r="N2886" t="str">
        <f>Tabela_tudo[[#This Row],[Médico]]&amp;" ("&amp;Tabela_tudo[[#This Row],[Obs]]&amp;")"</f>
        <v>ROB ()</v>
      </c>
    </row>
    <row r="2887" spans="1:14" x14ac:dyDescent="0.3">
      <c r="A2887" s="1">
        <v>45061</v>
      </c>
      <c r="B2887" t="s">
        <v>20</v>
      </c>
      <c r="C2887" t="s">
        <v>455</v>
      </c>
      <c r="D2887" s="8"/>
      <c r="E2887" s="8"/>
      <c r="L2887" t="s">
        <v>563</v>
      </c>
      <c r="M2887" t="s">
        <v>478</v>
      </c>
      <c r="N2887" t="str">
        <f>Tabela_tudo[[#This Row],[Médico]]&amp;" ("&amp;Tabela_tudo[[#This Row],[Obs]]&amp;")"</f>
        <v>ROB ()</v>
      </c>
    </row>
    <row r="2888" spans="1:14" x14ac:dyDescent="0.3">
      <c r="A2888" s="1">
        <v>45348</v>
      </c>
      <c r="B2888" t="s">
        <v>20</v>
      </c>
      <c r="C2888" t="s">
        <v>455</v>
      </c>
      <c r="D2888" s="8"/>
      <c r="E2888" s="8"/>
      <c r="L2888" t="s">
        <v>563</v>
      </c>
      <c r="M2888" t="s">
        <v>478</v>
      </c>
      <c r="N2888" t="str">
        <f>Tabela_tudo[[#This Row],[Médico]]&amp;" ("&amp;Tabela_tudo[[#This Row],[Obs]]&amp;")"</f>
        <v>ROB ()</v>
      </c>
    </row>
    <row r="2889" spans="1:14" x14ac:dyDescent="0.3">
      <c r="A2889" s="1">
        <v>45628</v>
      </c>
      <c r="B2889" t="s">
        <v>20</v>
      </c>
      <c r="C2889" t="s">
        <v>455</v>
      </c>
      <c r="D2889" s="8"/>
      <c r="E2889" s="8"/>
      <c r="L2889" t="s">
        <v>563</v>
      </c>
      <c r="M2889" t="s">
        <v>478</v>
      </c>
      <c r="N2889" t="str">
        <f>Tabela_tudo[[#This Row],[Médico]]&amp;" ("&amp;Tabela_tudo[[#This Row],[Obs]]&amp;")"</f>
        <v>ROB ()</v>
      </c>
    </row>
    <row r="2890" spans="1:14" x14ac:dyDescent="0.3">
      <c r="A2890" s="1">
        <v>45621</v>
      </c>
      <c r="B2890" t="s">
        <v>20</v>
      </c>
      <c r="C2890" t="s">
        <v>455</v>
      </c>
      <c r="D2890" s="8"/>
      <c r="E2890" s="8"/>
      <c r="L2890" t="s">
        <v>563</v>
      </c>
      <c r="M2890" t="s">
        <v>478</v>
      </c>
      <c r="N2890" t="str">
        <f>Tabela_tudo[[#This Row],[Médico]]&amp;" ("&amp;Tabela_tudo[[#This Row],[Obs]]&amp;")"</f>
        <v>ROB ()</v>
      </c>
    </row>
    <row r="2891" spans="1:14" x14ac:dyDescent="0.3">
      <c r="A2891" s="1">
        <v>45614</v>
      </c>
      <c r="B2891" t="s">
        <v>20</v>
      </c>
      <c r="C2891" t="s">
        <v>455</v>
      </c>
      <c r="D2891" s="8"/>
      <c r="E2891" s="8"/>
      <c r="L2891" t="s">
        <v>563</v>
      </c>
      <c r="M2891" t="s">
        <v>478</v>
      </c>
      <c r="N2891" t="str">
        <f>Tabela_tudo[[#This Row],[Médico]]&amp;" ("&amp;Tabela_tudo[[#This Row],[Obs]]&amp;")"</f>
        <v>ROB ()</v>
      </c>
    </row>
    <row r="2892" spans="1:14" x14ac:dyDescent="0.3">
      <c r="A2892" s="1">
        <v>45635</v>
      </c>
      <c r="B2892" t="s">
        <v>20</v>
      </c>
      <c r="C2892" t="s">
        <v>455</v>
      </c>
      <c r="D2892" s="8"/>
      <c r="E2892" s="8"/>
      <c r="L2892" t="s">
        <v>563</v>
      </c>
      <c r="M2892" t="s">
        <v>478</v>
      </c>
      <c r="N2892" t="str">
        <f>Tabela_tudo[[#This Row],[Médico]]&amp;" ("&amp;Tabela_tudo[[#This Row],[Obs]]&amp;")"</f>
        <v>ROB ()</v>
      </c>
    </row>
    <row r="2893" spans="1:14" x14ac:dyDescent="0.3">
      <c r="A2893" s="1">
        <v>44928</v>
      </c>
      <c r="B2893" t="s">
        <v>25</v>
      </c>
      <c r="C2893" t="s">
        <v>455</v>
      </c>
      <c r="D2893" s="8"/>
      <c r="E2893" s="8"/>
      <c r="L2893" t="s">
        <v>563</v>
      </c>
      <c r="M2893" t="s">
        <v>478</v>
      </c>
      <c r="N2893" t="str">
        <f>Tabela_tudo[[#This Row],[Médico]]&amp;" ("&amp;Tabela_tudo[[#This Row],[Obs]]&amp;")"</f>
        <v>HEN ()</v>
      </c>
    </row>
    <row r="2894" spans="1:14" x14ac:dyDescent="0.3">
      <c r="A2894" s="1">
        <v>45649</v>
      </c>
      <c r="B2894" t="s">
        <v>20</v>
      </c>
      <c r="C2894" t="s">
        <v>455</v>
      </c>
      <c r="D2894" s="8"/>
      <c r="E2894" s="8"/>
      <c r="L2894" t="s">
        <v>563</v>
      </c>
      <c r="M2894" t="s">
        <v>478</v>
      </c>
      <c r="N2894" t="str">
        <f>Tabela_tudo[[#This Row],[Médico]]&amp;" ("&amp;Tabela_tudo[[#This Row],[Obs]]&amp;")"</f>
        <v>ROB ()</v>
      </c>
    </row>
    <row r="2895" spans="1:14" x14ac:dyDescent="0.3">
      <c r="A2895" s="1">
        <v>45642</v>
      </c>
      <c r="B2895" t="s">
        <v>20</v>
      </c>
      <c r="C2895" t="s">
        <v>455</v>
      </c>
      <c r="D2895" s="8"/>
      <c r="E2895" s="8"/>
      <c r="L2895" t="s">
        <v>563</v>
      </c>
      <c r="M2895" t="s">
        <v>478</v>
      </c>
      <c r="N2895" t="str">
        <f>Tabela_tudo[[#This Row],[Médico]]&amp;" ("&amp;Tabela_tudo[[#This Row],[Obs]]&amp;")"</f>
        <v>ROB ()</v>
      </c>
    </row>
    <row r="2896" spans="1:14" x14ac:dyDescent="0.3">
      <c r="A2896" s="1">
        <v>45579</v>
      </c>
      <c r="B2896" t="s">
        <v>20</v>
      </c>
      <c r="C2896" t="s">
        <v>455</v>
      </c>
      <c r="D2896" s="8"/>
      <c r="E2896" s="8"/>
      <c r="L2896" t="s">
        <v>563</v>
      </c>
      <c r="M2896" t="s">
        <v>478</v>
      </c>
      <c r="N2896" t="str">
        <f>Tabela_tudo[[#This Row],[Médico]]&amp;" ("&amp;Tabela_tudo[[#This Row],[Obs]]&amp;")"</f>
        <v>ROB ()</v>
      </c>
    </row>
    <row r="2897" spans="1:14" x14ac:dyDescent="0.3">
      <c r="A2897" s="1">
        <v>45572</v>
      </c>
      <c r="B2897" t="s">
        <v>20</v>
      </c>
      <c r="C2897" t="s">
        <v>455</v>
      </c>
      <c r="D2897" s="8"/>
      <c r="E2897" s="8"/>
      <c r="L2897" t="s">
        <v>563</v>
      </c>
      <c r="M2897" t="s">
        <v>478</v>
      </c>
      <c r="N2897" t="str">
        <f>Tabela_tudo[[#This Row],[Médico]]&amp;" ("&amp;Tabela_tudo[[#This Row],[Obs]]&amp;")"</f>
        <v>ROB ()</v>
      </c>
    </row>
    <row r="2898" spans="1:14" x14ac:dyDescent="0.3">
      <c r="A2898" s="1">
        <v>45565</v>
      </c>
      <c r="B2898" t="s">
        <v>20</v>
      </c>
      <c r="C2898" t="s">
        <v>455</v>
      </c>
      <c r="D2898" s="8"/>
      <c r="E2898" s="8"/>
      <c r="L2898" t="s">
        <v>563</v>
      </c>
      <c r="M2898" t="s">
        <v>478</v>
      </c>
      <c r="N2898" t="str">
        <f>Tabela_tudo[[#This Row],[Médico]]&amp;" ("&amp;Tabela_tudo[[#This Row],[Obs]]&amp;")"</f>
        <v>ROB ()</v>
      </c>
    </row>
    <row r="2899" spans="1:14" x14ac:dyDescent="0.3">
      <c r="A2899" s="1">
        <v>45586</v>
      </c>
      <c r="B2899" t="s">
        <v>20</v>
      </c>
      <c r="C2899" t="s">
        <v>455</v>
      </c>
      <c r="D2899" s="8"/>
      <c r="E2899" s="8"/>
      <c r="L2899" t="s">
        <v>563</v>
      </c>
      <c r="M2899" t="s">
        <v>478</v>
      </c>
      <c r="N2899" t="str">
        <f>Tabela_tudo[[#This Row],[Médico]]&amp;" ("&amp;Tabela_tudo[[#This Row],[Obs]]&amp;")"</f>
        <v>ROB ()</v>
      </c>
    </row>
    <row r="2900" spans="1:14" x14ac:dyDescent="0.3">
      <c r="A2900" s="1">
        <v>45607</v>
      </c>
      <c r="B2900" t="s">
        <v>20</v>
      </c>
      <c r="C2900" t="s">
        <v>455</v>
      </c>
      <c r="D2900" s="8"/>
      <c r="E2900" s="8"/>
      <c r="L2900" t="s">
        <v>563</v>
      </c>
      <c r="M2900" t="s">
        <v>478</v>
      </c>
      <c r="N2900" t="str">
        <f>Tabela_tudo[[#This Row],[Médico]]&amp;" ("&amp;Tabela_tudo[[#This Row],[Obs]]&amp;")"</f>
        <v>ROB ()</v>
      </c>
    </row>
    <row r="2901" spans="1:14" x14ac:dyDescent="0.3">
      <c r="A2901" s="1">
        <v>45600</v>
      </c>
      <c r="B2901" t="s">
        <v>20</v>
      </c>
      <c r="C2901" t="s">
        <v>455</v>
      </c>
      <c r="D2901" s="8"/>
      <c r="E2901" s="8"/>
      <c r="L2901" t="s">
        <v>563</v>
      </c>
      <c r="M2901" t="s">
        <v>478</v>
      </c>
      <c r="N2901" t="str">
        <f>Tabela_tudo[[#This Row],[Médico]]&amp;" ("&amp;Tabela_tudo[[#This Row],[Obs]]&amp;")"</f>
        <v>ROB ()</v>
      </c>
    </row>
    <row r="2902" spans="1:14" x14ac:dyDescent="0.3">
      <c r="A2902" s="1">
        <v>45593</v>
      </c>
      <c r="B2902" t="s">
        <v>20</v>
      </c>
      <c r="C2902" t="s">
        <v>455</v>
      </c>
      <c r="D2902" s="8"/>
      <c r="E2902" s="8"/>
      <c r="L2902" t="s">
        <v>563</v>
      </c>
      <c r="M2902" t="s">
        <v>478</v>
      </c>
      <c r="N2902" t="str">
        <f>Tabela_tudo[[#This Row],[Médico]]&amp;" ("&amp;Tabela_tudo[[#This Row],[Obs]]&amp;")"</f>
        <v>ROB ()</v>
      </c>
    </row>
    <row r="2903" spans="1:14" x14ac:dyDescent="0.3">
      <c r="A2903" s="1">
        <v>44935</v>
      </c>
      <c r="B2903" t="s">
        <v>25</v>
      </c>
      <c r="C2903" t="s">
        <v>455</v>
      </c>
      <c r="D2903" s="8"/>
      <c r="E2903" s="8"/>
      <c r="L2903" t="s">
        <v>563</v>
      </c>
      <c r="M2903" t="s">
        <v>478</v>
      </c>
      <c r="N2903" t="str">
        <f>Tabela_tudo[[#This Row],[Médico]]&amp;" ("&amp;Tabela_tudo[[#This Row],[Obs]]&amp;")"</f>
        <v>HEN ()</v>
      </c>
    </row>
    <row r="2904" spans="1:14" x14ac:dyDescent="0.3">
      <c r="A2904" s="1">
        <v>45005</v>
      </c>
      <c r="B2904" t="s">
        <v>25</v>
      </c>
      <c r="C2904" t="s">
        <v>455</v>
      </c>
      <c r="D2904" s="8"/>
      <c r="E2904" s="8"/>
      <c r="L2904" t="s">
        <v>563</v>
      </c>
      <c r="M2904" t="s">
        <v>478</v>
      </c>
      <c r="N2904" t="str">
        <f>Tabela_tudo[[#This Row],[Médico]]&amp;" ("&amp;Tabela_tudo[[#This Row],[Obs]]&amp;")"</f>
        <v>HEN ()</v>
      </c>
    </row>
    <row r="2905" spans="1:14" x14ac:dyDescent="0.3">
      <c r="A2905" s="1">
        <v>44998</v>
      </c>
      <c r="B2905" t="s">
        <v>25</v>
      </c>
      <c r="C2905" t="s">
        <v>455</v>
      </c>
      <c r="D2905" s="8"/>
      <c r="E2905" s="8"/>
      <c r="L2905" t="s">
        <v>563</v>
      </c>
      <c r="M2905" t="s">
        <v>478</v>
      </c>
      <c r="N2905" t="str">
        <f>Tabela_tudo[[#This Row],[Médico]]&amp;" ("&amp;Tabela_tudo[[#This Row],[Obs]]&amp;")"</f>
        <v>HEN ()</v>
      </c>
    </row>
    <row r="2906" spans="1:14" x14ac:dyDescent="0.3">
      <c r="A2906" s="1">
        <v>44991</v>
      </c>
      <c r="B2906" t="s">
        <v>25</v>
      </c>
      <c r="C2906" t="s">
        <v>455</v>
      </c>
      <c r="D2906" s="8"/>
      <c r="E2906" s="8"/>
      <c r="L2906" t="s">
        <v>563</v>
      </c>
      <c r="M2906" t="s">
        <v>478</v>
      </c>
      <c r="N2906" t="str">
        <f>Tabela_tudo[[#This Row],[Médico]]&amp;" ("&amp;Tabela_tudo[[#This Row],[Obs]]&amp;")"</f>
        <v>HEN ()</v>
      </c>
    </row>
    <row r="2907" spans="1:14" x14ac:dyDescent="0.3">
      <c r="A2907" s="1">
        <v>45012</v>
      </c>
      <c r="B2907" t="s">
        <v>25</v>
      </c>
      <c r="C2907" t="s">
        <v>455</v>
      </c>
      <c r="D2907" s="8"/>
      <c r="E2907" s="8"/>
      <c r="L2907" t="s">
        <v>563</v>
      </c>
      <c r="M2907" t="s">
        <v>478</v>
      </c>
      <c r="N2907" t="str">
        <f>Tabela_tudo[[#This Row],[Médico]]&amp;" ("&amp;Tabela_tudo[[#This Row],[Obs]]&amp;")"</f>
        <v>HEN ()</v>
      </c>
    </row>
    <row r="2908" spans="1:14" x14ac:dyDescent="0.3">
      <c r="A2908" s="1">
        <v>45033</v>
      </c>
      <c r="B2908" t="s">
        <v>25</v>
      </c>
      <c r="C2908" t="s">
        <v>455</v>
      </c>
      <c r="D2908" s="8"/>
      <c r="E2908" s="8"/>
      <c r="L2908" t="s">
        <v>563</v>
      </c>
      <c r="M2908" t="s">
        <v>478</v>
      </c>
      <c r="N2908" t="str">
        <f>Tabela_tudo[[#This Row],[Médico]]&amp;" ("&amp;Tabela_tudo[[#This Row],[Obs]]&amp;")"</f>
        <v>HEN ()</v>
      </c>
    </row>
    <row r="2909" spans="1:14" x14ac:dyDescent="0.3">
      <c r="A2909" s="1">
        <v>45026</v>
      </c>
      <c r="B2909" t="s">
        <v>25</v>
      </c>
      <c r="C2909" t="s">
        <v>455</v>
      </c>
      <c r="D2909" s="8"/>
      <c r="E2909" s="8"/>
      <c r="L2909" t="s">
        <v>563</v>
      </c>
      <c r="M2909" t="s">
        <v>478</v>
      </c>
      <c r="N2909" t="str">
        <f>Tabela_tudo[[#This Row],[Médico]]&amp;" ("&amp;Tabela_tudo[[#This Row],[Obs]]&amp;")"</f>
        <v>HEN ()</v>
      </c>
    </row>
    <row r="2910" spans="1:14" x14ac:dyDescent="0.3">
      <c r="A2910" s="1">
        <v>45019</v>
      </c>
      <c r="B2910" t="s">
        <v>25</v>
      </c>
      <c r="C2910" t="s">
        <v>455</v>
      </c>
      <c r="D2910" s="8"/>
      <c r="E2910" s="8"/>
      <c r="L2910" t="s">
        <v>563</v>
      </c>
      <c r="M2910" t="s">
        <v>478</v>
      </c>
      <c r="N2910" t="str">
        <f>Tabela_tudo[[#This Row],[Médico]]&amp;" ("&amp;Tabela_tudo[[#This Row],[Obs]]&amp;")"</f>
        <v>HEN ()</v>
      </c>
    </row>
    <row r="2911" spans="1:14" x14ac:dyDescent="0.3">
      <c r="A2911" s="1">
        <v>44956</v>
      </c>
      <c r="B2911" t="s">
        <v>25</v>
      </c>
      <c r="C2911" t="s">
        <v>455</v>
      </c>
      <c r="D2911" s="8"/>
      <c r="E2911" s="8"/>
      <c r="L2911" t="s">
        <v>563</v>
      </c>
      <c r="M2911" t="s">
        <v>478</v>
      </c>
      <c r="N2911" t="str">
        <f>Tabela_tudo[[#This Row],[Médico]]&amp;" ("&amp;Tabela_tudo[[#This Row],[Obs]]&amp;")"</f>
        <v>HEN ()</v>
      </c>
    </row>
    <row r="2912" spans="1:14" x14ac:dyDescent="0.3">
      <c r="A2912" s="1">
        <v>44949</v>
      </c>
      <c r="B2912" t="s">
        <v>25</v>
      </c>
      <c r="C2912" t="s">
        <v>455</v>
      </c>
      <c r="D2912" s="8"/>
      <c r="E2912" s="8"/>
      <c r="L2912" t="s">
        <v>563</v>
      </c>
      <c r="M2912" t="s">
        <v>478</v>
      </c>
      <c r="N2912" t="str">
        <f>Tabela_tudo[[#This Row],[Médico]]&amp;" ("&amp;Tabela_tudo[[#This Row],[Obs]]&amp;")"</f>
        <v>HEN ()</v>
      </c>
    </row>
    <row r="2913" spans="1:14" x14ac:dyDescent="0.3">
      <c r="A2913" s="1">
        <v>44942</v>
      </c>
      <c r="B2913" t="s">
        <v>25</v>
      </c>
      <c r="C2913" t="s">
        <v>455</v>
      </c>
      <c r="D2913" s="8"/>
      <c r="E2913" s="8"/>
      <c r="L2913" t="s">
        <v>563</v>
      </c>
      <c r="M2913" t="s">
        <v>478</v>
      </c>
      <c r="N2913" t="str">
        <f>Tabela_tudo[[#This Row],[Médico]]&amp;" ("&amp;Tabela_tudo[[#This Row],[Obs]]&amp;")"</f>
        <v>HEN ()</v>
      </c>
    </row>
    <row r="2914" spans="1:14" x14ac:dyDescent="0.3">
      <c r="A2914" s="1">
        <v>44963</v>
      </c>
      <c r="B2914" t="s">
        <v>25</v>
      </c>
      <c r="C2914" t="s">
        <v>455</v>
      </c>
      <c r="D2914" s="8"/>
      <c r="E2914" s="8"/>
      <c r="L2914" t="s">
        <v>563</v>
      </c>
      <c r="M2914" t="s">
        <v>478</v>
      </c>
      <c r="N2914" t="str">
        <f>Tabela_tudo[[#This Row],[Médico]]&amp;" ("&amp;Tabela_tudo[[#This Row],[Obs]]&amp;")"</f>
        <v>HEN ()</v>
      </c>
    </row>
    <row r="2915" spans="1:14" x14ac:dyDescent="0.3">
      <c r="A2915" s="1">
        <v>44984</v>
      </c>
      <c r="B2915" t="s">
        <v>25</v>
      </c>
      <c r="C2915" t="s">
        <v>455</v>
      </c>
      <c r="D2915" s="8"/>
      <c r="E2915" s="8"/>
      <c r="L2915" t="s">
        <v>563</v>
      </c>
      <c r="M2915" t="s">
        <v>478</v>
      </c>
      <c r="N2915" t="str">
        <f>Tabela_tudo[[#This Row],[Médico]]&amp;" ("&amp;Tabela_tudo[[#This Row],[Obs]]&amp;")"</f>
        <v>HEN ()</v>
      </c>
    </row>
    <row r="2916" spans="1:14" x14ac:dyDescent="0.3">
      <c r="A2916" s="1">
        <v>44977</v>
      </c>
      <c r="B2916" t="s">
        <v>25</v>
      </c>
      <c r="C2916" t="s">
        <v>455</v>
      </c>
      <c r="D2916" s="8"/>
      <c r="E2916" s="8"/>
      <c r="L2916" t="s">
        <v>563</v>
      </c>
      <c r="M2916" t="s">
        <v>478</v>
      </c>
      <c r="N2916" t="str">
        <f>Tabela_tudo[[#This Row],[Médico]]&amp;" ("&amp;Tabela_tudo[[#This Row],[Obs]]&amp;")"</f>
        <v>HEN ()</v>
      </c>
    </row>
    <row r="2917" spans="1:14" x14ac:dyDescent="0.3">
      <c r="A2917" s="1">
        <v>44970</v>
      </c>
      <c r="B2917" t="s">
        <v>25</v>
      </c>
      <c r="C2917" t="s">
        <v>455</v>
      </c>
      <c r="D2917" s="8"/>
      <c r="E2917" s="8"/>
      <c r="L2917" t="s">
        <v>563</v>
      </c>
      <c r="M2917" t="s">
        <v>478</v>
      </c>
      <c r="N2917" t="str">
        <f>Tabela_tudo[[#This Row],[Médico]]&amp;" ("&amp;Tabela_tudo[[#This Row],[Obs]]&amp;")"</f>
        <v>HEN ()</v>
      </c>
    </row>
    <row r="2918" spans="1:14" x14ac:dyDescent="0.3">
      <c r="A2918" s="1">
        <v>45558</v>
      </c>
      <c r="B2918" t="s">
        <v>20</v>
      </c>
      <c r="C2918" t="s">
        <v>455</v>
      </c>
      <c r="D2918" s="8"/>
      <c r="E2918" s="8"/>
      <c r="L2918" t="s">
        <v>563</v>
      </c>
      <c r="M2918" t="s">
        <v>478</v>
      </c>
      <c r="N2918" t="str">
        <f>Tabela_tudo[[#This Row],[Médico]]&amp;" ("&amp;Tabela_tudo[[#This Row],[Obs]]&amp;")"</f>
        <v>ROB ()</v>
      </c>
    </row>
    <row r="2919" spans="1:14" x14ac:dyDescent="0.3">
      <c r="A2919" s="1">
        <v>45418</v>
      </c>
      <c r="B2919" t="s">
        <v>20</v>
      </c>
      <c r="C2919" t="s">
        <v>455</v>
      </c>
      <c r="D2919" s="8"/>
      <c r="E2919" s="8"/>
      <c r="L2919" t="s">
        <v>563</v>
      </c>
      <c r="M2919" t="s">
        <v>478</v>
      </c>
      <c r="N2919" t="str">
        <f>Tabela_tudo[[#This Row],[Médico]]&amp;" ("&amp;Tabela_tudo[[#This Row],[Obs]]&amp;")"</f>
        <v>ROB ()</v>
      </c>
    </row>
    <row r="2920" spans="1:14" x14ac:dyDescent="0.3">
      <c r="A2920" s="1">
        <v>45411</v>
      </c>
      <c r="B2920" t="s">
        <v>20</v>
      </c>
      <c r="C2920" t="s">
        <v>455</v>
      </c>
      <c r="D2920" s="8"/>
      <c r="E2920" s="8"/>
      <c r="L2920" t="s">
        <v>563</v>
      </c>
      <c r="M2920" t="s">
        <v>478</v>
      </c>
      <c r="N2920" t="str">
        <f>Tabela_tudo[[#This Row],[Médico]]&amp;" ("&amp;Tabela_tudo[[#This Row],[Obs]]&amp;")"</f>
        <v>ROB ()</v>
      </c>
    </row>
    <row r="2921" spans="1:14" x14ac:dyDescent="0.3">
      <c r="A2921" s="1">
        <v>45404</v>
      </c>
      <c r="B2921" t="s">
        <v>20</v>
      </c>
      <c r="C2921" t="s">
        <v>455</v>
      </c>
      <c r="D2921" s="8"/>
      <c r="E2921" s="8"/>
      <c r="L2921" t="s">
        <v>563</v>
      </c>
      <c r="M2921" t="s">
        <v>478</v>
      </c>
      <c r="N2921" t="str">
        <f>Tabela_tudo[[#This Row],[Médico]]&amp;" ("&amp;Tabela_tudo[[#This Row],[Obs]]&amp;")"</f>
        <v>ROB ()</v>
      </c>
    </row>
    <row r="2922" spans="1:14" x14ac:dyDescent="0.3">
      <c r="A2922" s="1">
        <v>45425</v>
      </c>
      <c r="B2922" t="s">
        <v>20</v>
      </c>
      <c r="C2922" t="s">
        <v>455</v>
      </c>
      <c r="D2922" s="8"/>
      <c r="E2922" s="8"/>
      <c r="L2922" t="s">
        <v>563</v>
      </c>
      <c r="M2922" t="s">
        <v>478</v>
      </c>
      <c r="N2922" t="str">
        <f>Tabela_tudo[[#This Row],[Médico]]&amp;" ("&amp;Tabela_tudo[[#This Row],[Obs]]&amp;")"</f>
        <v>ROB ()</v>
      </c>
    </row>
    <row r="2923" spans="1:14" x14ac:dyDescent="0.3">
      <c r="A2923" s="1">
        <v>45446</v>
      </c>
      <c r="B2923" t="s">
        <v>20</v>
      </c>
      <c r="C2923" t="s">
        <v>455</v>
      </c>
      <c r="D2923" s="8"/>
      <c r="E2923" s="8"/>
      <c r="L2923" t="s">
        <v>563</v>
      </c>
      <c r="M2923" t="s">
        <v>478</v>
      </c>
      <c r="N2923" t="str">
        <f>Tabela_tudo[[#This Row],[Médico]]&amp;" ("&amp;Tabela_tudo[[#This Row],[Obs]]&amp;")"</f>
        <v>ROB ()</v>
      </c>
    </row>
    <row r="2924" spans="1:14" x14ac:dyDescent="0.3">
      <c r="A2924" s="1">
        <v>45439</v>
      </c>
      <c r="B2924" t="s">
        <v>20</v>
      </c>
      <c r="C2924" t="s">
        <v>455</v>
      </c>
      <c r="D2924" s="8"/>
      <c r="E2924" s="8"/>
      <c r="L2924" t="s">
        <v>563</v>
      </c>
      <c r="M2924" t="s">
        <v>478</v>
      </c>
      <c r="N2924" t="str">
        <f>Tabela_tudo[[#This Row],[Médico]]&amp;" ("&amp;Tabela_tudo[[#This Row],[Obs]]&amp;")"</f>
        <v>ROB ()</v>
      </c>
    </row>
    <row r="2925" spans="1:14" x14ac:dyDescent="0.3">
      <c r="A2925" s="1">
        <v>45432</v>
      </c>
      <c r="B2925" t="s">
        <v>20</v>
      </c>
      <c r="C2925" t="s">
        <v>455</v>
      </c>
      <c r="D2925" s="8"/>
      <c r="E2925" s="8"/>
      <c r="L2925" t="s">
        <v>563</v>
      </c>
      <c r="M2925" t="s">
        <v>478</v>
      </c>
      <c r="N2925" t="str">
        <f>Tabela_tudo[[#This Row],[Médico]]&amp;" ("&amp;Tabela_tudo[[#This Row],[Obs]]&amp;")"</f>
        <v>ROB ()</v>
      </c>
    </row>
    <row r="2926" spans="1:14" x14ac:dyDescent="0.3">
      <c r="A2926" s="1">
        <v>45369</v>
      </c>
      <c r="B2926" t="s">
        <v>20</v>
      </c>
      <c r="C2926" t="s">
        <v>455</v>
      </c>
      <c r="D2926" s="8"/>
      <c r="E2926" s="8"/>
      <c r="L2926" t="s">
        <v>563</v>
      </c>
      <c r="M2926" t="s">
        <v>478</v>
      </c>
      <c r="N2926" t="str">
        <f>Tabela_tudo[[#This Row],[Médico]]&amp;" ("&amp;Tabela_tudo[[#This Row],[Obs]]&amp;")"</f>
        <v>ROB ()</v>
      </c>
    </row>
    <row r="2927" spans="1:14" x14ac:dyDescent="0.3">
      <c r="A2927" s="1">
        <v>45362</v>
      </c>
      <c r="B2927" t="s">
        <v>20</v>
      </c>
      <c r="C2927" t="s">
        <v>455</v>
      </c>
      <c r="D2927" s="8"/>
      <c r="E2927" s="8"/>
      <c r="L2927" t="s">
        <v>563</v>
      </c>
      <c r="M2927" t="s">
        <v>478</v>
      </c>
      <c r="N2927" t="str">
        <f>Tabela_tudo[[#This Row],[Médico]]&amp;" ("&amp;Tabela_tudo[[#This Row],[Obs]]&amp;")"</f>
        <v>ROB ()</v>
      </c>
    </row>
    <row r="2928" spans="1:14" x14ac:dyDescent="0.3">
      <c r="A2928" s="1">
        <v>45355</v>
      </c>
      <c r="B2928" t="s">
        <v>20</v>
      </c>
      <c r="C2928" t="s">
        <v>455</v>
      </c>
      <c r="D2928" s="8"/>
      <c r="E2928" s="8"/>
      <c r="L2928" t="s">
        <v>563</v>
      </c>
      <c r="M2928" t="s">
        <v>478</v>
      </c>
      <c r="N2928" t="str">
        <f>Tabela_tudo[[#This Row],[Médico]]&amp;" ("&amp;Tabela_tudo[[#This Row],[Obs]]&amp;")"</f>
        <v>ROB ()</v>
      </c>
    </row>
    <row r="2929" spans="1:14" x14ac:dyDescent="0.3">
      <c r="A2929" s="1">
        <v>45376</v>
      </c>
      <c r="B2929" t="s">
        <v>20</v>
      </c>
      <c r="C2929" t="s">
        <v>455</v>
      </c>
      <c r="D2929" s="8"/>
      <c r="E2929" s="8"/>
      <c r="L2929" t="s">
        <v>563</v>
      </c>
      <c r="M2929" t="s">
        <v>478</v>
      </c>
      <c r="N2929" t="str">
        <f>Tabela_tudo[[#This Row],[Médico]]&amp;" ("&amp;Tabela_tudo[[#This Row],[Obs]]&amp;")"</f>
        <v>ROB ()</v>
      </c>
    </row>
    <row r="2930" spans="1:14" x14ac:dyDescent="0.3">
      <c r="A2930" s="1">
        <v>45397</v>
      </c>
      <c r="B2930" t="s">
        <v>20</v>
      </c>
      <c r="C2930" t="s">
        <v>455</v>
      </c>
      <c r="D2930" s="8"/>
      <c r="E2930" s="8"/>
      <c r="L2930" t="s">
        <v>563</v>
      </c>
      <c r="M2930" t="s">
        <v>478</v>
      </c>
      <c r="N2930" t="str">
        <f>Tabela_tudo[[#This Row],[Médico]]&amp;" ("&amp;Tabela_tudo[[#This Row],[Obs]]&amp;")"</f>
        <v>ROB ()</v>
      </c>
    </row>
    <row r="2931" spans="1:14" x14ac:dyDescent="0.3">
      <c r="A2931" s="1">
        <v>45390</v>
      </c>
      <c r="B2931" t="s">
        <v>20</v>
      </c>
      <c r="C2931" t="s">
        <v>455</v>
      </c>
      <c r="D2931" s="8"/>
      <c r="E2931" s="8"/>
      <c r="L2931" t="s">
        <v>563</v>
      </c>
      <c r="M2931" t="s">
        <v>478</v>
      </c>
      <c r="N2931" t="str">
        <f>Tabela_tudo[[#This Row],[Médico]]&amp;" ("&amp;Tabela_tudo[[#This Row],[Obs]]&amp;")"</f>
        <v>ROB ()</v>
      </c>
    </row>
    <row r="2932" spans="1:14" x14ac:dyDescent="0.3">
      <c r="A2932" s="1">
        <v>45383</v>
      </c>
      <c r="B2932" t="s">
        <v>20</v>
      </c>
      <c r="C2932" t="s">
        <v>455</v>
      </c>
      <c r="D2932" s="8"/>
      <c r="E2932" s="8"/>
      <c r="L2932" t="s">
        <v>563</v>
      </c>
      <c r="M2932" t="s">
        <v>478</v>
      </c>
      <c r="N2932" t="str">
        <f>Tabela_tudo[[#This Row],[Médico]]&amp;" ("&amp;Tabela_tudo[[#This Row],[Obs]]&amp;")"</f>
        <v>ROB ()</v>
      </c>
    </row>
    <row r="2933" spans="1:14" x14ac:dyDescent="0.3">
      <c r="A2933" s="1">
        <v>45453</v>
      </c>
      <c r="B2933" t="s">
        <v>20</v>
      </c>
      <c r="C2933" t="s">
        <v>455</v>
      </c>
      <c r="D2933" s="8"/>
      <c r="E2933" s="8"/>
      <c r="L2933" t="s">
        <v>563</v>
      </c>
      <c r="M2933" t="s">
        <v>478</v>
      </c>
      <c r="N2933" t="str">
        <f>Tabela_tudo[[#This Row],[Médico]]&amp;" ("&amp;Tabela_tudo[[#This Row],[Obs]]&amp;")"</f>
        <v>ROB ()</v>
      </c>
    </row>
    <row r="2934" spans="1:14" x14ac:dyDescent="0.3">
      <c r="A2934" s="1">
        <v>45523</v>
      </c>
      <c r="B2934" t="s">
        <v>20</v>
      </c>
      <c r="C2934" t="s">
        <v>455</v>
      </c>
      <c r="D2934" s="8"/>
      <c r="E2934" s="8"/>
      <c r="L2934" t="s">
        <v>563</v>
      </c>
      <c r="M2934" t="s">
        <v>478</v>
      </c>
      <c r="N2934" t="str">
        <f>Tabela_tudo[[#This Row],[Médico]]&amp;" ("&amp;Tabela_tudo[[#This Row],[Obs]]&amp;")"</f>
        <v>ROB ()</v>
      </c>
    </row>
    <row r="2935" spans="1:14" x14ac:dyDescent="0.3">
      <c r="A2935" s="1">
        <v>45516</v>
      </c>
      <c r="B2935" t="s">
        <v>20</v>
      </c>
      <c r="C2935" t="s">
        <v>455</v>
      </c>
      <c r="D2935" s="8"/>
      <c r="E2935" s="8"/>
      <c r="L2935" t="s">
        <v>563</v>
      </c>
      <c r="M2935" t="s">
        <v>478</v>
      </c>
      <c r="N2935" t="str">
        <f>Tabela_tudo[[#This Row],[Médico]]&amp;" ("&amp;Tabela_tudo[[#This Row],[Obs]]&amp;")"</f>
        <v>ROB ()</v>
      </c>
    </row>
    <row r="2936" spans="1:14" x14ac:dyDescent="0.3">
      <c r="A2936" s="1">
        <v>45509</v>
      </c>
      <c r="B2936" t="s">
        <v>20</v>
      </c>
      <c r="C2936" t="s">
        <v>455</v>
      </c>
      <c r="D2936" s="8"/>
      <c r="E2936" s="8"/>
      <c r="L2936" t="s">
        <v>563</v>
      </c>
      <c r="M2936" t="s">
        <v>478</v>
      </c>
      <c r="N2936" t="str">
        <f>Tabela_tudo[[#This Row],[Médico]]&amp;" ("&amp;Tabela_tudo[[#This Row],[Obs]]&amp;")"</f>
        <v>ROB ()</v>
      </c>
    </row>
    <row r="2937" spans="1:14" x14ac:dyDescent="0.3">
      <c r="A2937" s="1">
        <v>45530</v>
      </c>
      <c r="B2937" t="s">
        <v>20</v>
      </c>
      <c r="C2937" t="s">
        <v>455</v>
      </c>
      <c r="D2937" s="8"/>
      <c r="E2937" s="8"/>
      <c r="L2937" t="s">
        <v>563</v>
      </c>
      <c r="M2937" t="s">
        <v>478</v>
      </c>
      <c r="N2937" t="str">
        <f>Tabela_tudo[[#This Row],[Médico]]&amp;" ("&amp;Tabela_tudo[[#This Row],[Obs]]&amp;")"</f>
        <v>ROB ()</v>
      </c>
    </row>
    <row r="2938" spans="1:14" x14ac:dyDescent="0.3">
      <c r="A2938" s="1">
        <v>45551</v>
      </c>
      <c r="B2938" t="s">
        <v>20</v>
      </c>
      <c r="C2938" t="s">
        <v>455</v>
      </c>
      <c r="D2938" s="8"/>
      <c r="E2938" s="8"/>
      <c r="L2938" t="s">
        <v>563</v>
      </c>
      <c r="M2938" t="s">
        <v>478</v>
      </c>
      <c r="N2938" t="str">
        <f>Tabela_tudo[[#This Row],[Médico]]&amp;" ("&amp;Tabela_tudo[[#This Row],[Obs]]&amp;")"</f>
        <v>ROB ()</v>
      </c>
    </row>
    <row r="2939" spans="1:14" x14ac:dyDescent="0.3">
      <c r="A2939" s="1">
        <v>45544</v>
      </c>
      <c r="B2939" t="s">
        <v>20</v>
      </c>
      <c r="C2939" t="s">
        <v>455</v>
      </c>
      <c r="D2939" s="8"/>
      <c r="E2939" s="8"/>
      <c r="L2939" t="s">
        <v>563</v>
      </c>
      <c r="M2939" t="s">
        <v>478</v>
      </c>
      <c r="N2939" t="str">
        <f>Tabela_tudo[[#This Row],[Médico]]&amp;" ("&amp;Tabela_tudo[[#This Row],[Obs]]&amp;")"</f>
        <v>ROB ()</v>
      </c>
    </row>
    <row r="2940" spans="1:14" x14ac:dyDescent="0.3">
      <c r="A2940" s="1">
        <v>45537</v>
      </c>
      <c r="B2940" t="s">
        <v>20</v>
      </c>
      <c r="C2940" t="s">
        <v>455</v>
      </c>
      <c r="D2940" s="8"/>
      <c r="E2940" s="8"/>
      <c r="L2940" t="s">
        <v>563</v>
      </c>
      <c r="M2940" t="s">
        <v>478</v>
      </c>
      <c r="N2940" t="str">
        <f>Tabela_tudo[[#This Row],[Médico]]&amp;" ("&amp;Tabela_tudo[[#This Row],[Obs]]&amp;")"</f>
        <v>ROB ()</v>
      </c>
    </row>
    <row r="2941" spans="1:14" x14ac:dyDescent="0.3">
      <c r="A2941" s="1">
        <v>45474</v>
      </c>
      <c r="B2941" t="s">
        <v>20</v>
      </c>
      <c r="C2941" t="s">
        <v>455</v>
      </c>
      <c r="D2941" s="8"/>
      <c r="E2941" s="8"/>
      <c r="L2941" t="s">
        <v>563</v>
      </c>
      <c r="M2941" t="s">
        <v>478</v>
      </c>
      <c r="N2941" t="str">
        <f>Tabela_tudo[[#This Row],[Médico]]&amp;" ("&amp;Tabela_tudo[[#This Row],[Obs]]&amp;")"</f>
        <v>ROB ()</v>
      </c>
    </row>
    <row r="2942" spans="1:14" x14ac:dyDescent="0.3">
      <c r="A2942" s="1">
        <v>45467</v>
      </c>
      <c r="B2942" t="s">
        <v>20</v>
      </c>
      <c r="C2942" t="s">
        <v>455</v>
      </c>
      <c r="D2942" s="8"/>
      <c r="E2942" s="8"/>
      <c r="L2942" t="s">
        <v>563</v>
      </c>
      <c r="M2942" t="s">
        <v>478</v>
      </c>
      <c r="N2942" t="str">
        <f>Tabela_tudo[[#This Row],[Médico]]&amp;" ("&amp;Tabela_tudo[[#This Row],[Obs]]&amp;")"</f>
        <v>ROB ()</v>
      </c>
    </row>
    <row r="2943" spans="1:14" x14ac:dyDescent="0.3">
      <c r="A2943" s="1">
        <v>45460</v>
      </c>
      <c r="B2943" t="s">
        <v>20</v>
      </c>
      <c r="C2943" t="s">
        <v>455</v>
      </c>
      <c r="D2943" s="8"/>
      <c r="E2943" s="8"/>
      <c r="L2943" t="s">
        <v>563</v>
      </c>
      <c r="M2943" t="s">
        <v>478</v>
      </c>
      <c r="N2943" t="str">
        <f>Tabela_tudo[[#This Row],[Médico]]&amp;" ("&amp;Tabela_tudo[[#This Row],[Obs]]&amp;")"</f>
        <v>ROB ()</v>
      </c>
    </row>
    <row r="2944" spans="1:14" x14ac:dyDescent="0.3">
      <c r="A2944" s="1">
        <v>45481</v>
      </c>
      <c r="B2944" t="s">
        <v>20</v>
      </c>
      <c r="C2944" t="s">
        <v>455</v>
      </c>
      <c r="D2944" s="8"/>
      <c r="E2944" s="8"/>
      <c r="L2944" t="s">
        <v>563</v>
      </c>
      <c r="M2944" t="s">
        <v>478</v>
      </c>
      <c r="N2944" t="str">
        <f>Tabela_tudo[[#This Row],[Médico]]&amp;" ("&amp;Tabela_tudo[[#This Row],[Obs]]&amp;")"</f>
        <v>ROB ()</v>
      </c>
    </row>
    <row r="2945" spans="1:14" x14ac:dyDescent="0.3">
      <c r="A2945" s="1">
        <v>45502</v>
      </c>
      <c r="B2945" t="s">
        <v>20</v>
      </c>
      <c r="C2945" t="s">
        <v>455</v>
      </c>
      <c r="D2945" s="8"/>
      <c r="E2945" s="8"/>
      <c r="L2945" t="s">
        <v>563</v>
      </c>
      <c r="M2945" t="s">
        <v>478</v>
      </c>
      <c r="N2945" t="str">
        <f>Tabela_tudo[[#This Row],[Médico]]&amp;" ("&amp;Tabela_tudo[[#This Row],[Obs]]&amp;")"</f>
        <v>ROB ()</v>
      </c>
    </row>
    <row r="2946" spans="1:14" x14ac:dyDescent="0.3">
      <c r="A2946" s="1">
        <v>45495</v>
      </c>
      <c r="B2946" t="s">
        <v>20</v>
      </c>
      <c r="C2946" t="s">
        <v>455</v>
      </c>
      <c r="D2946" s="8"/>
      <c r="E2946" s="8"/>
      <c r="L2946" t="s">
        <v>563</v>
      </c>
      <c r="M2946" t="s">
        <v>478</v>
      </c>
      <c r="N2946" t="str">
        <f>Tabela_tudo[[#This Row],[Médico]]&amp;" ("&amp;Tabela_tudo[[#This Row],[Obs]]&amp;")"</f>
        <v>ROB ()</v>
      </c>
    </row>
    <row r="2947" spans="1:14" x14ac:dyDescent="0.3">
      <c r="A2947" s="1">
        <v>45488</v>
      </c>
      <c r="B2947" t="s">
        <v>20</v>
      </c>
      <c r="C2947" t="s">
        <v>455</v>
      </c>
      <c r="D2947" s="8"/>
      <c r="E2947" s="8"/>
      <c r="L2947" t="s">
        <v>563</v>
      </c>
      <c r="M2947" t="s">
        <v>478</v>
      </c>
      <c r="N2947" t="str">
        <f>Tabela_tudo[[#This Row],[Médico]]&amp;" ("&amp;Tabela_tudo[[#This Row],[Obs]]&amp;")"</f>
        <v>ROB ()</v>
      </c>
    </row>
    <row r="2948" spans="1:14" x14ac:dyDescent="0.3">
      <c r="A2948" s="1">
        <v>45538</v>
      </c>
      <c r="B2948" t="s">
        <v>283</v>
      </c>
      <c r="C2948" t="s">
        <v>455</v>
      </c>
      <c r="D2948" s="8"/>
      <c r="E2948" s="8"/>
      <c r="L2948" t="s">
        <v>563</v>
      </c>
      <c r="M2948" t="s">
        <v>478</v>
      </c>
      <c r="N2948" t="str">
        <f>Tabela_tudo[[#This Row],[Médico]]&amp;" ("&amp;Tabela_tudo[[#This Row],[Obs]]&amp;")"</f>
        <v>JU ()</v>
      </c>
    </row>
    <row r="2949" spans="1:14" x14ac:dyDescent="0.3">
      <c r="A2949" s="1">
        <v>45531</v>
      </c>
      <c r="B2949" t="s">
        <v>283</v>
      </c>
      <c r="C2949" t="s">
        <v>455</v>
      </c>
      <c r="D2949" s="8"/>
      <c r="E2949" s="8"/>
      <c r="L2949" t="s">
        <v>563</v>
      </c>
      <c r="M2949" t="s">
        <v>478</v>
      </c>
      <c r="N2949" t="str">
        <f>Tabela_tudo[[#This Row],[Médico]]&amp;" ("&amp;Tabela_tudo[[#This Row],[Obs]]&amp;")"</f>
        <v>JU ()</v>
      </c>
    </row>
    <row r="2950" spans="1:14" x14ac:dyDescent="0.3">
      <c r="A2950" s="1">
        <v>45524</v>
      </c>
      <c r="B2950" t="s">
        <v>283</v>
      </c>
      <c r="C2950" t="s">
        <v>455</v>
      </c>
      <c r="D2950" s="8"/>
      <c r="E2950" s="8"/>
      <c r="L2950" t="s">
        <v>563</v>
      </c>
      <c r="M2950" t="s">
        <v>478</v>
      </c>
      <c r="N2950" t="str">
        <f>Tabela_tudo[[#This Row],[Médico]]&amp;" ("&amp;Tabela_tudo[[#This Row],[Obs]]&amp;")"</f>
        <v>JU ()</v>
      </c>
    </row>
    <row r="2951" spans="1:14" x14ac:dyDescent="0.3">
      <c r="A2951" s="1">
        <v>45545</v>
      </c>
      <c r="B2951" t="s">
        <v>283</v>
      </c>
      <c r="C2951" t="s">
        <v>455</v>
      </c>
      <c r="D2951" s="8"/>
      <c r="E2951" s="8"/>
      <c r="L2951" t="s">
        <v>563</v>
      </c>
      <c r="M2951" t="s">
        <v>478</v>
      </c>
      <c r="N2951" t="str">
        <f>Tabela_tudo[[#This Row],[Médico]]&amp;" ("&amp;Tabela_tudo[[#This Row],[Obs]]&amp;")"</f>
        <v>JU ()</v>
      </c>
    </row>
    <row r="2952" spans="1:14" x14ac:dyDescent="0.3">
      <c r="A2952" s="1">
        <v>45566</v>
      </c>
      <c r="B2952" t="s">
        <v>283</v>
      </c>
      <c r="C2952" t="s">
        <v>455</v>
      </c>
      <c r="D2952" s="8"/>
      <c r="E2952" s="8"/>
      <c r="L2952" t="s">
        <v>563</v>
      </c>
      <c r="M2952" t="s">
        <v>478</v>
      </c>
      <c r="N2952" t="str">
        <f>Tabela_tudo[[#This Row],[Médico]]&amp;" ("&amp;Tabela_tudo[[#This Row],[Obs]]&amp;")"</f>
        <v>JU ()</v>
      </c>
    </row>
    <row r="2953" spans="1:14" x14ac:dyDescent="0.3">
      <c r="A2953" s="1">
        <v>45559</v>
      </c>
      <c r="B2953" t="s">
        <v>283</v>
      </c>
      <c r="C2953" t="s">
        <v>455</v>
      </c>
      <c r="D2953" s="8"/>
      <c r="E2953" s="8"/>
      <c r="L2953" t="s">
        <v>563</v>
      </c>
      <c r="M2953" t="s">
        <v>478</v>
      </c>
      <c r="N2953" t="str">
        <f>Tabela_tudo[[#This Row],[Médico]]&amp;" ("&amp;Tabela_tudo[[#This Row],[Obs]]&amp;")"</f>
        <v>JU ()</v>
      </c>
    </row>
    <row r="2954" spans="1:14" x14ac:dyDescent="0.3">
      <c r="A2954" s="1">
        <v>45552</v>
      </c>
      <c r="B2954" t="s">
        <v>283</v>
      </c>
      <c r="C2954" t="s">
        <v>455</v>
      </c>
      <c r="D2954" s="8"/>
      <c r="E2954" s="8"/>
      <c r="L2954" t="s">
        <v>563</v>
      </c>
      <c r="M2954" t="s">
        <v>478</v>
      </c>
      <c r="N2954" t="str">
        <f>Tabela_tudo[[#This Row],[Médico]]&amp;" ("&amp;Tabela_tudo[[#This Row],[Obs]]&amp;")"</f>
        <v>JU ()</v>
      </c>
    </row>
    <row r="2955" spans="1:14" x14ac:dyDescent="0.3">
      <c r="A2955" s="1">
        <v>45489</v>
      </c>
      <c r="B2955" t="s">
        <v>283</v>
      </c>
      <c r="C2955" t="s">
        <v>455</v>
      </c>
      <c r="D2955" s="8"/>
      <c r="E2955" s="8"/>
      <c r="L2955" t="s">
        <v>563</v>
      </c>
      <c r="M2955" t="s">
        <v>478</v>
      </c>
      <c r="N2955" t="str">
        <f>Tabela_tudo[[#This Row],[Médico]]&amp;" ("&amp;Tabela_tudo[[#This Row],[Obs]]&amp;")"</f>
        <v>JU ()</v>
      </c>
    </row>
    <row r="2956" spans="1:14" x14ac:dyDescent="0.3">
      <c r="A2956" s="1">
        <v>45482</v>
      </c>
      <c r="B2956" t="s">
        <v>283</v>
      </c>
      <c r="C2956" t="s">
        <v>455</v>
      </c>
      <c r="D2956" s="8"/>
      <c r="E2956" s="8"/>
      <c r="L2956" t="s">
        <v>563</v>
      </c>
      <c r="M2956" t="s">
        <v>478</v>
      </c>
      <c r="N2956" t="str">
        <f>Tabela_tudo[[#This Row],[Médico]]&amp;" ("&amp;Tabela_tudo[[#This Row],[Obs]]&amp;")"</f>
        <v>JU ()</v>
      </c>
    </row>
    <row r="2957" spans="1:14" x14ac:dyDescent="0.3">
      <c r="A2957" s="1">
        <v>45475</v>
      </c>
      <c r="B2957" t="s">
        <v>283</v>
      </c>
      <c r="C2957" t="s">
        <v>455</v>
      </c>
      <c r="D2957" s="8"/>
      <c r="E2957" s="8"/>
      <c r="L2957" t="s">
        <v>563</v>
      </c>
      <c r="M2957" t="s">
        <v>478</v>
      </c>
      <c r="N2957" t="str">
        <f>Tabela_tudo[[#This Row],[Médico]]&amp;" ("&amp;Tabela_tudo[[#This Row],[Obs]]&amp;")"</f>
        <v>JU ()</v>
      </c>
    </row>
    <row r="2958" spans="1:14" x14ac:dyDescent="0.3">
      <c r="A2958" s="1">
        <v>45496</v>
      </c>
      <c r="B2958" t="s">
        <v>283</v>
      </c>
      <c r="C2958" t="s">
        <v>455</v>
      </c>
      <c r="D2958" s="8"/>
      <c r="E2958" s="8"/>
      <c r="L2958" t="s">
        <v>563</v>
      </c>
      <c r="M2958" t="s">
        <v>478</v>
      </c>
      <c r="N2958" t="str">
        <f>Tabela_tudo[[#This Row],[Médico]]&amp;" ("&amp;Tabela_tudo[[#This Row],[Obs]]&amp;")"</f>
        <v>JU ()</v>
      </c>
    </row>
    <row r="2959" spans="1:14" x14ac:dyDescent="0.3">
      <c r="A2959" s="1">
        <v>45517</v>
      </c>
      <c r="B2959" t="s">
        <v>283</v>
      </c>
      <c r="C2959" t="s">
        <v>455</v>
      </c>
      <c r="D2959" s="8"/>
      <c r="E2959" s="8"/>
      <c r="L2959" t="s">
        <v>563</v>
      </c>
      <c r="M2959" t="s">
        <v>478</v>
      </c>
      <c r="N2959" t="str">
        <f>Tabela_tudo[[#This Row],[Médico]]&amp;" ("&amp;Tabela_tudo[[#This Row],[Obs]]&amp;")"</f>
        <v>JU ()</v>
      </c>
    </row>
    <row r="2960" spans="1:14" x14ac:dyDescent="0.3">
      <c r="A2960" s="1">
        <v>45510</v>
      </c>
      <c r="B2960" t="s">
        <v>283</v>
      </c>
      <c r="C2960" t="s">
        <v>455</v>
      </c>
      <c r="D2960" s="8"/>
      <c r="E2960" s="8"/>
      <c r="L2960" t="s">
        <v>563</v>
      </c>
      <c r="M2960" t="s">
        <v>478</v>
      </c>
      <c r="N2960" t="str">
        <f>Tabela_tudo[[#This Row],[Médico]]&amp;" ("&amp;Tabela_tudo[[#This Row],[Obs]]&amp;")"</f>
        <v>JU ()</v>
      </c>
    </row>
    <row r="2961" spans="1:14" x14ac:dyDescent="0.3">
      <c r="A2961" s="1">
        <v>45503</v>
      </c>
      <c r="B2961" t="s">
        <v>283</v>
      </c>
      <c r="C2961" t="s">
        <v>455</v>
      </c>
      <c r="D2961" s="8"/>
      <c r="E2961" s="8"/>
      <c r="L2961" t="s">
        <v>563</v>
      </c>
      <c r="M2961" t="s">
        <v>478</v>
      </c>
      <c r="N2961" t="str">
        <f>Tabela_tudo[[#This Row],[Médico]]&amp;" ("&amp;Tabela_tudo[[#This Row],[Obs]]&amp;")"</f>
        <v>JU ()</v>
      </c>
    </row>
    <row r="2962" spans="1:14" x14ac:dyDescent="0.3">
      <c r="A2962" s="1">
        <v>45573</v>
      </c>
      <c r="B2962" t="s">
        <v>283</v>
      </c>
      <c r="C2962" t="s">
        <v>455</v>
      </c>
      <c r="D2962" s="8"/>
      <c r="E2962" s="8"/>
      <c r="L2962" t="s">
        <v>563</v>
      </c>
      <c r="M2962" t="s">
        <v>478</v>
      </c>
      <c r="N2962" t="str">
        <f>Tabela_tudo[[#This Row],[Médico]]&amp;" ("&amp;Tabela_tudo[[#This Row],[Obs]]&amp;")"</f>
        <v>JU ()</v>
      </c>
    </row>
    <row r="2963" spans="1:14" x14ac:dyDescent="0.3">
      <c r="A2963" s="1">
        <v>45643</v>
      </c>
      <c r="B2963" t="s">
        <v>283</v>
      </c>
      <c r="C2963" t="s">
        <v>455</v>
      </c>
      <c r="D2963" s="8"/>
      <c r="E2963" s="8"/>
      <c r="L2963" t="s">
        <v>563</v>
      </c>
      <c r="M2963" t="s">
        <v>478</v>
      </c>
      <c r="N2963" t="str">
        <f>Tabela_tudo[[#This Row],[Médico]]&amp;" ("&amp;Tabela_tudo[[#This Row],[Obs]]&amp;")"</f>
        <v>JU ()</v>
      </c>
    </row>
    <row r="2964" spans="1:14" x14ac:dyDescent="0.3">
      <c r="A2964" s="1">
        <v>45636</v>
      </c>
      <c r="B2964" t="s">
        <v>283</v>
      </c>
      <c r="C2964" t="s">
        <v>455</v>
      </c>
      <c r="D2964" s="8"/>
      <c r="E2964" s="8"/>
      <c r="L2964" t="s">
        <v>563</v>
      </c>
      <c r="M2964" t="s">
        <v>478</v>
      </c>
      <c r="N2964" t="str">
        <f>Tabela_tudo[[#This Row],[Médico]]&amp;" ("&amp;Tabela_tudo[[#This Row],[Obs]]&amp;")"</f>
        <v>JU ()</v>
      </c>
    </row>
    <row r="2965" spans="1:14" x14ac:dyDescent="0.3">
      <c r="A2965" s="1">
        <v>45629</v>
      </c>
      <c r="B2965" t="s">
        <v>283</v>
      </c>
      <c r="C2965" t="s">
        <v>455</v>
      </c>
      <c r="D2965" s="8"/>
      <c r="E2965" s="8"/>
      <c r="L2965" t="s">
        <v>563</v>
      </c>
      <c r="M2965" t="s">
        <v>478</v>
      </c>
      <c r="N2965" t="str">
        <f>Tabela_tudo[[#This Row],[Médico]]&amp;" ("&amp;Tabela_tudo[[#This Row],[Obs]]&amp;")"</f>
        <v>JU ()</v>
      </c>
    </row>
    <row r="2966" spans="1:14" x14ac:dyDescent="0.3">
      <c r="A2966" s="1">
        <v>45650</v>
      </c>
      <c r="B2966" t="s">
        <v>283</v>
      </c>
      <c r="C2966" t="s">
        <v>455</v>
      </c>
      <c r="D2966" s="8"/>
      <c r="E2966" s="8"/>
      <c r="L2966" t="s">
        <v>563</v>
      </c>
      <c r="M2966" t="s">
        <v>478</v>
      </c>
      <c r="N2966" t="str">
        <f>Tabela_tudo[[#This Row],[Médico]]&amp;" ("&amp;Tabela_tudo[[#This Row],[Obs]]&amp;")"</f>
        <v>JU ()</v>
      </c>
    </row>
    <row r="2967" spans="1:14" x14ac:dyDescent="0.3">
      <c r="A2967" s="1">
        <v>44943</v>
      </c>
      <c r="B2967" t="s">
        <v>214</v>
      </c>
      <c r="C2967" t="s">
        <v>455</v>
      </c>
      <c r="D2967" s="8"/>
      <c r="E2967" s="8"/>
      <c r="L2967" t="s">
        <v>563</v>
      </c>
      <c r="M2967" t="s">
        <v>478</v>
      </c>
      <c r="N2967" t="str">
        <f>Tabela_tudo[[#This Row],[Médico]]&amp;" ("&amp;Tabela_tudo[[#This Row],[Obs]]&amp;")"</f>
        <v>IFA ()</v>
      </c>
    </row>
    <row r="2968" spans="1:14" x14ac:dyDescent="0.3">
      <c r="A2968" s="1">
        <v>44936</v>
      </c>
      <c r="B2968" t="s">
        <v>214</v>
      </c>
      <c r="C2968" t="s">
        <v>455</v>
      </c>
      <c r="D2968" s="8"/>
      <c r="E2968" s="8"/>
      <c r="L2968" t="s">
        <v>563</v>
      </c>
      <c r="M2968" t="s">
        <v>478</v>
      </c>
      <c r="N2968" t="str">
        <f>Tabela_tudo[[#This Row],[Médico]]&amp;" ("&amp;Tabela_tudo[[#This Row],[Obs]]&amp;")"</f>
        <v>IFA ()</v>
      </c>
    </row>
    <row r="2969" spans="1:14" x14ac:dyDescent="0.3">
      <c r="A2969" s="1">
        <v>44929</v>
      </c>
      <c r="B2969" t="s">
        <v>214</v>
      </c>
      <c r="C2969" t="s">
        <v>455</v>
      </c>
      <c r="D2969" s="8"/>
      <c r="E2969" s="8"/>
      <c r="L2969" t="s">
        <v>563</v>
      </c>
      <c r="M2969" t="s">
        <v>478</v>
      </c>
      <c r="N2969" t="str">
        <f>Tabela_tudo[[#This Row],[Médico]]&amp;" ("&amp;Tabela_tudo[[#This Row],[Obs]]&amp;")"</f>
        <v>IFA ()</v>
      </c>
    </row>
    <row r="2970" spans="1:14" x14ac:dyDescent="0.3">
      <c r="A2970" s="1">
        <v>45594</v>
      </c>
      <c r="B2970" t="s">
        <v>283</v>
      </c>
      <c r="C2970" t="s">
        <v>455</v>
      </c>
      <c r="D2970" s="8"/>
      <c r="E2970" s="8"/>
      <c r="L2970" t="s">
        <v>563</v>
      </c>
      <c r="M2970" t="s">
        <v>478</v>
      </c>
      <c r="N2970" t="str">
        <f>Tabela_tudo[[#This Row],[Médico]]&amp;" ("&amp;Tabela_tudo[[#This Row],[Obs]]&amp;")"</f>
        <v>JU ()</v>
      </c>
    </row>
    <row r="2971" spans="1:14" x14ac:dyDescent="0.3">
      <c r="A2971" s="1">
        <v>45587</v>
      </c>
      <c r="B2971" t="s">
        <v>283</v>
      </c>
      <c r="C2971" t="s">
        <v>455</v>
      </c>
      <c r="D2971" s="8"/>
      <c r="E2971" s="8"/>
      <c r="L2971" t="s">
        <v>563</v>
      </c>
      <c r="M2971" t="s">
        <v>478</v>
      </c>
      <c r="N2971" t="str">
        <f>Tabela_tudo[[#This Row],[Médico]]&amp;" ("&amp;Tabela_tudo[[#This Row],[Obs]]&amp;")"</f>
        <v>JU ()</v>
      </c>
    </row>
    <row r="2972" spans="1:14" x14ac:dyDescent="0.3">
      <c r="A2972" s="1">
        <v>45580</v>
      </c>
      <c r="B2972" t="s">
        <v>283</v>
      </c>
      <c r="C2972" t="s">
        <v>455</v>
      </c>
      <c r="D2972" s="8"/>
      <c r="E2972" s="8"/>
      <c r="L2972" t="s">
        <v>563</v>
      </c>
      <c r="M2972" t="s">
        <v>478</v>
      </c>
      <c r="N2972" t="str">
        <f>Tabela_tudo[[#This Row],[Médico]]&amp;" ("&amp;Tabela_tudo[[#This Row],[Obs]]&amp;")"</f>
        <v>JU ()</v>
      </c>
    </row>
    <row r="2973" spans="1:14" x14ac:dyDescent="0.3">
      <c r="A2973" s="1">
        <v>45601</v>
      </c>
      <c r="B2973" t="s">
        <v>283</v>
      </c>
      <c r="C2973" t="s">
        <v>455</v>
      </c>
      <c r="D2973" s="8"/>
      <c r="E2973" s="8"/>
      <c r="L2973" t="s">
        <v>563</v>
      </c>
      <c r="M2973" t="s">
        <v>478</v>
      </c>
      <c r="N2973" t="str">
        <f>Tabela_tudo[[#This Row],[Médico]]&amp;" ("&amp;Tabela_tudo[[#This Row],[Obs]]&amp;")"</f>
        <v>JU ()</v>
      </c>
    </row>
    <row r="2974" spans="1:14" x14ac:dyDescent="0.3">
      <c r="A2974" s="1">
        <v>45622</v>
      </c>
      <c r="B2974" t="s">
        <v>283</v>
      </c>
      <c r="C2974" t="s">
        <v>455</v>
      </c>
      <c r="D2974" s="8"/>
      <c r="E2974" s="8"/>
      <c r="L2974" t="s">
        <v>563</v>
      </c>
      <c r="M2974" t="s">
        <v>478</v>
      </c>
      <c r="N2974" t="str">
        <f>Tabela_tudo[[#This Row],[Médico]]&amp;" ("&amp;Tabela_tudo[[#This Row],[Obs]]&amp;")"</f>
        <v>JU ()</v>
      </c>
    </row>
    <row r="2975" spans="1:14" x14ac:dyDescent="0.3">
      <c r="A2975" s="1">
        <v>45615</v>
      </c>
      <c r="B2975" t="s">
        <v>283</v>
      </c>
      <c r="C2975" t="s">
        <v>455</v>
      </c>
      <c r="D2975" s="8"/>
      <c r="E2975" s="8"/>
      <c r="L2975" t="s">
        <v>563</v>
      </c>
      <c r="M2975" t="s">
        <v>478</v>
      </c>
      <c r="N2975" t="str">
        <f>Tabela_tudo[[#This Row],[Médico]]&amp;" ("&amp;Tabela_tudo[[#This Row],[Obs]]&amp;")"</f>
        <v>JU ()</v>
      </c>
    </row>
    <row r="2976" spans="1:14" x14ac:dyDescent="0.3">
      <c r="A2976" s="1">
        <v>45608</v>
      </c>
      <c r="B2976" t="s">
        <v>283</v>
      </c>
      <c r="C2976" t="s">
        <v>455</v>
      </c>
      <c r="D2976" s="8"/>
      <c r="E2976" s="8"/>
      <c r="L2976" t="s">
        <v>563</v>
      </c>
      <c r="M2976" t="s">
        <v>478</v>
      </c>
      <c r="N2976" t="str">
        <f>Tabela_tudo[[#This Row],[Médico]]&amp;" ("&amp;Tabela_tudo[[#This Row],[Obs]]&amp;")"</f>
        <v>JU ()</v>
      </c>
    </row>
    <row r="2977" spans="1:14" x14ac:dyDescent="0.3">
      <c r="A2977" s="1">
        <v>45468</v>
      </c>
      <c r="B2977" t="s">
        <v>283</v>
      </c>
      <c r="C2977" t="s">
        <v>455</v>
      </c>
      <c r="D2977" s="8"/>
      <c r="E2977" s="8"/>
      <c r="L2977" t="s">
        <v>563</v>
      </c>
      <c r="M2977" t="s">
        <v>478</v>
      </c>
      <c r="N2977" t="str">
        <f>Tabela_tudo[[#This Row],[Médico]]&amp;" ("&amp;Tabela_tudo[[#This Row],[Obs]]&amp;")"</f>
        <v>JU ()</v>
      </c>
    </row>
    <row r="2978" spans="1:14" x14ac:dyDescent="0.3">
      <c r="A2978" s="1">
        <v>45328</v>
      </c>
      <c r="B2978" t="s">
        <v>283</v>
      </c>
      <c r="C2978" t="s">
        <v>455</v>
      </c>
      <c r="D2978" s="8"/>
      <c r="E2978" s="8"/>
      <c r="L2978" t="s">
        <v>563</v>
      </c>
      <c r="M2978" t="s">
        <v>478</v>
      </c>
      <c r="N2978" t="str">
        <f>Tabela_tudo[[#This Row],[Médico]]&amp;" ("&amp;Tabela_tudo[[#This Row],[Obs]]&amp;")"</f>
        <v>JU ()</v>
      </c>
    </row>
    <row r="2979" spans="1:14" x14ac:dyDescent="0.3">
      <c r="A2979" s="1">
        <v>45321</v>
      </c>
      <c r="B2979" t="s">
        <v>283</v>
      </c>
      <c r="C2979" t="s">
        <v>455</v>
      </c>
      <c r="D2979" s="8"/>
      <c r="E2979" s="8"/>
      <c r="L2979" t="s">
        <v>563</v>
      </c>
      <c r="M2979" t="s">
        <v>478</v>
      </c>
      <c r="N2979" t="str">
        <f>Tabela_tudo[[#This Row],[Médico]]&amp;" ("&amp;Tabela_tudo[[#This Row],[Obs]]&amp;")"</f>
        <v>JU ()</v>
      </c>
    </row>
    <row r="2980" spans="1:14" x14ac:dyDescent="0.3">
      <c r="A2980" s="1">
        <v>45314</v>
      </c>
      <c r="B2980" t="s">
        <v>283</v>
      </c>
      <c r="C2980" t="s">
        <v>455</v>
      </c>
      <c r="D2980" s="8"/>
      <c r="E2980" s="8"/>
      <c r="L2980" t="s">
        <v>563</v>
      </c>
      <c r="M2980" t="s">
        <v>478</v>
      </c>
      <c r="N2980" t="str">
        <f>Tabela_tudo[[#This Row],[Médico]]&amp;" ("&amp;Tabela_tudo[[#This Row],[Obs]]&amp;")"</f>
        <v>JU ()</v>
      </c>
    </row>
    <row r="2981" spans="1:14" x14ac:dyDescent="0.3">
      <c r="A2981" s="1">
        <v>45335</v>
      </c>
      <c r="B2981" t="s">
        <v>283</v>
      </c>
      <c r="C2981" t="s">
        <v>455</v>
      </c>
      <c r="D2981" s="8"/>
      <c r="E2981" s="8"/>
      <c r="L2981" t="s">
        <v>563</v>
      </c>
      <c r="M2981" t="s">
        <v>478</v>
      </c>
      <c r="N2981" t="str">
        <f>Tabela_tudo[[#This Row],[Médico]]&amp;" ("&amp;Tabela_tudo[[#This Row],[Obs]]&amp;")"</f>
        <v>JU ()</v>
      </c>
    </row>
    <row r="2982" spans="1:14" x14ac:dyDescent="0.3">
      <c r="A2982" s="1">
        <v>45356</v>
      </c>
      <c r="B2982" t="s">
        <v>283</v>
      </c>
      <c r="C2982" t="s">
        <v>455</v>
      </c>
      <c r="D2982" s="8"/>
      <c r="E2982" s="8"/>
      <c r="L2982" t="s">
        <v>563</v>
      </c>
      <c r="M2982" t="s">
        <v>478</v>
      </c>
      <c r="N2982" t="str">
        <f>Tabela_tudo[[#This Row],[Médico]]&amp;" ("&amp;Tabela_tudo[[#This Row],[Obs]]&amp;")"</f>
        <v>JU ()</v>
      </c>
    </row>
    <row r="2983" spans="1:14" x14ac:dyDescent="0.3">
      <c r="A2983" s="1">
        <v>45349</v>
      </c>
      <c r="B2983" t="s">
        <v>283</v>
      </c>
      <c r="C2983" t="s">
        <v>455</v>
      </c>
      <c r="D2983" s="8"/>
      <c r="E2983" s="8"/>
      <c r="L2983" t="s">
        <v>563</v>
      </c>
      <c r="M2983" t="s">
        <v>478</v>
      </c>
      <c r="N2983" t="str">
        <f>Tabela_tudo[[#This Row],[Médico]]&amp;" ("&amp;Tabela_tudo[[#This Row],[Obs]]&amp;")"</f>
        <v>JU ()</v>
      </c>
    </row>
    <row r="2984" spans="1:14" x14ac:dyDescent="0.3">
      <c r="A2984" s="1">
        <v>45342</v>
      </c>
      <c r="B2984" t="s">
        <v>283</v>
      </c>
      <c r="C2984" t="s">
        <v>455</v>
      </c>
      <c r="D2984" s="8"/>
      <c r="E2984" s="8"/>
      <c r="L2984" t="s">
        <v>563</v>
      </c>
      <c r="M2984" t="s">
        <v>478</v>
      </c>
      <c r="N2984" t="str">
        <f>Tabela_tudo[[#This Row],[Médico]]&amp;" ("&amp;Tabela_tudo[[#This Row],[Obs]]&amp;")"</f>
        <v>JU ()</v>
      </c>
    </row>
    <row r="2985" spans="1:14" x14ac:dyDescent="0.3">
      <c r="A2985" s="1">
        <v>45279</v>
      </c>
      <c r="B2985" t="s">
        <v>283</v>
      </c>
      <c r="C2985" t="s">
        <v>455</v>
      </c>
      <c r="D2985" s="8"/>
      <c r="E2985" s="8"/>
      <c r="L2985" t="s">
        <v>563</v>
      </c>
      <c r="M2985" t="s">
        <v>478</v>
      </c>
      <c r="N2985" t="str">
        <f>Tabela_tudo[[#This Row],[Médico]]&amp;" ("&amp;Tabela_tudo[[#This Row],[Obs]]&amp;")"</f>
        <v>JU ()</v>
      </c>
    </row>
    <row r="2986" spans="1:14" x14ac:dyDescent="0.3">
      <c r="A2986" s="1">
        <v>45272</v>
      </c>
      <c r="B2986" t="s">
        <v>283</v>
      </c>
      <c r="C2986" t="s">
        <v>455</v>
      </c>
      <c r="D2986" s="8"/>
      <c r="E2986" s="8"/>
      <c r="L2986" t="s">
        <v>563</v>
      </c>
      <c r="M2986" t="s">
        <v>478</v>
      </c>
      <c r="N2986" t="str">
        <f>Tabela_tudo[[#This Row],[Médico]]&amp;" ("&amp;Tabela_tudo[[#This Row],[Obs]]&amp;")"</f>
        <v>JU ()</v>
      </c>
    </row>
    <row r="2987" spans="1:14" x14ac:dyDescent="0.3">
      <c r="A2987" s="1">
        <v>45265</v>
      </c>
      <c r="B2987" t="s">
        <v>283</v>
      </c>
      <c r="C2987" t="s">
        <v>455</v>
      </c>
      <c r="D2987" s="8"/>
      <c r="E2987" s="8"/>
      <c r="L2987" t="s">
        <v>563</v>
      </c>
      <c r="M2987" t="s">
        <v>478</v>
      </c>
      <c r="N2987" t="str">
        <f>Tabela_tudo[[#This Row],[Médico]]&amp;" ("&amp;Tabela_tudo[[#This Row],[Obs]]&amp;")"</f>
        <v>JU ()</v>
      </c>
    </row>
    <row r="2988" spans="1:14" x14ac:dyDescent="0.3">
      <c r="A2988" s="1">
        <v>45286</v>
      </c>
      <c r="B2988" t="s">
        <v>283</v>
      </c>
      <c r="C2988" t="s">
        <v>455</v>
      </c>
      <c r="D2988" s="8"/>
      <c r="E2988" s="8"/>
      <c r="L2988" t="s">
        <v>563</v>
      </c>
      <c r="M2988" t="s">
        <v>478</v>
      </c>
      <c r="N2988" t="str">
        <f>Tabela_tudo[[#This Row],[Médico]]&amp;" ("&amp;Tabela_tudo[[#This Row],[Obs]]&amp;")"</f>
        <v>JU ()</v>
      </c>
    </row>
    <row r="2989" spans="1:14" x14ac:dyDescent="0.3">
      <c r="A2989" s="1">
        <v>45307</v>
      </c>
      <c r="B2989" t="s">
        <v>283</v>
      </c>
      <c r="C2989" t="s">
        <v>455</v>
      </c>
      <c r="D2989" s="8"/>
      <c r="E2989" s="8"/>
      <c r="L2989" t="s">
        <v>563</v>
      </c>
      <c r="M2989" t="s">
        <v>478</v>
      </c>
      <c r="N2989" t="str">
        <f>Tabela_tudo[[#This Row],[Médico]]&amp;" ("&amp;Tabela_tudo[[#This Row],[Obs]]&amp;")"</f>
        <v>JU ()</v>
      </c>
    </row>
    <row r="2990" spans="1:14" x14ac:dyDescent="0.3">
      <c r="A2990" s="1">
        <v>45300</v>
      </c>
      <c r="B2990" t="s">
        <v>283</v>
      </c>
      <c r="C2990" t="s">
        <v>455</v>
      </c>
      <c r="D2990" s="8"/>
      <c r="E2990" s="8"/>
      <c r="L2990" t="s">
        <v>563</v>
      </c>
      <c r="M2990" t="s">
        <v>478</v>
      </c>
      <c r="N2990" t="str">
        <f>Tabela_tudo[[#This Row],[Médico]]&amp;" ("&amp;Tabela_tudo[[#This Row],[Obs]]&amp;")"</f>
        <v>JU ()</v>
      </c>
    </row>
    <row r="2991" spans="1:14" x14ac:dyDescent="0.3">
      <c r="A2991" s="1">
        <v>45293</v>
      </c>
      <c r="B2991" t="s">
        <v>283</v>
      </c>
      <c r="C2991" t="s">
        <v>455</v>
      </c>
      <c r="D2991" s="8"/>
      <c r="E2991" s="8"/>
      <c r="L2991" t="s">
        <v>563</v>
      </c>
      <c r="M2991" t="s">
        <v>478</v>
      </c>
      <c r="N2991" t="str">
        <f>Tabela_tudo[[#This Row],[Médico]]&amp;" ("&amp;Tabela_tudo[[#This Row],[Obs]]&amp;")"</f>
        <v>JU ()</v>
      </c>
    </row>
    <row r="2992" spans="1:14" x14ac:dyDescent="0.3">
      <c r="A2992" s="1">
        <v>45363</v>
      </c>
      <c r="B2992" t="s">
        <v>283</v>
      </c>
      <c r="C2992" t="s">
        <v>455</v>
      </c>
      <c r="D2992" s="8"/>
      <c r="E2992" s="8"/>
      <c r="L2992" t="s">
        <v>563</v>
      </c>
      <c r="M2992" t="s">
        <v>478</v>
      </c>
      <c r="N2992" t="str">
        <f>Tabela_tudo[[#This Row],[Médico]]&amp;" ("&amp;Tabela_tudo[[#This Row],[Obs]]&amp;")"</f>
        <v>JU ()</v>
      </c>
    </row>
    <row r="2993" spans="1:14" x14ac:dyDescent="0.3">
      <c r="A2993" s="1">
        <v>45433</v>
      </c>
      <c r="B2993" t="s">
        <v>283</v>
      </c>
      <c r="C2993" t="s">
        <v>455</v>
      </c>
      <c r="D2993" s="8"/>
      <c r="E2993" s="8"/>
      <c r="L2993" t="s">
        <v>563</v>
      </c>
      <c r="M2993" t="s">
        <v>478</v>
      </c>
      <c r="N2993" t="str">
        <f>Tabela_tudo[[#This Row],[Médico]]&amp;" ("&amp;Tabela_tudo[[#This Row],[Obs]]&amp;")"</f>
        <v>JU ()</v>
      </c>
    </row>
    <row r="2994" spans="1:14" x14ac:dyDescent="0.3">
      <c r="A2994" s="1">
        <v>45426</v>
      </c>
      <c r="B2994" t="s">
        <v>283</v>
      </c>
      <c r="C2994" t="s">
        <v>455</v>
      </c>
      <c r="D2994" s="8"/>
      <c r="E2994" s="8"/>
      <c r="L2994" t="s">
        <v>563</v>
      </c>
      <c r="M2994" t="s">
        <v>478</v>
      </c>
      <c r="N2994" t="str">
        <f>Tabela_tudo[[#This Row],[Médico]]&amp;" ("&amp;Tabela_tudo[[#This Row],[Obs]]&amp;")"</f>
        <v>JU ()</v>
      </c>
    </row>
    <row r="2995" spans="1:14" x14ac:dyDescent="0.3">
      <c r="A2995" s="1">
        <v>45419</v>
      </c>
      <c r="B2995" t="s">
        <v>283</v>
      </c>
      <c r="C2995" t="s">
        <v>455</v>
      </c>
      <c r="D2995" s="8"/>
      <c r="E2995" s="8"/>
      <c r="L2995" t="s">
        <v>563</v>
      </c>
      <c r="M2995" t="s">
        <v>478</v>
      </c>
      <c r="N2995" t="str">
        <f>Tabela_tudo[[#This Row],[Médico]]&amp;" ("&amp;Tabela_tudo[[#This Row],[Obs]]&amp;")"</f>
        <v>JU ()</v>
      </c>
    </row>
    <row r="2996" spans="1:14" x14ac:dyDescent="0.3">
      <c r="A2996" s="1">
        <v>45440</v>
      </c>
      <c r="B2996" t="s">
        <v>283</v>
      </c>
      <c r="C2996" t="s">
        <v>455</v>
      </c>
      <c r="D2996" s="8"/>
      <c r="E2996" s="8"/>
      <c r="L2996" t="s">
        <v>563</v>
      </c>
      <c r="M2996" t="s">
        <v>478</v>
      </c>
      <c r="N2996" t="str">
        <f>Tabela_tudo[[#This Row],[Médico]]&amp;" ("&amp;Tabela_tudo[[#This Row],[Obs]]&amp;")"</f>
        <v>JU ()</v>
      </c>
    </row>
    <row r="2997" spans="1:14" x14ac:dyDescent="0.3">
      <c r="A2997" s="1">
        <v>45461</v>
      </c>
      <c r="B2997" t="s">
        <v>283</v>
      </c>
      <c r="C2997" t="s">
        <v>455</v>
      </c>
      <c r="D2997" s="8"/>
      <c r="E2997" s="8"/>
      <c r="L2997" t="s">
        <v>563</v>
      </c>
      <c r="M2997" t="s">
        <v>478</v>
      </c>
      <c r="N2997" t="str">
        <f>Tabela_tudo[[#This Row],[Médico]]&amp;" ("&amp;Tabela_tudo[[#This Row],[Obs]]&amp;")"</f>
        <v>JU ()</v>
      </c>
    </row>
    <row r="2998" spans="1:14" x14ac:dyDescent="0.3">
      <c r="A2998" s="1">
        <v>45454</v>
      </c>
      <c r="B2998" t="s">
        <v>283</v>
      </c>
      <c r="C2998" t="s">
        <v>455</v>
      </c>
      <c r="D2998" s="8"/>
      <c r="E2998" s="8"/>
      <c r="L2998" t="s">
        <v>563</v>
      </c>
      <c r="M2998" t="s">
        <v>478</v>
      </c>
      <c r="N2998" t="str">
        <f>Tabela_tudo[[#This Row],[Médico]]&amp;" ("&amp;Tabela_tudo[[#This Row],[Obs]]&amp;")"</f>
        <v>JU ()</v>
      </c>
    </row>
    <row r="2999" spans="1:14" x14ac:dyDescent="0.3">
      <c r="A2999" s="1">
        <v>45447</v>
      </c>
      <c r="B2999" t="s">
        <v>283</v>
      </c>
      <c r="C2999" t="s">
        <v>455</v>
      </c>
      <c r="D2999" s="8"/>
      <c r="E2999" s="8"/>
      <c r="L2999" t="s">
        <v>563</v>
      </c>
      <c r="M2999" t="s">
        <v>478</v>
      </c>
      <c r="N2999" t="str">
        <f>Tabela_tudo[[#This Row],[Médico]]&amp;" ("&amp;Tabela_tudo[[#This Row],[Obs]]&amp;")"</f>
        <v>JU ()</v>
      </c>
    </row>
    <row r="3000" spans="1:14" x14ac:dyDescent="0.3">
      <c r="A3000" s="1">
        <v>45384</v>
      </c>
      <c r="B3000" t="s">
        <v>283</v>
      </c>
      <c r="C3000" t="s">
        <v>455</v>
      </c>
      <c r="D3000" s="8"/>
      <c r="E3000" s="8"/>
      <c r="L3000" t="s">
        <v>563</v>
      </c>
      <c r="M3000" t="s">
        <v>478</v>
      </c>
      <c r="N3000" t="str">
        <f>Tabela_tudo[[#This Row],[Médico]]&amp;" ("&amp;Tabela_tudo[[#This Row],[Obs]]&amp;")"</f>
        <v>JU ()</v>
      </c>
    </row>
    <row r="3001" spans="1:14" x14ac:dyDescent="0.3">
      <c r="A3001" s="1">
        <v>45377</v>
      </c>
      <c r="B3001" t="s">
        <v>283</v>
      </c>
      <c r="C3001" t="s">
        <v>455</v>
      </c>
      <c r="D3001" s="8"/>
      <c r="E3001" s="8"/>
      <c r="L3001" t="s">
        <v>563</v>
      </c>
      <c r="M3001" t="s">
        <v>478</v>
      </c>
      <c r="N3001" t="str">
        <f>Tabela_tudo[[#This Row],[Médico]]&amp;" ("&amp;Tabela_tudo[[#This Row],[Obs]]&amp;")"</f>
        <v>JU ()</v>
      </c>
    </row>
    <row r="3002" spans="1:14" x14ac:dyDescent="0.3">
      <c r="A3002" s="1">
        <v>45370</v>
      </c>
      <c r="B3002" t="s">
        <v>283</v>
      </c>
      <c r="C3002" t="s">
        <v>455</v>
      </c>
      <c r="D3002" s="8"/>
      <c r="E3002" s="8"/>
      <c r="L3002" t="s">
        <v>563</v>
      </c>
      <c r="M3002" t="s">
        <v>478</v>
      </c>
      <c r="N3002" t="str">
        <f>Tabela_tudo[[#This Row],[Médico]]&amp;" ("&amp;Tabela_tudo[[#This Row],[Obs]]&amp;")"</f>
        <v>JU ()</v>
      </c>
    </row>
    <row r="3003" spans="1:14" x14ac:dyDescent="0.3">
      <c r="A3003" s="1">
        <v>45391</v>
      </c>
      <c r="B3003" t="s">
        <v>283</v>
      </c>
      <c r="C3003" t="s">
        <v>455</v>
      </c>
      <c r="D3003" s="8"/>
      <c r="E3003" s="8"/>
      <c r="L3003" t="s">
        <v>563</v>
      </c>
      <c r="M3003" t="s">
        <v>478</v>
      </c>
      <c r="N3003" t="str">
        <f>Tabela_tudo[[#This Row],[Médico]]&amp;" ("&amp;Tabela_tudo[[#This Row],[Obs]]&amp;")"</f>
        <v>JU ()</v>
      </c>
    </row>
    <row r="3004" spans="1:14" x14ac:dyDescent="0.3">
      <c r="A3004" s="1">
        <v>45412</v>
      </c>
      <c r="B3004" t="s">
        <v>283</v>
      </c>
      <c r="C3004" t="s">
        <v>455</v>
      </c>
      <c r="D3004" s="8"/>
      <c r="E3004" s="8"/>
      <c r="L3004" t="s">
        <v>563</v>
      </c>
      <c r="M3004" t="s">
        <v>478</v>
      </c>
      <c r="N3004" t="str">
        <f>Tabela_tudo[[#This Row],[Médico]]&amp;" ("&amp;Tabela_tudo[[#This Row],[Obs]]&amp;")"</f>
        <v>JU ()</v>
      </c>
    </row>
    <row r="3005" spans="1:14" x14ac:dyDescent="0.3">
      <c r="A3005" s="1">
        <v>45405</v>
      </c>
      <c r="B3005" t="s">
        <v>283</v>
      </c>
      <c r="C3005" t="s">
        <v>455</v>
      </c>
      <c r="D3005" s="8"/>
      <c r="E3005" s="8"/>
      <c r="L3005" t="s">
        <v>563</v>
      </c>
      <c r="M3005" t="s">
        <v>478</v>
      </c>
      <c r="N3005" t="str">
        <f>Tabela_tudo[[#This Row],[Médico]]&amp;" ("&amp;Tabela_tudo[[#This Row],[Obs]]&amp;")"</f>
        <v>JU ()</v>
      </c>
    </row>
    <row r="3006" spans="1:14" x14ac:dyDescent="0.3">
      <c r="A3006" s="1">
        <v>45398</v>
      </c>
      <c r="B3006" t="s">
        <v>283</v>
      </c>
      <c r="C3006" t="s">
        <v>455</v>
      </c>
      <c r="D3006" s="8"/>
      <c r="E3006" s="8"/>
      <c r="L3006" t="s">
        <v>563</v>
      </c>
      <c r="M3006" t="s">
        <v>478</v>
      </c>
      <c r="N3006" t="str">
        <f>Tabela_tudo[[#This Row],[Médico]]&amp;" ("&amp;Tabela_tudo[[#This Row],[Obs]]&amp;")"</f>
        <v>JU ()</v>
      </c>
    </row>
    <row r="3007" spans="1:14" x14ac:dyDescent="0.3">
      <c r="A3007" s="1">
        <v>44950</v>
      </c>
      <c r="B3007" t="s">
        <v>214</v>
      </c>
      <c r="C3007" t="s">
        <v>455</v>
      </c>
      <c r="D3007" s="8"/>
      <c r="E3007" s="8"/>
      <c r="L3007" t="s">
        <v>563</v>
      </c>
      <c r="M3007" t="s">
        <v>478</v>
      </c>
      <c r="N3007" t="str">
        <f>Tabela_tudo[[#This Row],[Médico]]&amp;" ("&amp;Tabela_tudo[[#This Row],[Obs]]&amp;")"</f>
        <v>IFA ()</v>
      </c>
    </row>
    <row r="3008" spans="1:14" x14ac:dyDescent="0.3">
      <c r="A3008" s="1">
        <v>45251</v>
      </c>
      <c r="B3008" t="s">
        <v>214</v>
      </c>
      <c r="C3008" t="s">
        <v>455</v>
      </c>
      <c r="D3008" s="8"/>
      <c r="E3008" s="8"/>
      <c r="L3008" t="s">
        <v>563</v>
      </c>
      <c r="M3008" t="s">
        <v>478</v>
      </c>
      <c r="N3008" t="str">
        <f>Tabela_tudo[[#This Row],[Médico]]&amp;" ("&amp;Tabela_tudo[[#This Row],[Obs]]&amp;")"</f>
        <v>IFA ()</v>
      </c>
    </row>
    <row r="3009" spans="1:14" x14ac:dyDescent="0.3">
      <c r="A3009" s="1">
        <v>45244</v>
      </c>
      <c r="B3009" t="s">
        <v>214</v>
      </c>
      <c r="C3009" t="s">
        <v>455</v>
      </c>
      <c r="D3009" s="8"/>
      <c r="E3009" s="8"/>
      <c r="L3009" t="s">
        <v>563</v>
      </c>
      <c r="M3009" t="s">
        <v>478</v>
      </c>
      <c r="N3009" t="str">
        <f>Tabela_tudo[[#This Row],[Médico]]&amp;" ("&amp;Tabela_tudo[[#This Row],[Obs]]&amp;")"</f>
        <v>IFA ()</v>
      </c>
    </row>
    <row r="3010" spans="1:14" x14ac:dyDescent="0.3">
      <c r="A3010" s="1">
        <v>45237</v>
      </c>
      <c r="B3010" t="s">
        <v>214</v>
      </c>
      <c r="C3010" t="s">
        <v>455</v>
      </c>
      <c r="D3010" s="8"/>
      <c r="E3010" s="8"/>
      <c r="L3010" t="s">
        <v>563</v>
      </c>
      <c r="M3010" t="s">
        <v>478</v>
      </c>
      <c r="N3010" t="str">
        <f>Tabela_tudo[[#This Row],[Médico]]&amp;" ("&amp;Tabela_tudo[[#This Row],[Obs]]&amp;")"</f>
        <v>IFA ()</v>
      </c>
    </row>
    <row r="3011" spans="1:14" x14ac:dyDescent="0.3">
      <c r="A3011" s="1">
        <v>45258</v>
      </c>
      <c r="B3011" t="s">
        <v>214</v>
      </c>
      <c r="C3011" t="s">
        <v>455</v>
      </c>
      <c r="D3011" s="8"/>
      <c r="E3011" s="8"/>
      <c r="L3011" t="s">
        <v>563</v>
      </c>
      <c r="M3011" t="s">
        <v>478</v>
      </c>
      <c r="N3011" t="str">
        <f>Tabela_tudo[[#This Row],[Médico]]&amp;" ("&amp;Tabela_tudo[[#This Row],[Obs]]&amp;")"</f>
        <v>IFA ()</v>
      </c>
    </row>
    <row r="3012" spans="1:14" x14ac:dyDescent="0.3">
      <c r="A3012" s="1">
        <v>45279</v>
      </c>
      <c r="B3012" t="s">
        <v>214</v>
      </c>
      <c r="C3012" t="s">
        <v>455</v>
      </c>
      <c r="D3012" s="8"/>
      <c r="E3012" s="8"/>
      <c r="L3012" t="s">
        <v>563</v>
      </c>
      <c r="M3012" t="s">
        <v>478</v>
      </c>
      <c r="N3012" t="str">
        <f>Tabela_tudo[[#This Row],[Médico]]&amp;" ("&amp;Tabela_tudo[[#This Row],[Obs]]&amp;")"</f>
        <v>IFA ()</v>
      </c>
    </row>
    <row r="3013" spans="1:14" x14ac:dyDescent="0.3">
      <c r="A3013" s="1">
        <v>45272</v>
      </c>
      <c r="B3013" t="s">
        <v>214</v>
      </c>
      <c r="C3013" t="s">
        <v>455</v>
      </c>
      <c r="D3013" s="8"/>
      <c r="E3013" s="8"/>
      <c r="L3013" t="s">
        <v>563</v>
      </c>
      <c r="M3013" t="s">
        <v>478</v>
      </c>
      <c r="N3013" t="str">
        <f>Tabela_tudo[[#This Row],[Médico]]&amp;" ("&amp;Tabela_tudo[[#This Row],[Obs]]&amp;")"</f>
        <v>IFA ()</v>
      </c>
    </row>
    <row r="3014" spans="1:14" x14ac:dyDescent="0.3">
      <c r="A3014" s="1">
        <v>45265</v>
      </c>
      <c r="B3014" t="s">
        <v>214</v>
      </c>
      <c r="C3014" t="s">
        <v>455</v>
      </c>
      <c r="D3014" s="8"/>
      <c r="E3014" s="8"/>
      <c r="L3014" t="s">
        <v>563</v>
      </c>
      <c r="M3014" t="s">
        <v>478</v>
      </c>
      <c r="N3014" t="str">
        <f>Tabela_tudo[[#This Row],[Médico]]&amp;" ("&amp;Tabela_tudo[[#This Row],[Obs]]&amp;")"</f>
        <v>IFA ()</v>
      </c>
    </row>
    <row r="3015" spans="1:14" x14ac:dyDescent="0.3">
      <c r="A3015" s="1">
        <v>45195</v>
      </c>
      <c r="B3015" t="s">
        <v>214</v>
      </c>
      <c r="C3015" t="s">
        <v>455</v>
      </c>
      <c r="D3015" s="8"/>
      <c r="E3015" s="8"/>
      <c r="L3015" t="s">
        <v>563</v>
      </c>
      <c r="M3015" t="s">
        <v>478</v>
      </c>
      <c r="N3015" t="str">
        <f>Tabela_tudo[[#This Row],[Médico]]&amp;" ("&amp;Tabela_tudo[[#This Row],[Obs]]&amp;")"</f>
        <v>IFA ()</v>
      </c>
    </row>
    <row r="3016" spans="1:14" x14ac:dyDescent="0.3">
      <c r="A3016" s="1">
        <v>45188</v>
      </c>
      <c r="B3016" t="s">
        <v>214</v>
      </c>
      <c r="C3016" t="s">
        <v>455</v>
      </c>
      <c r="D3016" s="8"/>
      <c r="E3016" s="8"/>
      <c r="L3016" t="s">
        <v>563</v>
      </c>
      <c r="M3016" t="s">
        <v>478</v>
      </c>
      <c r="N3016" t="str">
        <f>Tabela_tudo[[#This Row],[Médico]]&amp;" ("&amp;Tabela_tudo[[#This Row],[Obs]]&amp;")"</f>
        <v>IFA ()</v>
      </c>
    </row>
    <row r="3017" spans="1:14" x14ac:dyDescent="0.3">
      <c r="A3017" s="1">
        <v>45181</v>
      </c>
      <c r="B3017" t="s">
        <v>214</v>
      </c>
      <c r="C3017" t="s">
        <v>455</v>
      </c>
      <c r="D3017" s="8"/>
      <c r="E3017" s="8"/>
      <c r="L3017" t="s">
        <v>563</v>
      </c>
      <c r="M3017" t="s">
        <v>478</v>
      </c>
      <c r="N3017" t="str">
        <f>Tabela_tudo[[#This Row],[Médico]]&amp;" ("&amp;Tabela_tudo[[#This Row],[Obs]]&amp;")"</f>
        <v>IFA ()</v>
      </c>
    </row>
    <row r="3018" spans="1:14" x14ac:dyDescent="0.3">
      <c r="A3018" s="1">
        <v>45202</v>
      </c>
      <c r="B3018" t="s">
        <v>214</v>
      </c>
      <c r="C3018" t="s">
        <v>455</v>
      </c>
      <c r="D3018" s="8"/>
      <c r="E3018" s="8"/>
      <c r="L3018" t="s">
        <v>563</v>
      </c>
      <c r="M3018" t="s">
        <v>478</v>
      </c>
      <c r="N3018" t="str">
        <f>Tabela_tudo[[#This Row],[Médico]]&amp;" ("&amp;Tabela_tudo[[#This Row],[Obs]]&amp;")"</f>
        <v>IFA ()</v>
      </c>
    </row>
    <row r="3019" spans="1:14" x14ac:dyDescent="0.3">
      <c r="A3019" s="1">
        <v>45230</v>
      </c>
      <c r="B3019" t="s">
        <v>214</v>
      </c>
      <c r="C3019" t="s">
        <v>455</v>
      </c>
      <c r="D3019" s="8"/>
      <c r="E3019" s="8"/>
      <c r="L3019" t="s">
        <v>563</v>
      </c>
      <c r="M3019" t="s">
        <v>478</v>
      </c>
      <c r="N3019" t="str">
        <f>Tabela_tudo[[#This Row],[Médico]]&amp;" ("&amp;Tabela_tudo[[#This Row],[Obs]]&amp;")"</f>
        <v>IFA ()</v>
      </c>
    </row>
    <row r="3020" spans="1:14" x14ac:dyDescent="0.3">
      <c r="A3020" s="1">
        <v>45216</v>
      </c>
      <c r="B3020" t="s">
        <v>214</v>
      </c>
      <c r="C3020" t="s">
        <v>455</v>
      </c>
      <c r="D3020" s="8"/>
      <c r="E3020" s="8"/>
      <c r="L3020" t="s">
        <v>563</v>
      </c>
      <c r="M3020" t="s">
        <v>478</v>
      </c>
      <c r="N3020" t="str">
        <f>Tabela_tudo[[#This Row],[Médico]]&amp;" ("&amp;Tabela_tudo[[#This Row],[Obs]]&amp;")"</f>
        <v>IFA ()</v>
      </c>
    </row>
    <row r="3021" spans="1:14" x14ac:dyDescent="0.3">
      <c r="A3021" s="1">
        <v>45209</v>
      </c>
      <c r="B3021" t="s">
        <v>214</v>
      </c>
      <c r="C3021" t="s">
        <v>455</v>
      </c>
      <c r="D3021" s="8"/>
      <c r="E3021" s="8"/>
      <c r="L3021" t="s">
        <v>563</v>
      </c>
      <c r="M3021" t="s">
        <v>478</v>
      </c>
      <c r="N3021" t="str">
        <f>Tabela_tudo[[#This Row],[Médico]]&amp;" ("&amp;Tabela_tudo[[#This Row],[Obs]]&amp;")"</f>
        <v>IFA ()</v>
      </c>
    </row>
    <row r="3022" spans="1:14" x14ac:dyDescent="0.3">
      <c r="A3022" s="1">
        <v>45286</v>
      </c>
      <c r="B3022" t="s">
        <v>214</v>
      </c>
      <c r="C3022" t="s">
        <v>455</v>
      </c>
      <c r="D3022" s="8"/>
      <c r="E3022" s="8"/>
      <c r="L3022" t="s">
        <v>563</v>
      </c>
      <c r="M3022" t="s">
        <v>478</v>
      </c>
      <c r="N3022" t="str">
        <f>Tabela_tudo[[#This Row],[Médico]]&amp;" ("&amp;Tabela_tudo[[#This Row],[Obs]]&amp;")"</f>
        <v>IFA ()</v>
      </c>
    </row>
    <row r="3023" spans="1:14" x14ac:dyDescent="0.3">
      <c r="A3023" s="1">
        <v>45356</v>
      </c>
      <c r="B3023" t="s">
        <v>214</v>
      </c>
      <c r="C3023" t="s">
        <v>455</v>
      </c>
      <c r="D3023" s="8"/>
      <c r="E3023" s="8"/>
      <c r="L3023" t="s">
        <v>563</v>
      </c>
      <c r="M3023" t="s">
        <v>478</v>
      </c>
      <c r="N3023" t="str">
        <f>Tabela_tudo[[#This Row],[Médico]]&amp;" ("&amp;Tabela_tudo[[#This Row],[Obs]]&amp;")"</f>
        <v>IFA ()</v>
      </c>
    </row>
    <row r="3024" spans="1:14" x14ac:dyDescent="0.3">
      <c r="A3024" s="1">
        <v>45349</v>
      </c>
      <c r="B3024" t="s">
        <v>214</v>
      </c>
      <c r="C3024" t="s">
        <v>455</v>
      </c>
      <c r="D3024" s="8"/>
      <c r="E3024" s="8"/>
      <c r="L3024" t="s">
        <v>563</v>
      </c>
      <c r="M3024" t="s">
        <v>478</v>
      </c>
      <c r="N3024" t="str">
        <f>Tabela_tudo[[#This Row],[Médico]]&amp;" ("&amp;Tabela_tudo[[#This Row],[Obs]]&amp;")"</f>
        <v>IFA ()</v>
      </c>
    </row>
    <row r="3025" spans="1:14" x14ac:dyDescent="0.3">
      <c r="A3025" s="1">
        <v>45342</v>
      </c>
      <c r="B3025" t="s">
        <v>214</v>
      </c>
      <c r="C3025" t="s">
        <v>455</v>
      </c>
      <c r="D3025" s="8"/>
      <c r="E3025" s="8"/>
      <c r="L3025" t="s">
        <v>563</v>
      </c>
      <c r="M3025" t="s">
        <v>478</v>
      </c>
      <c r="N3025" t="str">
        <f>Tabela_tudo[[#This Row],[Médico]]&amp;" ("&amp;Tabela_tudo[[#This Row],[Obs]]&amp;")"</f>
        <v>IFA ()</v>
      </c>
    </row>
    <row r="3026" spans="1:14" x14ac:dyDescent="0.3">
      <c r="A3026" s="1">
        <v>45363</v>
      </c>
      <c r="B3026" t="s">
        <v>214</v>
      </c>
      <c r="C3026" t="s">
        <v>455</v>
      </c>
      <c r="D3026" s="8"/>
      <c r="E3026" s="8"/>
      <c r="L3026" t="s">
        <v>563</v>
      </c>
      <c r="M3026" t="s">
        <v>478</v>
      </c>
      <c r="N3026" t="str">
        <f>Tabela_tudo[[#This Row],[Médico]]&amp;" ("&amp;Tabela_tudo[[#This Row],[Obs]]&amp;")"</f>
        <v>IFA ()</v>
      </c>
    </row>
    <row r="3027" spans="1:14" x14ac:dyDescent="0.3">
      <c r="A3027" s="1">
        <v>45384</v>
      </c>
      <c r="B3027" t="s">
        <v>214</v>
      </c>
      <c r="C3027" t="s">
        <v>455</v>
      </c>
      <c r="D3027" s="8"/>
      <c r="E3027" s="8"/>
      <c r="L3027" t="s">
        <v>563</v>
      </c>
      <c r="M3027" t="s">
        <v>478</v>
      </c>
      <c r="N3027" t="str">
        <f>Tabela_tudo[[#This Row],[Médico]]&amp;" ("&amp;Tabela_tudo[[#This Row],[Obs]]&amp;")"</f>
        <v>IFA ()</v>
      </c>
    </row>
    <row r="3028" spans="1:14" x14ac:dyDescent="0.3">
      <c r="A3028" s="1">
        <v>45377</v>
      </c>
      <c r="B3028" t="s">
        <v>214</v>
      </c>
      <c r="C3028" t="s">
        <v>455</v>
      </c>
      <c r="D3028" s="8"/>
      <c r="E3028" s="8"/>
      <c r="L3028" t="s">
        <v>563</v>
      </c>
      <c r="M3028" t="s">
        <v>478</v>
      </c>
      <c r="N3028" t="str">
        <f>Tabela_tudo[[#This Row],[Médico]]&amp;" ("&amp;Tabela_tudo[[#This Row],[Obs]]&amp;")"</f>
        <v>IFA ()</v>
      </c>
    </row>
    <row r="3029" spans="1:14" x14ac:dyDescent="0.3">
      <c r="A3029" s="1">
        <v>45370</v>
      </c>
      <c r="B3029" t="s">
        <v>214</v>
      </c>
      <c r="C3029" t="s">
        <v>455</v>
      </c>
      <c r="D3029" s="8"/>
      <c r="E3029" s="8"/>
      <c r="L3029" t="s">
        <v>563</v>
      </c>
      <c r="M3029" t="s">
        <v>478</v>
      </c>
      <c r="N3029" t="str">
        <f>Tabela_tudo[[#This Row],[Médico]]&amp;" ("&amp;Tabela_tudo[[#This Row],[Obs]]&amp;")"</f>
        <v>IFA ()</v>
      </c>
    </row>
    <row r="3030" spans="1:14" x14ac:dyDescent="0.3">
      <c r="A3030" s="1">
        <v>45307</v>
      </c>
      <c r="B3030" t="s">
        <v>214</v>
      </c>
      <c r="C3030" t="s">
        <v>455</v>
      </c>
      <c r="D3030" s="8"/>
      <c r="E3030" s="8"/>
      <c r="L3030" t="s">
        <v>563</v>
      </c>
      <c r="M3030" t="s">
        <v>478</v>
      </c>
      <c r="N3030" t="str">
        <f>Tabela_tudo[[#This Row],[Médico]]&amp;" ("&amp;Tabela_tudo[[#This Row],[Obs]]&amp;")"</f>
        <v>IFA ()</v>
      </c>
    </row>
    <row r="3031" spans="1:14" x14ac:dyDescent="0.3">
      <c r="A3031" s="1">
        <v>45300</v>
      </c>
      <c r="B3031" t="s">
        <v>214</v>
      </c>
      <c r="C3031" t="s">
        <v>455</v>
      </c>
      <c r="D3031" s="8"/>
      <c r="E3031" s="8"/>
      <c r="L3031" t="s">
        <v>563</v>
      </c>
      <c r="M3031" t="s">
        <v>478</v>
      </c>
      <c r="N3031" t="str">
        <f>Tabela_tudo[[#This Row],[Médico]]&amp;" ("&amp;Tabela_tudo[[#This Row],[Obs]]&amp;")"</f>
        <v>IFA ()</v>
      </c>
    </row>
    <row r="3032" spans="1:14" x14ac:dyDescent="0.3">
      <c r="A3032" s="1">
        <v>45293</v>
      </c>
      <c r="B3032" t="s">
        <v>214</v>
      </c>
      <c r="C3032" t="s">
        <v>455</v>
      </c>
      <c r="D3032" s="8"/>
      <c r="E3032" s="8"/>
      <c r="L3032" t="s">
        <v>563</v>
      </c>
      <c r="M3032" t="s">
        <v>478</v>
      </c>
      <c r="N3032" t="str">
        <f>Tabela_tudo[[#This Row],[Médico]]&amp;" ("&amp;Tabela_tudo[[#This Row],[Obs]]&amp;")"</f>
        <v>IFA ()</v>
      </c>
    </row>
    <row r="3033" spans="1:14" x14ac:dyDescent="0.3">
      <c r="A3033" s="1">
        <v>45314</v>
      </c>
      <c r="B3033" t="s">
        <v>214</v>
      </c>
      <c r="C3033" t="s">
        <v>455</v>
      </c>
      <c r="D3033" s="8"/>
      <c r="E3033" s="8"/>
      <c r="L3033" t="s">
        <v>563</v>
      </c>
      <c r="M3033" t="s">
        <v>478</v>
      </c>
      <c r="N3033" t="str">
        <f>Tabela_tudo[[#This Row],[Médico]]&amp;" ("&amp;Tabela_tudo[[#This Row],[Obs]]&amp;")"</f>
        <v>IFA ()</v>
      </c>
    </row>
    <row r="3034" spans="1:14" x14ac:dyDescent="0.3">
      <c r="A3034" s="1">
        <v>45335</v>
      </c>
      <c r="B3034" t="s">
        <v>214</v>
      </c>
      <c r="C3034" t="s">
        <v>455</v>
      </c>
      <c r="D3034" s="8"/>
      <c r="E3034" s="8"/>
      <c r="L3034" t="s">
        <v>563</v>
      </c>
      <c r="M3034" t="s">
        <v>478</v>
      </c>
      <c r="N3034" t="str">
        <f>Tabela_tudo[[#This Row],[Médico]]&amp;" ("&amp;Tabela_tudo[[#This Row],[Obs]]&amp;")"</f>
        <v>IFA ()</v>
      </c>
    </row>
    <row r="3035" spans="1:14" x14ac:dyDescent="0.3">
      <c r="A3035" s="1">
        <v>45328</v>
      </c>
      <c r="B3035" t="s">
        <v>214</v>
      </c>
      <c r="C3035" t="s">
        <v>455</v>
      </c>
      <c r="D3035" s="8"/>
      <c r="E3035" s="8"/>
      <c r="L3035" t="s">
        <v>563</v>
      </c>
      <c r="M3035" t="s">
        <v>478</v>
      </c>
      <c r="N3035" t="str">
        <f>Tabela_tudo[[#This Row],[Médico]]&amp;" ("&amp;Tabela_tudo[[#This Row],[Obs]]&amp;")"</f>
        <v>IFA ()</v>
      </c>
    </row>
    <row r="3036" spans="1:14" x14ac:dyDescent="0.3">
      <c r="A3036" s="1">
        <v>45321</v>
      </c>
      <c r="B3036" t="s">
        <v>214</v>
      </c>
      <c r="C3036" t="s">
        <v>455</v>
      </c>
      <c r="D3036" s="8"/>
      <c r="E3036" s="8"/>
      <c r="L3036" t="s">
        <v>563</v>
      </c>
      <c r="M3036" t="s">
        <v>478</v>
      </c>
      <c r="N3036" t="str">
        <f>Tabela_tudo[[#This Row],[Médico]]&amp;" ("&amp;Tabela_tudo[[#This Row],[Obs]]&amp;")"</f>
        <v>IFA ()</v>
      </c>
    </row>
    <row r="3037" spans="1:14" x14ac:dyDescent="0.3">
      <c r="A3037" s="1">
        <v>45174</v>
      </c>
      <c r="B3037" t="s">
        <v>214</v>
      </c>
      <c r="C3037" t="s">
        <v>455</v>
      </c>
      <c r="D3037" s="8"/>
      <c r="E3037" s="8"/>
      <c r="L3037" t="s">
        <v>563</v>
      </c>
      <c r="M3037" t="s">
        <v>478</v>
      </c>
      <c r="N3037" t="str">
        <f>Tabela_tudo[[#This Row],[Médico]]&amp;" ("&amp;Tabela_tudo[[#This Row],[Obs]]&amp;")"</f>
        <v>IFA ()</v>
      </c>
    </row>
    <row r="3038" spans="1:14" x14ac:dyDescent="0.3">
      <c r="A3038" s="1">
        <v>45020</v>
      </c>
      <c r="B3038" t="s">
        <v>214</v>
      </c>
      <c r="C3038" t="s">
        <v>455</v>
      </c>
      <c r="D3038" s="8"/>
      <c r="E3038" s="8"/>
      <c r="L3038" t="s">
        <v>563</v>
      </c>
      <c r="M3038" t="s">
        <v>478</v>
      </c>
      <c r="N3038" t="str">
        <f>Tabela_tudo[[#This Row],[Médico]]&amp;" ("&amp;Tabela_tudo[[#This Row],[Obs]]&amp;")"</f>
        <v>IFA ()</v>
      </c>
    </row>
    <row r="3039" spans="1:14" x14ac:dyDescent="0.3">
      <c r="A3039" s="1">
        <v>45013</v>
      </c>
      <c r="B3039" t="s">
        <v>214</v>
      </c>
      <c r="C3039" t="s">
        <v>455</v>
      </c>
      <c r="D3039" s="8"/>
      <c r="E3039" s="8"/>
      <c r="L3039" t="s">
        <v>563</v>
      </c>
      <c r="M3039" t="s">
        <v>478</v>
      </c>
      <c r="N3039" t="str">
        <f>Tabela_tudo[[#This Row],[Médico]]&amp;" ("&amp;Tabela_tudo[[#This Row],[Obs]]&amp;")"</f>
        <v>IFA ()</v>
      </c>
    </row>
    <row r="3040" spans="1:14" x14ac:dyDescent="0.3">
      <c r="A3040" s="1">
        <v>45006</v>
      </c>
      <c r="B3040" t="s">
        <v>214</v>
      </c>
      <c r="C3040" t="s">
        <v>455</v>
      </c>
      <c r="D3040" s="8"/>
      <c r="E3040" s="8"/>
      <c r="L3040" t="s">
        <v>563</v>
      </c>
      <c r="M3040" t="s">
        <v>478</v>
      </c>
      <c r="N3040" t="str">
        <f>Tabela_tudo[[#This Row],[Médico]]&amp;" ("&amp;Tabela_tudo[[#This Row],[Obs]]&amp;")"</f>
        <v>IFA ()</v>
      </c>
    </row>
    <row r="3041" spans="1:14" x14ac:dyDescent="0.3">
      <c r="A3041" s="1">
        <v>45027</v>
      </c>
      <c r="B3041" t="s">
        <v>214</v>
      </c>
      <c r="C3041" t="s">
        <v>455</v>
      </c>
      <c r="D3041" s="8"/>
      <c r="E3041" s="8"/>
      <c r="L3041" t="s">
        <v>563</v>
      </c>
      <c r="M3041" t="s">
        <v>478</v>
      </c>
      <c r="N3041" t="str">
        <f>Tabela_tudo[[#This Row],[Médico]]&amp;" ("&amp;Tabela_tudo[[#This Row],[Obs]]&amp;")"</f>
        <v>IFA ()</v>
      </c>
    </row>
    <row r="3042" spans="1:14" x14ac:dyDescent="0.3">
      <c r="A3042" s="1">
        <v>45048</v>
      </c>
      <c r="B3042" t="s">
        <v>214</v>
      </c>
      <c r="C3042" t="s">
        <v>455</v>
      </c>
      <c r="D3042" s="8"/>
      <c r="E3042" s="8"/>
      <c r="L3042" t="s">
        <v>563</v>
      </c>
      <c r="M3042" t="s">
        <v>478</v>
      </c>
      <c r="N3042" t="str">
        <f>Tabela_tudo[[#This Row],[Médico]]&amp;" ("&amp;Tabela_tudo[[#This Row],[Obs]]&amp;")"</f>
        <v>IFA ()</v>
      </c>
    </row>
    <row r="3043" spans="1:14" x14ac:dyDescent="0.3">
      <c r="A3043" s="1">
        <v>45041</v>
      </c>
      <c r="B3043" t="s">
        <v>214</v>
      </c>
      <c r="C3043" t="s">
        <v>455</v>
      </c>
      <c r="D3043" s="8"/>
      <c r="E3043" s="8"/>
      <c r="L3043" t="s">
        <v>563</v>
      </c>
      <c r="M3043" t="s">
        <v>478</v>
      </c>
      <c r="N3043" t="str">
        <f>Tabela_tudo[[#This Row],[Médico]]&amp;" ("&amp;Tabela_tudo[[#This Row],[Obs]]&amp;")"</f>
        <v>IFA ()</v>
      </c>
    </row>
    <row r="3044" spans="1:14" x14ac:dyDescent="0.3">
      <c r="A3044" s="1">
        <v>45034</v>
      </c>
      <c r="B3044" t="s">
        <v>214</v>
      </c>
      <c r="C3044" t="s">
        <v>455</v>
      </c>
      <c r="D3044" s="8"/>
      <c r="E3044" s="8"/>
      <c r="L3044" t="s">
        <v>563</v>
      </c>
      <c r="M3044" t="s">
        <v>478</v>
      </c>
      <c r="N3044" t="str">
        <f>Tabela_tudo[[#This Row],[Médico]]&amp;" ("&amp;Tabela_tudo[[#This Row],[Obs]]&amp;")"</f>
        <v>IFA ()</v>
      </c>
    </row>
    <row r="3045" spans="1:14" x14ac:dyDescent="0.3">
      <c r="A3045" s="1">
        <v>44971</v>
      </c>
      <c r="B3045" t="s">
        <v>214</v>
      </c>
      <c r="C3045" t="s">
        <v>455</v>
      </c>
      <c r="D3045" s="8"/>
      <c r="E3045" s="8"/>
      <c r="L3045" t="s">
        <v>563</v>
      </c>
      <c r="M3045" t="s">
        <v>478</v>
      </c>
      <c r="N3045" t="str">
        <f>Tabela_tudo[[#This Row],[Médico]]&amp;" ("&amp;Tabela_tudo[[#This Row],[Obs]]&amp;")"</f>
        <v>IFA ()</v>
      </c>
    </row>
    <row r="3046" spans="1:14" x14ac:dyDescent="0.3">
      <c r="A3046" s="1">
        <v>44964</v>
      </c>
      <c r="B3046" t="s">
        <v>214</v>
      </c>
      <c r="C3046" t="s">
        <v>455</v>
      </c>
      <c r="D3046" s="8"/>
      <c r="E3046" s="8"/>
      <c r="L3046" t="s">
        <v>563</v>
      </c>
      <c r="M3046" t="s">
        <v>478</v>
      </c>
      <c r="N3046" t="str">
        <f>Tabela_tudo[[#This Row],[Médico]]&amp;" ("&amp;Tabela_tudo[[#This Row],[Obs]]&amp;")"</f>
        <v>IFA ()</v>
      </c>
    </row>
    <row r="3047" spans="1:14" x14ac:dyDescent="0.3">
      <c r="A3047" s="1">
        <v>44957</v>
      </c>
      <c r="B3047" t="s">
        <v>214</v>
      </c>
      <c r="C3047" t="s">
        <v>455</v>
      </c>
      <c r="D3047" s="8"/>
      <c r="E3047" s="8"/>
      <c r="L3047" t="s">
        <v>563</v>
      </c>
      <c r="M3047" t="s">
        <v>478</v>
      </c>
      <c r="N3047" t="str">
        <f>Tabela_tudo[[#This Row],[Médico]]&amp;" ("&amp;Tabela_tudo[[#This Row],[Obs]]&amp;")"</f>
        <v>IFA ()</v>
      </c>
    </row>
    <row r="3048" spans="1:14" x14ac:dyDescent="0.3">
      <c r="A3048" s="1">
        <v>44978</v>
      </c>
      <c r="B3048" t="s">
        <v>214</v>
      </c>
      <c r="C3048" t="s">
        <v>455</v>
      </c>
      <c r="D3048" s="8"/>
      <c r="E3048" s="8"/>
      <c r="L3048" t="s">
        <v>563</v>
      </c>
      <c r="M3048" t="s">
        <v>478</v>
      </c>
      <c r="N3048" t="str">
        <f>Tabela_tudo[[#This Row],[Médico]]&amp;" ("&amp;Tabela_tudo[[#This Row],[Obs]]&amp;")"</f>
        <v>IFA ()</v>
      </c>
    </row>
    <row r="3049" spans="1:14" x14ac:dyDescent="0.3">
      <c r="A3049" s="1">
        <v>44999</v>
      </c>
      <c r="B3049" t="s">
        <v>214</v>
      </c>
      <c r="C3049" t="s">
        <v>455</v>
      </c>
      <c r="D3049" s="8"/>
      <c r="E3049" s="8"/>
      <c r="L3049" t="s">
        <v>563</v>
      </c>
      <c r="M3049" t="s">
        <v>478</v>
      </c>
      <c r="N3049" t="str">
        <f>Tabela_tudo[[#This Row],[Médico]]&amp;" ("&amp;Tabela_tudo[[#This Row],[Obs]]&amp;")"</f>
        <v>IFA ()</v>
      </c>
    </row>
    <row r="3050" spans="1:14" x14ac:dyDescent="0.3">
      <c r="A3050" s="1">
        <v>44992</v>
      </c>
      <c r="B3050" t="s">
        <v>214</v>
      </c>
      <c r="C3050" t="s">
        <v>455</v>
      </c>
      <c r="D3050" s="8"/>
      <c r="E3050" s="8"/>
      <c r="L3050" t="s">
        <v>563</v>
      </c>
      <c r="M3050" t="s">
        <v>478</v>
      </c>
      <c r="N3050" t="str">
        <f>Tabela_tudo[[#This Row],[Médico]]&amp;" ("&amp;Tabela_tudo[[#This Row],[Obs]]&amp;")"</f>
        <v>IFA ()</v>
      </c>
    </row>
    <row r="3051" spans="1:14" x14ac:dyDescent="0.3">
      <c r="A3051" s="1">
        <v>44985</v>
      </c>
      <c r="B3051" t="s">
        <v>214</v>
      </c>
      <c r="C3051" t="s">
        <v>455</v>
      </c>
      <c r="D3051" s="8"/>
      <c r="E3051" s="8"/>
      <c r="L3051" t="s">
        <v>563</v>
      </c>
      <c r="M3051" t="s">
        <v>478</v>
      </c>
      <c r="N3051" t="str">
        <f>Tabela_tudo[[#This Row],[Médico]]&amp;" ("&amp;Tabela_tudo[[#This Row],[Obs]]&amp;")"</f>
        <v>IFA ()</v>
      </c>
    </row>
    <row r="3052" spans="1:14" x14ac:dyDescent="0.3">
      <c r="A3052" s="1">
        <v>45055</v>
      </c>
      <c r="B3052" t="s">
        <v>214</v>
      </c>
      <c r="C3052" t="s">
        <v>455</v>
      </c>
      <c r="D3052" s="8"/>
      <c r="E3052" s="8"/>
      <c r="L3052" t="s">
        <v>563</v>
      </c>
      <c r="M3052" t="s">
        <v>478</v>
      </c>
      <c r="N3052" t="str">
        <f>Tabela_tudo[[#This Row],[Médico]]&amp;" ("&amp;Tabela_tudo[[#This Row],[Obs]]&amp;")"</f>
        <v>IFA ()</v>
      </c>
    </row>
    <row r="3053" spans="1:14" x14ac:dyDescent="0.3">
      <c r="A3053" s="1">
        <v>45125</v>
      </c>
      <c r="B3053" t="s">
        <v>214</v>
      </c>
      <c r="C3053" t="s">
        <v>455</v>
      </c>
      <c r="D3053" s="8"/>
      <c r="E3053" s="8"/>
      <c r="L3053" t="s">
        <v>563</v>
      </c>
      <c r="M3053" t="s">
        <v>478</v>
      </c>
      <c r="N3053" t="str">
        <f>Tabela_tudo[[#This Row],[Médico]]&amp;" ("&amp;Tabela_tudo[[#This Row],[Obs]]&amp;")"</f>
        <v>IFA ()</v>
      </c>
    </row>
    <row r="3054" spans="1:14" x14ac:dyDescent="0.3">
      <c r="A3054" s="1">
        <v>45118</v>
      </c>
      <c r="B3054" t="s">
        <v>214</v>
      </c>
      <c r="C3054" t="s">
        <v>455</v>
      </c>
      <c r="D3054" s="8"/>
      <c r="E3054" s="8"/>
      <c r="L3054" t="s">
        <v>563</v>
      </c>
      <c r="M3054" t="s">
        <v>478</v>
      </c>
      <c r="N3054" t="str">
        <f>Tabela_tudo[[#This Row],[Médico]]&amp;" ("&amp;Tabela_tudo[[#This Row],[Obs]]&amp;")"</f>
        <v>IFA ()</v>
      </c>
    </row>
    <row r="3055" spans="1:14" x14ac:dyDescent="0.3">
      <c r="A3055" s="1">
        <v>45111</v>
      </c>
      <c r="B3055" t="s">
        <v>214</v>
      </c>
      <c r="C3055" t="s">
        <v>455</v>
      </c>
      <c r="D3055" s="8"/>
      <c r="E3055" s="8"/>
      <c r="L3055" t="s">
        <v>563</v>
      </c>
      <c r="M3055" t="s">
        <v>478</v>
      </c>
      <c r="N3055" t="str">
        <f>Tabela_tudo[[#This Row],[Médico]]&amp;" ("&amp;Tabela_tudo[[#This Row],[Obs]]&amp;")"</f>
        <v>IFA ()</v>
      </c>
    </row>
    <row r="3056" spans="1:14" x14ac:dyDescent="0.3">
      <c r="A3056" s="1">
        <v>45132</v>
      </c>
      <c r="B3056" t="s">
        <v>214</v>
      </c>
      <c r="C3056" t="s">
        <v>455</v>
      </c>
      <c r="D3056" s="8"/>
      <c r="E3056" s="8"/>
      <c r="L3056" t="s">
        <v>563</v>
      </c>
      <c r="M3056" t="s">
        <v>478</v>
      </c>
      <c r="N3056" t="str">
        <f>Tabela_tudo[[#This Row],[Médico]]&amp;" ("&amp;Tabela_tudo[[#This Row],[Obs]]&amp;")"</f>
        <v>IFA ()</v>
      </c>
    </row>
    <row r="3057" spans="1:14" x14ac:dyDescent="0.3">
      <c r="A3057" s="1">
        <v>45160</v>
      </c>
      <c r="B3057" t="s">
        <v>214</v>
      </c>
      <c r="C3057" t="s">
        <v>455</v>
      </c>
      <c r="D3057" s="8"/>
      <c r="E3057" s="8"/>
      <c r="L3057" t="s">
        <v>563</v>
      </c>
      <c r="M3057" t="s">
        <v>478</v>
      </c>
      <c r="N3057" t="str">
        <f>Tabela_tudo[[#This Row],[Médico]]&amp;" ("&amp;Tabela_tudo[[#This Row],[Obs]]&amp;")"</f>
        <v>IFA ()</v>
      </c>
    </row>
    <row r="3058" spans="1:14" x14ac:dyDescent="0.3">
      <c r="A3058" s="1">
        <v>45153</v>
      </c>
      <c r="B3058" t="s">
        <v>214</v>
      </c>
      <c r="C3058" t="s">
        <v>455</v>
      </c>
      <c r="D3058" s="8"/>
      <c r="E3058" s="8"/>
      <c r="L3058" t="s">
        <v>563</v>
      </c>
      <c r="M3058" t="s">
        <v>478</v>
      </c>
      <c r="N3058" t="str">
        <f>Tabela_tudo[[#This Row],[Médico]]&amp;" ("&amp;Tabela_tudo[[#This Row],[Obs]]&amp;")"</f>
        <v>IFA ()</v>
      </c>
    </row>
    <row r="3059" spans="1:14" x14ac:dyDescent="0.3">
      <c r="A3059" s="1">
        <v>45146</v>
      </c>
      <c r="B3059" t="s">
        <v>214</v>
      </c>
      <c r="C3059" t="s">
        <v>455</v>
      </c>
      <c r="D3059" s="8"/>
      <c r="E3059" s="8"/>
      <c r="L3059" t="s">
        <v>563</v>
      </c>
      <c r="M3059" t="s">
        <v>478</v>
      </c>
      <c r="N3059" t="str">
        <f>Tabela_tudo[[#This Row],[Médico]]&amp;" ("&amp;Tabela_tudo[[#This Row],[Obs]]&amp;")"</f>
        <v>IFA ()</v>
      </c>
    </row>
    <row r="3060" spans="1:14" x14ac:dyDescent="0.3">
      <c r="A3060" s="1">
        <v>45076</v>
      </c>
      <c r="B3060" t="s">
        <v>214</v>
      </c>
      <c r="C3060" t="s">
        <v>455</v>
      </c>
      <c r="D3060" s="8"/>
      <c r="E3060" s="8"/>
      <c r="L3060" t="s">
        <v>563</v>
      </c>
      <c r="M3060" t="s">
        <v>478</v>
      </c>
      <c r="N3060" t="str">
        <f>Tabela_tudo[[#This Row],[Médico]]&amp;" ("&amp;Tabela_tudo[[#This Row],[Obs]]&amp;")"</f>
        <v>IFA ()</v>
      </c>
    </row>
    <row r="3061" spans="1:14" x14ac:dyDescent="0.3">
      <c r="A3061" s="1">
        <v>45069</v>
      </c>
      <c r="B3061" t="s">
        <v>214</v>
      </c>
      <c r="C3061" t="s">
        <v>455</v>
      </c>
      <c r="D3061" s="8"/>
      <c r="E3061" s="8"/>
      <c r="L3061" t="s">
        <v>563</v>
      </c>
      <c r="M3061" t="s">
        <v>478</v>
      </c>
      <c r="N3061" t="str">
        <f>Tabela_tudo[[#This Row],[Médico]]&amp;" ("&amp;Tabela_tudo[[#This Row],[Obs]]&amp;")"</f>
        <v>IFA ()</v>
      </c>
    </row>
    <row r="3062" spans="1:14" x14ac:dyDescent="0.3">
      <c r="A3062" s="1">
        <v>45062</v>
      </c>
      <c r="B3062" t="s">
        <v>214</v>
      </c>
      <c r="C3062" t="s">
        <v>455</v>
      </c>
      <c r="D3062" s="8"/>
      <c r="E3062" s="8"/>
      <c r="L3062" t="s">
        <v>563</v>
      </c>
      <c r="M3062" t="s">
        <v>478</v>
      </c>
      <c r="N3062" t="str">
        <f>Tabela_tudo[[#This Row],[Médico]]&amp;" ("&amp;Tabela_tudo[[#This Row],[Obs]]&amp;")"</f>
        <v>IFA ()</v>
      </c>
    </row>
    <row r="3063" spans="1:14" x14ac:dyDescent="0.3">
      <c r="A3063" s="1">
        <v>45083</v>
      </c>
      <c r="B3063" t="s">
        <v>214</v>
      </c>
      <c r="C3063" t="s">
        <v>455</v>
      </c>
      <c r="D3063" s="8"/>
      <c r="E3063" s="8"/>
      <c r="L3063" t="s">
        <v>563</v>
      </c>
      <c r="M3063" t="s">
        <v>478</v>
      </c>
      <c r="N3063" t="str">
        <f>Tabela_tudo[[#This Row],[Médico]]&amp;" ("&amp;Tabela_tudo[[#This Row],[Obs]]&amp;")"</f>
        <v>IFA ()</v>
      </c>
    </row>
    <row r="3064" spans="1:14" x14ac:dyDescent="0.3">
      <c r="A3064" s="1">
        <v>45104</v>
      </c>
      <c r="B3064" t="s">
        <v>214</v>
      </c>
      <c r="C3064" t="s">
        <v>455</v>
      </c>
      <c r="D3064" s="8"/>
      <c r="E3064" s="8"/>
      <c r="L3064" t="s">
        <v>563</v>
      </c>
      <c r="M3064" t="s">
        <v>478</v>
      </c>
      <c r="N3064" t="str">
        <f>Tabela_tudo[[#This Row],[Médico]]&amp;" ("&amp;Tabela_tudo[[#This Row],[Obs]]&amp;")"</f>
        <v>IFA ()</v>
      </c>
    </row>
    <row r="3065" spans="1:14" x14ac:dyDescent="0.3">
      <c r="A3065" s="1">
        <v>45097</v>
      </c>
      <c r="B3065" t="s">
        <v>214</v>
      </c>
      <c r="C3065" t="s">
        <v>455</v>
      </c>
      <c r="D3065" s="8"/>
      <c r="E3065" s="8"/>
      <c r="L3065" t="s">
        <v>563</v>
      </c>
      <c r="M3065" t="s">
        <v>478</v>
      </c>
      <c r="N3065" t="str">
        <f>Tabela_tudo[[#This Row],[Médico]]&amp;" ("&amp;Tabela_tudo[[#This Row],[Obs]]&amp;")"</f>
        <v>IFA ()</v>
      </c>
    </row>
    <row r="3066" spans="1:14" x14ac:dyDescent="0.3">
      <c r="A3066" s="1">
        <v>45090</v>
      </c>
      <c r="B3066" t="s">
        <v>214</v>
      </c>
      <c r="C3066" t="s">
        <v>455</v>
      </c>
      <c r="D3066" s="8"/>
      <c r="E3066" s="8"/>
      <c r="L3066" t="s">
        <v>563</v>
      </c>
      <c r="M3066" t="s">
        <v>478</v>
      </c>
      <c r="N3066" t="str">
        <f>Tabela_tudo[[#This Row],[Médico]]&amp;" ("&amp;Tabela_tudo[[#This Row],[Obs]]&amp;")"</f>
        <v>IFA ()</v>
      </c>
    </row>
    <row r="3067" spans="1:14" x14ac:dyDescent="0.3">
      <c r="A3067" s="1">
        <v>45258</v>
      </c>
      <c r="B3067" t="s">
        <v>283</v>
      </c>
      <c r="C3067" t="s">
        <v>455</v>
      </c>
      <c r="D3067" s="8"/>
      <c r="E3067" s="8"/>
      <c r="L3067" t="s">
        <v>563</v>
      </c>
      <c r="M3067" t="s">
        <v>478</v>
      </c>
      <c r="N3067" t="str">
        <f>Tabela_tudo[[#This Row],[Médico]]&amp;" ("&amp;Tabela_tudo[[#This Row],[Obs]]&amp;")"</f>
        <v>JU ()</v>
      </c>
    </row>
    <row r="3068" spans="1:14" x14ac:dyDescent="0.3">
      <c r="A3068" s="1">
        <v>45425</v>
      </c>
      <c r="B3068" t="s">
        <v>333</v>
      </c>
      <c r="C3068" t="s">
        <v>455</v>
      </c>
      <c r="D3068" s="8"/>
      <c r="E3068" s="8"/>
      <c r="L3068" t="s">
        <v>563</v>
      </c>
      <c r="M3068" t="s">
        <v>478</v>
      </c>
      <c r="N3068" t="str">
        <f>Tabela_tudo[[#This Row],[Médico]]&amp;" ("&amp;Tabela_tudo[[#This Row],[Obs]]&amp;")"</f>
        <v>COR ()</v>
      </c>
    </row>
    <row r="3069" spans="1:14" x14ac:dyDescent="0.3">
      <c r="A3069" s="1">
        <v>45418</v>
      </c>
      <c r="B3069" t="s">
        <v>333</v>
      </c>
      <c r="C3069" t="s">
        <v>455</v>
      </c>
      <c r="D3069" s="8"/>
      <c r="E3069" s="8"/>
      <c r="L3069" t="s">
        <v>563</v>
      </c>
      <c r="M3069" t="s">
        <v>478</v>
      </c>
      <c r="N3069" t="str">
        <f>Tabela_tudo[[#This Row],[Médico]]&amp;" ("&amp;Tabela_tudo[[#This Row],[Obs]]&amp;")"</f>
        <v>COR ()</v>
      </c>
    </row>
    <row r="3070" spans="1:14" x14ac:dyDescent="0.3">
      <c r="A3070" s="1">
        <v>45411</v>
      </c>
      <c r="B3070" t="s">
        <v>333</v>
      </c>
      <c r="C3070" t="s">
        <v>455</v>
      </c>
      <c r="D3070" s="8"/>
      <c r="E3070" s="8"/>
      <c r="L3070" t="s">
        <v>563</v>
      </c>
      <c r="M3070" t="s">
        <v>478</v>
      </c>
      <c r="N3070" t="str">
        <f>Tabela_tudo[[#This Row],[Médico]]&amp;" ("&amp;Tabela_tudo[[#This Row],[Obs]]&amp;")"</f>
        <v>COR ()</v>
      </c>
    </row>
    <row r="3071" spans="1:14" x14ac:dyDescent="0.3">
      <c r="A3071" s="1">
        <v>45432</v>
      </c>
      <c r="B3071" t="s">
        <v>333</v>
      </c>
      <c r="C3071" t="s">
        <v>455</v>
      </c>
      <c r="D3071" s="8"/>
      <c r="E3071" s="8"/>
      <c r="L3071" t="s">
        <v>563</v>
      </c>
      <c r="M3071" t="s">
        <v>478</v>
      </c>
      <c r="N3071" t="str">
        <f>Tabela_tudo[[#This Row],[Médico]]&amp;" ("&amp;Tabela_tudo[[#This Row],[Obs]]&amp;")"</f>
        <v>COR ()</v>
      </c>
    </row>
    <row r="3072" spans="1:14" x14ac:dyDescent="0.3">
      <c r="A3072" s="1">
        <v>45453</v>
      </c>
      <c r="B3072" t="s">
        <v>333</v>
      </c>
      <c r="C3072" t="s">
        <v>455</v>
      </c>
      <c r="D3072" s="8"/>
      <c r="E3072" s="8"/>
      <c r="L3072" t="s">
        <v>563</v>
      </c>
      <c r="M3072" t="s">
        <v>478</v>
      </c>
      <c r="N3072" t="str">
        <f>Tabela_tudo[[#This Row],[Médico]]&amp;" ("&amp;Tabela_tudo[[#This Row],[Obs]]&amp;")"</f>
        <v>COR ()</v>
      </c>
    </row>
    <row r="3073" spans="1:14" x14ac:dyDescent="0.3">
      <c r="A3073" s="1">
        <v>45446</v>
      </c>
      <c r="B3073" t="s">
        <v>333</v>
      </c>
      <c r="C3073" t="s">
        <v>455</v>
      </c>
      <c r="D3073" s="8"/>
      <c r="E3073" s="8"/>
      <c r="L3073" t="s">
        <v>563</v>
      </c>
      <c r="M3073" t="s">
        <v>478</v>
      </c>
      <c r="N3073" t="str">
        <f>Tabela_tudo[[#This Row],[Médico]]&amp;" ("&amp;Tabela_tudo[[#This Row],[Obs]]&amp;")"</f>
        <v>COR ()</v>
      </c>
    </row>
    <row r="3074" spans="1:14" x14ac:dyDescent="0.3">
      <c r="A3074" s="1">
        <v>45439</v>
      </c>
      <c r="B3074" t="s">
        <v>333</v>
      </c>
      <c r="C3074" t="s">
        <v>455</v>
      </c>
      <c r="D3074" s="8"/>
      <c r="E3074" s="8"/>
      <c r="L3074" t="s">
        <v>563</v>
      </c>
      <c r="M3074" t="s">
        <v>478</v>
      </c>
      <c r="N3074" t="str">
        <f>Tabela_tudo[[#This Row],[Médico]]&amp;" ("&amp;Tabela_tudo[[#This Row],[Obs]]&amp;")"</f>
        <v>COR ()</v>
      </c>
    </row>
    <row r="3075" spans="1:14" x14ac:dyDescent="0.3">
      <c r="A3075" s="1">
        <v>45376</v>
      </c>
      <c r="B3075" t="s">
        <v>333</v>
      </c>
      <c r="C3075" t="s">
        <v>455</v>
      </c>
      <c r="D3075" s="8"/>
      <c r="E3075" s="8"/>
      <c r="L3075" t="s">
        <v>563</v>
      </c>
      <c r="M3075" t="s">
        <v>478</v>
      </c>
      <c r="N3075" t="str">
        <f>Tabela_tudo[[#This Row],[Médico]]&amp;" ("&amp;Tabela_tudo[[#This Row],[Obs]]&amp;")"</f>
        <v>COR ()</v>
      </c>
    </row>
    <row r="3076" spans="1:14" x14ac:dyDescent="0.3">
      <c r="A3076" s="1">
        <v>45369</v>
      </c>
      <c r="B3076" t="s">
        <v>333</v>
      </c>
      <c r="C3076" t="s">
        <v>455</v>
      </c>
      <c r="D3076" s="8"/>
      <c r="E3076" s="8"/>
      <c r="L3076" t="s">
        <v>563</v>
      </c>
      <c r="M3076" t="s">
        <v>478</v>
      </c>
      <c r="N3076" t="str">
        <f>Tabela_tudo[[#This Row],[Médico]]&amp;" ("&amp;Tabela_tudo[[#This Row],[Obs]]&amp;")"</f>
        <v>COR ()</v>
      </c>
    </row>
    <row r="3077" spans="1:14" x14ac:dyDescent="0.3">
      <c r="A3077" s="1">
        <v>45362</v>
      </c>
      <c r="B3077" t="s">
        <v>333</v>
      </c>
      <c r="C3077" t="s">
        <v>455</v>
      </c>
      <c r="D3077" s="8"/>
      <c r="E3077" s="8"/>
      <c r="L3077" t="s">
        <v>563</v>
      </c>
      <c r="M3077" t="s">
        <v>478</v>
      </c>
      <c r="N3077" t="str">
        <f>Tabela_tudo[[#This Row],[Médico]]&amp;" ("&amp;Tabela_tudo[[#This Row],[Obs]]&amp;")"</f>
        <v>COR ()</v>
      </c>
    </row>
    <row r="3078" spans="1:14" x14ac:dyDescent="0.3">
      <c r="A3078" s="1">
        <v>45383</v>
      </c>
      <c r="B3078" t="s">
        <v>333</v>
      </c>
      <c r="C3078" t="s">
        <v>455</v>
      </c>
      <c r="D3078" s="8"/>
      <c r="E3078" s="8"/>
      <c r="L3078" t="s">
        <v>563</v>
      </c>
      <c r="M3078" t="s">
        <v>478</v>
      </c>
      <c r="N3078" t="str">
        <f>Tabela_tudo[[#This Row],[Médico]]&amp;" ("&amp;Tabela_tudo[[#This Row],[Obs]]&amp;")"</f>
        <v>COR ()</v>
      </c>
    </row>
    <row r="3079" spans="1:14" x14ac:dyDescent="0.3">
      <c r="A3079" s="1">
        <v>45404</v>
      </c>
      <c r="B3079" t="s">
        <v>333</v>
      </c>
      <c r="C3079" t="s">
        <v>455</v>
      </c>
      <c r="D3079" s="8"/>
      <c r="E3079" s="8"/>
      <c r="L3079" t="s">
        <v>563</v>
      </c>
      <c r="M3079" t="s">
        <v>478</v>
      </c>
      <c r="N3079" t="str">
        <f>Tabela_tudo[[#This Row],[Médico]]&amp;" ("&amp;Tabela_tudo[[#This Row],[Obs]]&amp;")"</f>
        <v>COR ()</v>
      </c>
    </row>
    <row r="3080" spans="1:14" x14ac:dyDescent="0.3">
      <c r="A3080" s="1">
        <v>45397</v>
      </c>
      <c r="B3080" t="s">
        <v>333</v>
      </c>
      <c r="C3080" t="s">
        <v>455</v>
      </c>
      <c r="D3080" s="8"/>
      <c r="E3080" s="8"/>
      <c r="L3080" t="s">
        <v>563</v>
      </c>
      <c r="M3080" t="s">
        <v>478</v>
      </c>
      <c r="N3080" t="str">
        <f>Tabela_tudo[[#This Row],[Médico]]&amp;" ("&amp;Tabela_tudo[[#This Row],[Obs]]&amp;")"</f>
        <v>COR ()</v>
      </c>
    </row>
    <row r="3081" spans="1:14" x14ac:dyDescent="0.3">
      <c r="A3081" s="1">
        <v>45390</v>
      </c>
      <c r="B3081" t="s">
        <v>333</v>
      </c>
      <c r="C3081" t="s">
        <v>455</v>
      </c>
      <c r="D3081" s="8"/>
      <c r="E3081" s="8"/>
      <c r="L3081" t="s">
        <v>563</v>
      </c>
      <c r="M3081" t="s">
        <v>478</v>
      </c>
      <c r="N3081" t="str">
        <f>Tabela_tudo[[#This Row],[Médico]]&amp;" ("&amp;Tabela_tudo[[#This Row],[Obs]]&amp;")"</f>
        <v>COR ()</v>
      </c>
    </row>
    <row r="3082" spans="1:14" x14ac:dyDescent="0.3">
      <c r="A3082" s="1">
        <v>45460</v>
      </c>
      <c r="B3082" t="s">
        <v>333</v>
      </c>
      <c r="C3082" t="s">
        <v>455</v>
      </c>
      <c r="D3082" s="8"/>
      <c r="E3082" s="8"/>
      <c r="L3082" t="s">
        <v>563</v>
      </c>
      <c r="M3082" t="s">
        <v>478</v>
      </c>
      <c r="N3082" t="str">
        <f>Tabela_tudo[[#This Row],[Médico]]&amp;" ("&amp;Tabela_tudo[[#This Row],[Obs]]&amp;")"</f>
        <v>COR ()</v>
      </c>
    </row>
    <row r="3083" spans="1:14" x14ac:dyDescent="0.3">
      <c r="A3083" s="1">
        <v>45530</v>
      </c>
      <c r="B3083" t="s">
        <v>333</v>
      </c>
      <c r="C3083" t="s">
        <v>455</v>
      </c>
      <c r="D3083" s="8"/>
      <c r="E3083" s="8"/>
      <c r="L3083" t="s">
        <v>563</v>
      </c>
      <c r="M3083" t="s">
        <v>478</v>
      </c>
      <c r="N3083" t="str">
        <f>Tabela_tudo[[#This Row],[Médico]]&amp;" ("&amp;Tabela_tudo[[#This Row],[Obs]]&amp;")"</f>
        <v>COR ()</v>
      </c>
    </row>
    <row r="3084" spans="1:14" x14ac:dyDescent="0.3">
      <c r="A3084" s="1">
        <v>45523</v>
      </c>
      <c r="B3084" t="s">
        <v>333</v>
      </c>
      <c r="C3084" t="s">
        <v>455</v>
      </c>
      <c r="D3084" s="8"/>
      <c r="E3084" s="8"/>
      <c r="L3084" t="s">
        <v>563</v>
      </c>
      <c r="M3084" t="s">
        <v>478</v>
      </c>
      <c r="N3084" t="str">
        <f>Tabela_tudo[[#This Row],[Médico]]&amp;" ("&amp;Tabela_tudo[[#This Row],[Obs]]&amp;")"</f>
        <v>COR ()</v>
      </c>
    </row>
    <row r="3085" spans="1:14" x14ac:dyDescent="0.3">
      <c r="A3085" s="1">
        <v>45516</v>
      </c>
      <c r="B3085" t="s">
        <v>333</v>
      </c>
      <c r="C3085" t="s">
        <v>455</v>
      </c>
      <c r="D3085" s="8"/>
      <c r="E3085" s="8"/>
      <c r="L3085" t="s">
        <v>563</v>
      </c>
      <c r="M3085" t="s">
        <v>478</v>
      </c>
      <c r="N3085" t="str">
        <f>Tabela_tudo[[#This Row],[Médico]]&amp;" ("&amp;Tabela_tudo[[#This Row],[Obs]]&amp;")"</f>
        <v>COR ()</v>
      </c>
    </row>
    <row r="3086" spans="1:14" x14ac:dyDescent="0.3">
      <c r="A3086" s="1">
        <v>45537</v>
      </c>
      <c r="B3086" t="s">
        <v>333</v>
      </c>
      <c r="C3086" t="s">
        <v>455</v>
      </c>
      <c r="D3086" s="8"/>
      <c r="E3086" s="8"/>
      <c r="L3086" t="s">
        <v>563</v>
      </c>
      <c r="M3086" t="s">
        <v>478</v>
      </c>
      <c r="N3086" t="str">
        <f>Tabela_tudo[[#This Row],[Médico]]&amp;" ("&amp;Tabela_tudo[[#This Row],[Obs]]&amp;")"</f>
        <v>COR ()</v>
      </c>
    </row>
    <row r="3087" spans="1:14" x14ac:dyDescent="0.3">
      <c r="A3087" s="1">
        <v>45558</v>
      </c>
      <c r="B3087" t="s">
        <v>333</v>
      </c>
      <c r="C3087" t="s">
        <v>455</v>
      </c>
      <c r="D3087" s="8"/>
      <c r="E3087" s="8"/>
      <c r="L3087" t="s">
        <v>563</v>
      </c>
      <c r="M3087" t="s">
        <v>478</v>
      </c>
      <c r="N3087" t="str">
        <f>Tabela_tudo[[#This Row],[Médico]]&amp;" ("&amp;Tabela_tudo[[#This Row],[Obs]]&amp;")"</f>
        <v>COR ()</v>
      </c>
    </row>
    <row r="3088" spans="1:14" x14ac:dyDescent="0.3">
      <c r="A3088" s="1">
        <v>45551</v>
      </c>
      <c r="B3088" t="s">
        <v>333</v>
      </c>
      <c r="C3088" t="s">
        <v>455</v>
      </c>
      <c r="D3088" s="8"/>
      <c r="E3088" s="8"/>
      <c r="L3088" t="s">
        <v>563</v>
      </c>
      <c r="M3088" t="s">
        <v>478</v>
      </c>
      <c r="N3088" t="str">
        <f>Tabela_tudo[[#This Row],[Médico]]&amp;" ("&amp;Tabela_tudo[[#This Row],[Obs]]&amp;")"</f>
        <v>COR ()</v>
      </c>
    </row>
    <row r="3089" spans="1:14" x14ac:dyDescent="0.3">
      <c r="A3089" s="1">
        <v>45544</v>
      </c>
      <c r="B3089" t="s">
        <v>333</v>
      </c>
      <c r="C3089" t="s">
        <v>455</v>
      </c>
      <c r="D3089" s="8"/>
      <c r="E3089" s="8"/>
      <c r="L3089" t="s">
        <v>563</v>
      </c>
      <c r="M3089" t="s">
        <v>478</v>
      </c>
      <c r="N3089" t="str">
        <f>Tabela_tudo[[#This Row],[Médico]]&amp;" ("&amp;Tabela_tudo[[#This Row],[Obs]]&amp;")"</f>
        <v>COR ()</v>
      </c>
    </row>
    <row r="3090" spans="1:14" x14ac:dyDescent="0.3">
      <c r="A3090" s="1">
        <v>45481</v>
      </c>
      <c r="B3090" t="s">
        <v>333</v>
      </c>
      <c r="C3090" t="s">
        <v>455</v>
      </c>
      <c r="D3090" s="8"/>
      <c r="E3090" s="8"/>
      <c r="L3090" t="s">
        <v>563</v>
      </c>
      <c r="M3090" t="s">
        <v>478</v>
      </c>
      <c r="N3090" t="str">
        <f>Tabela_tudo[[#This Row],[Médico]]&amp;" ("&amp;Tabela_tudo[[#This Row],[Obs]]&amp;")"</f>
        <v>COR ()</v>
      </c>
    </row>
    <row r="3091" spans="1:14" x14ac:dyDescent="0.3">
      <c r="A3091" s="1">
        <v>45474</v>
      </c>
      <c r="B3091" t="s">
        <v>333</v>
      </c>
      <c r="C3091" t="s">
        <v>455</v>
      </c>
      <c r="D3091" s="8"/>
      <c r="E3091" s="8"/>
      <c r="L3091" t="s">
        <v>563</v>
      </c>
      <c r="M3091" t="s">
        <v>478</v>
      </c>
      <c r="N3091" t="str">
        <f>Tabela_tudo[[#This Row],[Médico]]&amp;" ("&amp;Tabela_tudo[[#This Row],[Obs]]&amp;")"</f>
        <v>COR ()</v>
      </c>
    </row>
    <row r="3092" spans="1:14" x14ac:dyDescent="0.3">
      <c r="A3092" s="1">
        <v>45467</v>
      </c>
      <c r="B3092" t="s">
        <v>333</v>
      </c>
      <c r="C3092" t="s">
        <v>455</v>
      </c>
      <c r="D3092" s="8"/>
      <c r="E3092" s="8"/>
      <c r="L3092" t="s">
        <v>563</v>
      </c>
      <c r="M3092" t="s">
        <v>478</v>
      </c>
      <c r="N3092" t="str">
        <f>Tabela_tudo[[#This Row],[Médico]]&amp;" ("&amp;Tabela_tudo[[#This Row],[Obs]]&amp;")"</f>
        <v>COR ()</v>
      </c>
    </row>
    <row r="3093" spans="1:14" x14ac:dyDescent="0.3">
      <c r="A3093" s="1">
        <v>45488</v>
      </c>
      <c r="B3093" t="s">
        <v>333</v>
      </c>
      <c r="C3093" t="s">
        <v>455</v>
      </c>
      <c r="D3093" s="8"/>
      <c r="E3093" s="8"/>
      <c r="L3093" t="s">
        <v>563</v>
      </c>
      <c r="M3093" t="s">
        <v>478</v>
      </c>
      <c r="N3093" t="str">
        <f>Tabela_tudo[[#This Row],[Médico]]&amp;" ("&amp;Tabela_tudo[[#This Row],[Obs]]&amp;")"</f>
        <v>COR ()</v>
      </c>
    </row>
    <row r="3094" spans="1:14" x14ac:dyDescent="0.3">
      <c r="A3094" s="1">
        <v>45509</v>
      </c>
      <c r="B3094" t="s">
        <v>333</v>
      </c>
      <c r="C3094" t="s">
        <v>455</v>
      </c>
      <c r="D3094" s="8"/>
      <c r="E3094" s="8"/>
      <c r="L3094" t="s">
        <v>563</v>
      </c>
      <c r="M3094" t="s">
        <v>478</v>
      </c>
      <c r="N3094" t="str">
        <f>Tabela_tudo[[#This Row],[Médico]]&amp;" ("&amp;Tabela_tudo[[#This Row],[Obs]]&amp;")"</f>
        <v>COR ()</v>
      </c>
    </row>
    <row r="3095" spans="1:14" x14ac:dyDescent="0.3">
      <c r="A3095" s="1">
        <v>45502</v>
      </c>
      <c r="B3095" t="s">
        <v>333</v>
      </c>
      <c r="C3095" t="s">
        <v>455</v>
      </c>
      <c r="D3095" s="8"/>
      <c r="E3095" s="8"/>
      <c r="L3095" t="s">
        <v>563</v>
      </c>
      <c r="M3095" t="s">
        <v>478</v>
      </c>
      <c r="N3095" t="str">
        <f>Tabela_tudo[[#This Row],[Médico]]&amp;" ("&amp;Tabela_tudo[[#This Row],[Obs]]&amp;")"</f>
        <v>COR ()</v>
      </c>
    </row>
    <row r="3096" spans="1:14" x14ac:dyDescent="0.3">
      <c r="A3096" s="1">
        <v>45495</v>
      </c>
      <c r="B3096" t="s">
        <v>333</v>
      </c>
      <c r="C3096" t="s">
        <v>455</v>
      </c>
      <c r="D3096" s="8"/>
      <c r="E3096" s="8"/>
      <c r="L3096" t="s">
        <v>563</v>
      </c>
      <c r="M3096" t="s">
        <v>478</v>
      </c>
      <c r="N3096" t="str">
        <f>Tabela_tudo[[#This Row],[Médico]]&amp;" ("&amp;Tabela_tudo[[#This Row],[Obs]]&amp;")"</f>
        <v>COR ()</v>
      </c>
    </row>
    <row r="3097" spans="1:14" x14ac:dyDescent="0.3">
      <c r="A3097" s="1">
        <v>45355</v>
      </c>
      <c r="B3097" t="s">
        <v>333</v>
      </c>
      <c r="C3097" t="s">
        <v>455</v>
      </c>
      <c r="D3097" s="8"/>
      <c r="E3097" s="8"/>
      <c r="L3097" t="s">
        <v>563</v>
      </c>
      <c r="M3097" t="s">
        <v>478</v>
      </c>
      <c r="N3097" t="str">
        <f>Tabela_tudo[[#This Row],[Médico]]&amp;" ("&amp;Tabela_tudo[[#This Row],[Obs]]&amp;")"</f>
        <v>COR ()</v>
      </c>
    </row>
    <row r="3098" spans="1:14" x14ac:dyDescent="0.3">
      <c r="A3098" s="1">
        <v>45215</v>
      </c>
      <c r="B3098" t="s">
        <v>333</v>
      </c>
      <c r="C3098" t="s">
        <v>455</v>
      </c>
      <c r="D3098" s="8"/>
      <c r="E3098" s="8"/>
      <c r="L3098" t="s">
        <v>563</v>
      </c>
      <c r="M3098" t="s">
        <v>478</v>
      </c>
      <c r="N3098" t="str">
        <f>Tabela_tudo[[#This Row],[Médico]]&amp;" ("&amp;Tabela_tudo[[#This Row],[Obs]]&amp;")"</f>
        <v>COR ()</v>
      </c>
    </row>
    <row r="3099" spans="1:14" x14ac:dyDescent="0.3">
      <c r="A3099" s="1">
        <v>45208</v>
      </c>
      <c r="B3099" t="s">
        <v>333</v>
      </c>
      <c r="C3099" t="s">
        <v>455</v>
      </c>
      <c r="D3099" s="8"/>
      <c r="E3099" s="8"/>
      <c r="L3099" t="s">
        <v>563</v>
      </c>
      <c r="M3099" t="s">
        <v>478</v>
      </c>
      <c r="N3099" t="str">
        <f>Tabela_tudo[[#This Row],[Médico]]&amp;" ("&amp;Tabela_tudo[[#This Row],[Obs]]&amp;")"</f>
        <v>COR ()</v>
      </c>
    </row>
    <row r="3100" spans="1:14" x14ac:dyDescent="0.3">
      <c r="A3100" s="1">
        <v>45201</v>
      </c>
      <c r="B3100" t="s">
        <v>333</v>
      </c>
      <c r="C3100" t="s">
        <v>455</v>
      </c>
      <c r="D3100" s="8"/>
      <c r="E3100" s="8"/>
      <c r="L3100" t="s">
        <v>563</v>
      </c>
      <c r="M3100" t="s">
        <v>478</v>
      </c>
      <c r="N3100" t="str">
        <f>Tabela_tudo[[#This Row],[Médico]]&amp;" ("&amp;Tabela_tudo[[#This Row],[Obs]]&amp;")"</f>
        <v>COR ()</v>
      </c>
    </row>
    <row r="3101" spans="1:14" x14ac:dyDescent="0.3">
      <c r="A3101" s="1">
        <v>45222</v>
      </c>
      <c r="B3101" t="s">
        <v>333</v>
      </c>
      <c r="C3101" t="s">
        <v>455</v>
      </c>
      <c r="D3101" s="8"/>
      <c r="E3101" s="8"/>
      <c r="L3101" t="s">
        <v>563</v>
      </c>
      <c r="M3101" t="s">
        <v>478</v>
      </c>
      <c r="N3101" t="str">
        <f>Tabela_tudo[[#This Row],[Médico]]&amp;" ("&amp;Tabela_tudo[[#This Row],[Obs]]&amp;")"</f>
        <v>COR ()</v>
      </c>
    </row>
    <row r="3102" spans="1:14" x14ac:dyDescent="0.3">
      <c r="A3102" s="1">
        <v>45243</v>
      </c>
      <c r="B3102" t="s">
        <v>333</v>
      </c>
      <c r="C3102" t="s">
        <v>455</v>
      </c>
      <c r="D3102" s="8"/>
      <c r="E3102" s="8"/>
      <c r="L3102" t="s">
        <v>563</v>
      </c>
      <c r="M3102" t="s">
        <v>478</v>
      </c>
      <c r="N3102" t="str">
        <f>Tabela_tudo[[#This Row],[Médico]]&amp;" ("&amp;Tabela_tudo[[#This Row],[Obs]]&amp;")"</f>
        <v>COR ()</v>
      </c>
    </row>
    <row r="3103" spans="1:14" x14ac:dyDescent="0.3">
      <c r="A3103" s="1">
        <v>45236</v>
      </c>
      <c r="B3103" t="s">
        <v>333</v>
      </c>
      <c r="C3103" t="s">
        <v>455</v>
      </c>
      <c r="D3103" s="8"/>
      <c r="E3103" s="8"/>
      <c r="L3103" t="s">
        <v>563</v>
      </c>
      <c r="M3103" t="s">
        <v>478</v>
      </c>
      <c r="N3103" t="str">
        <f>Tabela_tudo[[#This Row],[Médico]]&amp;" ("&amp;Tabela_tudo[[#This Row],[Obs]]&amp;")"</f>
        <v>COR ()</v>
      </c>
    </row>
    <row r="3104" spans="1:14" x14ac:dyDescent="0.3">
      <c r="A3104" s="1">
        <v>45229</v>
      </c>
      <c r="B3104" t="s">
        <v>333</v>
      </c>
      <c r="C3104" t="s">
        <v>455</v>
      </c>
      <c r="D3104" s="8"/>
      <c r="E3104" s="8"/>
      <c r="L3104" t="s">
        <v>563</v>
      </c>
      <c r="M3104" t="s">
        <v>478</v>
      </c>
      <c r="N3104" t="str">
        <f>Tabela_tudo[[#This Row],[Médico]]&amp;" ("&amp;Tabela_tudo[[#This Row],[Obs]]&amp;")"</f>
        <v>COR ()</v>
      </c>
    </row>
    <row r="3105" spans="1:14" x14ac:dyDescent="0.3">
      <c r="A3105" s="1">
        <v>45166</v>
      </c>
      <c r="B3105" t="s">
        <v>333</v>
      </c>
      <c r="C3105" t="s">
        <v>455</v>
      </c>
      <c r="D3105" s="8"/>
      <c r="E3105" s="8"/>
      <c r="L3105" t="s">
        <v>563</v>
      </c>
      <c r="M3105" t="s">
        <v>478</v>
      </c>
      <c r="N3105" t="str">
        <f>Tabela_tudo[[#This Row],[Médico]]&amp;" ("&amp;Tabela_tudo[[#This Row],[Obs]]&amp;")"</f>
        <v>COR ()</v>
      </c>
    </row>
    <row r="3106" spans="1:14" x14ac:dyDescent="0.3">
      <c r="A3106" s="1">
        <v>45159</v>
      </c>
      <c r="B3106" t="s">
        <v>333</v>
      </c>
      <c r="C3106" t="s">
        <v>455</v>
      </c>
      <c r="D3106" s="8"/>
      <c r="E3106" s="8"/>
      <c r="L3106" t="s">
        <v>563</v>
      </c>
      <c r="M3106" t="s">
        <v>478</v>
      </c>
      <c r="N3106" t="str">
        <f>Tabela_tudo[[#This Row],[Médico]]&amp;" ("&amp;Tabela_tudo[[#This Row],[Obs]]&amp;")"</f>
        <v>COR ()</v>
      </c>
    </row>
    <row r="3107" spans="1:14" x14ac:dyDescent="0.3">
      <c r="A3107" s="1">
        <v>45152</v>
      </c>
      <c r="B3107" t="s">
        <v>333</v>
      </c>
      <c r="C3107" t="s">
        <v>455</v>
      </c>
      <c r="D3107" s="8"/>
      <c r="E3107" s="8"/>
      <c r="L3107" t="s">
        <v>563</v>
      </c>
      <c r="M3107" t="s">
        <v>478</v>
      </c>
      <c r="N3107" t="str">
        <f>Tabela_tudo[[#This Row],[Médico]]&amp;" ("&amp;Tabela_tudo[[#This Row],[Obs]]&amp;")"</f>
        <v>COR ()</v>
      </c>
    </row>
    <row r="3108" spans="1:14" x14ac:dyDescent="0.3">
      <c r="A3108" s="1">
        <v>45173</v>
      </c>
      <c r="B3108" t="s">
        <v>333</v>
      </c>
      <c r="C3108" t="s">
        <v>455</v>
      </c>
      <c r="D3108" s="8"/>
      <c r="E3108" s="8"/>
      <c r="L3108" t="s">
        <v>563</v>
      </c>
      <c r="M3108" t="s">
        <v>478</v>
      </c>
      <c r="N3108" t="str">
        <f>Tabela_tudo[[#This Row],[Médico]]&amp;" ("&amp;Tabela_tudo[[#This Row],[Obs]]&amp;")"</f>
        <v>COR ()</v>
      </c>
    </row>
    <row r="3109" spans="1:14" x14ac:dyDescent="0.3">
      <c r="A3109" s="1">
        <v>45194</v>
      </c>
      <c r="B3109" t="s">
        <v>333</v>
      </c>
      <c r="C3109" t="s">
        <v>455</v>
      </c>
      <c r="D3109" s="8"/>
      <c r="E3109" s="8"/>
      <c r="L3109" t="s">
        <v>563</v>
      </c>
      <c r="M3109" t="s">
        <v>478</v>
      </c>
      <c r="N3109" t="str">
        <f>Tabela_tudo[[#This Row],[Médico]]&amp;" ("&amp;Tabela_tudo[[#This Row],[Obs]]&amp;")"</f>
        <v>COR ()</v>
      </c>
    </row>
    <row r="3110" spans="1:14" x14ac:dyDescent="0.3">
      <c r="A3110" s="1">
        <v>45187</v>
      </c>
      <c r="B3110" t="s">
        <v>333</v>
      </c>
      <c r="C3110" t="s">
        <v>455</v>
      </c>
      <c r="D3110" s="8"/>
      <c r="E3110" s="8"/>
      <c r="L3110" t="s">
        <v>563</v>
      </c>
      <c r="M3110" t="s">
        <v>478</v>
      </c>
      <c r="N3110" t="str">
        <f>Tabela_tudo[[#This Row],[Médico]]&amp;" ("&amp;Tabela_tudo[[#This Row],[Obs]]&amp;")"</f>
        <v>COR ()</v>
      </c>
    </row>
    <row r="3111" spans="1:14" x14ac:dyDescent="0.3">
      <c r="A3111" s="1">
        <v>45180</v>
      </c>
      <c r="B3111" t="s">
        <v>333</v>
      </c>
      <c r="C3111" t="s">
        <v>455</v>
      </c>
      <c r="D3111" s="8"/>
      <c r="E3111" s="8"/>
      <c r="L3111" t="s">
        <v>563</v>
      </c>
      <c r="M3111" t="s">
        <v>478</v>
      </c>
      <c r="N3111" t="str">
        <f>Tabela_tudo[[#This Row],[Médico]]&amp;" ("&amp;Tabela_tudo[[#This Row],[Obs]]&amp;")"</f>
        <v>COR ()</v>
      </c>
    </row>
    <row r="3112" spans="1:14" x14ac:dyDescent="0.3">
      <c r="A3112" s="1">
        <v>45250</v>
      </c>
      <c r="B3112" t="s">
        <v>333</v>
      </c>
      <c r="C3112" t="s">
        <v>455</v>
      </c>
      <c r="D3112" s="8"/>
      <c r="E3112" s="8"/>
      <c r="L3112" t="s">
        <v>563</v>
      </c>
      <c r="M3112" t="s">
        <v>478</v>
      </c>
      <c r="N3112" t="str">
        <f>Tabela_tudo[[#This Row],[Médico]]&amp;" ("&amp;Tabela_tudo[[#This Row],[Obs]]&amp;")"</f>
        <v>COR ()</v>
      </c>
    </row>
    <row r="3113" spans="1:14" x14ac:dyDescent="0.3">
      <c r="A3113" s="1">
        <v>45320</v>
      </c>
      <c r="B3113" t="s">
        <v>333</v>
      </c>
      <c r="C3113" t="s">
        <v>455</v>
      </c>
      <c r="D3113" s="8"/>
      <c r="E3113" s="8"/>
      <c r="L3113" t="s">
        <v>563</v>
      </c>
      <c r="M3113" t="s">
        <v>478</v>
      </c>
      <c r="N3113" t="str">
        <f>Tabela_tudo[[#This Row],[Médico]]&amp;" ("&amp;Tabela_tudo[[#This Row],[Obs]]&amp;")"</f>
        <v>COR ()</v>
      </c>
    </row>
    <row r="3114" spans="1:14" x14ac:dyDescent="0.3">
      <c r="A3114" s="1">
        <v>45313</v>
      </c>
      <c r="B3114" t="s">
        <v>333</v>
      </c>
      <c r="C3114" t="s">
        <v>455</v>
      </c>
      <c r="D3114" s="8"/>
      <c r="E3114" s="8"/>
      <c r="L3114" t="s">
        <v>563</v>
      </c>
      <c r="M3114" t="s">
        <v>478</v>
      </c>
      <c r="N3114" t="str">
        <f>Tabela_tudo[[#This Row],[Médico]]&amp;" ("&amp;Tabela_tudo[[#This Row],[Obs]]&amp;")"</f>
        <v>COR ()</v>
      </c>
    </row>
    <row r="3115" spans="1:14" x14ac:dyDescent="0.3">
      <c r="A3115" s="1">
        <v>45306</v>
      </c>
      <c r="B3115" t="s">
        <v>333</v>
      </c>
      <c r="C3115" t="s">
        <v>455</v>
      </c>
      <c r="D3115" s="8"/>
      <c r="E3115" s="8"/>
      <c r="L3115" t="s">
        <v>563</v>
      </c>
      <c r="M3115" t="s">
        <v>478</v>
      </c>
      <c r="N3115" t="str">
        <f>Tabela_tudo[[#This Row],[Médico]]&amp;" ("&amp;Tabela_tudo[[#This Row],[Obs]]&amp;")"</f>
        <v>COR ()</v>
      </c>
    </row>
    <row r="3116" spans="1:14" x14ac:dyDescent="0.3">
      <c r="A3116" s="1">
        <v>45327</v>
      </c>
      <c r="B3116" t="s">
        <v>333</v>
      </c>
      <c r="C3116" t="s">
        <v>455</v>
      </c>
      <c r="D3116" s="8"/>
      <c r="E3116" s="8"/>
      <c r="L3116" t="s">
        <v>563</v>
      </c>
      <c r="M3116" t="s">
        <v>478</v>
      </c>
      <c r="N3116" t="str">
        <f>Tabela_tudo[[#This Row],[Médico]]&amp;" ("&amp;Tabela_tudo[[#This Row],[Obs]]&amp;")"</f>
        <v>COR ()</v>
      </c>
    </row>
    <row r="3117" spans="1:14" x14ac:dyDescent="0.3">
      <c r="A3117" s="1">
        <v>45348</v>
      </c>
      <c r="B3117" t="s">
        <v>333</v>
      </c>
      <c r="C3117" t="s">
        <v>455</v>
      </c>
      <c r="D3117" s="8"/>
      <c r="E3117" s="8"/>
      <c r="L3117" t="s">
        <v>563</v>
      </c>
      <c r="M3117" t="s">
        <v>478</v>
      </c>
      <c r="N3117" t="str">
        <f>Tabela_tudo[[#This Row],[Médico]]&amp;" ("&amp;Tabela_tudo[[#This Row],[Obs]]&amp;")"</f>
        <v>COR ()</v>
      </c>
    </row>
    <row r="3118" spans="1:14" x14ac:dyDescent="0.3">
      <c r="A3118" s="1">
        <v>45341</v>
      </c>
      <c r="B3118" t="s">
        <v>333</v>
      </c>
      <c r="C3118" t="s">
        <v>455</v>
      </c>
      <c r="D3118" s="8"/>
      <c r="E3118" s="8"/>
      <c r="L3118" t="s">
        <v>563</v>
      </c>
      <c r="M3118" t="s">
        <v>478</v>
      </c>
      <c r="N3118" t="str">
        <f>Tabela_tudo[[#This Row],[Médico]]&amp;" ("&amp;Tabela_tudo[[#This Row],[Obs]]&amp;")"</f>
        <v>COR ()</v>
      </c>
    </row>
    <row r="3119" spans="1:14" x14ac:dyDescent="0.3">
      <c r="A3119" s="1">
        <v>45334</v>
      </c>
      <c r="B3119" t="s">
        <v>333</v>
      </c>
      <c r="C3119" t="s">
        <v>455</v>
      </c>
      <c r="D3119" s="8"/>
      <c r="E3119" s="8"/>
      <c r="L3119" t="s">
        <v>563</v>
      </c>
      <c r="M3119" t="s">
        <v>478</v>
      </c>
      <c r="N3119" t="str">
        <f>Tabela_tudo[[#This Row],[Médico]]&amp;" ("&amp;Tabela_tudo[[#This Row],[Obs]]&amp;")"</f>
        <v>COR ()</v>
      </c>
    </row>
    <row r="3120" spans="1:14" x14ac:dyDescent="0.3">
      <c r="A3120" s="1">
        <v>45271</v>
      </c>
      <c r="B3120" t="s">
        <v>333</v>
      </c>
      <c r="C3120" t="s">
        <v>455</v>
      </c>
      <c r="D3120" s="8"/>
      <c r="E3120" s="8"/>
      <c r="L3120" t="s">
        <v>563</v>
      </c>
      <c r="M3120" t="s">
        <v>478</v>
      </c>
      <c r="N3120" t="str">
        <f>Tabela_tudo[[#This Row],[Médico]]&amp;" ("&amp;Tabela_tudo[[#This Row],[Obs]]&amp;")"</f>
        <v>COR ()</v>
      </c>
    </row>
    <row r="3121" spans="1:14" x14ac:dyDescent="0.3">
      <c r="A3121" s="1">
        <v>45264</v>
      </c>
      <c r="B3121" t="s">
        <v>333</v>
      </c>
      <c r="C3121" t="s">
        <v>455</v>
      </c>
      <c r="D3121" s="8"/>
      <c r="E3121" s="8"/>
      <c r="L3121" t="s">
        <v>563</v>
      </c>
      <c r="M3121" t="s">
        <v>478</v>
      </c>
      <c r="N3121" t="str">
        <f>Tabela_tudo[[#This Row],[Médico]]&amp;" ("&amp;Tabela_tudo[[#This Row],[Obs]]&amp;")"</f>
        <v>COR ()</v>
      </c>
    </row>
    <row r="3122" spans="1:14" x14ac:dyDescent="0.3">
      <c r="A3122" s="1">
        <v>45257</v>
      </c>
      <c r="B3122" t="s">
        <v>333</v>
      </c>
      <c r="C3122" t="s">
        <v>455</v>
      </c>
      <c r="D3122" s="8"/>
      <c r="E3122" s="8"/>
      <c r="L3122" t="s">
        <v>563</v>
      </c>
      <c r="M3122" t="s">
        <v>478</v>
      </c>
      <c r="N3122" t="str">
        <f>Tabela_tudo[[#This Row],[Médico]]&amp;" ("&amp;Tabela_tudo[[#This Row],[Obs]]&amp;")"</f>
        <v>COR ()</v>
      </c>
    </row>
    <row r="3123" spans="1:14" x14ac:dyDescent="0.3">
      <c r="A3123" s="1">
        <v>45278</v>
      </c>
      <c r="B3123" t="s">
        <v>333</v>
      </c>
      <c r="C3123" t="s">
        <v>455</v>
      </c>
      <c r="D3123" s="8"/>
      <c r="E3123" s="8"/>
      <c r="L3123" t="s">
        <v>563</v>
      </c>
      <c r="M3123" t="s">
        <v>478</v>
      </c>
      <c r="N3123" t="str">
        <f>Tabela_tudo[[#This Row],[Médico]]&amp;" ("&amp;Tabela_tudo[[#This Row],[Obs]]&amp;")"</f>
        <v>COR ()</v>
      </c>
    </row>
    <row r="3124" spans="1:14" x14ac:dyDescent="0.3">
      <c r="A3124" s="1">
        <v>45299</v>
      </c>
      <c r="B3124" t="s">
        <v>333</v>
      </c>
      <c r="C3124" t="s">
        <v>455</v>
      </c>
      <c r="D3124" s="8"/>
      <c r="E3124" s="8"/>
      <c r="L3124" t="s">
        <v>563</v>
      </c>
      <c r="M3124" t="s">
        <v>478</v>
      </c>
      <c r="N3124" t="str">
        <f>Tabela_tudo[[#This Row],[Médico]]&amp;" ("&amp;Tabela_tudo[[#This Row],[Obs]]&amp;")"</f>
        <v>COR ()</v>
      </c>
    </row>
    <row r="3125" spans="1:14" x14ac:dyDescent="0.3">
      <c r="A3125" s="1">
        <v>45292</v>
      </c>
      <c r="B3125" t="s">
        <v>333</v>
      </c>
      <c r="C3125" t="s">
        <v>455</v>
      </c>
      <c r="D3125" s="8"/>
      <c r="E3125" s="8"/>
      <c r="L3125" t="s">
        <v>563</v>
      </c>
      <c r="M3125" t="s">
        <v>478</v>
      </c>
      <c r="N3125" t="str">
        <f>Tabela_tudo[[#This Row],[Médico]]&amp;" ("&amp;Tabela_tudo[[#This Row],[Obs]]&amp;")"</f>
        <v>COR ()</v>
      </c>
    </row>
    <row r="3126" spans="1:14" x14ac:dyDescent="0.3">
      <c r="A3126" s="1">
        <v>45285</v>
      </c>
      <c r="B3126" t="s">
        <v>333</v>
      </c>
      <c r="C3126" t="s">
        <v>455</v>
      </c>
      <c r="D3126" s="8"/>
      <c r="E3126" s="8"/>
      <c r="L3126" t="s">
        <v>563</v>
      </c>
      <c r="M3126" t="s">
        <v>478</v>
      </c>
      <c r="N3126" t="str">
        <f>Tabela_tudo[[#This Row],[Médico]]&amp;" ("&amp;Tabela_tudo[[#This Row],[Obs]]&amp;")"</f>
        <v>COR ()</v>
      </c>
    </row>
    <row r="3127" spans="1:14" x14ac:dyDescent="0.3">
      <c r="A3127" s="1">
        <v>45565</v>
      </c>
      <c r="B3127" t="s">
        <v>333</v>
      </c>
      <c r="C3127" t="s">
        <v>455</v>
      </c>
      <c r="D3127" s="8"/>
      <c r="E3127" s="8"/>
      <c r="L3127" t="s">
        <v>563</v>
      </c>
      <c r="M3127" t="s">
        <v>478</v>
      </c>
      <c r="N3127" t="str">
        <f>Tabela_tudo[[#This Row],[Médico]]&amp;" ("&amp;Tabela_tudo[[#This Row],[Obs]]&amp;")"</f>
        <v>COR ()</v>
      </c>
    </row>
    <row r="3128" spans="1:14" x14ac:dyDescent="0.3">
      <c r="A3128" s="1">
        <v>45118</v>
      </c>
      <c r="B3128" t="s">
        <v>283</v>
      </c>
      <c r="C3128" t="s">
        <v>455</v>
      </c>
      <c r="D3128" s="8"/>
      <c r="E3128" s="8"/>
      <c r="L3128" t="s">
        <v>563</v>
      </c>
      <c r="M3128" t="s">
        <v>478</v>
      </c>
      <c r="N3128" t="str">
        <f>Tabela_tudo[[#This Row],[Médico]]&amp;" ("&amp;Tabela_tudo[[#This Row],[Obs]]&amp;")"</f>
        <v>JU ()</v>
      </c>
    </row>
    <row r="3129" spans="1:14" x14ac:dyDescent="0.3">
      <c r="A3129" s="1">
        <v>45111</v>
      </c>
      <c r="B3129" t="s">
        <v>283</v>
      </c>
      <c r="C3129" t="s">
        <v>455</v>
      </c>
      <c r="D3129" s="8"/>
      <c r="E3129" s="8"/>
      <c r="L3129" t="s">
        <v>563</v>
      </c>
      <c r="M3129" t="s">
        <v>478</v>
      </c>
      <c r="N3129" t="str">
        <f>Tabela_tudo[[#This Row],[Médico]]&amp;" ("&amp;Tabela_tudo[[#This Row],[Obs]]&amp;")"</f>
        <v>JU ()</v>
      </c>
    </row>
    <row r="3130" spans="1:14" x14ac:dyDescent="0.3">
      <c r="A3130" s="1">
        <v>45104</v>
      </c>
      <c r="B3130" t="s">
        <v>283</v>
      </c>
      <c r="C3130" t="s">
        <v>455</v>
      </c>
      <c r="D3130" s="8"/>
      <c r="E3130" s="8"/>
      <c r="L3130" t="s">
        <v>563</v>
      </c>
      <c r="M3130" t="s">
        <v>478</v>
      </c>
      <c r="N3130" t="str">
        <f>Tabela_tudo[[#This Row],[Médico]]&amp;" ("&amp;Tabela_tudo[[#This Row],[Obs]]&amp;")"</f>
        <v>JU ()</v>
      </c>
    </row>
    <row r="3131" spans="1:14" x14ac:dyDescent="0.3">
      <c r="A3131" s="1">
        <v>45125</v>
      </c>
      <c r="B3131" t="s">
        <v>283</v>
      </c>
      <c r="C3131" t="s">
        <v>455</v>
      </c>
      <c r="D3131" s="8"/>
      <c r="E3131" s="8"/>
      <c r="L3131" t="s">
        <v>563</v>
      </c>
      <c r="M3131" t="s">
        <v>478</v>
      </c>
      <c r="N3131" t="str">
        <f>Tabela_tudo[[#This Row],[Médico]]&amp;" ("&amp;Tabela_tudo[[#This Row],[Obs]]&amp;")"</f>
        <v>JU ()</v>
      </c>
    </row>
    <row r="3132" spans="1:14" x14ac:dyDescent="0.3">
      <c r="A3132" s="1">
        <v>45146</v>
      </c>
      <c r="B3132" t="s">
        <v>283</v>
      </c>
      <c r="C3132" t="s">
        <v>455</v>
      </c>
      <c r="D3132" s="8"/>
      <c r="E3132" s="8"/>
      <c r="L3132" t="s">
        <v>563</v>
      </c>
      <c r="M3132" t="s">
        <v>478</v>
      </c>
      <c r="N3132" t="str">
        <f>Tabela_tudo[[#This Row],[Médico]]&amp;" ("&amp;Tabela_tudo[[#This Row],[Obs]]&amp;")"</f>
        <v>JU ()</v>
      </c>
    </row>
    <row r="3133" spans="1:14" x14ac:dyDescent="0.3">
      <c r="A3133" s="1">
        <v>45139</v>
      </c>
      <c r="B3133" t="s">
        <v>283</v>
      </c>
      <c r="C3133" t="s">
        <v>455</v>
      </c>
      <c r="D3133" s="8"/>
      <c r="E3133" s="8"/>
      <c r="L3133" t="s">
        <v>563</v>
      </c>
      <c r="M3133" t="s">
        <v>478</v>
      </c>
      <c r="N3133" t="str">
        <f>Tabela_tudo[[#This Row],[Médico]]&amp;" ("&amp;Tabela_tudo[[#This Row],[Obs]]&amp;")"</f>
        <v>JU ()</v>
      </c>
    </row>
    <row r="3134" spans="1:14" x14ac:dyDescent="0.3">
      <c r="A3134" s="1">
        <v>45132</v>
      </c>
      <c r="B3134" t="s">
        <v>283</v>
      </c>
      <c r="C3134" t="s">
        <v>455</v>
      </c>
      <c r="D3134" s="8"/>
      <c r="E3134" s="8"/>
      <c r="L3134" t="s">
        <v>563</v>
      </c>
      <c r="M3134" t="s">
        <v>478</v>
      </c>
      <c r="N3134" t="str">
        <f>Tabela_tudo[[#This Row],[Médico]]&amp;" ("&amp;Tabela_tudo[[#This Row],[Obs]]&amp;")"</f>
        <v>JU ()</v>
      </c>
    </row>
    <row r="3135" spans="1:14" x14ac:dyDescent="0.3">
      <c r="A3135" s="1">
        <v>45069</v>
      </c>
      <c r="B3135" t="s">
        <v>283</v>
      </c>
      <c r="C3135" t="s">
        <v>455</v>
      </c>
      <c r="D3135" s="8"/>
      <c r="E3135" s="8"/>
      <c r="L3135" t="s">
        <v>563</v>
      </c>
      <c r="M3135" t="s">
        <v>478</v>
      </c>
      <c r="N3135" t="str">
        <f>Tabela_tudo[[#This Row],[Médico]]&amp;" ("&amp;Tabela_tudo[[#This Row],[Obs]]&amp;")"</f>
        <v>JU ()</v>
      </c>
    </row>
    <row r="3136" spans="1:14" x14ac:dyDescent="0.3">
      <c r="A3136" s="1">
        <v>45062</v>
      </c>
      <c r="B3136" t="s">
        <v>283</v>
      </c>
      <c r="C3136" t="s">
        <v>455</v>
      </c>
      <c r="D3136" s="8"/>
      <c r="E3136" s="8"/>
      <c r="L3136" t="s">
        <v>563</v>
      </c>
      <c r="M3136" t="s">
        <v>478</v>
      </c>
      <c r="N3136" t="str">
        <f>Tabela_tudo[[#This Row],[Médico]]&amp;" ("&amp;Tabela_tudo[[#This Row],[Obs]]&amp;")"</f>
        <v>JU ()</v>
      </c>
    </row>
    <row r="3137" spans="1:14" x14ac:dyDescent="0.3">
      <c r="A3137" s="1">
        <v>45055</v>
      </c>
      <c r="B3137" t="s">
        <v>283</v>
      </c>
      <c r="C3137" t="s">
        <v>455</v>
      </c>
      <c r="D3137" s="8"/>
      <c r="E3137" s="8"/>
      <c r="L3137" t="s">
        <v>563</v>
      </c>
      <c r="M3137" t="s">
        <v>478</v>
      </c>
      <c r="N3137" t="str">
        <f>Tabela_tudo[[#This Row],[Médico]]&amp;" ("&amp;Tabela_tudo[[#This Row],[Obs]]&amp;")"</f>
        <v>JU ()</v>
      </c>
    </row>
    <row r="3138" spans="1:14" x14ac:dyDescent="0.3">
      <c r="A3138" s="1">
        <v>45076</v>
      </c>
      <c r="B3138" t="s">
        <v>283</v>
      </c>
      <c r="C3138" t="s">
        <v>455</v>
      </c>
      <c r="D3138" s="8"/>
      <c r="E3138" s="8"/>
      <c r="L3138" t="s">
        <v>563</v>
      </c>
      <c r="M3138" t="s">
        <v>478</v>
      </c>
      <c r="N3138" t="str">
        <f>Tabela_tudo[[#This Row],[Médico]]&amp;" ("&amp;Tabela_tudo[[#This Row],[Obs]]&amp;")"</f>
        <v>JU ()</v>
      </c>
    </row>
    <row r="3139" spans="1:14" x14ac:dyDescent="0.3">
      <c r="A3139" s="1">
        <v>45097</v>
      </c>
      <c r="B3139" t="s">
        <v>283</v>
      </c>
      <c r="C3139" t="s">
        <v>455</v>
      </c>
      <c r="D3139" s="8"/>
      <c r="E3139" s="8"/>
      <c r="L3139" t="s">
        <v>563</v>
      </c>
      <c r="M3139" t="s">
        <v>478</v>
      </c>
      <c r="N3139" t="str">
        <f>Tabela_tudo[[#This Row],[Médico]]&amp;" ("&amp;Tabela_tudo[[#This Row],[Obs]]&amp;")"</f>
        <v>JU ()</v>
      </c>
    </row>
    <row r="3140" spans="1:14" x14ac:dyDescent="0.3">
      <c r="A3140" s="1">
        <v>45090</v>
      </c>
      <c r="B3140" t="s">
        <v>283</v>
      </c>
      <c r="C3140" t="s">
        <v>455</v>
      </c>
      <c r="D3140" s="8"/>
      <c r="E3140" s="8"/>
      <c r="L3140" t="s">
        <v>563</v>
      </c>
      <c r="M3140" t="s">
        <v>478</v>
      </c>
      <c r="N3140" t="str">
        <f>Tabela_tudo[[#This Row],[Médico]]&amp;" ("&amp;Tabela_tudo[[#This Row],[Obs]]&amp;")"</f>
        <v>JU ()</v>
      </c>
    </row>
    <row r="3141" spans="1:14" x14ac:dyDescent="0.3">
      <c r="A3141" s="1">
        <v>45083</v>
      </c>
      <c r="B3141" t="s">
        <v>283</v>
      </c>
      <c r="C3141" t="s">
        <v>455</v>
      </c>
      <c r="D3141" s="8"/>
      <c r="E3141" s="8"/>
      <c r="L3141" t="s">
        <v>563</v>
      </c>
      <c r="M3141" t="s">
        <v>478</v>
      </c>
      <c r="N3141" t="str">
        <f>Tabela_tudo[[#This Row],[Médico]]&amp;" ("&amp;Tabela_tudo[[#This Row],[Obs]]&amp;")"</f>
        <v>JU ()</v>
      </c>
    </row>
    <row r="3142" spans="1:14" x14ac:dyDescent="0.3">
      <c r="A3142" s="1">
        <v>45153</v>
      </c>
      <c r="B3142" t="s">
        <v>283</v>
      </c>
      <c r="C3142" t="s">
        <v>455</v>
      </c>
      <c r="D3142" s="8"/>
      <c r="E3142" s="8"/>
      <c r="L3142" t="s">
        <v>563</v>
      </c>
      <c r="M3142" t="s">
        <v>478</v>
      </c>
      <c r="N3142" t="str">
        <f>Tabela_tudo[[#This Row],[Médico]]&amp;" ("&amp;Tabela_tudo[[#This Row],[Obs]]&amp;")"</f>
        <v>JU ()</v>
      </c>
    </row>
    <row r="3143" spans="1:14" x14ac:dyDescent="0.3">
      <c r="A3143" s="1">
        <v>45223</v>
      </c>
      <c r="B3143" t="s">
        <v>283</v>
      </c>
      <c r="C3143" t="s">
        <v>455</v>
      </c>
      <c r="D3143" s="8"/>
      <c r="E3143" s="8"/>
      <c r="L3143" t="s">
        <v>563</v>
      </c>
      <c r="M3143" t="s">
        <v>478</v>
      </c>
      <c r="N3143" t="str">
        <f>Tabela_tudo[[#This Row],[Médico]]&amp;" ("&amp;Tabela_tudo[[#This Row],[Obs]]&amp;")"</f>
        <v>JU ()</v>
      </c>
    </row>
    <row r="3144" spans="1:14" x14ac:dyDescent="0.3">
      <c r="A3144" s="1">
        <v>45216</v>
      </c>
      <c r="B3144" t="s">
        <v>283</v>
      </c>
      <c r="C3144" t="s">
        <v>455</v>
      </c>
      <c r="D3144" s="8"/>
      <c r="E3144" s="8"/>
      <c r="L3144" t="s">
        <v>563</v>
      </c>
      <c r="M3144" t="s">
        <v>478</v>
      </c>
      <c r="N3144" t="str">
        <f>Tabela_tudo[[#This Row],[Médico]]&amp;" ("&amp;Tabela_tudo[[#This Row],[Obs]]&amp;")"</f>
        <v>JU ()</v>
      </c>
    </row>
    <row r="3145" spans="1:14" x14ac:dyDescent="0.3">
      <c r="A3145" s="1">
        <v>45209</v>
      </c>
      <c r="B3145" t="s">
        <v>283</v>
      </c>
      <c r="C3145" t="s">
        <v>455</v>
      </c>
      <c r="D3145" s="8"/>
      <c r="E3145" s="8"/>
      <c r="L3145" t="s">
        <v>563</v>
      </c>
      <c r="M3145" t="s">
        <v>478</v>
      </c>
      <c r="N3145" t="str">
        <f>Tabela_tudo[[#This Row],[Médico]]&amp;" ("&amp;Tabela_tudo[[#This Row],[Obs]]&amp;")"</f>
        <v>JU ()</v>
      </c>
    </row>
    <row r="3146" spans="1:14" x14ac:dyDescent="0.3">
      <c r="A3146" s="1">
        <v>45230</v>
      </c>
      <c r="B3146" t="s">
        <v>283</v>
      </c>
      <c r="C3146" t="s">
        <v>455</v>
      </c>
      <c r="D3146" s="8"/>
      <c r="E3146" s="8"/>
      <c r="L3146" t="s">
        <v>563</v>
      </c>
      <c r="M3146" t="s">
        <v>478</v>
      </c>
      <c r="N3146" t="str">
        <f>Tabela_tudo[[#This Row],[Médico]]&amp;" ("&amp;Tabela_tudo[[#This Row],[Obs]]&amp;")"</f>
        <v>JU ()</v>
      </c>
    </row>
    <row r="3147" spans="1:14" x14ac:dyDescent="0.3">
      <c r="A3147" s="1">
        <v>45251</v>
      </c>
      <c r="B3147" t="s">
        <v>283</v>
      </c>
      <c r="C3147" t="s">
        <v>455</v>
      </c>
      <c r="D3147" s="8"/>
      <c r="E3147" s="8"/>
      <c r="L3147" t="s">
        <v>563</v>
      </c>
      <c r="M3147" t="s">
        <v>478</v>
      </c>
      <c r="N3147" t="str">
        <f>Tabela_tudo[[#This Row],[Médico]]&amp;" ("&amp;Tabela_tudo[[#This Row],[Obs]]&amp;")"</f>
        <v>JU ()</v>
      </c>
    </row>
    <row r="3148" spans="1:14" x14ac:dyDescent="0.3">
      <c r="A3148" s="1">
        <v>45244</v>
      </c>
      <c r="B3148" t="s">
        <v>283</v>
      </c>
      <c r="C3148" t="s">
        <v>455</v>
      </c>
      <c r="D3148" s="8"/>
      <c r="E3148" s="8"/>
      <c r="L3148" t="s">
        <v>563</v>
      </c>
      <c r="M3148" t="s">
        <v>478</v>
      </c>
      <c r="N3148" t="str">
        <f>Tabela_tudo[[#This Row],[Médico]]&amp;" ("&amp;Tabela_tudo[[#This Row],[Obs]]&amp;")"</f>
        <v>JU ()</v>
      </c>
    </row>
    <row r="3149" spans="1:14" x14ac:dyDescent="0.3">
      <c r="A3149" s="1">
        <v>45237</v>
      </c>
      <c r="B3149" t="s">
        <v>283</v>
      </c>
      <c r="C3149" t="s">
        <v>455</v>
      </c>
      <c r="D3149" s="8"/>
      <c r="E3149" s="8"/>
      <c r="L3149" t="s">
        <v>563</v>
      </c>
      <c r="M3149" t="s">
        <v>478</v>
      </c>
      <c r="N3149" t="str">
        <f>Tabela_tudo[[#This Row],[Médico]]&amp;" ("&amp;Tabela_tudo[[#This Row],[Obs]]&amp;")"</f>
        <v>JU ()</v>
      </c>
    </row>
    <row r="3150" spans="1:14" x14ac:dyDescent="0.3">
      <c r="A3150" s="1">
        <v>45174</v>
      </c>
      <c r="B3150" t="s">
        <v>283</v>
      </c>
      <c r="C3150" t="s">
        <v>455</v>
      </c>
      <c r="D3150" s="8"/>
      <c r="E3150" s="8"/>
      <c r="L3150" t="s">
        <v>563</v>
      </c>
      <c r="M3150" t="s">
        <v>478</v>
      </c>
      <c r="N3150" t="str">
        <f>Tabela_tudo[[#This Row],[Médico]]&amp;" ("&amp;Tabela_tudo[[#This Row],[Obs]]&amp;")"</f>
        <v>JU ()</v>
      </c>
    </row>
    <row r="3151" spans="1:14" x14ac:dyDescent="0.3">
      <c r="A3151" s="1">
        <v>45167</v>
      </c>
      <c r="B3151" t="s">
        <v>283</v>
      </c>
      <c r="C3151" t="s">
        <v>455</v>
      </c>
      <c r="D3151" s="8"/>
      <c r="E3151" s="8"/>
      <c r="L3151" t="s">
        <v>563</v>
      </c>
      <c r="M3151" t="s">
        <v>478</v>
      </c>
      <c r="N3151" t="str">
        <f>Tabela_tudo[[#This Row],[Médico]]&amp;" ("&amp;Tabela_tudo[[#This Row],[Obs]]&amp;")"</f>
        <v>JU ()</v>
      </c>
    </row>
    <row r="3152" spans="1:14" x14ac:dyDescent="0.3">
      <c r="A3152" s="1">
        <v>45160</v>
      </c>
      <c r="B3152" t="s">
        <v>283</v>
      </c>
      <c r="C3152" t="s">
        <v>455</v>
      </c>
      <c r="D3152" s="8"/>
      <c r="E3152" s="8"/>
      <c r="L3152" t="s">
        <v>563</v>
      </c>
      <c r="M3152" t="s">
        <v>478</v>
      </c>
      <c r="N3152" t="str">
        <f>Tabela_tudo[[#This Row],[Médico]]&amp;" ("&amp;Tabela_tudo[[#This Row],[Obs]]&amp;")"</f>
        <v>JU ()</v>
      </c>
    </row>
    <row r="3153" spans="1:14" x14ac:dyDescent="0.3">
      <c r="A3153" s="1">
        <v>45181</v>
      </c>
      <c r="B3153" t="s">
        <v>283</v>
      </c>
      <c r="C3153" t="s">
        <v>455</v>
      </c>
      <c r="D3153" s="8"/>
      <c r="E3153" s="8"/>
      <c r="L3153" t="s">
        <v>563</v>
      </c>
      <c r="M3153" t="s">
        <v>478</v>
      </c>
      <c r="N3153" t="str">
        <f>Tabela_tudo[[#This Row],[Médico]]&amp;" ("&amp;Tabela_tudo[[#This Row],[Obs]]&amp;")"</f>
        <v>JU ()</v>
      </c>
    </row>
    <row r="3154" spans="1:14" x14ac:dyDescent="0.3">
      <c r="A3154" s="1">
        <v>45202</v>
      </c>
      <c r="B3154" t="s">
        <v>283</v>
      </c>
      <c r="C3154" t="s">
        <v>455</v>
      </c>
      <c r="D3154" s="8"/>
      <c r="E3154" s="8"/>
      <c r="L3154" t="s">
        <v>563</v>
      </c>
      <c r="M3154" t="s">
        <v>478</v>
      </c>
      <c r="N3154" t="str">
        <f>Tabela_tudo[[#This Row],[Médico]]&amp;" ("&amp;Tabela_tudo[[#This Row],[Obs]]&amp;")"</f>
        <v>JU ()</v>
      </c>
    </row>
    <row r="3155" spans="1:14" x14ac:dyDescent="0.3">
      <c r="A3155" s="1">
        <v>45195</v>
      </c>
      <c r="B3155" t="s">
        <v>283</v>
      </c>
      <c r="C3155" t="s">
        <v>455</v>
      </c>
      <c r="D3155" s="8"/>
      <c r="E3155" s="8"/>
      <c r="L3155" t="s">
        <v>563</v>
      </c>
      <c r="M3155" t="s">
        <v>478</v>
      </c>
      <c r="N3155" t="str">
        <f>Tabela_tudo[[#This Row],[Médico]]&amp;" ("&amp;Tabela_tudo[[#This Row],[Obs]]&amp;")"</f>
        <v>JU ()</v>
      </c>
    </row>
    <row r="3156" spans="1:14" x14ac:dyDescent="0.3">
      <c r="A3156" s="1">
        <v>45188</v>
      </c>
      <c r="B3156" t="s">
        <v>283</v>
      </c>
      <c r="C3156" t="s">
        <v>455</v>
      </c>
      <c r="D3156" s="8"/>
      <c r="E3156" s="8"/>
      <c r="L3156" t="s">
        <v>563</v>
      </c>
      <c r="M3156" t="s">
        <v>478</v>
      </c>
      <c r="N3156" t="str">
        <f>Tabela_tudo[[#This Row],[Médico]]&amp;" ("&amp;Tabela_tudo[[#This Row],[Obs]]&amp;")"</f>
        <v>JU ()</v>
      </c>
    </row>
    <row r="3157" spans="1:14" x14ac:dyDescent="0.3">
      <c r="A3157" s="1">
        <v>45048</v>
      </c>
      <c r="B3157" t="s">
        <v>283</v>
      </c>
      <c r="C3157" t="s">
        <v>455</v>
      </c>
      <c r="D3157" s="8"/>
      <c r="E3157" s="8"/>
      <c r="L3157" t="s">
        <v>563</v>
      </c>
      <c r="M3157" t="s">
        <v>478</v>
      </c>
      <c r="N3157" t="str">
        <f>Tabela_tudo[[#This Row],[Médico]]&amp;" ("&amp;Tabela_tudo[[#This Row],[Obs]]&amp;")"</f>
        <v>JU ()</v>
      </c>
    </row>
    <row r="3158" spans="1:14" x14ac:dyDescent="0.3">
      <c r="A3158" s="1">
        <v>45635</v>
      </c>
      <c r="B3158" t="s">
        <v>333</v>
      </c>
      <c r="C3158" t="s">
        <v>455</v>
      </c>
      <c r="D3158" s="8"/>
      <c r="E3158" s="8"/>
      <c r="L3158" t="s">
        <v>563</v>
      </c>
      <c r="M3158" t="s">
        <v>478</v>
      </c>
      <c r="N3158" t="str">
        <f>Tabela_tudo[[#This Row],[Médico]]&amp;" ("&amp;Tabela_tudo[[#This Row],[Obs]]&amp;")"</f>
        <v>COR ()</v>
      </c>
    </row>
    <row r="3159" spans="1:14" x14ac:dyDescent="0.3">
      <c r="A3159" s="1">
        <v>45628</v>
      </c>
      <c r="B3159" t="s">
        <v>333</v>
      </c>
      <c r="C3159" t="s">
        <v>455</v>
      </c>
      <c r="D3159" s="8"/>
      <c r="E3159" s="8"/>
      <c r="L3159" t="s">
        <v>563</v>
      </c>
      <c r="M3159" t="s">
        <v>478</v>
      </c>
      <c r="N3159" t="str">
        <f>Tabela_tudo[[#This Row],[Médico]]&amp;" ("&amp;Tabela_tudo[[#This Row],[Obs]]&amp;")"</f>
        <v>COR ()</v>
      </c>
    </row>
    <row r="3160" spans="1:14" x14ac:dyDescent="0.3">
      <c r="A3160" s="1">
        <v>45621</v>
      </c>
      <c r="B3160" t="s">
        <v>333</v>
      </c>
      <c r="C3160" t="s">
        <v>455</v>
      </c>
      <c r="D3160" s="8"/>
      <c r="E3160" s="8"/>
      <c r="L3160" t="s">
        <v>563</v>
      </c>
      <c r="M3160" t="s">
        <v>478</v>
      </c>
      <c r="N3160" t="str">
        <f>Tabela_tudo[[#This Row],[Médico]]&amp;" ("&amp;Tabela_tudo[[#This Row],[Obs]]&amp;")"</f>
        <v>COR ()</v>
      </c>
    </row>
    <row r="3161" spans="1:14" x14ac:dyDescent="0.3">
      <c r="A3161" s="1">
        <v>45642</v>
      </c>
      <c r="B3161" t="s">
        <v>333</v>
      </c>
      <c r="C3161" t="s">
        <v>455</v>
      </c>
      <c r="D3161" s="8"/>
      <c r="E3161" s="8"/>
      <c r="L3161" t="s">
        <v>563</v>
      </c>
      <c r="M3161" t="s">
        <v>478</v>
      </c>
      <c r="N3161" t="str">
        <f>Tabela_tudo[[#This Row],[Médico]]&amp;" ("&amp;Tabela_tudo[[#This Row],[Obs]]&amp;")"</f>
        <v>COR ()</v>
      </c>
    </row>
    <row r="3162" spans="1:14" x14ac:dyDescent="0.3">
      <c r="A3162" s="1">
        <v>44936</v>
      </c>
      <c r="B3162" t="s">
        <v>283</v>
      </c>
      <c r="C3162" t="s">
        <v>455</v>
      </c>
      <c r="D3162" s="8"/>
      <c r="E3162" s="8"/>
      <c r="L3162" t="s">
        <v>563</v>
      </c>
      <c r="M3162" t="s">
        <v>478</v>
      </c>
      <c r="N3162" t="str">
        <f>Tabela_tudo[[#This Row],[Médico]]&amp;" ("&amp;Tabela_tudo[[#This Row],[Obs]]&amp;")"</f>
        <v>JU ()</v>
      </c>
    </row>
    <row r="3163" spans="1:14" x14ac:dyDescent="0.3">
      <c r="A3163" s="1">
        <v>44929</v>
      </c>
      <c r="B3163" t="s">
        <v>283</v>
      </c>
      <c r="C3163" t="s">
        <v>455</v>
      </c>
      <c r="D3163" s="8"/>
      <c r="E3163" s="8"/>
      <c r="L3163" t="s">
        <v>563</v>
      </c>
      <c r="M3163" t="s">
        <v>478</v>
      </c>
      <c r="N3163" t="str">
        <f>Tabela_tudo[[#This Row],[Médico]]&amp;" ("&amp;Tabela_tudo[[#This Row],[Obs]]&amp;")"</f>
        <v>JU ()</v>
      </c>
    </row>
    <row r="3164" spans="1:14" x14ac:dyDescent="0.3">
      <c r="A3164" s="1">
        <v>45649</v>
      </c>
      <c r="B3164" t="s">
        <v>333</v>
      </c>
      <c r="C3164" t="s">
        <v>455</v>
      </c>
      <c r="D3164" s="8"/>
      <c r="E3164" s="8"/>
      <c r="L3164" t="s">
        <v>563</v>
      </c>
      <c r="M3164" t="s">
        <v>478</v>
      </c>
      <c r="N3164" t="str">
        <f>Tabela_tudo[[#This Row],[Médico]]&amp;" ("&amp;Tabela_tudo[[#This Row],[Obs]]&amp;")"</f>
        <v>COR ()</v>
      </c>
    </row>
    <row r="3165" spans="1:14" x14ac:dyDescent="0.3">
      <c r="A3165" s="1">
        <v>45586</v>
      </c>
      <c r="B3165" t="s">
        <v>333</v>
      </c>
      <c r="C3165" t="s">
        <v>455</v>
      </c>
      <c r="D3165" s="8"/>
      <c r="E3165" s="8"/>
      <c r="L3165" t="s">
        <v>563</v>
      </c>
      <c r="M3165" t="s">
        <v>478</v>
      </c>
      <c r="N3165" t="str">
        <f>Tabela_tudo[[#This Row],[Médico]]&amp;" ("&amp;Tabela_tudo[[#This Row],[Obs]]&amp;")"</f>
        <v>COR ()</v>
      </c>
    </row>
    <row r="3166" spans="1:14" x14ac:dyDescent="0.3">
      <c r="A3166" s="1">
        <v>45579</v>
      </c>
      <c r="B3166" t="s">
        <v>333</v>
      </c>
      <c r="C3166" t="s">
        <v>455</v>
      </c>
      <c r="D3166" s="8"/>
      <c r="E3166" s="8"/>
      <c r="L3166" t="s">
        <v>563</v>
      </c>
      <c r="M3166" t="s">
        <v>478</v>
      </c>
      <c r="N3166" t="str">
        <f>Tabela_tudo[[#This Row],[Médico]]&amp;" ("&amp;Tabela_tudo[[#This Row],[Obs]]&amp;")"</f>
        <v>COR ()</v>
      </c>
    </row>
    <row r="3167" spans="1:14" x14ac:dyDescent="0.3">
      <c r="A3167" s="1">
        <v>45572</v>
      </c>
      <c r="B3167" t="s">
        <v>333</v>
      </c>
      <c r="C3167" t="s">
        <v>455</v>
      </c>
      <c r="D3167" s="8"/>
      <c r="E3167" s="8"/>
      <c r="L3167" t="s">
        <v>563</v>
      </c>
      <c r="M3167" t="s">
        <v>478</v>
      </c>
      <c r="N3167" t="str">
        <f>Tabela_tudo[[#This Row],[Médico]]&amp;" ("&amp;Tabela_tudo[[#This Row],[Obs]]&amp;")"</f>
        <v>COR ()</v>
      </c>
    </row>
    <row r="3168" spans="1:14" x14ac:dyDescent="0.3">
      <c r="A3168" s="1">
        <v>45593</v>
      </c>
      <c r="B3168" t="s">
        <v>333</v>
      </c>
      <c r="C3168" t="s">
        <v>455</v>
      </c>
      <c r="D3168" s="8"/>
      <c r="E3168" s="8"/>
      <c r="L3168" t="s">
        <v>563</v>
      </c>
      <c r="M3168" t="s">
        <v>478</v>
      </c>
      <c r="N3168" t="str">
        <f>Tabela_tudo[[#This Row],[Médico]]&amp;" ("&amp;Tabela_tudo[[#This Row],[Obs]]&amp;")"</f>
        <v>COR ()</v>
      </c>
    </row>
    <row r="3169" spans="1:14" x14ac:dyDescent="0.3">
      <c r="A3169" s="1">
        <v>45614</v>
      </c>
      <c r="B3169" t="s">
        <v>333</v>
      </c>
      <c r="C3169" t="s">
        <v>455</v>
      </c>
      <c r="D3169" s="8"/>
      <c r="E3169" s="8"/>
      <c r="L3169" t="s">
        <v>563</v>
      </c>
      <c r="M3169" t="s">
        <v>478</v>
      </c>
      <c r="N3169" t="str">
        <f>Tabela_tudo[[#This Row],[Médico]]&amp;" ("&amp;Tabela_tudo[[#This Row],[Obs]]&amp;")"</f>
        <v>COR ()</v>
      </c>
    </row>
    <row r="3170" spans="1:14" x14ac:dyDescent="0.3">
      <c r="A3170" s="1">
        <v>45607</v>
      </c>
      <c r="B3170" t="s">
        <v>333</v>
      </c>
      <c r="C3170" t="s">
        <v>455</v>
      </c>
      <c r="D3170" s="8"/>
      <c r="E3170" s="8"/>
      <c r="L3170" t="s">
        <v>563</v>
      </c>
      <c r="M3170" t="s">
        <v>478</v>
      </c>
      <c r="N3170" t="str">
        <f>Tabela_tudo[[#This Row],[Médico]]&amp;" ("&amp;Tabela_tudo[[#This Row],[Obs]]&amp;")"</f>
        <v>COR ()</v>
      </c>
    </row>
    <row r="3171" spans="1:14" x14ac:dyDescent="0.3">
      <c r="A3171" s="1">
        <v>45600</v>
      </c>
      <c r="B3171" t="s">
        <v>333</v>
      </c>
      <c r="C3171" t="s">
        <v>455</v>
      </c>
      <c r="D3171" s="8"/>
      <c r="E3171" s="8"/>
      <c r="L3171" t="s">
        <v>563</v>
      </c>
      <c r="M3171" t="s">
        <v>478</v>
      </c>
      <c r="N3171" t="str">
        <f>Tabela_tudo[[#This Row],[Médico]]&amp;" ("&amp;Tabela_tudo[[#This Row],[Obs]]&amp;")"</f>
        <v>COR ()</v>
      </c>
    </row>
    <row r="3172" spans="1:14" x14ac:dyDescent="0.3">
      <c r="A3172" s="1">
        <v>44943</v>
      </c>
      <c r="B3172" t="s">
        <v>283</v>
      </c>
      <c r="C3172" t="s">
        <v>455</v>
      </c>
      <c r="D3172" s="8"/>
      <c r="E3172" s="8"/>
      <c r="L3172" t="s">
        <v>563</v>
      </c>
      <c r="M3172" t="s">
        <v>478</v>
      </c>
      <c r="N3172" t="str">
        <f>Tabela_tudo[[#This Row],[Médico]]&amp;" ("&amp;Tabela_tudo[[#This Row],[Obs]]&amp;")"</f>
        <v>JU ()</v>
      </c>
    </row>
    <row r="3173" spans="1:14" x14ac:dyDescent="0.3">
      <c r="A3173" s="1">
        <v>45013</v>
      </c>
      <c r="B3173" t="s">
        <v>283</v>
      </c>
      <c r="C3173" t="s">
        <v>455</v>
      </c>
      <c r="D3173" s="8"/>
      <c r="E3173" s="8"/>
      <c r="L3173" t="s">
        <v>563</v>
      </c>
      <c r="M3173" t="s">
        <v>478</v>
      </c>
      <c r="N3173" t="str">
        <f>Tabela_tudo[[#This Row],[Médico]]&amp;" ("&amp;Tabela_tudo[[#This Row],[Obs]]&amp;")"</f>
        <v>JU ()</v>
      </c>
    </row>
    <row r="3174" spans="1:14" x14ac:dyDescent="0.3">
      <c r="A3174" s="1">
        <v>45006</v>
      </c>
      <c r="B3174" t="s">
        <v>283</v>
      </c>
      <c r="C3174" t="s">
        <v>455</v>
      </c>
      <c r="D3174" s="8"/>
      <c r="E3174" s="8"/>
      <c r="L3174" t="s">
        <v>563</v>
      </c>
      <c r="M3174" t="s">
        <v>478</v>
      </c>
      <c r="N3174" t="str">
        <f>Tabela_tudo[[#This Row],[Médico]]&amp;" ("&amp;Tabela_tudo[[#This Row],[Obs]]&amp;")"</f>
        <v>JU ()</v>
      </c>
    </row>
    <row r="3175" spans="1:14" x14ac:dyDescent="0.3">
      <c r="A3175" s="1">
        <v>44999</v>
      </c>
      <c r="B3175" t="s">
        <v>283</v>
      </c>
      <c r="C3175" t="s">
        <v>455</v>
      </c>
      <c r="D3175" s="8"/>
      <c r="E3175" s="8"/>
      <c r="L3175" t="s">
        <v>563</v>
      </c>
      <c r="M3175" t="s">
        <v>478</v>
      </c>
      <c r="N3175" t="str">
        <f>Tabela_tudo[[#This Row],[Médico]]&amp;" ("&amp;Tabela_tudo[[#This Row],[Obs]]&amp;")"</f>
        <v>JU ()</v>
      </c>
    </row>
    <row r="3176" spans="1:14" x14ac:dyDescent="0.3">
      <c r="A3176" s="1">
        <v>45020</v>
      </c>
      <c r="B3176" t="s">
        <v>283</v>
      </c>
      <c r="C3176" t="s">
        <v>455</v>
      </c>
      <c r="D3176" s="8"/>
      <c r="E3176" s="8"/>
      <c r="L3176" t="s">
        <v>563</v>
      </c>
      <c r="M3176" t="s">
        <v>478</v>
      </c>
      <c r="N3176" t="str">
        <f>Tabela_tudo[[#This Row],[Médico]]&amp;" ("&amp;Tabela_tudo[[#This Row],[Obs]]&amp;")"</f>
        <v>JU ()</v>
      </c>
    </row>
    <row r="3177" spans="1:14" x14ac:dyDescent="0.3">
      <c r="A3177" s="1">
        <v>45041</v>
      </c>
      <c r="B3177" t="s">
        <v>283</v>
      </c>
      <c r="C3177" t="s">
        <v>455</v>
      </c>
      <c r="D3177" s="8"/>
      <c r="E3177" s="8"/>
      <c r="L3177" t="s">
        <v>563</v>
      </c>
      <c r="M3177" t="s">
        <v>478</v>
      </c>
      <c r="N3177" t="str">
        <f>Tabela_tudo[[#This Row],[Médico]]&amp;" ("&amp;Tabela_tudo[[#This Row],[Obs]]&amp;")"</f>
        <v>JU ()</v>
      </c>
    </row>
    <row r="3178" spans="1:14" x14ac:dyDescent="0.3">
      <c r="A3178" s="1">
        <v>45034</v>
      </c>
      <c r="B3178" t="s">
        <v>283</v>
      </c>
      <c r="C3178" t="s">
        <v>455</v>
      </c>
      <c r="D3178" s="8"/>
      <c r="E3178" s="8"/>
      <c r="L3178" t="s">
        <v>563</v>
      </c>
      <c r="M3178" t="s">
        <v>478</v>
      </c>
      <c r="N3178" t="str">
        <f>Tabela_tudo[[#This Row],[Médico]]&amp;" ("&amp;Tabela_tudo[[#This Row],[Obs]]&amp;")"</f>
        <v>JU ()</v>
      </c>
    </row>
    <row r="3179" spans="1:14" x14ac:dyDescent="0.3">
      <c r="A3179" s="1">
        <v>45027</v>
      </c>
      <c r="B3179" t="s">
        <v>283</v>
      </c>
      <c r="C3179" t="s">
        <v>455</v>
      </c>
      <c r="D3179" s="8"/>
      <c r="E3179" s="8"/>
      <c r="L3179" t="s">
        <v>563</v>
      </c>
      <c r="M3179" t="s">
        <v>478</v>
      </c>
      <c r="N3179" t="str">
        <f>Tabela_tudo[[#This Row],[Médico]]&amp;" ("&amp;Tabela_tudo[[#This Row],[Obs]]&amp;")"</f>
        <v>JU ()</v>
      </c>
    </row>
    <row r="3180" spans="1:14" x14ac:dyDescent="0.3">
      <c r="A3180" s="1">
        <v>44964</v>
      </c>
      <c r="B3180" t="s">
        <v>283</v>
      </c>
      <c r="C3180" t="s">
        <v>455</v>
      </c>
      <c r="D3180" s="8"/>
      <c r="E3180" s="8"/>
      <c r="L3180" t="s">
        <v>563</v>
      </c>
      <c r="M3180" t="s">
        <v>478</v>
      </c>
      <c r="N3180" t="str">
        <f>Tabela_tudo[[#This Row],[Médico]]&amp;" ("&amp;Tabela_tudo[[#This Row],[Obs]]&amp;")"</f>
        <v>JU ()</v>
      </c>
    </row>
    <row r="3181" spans="1:14" x14ac:dyDescent="0.3">
      <c r="A3181" s="1">
        <v>44957</v>
      </c>
      <c r="B3181" t="s">
        <v>283</v>
      </c>
      <c r="C3181" t="s">
        <v>455</v>
      </c>
      <c r="D3181" s="8"/>
      <c r="E3181" s="8"/>
      <c r="L3181" t="s">
        <v>563</v>
      </c>
      <c r="M3181" t="s">
        <v>478</v>
      </c>
      <c r="N3181" t="str">
        <f>Tabela_tudo[[#This Row],[Médico]]&amp;" ("&amp;Tabela_tudo[[#This Row],[Obs]]&amp;")"</f>
        <v>JU ()</v>
      </c>
    </row>
    <row r="3182" spans="1:14" x14ac:dyDescent="0.3">
      <c r="A3182" s="1">
        <v>44950</v>
      </c>
      <c r="B3182" t="s">
        <v>283</v>
      </c>
      <c r="C3182" t="s">
        <v>455</v>
      </c>
      <c r="D3182" s="8"/>
      <c r="E3182" s="8"/>
      <c r="L3182" t="s">
        <v>563</v>
      </c>
      <c r="M3182" t="s">
        <v>478</v>
      </c>
      <c r="N3182" t="str">
        <f>Tabela_tudo[[#This Row],[Médico]]&amp;" ("&amp;Tabela_tudo[[#This Row],[Obs]]&amp;")"</f>
        <v>JU ()</v>
      </c>
    </row>
    <row r="3183" spans="1:14" x14ac:dyDescent="0.3">
      <c r="A3183" s="1">
        <v>44971</v>
      </c>
      <c r="B3183" t="s">
        <v>283</v>
      </c>
      <c r="C3183" t="s">
        <v>455</v>
      </c>
      <c r="D3183" s="8"/>
      <c r="E3183" s="8"/>
      <c r="L3183" t="s">
        <v>563</v>
      </c>
      <c r="M3183" t="s">
        <v>478</v>
      </c>
      <c r="N3183" t="str">
        <f>Tabela_tudo[[#This Row],[Médico]]&amp;" ("&amp;Tabela_tudo[[#This Row],[Obs]]&amp;")"</f>
        <v>JU ()</v>
      </c>
    </row>
    <row r="3184" spans="1:14" x14ac:dyDescent="0.3">
      <c r="A3184" s="1">
        <v>44992</v>
      </c>
      <c r="B3184" t="s">
        <v>283</v>
      </c>
      <c r="C3184" t="s">
        <v>455</v>
      </c>
      <c r="D3184" s="8"/>
      <c r="E3184" s="8"/>
      <c r="L3184" t="s">
        <v>563</v>
      </c>
      <c r="M3184" t="s">
        <v>478</v>
      </c>
      <c r="N3184" t="str">
        <f>Tabela_tudo[[#This Row],[Médico]]&amp;" ("&amp;Tabela_tudo[[#This Row],[Obs]]&amp;")"</f>
        <v>JU ()</v>
      </c>
    </row>
    <row r="3185" spans="1:14" x14ac:dyDescent="0.3">
      <c r="A3185" s="1">
        <v>44985</v>
      </c>
      <c r="B3185" t="s">
        <v>283</v>
      </c>
      <c r="C3185" t="s">
        <v>455</v>
      </c>
      <c r="D3185" s="8"/>
      <c r="E3185" s="8"/>
      <c r="L3185" t="s">
        <v>563</v>
      </c>
      <c r="M3185" t="s">
        <v>478</v>
      </c>
      <c r="N3185" t="str">
        <f>Tabela_tudo[[#This Row],[Médico]]&amp;" ("&amp;Tabela_tudo[[#This Row],[Obs]]&amp;")"</f>
        <v>JU ()</v>
      </c>
    </row>
    <row r="3186" spans="1:14" x14ac:dyDescent="0.3">
      <c r="A3186" s="1">
        <v>44978</v>
      </c>
      <c r="B3186" t="s">
        <v>283</v>
      </c>
      <c r="C3186" t="s">
        <v>455</v>
      </c>
      <c r="D3186" s="8"/>
      <c r="E3186" s="8"/>
      <c r="L3186" t="s">
        <v>563</v>
      </c>
      <c r="M3186" t="s">
        <v>478</v>
      </c>
      <c r="N3186" t="str">
        <f>Tabela_tudo[[#This Row],[Médico]]&amp;" ("&amp;Tabela_tudo[[#This Row],[Obs]]&amp;")"</f>
        <v>JU ()</v>
      </c>
    </row>
    <row r="3187" spans="1:14" x14ac:dyDescent="0.3">
      <c r="A3187" s="1">
        <v>45105</v>
      </c>
      <c r="B3187" t="s">
        <v>17</v>
      </c>
      <c r="C3187" t="s">
        <v>455</v>
      </c>
      <c r="D3187" s="8"/>
      <c r="E3187" s="8"/>
      <c r="L3187" t="s">
        <v>563</v>
      </c>
      <c r="M3187" t="s">
        <v>478</v>
      </c>
      <c r="N3187" t="str">
        <f>Tabela_tudo[[#This Row],[Médico]]&amp;" ("&amp;Tabela_tudo[[#This Row],[Obs]]&amp;")"</f>
        <v>FAB ()</v>
      </c>
    </row>
    <row r="3188" spans="1:14" x14ac:dyDescent="0.3">
      <c r="A3188" s="1">
        <v>45219</v>
      </c>
      <c r="B3188" t="s">
        <v>283</v>
      </c>
      <c r="C3188" t="s">
        <v>455</v>
      </c>
      <c r="D3188" s="8"/>
      <c r="E3188" s="8"/>
      <c r="L3188" t="s">
        <v>563</v>
      </c>
      <c r="M3188" t="s">
        <v>478</v>
      </c>
      <c r="N3188" t="str">
        <f>Tabela_tudo[[#This Row],[Médico]]&amp;" ("&amp;Tabela_tudo[[#This Row],[Obs]]&amp;")"</f>
        <v>JU ()</v>
      </c>
    </row>
    <row r="3189" spans="1:14" x14ac:dyDescent="0.3">
      <c r="A3189" s="1">
        <v>45212</v>
      </c>
      <c r="B3189" t="s">
        <v>283</v>
      </c>
      <c r="C3189" t="s">
        <v>455</v>
      </c>
      <c r="D3189" s="8"/>
      <c r="E3189" s="8"/>
      <c r="L3189" t="s">
        <v>563</v>
      </c>
      <c r="M3189" t="s">
        <v>478</v>
      </c>
      <c r="N3189" t="str">
        <f>Tabela_tudo[[#This Row],[Médico]]&amp;" ("&amp;Tabela_tudo[[#This Row],[Obs]]&amp;")"</f>
        <v>JU ()</v>
      </c>
    </row>
    <row r="3190" spans="1:14" x14ac:dyDescent="0.3">
      <c r="A3190" s="1">
        <v>45205</v>
      </c>
      <c r="B3190" t="s">
        <v>283</v>
      </c>
      <c r="C3190" t="s">
        <v>455</v>
      </c>
      <c r="D3190" s="8"/>
      <c r="E3190" s="8"/>
      <c r="L3190" t="s">
        <v>563</v>
      </c>
      <c r="M3190" t="s">
        <v>478</v>
      </c>
      <c r="N3190" t="str">
        <f>Tabela_tudo[[#This Row],[Médico]]&amp;" ("&amp;Tabela_tudo[[#This Row],[Obs]]&amp;")"</f>
        <v>JU ()</v>
      </c>
    </row>
    <row r="3191" spans="1:14" x14ac:dyDescent="0.3">
      <c r="A3191" s="1">
        <v>45226</v>
      </c>
      <c r="B3191" t="s">
        <v>283</v>
      </c>
      <c r="C3191" t="s">
        <v>455</v>
      </c>
      <c r="D3191" s="8"/>
      <c r="E3191" s="8"/>
      <c r="L3191" t="s">
        <v>563</v>
      </c>
      <c r="M3191" t="s">
        <v>478</v>
      </c>
      <c r="N3191" t="str">
        <f>Tabela_tudo[[#This Row],[Médico]]&amp;" ("&amp;Tabela_tudo[[#This Row],[Obs]]&amp;")"</f>
        <v>JU ()</v>
      </c>
    </row>
    <row r="3192" spans="1:14" x14ac:dyDescent="0.3">
      <c r="A3192" s="1">
        <v>45247</v>
      </c>
      <c r="B3192" t="s">
        <v>283</v>
      </c>
      <c r="C3192" t="s">
        <v>455</v>
      </c>
      <c r="D3192" s="8"/>
      <c r="E3192" s="8"/>
      <c r="L3192" t="s">
        <v>563</v>
      </c>
      <c r="M3192" t="s">
        <v>478</v>
      </c>
      <c r="N3192" t="str">
        <f>Tabela_tudo[[#This Row],[Médico]]&amp;" ("&amp;Tabela_tudo[[#This Row],[Obs]]&amp;")"</f>
        <v>JU ()</v>
      </c>
    </row>
    <row r="3193" spans="1:14" x14ac:dyDescent="0.3">
      <c r="A3193" s="1">
        <v>45240</v>
      </c>
      <c r="B3193" t="s">
        <v>283</v>
      </c>
      <c r="C3193" t="s">
        <v>455</v>
      </c>
      <c r="D3193" s="8"/>
      <c r="E3193" s="8"/>
      <c r="L3193" t="s">
        <v>563</v>
      </c>
      <c r="M3193" t="s">
        <v>478</v>
      </c>
      <c r="N3193" t="str">
        <f>Tabela_tudo[[#This Row],[Médico]]&amp;" ("&amp;Tabela_tudo[[#This Row],[Obs]]&amp;")"</f>
        <v>JU ()</v>
      </c>
    </row>
    <row r="3194" spans="1:14" x14ac:dyDescent="0.3">
      <c r="A3194" s="1">
        <v>45233</v>
      </c>
      <c r="B3194" t="s">
        <v>283</v>
      </c>
      <c r="C3194" t="s">
        <v>455</v>
      </c>
      <c r="D3194" s="8"/>
      <c r="E3194" s="8"/>
      <c r="L3194" t="s">
        <v>563</v>
      </c>
      <c r="M3194" t="s">
        <v>478</v>
      </c>
      <c r="N3194" t="str">
        <f>Tabela_tudo[[#This Row],[Médico]]&amp;" ("&amp;Tabela_tudo[[#This Row],[Obs]]&amp;")"</f>
        <v>JU ()</v>
      </c>
    </row>
    <row r="3195" spans="1:14" x14ac:dyDescent="0.3">
      <c r="A3195" s="1">
        <v>45170</v>
      </c>
      <c r="B3195" t="s">
        <v>283</v>
      </c>
      <c r="C3195" t="s">
        <v>455</v>
      </c>
      <c r="D3195" s="8"/>
      <c r="E3195" s="8"/>
      <c r="L3195" t="s">
        <v>563</v>
      </c>
      <c r="M3195" t="s">
        <v>478</v>
      </c>
      <c r="N3195" t="str">
        <f>Tabela_tudo[[#This Row],[Médico]]&amp;" ("&amp;Tabela_tudo[[#This Row],[Obs]]&amp;")"</f>
        <v>JU ()</v>
      </c>
    </row>
    <row r="3196" spans="1:14" x14ac:dyDescent="0.3">
      <c r="A3196" s="1">
        <v>45163</v>
      </c>
      <c r="B3196" t="s">
        <v>283</v>
      </c>
      <c r="C3196" t="s">
        <v>455</v>
      </c>
      <c r="D3196" s="8"/>
      <c r="E3196" s="8"/>
      <c r="L3196" t="s">
        <v>563</v>
      </c>
      <c r="M3196" t="s">
        <v>478</v>
      </c>
      <c r="N3196" t="str">
        <f>Tabela_tudo[[#This Row],[Médico]]&amp;" ("&amp;Tabela_tudo[[#This Row],[Obs]]&amp;")"</f>
        <v>JU ()</v>
      </c>
    </row>
    <row r="3197" spans="1:14" x14ac:dyDescent="0.3">
      <c r="A3197" s="1">
        <v>45156</v>
      </c>
      <c r="B3197" t="s">
        <v>283</v>
      </c>
      <c r="C3197" t="s">
        <v>455</v>
      </c>
      <c r="D3197" s="8"/>
      <c r="E3197" s="8"/>
      <c r="L3197" t="s">
        <v>563</v>
      </c>
      <c r="M3197" t="s">
        <v>478</v>
      </c>
      <c r="N3197" t="str">
        <f>Tabela_tudo[[#This Row],[Médico]]&amp;" ("&amp;Tabela_tudo[[#This Row],[Obs]]&amp;")"</f>
        <v>JU ()</v>
      </c>
    </row>
    <row r="3198" spans="1:14" x14ac:dyDescent="0.3">
      <c r="A3198" s="1">
        <v>45177</v>
      </c>
      <c r="B3198" t="s">
        <v>283</v>
      </c>
      <c r="C3198" t="s">
        <v>455</v>
      </c>
      <c r="D3198" s="8"/>
      <c r="E3198" s="8"/>
      <c r="L3198" t="s">
        <v>563</v>
      </c>
      <c r="M3198" t="s">
        <v>478</v>
      </c>
      <c r="N3198" t="str">
        <f>Tabela_tudo[[#This Row],[Médico]]&amp;" ("&amp;Tabela_tudo[[#This Row],[Obs]]&amp;")"</f>
        <v>JU ()</v>
      </c>
    </row>
    <row r="3199" spans="1:14" x14ac:dyDescent="0.3">
      <c r="A3199" s="1">
        <v>45198</v>
      </c>
      <c r="B3199" t="s">
        <v>283</v>
      </c>
      <c r="C3199" t="s">
        <v>455</v>
      </c>
      <c r="D3199" s="8"/>
      <c r="E3199" s="8"/>
      <c r="L3199" t="s">
        <v>563</v>
      </c>
      <c r="M3199" t="s">
        <v>478</v>
      </c>
      <c r="N3199" t="str">
        <f>Tabela_tudo[[#This Row],[Médico]]&amp;" ("&amp;Tabela_tudo[[#This Row],[Obs]]&amp;")"</f>
        <v>JU ()</v>
      </c>
    </row>
    <row r="3200" spans="1:14" x14ac:dyDescent="0.3">
      <c r="A3200" s="1">
        <v>45191</v>
      </c>
      <c r="B3200" t="s">
        <v>283</v>
      </c>
      <c r="C3200" t="s">
        <v>455</v>
      </c>
      <c r="D3200" s="8"/>
      <c r="E3200" s="8"/>
      <c r="L3200" t="s">
        <v>563</v>
      </c>
      <c r="M3200" t="s">
        <v>478</v>
      </c>
      <c r="N3200" t="str">
        <f>Tabela_tudo[[#This Row],[Médico]]&amp;" ("&amp;Tabela_tudo[[#This Row],[Obs]]&amp;")"</f>
        <v>JU ()</v>
      </c>
    </row>
    <row r="3201" spans="1:14" x14ac:dyDescent="0.3">
      <c r="A3201" s="1">
        <v>45184</v>
      </c>
      <c r="B3201" t="s">
        <v>283</v>
      </c>
      <c r="C3201" t="s">
        <v>455</v>
      </c>
      <c r="D3201" s="8"/>
      <c r="E3201" s="8"/>
      <c r="L3201" t="s">
        <v>563</v>
      </c>
      <c r="M3201" t="s">
        <v>478</v>
      </c>
      <c r="N3201" t="str">
        <f>Tabela_tudo[[#This Row],[Médico]]&amp;" ("&amp;Tabela_tudo[[#This Row],[Obs]]&amp;")"</f>
        <v>JU ()</v>
      </c>
    </row>
    <row r="3202" spans="1:14" x14ac:dyDescent="0.3">
      <c r="A3202" s="1">
        <v>45254</v>
      </c>
      <c r="B3202" t="s">
        <v>283</v>
      </c>
      <c r="C3202" t="s">
        <v>455</v>
      </c>
      <c r="D3202" s="8"/>
      <c r="E3202" s="8"/>
      <c r="L3202" t="s">
        <v>563</v>
      </c>
      <c r="M3202" t="s">
        <v>478</v>
      </c>
      <c r="N3202" t="str">
        <f>Tabela_tudo[[#This Row],[Médico]]&amp;" ("&amp;Tabela_tudo[[#This Row],[Obs]]&amp;")"</f>
        <v>JU ()</v>
      </c>
    </row>
    <row r="3203" spans="1:14" x14ac:dyDescent="0.3">
      <c r="A3203" s="1">
        <v>45324</v>
      </c>
      <c r="B3203" t="s">
        <v>283</v>
      </c>
      <c r="C3203" t="s">
        <v>455</v>
      </c>
      <c r="D3203" s="8"/>
      <c r="E3203" s="8"/>
      <c r="L3203" t="s">
        <v>563</v>
      </c>
      <c r="M3203" t="s">
        <v>478</v>
      </c>
      <c r="N3203" t="str">
        <f>Tabela_tudo[[#This Row],[Médico]]&amp;" ("&amp;Tabela_tudo[[#This Row],[Obs]]&amp;")"</f>
        <v>JU ()</v>
      </c>
    </row>
    <row r="3204" spans="1:14" x14ac:dyDescent="0.3">
      <c r="A3204" s="1">
        <v>45317</v>
      </c>
      <c r="B3204" t="s">
        <v>283</v>
      </c>
      <c r="C3204" t="s">
        <v>455</v>
      </c>
      <c r="D3204" s="8"/>
      <c r="E3204" s="8"/>
      <c r="L3204" t="s">
        <v>563</v>
      </c>
      <c r="M3204" t="s">
        <v>478</v>
      </c>
      <c r="N3204" t="str">
        <f>Tabela_tudo[[#This Row],[Médico]]&amp;" ("&amp;Tabela_tudo[[#This Row],[Obs]]&amp;")"</f>
        <v>JU ()</v>
      </c>
    </row>
    <row r="3205" spans="1:14" x14ac:dyDescent="0.3">
      <c r="A3205" s="1">
        <v>45310</v>
      </c>
      <c r="B3205" t="s">
        <v>283</v>
      </c>
      <c r="C3205" t="s">
        <v>455</v>
      </c>
      <c r="D3205" s="8"/>
      <c r="E3205" s="8"/>
      <c r="L3205" t="s">
        <v>563</v>
      </c>
      <c r="M3205" t="s">
        <v>478</v>
      </c>
      <c r="N3205" t="str">
        <f>Tabela_tudo[[#This Row],[Médico]]&amp;" ("&amp;Tabela_tudo[[#This Row],[Obs]]&amp;")"</f>
        <v>JU ()</v>
      </c>
    </row>
    <row r="3206" spans="1:14" x14ac:dyDescent="0.3">
      <c r="A3206" s="1">
        <v>45331</v>
      </c>
      <c r="B3206" t="s">
        <v>283</v>
      </c>
      <c r="C3206" t="s">
        <v>455</v>
      </c>
      <c r="D3206" s="8"/>
      <c r="E3206" s="8"/>
      <c r="L3206" t="s">
        <v>563</v>
      </c>
      <c r="M3206" t="s">
        <v>478</v>
      </c>
      <c r="N3206" t="str">
        <f>Tabela_tudo[[#This Row],[Médico]]&amp;" ("&amp;Tabela_tudo[[#This Row],[Obs]]&amp;")"</f>
        <v>JU ()</v>
      </c>
    </row>
    <row r="3207" spans="1:14" x14ac:dyDescent="0.3">
      <c r="A3207" s="1">
        <v>45352</v>
      </c>
      <c r="B3207" t="s">
        <v>283</v>
      </c>
      <c r="C3207" t="s">
        <v>455</v>
      </c>
      <c r="D3207" s="8"/>
      <c r="E3207" s="8"/>
      <c r="L3207" t="s">
        <v>563</v>
      </c>
      <c r="M3207" t="s">
        <v>478</v>
      </c>
      <c r="N3207" t="str">
        <f>Tabela_tudo[[#This Row],[Médico]]&amp;" ("&amp;Tabela_tudo[[#This Row],[Obs]]&amp;")"</f>
        <v>JU ()</v>
      </c>
    </row>
    <row r="3208" spans="1:14" x14ac:dyDescent="0.3">
      <c r="A3208" s="1">
        <v>45345</v>
      </c>
      <c r="B3208" t="s">
        <v>283</v>
      </c>
      <c r="C3208" t="s">
        <v>455</v>
      </c>
      <c r="D3208" s="8"/>
      <c r="E3208" s="8"/>
      <c r="L3208" t="s">
        <v>563</v>
      </c>
      <c r="M3208" t="s">
        <v>478</v>
      </c>
      <c r="N3208" t="str">
        <f>Tabela_tudo[[#This Row],[Médico]]&amp;" ("&amp;Tabela_tudo[[#This Row],[Obs]]&amp;")"</f>
        <v>JU ()</v>
      </c>
    </row>
    <row r="3209" spans="1:14" x14ac:dyDescent="0.3">
      <c r="A3209" s="1">
        <v>45338</v>
      </c>
      <c r="B3209" t="s">
        <v>283</v>
      </c>
      <c r="C3209" t="s">
        <v>455</v>
      </c>
      <c r="D3209" s="8"/>
      <c r="E3209" s="8"/>
      <c r="L3209" t="s">
        <v>563</v>
      </c>
      <c r="M3209" t="s">
        <v>478</v>
      </c>
      <c r="N3209" t="str">
        <f>Tabela_tudo[[#This Row],[Médico]]&amp;" ("&amp;Tabela_tudo[[#This Row],[Obs]]&amp;")"</f>
        <v>JU ()</v>
      </c>
    </row>
    <row r="3210" spans="1:14" x14ac:dyDescent="0.3">
      <c r="A3210" s="1">
        <v>45275</v>
      </c>
      <c r="B3210" t="s">
        <v>283</v>
      </c>
      <c r="C3210" t="s">
        <v>455</v>
      </c>
      <c r="D3210" s="8"/>
      <c r="E3210" s="8"/>
      <c r="L3210" t="s">
        <v>563</v>
      </c>
      <c r="M3210" t="s">
        <v>478</v>
      </c>
      <c r="N3210" t="str">
        <f>Tabela_tudo[[#This Row],[Médico]]&amp;" ("&amp;Tabela_tudo[[#This Row],[Obs]]&amp;")"</f>
        <v>JU ()</v>
      </c>
    </row>
    <row r="3211" spans="1:14" x14ac:dyDescent="0.3">
      <c r="A3211" s="1">
        <v>45268</v>
      </c>
      <c r="B3211" t="s">
        <v>283</v>
      </c>
      <c r="C3211" t="s">
        <v>455</v>
      </c>
      <c r="D3211" s="8"/>
      <c r="E3211" s="8"/>
      <c r="L3211" t="s">
        <v>563</v>
      </c>
      <c r="M3211" t="s">
        <v>478</v>
      </c>
      <c r="N3211" t="str">
        <f>Tabela_tudo[[#This Row],[Médico]]&amp;" ("&amp;Tabela_tudo[[#This Row],[Obs]]&amp;")"</f>
        <v>JU ()</v>
      </c>
    </row>
    <row r="3212" spans="1:14" x14ac:dyDescent="0.3">
      <c r="A3212" s="1">
        <v>45261</v>
      </c>
      <c r="B3212" t="s">
        <v>283</v>
      </c>
      <c r="C3212" t="s">
        <v>455</v>
      </c>
      <c r="D3212" s="8"/>
      <c r="E3212" s="8"/>
      <c r="L3212" t="s">
        <v>563</v>
      </c>
      <c r="M3212" t="s">
        <v>478</v>
      </c>
      <c r="N3212" t="str">
        <f>Tabela_tudo[[#This Row],[Médico]]&amp;" ("&amp;Tabela_tudo[[#This Row],[Obs]]&amp;")"</f>
        <v>JU ()</v>
      </c>
    </row>
    <row r="3213" spans="1:14" x14ac:dyDescent="0.3">
      <c r="A3213" s="1">
        <v>45282</v>
      </c>
      <c r="B3213" t="s">
        <v>283</v>
      </c>
      <c r="C3213" t="s">
        <v>455</v>
      </c>
      <c r="D3213" s="8"/>
      <c r="E3213" s="8"/>
      <c r="L3213" t="s">
        <v>563</v>
      </c>
      <c r="M3213" t="s">
        <v>478</v>
      </c>
      <c r="N3213" t="str">
        <f>Tabela_tudo[[#This Row],[Médico]]&amp;" ("&amp;Tabela_tudo[[#This Row],[Obs]]&amp;")"</f>
        <v>JU ()</v>
      </c>
    </row>
    <row r="3214" spans="1:14" x14ac:dyDescent="0.3">
      <c r="A3214" s="1">
        <v>45303</v>
      </c>
      <c r="B3214" t="s">
        <v>283</v>
      </c>
      <c r="C3214" t="s">
        <v>455</v>
      </c>
      <c r="D3214" s="8"/>
      <c r="E3214" s="8"/>
      <c r="L3214" t="s">
        <v>563</v>
      </c>
      <c r="M3214" t="s">
        <v>478</v>
      </c>
      <c r="N3214" t="str">
        <f>Tabela_tudo[[#This Row],[Médico]]&amp;" ("&amp;Tabela_tudo[[#This Row],[Obs]]&amp;")"</f>
        <v>JU ()</v>
      </c>
    </row>
    <row r="3215" spans="1:14" x14ac:dyDescent="0.3">
      <c r="A3215" s="1">
        <v>45296</v>
      </c>
      <c r="B3215" t="s">
        <v>283</v>
      </c>
      <c r="C3215" t="s">
        <v>455</v>
      </c>
      <c r="D3215" s="8"/>
      <c r="E3215" s="8"/>
      <c r="L3215" t="s">
        <v>563</v>
      </c>
      <c r="M3215" t="s">
        <v>478</v>
      </c>
      <c r="N3215" t="str">
        <f>Tabela_tudo[[#This Row],[Médico]]&amp;" ("&amp;Tabela_tudo[[#This Row],[Obs]]&amp;")"</f>
        <v>JU ()</v>
      </c>
    </row>
    <row r="3216" spans="1:14" x14ac:dyDescent="0.3">
      <c r="A3216" s="1">
        <v>45289</v>
      </c>
      <c r="B3216" t="s">
        <v>283</v>
      </c>
      <c r="C3216" t="s">
        <v>455</v>
      </c>
      <c r="D3216" s="8"/>
      <c r="E3216" s="8"/>
      <c r="L3216" t="s">
        <v>563</v>
      </c>
      <c r="M3216" t="s">
        <v>478</v>
      </c>
      <c r="N3216" t="str">
        <f>Tabela_tudo[[#This Row],[Médico]]&amp;" ("&amp;Tabela_tudo[[#This Row],[Obs]]&amp;")"</f>
        <v>JU ()</v>
      </c>
    </row>
    <row r="3217" spans="1:14" x14ac:dyDescent="0.3">
      <c r="A3217" s="1">
        <v>45149</v>
      </c>
      <c r="B3217" t="s">
        <v>283</v>
      </c>
      <c r="C3217" t="s">
        <v>455</v>
      </c>
      <c r="D3217" s="8"/>
      <c r="E3217" s="8"/>
      <c r="L3217" t="s">
        <v>563</v>
      </c>
      <c r="M3217" t="s">
        <v>478</v>
      </c>
      <c r="N3217" t="str">
        <f>Tabela_tudo[[#This Row],[Médico]]&amp;" ("&amp;Tabela_tudo[[#This Row],[Obs]]&amp;")"</f>
        <v>JU ()</v>
      </c>
    </row>
    <row r="3218" spans="1:14" x14ac:dyDescent="0.3">
      <c r="A3218" s="1">
        <v>45009</v>
      </c>
      <c r="B3218" t="s">
        <v>283</v>
      </c>
      <c r="C3218" t="s">
        <v>455</v>
      </c>
      <c r="D3218" s="8"/>
      <c r="E3218" s="8"/>
      <c r="L3218" t="s">
        <v>563</v>
      </c>
      <c r="M3218" t="s">
        <v>478</v>
      </c>
      <c r="N3218" t="str">
        <f>Tabela_tudo[[#This Row],[Médico]]&amp;" ("&amp;Tabela_tudo[[#This Row],[Obs]]&amp;")"</f>
        <v>JU ()</v>
      </c>
    </row>
    <row r="3219" spans="1:14" x14ac:dyDescent="0.3">
      <c r="A3219" s="1">
        <v>45002</v>
      </c>
      <c r="B3219" t="s">
        <v>283</v>
      </c>
      <c r="C3219" t="s">
        <v>455</v>
      </c>
      <c r="D3219" s="8"/>
      <c r="E3219" s="8"/>
      <c r="L3219" t="s">
        <v>563</v>
      </c>
      <c r="M3219" t="s">
        <v>478</v>
      </c>
      <c r="N3219" t="str">
        <f>Tabela_tudo[[#This Row],[Médico]]&amp;" ("&amp;Tabela_tudo[[#This Row],[Obs]]&amp;")"</f>
        <v>JU ()</v>
      </c>
    </row>
    <row r="3220" spans="1:14" x14ac:dyDescent="0.3">
      <c r="A3220" s="1">
        <v>44995</v>
      </c>
      <c r="B3220" t="s">
        <v>283</v>
      </c>
      <c r="C3220" t="s">
        <v>455</v>
      </c>
      <c r="D3220" s="8"/>
      <c r="E3220" s="8"/>
      <c r="L3220" t="s">
        <v>563</v>
      </c>
      <c r="M3220" t="s">
        <v>478</v>
      </c>
      <c r="N3220" t="str">
        <f>Tabela_tudo[[#This Row],[Médico]]&amp;" ("&amp;Tabela_tudo[[#This Row],[Obs]]&amp;")"</f>
        <v>JU ()</v>
      </c>
    </row>
    <row r="3221" spans="1:14" x14ac:dyDescent="0.3">
      <c r="A3221" s="1">
        <v>45016</v>
      </c>
      <c r="B3221" t="s">
        <v>283</v>
      </c>
      <c r="C3221" t="s">
        <v>455</v>
      </c>
      <c r="D3221" s="8"/>
      <c r="E3221" s="8"/>
      <c r="L3221" t="s">
        <v>563</v>
      </c>
      <c r="M3221" t="s">
        <v>478</v>
      </c>
      <c r="N3221" t="str">
        <f>Tabela_tudo[[#This Row],[Médico]]&amp;" ("&amp;Tabela_tudo[[#This Row],[Obs]]&amp;")"</f>
        <v>JU ()</v>
      </c>
    </row>
    <row r="3222" spans="1:14" x14ac:dyDescent="0.3">
      <c r="A3222" s="1">
        <v>45037</v>
      </c>
      <c r="B3222" t="s">
        <v>283</v>
      </c>
      <c r="C3222" t="s">
        <v>455</v>
      </c>
      <c r="D3222" s="8"/>
      <c r="E3222" s="8"/>
      <c r="L3222" t="s">
        <v>563</v>
      </c>
      <c r="M3222" t="s">
        <v>478</v>
      </c>
      <c r="N3222" t="str">
        <f>Tabela_tudo[[#This Row],[Médico]]&amp;" ("&amp;Tabela_tudo[[#This Row],[Obs]]&amp;")"</f>
        <v>JU ()</v>
      </c>
    </row>
    <row r="3223" spans="1:14" x14ac:dyDescent="0.3">
      <c r="A3223" s="1">
        <v>45030</v>
      </c>
      <c r="B3223" t="s">
        <v>283</v>
      </c>
      <c r="C3223" t="s">
        <v>455</v>
      </c>
      <c r="D3223" s="8"/>
      <c r="E3223" s="8"/>
      <c r="L3223" t="s">
        <v>563</v>
      </c>
      <c r="M3223" t="s">
        <v>478</v>
      </c>
      <c r="N3223" t="str">
        <f>Tabela_tudo[[#This Row],[Médico]]&amp;" ("&amp;Tabela_tudo[[#This Row],[Obs]]&amp;")"</f>
        <v>JU ()</v>
      </c>
    </row>
    <row r="3224" spans="1:14" x14ac:dyDescent="0.3">
      <c r="A3224" s="1">
        <v>45023</v>
      </c>
      <c r="B3224" t="s">
        <v>283</v>
      </c>
      <c r="C3224" t="s">
        <v>455</v>
      </c>
      <c r="D3224" s="8"/>
      <c r="E3224" s="8"/>
      <c r="L3224" t="s">
        <v>563</v>
      </c>
      <c r="M3224" t="s">
        <v>478</v>
      </c>
      <c r="N3224" t="str">
        <f>Tabela_tudo[[#This Row],[Médico]]&amp;" ("&amp;Tabela_tudo[[#This Row],[Obs]]&amp;")"</f>
        <v>JU ()</v>
      </c>
    </row>
    <row r="3225" spans="1:14" x14ac:dyDescent="0.3">
      <c r="A3225" s="1">
        <v>44960</v>
      </c>
      <c r="B3225" t="s">
        <v>283</v>
      </c>
      <c r="C3225" t="s">
        <v>455</v>
      </c>
      <c r="D3225" s="8"/>
      <c r="E3225" s="8"/>
      <c r="L3225" t="s">
        <v>563</v>
      </c>
      <c r="M3225" t="s">
        <v>478</v>
      </c>
      <c r="N3225" t="str">
        <f>Tabela_tudo[[#This Row],[Médico]]&amp;" ("&amp;Tabela_tudo[[#This Row],[Obs]]&amp;")"</f>
        <v>JU ()</v>
      </c>
    </row>
    <row r="3226" spans="1:14" x14ac:dyDescent="0.3">
      <c r="A3226" s="1">
        <v>44953</v>
      </c>
      <c r="B3226" t="s">
        <v>283</v>
      </c>
      <c r="C3226" t="s">
        <v>455</v>
      </c>
      <c r="D3226" s="8"/>
      <c r="E3226" s="8"/>
      <c r="L3226" t="s">
        <v>563</v>
      </c>
      <c r="M3226" t="s">
        <v>478</v>
      </c>
      <c r="N3226" t="str">
        <f>Tabela_tudo[[#This Row],[Médico]]&amp;" ("&amp;Tabela_tudo[[#This Row],[Obs]]&amp;")"</f>
        <v>JU ()</v>
      </c>
    </row>
    <row r="3227" spans="1:14" x14ac:dyDescent="0.3">
      <c r="A3227" s="1">
        <v>44946</v>
      </c>
      <c r="B3227" t="s">
        <v>283</v>
      </c>
      <c r="C3227" t="s">
        <v>455</v>
      </c>
      <c r="D3227" s="8"/>
      <c r="E3227" s="8"/>
      <c r="L3227" t="s">
        <v>563</v>
      </c>
      <c r="M3227" t="s">
        <v>478</v>
      </c>
      <c r="N3227" t="str">
        <f>Tabela_tudo[[#This Row],[Médico]]&amp;" ("&amp;Tabela_tudo[[#This Row],[Obs]]&amp;")"</f>
        <v>JU ()</v>
      </c>
    </row>
    <row r="3228" spans="1:14" x14ac:dyDescent="0.3">
      <c r="A3228" s="1">
        <v>44967</v>
      </c>
      <c r="B3228" t="s">
        <v>283</v>
      </c>
      <c r="C3228" t="s">
        <v>455</v>
      </c>
      <c r="D3228" s="8"/>
      <c r="E3228" s="8"/>
      <c r="L3228" t="s">
        <v>563</v>
      </c>
      <c r="M3228" t="s">
        <v>478</v>
      </c>
      <c r="N3228" t="str">
        <f>Tabela_tudo[[#This Row],[Médico]]&amp;" ("&amp;Tabela_tudo[[#This Row],[Obs]]&amp;")"</f>
        <v>JU ()</v>
      </c>
    </row>
    <row r="3229" spans="1:14" x14ac:dyDescent="0.3">
      <c r="A3229" s="1">
        <v>44988</v>
      </c>
      <c r="B3229" t="s">
        <v>283</v>
      </c>
      <c r="C3229" t="s">
        <v>455</v>
      </c>
      <c r="D3229" s="8"/>
      <c r="E3229" s="8"/>
      <c r="L3229" t="s">
        <v>563</v>
      </c>
      <c r="M3229" t="s">
        <v>478</v>
      </c>
      <c r="N3229" t="str">
        <f>Tabela_tudo[[#This Row],[Médico]]&amp;" ("&amp;Tabela_tudo[[#This Row],[Obs]]&amp;")"</f>
        <v>JU ()</v>
      </c>
    </row>
    <row r="3230" spans="1:14" x14ac:dyDescent="0.3">
      <c r="A3230" s="1">
        <v>44981</v>
      </c>
      <c r="B3230" t="s">
        <v>283</v>
      </c>
      <c r="C3230" t="s">
        <v>455</v>
      </c>
      <c r="D3230" s="8"/>
      <c r="E3230" s="8"/>
      <c r="L3230" t="s">
        <v>563</v>
      </c>
      <c r="M3230" t="s">
        <v>478</v>
      </c>
      <c r="N3230" t="str">
        <f>Tabela_tudo[[#This Row],[Médico]]&amp;" ("&amp;Tabela_tudo[[#This Row],[Obs]]&amp;")"</f>
        <v>JU ()</v>
      </c>
    </row>
    <row r="3231" spans="1:14" x14ac:dyDescent="0.3">
      <c r="A3231" s="1">
        <v>44974</v>
      </c>
      <c r="B3231" t="s">
        <v>283</v>
      </c>
      <c r="C3231" t="s">
        <v>455</v>
      </c>
      <c r="D3231" s="8"/>
      <c r="E3231" s="8"/>
      <c r="L3231" t="s">
        <v>563</v>
      </c>
      <c r="M3231" t="s">
        <v>478</v>
      </c>
      <c r="N3231" t="str">
        <f>Tabela_tudo[[#This Row],[Médico]]&amp;" ("&amp;Tabela_tudo[[#This Row],[Obs]]&amp;")"</f>
        <v>JU ()</v>
      </c>
    </row>
    <row r="3232" spans="1:14" x14ac:dyDescent="0.3">
      <c r="A3232" s="1">
        <v>45044</v>
      </c>
      <c r="B3232" t="s">
        <v>283</v>
      </c>
      <c r="C3232" t="s">
        <v>455</v>
      </c>
      <c r="D3232" s="8"/>
      <c r="E3232" s="8"/>
      <c r="L3232" t="s">
        <v>563</v>
      </c>
      <c r="M3232" t="s">
        <v>478</v>
      </c>
      <c r="N3232" t="str">
        <f>Tabela_tudo[[#This Row],[Médico]]&amp;" ("&amp;Tabela_tudo[[#This Row],[Obs]]&amp;")"</f>
        <v>JU ()</v>
      </c>
    </row>
    <row r="3233" spans="1:14" x14ac:dyDescent="0.3">
      <c r="A3233" s="1">
        <v>45114</v>
      </c>
      <c r="B3233" t="s">
        <v>283</v>
      </c>
      <c r="C3233" t="s">
        <v>455</v>
      </c>
      <c r="D3233" s="8"/>
      <c r="E3233" s="8"/>
      <c r="L3233" t="s">
        <v>563</v>
      </c>
      <c r="M3233" t="s">
        <v>478</v>
      </c>
      <c r="N3233" t="str">
        <f>Tabela_tudo[[#This Row],[Médico]]&amp;" ("&amp;Tabela_tudo[[#This Row],[Obs]]&amp;")"</f>
        <v>JU ()</v>
      </c>
    </row>
    <row r="3234" spans="1:14" x14ac:dyDescent="0.3">
      <c r="A3234" s="1">
        <v>45107</v>
      </c>
      <c r="B3234" t="s">
        <v>283</v>
      </c>
      <c r="C3234" t="s">
        <v>455</v>
      </c>
      <c r="D3234" s="8"/>
      <c r="E3234" s="8"/>
      <c r="L3234" t="s">
        <v>563</v>
      </c>
      <c r="M3234" t="s">
        <v>478</v>
      </c>
      <c r="N3234" t="str">
        <f>Tabela_tudo[[#This Row],[Médico]]&amp;" ("&amp;Tabela_tudo[[#This Row],[Obs]]&amp;")"</f>
        <v>JU ()</v>
      </c>
    </row>
    <row r="3235" spans="1:14" x14ac:dyDescent="0.3">
      <c r="A3235" s="1">
        <v>45100</v>
      </c>
      <c r="B3235" t="s">
        <v>283</v>
      </c>
      <c r="C3235" t="s">
        <v>455</v>
      </c>
      <c r="D3235" s="8"/>
      <c r="E3235" s="8"/>
      <c r="L3235" t="s">
        <v>563</v>
      </c>
      <c r="M3235" t="s">
        <v>478</v>
      </c>
      <c r="N3235" t="str">
        <f>Tabela_tudo[[#This Row],[Médico]]&amp;" ("&amp;Tabela_tudo[[#This Row],[Obs]]&amp;")"</f>
        <v>JU ()</v>
      </c>
    </row>
    <row r="3236" spans="1:14" x14ac:dyDescent="0.3">
      <c r="A3236" s="1">
        <v>45121</v>
      </c>
      <c r="B3236" t="s">
        <v>283</v>
      </c>
      <c r="C3236" t="s">
        <v>455</v>
      </c>
      <c r="D3236" s="8"/>
      <c r="E3236" s="8"/>
      <c r="L3236" t="s">
        <v>563</v>
      </c>
      <c r="M3236" t="s">
        <v>478</v>
      </c>
      <c r="N3236" t="str">
        <f>Tabela_tudo[[#This Row],[Médico]]&amp;" ("&amp;Tabela_tudo[[#This Row],[Obs]]&amp;")"</f>
        <v>JU ()</v>
      </c>
    </row>
    <row r="3237" spans="1:14" x14ac:dyDescent="0.3">
      <c r="A3237" s="1">
        <v>45142</v>
      </c>
      <c r="B3237" t="s">
        <v>283</v>
      </c>
      <c r="C3237" t="s">
        <v>455</v>
      </c>
      <c r="D3237" s="8"/>
      <c r="E3237" s="8"/>
      <c r="L3237" t="s">
        <v>563</v>
      </c>
      <c r="M3237" t="s">
        <v>478</v>
      </c>
      <c r="N3237" t="str">
        <f>Tabela_tudo[[#This Row],[Médico]]&amp;" ("&amp;Tabela_tudo[[#This Row],[Obs]]&amp;")"</f>
        <v>JU ()</v>
      </c>
    </row>
    <row r="3238" spans="1:14" x14ac:dyDescent="0.3">
      <c r="A3238" s="1">
        <v>45135</v>
      </c>
      <c r="B3238" t="s">
        <v>283</v>
      </c>
      <c r="C3238" t="s">
        <v>455</v>
      </c>
      <c r="D3238" s="8"/>
      <c r="E3238" s="8"/>
      <c r="L3238" t="s">
        <v>563</v>
      </c>
      <c r="M3238" t="s">
        <v>478</v>
      </c>
      <c r="N3238" t="str">
        <f>Tabela_tudo[[#This Row],[Médico]]&amp;" ("&amp;Tabela_tudo[[#This Row],[Obs]]&amp;")"</f>
        <v>JU ()</v>
      </c>
    </row>
    <row r="3239" spans="1:14" x14ac:dyDescent="0.3">
      <c r="A3239" s="1">
        <v>45128</v>
      </c>
      <c r="B3239" t="s">
        <v>283</v>
      </c>
      <c r="C3239" t="s">
        <v>455</v>
      </c>
      <c r="D3239" s="8"/>
      <c r="E3239" s="8"/>
      <c r="L3239" t="s">
        <v>563</v>
      </c>
      <c r="M3239" t="s">
        <v>478</v>
      </c>
      <c r="N3239" t="str">
        <f>Tabela_tudo[[#This Row],[Médico]]&amp;" ("&amp;Tabela_tudo[[#This Row],[Obs]]&amp;")"</f>
        <v>JU ()</v>
      </c>
    </row>
    <row r="3240" spans="1:14" x14ac:dyDescent="0.3">
      <c r="A3240" s="1">
        <v>45065</v>
      </c>
      <c r="B3240" t="s">
        <v>283</v>
      </c>
      <c r="C3240" t="s">
        <v>455</v>
      </c>
      <c r="D3240" s="8"/>
      <c r="E3240" s="8"/>
      <c r="L3240" t="s">
        <v>563</v>
      </c>
      <c r="M3240" t="s">
        <v>478</v>
      </c>
      <c r="N3240" t="str">
        <f>Tabela_tudo[[#This Row],[Médico]]&amp;" ("&amp;Tabela_tudo[[#This Row],[Obs]]&amp;")"</f>
        <v>JU ()</v>
      </c>
    </row>
    <row r="3241" spans="1:14" x14ac:dyDescent="0.3">
      <c r="A3241" s="1">
        <v>45058</v>
      </c>
      <c r="B3241" t="s">
        <v>283</v>
      </c>
      <c r="C3241" t="s">
        <v>455</v>
      </c>
      <c r="D3241" s="8"/>
      <c r="E3241" s="8"/>
      <c r="L3241" t="s">
        <v>563</v>
      </c>
      <c r="M3241" t="s">
        <v>478</v>
      </c>
      <c r="N3241" t="str">
        <f>Tabela_tudo[[#This Row],[Médico]]&amp;" ("&amp;Tabela_tudo[[#This Row],[Obs]]&amp;")"</f>
        <v>JU ()</v>
      </c>
    </row>
    <row r="3242" spans="1:14" x14ac:dyDescent="0.3">
      <c r="A3242" s="1">
        <v>45051</v>
      </c>
      <c r="B3242" t="s">
        <v>283</v>
      </c>
      <c r="C3242" t="s">
        <v>455</v>
      </c>
      <c r="D3242" s="8"/>
      <c r="E3242" s="8"/>
      <c r="L3242" t="s">
        <v>563</v>
      </c>
      <c r="M3242" t="s">
        <v>478</v>
      </c>
      <c r="N3242" t="str">
        <f>Tabela_tudo[[#This Row],[Médico]]&amp;" ("&amp;Tabela_tudo[[#This Row],[Obs]]&amp;")"</f>
        <v>JU ()</v>
      </c>
    </row>
    <row r="3243" spans="1:14" x14ac:dyDescent="0.3">
      <c r="A3243" s="1">
        <v>45072</v>
      </c>
      <c r="B3243" t="s">
        <v>283</v>
      </c>
      <c r="C3243" t="s">
        <v>455</v>
      </c>
      <c r="D3243" s="8"/>
      <c r="E3243" s="8"/>
      <c r="L3243" t="s">
        <v>563</v>
      </c>
      <c r="M3243" t="s">
        <v>478</v>
      </c>
      <c r="N3243" t="str">
        <f>Tabela_tudo[[#This Row],[Médico]]&amp;" ("&amp;Tabela_tudo[[#This Row],[Obs]]&amp;")"</f>
        <v>JU ()</v>
      </c>
    </row>
    <row r="3244" spans="1:14" x14ac:dyDescent="0.3">
      <c r="A3244" s="1">
        <v>45093</v>
      </c>
      <c r="B3244" t="s">
        <v>283</v>
      </c>
      <c r="C3244" t="s">
        <v>455</v>
      </c>
      <c r="D3244" s="8"/>
      <c r="E3244" s="8"/>
      <c r="L3244" t="s">
        <v>563</v>
      </c>
      <c r="M3244" t="s">
        <v>478</v>
      </c>
      <c r="N3244" t="str">
        <f>Tabela_tudo[[#This Row],[Médico]]&amp;" ("&amp;Tabela_tudo[[#This Row],[Obs]]&amp;")"</f>
        <v>JU ()</v>
      </c>
    </row>
    <row r="3245" spans="1:14" x14ac:dyDescent="0.3">
      <c r="A3245" s="1">
        <v>45086</v>
      </c>
      <c r="B3245" t="s">
        <v>283</v>
      </c>
      <c r="C3245" t="s">
        <v>455</v>
      </c>
      <c r="D3245" s="8"/>
      <c r="E3245" s="8"/>
      <c r="L3245" t="s">
        <v>563</v>
      </c>
      <c r="M3245" t="s">
        <v>478</v>
      </c>
      <c r="N3245" t="str">
        <f>Tabela_tudo[[#This Row],[Médico]]&amp;" ("&amp;Tabela_tudo[[#This Row],[Obs]]&amp;")"</f>
        <v>JU ()</v>
      </c>
    </row>
    <row r="3246" spans="1:14" x14ac:dyDescent="0.3">
      <c r="A3246" s="1">
        <v>45079</v>
      </c>
      <c r="B3246" t="s">
        <v>283</v>
      </c>
      <c r="C3246" t="s">
        <v>455</v>
      </c>
      <c r="D3246" s="8"/>
      <c r="E3246" s="8"/>
      <c r="L3246" t="s">
        <v>563</v>
      </c>
      <c r="M3246" t="s">
        <v>478</v>
      </c>
      <c r="N3246" t="str">
        <f>Tabela_tudo[[#This Row],[Médico]]&amp;" ("&amp;Tabela_tudo[[#This Row],[Obs]]&amp;")"</f>
        <v>JU ()</v>
      </c>
    </row>
    <row r="3247" spans="1:14" x14ac:dyDescent="0.3">
      <c r="A3247" s="1">
        <v>45359</v>
      </c>
      <c r="B3247" t="s">
        <v>283</v>
      </c>
      <c r="C3247" t="s">
        <v>455</v>
      </c>
      <c r="D3247" s="8"/>
      <c r="E3247" s="8"/>
      <c r="L3247" t="s">
        <v>563</v>
      </c>
      <c r="M3247" t="s">
        <v>478</v>
      </c>
      <c r="N3247" t="str">
        <f>Tabela_tudo[[#This Row],[Médico]]&amp;" ("&amp;Tabela_tudo[[#This Row],[Obs]]&amp;")"</f>
        <v>JU ()</v>
      </c>
    </row>
    <row r="3248" spans="1:14" x14ac:dyDescent="0.3">
      <c r="A3248" s="1">
        <v>45639</v>
      </c>
      <c r="B3248" t="s">
        <v>283</v>
      </c>
      <c r="C3248" t="s">
        <v>455</v>
      </c>
      <c r="D3248" s="8"/>
      <c r="E3248" s="8"/>
      <c r="L3248" t="s">
        <v>563</v>
      </c>
      <c r="M3248" t="s">
        <v>478</v>
      </c>
      <c r="N3248" t="str">
        <f>Tabela_tudo[[#This Row],[Médico]]&amp;" ("&amp;Tabela_tudo[[#This Row],[Obs]]&amp;")"</f>
        <v>JU ()</v>
      </c>
    </row>
    <row r="3249" spans="1:14" x14ac:dyDescent="0.3">
      <c r="A3249" s="1">
        <v>45632</v>
      </c>
      <c r="B3249" t="s">
        <v>283</v>
      </c>
      <c r="C3249" t="s">
        <v>455</v>
      </c>
      <c r="D3249" s="8"/>
      <c r="E3249" s="8"/>
      <c r="L3249" t="s">
        <v>563</v>
      </c>
      <c r="M3249" t="s">
        <v>478</v>
      </c>
      <c r="N3249" t="str">
        <f>Tabela_tudo[[#This Row],[Médico]]&amp;" ("&amp;Tabela_tudo[[#This Row],[Obs]]&amp;")"</f>
        <v>JU ()</v>
      </c>
    </row>
    <row r="3250" spans="1:14" x14ac:dyDescent="0.3">
      <c r="A3250" s="1">
        <v>45625</v>
      </c>
      <c r="B3250" t="s">
        <v>283</v>
      </c>
      <c r="C3250" t="s">
        <v>455</v>
      </c>
      <c r="D3250" s="8"/>
      <c r="E3250" s="8"/>
      <c r="L3250" t="s">
        <v>563</v>
      </c>
      <c r="M3250" t="s">
        <v>478</v>
      </c>
      <c r="N3250" t="str">
        <f>Tabela_tudo[[#This Row],[Médico]]&amp;" ("&amp;Tabela_tudo[[#This Row],[Obs]]&amp;")"</f>
        <v>JU ()</v>
      </c>
    </row>
    <row r="3251" spans="1:14" x14ac:dyDescent="0.3">
      <c r="A3251" s="1">
        <v>45646</v>
      </c>
      <c r="B3251" t="s">
        <v>283</v>
      </c>
      <c r="C3251" t="s">
        <v>455</v>
      </c>
      <c r="D3251" s="8"/>
      <c r="E3251" s="8"/>
      <c r="L3251" t="s">
        <v>563</v>
      </c>
      <c r="M3251" t="s">
        <v>478</v>
      </c>
      <c r="N3251" t="str">
        <f>Tabela_tudo[[#This Row],[Médico]]&amp;" ("&amp;Tabela_tudo[[#This Row],[Obs]]&amp;")"</f>
        <v>JU ()</v>
      </c>
    </row>
    <row r="3252" spans="1:14" x14ac:dyDescent="0.3">
      <c r="A3252" s="1">
        <v>44939</v>
      </c>
      <c r="B3252" t="s">
        <v>214</v>
      </c>
      <c r="C3252" t="s">
        <v>455</v>
      </c>
      <c r="D3252" s="8"/>
      <c r="E3252" s="8"/>
      <c r="L3252" t="s">
        <v>563</v>
      </c>
      <c r="M3252" t="s">
        <v>478</v>
      </c>
      <c r="N3252" t="str">
        <f>Tabela_tudo[[#This Row],[Médico]]&amp;" ("&amp;Tabela_tudo[[#This Row],[Obs]]&amp;")"</f>
        <v>IFA ()</v>
      </c>
    </row>
    <row r="3253" spans="1:14" x14ac:dyDescent="0.3">
      <c r="A3253" s="1">
        <v>44932</v>
      </c>
      <c r="B3253" t="s">
        <v>214</v>
      </c>
      <c r="C3253" t="s">
        <v>455</v>
      </c>
      <c r="D3253" s="8"/>
      <c r="E3253" s="8"/>
      <c r="L3253" t="s">
        <v>563</v>
      </c>
      <c r="M3253" t="s">
        <v>478</v>
      </c>
      <c r="N3253" t="str">
        <f>Tabela_tudo[[#This Row],[Médico]]&amp;" ("&amp;Tabela_tudo[[#This Row],[Obs]]&amp;")"</f>
        <v>IFA ()</v>
      </c>
    </row>
    <row r="3254" spans="1:14" x14ac:dyDescent="0.3">
      <c r="A3254" s="1">
        <v>45653</v>
      </c>
      <c r="B3254" t="s">
        <v>283</v>
      </c>
      <c r="C3254" t="s">
        <v>455</v>
      </c>
      <c r="D3254" s="8"/>
      <c r="E3254" s="8"/>
      <c r="L3254" t="s">
        <v>563</v>
      </c>
      <c r="M3254" t="s">
        <v>478</v>
      </c>
      <c r="N3254" t="str">
        <f>Tabela_tudo[[#This Row],[Médico]]&amp;" ("&amp;Tabela_tudo[[#This Row],[Obs]]&amp;")"</f>
        <v>JU ()</v>
      </c>
    </row>
    <row r="3255" spans="1:14" x14ac:dyDescent="0.3">
      <c r="A3255" s="1">
        <v>45590</v>
      </c>
      <c r="B3255" t="s">
        <v>283</v>
      </c>
      <c r="C3255" t="s">
        <v>455</v>
      </c>
      <c r="D3255" s="8"/>
      <c r="E3255" s="8"/>
      <c r="L3255" t="s">
        <v>563</v>
      </c>
      <c r="M3255" t="s">
        <v>478</v>
      </c>
      <c r="N3255" t="str">
        <f>Tabela_tudo[[#This Row],[Médico]]&amp;" ("&amp;Tabela_tudo[[#This Row],[Obs]]&amp;")"</f>
        <v>JU ()</v>
      </c>
    </row>
    <row r="3256" spans="1:14" x14ac:dyDescent="0.3">
      <c r="A3256" s="1">
        <v>45583</v>
      </c>
      <c r="B3256" t="s">
        <v>283</v>
      </c>
      <c r="C3256" t="s">
        <v>455</v>
      </c>
      <c r="D3256" s="8"/>
      <c r="E3256" s="8"/>
      <c r="L3256" t="s">
        <v>563</v>
      </c>
      <c r="M3256" t="s">
        <v>478</v>
      </c>
      <c r="N3256" t="str">
        <f>Tabela_tudo[[#This Row],[Médico]]&amp;" ("&amp;Tabela_tudo[[#This Row],[Obs]]&amp;")"</f>
        <v>JU ()</v>
      </c>
    </row>
    <row r="3257" spans="1:14" x14ac:dyDescent="0.3">
      <c r="A3257" s="1">
        <v>45576</v>
      </c>
      <c r="B3257" t="s">
        <v>283</v>
      </c>
      <c r="C3257" t="s">
        <v>455</v>
      </c>
      <c r="D3257" s="8"/>
      <c r="E3257" s="8"/>
      <c r="L3257" t="s">
        <v>563</v>
      </c>
      <c r="M3257" t="s">
        <v>478</v>
      </c>
      <c r="N3257" t="str">
        <f>Tabela_tudo[[#This Row],[Médico]]&amp;" ("&amp;Tabela_tudo[[#This Row],[Obs]]&amp;")"</f>
        <v>JU ()</v>
      </c>
    </row>
    <row r="3258" spans="1:14" x14ac:dyDescent="0.3">
      <c r="A3258" s="1">
        <v>45597</v>
      </c>
      <c r="B3258" t="s">
        <v>283</v>
      </c>
      <c r="C3258" t="s">
        <v>455</v>
      </c>
      <c r="D3258" s="8"/>
      <c r="E3258" s="8"/>
      <c r="L3258" t="s">
        <v>563</v>
      </c>
      <c r="M3258" t="s">
        <v>478</v>
      </c>
      <c r="N3258" t="str">
        <f>Tabela_tudo[[#This Row],[Médico]]&amp;" ("&amp;Tabela_tudo[[#This Row],[Obs]]&amp;")"</f>
        <v>JU ()</v>
      </c>
    </row>
    <row r="3259" spans="1:14" x14ac:dyDescent="0.3">
      <c r="A3259" s="1">
        <v>45618</v>
      </c>
      <c r="B3259" t="s">
        <v>283</v>
      </c>
      <c r="C3259" t="s">
        <v>455</v>
      </c>
      <c r="D3259" s="8"/>
      <c r="E3259" s="8"/>
      <c r="L3259" t="s">
        <v>563</v>
      </c>
      <c r="M3259" t="s">
        <v>478</v>
      </c>
      <c r="N3259" t="str">
        <f>Tabela_tudo[[#This Row],[Médico]]&amp;" ("&amp;Tabela_tudo[[#This Row],[Obs]]&amp;")"</f>
        <v>JU ()</v>
      </c>
    </row>
    <row r="3260" spans="1:14" x14ac:dyDescent="0.3">
      <c r="A3260" s="1">
        <v>45611</v>
      </c>
      <c r="B3260" t="s">
        <v>283</v>
      </c>
      <c r="C3260" t="s">
        <v>455</v>
      </c>
      <c r="D3260" s="8"/>
      <c r="E3260" s="8"/>
      <c r="L3260" t="s">
        <v>563</v>
      </c>
      <c r="M3260" t="s">
        <v>478</v>
      </c>
      <c r="N3260" t="str">
        <f>Tabela_tudo[[#This Row],[Médico]]&amp;" ("&amp;Tabela_tudo[[#This Row],[Obs]]&amp;")"</f>
        <v>JU ()</v>
      </c>
    </row>
    <row r="3261" spans="1:14" x14ac:dyDescent="0.3">
      <c r="A3261" s="1">
        <v>45604</v>
      </c>
      <c r="B3261" t="s">
        <v>283</v>
      </c>
      <c r="C3261" t="s">
        <v>455</v>
      </c>
      <c r="D3261" s="8"/>
      <c r="E3261" s="8"/>
      <c r="L3261" t="s">
        <v>563</v>
      </c>
      <c r="M3261" t="s">
        <v>478</v>
      </c>
      <c r="N3261" t="str">
        <f>Tabela_tudo[[#This Row],[Médico]]&amp;" ("&amp;Tabela_tudo[[#This Row],[Obs]]&amp;")"</f>
        <v>JU ()</v>
      </c>
    </row>
    <row r="3262" spans="1:14" x14ac:dyDescent="0.3">
      <c r="A3262" s="1">
        <v>44946</v>
      </c>
      <c r="B3262" t="s">
        <v>214</v>
      </c>
      <c r="C3262" t="s">
        <v>455</v>
      </c>
      <c r="D3262" s="8"/>
      <c r="E3262" s="8"/>
      <c r="L3262" t="s">
        <v>563</v>
      </c>
      <c r="M3262" t="s">
        <v>478</v>
      </c>
      <c r="N3262" t="str">
        <f>Tabela_tudo[[#This Row],[Médico]]&amp;" ("&amp;Tabela_tudo[[#This Row],[Obs]]&amp;")"</f>
        <v>IFA ()</v>
      </c>
    </row>
    <row r="3263" spans="1:14" x14ac:dyDescent="0.3">
      <c r="A3263" s="1">
        <v>45016</v>
      </c>
      <c r="B3263" t="s">
        <v>214</v>
      </c>
      <c r="C3263" t="s">
        <v>455</v>
      </c>
      <c r="D3263" s="8"/>
      <c r="E3263" s="8"/>
      <c r="L3263" t="s">
        <v>563</v>
      </c>
      <c r="M3263" t="s">
        <v>478</v>
      </c>
      <c r="N3263" t="str">
        <f>Tabela_tudo[[#This Row],[Médico]]&amp;" ("&amp;Tabela_tudo[[#This Row],[Obs]]&amp;")"</f>
        <v>IFA ()</v>
      </c>
    </row>
    <row r="3264" spans="1:14" x14ac:dyDescent="0.3">
      <c r="A3264" s="1">
        <v>45009</v>
      </c>
      <c r="B3264" t="s">
        <v>214</v>
      </c>
      <c r="C3264" t="s">
        <v>455</v>
      </c>
      <c r="D3264" s="8"/>
      <c r="E3264" s="8"/>
      <c r="L3264" t="s">
        <v>563</v>
      </c>
      <c r="M3264" t="s">
        <v>478</v>
      </c>
      <c r="N3264" t="str">
        <f>Tabela_tudo[[#This Row],[Médico]]&amp;" ("&amp;Tabela_tudo[[#This Row],[Obs]]&amp;")"</f>
        <v>IFA ()</v>
      </c>
    </row>
    <row r="3265" spans="1:14" x14ac:dyDescent="0.3">
      <c r="A3265" s="1">
        <v>45002</v>
      </c>
      <c r="B3265" t="s">
        <v>214</v>
      </c>
      <c r="C3265" t="s">
        <v>455</v>
      </c>
      <c r="D3265" s="8"/>
      <c r="E3265" s="8"/>
      <c r="L3265" t="s">
        <v>563</v>
      </c>
      <c r="M3265" t="s">
        <v>478</v>
      </c>
      <c r="N3265" t="str">
        <f>Tabela_tudo[[#This Row],[Médico]]&amp;" ("&amp;Tabela_tudo[[#This Row],[Obs]]&amp;")"</f>
        <v>IFA ()</v>
      </c>
    </row>
    <row r="3266" spans="1:14" x14ac:dyDescent="0.3">
      <c r="A3266" s="1">
        <v>45023</v>
      </c>
      <c r="B3266" t="s">
        <v>214</v>
      </c>
      <c r="C3266" t="s">
        <v>455</v>
      </c>
      <c r="D3266" s="8"/>
      <c r="E3266" s="8"/>
      <c r="L3266" t="s">
        <v>563</v>
      </c>
      <c r="M3266" t="s">
        <v>478</v>
      </c>
      <c r="N3266" t="str">
        <f>Tabela_tudo[[#This Row],[Médico]]&amp;" ("&amp;Tabela_tudo[[#This Row],[Obs]]&amp;")"</f>
        <v>IFA ()</v>
      </c>
    </row>
    <row r="3267" spans="1:14" x14ac:dyDescent="0.3">
      <c r="A3267" s="1">
        <v>45044</v>
      </c>
      <c r="B3267" t="s">
        <v>214</v>
      </c>
      <c r="C3267" t="s">
        <v>455</v>
      </c>
      <c r="D3267" s="8"/>
      <c r="E3267" s="8"/>
      <c r="L3267" t="s">
        <v>563</v>
      </c>
      <c r="M3267" t="s">
        <v>478</v>
      </c>
      <c r="N3267" t="str">
        <f>Tabela_tudo[[#This Row],[Médico]]&amp;" ("&amp;Tabela_tudo[[#This Row],[Obs]]&amp;")"</f>
        <v>IFA ()</v>
      </c>
    </row>
    <row r="3268" spans="1:14" x14ac:dyDescent="0.3">
      <c r="A3268" s="1">
        <v>45037</v>
      </c>
      <c r="B3268" t="s">
        <v>214</v>
      </c>
      <c r="C3268" t="s">
        <v>455</v>
      </c>
      <c r="D3268" s="8"/>
      <c r="E3268" s="8"/>
      <c r="L3268" t="s">
        <v>563</v>
      </c>
      <c r="M3268" t="s">
        <v>478</v>
      </c>
      <c r="N3268" t="str">
        <f>Tabela_tudo[[#This Row],[Médico]]&amp;" ("&amp;Tabela_tudo[[#This Row],[Obs]]&amp;")"</f>
        <v>IFA ()</v>
      </c>
    </row>
    <row r="3269" spans="1:14" x14ac:dyDescent="0.3">
      <c r="A3269" s="1">
        <v>45030</v>
      </c>
      <c r="B3269" t="s">
        <v>214</v>
      </c>
      <c r="C3269" t="s">
        <v>455</v>
      </c>
      <c r="D3269" s="8"/>
      <c r="E3269" s="8"/>
      <c r="L3269" t="s">
        <v>563</v>
      </c>
      <c r="M3269" t="s">
        <v>478</v>
      </c>
      <c r="N3269" t="str">
        <f>Tabela_tudo[[#This Row],[Médico]]&amp;" ("&amp;Tabela_tudo[[#This Row],[Obs]]&amp;")"</f>
        <v>IFA ()</v>
      </c>
    </row>
    <row r="3270" spans="1:14" x14ac:dyDescent="0.3">
      <c r="A3270" s="1">
        <v>44967</v>
      </c>
      <c r="B3270" t="s">
        <v>214</v>
      </c>
      <c r="C3270" t="s">
        <v>455</v>
      </c>
      <c r="D3270" s="8"/>
      <c r="E3270" s="8"/>
      <c r="L3270" t="s">
        <v>563</v>
      </c>
      <c r="M3270" t="s">
        <v>478</v>
      </c>
      <c r="N3270" t="str">
        <f>Tabela_tudo[[#This Row],[Médico]]&amp;" ("&amp;Tabela_tudo[[#This Row],[Obs]]&amp;")"</f>
        <v>IFA ()</v>
      </c>
    </row>
    <row r="3271" spans="1:14" x14ac:dyDescent="0.3">
      <c r="A3271" s="1">
        <v>44960</v>
      </c>
      <c r="B3271" t="s">
        <v>214</v>
      </c>
      <c r="C3271" t="s">
        <v>455</v>
      </c>
      <c r="D3271" s="8"/>
      <c r="E3271" s="8"/>
      <c r="L3271" t="s">
        <v>563</v>
      </c>
      <c r="M3271" t="s">
        <v>478</v>
      </c>
      <c r="N3271" t="str">
        <f>Tabela_tudo[[#This Row],[Médico]]&amp;" ("&amp;Tabela_tudo[[#This Row],[Obs]]&amp;")"</f>
        <v>IFA ()</v>
      </c>
    </row>
    <row r="3272" spans="1:14" x14ac:dyDescent="0.3">
      <c r="A3272" s="1">
        <v>44953</v>
      </c>
      <c r="B3272" t="s">
        <v>214</v>
      </c>
      <c r="C3272" t="s">
        <v>455</v>
      </c>
      <c r="D3272" s="8"/>
      <c r="E3272" s="8"/>
      <c r="L3272" t="s">
        <v>563</v>
      </c>
      <c r="M3272" t="s">
        <v>478</v>
      </c>
      <c r="N3272" t="str">
        <f>Tabela_tudo[[#This Row],[Médico]]&amp;" ("&amp;Tabela_tudo[[#This Row],[Obs]]&amp;")"</f>
        <v>IFA ()</v>
      </c>
    </row>
    <row r="3273" spans="1:14" x14ac:dyDescent="0.3">
      <c r="A3273" s="1">
        <v>44974</v>
      </c>
      <c r="B3273" t="s">
        <v>214</v>
      </c>
      <c r="C3273" t="s">
        <v>455</v>
      </c>
      <c r="D3273" s="8"/>
      <c r="E3273" s="8"/>
      <c r="L3273" t="s">
        <v>563</v>
      </c>
      <c r="M3273" t="s">
        <v>478</v>
      </c>
      <c r="N3273" t="str">
        <f>Tabela_tudo[[#This Row],[Médico]]&amp;" ("&amp;Tabela_tudo[[#This Row],[Obs]]&amp;")"</f>
        <v>IFA ()</v>
      </c>
    </row>
    <row r="3274" spans="1:14" x14ac:dyDescent="0.3">
      <c r="A3274" s="1">
        <v>44995</v>
      </c>
      <c r="B3274" t="s">
        <v>214</v>
      </c>
      <c r="C3274" t="s">
        <v>455</v>
      </c>
      <c r="D3274" s="8"/>
      <c r="E3274" s="8"/>
      <c r="L3274" t="s">
        <v>563</v>
      </c>
      <c r="M3274" t="s">
        <v>478</v>
      </c>
      <c r="N3274" t="str">
        <f>Tabela_tudo[[#This Row],[Médico]]&amp;" ("&amp;Tabela_tudo[[#This Row],[Obs]]&amp;")"</f>
        <v>IFA ()</v>
      </c>
    </row>
    <row r="3275" spans="1:14" x14ac:dyDescent="0.3">
      <c r="A3275" s="1">
        <v>44988</v>
      </c>
      <c r="B3275" t="s">
        <v>214</v>
      </c>
      <c r="C3275" t="s">
        <v>455</v>
      </c>
      <c r="D3275" s="8"/>
      <c r="E3275" s="8"/>
      <c r="L3275" t="s">
        <v>563</v>
      </c>
      <c r="M3275" t="s">
        <v>478</v>
      </c>
      <c r="N3275" t="str">
        <f>Tabela_tudo[[#This Row],[Médico]]&amp;" ("&amp;Tabela_tudo[[#This Row],[Obs]]&amp;")"</f>
        <v>IFA ()</v>
      </c>
    </row>
    <row r="3276" spans="1:14" x14ac:dyDescent="0.3">
      <c r="A3276" s="1">
        <v>44981</v>
      </c>
      <c r="B3276" t="s">
        <v>214</v>
      </c>
      <c r="C3276" t="s">
        <v>455</v>
      </c>
      <c r="D3276" s="8"/>
      <c r="E3276" s="8"/>
      <c r="L3276" t="s">
        <v>563</v>
      </c>
      <c r="M3276" t="s">
        <v>478</v>
      </c>
      <c r="N3276" t="str">
        <f>Tabela_tudo[[#This Row],[Médico]]&amp;" ("&amp;Tabela_tudo[[#This Row],[Obs]]&amp;")"</f>
        <v>IFA ()</v>
      </c>
    </row>
    <row r="3277" spans="1:14" x14ac:dyDescent="0.3">
      <c r="A3277" s="1">
        <v>45569</v>
      </c>
      <c r="B3277" t="s">
        <v>283</v>
      </c>
      <c r="C3277" t="s">
        <v>455</v>
      </c>
      <c r="D3277" s="8"/>
      <c r="E3277" s="8"/>
      <c r="L3277" t="s">
        <v>563</v>
      </c>
      <c r="M3277" t="s">
        <v>478</v>
      </c>
      <c r="N3277" t="str">
        <f>Tabela_tudo[[#This Row],[Médico]]&amp;" ("&amp;Tabela_tudo[[#This Row],[Obs]]&amp;")"</f>
        <v>JU ()</v>
      </c>
    </row>
    <row r="3278" spans="1:14" x14ac:dyDescent="0.3">
      <c r="A3278" s="1">
        <v>45429</v>
      </c>
      <c r="B3278" t="s">
        <v>283</v>
      </c>
      <c r="C3278" t="s">
        <v>455</v>
      </c>
      <c r="D3278" s="8"/>
      <c r="E3278" s="8"/>
      <c r="L3278" t="s">
        <v>563</v>
      </c>
      <c r="M3278" t="s">
        <v>478</v>
      </c>
      <c r="N3278" t="str">
        <f>Tabela_tudo[[#This Row],[Médico]]&amp;" ("&amp;Tabela_tudo[[#This Row],[Obs]]&amp;")"</f>
        <v>JU ()</v>
      </c>
    </row>
    <row r="3279" spans="1:14" x14ac:dyDescent="0.3">
      <c r="A3279" s="1">
        <v>45422</v>
      </c>
      <c r="B3279" t="s">
        <v>283</v>
      </c>
      <c r="C3279" t="s">
        <v>455</v>
      </c>
      <c r="D3279" s="8"/>
      <c r="E3279" s="8"/>
      <c r="L3279" t="s">
        <v>563</v>
      </c>
      <c r="M3279" t="s">
        <v>478</v>
      </c>
      <c r="N3279" t="str">
        <f>Tabela_tudo[[#This Row],[Médico]]&amp;" ("&amp;Tabela_tudo[[#This Row],[Obs]]&amp;")"</f>
        <v>JU ()</v>
      </c>
    </row>
    <row r="3280" spans="1:14" x14ac:dyDescent="0.3">
      <c r="A3280" s="1">
        <v>45415</v>
      </c>
      <c r="B3280" t="s">
        <v>283</v>
      </c>
      <c r="C3280" t="s">
        <v>455</v>
      </c>
      <c r="D3280" s="8"/>
      <c r="E3280" s="8"/>
      <c r="L3280" t="s">
        <v>563</v>
      </c>
      <c r="M3280" t="s">
        <v>478</v>
      </c>
      <c r="N3280" t="str">
        <f>Tabela_tudo[[#This Row],[Médico]]&amp;" ("&amp;Tabela_tudo[[#This Row],[Obs]]&amp;")"</f>
        <v>JU ()</v>
      </c>
    </row>
    <row r="3281" spans="1:14" x14ac:dyDescent="0.3">
      <c r="A3281" s="1">
        <v>45436</v>
      </c>
      <c r="B3281" t="s">
        <v>283</v>
      </c>
      <c r="C3281" t="s">
        <v>455</v>
      </c>
      <c r="D3281" s="8"/>
      <c r="E3281" s="8"/>
      <c r="L3281" t="s">
        <v>563</v>
      </c>
      <c r="M3281" t="s">
        <v>478</v>
      </c>
      <c r="N3281" t="str">
        <f>Tabela_tudo[[#This Row],[Médico]]&amp;" ("&amp;Tabela_tudo[[#This Row],[Obs]]&amp;")"</f>
        <v>JU ()</v>
      </c>
    </row>
    <row r="3282" spans="1:14" x14ac:dyDescent="0.3">
      <c r="A3282" s="1">
        <v>45457</v>
      </c>
      <c r="B3282" t="s">
        <v>283</v>
      </c>
      <c r="C3282" t="s">
        <v>455</v>
      </c>
      <c r="D3282" s="8"/>
      <c r="E3282" s="8"/>
      <c r="L3282" t="s">
        <v>563</v>
      </c>
      <c r="M3282" t="s">
        <v>478</v>
      </c>
      <c r="N3282" t="str">
        <f>Tabela_tudo[[#This Row],[Médico]]&amp;" ("&amp;Tabela_tudo[[#This Row],[Obs]]&amp;")"</f>
        <v>JU ()</v>
      </c>
    </row>
    <row r="3283" spans="1:14" x14ac:dyDescent="0.3">
      <c r="A3283" s="1">
        <v>45450</v>
      </c>
      <c r="B3283" t="s">
        <v>283</v>
      </c>
      <c r="C3283" t="s">
        <v>455</v>
      </c>
      <c r="D3283" s="8"/>
      <c r="E3283" s="8"/>
      <c r="L3283" t="s">
        <v>563</v>
      </c>
      <c r="M3283" t="s">
        <v>478</v>
      </c>
      <c r="N3283" t="str">
        <f>Tabela_tudo[[#This Row],[Médico]]&amp;" ("&amp;Tabela_tudo[[#This Row],[Obs]]&amp;")"</f>
        <v>JU ()</v>
      </c>
    </row>
    <row r="3284" spans="1:14" x14ac:dyDescent="0.3">
      <c r="A3284" s="1">
        <v>45443</v>
      </c>
      <c r="B3284" t="s">
        <v>283</v>
      </c>
      <c r="C3284" t="s">
        <v>455</v>
      </c>
      <c r="D3284" s="8"/>
      <c r="E3284" s="8"/>
      <c r="L3284" t="s">
        <v>563</v>
      </c>
      <c r="M3284" t="s">
        <v>478</v>
      </c>
      <c r="N3284" t="str">
        <f>Tabela_tudo[[#This Row],[Médico]]&amp;" ("&amp;Tabela_tudo[[#This Row],[Obs]]&amp;")"</f>
        <v>JU ()</v>
      </c>
    </row>
    <row r="3285" spans="1:14" x14ac:dyDescent="0.3">
      <c r="A3285" s="1">
        <v>45380</v>
      </c>
      <c r="B3285" t="s">
        <v>283</v>
      </c>
      <c r="C3285" t="s">
        <v>455</v>
      </c>
      <c r="D3285" s="8"/>
      <c r="E3285" s="8"/>
      <c r="L3285" t="s">
        <v>563</v>
      </c>
      <c r="M3285" t="s">
        <v>478</v>
      </c>
      <c r="N3285" t="str">
        <f>Tabela_tudo[[#This Row],[Médico]]&amp;" ("&amp;Tabela_tudo[[#This Row],[Obs]]&amp;")"</f>
        <v>JU ()</v>
      </c>
    </row>
    <row r="3286" spans="1:14" x14ac:dyDescent="0.3">
      <c r="A3286" s="1">
        <v>45373</v>
      </c>
      <c r="B3286" t="s">
        <v>283</v>
      </c>
      <c r="C3286" t="s">
        <v>455</v>
      </c>
      <c r="D3286" s="8"/>
      <c r="E3286" s="8"/>
      <c r="L3286" t="s">
        <v>563</v>
      </c>
      <c r="M3286" t="s">
        <v>478</v>
      </c>
      <c r="N3286" t="str">
        <f>Tabela_tudo[[#This Row],[Médico]]&amp;" ("&amp;Tabela_tudo[[#This Row],[Obs]]&amp;")"</f>
        <v>JU ()</v>
      </c>
    </row>
    <row r="3287" spans="1:14" x14ac:dyDescent="0.3">
      <c r="A3287" s="1">
        <v>45366</v>
      </c>
      <c r="B3287" t="s">
        <v>283</v>
      </c>
      <c r="C3287" t="s">
        <v>455</v>
      </c>
      <c r="D3287" s="8"/>
      <c r="E3287" s="8"/>
      <c r="L3287" t="s">
        <v>563</v>
      </c>
      <c r="M3287" t="s">
        <v>478</v>
      </c>
      <c r="N3287" t="str">
        <f>Tabela_tudo[[#This Row],[Médico]]&amp;" ("&amp;Tabela_tudo[[#This Row],[Obs]]&amp;")"</f>
        <v>JU ()</v>
      </c>
    </row>
    <row r="3288" spans="1:14" x14ac:dyDescent="0.3">
      <c r="A3288" s="1">
        <v>45387</v>
      </c>
      <c r="B3288" t="s">
        <v>283</v>
      </c>
      <c r="C3288" t="s">
        <v>455</v>
      </c>
      <c r="D3288" s="8"/>
      <c r="E3288" s="8"/>
      <c r="L3288" t="s">
        <v>563</v>
      </c>
      <c r="M3288" t="s">
        <v>478</v>
      </c>
      <c r="N3288" t="str">
        <f>Tabela_tudo[[#This Row],[Médico]]&amp;" ("&amp;Tabela_tudo[[#This Row],[Obs]]&amp;")"</f>
        <v>JU ()</v>
      </c>
    </row>
    <row r="3289" spans="1:14" x14ac:dyDescent="0.3">
      <c r="A3289" s="1">
        <v>45408</v>
      </c>
      <c r="B3289" t="s">
        <v>283</v>
      </c>
      <c r="C3289" t="s">
        <v>455</v>
      </c>
      <c r="D3289" s="8"/>
      <c r="E3289" s="8"/>
      <c r="L3289" t="s">
        <v>563</v>
      </c>
      <c r="M3289" t="s">
        <v>478</v>
      </c>
      <c r="N3289" t="str">
        <f>Tabela_tudo[[#This Row],[Médico]]&amp;" ("&amp;Tabela_tudo[[#This Row],[Obs]]&amp;")"</f>
        <v>JU ()</v>
      </c>
    </row>
    <row r="3290" spans="1:14" x14ac:dyDescent="0.3">
      <c r="A3290" s="1">
        <v>45401</v>
      </c>
      <c r="B3290" t="s">
        <v>283</v>
      </c>
      <c r="C3290" t="s">
        <v>455</v>
      </c>
      <c r="D3290" s="8"/>
      <c r="E3290" s="8"/>
      <c r="L3290" t="s">
        <v>563</v>
      </c>
      <c r="M3290" t="s">
        <v>478</v>
      </c>
      <c r="N3290" t="str">
        <f>Tabela_tudo[[#This Row],[Médico]]&amp;" ("&amp;Tabela_tudo[[#This Row],[Obs]]&amp;")"</f>
        <v>JU ()</v>
      </c>
    </row>
    <row r="3291" spans="1:14" x14ac:dyDescent="0.3">
      <c r="A3291" s="1">
        <v>45394</v>
      </c>
      <c r="B3291" t="s">
        <v>283</v>
      </c>
      <c r="C3291" t="s">
        <v>455</v>
      </c>
      <c r="D3291" s="8"/>
      <c r="E3291" s="8"/>
      <c r="L3291" t="s">
        <v>563</v>
      </c>
      <c r="M3291" t="s">
        <v>478</v>
      </c>
      <c r="N3291" t="str">
        <f>Tabela_tudo[[#This Row],[Médico]]&amp;" ("&amp;Tabela_tudo[[#This Row],[Obs]]&amp;")"</f>
        <v>JU ()</v>
      </c>
    </row>
    <row r="3292" spans="1:14" x14ac:dyDescent="0.3">
      <c r="A3292" s="1">
        <v>45464</v>
      </c>
      <c r="B3292" t="s">
        <v>283</v>
      </c>
      <c r="C3292" t="s">
        <v>455</v>
      </c>
      <c r="D3292" s="8"/>
      <c r="E3292" s="8"/>
      <c r="L3292" t="s">
        <v>563</v>
      </c>
      <c r="M3292" t="s">
        <v>478</v>
      </c>
      <c r="N3292" t="str">
        <f>Tabela_tudo[[#This Row],[Médico]]&amp;" ("&amp;Tabela_tudo[[#This Row],[Obs]]&amp;")"</f>
        <v>JU ()</v>
      </c>
    </row>
    <row r="3293" spans="1:14" x14ac:dyDescent="0.3">
      <c r="A3293" s="1">
        <v>45534</v>
      </c>
      <c r="B3293" t="s">
        <v>283</v>
      </c>
      <c r="C3293" t="s">
        <v>455</v>
      </c>
      <c r="D3293" s="8"/>
      <c r="E3293" s="8"/>
      <c r="L3293" t="s">
        <v>563</v>
      </c>
      <c r="M3293" t="s">
        <v>478</v>
      </c>
      <c r="N3293" t="str">
        <f>Tabela_tudo[[#This Row],[Médico]]&amp;" ("&amp;Tabela_tudo[[#This Row],[Obs]]&amp;")"</f>
        <v>JU ()</v>
      </c>
    </row>
    <row r="3294" spans="1:14" x14ac:dyDescent="0.3">
      <c r="A3294" s="1">
        <v>45527</v>
      </c>
      <c r="B3294" t="s">
        <v>283</v>
      </c>
      <c r="C3294" t="s">
        <v>455</v>
      </c>
      <c r="D3294" s="8"/>
      <c r="E3294" s="8"/>
      <c r="L3294" t="s">
        <v>563</v>
      </c>
      <c r="M3294" t="s">
        <v>478</v>
      </c>
      <c r="N3294" t="str">
        <f>Tabela_tudo[[#This Row],[Médico]]&amp;" ("&amp;Tabela_tudo[[#This Row],[Obs]]&amp;")"</f>
        <v>JU ()</v>
      </c>
    </row>
    <row r="3295" spans="1:14" x14ac:dyDescent="0.3">
      <c r="A3295" s="1">
        <v>45520</v>
      </c>
      <c r="B3295" t="s">
        <v>283</v>
      </c>
      <c r="C3295" t="s">
        <v>455</v>
      </c>
      <c r="D3295" s="8"/>
      <c r="E3295" s="8"/>
      <c r="L3295" t="s">
        <v>563</v>
      </c>
      <c r="M3295" t="s">
        <v>478</v>
      </c>
      <c r="N3295" t="str">
        <f>Tabela_tudo[[#This Row],[Médico]]&amp;" ("&amp;Tabela_tudo[[#This Row],[Obs]]&amp;")"</f>
        <v>JU ()</v>
      </c>
    </row>
    <row r="3296" spans="1:14" x14ac:dyDescent="0.3">
      <c r="A3296" s="1">
        <v>45541</v>
      </c>
      <c r="B3296" t="s">
        <v>283</v>
      </c>
      <c r="C3296" t="s">
        <v>455</v>
      </c>
      <c r="D3296" s="8"/>
      <c r="E3296" s="8"/>
      <c r="L3296" t="s">
        <v>563</v>
      </c>
      <c r="M3296" t="s">
        <v>478</v>
      </c>
      <c r="N3296" t="str">
        <f>Tabela_tudo[[#This Row],[Médico]]&amp;" ("&amp;Tabela_tudo[[#This Row],[Obs]]&amp;")"</f>
        <v>JU ()</v>
      </c>
    </row>
    <row r="3297" spans="1:14" x14ac:dyDescent="0.3">
      <c r="A3297" s="1">
        <v>45562</v>
      </c>
      <c r="B3297" t="s">
        <v>283</v>
      </c>
      <c r="C3297" t="s">
        <v>455</v>
      </c>
      <c r="D3297" s="8"/>
      <c r="E3297" s="8"/>
      <c r="L3297" t="s">
        <v>563</v>
      </c>
      <c r="M3297" t="s">
        <v>478</v>
      </c>
      <c r="N3297" t="str">
        <f>Tabela_tudo[[#This Row],[Médico]]&amp;" ("&amp;Tabela_tudo[[#This Row],[Obs]]&amp;")"</f>
        <v>JU ()</v>
      </c>
    </row>
    <row r="3298" spans="1:14" x14ac:dyDescent="0.3">
      <c r="A3298" s="1">
        <v>45555</v>
      </c>
      <c r="B3298" t="s">
        <v>283</v>
      </c>
      <c r="C3298" t="s">
        <v>455</v>
      </c>
      <c r="D3298" s="8"/>
      <c r="E3298" s="8"/>
      <c r="L3298" t="s">
        <v>563</v>
      </c>
      <c r="M3298" t="s">
        <v>478</v>
      </c>
      <c r="N3298" t="str">
        <f>Tabela_tudo[[#This Row],[Médico]]&amp;" ("&amp;Tabela_tudo[[#This Row],[Obs]]&amp;")"</f>
        <v>JU ()</v>
      </c>
    </row>
    <row r="3299" spans="1:14" x14ac:dyDescent="0.3">
      <c r="A3299" s="1">
        <v>45548</v>
      </c>
      <c r="B3299" t="s">
        <v>283</v>
      </c>
      <c r="C3299" t="s">
        <v>455</v>
      </c>
      <c r="D3299" s="8"/>
      <c r="E3299" s="8"/>
      <c r="L3299" t="s">
        <v>563</v>
      </c>
      <c r="M3299" t="s">
        <v>478</v>
      </c>
      <c r="N3299" t="str">
        <f>Tabela_tudo[[#This Row],[Médico]]&amp;" ("&amp;Tabela_tudo[[#This Row],[Obs]]&amp;")"</f>
        <v>JU ()</v>
      </c>
    </row>
    <row r="3300" spans="1:14" x14ac:dyDescent="0.3">
      <c r="A3300" s="1">
        <v>45485</v>
      </c>
      <c r="B3300" t="s">
        <v>283</v>
      </c>
      <c r="C3300" t="s">
        <v>455</v>
      </c>
      <c r="D3300" s="8"/>
      <c r="E3300" s="8"/>
      <c r="L3300" t="s">
        <v>563</v>
      </c>
      <c r="M3300" t="s">
        <v>478</v>
      </c>
      <c r="N3300" t="str">
        <f>Tabela_tudo[[#This Row],[Médico]]&amp;" ("&amp;Tabela_tudo[[#This Row],[Obs]]&amp;")"</f>
        <v>JU ()</v>
      </c>
    </row>
    <row r="3301" spans="1:14" x14ac:dyDescent="0.3">
      <c r="A3301" s="1">
        <v>45478</v>
      </c>
      <c r="B3301" t="s">
        <v>283</v>
      </c>
      <c r="C3301" t="s">
        <v>455</v>
      </c>
      <c r="D3301" s="8"/>
      <c r="E3301" s="8"/>
      <c r="L3301" t="s">
        <v>563</v>
      </c>
      <c r="M3301" t="s">
        <v>478</v>
      </c>
      <c r="N3301" t="str">
        <f>Tabela_tudo[[#This Row],[Médico]]&amp;" ("&amp;Tabela_tudo[[#This Row],[Obs]]&amp;")"</f>
        <v>JU ()</v>
      </c>
    </row>
    <row r="3302" spans="1:14" x14ac:dyDescent="0.3">
      <c r="A3302" s="1">
        <v>45471</v>
      </c>
      <c r="B3302" t="s">
        <v>283</v>
      </c>
      <c r="C3302" t="s">
        <v>455</v>
      </c>
      <c r="D3302" s="8"/>
      <c r="E3302" s="8"/>
      <c r="L3302" t="s">
        <v>563</v>
      </c>
      <c r="M3302" t="s">
        <v>478</v>
      </c>
      <c r="N3302" t="str">
        <f>Tabela_tudo[[#This Row],[Médico]]&amp;" ("&amp;Tabela_tudo[[#This Row],[Obs]]&amp;")"</f>
        <v>JU ()</v>
      </c>
    </row>
    <row r="3303" spans="1:14" x14ac:dyDescent="0.3">
      <c r="A3303" s="1">
        <v>45492</v>
      </c>
      <c r="B3303" t="s">
        <v>283</v>
      </c>
      <c r="C3303" t="s">
        <v>455</v>
      </c>
      <c r="D3303" s="8"/>
      <c r="E3303" s="8"/>
      <c r="L3303" t="s">
        <v>563</v>
      </c>
      <c r="M3303" t="s">
        <v>478</v>
      </c>
      <c r="N3303" t="str">
        <f>Tabela_tudo[[#This Row],[Médico]]&amp;" ("&amp;Tabela_tudo[[#This Row],[Obs]]&amp;")"</f>
        <v>JU ()</v>
      </c>
    </row>
    <row r="3304" spans="1:14" x14ac:dyDescent="0.3">
      <c r="A3304" s="1">
        <v>45513</v>
      </c>
      <c r="B3304" t="s">
        <v>283</v>
      </c>
      <c r="C3304" t="s">
        <v>455</v>
      </c>
      <c r="D3304" s="8"/>
      <c r="E3304" s="8"/>
      <c r="L3304" t="s">
        <v>563</v>
      </c>
      <c r="M3304" t="s">
        <v>478</v>
      </c>
      <c r="N3304" t="str">
        <f>Tabela_tudo[[#This Row],[Médico]]&amp;" ("&amp;Tabela_tudo[[#This Row],[Obs]]&amp;")"</f>
        <v>JU ()</v>
      </c>
    </row>
    <row r="3305" spans="1:14" x14ac:dyDescent="0.3">
      <c r="A3305" s="1">
        <v>45506</v>
      </c>
      <c r="B3305" t="s">
        <v>283</v>
      </c>
      <c r="C3305" t="s">
        <v>455</v>
      </c>
      <c r="D3305" s="8"/>
      <c r="E3305" s="8"/>
      <c r="L3305" t="s">
        <v>563</v>
      </c>
      <c r="M3305" t="s">
        <v>478</v>
      </c>
      <c r="N3305" t="str">
        <f>Tabela_tudo[[#This Row],[Médico]]&amp;" ("&amp;Tabela_tudo[[#This Row],[Obs]]&amp;")"</f>
        <v>JU ()</v>
      </c>
    </row>
    <row r="3306" spans="1:14" x14ac:dyDescent="0.3">
      <c r="A3306" s="1">
        <v>45499</v>
      </c>
      <c r="B3306" t="s">
        <v>283</v>
      </c>
      <c r="C3306" t="s">
        <v>455</v>
      </c>
      <c r="D3306" s="8"/>
      <c r="E3306" s="8"/>
      <c r="L3306" t="s">
        <v>563</v>
      </c>
      <c r="M3306" t="s">
        <v>478</v>
      </c>
      <c r="N3306" t="str">
        <f>Tabela_tudo[[#This Row],[Médico]]&amp;" ("&amp;Tabela_tudo[[#This Row],[Obs]]&amp;")"</f>
        <v>JU ()</v>
      </c>
    </row>
    <row r="3307" spans="1:14" x14ac:dyDescent="0.3">
      <c r="A3307" s="1">
        <v>44939</v>
      </c>
      <c r="B3307" t="s">
        <v>283</v>
      </c>
      <c r="C3307" t="s">
        <v>455</v>
      </c>
      <c r="D3307" s="8"/>
      <c r="E3307" s="8"/>
      <c r="L3307" t="s">
        <v>563</v>
      </c>
      <c r="M3307" t="s">
        <v>478</v>
      </c>
      <c r="N3307" t="str">
        <f>Tabela_tudo[[#This Row],[Médico]]&amp;" ("&amp;Tabela_tudo[[#This Row],[Obs]]&amp;")"</f>
        <v>JU ()</v>
      </c>
    </row>
    <row r="3308" spans="1:14" x14ac:dyDescent="0.3">
      <c r="A3308" s="1">
        <v>45106</v>
      </c>
      <c r="B3308" t="s">
        <v>333</v>
      </c>
      <c r="C3308" t="s">
        <v>455</v>
      </c>
      <c r="D3308" s="8"/>
      <c r="E3308" s="8"/>
      <c r="L3308" t="s">
        <v>563</v>
      </c>
      <c r="M3308" t="s">
        <v>478</v>
      </c>
      <c r="N3308" t="str">
        <f>Tabela_tudo[[#This Row],[Médico]]&amp;" ("&amp;Tabela_tudo[[#This Row],[Obs]]&amp;")"</f>
        <v>COR ()</v>
      </c>
    </row>
    <row r="3309" spans="1:14" x14ac:dyDescent="0.3">
      <c r="A3309" s="1">
        <v>45099</v>
      </c>
      <c r="B3309" t="s">
        <v>333</v>
      </c>
      <c r="C3309" t="s">
        <v>455</v>
      </c>
      <c r="D3309" s="8"/>
      <c r="E3309" s="8"/>
      <c r="L3309" t="s">
        <v>563</v>
      </c>
      <c r="M3309" t="s">
        <v>478</v>
      </c>
      <c r="N3309" t="str">
        <f>Tabela_tudo[[#This Row],[Médico]]&amp;" ("&amp;Tabela_tudo[[#This Row],[Obs]]&amp;")"</f>
        <v>COR ()</v>
      </c>
    </row>
    <row r="3310" spans="1:14" x14ac:dyDescent="0.3">
      <c r="A3310" s="1">
        <v>45092</v>
      </c>
      <c r="B3310" t="s">
        <v>333</v>
      </c>
      <c r="C3310" t="s">
        <v>455</v>
      </c>
      <c r="D3310" s="8"/>
      <c r="E3310" s="8"/>
      <c r="L3310" t="s">
        <v>563</v>
      </c>
      <c r="M3310" t="s">
        <v>478</v>
      </c>
      <c r="N3310" t="str">
        <f>Tabela_tudo[[#This Row],[Médico]]&amp;" ("&amp;Tabela_tudo[[#This Row],[Obs]]&amp;")"</f>
        <v>COR ()</v>
      </c>
    </row>
    <row r="3311" spans="1:14" x14ac:dyDescent="0.3">
      <c r="A3311" s="1">
        <v>45113</v>
      </c>
      <c r="B3311" t="s">
        <v>333</v>
      </c>
      <c r="C3311" t="s">
        <v>455</v>
      </c>
      <c r="D3311" s="8"/>
      <c r="E3311" s="8"/>
      <c r="L3311" t="s">
        <v>563</v>
      </c>
      <c r="M3311" t="s">
        <v>478</v>
      </c>
      <c r="N3311" t="str">
        <f>Tabela_tudo[[#This Row],[Médico]]&amp;" ("&amp;Tabela_tudo[[#This Row],[Obs]]&amp;")"</f>
        <v>COR ()</v>
      </c>
    </row>
    <row r="3312" spans="1:14" x14ac:dyDescent="0.3">
      <c r="A3312" s="1">
        <v>45134</v>
      </c>
      <c r="B3312" t="s">
        <v>333</v>
      </c>
      <c r="C3312" t="s">
        <v>455</v>
      </c>
      <c r="D3312" s="8"/>
      <c r="E3312" s="8"/>
      <c r="L3312" t="s">
        <v>563</v>
      </c>
      <c r="M3312" t="s">
        <v>478</v>
      </c>
      <c r="N3312" t="str">
        <f>Tabela_tudo[[#This Row],[Médico]]&amp;" ("&amp;Tabela_tudo[[#This Row],[Obs]]&amp;")"</f>
        <v>COR ()</v>
      </c>
    </row>
    <row r="3313" spans="1:14" x14ac:dyDescent="0.3">
      <c r="A3313" s="1">
        <v>45127</v>
      </c>
      <c r="B3313" t="s">
        <v>333</v>
      </c>
      <c r="C3313" t="s">
        <v>455</v>
      </c>
      <c r="D3313" s="8"/>
      <c r="E3313" s="8"/>
      <c r="L3313" t="s">
        <v>563</v>
      </c>
      <c r="M3313" t="s">
        <v>478</v>
      </c>
      <c r="N3313" t="str">
        <f>Tabela_tudo[[#This Row],[Médico]]&amp;" ("&amp;Tabela_tudo[[#This Row],[Obs]]&amp;")"</f>
        <v>COR ()</v>
      </c>
    </row>
    <row r="3314" spans="1:14" x14ac:dyDescent="0.3">
      <c r="A3314" s="1">
        <v>45120</v>
      </c>
      <c r="B3314" t="s">
        <v>333</v>
      </c>
      <c r="C3314" t="s">
        <v>455</v>
      </c>
      <c r="D3314" s="8"/>
      <c r="E3314" s="8"/>
      <c r="L3314" t="s">
        <v>563</v>
      </c>
      <c r="M3314" t="s">
        <v>478</v>
      </c>
      <c r="N3314" t="str">
        <f>Tabela_tudo[[#This Row],[Médico]]&amp;" ("&amp;Tabela_tudo[[#This Row],[Obs]]&amp;")"</f>
        <v>COR ()</v>
      </c>
    </row>
    <row r="3315" spans="1:14" x14ac:dyDescent="0.3">
      <c r="A3315" s="1">
        <v>45057</v>
      </c>
      <c r="B3315" t="s">
        <v>333</v>
      </c>
      <c r="C3315" t="s">
        <v>455</v>
      </c>
      <c r="D3315" s="8"/>
      <c r="E3315" s="8"/>
      <c r="L3315" t="s">
        <v>563</v>
      </c>
      <c r="M3315" t="s">
        <v>478</v>
      </c>
      <c r="N3315" t="str">
        <f>Tabela_tudo[[#This Row],[Médico]]&amp;" ("&amp;Tabela_tudo[[#This Row],[Obs]]&amp;")"</f>
        <v>COR ()</v>
      </c>
    </row>
    <row r="3316" spans="1:14" x14ac:dyDescent="0.3">
      <c r="A3316" s="1">
        <v>45050</v>
      </c>
      <c r="B3316" t="s">
        <v>333</v>
      </c>
      <c r="C3316" t="s">
        <v>455</v>
      </c>
      <c r="D3316" s="8"/>
      <c r="E3316" s="8"/>
      <c r="L3316" t="s">
        <v>563</v>
      </c>
      <c r="M3316" t="s">
        <v>478</v>
      </c>
      <c r="N3316" t="str">
        <f>Tabela_tudo[[#This Row],[Médico]]&amp;" ("&amp;Tabela_tudo[[#This Row],[Obs]]&amp;")"</f>
        <v>COR ()</v>
      </c>
    </row>
    <row r="3317" spans="1:14" x14ac:dyDescent="0.3">
      <c r="A3317" s="1">
        <v>45043</v>
      </c>
      <c r="B3317" t="s">
        <v>333</v>
      </c>
      <c r="C3317" t="s">
        <v>455</v>
      </c>
      <c r="D3317" s="8"/>
      <c r="E3317" s="8"/>
      <c r="L3317" t="s">
        <v>563</v>
      </c>
      <c r="M3317" t="s">
        <v>478</v>
      </c>
      <c r="N3317" t="str">
        <f>Tabela_tudo[[#This Row],[Médico]]&amp;" ("&amp;Tabela_tudo[[#This Row],[Obs]]&amp;")"</f>
        <v>COR ()</v>
      </c>
    </row>
    <row r="3318" spans="1:14" x14ac:dyDescent="0.3">
      <c r="A3318" s="1">
        <v>45064</v>
      </c>
      <c r="B3318" t="s">
        <v>333</v>
      </c>
      <c r="C3318" t="s">
        <v>455</v>
      </c>
      <c r="D3318" s="8"/>
      <c r="E3318" s="8"/>
      <c r="L3318" t="s">
        <v>563</v>
      </c>
      <c r="M3318" t="s">
        <v>478</v>
      </c>
      <c r="N3318" t="str">
        <f>Tabela_tudo[[#This Row],[Médico]]&amp;" ("&amp;Tabela_tudo[[#This Row],[Obs]]&amp;")"</f>
        <v>COR ()</v>
      </c>
    </row>
    <row r="3319" spans="1:14" x14ac:dyDescent="0.3">
      <c r="A3319" s="1">
        <v>45085</v>
      </c>
      <c r="B3319" t="s">
        <v>333</v>
      </c>
      <c r="C3319" t="s">
        <v>455</v>
      </c>
      <c r="D3319" s="8"/>
      <c r="E3319" s="8"/>
      <c r="L3319" t="s">
        <v>563</v>
      </c>
      <c r="M3319" t="s">
        <v>478</v>
      </c>
      <c r="N3319" t="str">
        <f>Tabela_tudo[[#This Row],[Médico]]&amp;" ("&amp;Tabela_tudo[[#This Row],[Obs]]&amp;")"</f>
        <v>COR ()</v>
      </c>
    </row>
    <row r="3320" spans="1:14" x14ac:dyDescent="0.3">
      <c r="A3320" s="1">
        <v>45078</v>
      </c>
      <c r="B3320" t="s">
        <v>333</v>
      </c>
      <c r="C3320" t="s">
        <v>455</v>
      </c>
      <c r="D3320" s="8"/>
      <c r="E3320" s="8"/>
      <c r="L3320" t="s">
        <v>563</v>
      </c>
      <c r="M3320" t="s">
        <v>478</v>
      </c>
      <c r="N3320" t="str">
        <f>Tabela_tudo[[#This Row],[Médico]]&amp;" ("&amp;Tabela_tudo[[#This Row],[Obs]]&amp;")"</f>
        <v>COR ()</v>
      </c>
    </row>
    <row r="3321" spans="1:14" x14ac:dyDescent="0.3">
      <c r="A3321" s="1">
        <v>45071</v>
      </c>
      <c r="B3321" t="s">
        <v>333</v>
      </c>
      <c r="C3321" t="s">
        <v>455</v>
      </c>
      <c r="D3321" s="8"/>
      <c r="E3321" s="8"/>
      <c r="L3321" t="s">
        <v>563</v>
      </c>
      <c r="M3321" t="s">
        <v>478</v>
      </c>
      <c r="N3321" t="str">
        <f>Tabela_tudo[[#This Row],[Médico]]&amp;" ("&amp;Tabela_tudo[[#This Row],[Obs]]&amp;")"</f>
        <v>COR ()</v>
      </c>
    </row>
    <row r="3322" spans="1:14" x14ac:dyDescent="0.3">
      <c r="A3322" s="1">
        <v>45141</v>
      </c>
      <c r="B3322" t="s">
        <v>333</v>
      </c>
      <c r="C3322" t="s">
        <v>455</v>
      </c>
      <c r="D3322" s="8"/>
      <c r="E3322" s="8"/>
      <c r="L3322" t="s">
        <v>563</v>
      </c>
      <c r="M3322" t="s">
        <v>478</v>
      </c>
      <c r="N3322" t="str">
        <f>Tabela_tudo[[#This Row],[Médico]]&amp;" ("&amp;Tabela_tudo[[#This Row],[Obs]]&amp;")"</f>
        <v>COR ()</v>
      </c>
    </row>
    <row r="3323" spans="1:14" x14ac:dyDescent="0.3">
      <c r="A3323" s="1">
        <v>45211</v>
      </c>
      <c r="B3323" t="s">
        <v>333</v>
      </c>
      <c r="C3323" t="s">
        <v>455</v>
      </c>
      <c r="D3323" s="8"/>
      <c r="E3323" s="8"/>
      <c r="L3323" t="s">
        <v>563</v>
      </c>
      <c r="M3323" t="s">
        <v>478</v>
      </c>
      <c r="N3323" t="str">
        <f>Tabela_tudo[[#This Row],[Médico]]&amp;" ("&amp;Tabela_tudo[[#This Row],[Obs]]&amp;")"</f>
        <v>COR ()</v>
      </c>
    </row>
    <row r="3324" spans="1:14" x14ac:dyDescent="0.3">
      <c r="A3324" s="1">
        <v>45204</v>
      </c>
      <c r="B3324" t="s">
        <v>333</v>
      </c>
      <c r="C3324" t="s">
        <v>455</v>
      </c>
      <c r="D3324" s="8"/>
      <c r="E3324" s="8"/>
      <c r="L3324" t="s">
        <v>563</v>
      </c>
      <c r="M3324" t="s">
        <v>478</v>
      </c>
      <c r="N3324" t="str">
        <f>Tabela_tudo[[#This Row],[Médico]]&amp;" ("&amp;Tabela_tudo[[#This Row],[Obs]]&amp;")"</f>
        <v>COR ()</v>
      </c>
    </row>
    <row r="3325" spans="1:14" x14ac:dyDescent="0.3">
      <c r="A3325" s="1">
        <v>45197</v>
      </c>
      <c r="B3325" t="s">
        <v>333</v>
      </c>
      <c r="C3325" t="s">
        <v>455</v>
      </c>
      <c r="D3325" s="8"/>
      <c r="E3325" s="8"/>
      <c r="L3325" t="s">
        <v>563</v>
      </c>
      <c r="M3325" t="s">
        <v>478</v>
      </c>
      <c r="N3325" t="str">
        <f>Tabela_tudo[[#This Row],[Médico]]&amp;" ("&amp;Tabela_tudo[[#This Row],[Obs]]&amp;")"</f>
        <v>COR ()</v>
      </c>
    </row>
    <row r="3326" spans="1:14" x14ac:dyDescent="0.3">
      <c r="A3326" s="1">
        <v>45218</v>
      </c>
      <c r="B3326" t="s">
        <v>333</v>
      </c>
      <c r="C3326" t="s">
        <v>455</v>
      </c>
      <c r="D3326" s="8"/>
      <c r="E3326" s="8"/>
      <c r="L3326" t="s">
        <v>563</v>
      </c>
      <c r="M3326" t="s">
        <v>478</v>
      </c>
      <c r="N3326" t="str">
        <f>Tabela_tudo[[#This Row],[Médico]]&amp;" ("&amp;Tabela_tudo[[#This Row],[Obs]]&amp;")"</f>
        <v>COR ()</v>
      </c>
    </row>
    <row r="3327" spans="1:14" x14ac:dyDescent="0.3">
      <c r="A3327" s="1">
        <v>45239</v>
      </c>
      <c r="B3327" t="s">
        <v>333</v>
      </c>
      <c r="C3327" t="s">
        <v>455</v>
      </c>
      <c r="D3327" s="8"/>
      <c r="E3327" s="8"/>
      <c r="L3327" t="s">
        <v>563</v>
      </c>
      <c r="M3327" t="s">
        <v>478</v>
      </c>
      <c r="N3327" t="str">
        <f>Tabela_tudo[[#This Row],[Médico]]&amp;" ("&amp;Tabela_tudo[[#This Row],[Obs]]&amp;")"</f>
        <v>COR ()</v>
      </c>
    </row>
    <row r="3328" spans="1:14" x14ac:dyDescent="0.3">
      <c r="A3328" s="1">
        <v>45232</v>
      </c>
      <c r="B3328" t="s">
        <v>333</v>
      </c>
      <c r="C3328" t="s">
        <v>455</v>
      </c>
      <c r="D3328" s="8"/>
      <c r="E3328" s="8"/>
      <c r="L3328" t="s">
        <v>563</v>
      </c>
      <c r="M3328" t="s">
        <v>478</v>
      </c>
      <c r="N3328" t="str">
        <f>Tabela_tudo[[#This Row],[Médico]]&amp;" ("&amp;Tabela_tudo[[#This Row],[Obs]]&amp;")"</f>
        <v>COR ()</v>
      </c>
    </row>
    <row r="3329" spans="1:14" x14ac:dyDescent="0.3">
      <c r="A3329" s="1">
        <v>45225</v>
      </c>
      <c r="B3329" t="s">
        <v>333</v>
      </c>
      <c r="C3329" t="s">
        <v>455</v>
      </c>
      <c r="D3329" s="8"/>
      <c r="E3329" s="8"/>
      <c r="L3329" t="s">
        <v>563</v>
      </c>
      <c r="M3329" t="s">
        <v>478</v>
      </c>
      <c r="N3329" t="str">
        <f>Tabela_tudo[[#This Row],[Médico]]&amp;" ("&amp;Tabela_tudo[[#This Row],[Obs]]&amp;")"</f>
        <v>COR ()</v>
      </c>
    </row>
    <row r="3330" spans="1:14" x14ac:dyDescent="0.3">
      <c r="A3330" s="1">
        <v>45162</v>
      </c>
      <c r="B3330" t="s">
        <v>333</v>
      </c>
      <c r="C3330" t="s">
        <v>455</v>
      </c>
      <c r="D3330" s="8"/>
      <c r="E3330" s="8"/>
      <c r="L3330" t="s">
        <v>563</v>
      </c>
      <c r="M3330" t="s">
        <v>478</v>
      </c>
      <c r="N3330" t="str">
        <f>Tabela_tudo[[#This Row],[Médico]]&amp;" ("&amp;Tabela_tudo[[#This Row],[Obs]]&amp;")"</f>
        <v>COR ()</v>
      </c>
    </row>
    <row r="3331" spans="1:14" x14ac:dyDescent="0.3">
      <c r="A3331" s="1">
        <v>45155</v>
      </c>
      <c r="B3331" t="s">
        <v>333</v>
      </c>
      <c r="C3331" t="s">
        <v>455</v>
      </c>
      <c r="D3331" s="8"/>
      <c r="E3331" s="8"/>
      <c r="L3331" t="s">
        <v>563</v>
      </c>
      <c r="M3331" t="s">
        <v>478</v>
      </c>
      <c r="N3331" t="str">
        <f>Tabela_tudo[[#This Row],[Médico]]&amp;" ("&amp;Tabela_tudo[[#This Row],[Obs]]&amp;")"</f>
        <v>COR ()</v>
      </c>
    </row>
    <row r="3332" spans="1:14" x14ac:dyDescent="0.3">
      <c r="A3332" s="1">
        <v>45148</v>
      </c>
      <c r="B3332" t="s">
        <v>333</v>
      </c>
      <c r="C3332" t="s">
        <v>455</v>
      </c>
      <c r="D3332" s="8"/>
      <c r="E3332" s="8"/>
      <c r="L3332" t="s">
        <v>563</v>
      </c>
      <c r="M3332" t="s">
        <v>478</v>
      </c>
      <c r="N3332" t="str">
        <f>Tabela_tudo[[#This Row],[Médico]]&amp;" ("&amp;Tabela_tudo[[#This Row],[Obs]]&amp;")"</f>
        <v>COR ()</v>
      </c>
    </row>
    <row r="3333" spans="1:14" x14ac:dyDescent="0.3">
      <c r="A3333" s="1">
        <v>45169</v>
      </c>
      <c r="B3333" t="s">
        <v>333</v>
      </c>
      <c r="C3333" t="s">
        <v>455</v>
      </c>
      <c r="D3333" s="8"/>
      <c r="E3333" s="8"/>
      <c r="L3333" t="s">
        <v>563</v>
      </c>
      <c r="M3333" t="s">
        <v>478</v>
      </c>
      <c r="N3333" t="str">
        <f>Tabela_tudo[[#This Row],[Médico]]&amp;" ("&amp;Tabela_tudo[[#This Row],[Obs]]&amp;")"</f>
        <v>COR ()</v>
      </c>
    </row>
    <row r="3334" spans="1:14" x14ac:dyDescent="0.3">
      <c r="A3334" s="1">
        <v>45190</v>
      </c>
      <c r="B3334" t="s">
        <v>333</v>
      </c>
      <c r="C3334" t="s">
        <v>455</v>
      </c>
      <c r="D3334" s="8"/>
      <c r="E3334" s="8"/>
      <c r="L3334" t="s">
        <v>563</v>
      </c>
      <c r="M3334" t="s">
        <v>478</v>
      </c>
      <c r="N3334" t="str">
        <f>Tabela_tudo[[#This Row],[Médico]]&amp;" ("&amp;Tabela_tudo[[#This Row],[Obs]]&amp;")"</f>
        <v>COR ()</v>
      </c>
    </row>
    <row r="3335" spans="1:14" x14ac:dyDescent="0.3">
      <c r="A3335" s="1">
        <v>45183</v>
      </c>
      <c r="B3335" t="s">
        <v>333</v>
      </c>
      <c r="C3335" t="s">
        <v>455</v>
      </c>
      <c r="D3335" s="8"/>
      <c r="E3335" s="8"/>
      <c r="L3335" t="s">
        <v>563</v>
      </c>
      <c r="M3335" t="s">
        <v>478</v>
      </c>
      <c r="N3335" t="str">
        <f>Tabela_tudo[[#This Row],[Médico]]&amp;" ("&amp;Tabela_tudo[[#This Row],[Obs]]&amp;")"</f>
        <v>COR ()</v>
      </c>
    </row>
    <row r="3336" spans="1:14" x14ac:dyDescent="0.3">
      <c r="A3336" s="1">
        <v>45176</v>
      </c>
      <c r="B3336" t="s">
        <v>333</v>
      </c>
      <c r="C3336" t="s">
        <v>455</v>
      </c>
      <c r="D3336" s="8"/>
      <c r="E3336" s="8"/>
      <c r="L3336" t="s">
        <v>563</v>
      </c>
      <c r="M3336" t="s">
        <v>478</v>
      </c>
      <c r="N3336" t="str">
        <f>Tabela_tudo[[#This Row],[Médico]]&amp;" ("&amp;Tabela_tudo[[#This Row],[Obs]]&amp;")"</f>
        <v>COR ()</v>
      </c>
    </row>
    <row r="3337" spans="1:14" x14ac:dyDescent="0.3">
      <c r="A3337" s="1">
        <v>45036</v>
      </c>
      <c r="B3337" t="s">
        <v>333</v>
      </c>
      <c r="C3337" t="s">
        <v>455</v>
      </c>
      <c r="D3337" s="8"/>
      <c r="E3337" s="8"/>
      <c r="L3337" t="s">
        <v>563</v>
      </c>
      <c r="M3337" t="s">
        <v>478</v>
      </c>
      <c r="N3337" t="str">
        <f>Tabela_tudo[[#This Row],[Médico]]&amp;" ("&amp;Tabela_tudo[[#This Row],[Obs]]&amp;")"</f>
        <v>COR ()</v>
      </c>
    </row>
    <row r="3338" spans="1:14" x14ac:dyDescent="0.3">
      <c r="A3338" s="1">
        <v>45624</v>
      </c>
      <c r="B3338" t="s">
        <v>48</v>
      </c>
      <c r="C3338" t="s">
        <v>455</v>
      </c>
      <c r="D3338" s="8"/>
      <c r="E3338" s="8"/>
      <c r="L3338" t="s">
        <v>563</v>
      </c>
      <c r="M3338" t="s">
        <v>478</v>
      </c>
      <c r="N3338" t="str">
        <f>Tabela_tudo[[#This Row],[Médico]]&amp;" ("&amp;Tabela_tudo[[#This Row],[Obs]]&amp;")"</f>
        <v>MAF ()</v>
      </c>
    </row>
    <row r="3339" spans="1:14" x14ac:dyDescent="0.3">
      <c r="A3339" s="1">
        <v>45617</v>
      </c>
      <c r="B3339" t="s">
        <v>48</v>
      </c>
      <c r="C3339" t="s">
        <v>455</v>
      </c>
      <c r="D3339" s="8"/>
      <c r="E3339" s="8"/>
      <c r="L3339" t="s">
        <v>563</v>
      </c>
      <c r="M3339" t="s">
        <v>478</v>
      </c>
      <c r="N3339" t="str">
        <f>Tabela_tudo[[#This Row],[Médico]]&amp;" ("&amp;Tabela_tudo[[#This Row],[Obs]]&amp;")"</f>
        <v>MAF ()</v>
      </c>
    </row>
    <row r="3340" spans="1:14" x14ac:dyDescent="0.3">
      <c r="A3340" s="1">
        <v>45610</v>
      </c>
      <c r="B3340" t="s">
        <v>48</v>
      </c>
      <c r="C3340" t="s">
        <v>455</v>
      </c>
      <c r="D3340" s="8"/>
      <c r="E3340" s="8"/>
      <c r="L3340" t="s">
        <v>563</v>
      </c>
      <c r="M3340" t="s">
        <v>478</v>
      </c>
      <c r="N3340" t="str">
        <f>Tabela_tudo[[#This Row],[Médico]]&amp;" ("&amp;Tabela_tudo[[#This Row],[Obs]]&amp;")"</f>
        <v>MAF ()</v>
      </c>
    </row>
    <row r="3341" spans="1:14" x14ac:dyDescent="0.3">
      <c r="A3341" s="1">
        <v>45631</v>
      </c>
      <c r="B3341" t="s">
        <v>48</v>
      </c>
      <c r="C3341" t="s">
        <v>455</v>
      </c>
      <c r="D3341" s="8"/>
      <c r="E3341" s="8"/>
      <c r="L3341" t="s">
        <v>563</v>
      </c>
      <c r="M3341" t="s">
        <v>478</v>
      </c>
      <c r="N3341" t="str">
        <f>Tabela_tudo[[#This Row],[Médico]]&amp;" ("&amp;Tabela_tudo[[#This Row],[Obs]]&amp;")"</f>
        <v>MAF ()</v>
      </c>
    </row>
    <row r="3342" spans="1:14" x14ac:dyDescent="0.3">
      <c r="A3342" s="1">
        <v>45652</v>
      </c>
      <c r="B3342" t="s">
        <v>48</v>
      </c>
      <c r="C3342" t="s">
        <v>455</v>
      </c>
      <c r="D3342" s="8"/>
      <c r="E3342" s="8"/>
      <c r="L3342" t="s">
        <v>563</v>
      </c>
      <c r="M3342" t="s">
        <v>478</v>
      </c>
      <c r="N3342" t="str">
        <f>Tabela_tudo[[#This Row],[Médico]]&amp;" ("&amp;Tabela_tudo[[#This Row],[Obs]]&amp;")"</f>
        <v>MAF ()</v>
      </c>
    </row>
    <row r="3343" spans="1:14" x14ac:dyDescent="0.3">
      <c r="A3343" s="1">
        <v>45645</v>
      </c>
      <c r="B3343" t="s">
        <v>48</v>
      </c>
      <c r="C3343" t="s">
        <v>455</v>
      </c>
      <c r="D3343" s="8"/>
      <c r="E3343" s="8"/>
      <c r="L3343" t="s">
        <v>563</v>
      </c>
      <c r="M3343" t="s">
        <v>478</v>
      </c>
      <c r="N3343" t="str">
        <f>Tabela_tudo[[#This Row],[Médico]]&amp;" ("&amp;Tabela_tudo[[#This Row],[Obs]]&amp;")"</f>
        <v>MAF ()</v>
      </c>
    </row>
    <row r="3344" spans="1:14" x14ac:dyDescent="0.3">
      <c r="A3344" s="1">
        <v>45638</v>
      </c>
      <c r="B3344" t="s">
        <v>48</v>
      </c>
      <c r="C3344" t="s">
        <v>455</v>
      </c>
      <c r="D3344" s="8"/>
      <c r="E3344" s="8"/>
      <c r="L3344" t="s">
        <v>563</v>
      </c>
      <c r="M3344" t="s">
        <v>478</v>
      </c>
      <c r="N3344" t="str">
        <f>Tabela_tudo[[#This Row],[Médico]]&amp;" ("&amp;Tabela_tudo[[#This Row],[Obs]]&amp;")"</f>
        <v>MAF ()</v>
      </c>
    </row>
    <row r="3345" spans="1:14" x14ac:dyDescent="0.3">
      <c r="A3345" s="1">
        <v>45575</v>
      </c>
      <c r="B3345" t="s">
        <v>48</v>
      </c>
      <c r="C3345" t="s">
        <v>455</v>
      </c>
      <c r="D3345" s="8"/>
      <c r="E3345" s="8"/>
      <c r="L3345" t="s">
        <v>563</v>
      </c>
      <c r="M3345" t="s">
        <v>478</v>
      </c>
      <c r="N3345" t="str">
        <f>Tabela_tudo[[#This Row],[Médico]]&amp;" ("&amp;Tabela_tudo[[#This Row],[Obs]]&amp;")"</f>
        <v>MAF ()</v>
      </c>
    </row>
    <row r="3346" spans="1:14" x14ac:dyDescent="0.3">
      <c r="A3346" s="1">
        <v>45568</v>
      </c>
      <c r="B3346" t="s">
        <v>48</v>
      </c>
      <c r="C3346" t="s">
        <v>455</v>
      </c>
      <c r="D3346" s="8"/>
      <c r="E3346" s="8"/>
      <c r="L3346" t="s">
        <v>563</v>
      </c>
      <c r="M3346" t="s">
        <v>478</v>
      </c>
      <c r="N3346" t="str">
        <f>Tabela_tudo[[#This Row],[Médico]]&amp;" ("&amp;Tabela_tudo[[#This Row],[Obs]]&amp;")"</f>
        <v>MAF ()</v>
      </c>
    </row>
    <row r="3347" spans="1:14" x14ac:dyDescent="0.3">
      <c r="A3347" s="1">
        <v>45561</v>
      </c>
      <c r="B3347" t="s">
        <v>48</v>
      </c>
      <c r="C3347" t="s">
        <v>455</v>
      </c>
      <c r="D3347" s="8"/>
      <c r="E3347" s="8"/>
      <c r="L3347" t="s">
        <v>563</v>
      </c>
      <c r="M3347" t="s">
        <v>478</v>
      </c>
      <c r="N3347" t="str">
        <f>Tabela_tudo[[#This Row],[Médico]]&amp;" ("&amp;Tabela_tudo[[#This Row],[Obs]]&amp;")"</f>
        <v>MAF ()</v>
      </c>
    </row>
    <row r="3348" spans="1:14" x14ac:dyDescent="0.3">
      <c r="A3348" s="1">
        <v>45582</v>
      </c>
      <c r="B3348" t="s">
        <v>48</v>
      </c>
      <c r="C3348" t="s">
        <v>455</v>
      </c>
      <c r="D3348" s="8"/>
      <c r="E3348" s="8"/>
      <c r="L3348" t="s">
        <v>563</v>
      </c>
      <c r="M3348" t="s">
        <v>478</v>
      </c>
      <c r="N3348" t="str">
        <f>Tabela_tudo[[#This Row],[Médico]]&amp;" ("&amp;Tabela_tudo[[#This Row],[Obs]]&amp;")"</f>
        <v>MAF ()</v>
      </c>
    </row>
    <row r="3349" spans="1:14" x14ac:dyDescent="0.3">
      <c r="A3349" s="1">
        <v>45603</v>
      </c>
      <c r="B3349" t="s">
        <v>48</v>
      </c>
      <c r="C3349" t="s">
        <v>455</v>
      </c>
      <c r="D3349" s="8"/>
      <c r="E3349" s="8"/>
      <c r="L3349" t="s">
        <v>563</v>
      </c>
      <c r="M3349" t="s">
        <v>478</v>
      </c>
      <c r="N3349" t="str">
        <f>Tabela_tudo[[#This Row],[Médico]]&amp;" ("&amp;Tabela_tudo[[#This Row],[Obs]]&amp;")"</f>
        <v>MAF ()</v>
      </c>
    </row>
    <row r="3350" spans="1:14" x14ac:dyDescent="0.3">
      <c r="A3350" s="1">
        <v>45596</v>
      </c>
      <c r="B3350" t="s">
        <v>48</v>
      </c>
      <c r="C3350" t="s">
        <v>455</v>
      </c>
      <c r="D3350" s="8"/>
      <c r="E3350" s="8"/>
      <c r="L3350" t="s">
        <v>563</v>
      </c>
      <c r="M3350" t="s">
        <v>478</v>
      </c>
      <c r="N3350" t="str">
        <f>Tabela_tudo[[#This Row],[Médico]]&amp;" ("&amp;Tabela_tudo[[#This Row],[Obs]]&amp;")"</f>
        <v>MAF ()</v>
      </c>
    </row>
    <row r="3351" spans="1:14" x14ac:dyDescent="0.3">
      <c r="A3351" s="1">
        <v>45589</v>
      </c>
      <c r="B3351" t="s">
        <v>48</v>
      </c>
      <c r="C3351" t="s">
        <v>455</v>
      </c>
      <c r="D3351" s="8"/>
      <c r="E3351" s="8"/>
      <c r="L3351" t="s">
        <v>563</v>
      </c>
      <c r="M3351" t="s">
        <v>478</v>
      </c>
      <c r="N3351" t="str">
        <f>Tabela_tudo[[#This Row],[Médico]]&amp;" ("&amp;Tabela_tudo[[#This Row],[Obs]]&amp;")"</f>
        <v>MAF ()</v>
      </c>
    </row>
    <row r="3352" spans="1:14" x14ac:dyDescent="0.3">
      <c r="A3352" s="1">
        <v>44931</v>
      </c>
      <c r="B3352" t="s">
        <v>333</v>
      </c>
      <c r="C3352" t="s">
        <v>455</v>
      </c>
      <c r="D3352" s="8"/>
      <c r="E3352" s="8"/>
      <c r="L3352" t="s">
        <v>563</v>
      </c>
      <c r="M3352" t="s">
        <v>478</v>
      </c>
      <c r="N3352" t="str">
        <f>Tabela_tudo[[#This Row],[Médico]]&amp;" ("&amp;Tabela_tudo[[#This Row],[Obs]]&amp;")"</f>
        <v>COR ()</v>
      </c>
    </row>
    <row r="3353" spans="1:14" x14ac:dyDescent="0.3">
      <c r="A3353" s="1">
        <v>45001</v>
      </c>
      <c r="B3353" t="s">
        <v>333</v>
      </c>
      <c r="C3353" t="s">
        <v>455</v>
      </c>
      <c r="D3353" s="8"/>
      <c r="E3353" s="8"/>
      <c r="L3353" t="s">
        <v>563</v>
      </c>
      <c r="M3353" t="s">
        <v>478</v>
      </c>
      <c r="N3353" t="str">
        <f>Tabela_tudo[[#This Row],[Médico]]&amp;" ("&amp;Tabela_tudo[[#This Row],[Obs]]&amp;")"</f>
        <v>COR ()</v>
      </c>
    </row>
    <row r="3354" spans="1:14" x14ac:dyDescent="0.3">
      <c r="A3354" s="1">
        <v>44994</v>
      </c>
      <c r="B3354" t="s">
        <v>333</v>
      </c>
      <c r="C3354" t="s">
        <v>455</v>
      </c>
      <c r="D3354" s="8"/>
      <c r="E3354" s="8"/>
      <c r="L3354" t="s">
        <v>563</v>
      </c>
      <c r="M3354" t="s">
        <v>478</v>
      </c>
      <c r="N3354" t="str">
        <f>Tabela_tudo[[#This Row],[Médico]]&amp;" ("&amp;Tabela_tudo[[#This Row],[Obs]]&amp;")"</f>
        <v>COR ()</v>
      </c>
    </row>
    <row r="3355" spans="1:14" x14ac:dyDescent="0.3">
      <c r="A3355" s="1">
        <v>44987</v>
      </c>
      <c r="B3355" t="s">
        <v>333</v>
      </c>
      <c r="C3355" t="s">
        <v>455</v>
      </c>
      <c r="D3355" s="8"/>
      <c r="E3355" s="8"/>
      <c r="L3355" t="s">
        <v>563</v>
      </c>
      <c r="M3355" t="s">
        <v>478</v>
      </c>
      <c r="N3355" t="str">
        <f>Tabela_tudo[[#This Row],[Médico]]&amp;" ("&amp;Tabela_tudo[[#This Row],[Obs]]&amp;")"</f>
        <v>COR ()</v>
      </c>
    </row>
    <row r="3356" spans="1:14" x14ac:dyDescent="0.3">
      <c r="A3356" s="1">
        <v>45008</v>
      </c>
      <c r="B3356" t="s">
        <v>333</v>
      </c>
      <c r="C3356" t="s">
        <v>455</v>
      </c>
      <c r="D3356" s="8"/>
      <c r="E3356" s="8"/>
      <c r="L3356" t="s">
        <v>563</v>
      </c>
      <c r="M3356" t="s">
        <v>478</v>
      </c>
      <c r="N3356" t="str">
        <f>Tabela_tudo[[#This Row],[Médico]]&amp;" ("&amp;Tabela_tudo[[#This Row],[Obs]]&amp;")"</f>
        <v>COR ()</v>
      </c>
    </row>
    <row r="3357" spans="1:14" x14ac:dyDescent="0.3">
      <c r="A3357" s="1">
        <v>45029</v>
      </c>
      <c r="B3357" t="s">
        <v>333</v>
      </c>
      <c r="C3357" t="s">
        <v>455</v>
      </c>
      <c r="D3357" s="8"/>
      <c r="E3357" s="8"/>
      <c r="L3357" t="s">
        <v>563</v>
      </c>
      <c r="M3357" t="s">
        <v>478</v>
      </c>
      <c r="N3357" t="str">
        <f>Tabela_tudo[[#This Row],[Médico]]&amp;" ("&amp;Tabela_tudo[[#This Row],[Obs]]&amp;")"</f>
        <v>COR ()</v>
      </c>
    </row>
    <row r="3358" spans="1:14" x14ac:dyDescent="0.3">
      <c r="A3358" s="1">
        <v>45022</v>
      </c>
      <c r="B3358" t="s">
        <v>333</v>
      </c>
      <c r="C3358" t="s">
        <v>455</v>
      </c>
      <c r="D3358" s="8"/>
      <c r="E3358" s="8"/>
      <c r="L3358" t="s">
        <v>563</v>
      </c>
      <c r="M3358" t="s">
        <v>478</v>
      </c>
      <c r="N3358" t="str">
        <f>Tabela_tudo[[#This Row],[Médico]]&amp;" ("&amp;Tabela_tudo[[#This Row],[Obs]]&amp;")"</f>
        <v>COR ()</v>
      </c>
    </row>
    <row r="3359" spans="1:14" x14ac:dyDescent="0.3">
      <c r="A3359" s="1">
        <v>45015</v>
      </c>
      <c r="B3359" t="s">
        <v>333</v>
      </c>
      <c r="C3359" t="s">
        <v>455</v>
      </c>
      <c r="D3359" s="8"/>
      <c r="E3359" s="8"/>
      <c r="L3359" t="s">
        <v>563</v>
      </c>
      <c r="M3359" t="s">
        <v>478</v>
      </c>
      <c r="N3359" t="str">
        <f>Tabela_tudo[[#This Row],[Médico]]&amp;" ("&amp;Tabela_tudo[[#This Row],[Obs]]&amp;")"</f>
        <v>COR ()</v>
      </c>
    </row>
    <row r="3360" spans="1:14" x14ac:dyDescent="0.3">
      <c r="A3360" s="1">
        <v>44952</v>
      </c>
      <c r="B3360" t="s">
        <v>333</v>
      </c>
      <c r="C3360" t="s">
        <v>455</v>
      </c>
      <c r="D3360" s="8"/>
      <c r="E3360" s="8"/>
      <c r="L3360" t="s">
        <v>563</v>
      </c>
      <c r="M3360" t="s">
        <v>478</v>
      </c>
      <c r="N3360" t="str">
        <f>Tabela_tudo[[#This Row],[Médico]]&amp;" ("&amp;Tabela_tudo[[#This Row],[Obs]]&amp;")"</f>
        <v>COR ()</v>
      </c>
    </row>
    <row r="3361" spans="1:14" x14ac:dyDescent="0.3">
      <c r="A3361" s="1">
        <v>44945</v>
      </c>
      <c r="B3361" t="s">
        <v>333</v>
      </c>
      <c r="C3361" t="s">
        <v>455</v>
      </c>
      <c r="D3361" s="8"/>
      <c r="E3361" s="8"/>
      <c r="L3361" t="s">
        <v>563</v>
      </c>
      <c r="M3361" t="s">
        <v>478</v>
      </c>
      <c r="N3361" t="str">
        <f>Tabela_tudo[[#This Row],[Médico]]&amp;" ("&amp;Tabela_tudo[[#This Row],[Obs]]&amp;")"</f>
        <v>COR ()</v>
      </c>
    </row>
    <row r="3362" spans="1:14" x14ac:dyDescent="0.3">
      <c r="A3362" s="1">
        <v>44938</v>
      </c>
      <c r="B3362" t="s">
        <v>333</v>
      </c>
      <c r="C3362" t="s">
        <v>455</v>
      </c>
      <c r="D3362" s="8"/>
      <c r="E3362" s="8"/>
      <c r="L3362" t="s">
        <v>563</v>
      </c>
      <c r="M3362" t="s">
        <v>478</v>
      </c>
      <c r="N3362" t="str">
        <f>Tabela_tudo[[#This Row],[Médico]]&amp;" ("&amp;Tabela_tudo[[#This Row],[Obs]]&amp;")"</f>
        <v>COR ()</v>
      </c>
    </row>
    <row r="3363" spans="1:14" x14ac:dyDescent="0.3">
      <c r="A3363" s="1">
        <v>44959</v>
      </c>
      <c r="B3363" t="s">
        <v>333</v>
      </c>
      <c r="C3363" t="s">
        <v>455</v>
      </c>
      <c r="D3363" s="8"/>
      <c r="E3363" s="8"/>
      <c r="L3363" t="s">
        <v>563</v>
      </c>
      <c r="M3363" t="s">
        <v>478</v>
      </c>
      <c r="N3363" t="str">
        <f>Tabela_tudo[[#This Row],[Médico]]&amp;" ("&amp;Tabela_tudo[[#This Row],[Obs]]&amp;")"</f>
        <v>COR ()</v>
      </c>
    </row>
    <row r="3364" spans="1:14" x14ac:dyDescent="0.3">
      <c r="A3364" s="1">
        <v>44980</v>
      </c>
      <c r="B3364" t="s">
        <v>333</v>
      </c>
      <c r="C3364" t="s">
        <v>455</v>
      </c>
      <c r="D3364" s="8"/>
      <c r="E3364" s="8"/>
      <c r="L3364" t="s">
        <v>563</v>
      </c>
      <c r="M3364" t="s">
        <v>478</v>
      </c>
      <c r="N3364" t="str">
        <f>Tabela_tudo[[#This Row],[Médico]]&amp;" ("&amp;Tabela_tudo[[#This Row],[Obs]]&amp;")"</f>
        <v>COR ()</v>
      </c>
    </row>
    <row r="3365" spans="1:14" x14ac:dyDescent="0.3">
      <c r="A3365" s="1">
        <v>44973</v>
      </c>
      <c r="B3365" t="s">
        <v>333</v>
      </c>
      <c r="C3365" t="s">
        <v>455</v>
      </c>
      <c r="D3365" s="8"/>
      <c r="E3365" s="8"/>
      <c r="L3365" t="s">
        <v>563</v>
      </c>
      <c r="M3365" t="s">
        <v>478</v>
      </c>
      <c r="N3365" t="str">
        <f>Tabela_tudo[[#This Row],[Médico]]&amp;" ("&amp;Tabela_tudo[[#This Row],[Obs]]&amp;")"</f>
        <v>COR ()</v>
      </c>
    </row>
    <row r="3366" spans="1:14" x14ac:dyDescent="0.3">
      <c r="A3366" s="1">
        <v>44966</v>
      </c>
      <c r="B3366" t="s">
        <v>333</v>
      </c>
      <c r="C3366" t="s">
        <v>455</v>
      </c>
      <c r="D3366" s="8"/>
      <c r="E3366" s="8"/>
      <c r="L3366" t="s">
        <v>563</v>
      </c>
      <c r="M3366" t="s">
        <v>478</v>
      </c>
      <c r="N3366" t="str">
        <f>Tabela_tudo[[#This Row],[Médico]]&amp;" ("&amp;Tabela_tudo[[#This Row],[Obs]]&amp;")"</f>
        <v>COR ()</v>
      </c>
    </row>
    <row r="3367" spans="1:14" x14ac:dyDescent="0.3">
      <c r="A3367" s="1">
        <v>45246</v>
      </c>
      <c r="B3367" t="s">
        <v>333</v>
      </c>
      <c r="C3367" t="s">
        <v>455</v>
      </c>
      <c r="D3367" s="8"/>
      <c r="E3367" s="8"/>
      <c r="L3367" t="s">
        <v>563</v>
      </c>
      <c r="M3367" t="s">
        <v>478</v>
      </c>
      <c r="N3367" t="str">
        <f>Tabela_tudo[[#This Row],[Médico]]&amp;" ("&amp;Tabela_tudo[[#This Row],[Obs]]&amp;")"</f>
        <v>COR ()</v>
      </c>
    </row>
    <row r="3368" spans="1:14" x14ac:dyDescent="0.3">
      <c r="A3368" s="1">
        <v>45526</v>
      </c>
      <c r="B3368" t="s">
        <v>333</v>
      </c>
      <c r="C3368" t="s">
        <v>455</v>
      </c>
      <c r="D3368" s="8"/>
      <c r="E3368" s="8"/>
      <c r="L3368" t="s">
        <v>563</v>
      </c>
      <c r="M3368" t="s">
        <v>478</v>
      </c>
      <c r="N3368" t="str">
        <f>Tabela_tudo[[#This Row],[Médico]]&amp;" ("&amp;Tabela_tudo[[#This Row],[Obs]]&amp;")"</f>
        <v>COR ()</v>
      </c>
    </row>
    <row r="3369" spans="1:14" x14ac:dyDescent="0.3">
      <c r="A3369" s="1">
        <v>45519</v>
      </c>
      <c r="B3369" t="s">
        <v>333</v>
      </c>
      <c r="C3369" t="s">
        <v>455</v>
      </c>
      <c r="D3369" s="8"/>
      <c r="E3369" s="8"/>
      <c r="L3369" t="s">
        <v>563</v>
      </c>
      <c r="M3369" t="s">
        <v>478</v>
      </c>
      <c r="N3369" t="str">
        <f>Tabela_tudo[[#This Row],[Médico]]&amp;" ("&amp;Tabela_tudo[[#This Row],[Obs]]&amp;")"</f>
        <v>COR ()</v>
      </c>
    </row>
    <row r="3370" spans="1:14" x14ac:dyDescent="0.3">
      <c r="A3370" s="1">
        <v>45512</v>
      </c>
      <c r="B3370" t="s">
        <v>333</v>
      </c>
      <c r="C3370" t="s">
        <v>455</v>
      </c>
      <c r="D3370" s="8"/>
      <c r="E3370" s="8"/>
      <c r="L3370" t="s">
        <v>563</v>
      </c>
      <c r="M3370" t="s">
        <v>478</v>
      </c>
      <c r="N3370" t="str">
        <f>Tabela_tudo[[#This Row],[Médico]]&amp;" ("&amp;Tabela_tudo[[#This Row],[Obs]]&amp;")"</f>
        <v>COR ()</v>
      </c>
    </row>
    <row r="3371" spans="1:14" x14ac:dyDescent="0.3">
      <c r="A3371" s="1">
        <v>45533</v>
      </c>
      <c r="B3371" t="s">
        <v>333</v>
      </c>
      <c r="C3371" t="s">
        <v>455</v>
      </c>
      <c r="D3371" s="8"/>
      <c r="E3371" s="8"/>
      <c r="L3371" t="s">
        <v>563</v>
      </c>
      <c r="M3371" t="s">
        <v>478</v>
      </c>
      <c r="N3371" t="str">
        <f>Tabela_tudo[[#This Row],[Médico]]&amp;" ("&amp;Tabela_tudo[[#This Row],[Obs]]&amp;")"</f>
        <v>COR ()</v>
      </c>
    </row>
    <row r="3372" spans="1:14" x14ac:dyDescent="0.3">
      <c r="A3372" s="1">
        <v>45554</v>
      </c>
      <c r="B3372" t="s">
        <v>333</v>
      </c>
      <c r="C3372" t="s">
        <v>455</v>
      </c>
      <c r="D3372" s="8"/>
      <c r="E3372" s="8"/>
      <c r="L3372" t="s">
        <v>563</v>
      </c>
      <c r="M3372" t="s">
        <v>478</v>
      </c>
      <c r="N3372" t="str">
        <f>Tabela_tudo[[#This Row],[Médico]]&amp;" ("&amp;Tabela_tudo[[#This Row],[Obs]]&amp;")"</f>
        <v>COR ()</v>
      </c>
    </row>
    <row r="3373" spans="1:14" x14ac:dyDescent="0.3">
      <c r="A3373" s="1">
        <v>45547</v>
      </c>
      <c r="B3373" t="s">
        <v>333</v>
      </c>
      <c r="C3373" t="s">
        <v>455</v>
      </c>
      <c r="D3373" s="8"/>
      <c r="E3373" s="8"/>
      <c r="L3373" t="s">
        <v>563</v>
      </c>
      <c r="M3373" t="s">
        <v>478</v>
      </c>
      <c r="N3373" t="str">
        <f>Tabela_tudo[[#This Row],[Médico]]&amp;" ("&amp;Tabela_tudo[[#This Row],[Obs]]&amp;")"</f>
        <v>COR ()</v>
      </c>
    </row>
    <row r="3374" spans="1:14" x14ac:dyDescent="0.3">
      <c r="A3374" s="1">
        <v>45540</v>
      </c>
      <c r="B3374" t="s">
        <v>333</v>
      </c>
      <c r="C3374" t="s">
        <v>455</v>
      </c>
      <c r="D3374" s="8"/>
      <c r="E3374" s="8"/>
      <c r="L3374" t="s">
        <v>563</v>
      </c>
      <c r="M3374" t="s">
        <v>478</v>
      </c>
      <c r="N3374" t="str">
        <f>Tabela_tudo[[#This Row],[Médico]]&amp;" ("&amp;Tabela_tudo[[#This Row],[Obs]]&amp;")"</f>
        <v>COR ()</v>
      </c>
    </row>
    <row r="3375" spans="1:14" x14ac:dyDescent="0.3">
      <c r="A3375" s="1">
        <v>45477</v>
      </c>
      <c r="B3375" t="s">
        <v>333</v>
      </c>
      <c r="C3375" t="s">
        <v>455</v>
      </c>
      <c r="D3375" s="8"/>
      <c r="E3375" s="8"/>
      <c r="L3375" t="s">
        <v>563</v>
      </c>
      <c r="M3375" t="s">
        <v>478</v>
      </c>
      <c r="N3375" t="str">
        <f>Tabela_tudo[[#This Row],[Médico]]&amp;" ("&amp;Tabela_tudo[[#This Row],[Obs]]&amp;")"</f>
        <v>COR ()</v>
      </c>
    </row>
    <row r="3376" spans="1:14" x14ac:dyDescent="0.3">
      <c r="A3376" s="1">
        <v>45470</v>
      </c>
      <c r="B3376" t="s">
        <v>333</v>
      </c>
      <c r="C3376" t="s">
        <v>455</v>
      </c>
      <c r="D3376" s="8"/>
      <c r="E3376" s="8"/>
      <c r="L3376" t="s">
        <v>563</v>
      </c>
      <c r="M3376" t="s">
        <v>478</v>
      </c>
      <c r="N3376" t="str">
        <f>Tabela_tudo[[#This Row],[Médico]]&amp;" ("&amp;Tabela_tudo[[#This Row],[Obs]]&amp;")"</f>
        <v>COR ()</v>
      </c>
    </row>
    <row r="3377" spans="1:14" x14ac:dyDescent="0.3">
      <c r="A3377" s="1">
        <v>45463</v>
      </c>
      <c r="B3377" t="s">
        <v>333</v>
      </c>
      <c r="C3377" t="s">
        <v>455</v>
      </c>
      <c r="D3377" s="8"/>
      <c r="E3377" s="8"/>
      <c r="L3377" t="s">
        <v>563</v>
      </c>
      <c r="M3377" t="s">
        <v>478</v>
      </c>
      <c r="N3377" t="str">
        <f>Tabela_tudo[[#This Row],[Médico]]&amp;" ("&amp;Tabela_tudo[[#This Row],[Obs]]&amp;")"</f>
        <v>COR ()</v>
      </c>
    </row>
    <row r="3378" spans="1:14" x14ac:dyDescent="0.3">
      <c r="A3378" s="1">
        <v>45484</v>
      </c>
      <c r="B3378" t="s">
        <v>333</v>
      </c>
      <c r="C3378" t="s">
        <v>455</v>
      </c>
      <c r="D3378" s="8"/>
      <c r="E3378" s="8"/>
      <c r="L3378" t="s">
        <v>563</v>
      </c>
      <c r="M3378" t="s">
        <v>478</v>
      </c>
      <c r="N3378" t="str">
        <f>Tabela_tudo[[#This Row],[Médico]]&amp;" ("&amp;Tabela_tudo[[#This Row],[Obs]]&amp;")"</f>
        <v>COR ()</v>
      </c>
    </row>
    <row r="3379" spans="1:14" x14ac:dyDescent="0.3">
      <c r="A3379" s="1">
        <v>45505</v>
      </c>
      <c r="B3379" t="s">
        <v>333</v>
      </c>
      <c r="C3379" t="s">
        <v>455</v>
      </c>
      <c r="D3379" s="8"/>
      <c r="E3379" s="8"/>
      <c r="L3379" t="s">
        <v>563</v>
      </c>
      <c r="M3379" t="s">
        <v>478</v>
      </c>
      <c r="N3379" t="str">
        <f>Tabela_tudo[[#This Row],[Médico]]&amp;" ("&amp;Tabela_tudo[[#This Row],[Obs]]&amp;")"</f>
        <v>COR ()</v>
      </c>
    </row>
    <row r="3380" spans="1:14" x14ac:dyDescent="0.3">
      <c r="A3380" s="1">
        <v>45498</v>
      </c>
      <c r="B3380" t="s">
        <v>333</v>
      </c>
      <c r="C3380" t="s">
        <v>455</v>
      </c>
      <c r="D3380" s="8"/>
      <c r="E3380" s="8"/>
      <c r="L3380" t="s">
        <v>563</v>
      </c>
      <c r="M3380" t="s">
        <v>478</v>
      </c>
      <c r="N3380" t="str">
        <f>Tabela_tudo[[#This Row],[Médico]]&amp;" ("&amp;Tabela_tudo[[#This Row],[Obs]]&amp;")"</f>
        <v>COR ()</v>
      </c>
    </row>
    <row r="3381" spans="1:14" x14ac:dyDescent="0.3">
      <c r="A3381" s="1">
        <v>45491</v>
      </c>
      <c r="B3381" t="s">
        <v>333</v>
      </c>
      <c r="C3381" t="s">
        <v>455</v>
      </c>
      <c r="D3381" s="8"/>
      <c r="E3381" s="8"/>
      <c r="L3381" t="s">
        <v>563</v>
      </c>
      <c r="M3381" t="s">
        <v>478</v>
      </c>
      <c r="N3381" t="str">
        <f>Tabela_tudo[[#This Row],[Médico]]&amp;" ("&amp;Tabela_tudo[[#This Row],[Obs]]&amp;")"</f>
        <v>COR ()</v>
      </c>
    </row>
    <row r="3382" spans="1:14" x14ac:dyDescent="0.3">
      <c r="A3382" s="1">
        <v>45561</v>
      </c>
      <c r="B3382" t="s">
        <v>333</v>
      </c>
      <c r="C3382" t="s">
        <v>455</v>
      </c>
      <c r="D3382" s="8"/>
      <c r="E3382" s="8"/>
      <c r="L3382" t="s">
        <v>563</v>
      </c>
      <c r="M3382" t="s">
        <v>478</v>
      </c>
      <c r="N3382" t="str">
        <f>Tabela_tudo[[#This Row],[Médico]]&amp;" ("&amp;Tabela_tudo[[#This Row],[Obs]]&amp;")"</f>
        <v>COR ()</v>
      </c>
    </row>
    <row r="3383" spans="1:14" x14ac:dyDescent="0.3">
      <c r="A3383" s="1">
        <v>45631</v>
      </c>
      <c r="B3383" t="s">
        <v>333</v>
      </c>
      <c r="C3383" t="s">
        <v>455</v>
      </c>
      <c r="D3383" s="8"/>
      <c r="E3383" s="8"/>
      <c r="L3383" t="s">
        <v>563</v>
      </c>
      <c r="M3383" t="s">
        <v>478</v>
      </c>
      <c r="N3383" t="str">
        <f>Tabela_tudo[[#This Row],[Médico]]&amp;" ("&amp;Tabela_tudo[[#This Row],[Obs]]&amp;")"</f>
        <v>COR ()</v>
      </c>
    </row>
    <row r="3384" spans="1:14" x14ac:dyDescent="0.3">
      <c r="A3384" s="1">
        <v>45624</v>
      </c>
      <c r="B3384" t="s">
        <v>333</v>
      </c>
      <c r="C3384" t="s">
        <v>455</v>
      </c>
      <c r="D3384" s="8"/>
      <c r="E3384" s="8"/>
      <c r="L3384" t="s">
        <v>563</v>
      </c>
      <c r="M3384" t="s">
        <v>478</v>
      </c>
      <c r="N3384" t="str">
        <f>Tabela_tudo[[#This Row],[Médico]]&amp;" ("&amp;Tabela_tudo[[#This Row],[Obs]]&amp;")"</f>
        <v>COR ()</v>
      </c>
    </row>
    <row r="3385" spans="1:14" x14ac:dyDescent="0.3">
      <c r="A3385" s="1">
        <v>45617</v>
      </c>
      <c r="B3385" t="s">
        <v>333</v>
      </c>
      <c r="C3385" t="s">
        <v>455</v>
      </c>
      <c r="D3385" s="8"/>
      <c r="E3385" s="8"/>
      <c r="L3385" t="s">
        <v>563</v>
      </c>
      <c r="M3385" t="s">
        <v>478</v>
      </c>
      <c r="N3385" t="str">
        <f>Tabela_tudo[[#This Row],[Médico]]&amp;" ("&amp;Tabela_tudo[[#This Row],[Obs]]&amp;")"</f>
        <v>COR ()</v>
      </c>
    </row>
    <row r="3386" spans="1:14" x14ac:dyDescent="0.3">
      <c r="A3386" s="1">
        <v>45638</v>
      </c>
      <c r="B3386" t="s">
        <v>333</v>
      </c>
      <c r="C3386" t="s">
        <v>455</v>
      </c>
      <c r="D3386" s="8"/>
      <c r="E3386" s="8"/>
      <c r="L3386" t="s">
        <v>563</v>
      </c>
      <c r="M3386" t="s">
        <v>478</v>
      </c>
      <c r="N3386" t="str">
        <f>Tabela_tudo[[#This Row],[Médico]]&amp;" ("&amp;Tabela_tudo[[#This Row],[Obs]]&amp;")"</f>
        <v>COR ()</v>
      </c>
    </row>
    <row r="3387" spans="1:14" x14ac:dyDescent="0.3">
      <c r="A3387" s="1">
        <v>44932</v>
      </c>
      <c r="B3387" t="s">
        <v>283</v>
      </c>
      <c r="C3387" t="s">
        <v>455</v>
      </c>
      <c r="D3387" s="8"/>
      <c r="E3387" s="8"/>
      <c r="L3387" t="s">
        <v>563</v>
      </c>
      <c r="M3387" t="s">
        <v>478</v>
      </c>
      <c r="N3387" t="str">
        <f>Tabela_tudo[[#This Row],[Médico]]&amp;" ("&amp;Tabela_tudo[[#This Row],[Obs]]&amp;")"</f>
        <v>JU ()</v>
      </c>
    </row>
    <row r="3388" spans="1:14" x14ac:dyDescent="0.3">
      <c r="A3388" s="1">
        <v>45652</v>
      </c>
      <c r="B3388" t="s">
        <v>333</v>
      </c>
      <c r="C3388" t="s">
        <v>455</v>
      </c>
      <c r="D3388" s="8"/>
      <c r="E3388" s="8"/>
      <c r="L3388" t="s">
        <v>563</v>
      </c>
      <c r="M3388" t="s">
        <v>478</v>
      </c>
      <c r="N3388" t="str">
        <f>Tabela_tudo[[#This Row],[Médico]]&amp;" ("&amp;Tabela_tudo[[#This Row],[Obs]]&amp;")"</f>
        <v>COR ()</v>
      </c>
    </row>
    <row r="3389" spans="1:14" x14ac:dyDescent="0.3">
      <c r="A3389" s="1">
        <v>45645</v>
      </c>
      <c r="B3389" t="s">
        <v>333</v>
      </c>
      <c r="C3389" t="s">
        <v>455</v>
      </c>
      <c r="D3389" s="8"/>
      <c r="E3389" s="8"/>
      <c r="L3389" t="s">
        <v>563</v>
      </c>
      <c r="M3389" t="s">
        <v>478</v>
      </c>
      <c r="N3389" t="str">
        <f>Tabela_tudo[[#This Row],[Médico]]&amp;" ("&amp;Tabela_tudo[[#This Row],[Obs]]&amp;")"</f>
        <v>COR ()</v>
      </c>
    </row>
    <row r="3390" spans="1:14" x14ac:dyDescent="0.3">
      <c r="A3390" s="1">
        <v>45582</v>
      </c>
      <c r="B3390" t="s">
        <v>333</v>
      </c>
      <c r="C3390" t="s">
        <v>455</v>
      </c>
      <c r="D3390" s="8"/>
      <c r="E3390" s="8"/>
      <c r="L3390" t="s">
        <v>563</v>
      </c>
      <c r="M3390" t="s">
        <v>478</v>
      </c>
      <c r="N3390" t="str">
        <f>Tabela_tudo[[#This Row],[Médico]]&amp;" ("&amp;Tabela_tudo[[#This Row],[Obs]]&amp;")"</f>
        <v>COR ()</v>
      </c>
    </row>
    <row r="3391" spans="1:14" x14ac:dyDescent="0.3">
      <c r="A3391" s="1">
        <v>45575</v>
      </c>
      <c r="B3391" t="s">
        <v>333</v>
      </c>
      <c r="C3391" t="s">
        <v>455</v>
      </c>
      <c r="D3391" s="8"/>
      <c r="E3391" s="8"/>
      <c r="L3391" t="s">
        <v>563</v>
      </c>
      <c r="M3391" t="s">
        <v>478</v>
      </c>
      <c r="N3391" t="str">
        <f>Tabela_tudo[[#This Row],[Médico]]&amp;" ("&amp;Tabela_tudo[[#This Row],[Obs]]&amp;")"</f>
        <v>COR ()</v>
      </c>
    </row>
    <row r="3392" spans="1:14" x14ac:dyDescent="0.3">
      <c r="A3392" s="1">
        <v>45568</v>
      </c>
      <c r="B3392" t="s">
        <v>333</v>
      </c>
      <c r="C3392" t="s">
        <v>455</v>
      </c>
      <c r="D3392" s="8"/>
      <c r="E3392" s="8"/>
      <c r="L3392" t="s">
        <v>563</v>
      </c>
      <c r="M3392" t="s">
        <v>478</v>
      </c>
      <c r="N3392" t="str">
        <f>Tabela_tudo[[#This Row],[Médico]]&amp;" ("&amp;Tabela_tudo[[#This Row],[Obs]]&amp;")"</f>
        <v>COR ()</v>
      </c>
    </row>
    <row r="3393" spans="1:14" x14ac:dyDescent="0.3">
      <c r="A3393" s="1">
        <v>45589</v>
      </c>
      <c r="B3393" t="s">
        <v>333</v>
      </c>
      <c r="C3393" t="s">
        <v>455</v>
      </c>
      <c r="D3393" s="8"/>
      <c r="E3393" s="8"/>
      <c r="L3393" t="s">
        <v>563</v>
      </c>
      <c r="M3393" t="s">
        <v>478</v>
      </c>
      <c r="N3393" t="str">
        <f>Tabela_tudo[[#This Row],[Médico]]&amp;" ("&amp;Tabela_tudo[[#This Row],[Obs]]&amp;")"</f>
        <v>COR ()</v>
      </c>
    </row>
    <row r="3394" spans="1:14" x14ac:dyDescent="0.3">
      <c r="A3394" s="1">
        <v>45610</v>
      </c>
      <c r="B3394" t="s">
        <v>333</v>
      </c>
      <c r="C3394" t="s">
        <v>455</v>
      </c>
      <c r="D3394" s="8"/>
      <c r="E3394" s="8"/>
      <c r="L3394" t="s">
        <v>563</v>
      </c>
      <c r="M3394" t="s">
        <v>478</v>
      </c>
      <c r="N3394" t="str">
        <f>Tabela_tudo[[#This Row],[Médico]]&amp;" ("&amp;Tabela_tudo[[#This Row],[Obs]]&amp;")"</f>
        <v>COR ()</v>
      </c>
    </row>
    <row r="3395" spans="1:14" x14ac:dyDescent="0.3">
      <c r="A3395" s="1">
        <v>45603</v>
      </c>
      <c r="B3395" t="s">
        <v>333</v>
      </c>
      <c r="C3395" t="s">
        <v>455</v>
      </c>
      <c r="D3395" s="8"/>
      <c r="E3395" s="8"/>
      <c r="L3395" t="s">
        <v>563</v>
      </c>
      <c r="M3395" t="s">
        <v>478</v>
      </c>
      <c r="N3395" t="str">
        <f>Tabela_tudo[[#This Row],[Médico]]&amp;" ("&amp;Tabela_tudo[[#This Row],[Obs]]&amp;")"</f>
        <v>COR ()</v>
      </c>
    </row>
    <row r="3396" spans="1:14" x14ac:dyDescent="0.3">
      <c r="A3396" s="1">
        <v>45596</v>
      </c>
      <c r="B3396" t="s">
        <v>333</v>
      </c>
      <c r="C3396" t="s">
        <v>455</v>
      </c>
      <c r="D3396" s="8"/>
      <c r="E3396" s="8"/>
      <c r="L3396" t="s">
        <v>563</v>
      </c>
      <c r="M3396" t="s">
        <v>478</v>
      </c>
      <c r="N3396" t="str">
        <f>Tabela_tudo[[#This Row],[Médico]]&amp;" ("&amp;Tabela_tudo[[#This Row],[Obs]]&amp;")"</f>
        <v>COR ()</v>
      </c>
    </row>
    <row r="3397" spans="1:14" x14ac:dyDescent="0.3">
      <c r="A3397" s="1">
        <v>45456</v>
      </c>
      <c r="B3397" t="s">
        <v>333</v>
      </c>
      <c r="C3397" t="s">
        <v>455</v>
      </c>
      <c r="D3397" s="8"/>
      <c r="E3397" s="8"/>
      <c r="L3397" t="s">
        <v>563</v>
      </c>
      <c r="M3397" t="s">
        <v>478</v>
      </c>
      <c r="N3397" t="str">
        <f>Tabela_tudo[[#This Row],[Médico]]&amp;" ("&amp;Tabela_tudo[[#This Row],[Obs]]&amp;")"</f>
        <v>COR ()</v>
      </c>
    </row>
    <row r="3398" spans="1:14" x14ac:dyDescent="0.3">
      <c r="A3398" s="1">
        <v>45316</v>
      </c>
      <c r="B3398" t="s">
        <v>333</v>
      </c>
      <c r="C3398" t="s">
        <v>455</v>
      </c>
      <c r="D3398" s="8"/>
      <c r="E3398" s="8"/>
      <c r="L3398" t="s">
        <v>563</v>
      </c>
      <c r="M3398" t="s">
        <v>478</v>
      </c>
      <c r="N3398" t="str">
        <f>Tabela_tudo[[#This Row],[Médico]]&amp;" ("&amp;Tabela_tudo[[#This Row],[Obs]]&amp;")"</f>
        <v>COR ()</v>
      </c>
    </row>
    <row r="3399" spans="1:14" x14ac:dyDescent="0.3">
      <c r="A3399" s="1">
        <v>45309</v>
      </c>
      <c r="B3399" t="s">
        <v>333</v>
      </c>
      <c r="C3399" t="s">
        <v>455</v>
      </c>
      <c r="D3399" s="8"/>
      <c r="E3399" s="8"/>
      <c r="L3399" t="s">
        <v>563</v>
      </c>
      <c r="M3399" t="s">
        <v>478</v>
      </c>
      <c r="N3399" t="str">
        <f>Tabela_tudo[[#This Row],[Médico]]&amp;" ("&amp;Tabela_tudo[[#This Row],[Obs]]&amp;")"</f>
        <v>COR ()</v>
      </c>
    </row>
    <row r="3400" spans="1:14" x14ac:dyDescent="0.3">
      <c r="A3400" s="1">
        <v>45302</v>
      </c>
      <c r="B3400" t="s">
        <v>333</v>
      </c>
      <c r="C3400" t="s">
        <v>455</v>
      </c>
      <c r="D3400" s="8"/>
      <c r="E3400" s="8"/>
      <c r="L3400" t="s">
        <v>563</v>
      </c>
      <c r="M3400" t="s">
        <v>478</v>
      </c>
      <c r="N3400" t="str">
        <f>Tabela_tudo[[#This Row],[Médico]]&amp;" ("&amp;Tabela_tudo[[#This Row],[Obs]]&amp;")"</f>
        <v>COR ()</v>
      </c>
    </row>
    <row r="3401" spans="1:14" x14ac:dyDescent="0.3">
      <c r="A3401" s="1">
        <v>45323</v>
      </c>
      <c r="B3401" t="s">
        <v>333</v>
      </c>
      <c r="C3401" t="s">
        <v>455</v>
      </c>
      <c r="D3401" s="8"/>
      <c r="E3401" s="8"/>
      <c r="L3401" t="s">
        <v>563</v>
      </c>
      <c r="M3401" t="s">
        <v>478</v>
      </c>
      <c r="N3401" t="str">
        <f>Tabela_tudo[[#This Row],[Médico]]&amp;" ("&amp;Tabela_tudo[[#This Row],[Obs]]&amp;")"</f>
        <v>COR ()</v>
      </c>
    </row>
    <row r="3402" spans="1:14" x14ac:dyDescent="0.3">
      <c r="A3402" s="1">
        <v>45344</v>
      </c>
      <c r="B3402" t="s">
        <v>333</v>
      </c>
      <c r="C3402" t="s">
        <v>455</v>
      </c>
      <c r="D3402" s="8"/>
      <c r="E3402" s="8"/>
      <c r="L3402" t="s">
        <v>563</v>
      </c>
      <c r="M3402" t="s">
        <v>478</v>
      </c>
      <c r="N3402" t="str">
        <f>Tabela_tudo[[#This Row],[Médico]]&amp;" ("&amp;Tabela_tudo[[#This Row],[Obs]]&amp;")"</f>
        <v>COR ()</v>
      </c>
    </row>
    <row r="3403" spans="1:14" x14ac:dyDescent="0.3">
      <c r="A3403" s="1">
        <v>45337</v>
      </c>
      <c r="B3403" t="s">
        <v>333</v>
      </c>
      <c r="C3403" t="s">
        <v>455</v>
      </c>
      <c r="D3403" s="8"/>
      <c r="E3403" s="8"/>
      <c r="L3403" t="s">
        <v>563</v>
      </c>
      <c r="M3403" t="s">
        <v>478</v>
      </c>
      <c r="N3403" t="str">
        <f>Tabela_tudo[[#This Row],[Médico]]&amp;" ("&amp;Tabela_tudo[[#This Row],[Obs]]&amp;")"</f>
        <v>COR ()</v>
      </c>
    </row>
    <row r="3404" spans="1:14" x14ac:dyDescent="0.3">
      <c r="A3404" s="1">
        <v>45330</v>
      </c>
      <c r="B3404" t="s">
        <v>333</v>
      </c>
      <c r="C3404" t="s">
        <v>455</v>
      </c>
      <c r="D3404" s="8"/>
      <c r="E3404" s="8"/>
      <c r="L3404" t="s">
        <v>563</v>
      </c>
      <c r="M3404" t="s">
        <v>478</v>
      </c>
      <c r="N3404" t="str">
        <f>Tabela_tudo[[#This Row],[Médico]]&amp;" ("&amp;Tabela_tudo[[#This Row],[Obs]]&amp;")"</f>
        <v>COR ()</v>
      </c>
    </row>
    <row r="3405" spans="1:14" x14ac:dyDescent="0.3">
      <c r="A3405" s="1">
        <v>45267</v>
      </c>
      <c r="B3405" t="s">
        <v>333</v>
      </c>
      <c r="C3405" t="s">
        <v>455</v>
      </c>
      <c r="D3405" s="8"/>
      <c r="E3405" s="8"/>
      <c r="L3405" t="s">
        <v>563</v>
      </c>
      <c r="M3405" t="s">
        <v>478</v>
      </c>
      <c r="N3405" t="str">
        <f>Tabela_tudo[[#This Row],[Médico]]&amp;" ("&amp;Tabela_tudo[[#This Row],[Obs]]&amp;")"</f>
        <v>COR ()</v>
      </c>
    </row>
    <row r="3406" spans="1:14" x14ac:dyDescent="0.3">
      <c r="A3406" s="1">
        <v>45260</v>
      </c>
      <c r="B3406" t="s">
        <v>333</v>
      </c>
      <c r="C3406" t="s">
        <v>455</v>
      </c>
      <c r="D3406" s="8"/>
      <c r="E3406" s="8"/>
      <c r="L3406" t="s">
        <v>563</v>
      </c>
      <c r="M3406" t="s">
        <v>478</v>
      </c>
      <c r="N3406" t="str">
        <f>Tabela_tudo[[#This Row],[Médico]]&amp;" ("&amp;Tabela_tudo[[#This Row],[Obs]]&amp;")"</f>
        <v>COR ()</v>
      </c>
    </row>
    <row r="3407" spans="1:14" x14ac:dyDescent="0.3">
      <c r="A3407" s="1">
        <v>45253</v>
      </c>
      <c r="B3407" t="s">
        <v>333</v>
      </c>
      <c r="C3407" t="s">
        <v>455</v>
      </c>
      <c r="D3407" s="8"/>
      <c r="E3407" s="8"/>
      <c r="L3407" t="s">
        <v>563</v>
      </c>
      <c r="M3407" t="s">
        <v>478</v>
      </c>
      <c r="N3407" t="str">
        <f>Tabela_tudo[[#This Row],[Médico]]&amp;" ("&amp;Tabela_tudo[[#This Row],[Obs]]&amp;")"</f>
        <v>COR ()</v>
      </c>
    </row>
    <row r="3408" spans="1:14" x14ac:dyDescent="0.3">
      <c r="A3408" s="1">
        <v>45274</v>
      </c>
      <c r="B3408" t="s">
        <v>333</v>
      </c>
      <c r="C3408" t="s">
        <v>455</v>
      </c>
      <c r="D3408" s="8"/>
      <c r="E3408" s="8"/>
      <c r="L3408" t="s">
        <v>563</v>
      </c>
      <c r="M3408" t="s">
        <v>478</v>
      </c>
      <c r="N3408" t="str">
        <f>Tabela_tudo[[#This Row],[Médico]]&amp;" ("&amp;Tabela_tudo[[#This Row],[Obs]]&amp;")"</f>
        <v>COR ()</v>
      </c>
    </row>
    <row r="3409" spans="1:14" x14ac:dyDescent="0.3">
      <c r="A3409" s="1">
        <v>45295</v>
      </c>
      <c r="B3409" t="s">
        <v>333</v>
      </c>
      <c r="C3409" t="s">
        <v>455</v>
      </c>
      <c r="D3409" s="8"/>
      <c r="E3409" s="8"/>
      <c r="L3409" t="s">
        <v>563</v>
      </c>
      <c r="M3409" t="s">
        <v>478</v>
      </c>
      <c r="N3409" t="str">
        <f>Tabela_tudo[[#This Row],[Médico]]&amp;" ("&amp;Tabela_tudo[[#This Row],[Obs]]&amp;")"</f>
        <v>COR ()</v>
      </c>
    </row>
    <row r="3410" spans="1:14" x14ac:dyDescent="0.3">
      <c r="A3410" s="1">
        <v>45288</v>
      </c>
      <c r="B3410" t="s">
        <v>333</v>
      </c>
      <c r="C3410" t="s">
        <v>455</v>
      </c>
      <c r="D3410" s="8"/>
      <c r="E3410" s="8"/>
      <c r="L3410" t="s">
        <v>563</v>
      </c>
      <c r="M3410" t="s">
        <v>478</v>
      </c>
      <c r="N3410" t="str">
        <f>Tabela_tudo[[#This Row],[Médico]]&amp;" ("&amp;Tabela_tudo[[#This Row],[Obs]]&amp;")"</f>
        <v>COR ()</v>
      </c>
    </row>
    <row r="3411" spans="1:14" x14ac:dyDescent="0.3">
      <c r="A3411" s="1">
        <v>45281</v>
      </c>
      <c r="B3411" t="s">
        <v>333</v>
      </c>
      <c r="C3411" t="s">
        <v>455</v>
      </c>
      <c r="D3411" s="8"/>
      <c r="E3411" s="8"/>
      <c r="L3411" t="s">
        <v>563</v>
      </c>
      <c r="M3411" t="s">
        <v>478</v>
      </c>
      <c r="N3411" t="str">
        <f>Tabela_tudo[[#This Row],[Médico]]&amp;" ("&amp;Tabela_tudo[[#This Row],[Obs]]&amp;")"</f>
        <v>COR ()</v>
      </c>
    </row>
    <row r="3412" spans="1:14" x14ac:dyDescent="0.3">
      <c r="A3412" s="1">
        <v>45351</v>
      </c>
      <c r="B3412" t="s">
        <v>333</v>
      </c>
      <c r="C3412" t="s">
        <v>455</v>
      </c>
      <c r="D3412" s="8"/>
      <c r="E3412" s="8"/>
      <c r="L3412" t="s">
        <v>563</v>
      </c>
      <c r="M3412" t="s">
        <v>478</v>
      </c>
      <c r="N3412" t="str">
        <f>Tabela_tudo[[#This Row],[Médico]]&amp;" ("&amp;Tabela_tudo[[#This Row],[Obs]]&amp;")"</f>
        <v>COR ()</v>
      </c>
    </row>
    <row r="3413" spans="1:14" x14ac:dyDescent="0.3">
      <c r="A3413" s="1">
        <v>45421</v>
      </c>
      <c r="B3413" t="s">
        <v>333</v>
      </c>
      <c r="C3413" t="s">
        <v>455</v>
      </c>
      <c r="D3413" s="8"/>
      <c r="E3413" s="8"/>
      <c r="L3413" t="s">
        <v>563</v>
      </c>
      <c r="M3413" t="s">
        <v>478</v>
      </c>
      <c r="N3413" t="str">
        <f>Tabela_tudo[[#This Row],[Médico]]&amp;" ("&amp;Tabela_tudo[[#This Row],[Obs]]&amp;")"</f>
        <v>COR ()</v>
      </c>
    </row>
    <row r="3414" spans="1:14" x14ac:dyDescent="0.3">
      <c r="A3414" s="1">
        <v>45414</v>
      </c>
      <c r="B3414" t="s">
        <v>333</v>
      </c>
      <c r="C3414" t="s">
        <v>455</v>
      </c>
      <c r="D3414" s="8"/>
      <c r="E3414" s="8"/>
      <c r="L3414" t="s">
        <v>563</v>
      </c>
      <c r="M3414" t="s">
        <v>478</v>
      </c>
      <c r="N3414" t="str">
        <f>Tabela_tudo[[#This Row],[Médico]]&amp;" ("&amp;Tabela_tudo[[#This Row],[Obs]]&amp;")"</f>
        <v>COR ()</v>
      </c>
    </row>
    <row r="3415" spans="1:14" x14ac:dyDescent="0.3">
      <c r="A3415" s="1">
        <v>45407</v>
      </c>
      <c r="B3415" t="s">
        <v>333</v>
      </c>
      <c r="C3415" t="s">
        <v>455</v>
      </c>
      <c r="D3415" s="8"/>
      <c r="E3415" s="8"/>
      <c r="L3415" t="s">
        <v>563</v>
      </c>
      <c r="M3415" t="s">
        <v>478</v>
      </c>
      <c r="N3415" t="str">
        <f>Tabela_tudo[[#This Row],[Médico]]&amp;" ("&amp;Tabela_tudo[[#This Row],[Obs]]&amp;")"</f>
        <v>COR ()</v>
      </c>
    </row>
    <row r="3416" spans="1:14" x14ac:dyDescent="0.3">
      <c r="A3416" s="1">
        <v>45428</v>
      </c>
      <c r="B3416" t="s">
        <v>333</v>
      </c>
      <c r="C3416" t="s">
        <v>455</v>
      </c>
      <c r="D3416" s="8"/>
      <c r="E3416" s="8"/>
      <c r="L3416" t="s">
        <v>563</v>
      </c>
      <c r="M3416" t="s">
        <v>478</v>
      </c>
      <c r="N3416" t="str">
        <f>Tabela_tudo[[#This Row],[Médico]]&amp;" ("&amp;Tabela_tudo[[#This Row],[Obs]]&amp;")"</f>
        <v>COR ()</v>
      </c>
    </row>
    <row r="3417" spans="1:14" x14ac:dyDescent="0.3">
      <c r="A3417" s="1">
        <v>45449</v>
      </c>
      <c r="B3417" t="s">
        <v>333</v>
      </c>
      <c r="C3417" t="s">
        <v>455</v>
      </c>
      <c r="D3417" s="8"/>
      <c r="E3417" s="8"/>
      <c r="L3417" t="s">
        <v>563</v>
      </c>
      <c r="M3417" t="s">
        <v>478</v>
      </c>
      <c r="N3417" t="str">
        <f>Tabela_tudo[[#This Row],[Médico]]&amp;" ("&amp;Tabela_tudo[[#This Row],[Obs]]&amp;")"</f>
        <v>COR ()</v>
      </c>
    </row>
    <row r="3418" spans="1:14" x14ac:dyDescent="0.3">
      <c r="A3418" s="1">
        <v>45442</v>
      </c>
      <c r="B3418" t="s">
        <v>333</v>
      </c>
      <c r="C3418" t="s">
        <v>455</v>
      </c>
      <c r="D3418" s="8"/>
      <c r="E3418" s="8"/>
      <c r="L3418" t="s">
        <v>563</v>
      </c>
      <c r="M3418" t="s">
        <v>478</v>
      </c>
      <c r="N3418" t="str">
        <f>Tabela_tudo[[#This Row],[Médico]]&amp;" ("&amp;Tabela_tudo[[#This Row],[Obs]]&amp;")"</f>
        <v>COR ()</v>
      </c>
    </row>
    <row r="3419" spans="1:14" x14ac:dyDescent="0.3">
      <c r="A3419" s="1">
        <v>45435</v>
      </c>
      <c r="B3419" t="s">
        <v>333</v>
      </c>
      <c r="C3419" t="s">
        <v>455</v>
      </c>
      <c r="D3419" s="8"/>
      <c r="E3419" s="8"/>
      <c r="L3419" t="s">
        <v>563</v>
      </c>
      <c r="M3419" t="s">
        <v>478</v>
      </c>
      <c r="N3419" t="str">
        <f>Tabela_tudo[[#This Row],[Médico]]&amp;" ("&amp;Tabela_tudo[[#This Row],[Obs]]&amp;")"</f>
        <v>COR ()</v>
      </c>
    </row>
    <row r="3420" spans="1:14" x14ac:dyDescent="0.3">
      <c r="A3420" s="1">
        <v>45372</v>
      </c>
      <c r="B3420" t="s">
        <v>333</v>
      </c>
      <c r="C3420" t="s">
        <v>455</v>
      </c>
      <c r="D3420" s="8"/>
      <c r="E3420" s="8"/>
      <c r="L3420" t="s">
        <v>563</v>
      </c>
      <c r="M3420" t="s">
        <v>478</v>
      </c>
      <c r="N3420" t="str">
        <f>Tabela_tudo[[#This Row],[Médico]]&amp;" ("&amp;Tabela_tudo[[#This Row],[Obs]]&amp;")"</f>
        <v>COR ()</v>
      </c>
    </row>
    <row r="3421" spans="1:14" x14ac:dyDescent="0.3">
      <c r="A3421" s="1">
        <v>45365</v>
      </c>
      <c r="B3421" t="s">
        <v>333</v>
      </c>
      <c r="C3421" t="s">
        <v>455</v>
      </c>
      <c r="D3421" s="8"/>
      <c r="E3421" s="8"/>
      <c r="L3421" t="s">
        <v>563</v>
      </c>
      <c r="M3421" t="s">
        <v>478</v>
      </c>
      <c r="N3421" t="str">
        <f>Tabela_tudo[[#This Row],[Médico]]&amp;" ("&amp;Tabela_tudo[[#This Row],[Obs]]&amp;")"</f>
        <v>COR ()</v>
      </c>
    </row>
    <row r="3422" spans="1:14" x14ac:dyDescent="0.3">
      <c r="A3422" s="1">
        <v>45358</v>
      </c>
      <c r="B3422" t="s">
        <v>333</v>
      </c>
      <c r="C3422" t="s">
        <v>455</v>
      </c>
      <c r="D3422" s="8"/>
      <c r="E3422" s="8"/>
      <c r="L3422" t="s">
        <v>563</v>
      </c>
      <c r="M3422" t="s">
        <v>478</v>
      </c>
      <c r="N3422" t="str">
        <f>Tabela_tudo[[#This Row],[Médico]]&amp;" ("&amp;Tabela_tudo[[#This Row],[Obs]]&amp;")"</f>
        <v>COR ()</v>
      </c>
    </row>
    <row r="3423" spans="1:14" x14ac:dyDescent="0.3">
      <c r="A3423" s="1">
        <v>45379</v>
      </c>
      <c r="B3423" t="s">
        <v>333</v>
      </c>
      <c r="C3423" t="s">
        <v>455</v>
      </c>
      <c r="D3423" s="8"/>
      <c r="E3423" s="8"/>
      <c r="L3423" t="s">
        <v>563</v>
      </c>
      <c r="M3423" t="s">
        <v>478</v>
      </c>
      <c r="N3423" t="str">
        <f>Tabela_tudo[[#This Row],[Médico]]&amp;" ("&amp;Tabela_tudo[[#This Row],[Obs]]&amp;")"</f>
        <v>COR ()</v>
      </c>
    </row>
    <row r="3424" spans="1:14" x14ac:dyDescent="0.3">
      <c r="A3424" s="1">
        <v>45400</v>
      </c>
      <c r="B3424" t="s">
        <v>333</v>
      </c>
      <c r="C3424" t="s">
        <v>455</v>
      </c>
      <c r="D3424" s="8"/>
      <c r="E3424" s="8"/>
      <c r="L3424" t="s">
        <v>563</v>
      </c>
      <c r="M3424" t="s">
        <v>478</v>
      </c>
      <c r="N3424" t="str">
        <f>Tabela_tudo[[#This Row],[Médico]]&amp;" ("&amp;Tabela_tudo[[#This Row],[Obs]]&amp;")"</f>
        <v>COR ()</v>
      </c>
    </row>
    <row r="3425" spans="1:14" x14ac:dyDescent="0.3">
      <c r="A3425" s="1">
        <v>45393</v>
      </c>
      <c r="B3425" t="s">
        <v>333</v>
      </c>
      <c r="C3425" t="s">
        <v>455</v>
      </c>
      <c r="D3425" s="8"/>
      <c r="E3425" s="8"/>
      <c r="L3425" t="s">
        <v>563</v>
      </c>
      <c r="M3425" t="s">
        <v>478</v>
      </c>
      <c r="N3425" t="str">
        <f>Tabela_tudo[[#This Row],[Médico]]&amp;" ("&amp;Tabela_tudo[[#This Row],[Obs]]&amp;")"</f>
        <v>COR ()</v>
      </c>
    </row>
    <row r="3426" spans="1:14" x14ac:dyDescent="0.3">
      <c r="A3426" s="1">
        <v>45386</v>
      </c>
      <c r="B3426" t="s">
        <v>333</v>
      </c>
      <c r="C3426" t="s">
        <v>455</v>
      </c>
      <c r="D3426" s="8"/>
      <c r="E3426" s="8"/>
      <c r="L3426" t="s">
        <v>563</v>
      </c>
      <c r="M3426" t="s">
        <v>478</v>
      </c>
      <c r="N3426" t="str">
        <f>Tabela_tudo[[#This Row],[Médico]]&amp;" ("&amp;Tabela_tudo[[#This Row],[Obs]]&amp;")"</f>
        <v>COR ()</v>
      </c>
    </row>
    <row r="3427" spans="1:14" x14ac:dyDescent="0.3">
      <c r="A3427" s="1">
        <v>45443</v>
      </c>
      <c r="B3427" t="s">
        <v>20</v>
      </c>
      <c r="C3427" t="s">
        <v>455</v>
      </c>
      <c r="D3427" s="8"/>
      <c r="E3427" s="8"/>
      <c r="L3427" t="s">
        <v>563</v>
      </c>
      <c r="M3427" t="s">
        <v>478</v>
      </c>
      <c r="N3427" t="str">
        <f>Tabela_tudo[[#This Row],[Médico]]&amp;" ("&amp;Tabela_tudo[[#This Row],[Obs]]&amp;")"</f>
        <v>ROB ()</v>
      </c>
    </row>
    <row r="3428" spans="1:14" x14ac:dyDescent="0.3">
      <c r="A3428" s="1">
        <v>45436</v>
      </c>
      <c r="B3428" t="s">
        <v>20</v>
      </c>
      <c r="C3428" t="s">
        <v>455</v>
      </c>
      <c r="D3428" s="8"/>
      <c r="E3428" s="8"/>
      <c r="L3428" t="s">
        <v>563</v>
      </c>
      <c r="M3428" t="s">
        <v>478</v>
      </c>
      <c r="N3428" t="str">
        <f>Tabela_tudo[[#This Row],[Médico]]&amp;" ("&amp;Tabela_tudo[[#This Row],[Obs]]&amp;")"</f>
        <v>ROB ()</v>
      </c>
    </row>
    <row r="3429" spans="1:14" x14ac:dyDescent="0.3">
      <c r="A3429" s="1">
        <v>45429</v>
      </c>
      <c r="B3429" t="s">
        <v>20</v>
      </c>
      <c r="C3429" t="s">
        <v>455</v>
      </c>
      <c r="D3429" s="8"/>
      <c r="E3429" s="8"/>
      <c r="L3429" t="s">
        <v>563</v>
      </c>
      <c r="M3429" t="s">
        <v>478</v>
      </c>
      <c r="N3429" t="str">
        <f>Tabela_tudo[[#This Row],[Médico]]&amp;" ("&amp;Tabela_tudo[[#This Row],[Obs]]&amp;")"</f>
        <v>ROB ()</v>
      </c>
    </row>
    <row r="3430" spans="1:14" x14ac:dyDescent="0.3">
      <c r="A3430" s="1">
        <v>45450</v>
      </c>
      <c r="B3430" t="s">
        <v>20</v>
      </c>
      <c r="C3430" t="s">
        <v>455</v>
      </c>
      <c r="D3430" s="8"/>
      <c r="E3430" s="8"/>
      <c r="L3430" t="s">
        <v>563</v>
      </c>
      <c r="M3430" t="s">
        <v>478</v>
      </c>
      <c r="N3430" t="str">
        <f>Tabela_tudo[[#This Row],[Médico]]&amp;" ("&amp;Tabela_tudo[[#This Row],[Obs]]&amp;")"</f>
        <v>ROB ()</v>
      </c>
    </row>
    <row r="3431" spans="1:14" x14ac:dyDescent="0.3">
      <c r="A3431" s="1">
        <v>45471</v>
      </c>
      <c r="B3431" t="s">
        <v>20</v>
      </c>
      <c r="C3431" t="s">
        <v>455</v>
      </c>
      <c r="D3431" s="8"/>
      <c r="E3431" s="8"/>
      <c r="L3431" t="s">
        <v>563</v>
      </c>
      <c r="M3431" t="s">
        <v>478</v>
      </c>
      <c r="N3431" t="str">
        <f>Tabela_tudo[[#This Row],[Médico]]&amp;" ("&amp;Tabela_tudo[[#This Row],[Obs]]&amp;")"</f>
        <v>ROB ()</v>
      </c>
    </row>
    <row r="3432" spans="1:14" x14ac:dyDescent="0.3">
      <c r="A3432" s="1">
        <v>45464</v>
      </c>
      <c r="B3432" t="s">
        <v>20</v>
      </c>
      <c r="C3432" t="s">
        <v>455</v>
      </c>
      <c r="D3432" s="8"/>
      <c r="E3432" s="8"/>
      <c r="L3432" t="s">
        <v>563</v>
      </c>
      <c r="M3432" t="s">
        <v>478</v>
      </c>
      <c r="N3432" t="str">
        <f>Tabela_tudo[[#This Row],[Médico]]&amp;" ("&amp;Tabela_tudo[[#This Row],[Obs]]&amp;")"</f>
        <v>ROB ()</v>
      </c>
    </row>
    <row r="3433" spans="1:14" x14ac:dyDescent="0.3">
      <c r="A3433" s="1">
        <v>45457</v>
      </c>
      <c r="B3433" t="s">
        <v>20</v>
      </c>
      <c r="C3433" t="s">
        <v>455</v>
      </c>
      <c r="D3433" s="8"/>
      <c r="E3433" s="8"/>
      <c r="L3433" t="s">
        <v>563</v>
      </c>
      <c r="M3433" t="s">
        <v>478</v>
      </c>
      <c r="N3433" t="str">
        <f>Tabela_tudo[[#This Row],[Médico]]&amp;" ("&amp;Tabela_tudo[[#This Row],[Obs]]&amp;")"</f>
        <v>ROB ()</v>
      </c>
    </row>
    <row r="3434" spans="1:14" x14ac:dyDescent="0.3">
      <c r="A3434" s="1">
        <v>45394</v>
      </c>
      <c r="B3434" t="s">
        <v>20</v>
      </c>
      <c r="C3434" t="s">
        <v>455</v>
      </c>
      <c r="D3434" s="8"/>
      <c r="E3434" s="8"/>
      <c r="L3434" t="s">
        <v>563</v>
      </c>
      <c r="M3434" t="s">
        <v>478</v>
      </c>
      <c r="N3434" t="str">
        <f>Tabela_tudo[[#This Row],[Médico]]&amp;" ("&amp;Tabela_tudo[[#This Row],[Obs]]&amp;")"</f>
        <v>ROB ()</v>
      </c>
    </row>
    <row r="3435" spans="1:14" x14ac:dyDescent="0.3">
      <c r="A3435" s="1">
        <v>45387</v>
      </c>
      <c r="B3435" t="s">
        <v>20</v>
      </c>
      <c r="C3435" t="s">
        <v>455</v>
      </c>
      <c r="D3435" s="8"/>
      <c r="E3435" s="8"/>
      <c r="L3435" t="s">
        <v>563</v>
      </c>
      <c r="M3435" t="s">
        <v>478</v>
      </c>
      <c r="N3435" t="str">
        <f>Tabela_tudo[[#This Row],[Médico]]&amp;" ("&amp;Tabela_tudo[[#This Row],[Obs]]&amp;")"</f>
        <v>ROB ()</v>
      </c>
    </row>
    <row r="3436" spans="1:14" x14ac:dyDescent="0.3">
      <c r="A3436" s="1">
        <v>45380</v>
      </c>
      <c r="B3436" t="s">
        <v>20</v>
      </c>
      <c r="C3436" t="s">
        <v>455</v>
      </c>
      <c r="D3436" s="8"/>
      <c r="E3436" s="8"/>
      <c r="L3436" t="s">
        <v>563</v>
      </c>
      <c r="M3436" t="s">
        <v>478</v>
      </c>
      <c r="N3436" t="str">
        <f>Tabela_tudo[[#This Row],[Médico]]&amp;" ("&amp;Tabela_tudo[[#This Row],[Obs]]&amp;")"</f>
        <v>ROB ()</v>
      </c>
    </row>
    <row r="3437" spans="1:14" x14ac:dyDescent="0.3">
      <c r="A3437" s="1">
        <v>45401</v>
      </c>
      <c r="B3437" t="s">
        <v>20</v>
      </c>
      <c r="C3437" t="s">
        <v>455</v>
      </c>
      <c r="D3437" s="8"/>
      <c r="E3437" s="8"/>
      <c r="L3437" t="s">
        <v>563</v>
      </c>
      <c r="M3437" t="s">
        <v>478</v>
      </c>
      <c r="N3437" t="str">
        <f>Tabela_tudo[[#This Row],[Médico]]&amp;" ("&amp;Tabela_tudo[[#This Row],[Obs]]&amp;")"</f>
        <v>ROB ()</v>
      </c>
    </row>
    <row r="3438" spans="1:14" x14ac:dyDescent="0.3">
      <c r="A3438" s="1">
        <v>45422</v>
      </c>
      <c r="B3438" t="s">
        <v>20</v>
      </c>
      <c r="C3438" t="s">
        <v>455</v>
      </c>
      <c r="D3438" s="8"/>
      <c r="E3438" s="8"/>
      <c r="L3438" t="s">
        <v>563</v>
      </c>
      <c r="M3438" t="s">
        <v>478</v>
      </c>
      <c r="N3438" t="str">
        <f>Tabela_tudo[[#This Row],[Médico]]&amp;" ("&amp;Tabela_tudo[[#This Row],[Obs]]&amp;")"</f>
        <v>ROB ()</v>
      </c>
    </row>
    <row r="3439" spans="1:14" x14ac:dyDescent="0.3">
      <c r="A3439" s="1">
        <v>45415</v>
      </c>
      <c r="B3439" t="s">
        <v>20</v>
      </c>
      <c r="C3439" t="s">
        <v>455</v>
      </c>
      <c r="D3439" s="8"/>
      <c r="E3439" s="8"/>
      <c r="L3439" t="s">
        <v>563</v>
      </c>
      <c r="M3439" t="s">
        <v>478</v>
      </c>
      <c r="N3439" t="str">
        <f>Tabela_tudo[[#This Row],[Médico]]&amp;" ("&amp;Tabela_tudo[[#This Row],[Obs]]&amp;")"</f>
        <v>ROB ()</v>
      </c>
    </row>
    <row r="3440" spans="1:14" x14ac:dyDescent="0.3">
      <c r="A3440" s="1">
        <v>45408</v>
      </c>
      <c r="B3440" t="s">
        <v>20</v>
      </c>
      <c r="C3440" t="s">
        <v>455</v>
      </c>
      <c r="D3440" s="8"/>
      <c r="E3440" s="8"/>
      <c r="L3440" t="s">
        <v>563</v>
      </c>
      <c r="M3440" t="s">
        <v>478</v>
      </c>
      <c r="N3440" t="str">
        <f>Tabela_tudo[[#This Row],[Médico]]&amp;" ("&amp;Tabela_tudo[[#This Row],[Obs]]&amp;")"</f>
        <v>ROB ()</v>
      </c>
    </row>
    <row r="3441" spans="1:14" x14ac:dyDescent="0.3">
      <c r="A3441" s="1">
        <v>45478</v>
      </c>
      <c r="B3441" t="s">
        <v>20</v>
      </c>
      <c r="C3441" t="s">
        <v>455</v>
      </c>
      <c r="D3441" s="8"/>
      <c r="E3441" s="8"/>
      <c r="L3441" t="s">
        <v>563</v>
      </c>
      <c r="M3441" t="s">
        <v>478</v>
      </c>
      <c r="N3441" t="str">
        <f>Tabela_tudo[[#This Row],[Médico]]&amp;" ("&amp;Tabela_tudo[[#This Row],[Obs]]&amp;")"</f>
        <v>ROB ()</v>
      </c>
    </row>
    <row r="3442" spans="1:14" x14ac:dyDescent="0.3">
      <c r="A3442" s="1">
        <v>45548</v>
      </c>
      <c r="B3442" t="s">
        <v>20</v>
      </c>
      <c r="C3442" t="s">
        <v>455</v>
      </c>
      <c r="D3442" s="8"/>
      <c r="E3442" s="8"/>
      <c r="L3442" t="s">
        <v>563</v>
      </c>
      <c r="M3442" t="s">
        <v>478</v>
      </c>
      <c r="N3442" t="str">
        <f>Tabela_tudo[[#This Row],[Médico]]&amp;" ("&amp;Tabela_tudo[[#This Row],[Obs]]&amp;")"</f>
        <v>ROB ()</v>
      </c>
    </row>
    <row r="3443" spans="1:14" x14ac:dyDescent="0.3">
      <c r="A3443" s="1">
        <v>45541</v>
      </c>
      <c r="B3443" t="s">
        <v>20</v>
      </c>
      <c r="C3443" t="s">
        <v>455</v>
      </c>
      <c r="D3443" s="8"/>
      <c r="E3443" s="8"/>
      <c r="L3443" t="s">
        <v>563</v>
      </c>
      <c r="M3443" t="s">
        <v>478</v>
      </c>
      <c r="N3443" t="str">
        <f>Tabela_tudo[[#This Row],[Médico]]&amp;" ("&amp;Tabela_tudo[[#This Row],[Obs]]&amp;")"</f>
        <v>ROB ()</v>
      </c>
    </row>
    <row r="3444" spans="1:14" x14ac:dyDescent="0.3">
      <c r="A3444" s="1">
        <v>45534</v>
      </c>
      <c r="B3444" t="s">
        <v>20</v>
      </c>
      <c r="C3444" t="s">
        <v>455</v>
      </c>
      <c r="D3444" s="8"/>
      <c r="E3444" s="8"/>
      <c r="L3444" t="s">
        <v>563</v>
      </c>
      <c r="M3444" t="s">
        <v>478</v>
      </c>
      <c r="N3444" t="str">
        <f>Tabela_tudo[[#This Row],[Médico]]&amp;" ("&amp;Tabela_tudo[[#This Row],[Obs]]&amp;")"</f>
        <v>ROB ()</v>
      </c>
    </row>
    <row r="3445" spans="1:14" x14ac:dyDescent="0.3">
      <c r="A3445" s="1">
        <v>45555</v>
      </c>
      <c r="B3445" t="s">
        <v>20</v>
      </c>
      <c r="C3445" t="s">
        <v>455</v>
      </c>
      <c r="D3445" s="8"/>
      <c r="E3445" s="8"/>
      <c r="L3445" t="s">
        <v>563</v>
      </c>
      <c r="M3445" t="s">
        <v>478</v>
      </c>
      <c r="N3445" t="str">
        <f>Tabela_tudo[[#This Row],[Médico]]&amp;" ("&amp;Tabela_tudo[[#This Row],[Obs]]&amp;")"</f>
        <v>ROB ()</v>
      </c>
    </row>
    <row r="3446" spans="1:14" x14ac:dyDescent="0.3">
      <c r="A3446" s="1">
        <v>45576</v>
      </c>
      <c r="B3446" t="s">
        <v>20</v>
      </c>
      <c r="C3446" t="s">
        <v>455</v>
      </c>
      <c r="D3446" s="8"/>
      <c r="E3446" s="8"/>
      <c r="L3446" t="s">
        <v>563</v>
      </c>
      <c r="M3446" t="s">
        <v>478</v>
      </c>
      <c r="N3446" t="str">
        <f>Tabela_tudo[[#This Row],[Médico]]&amp;" ("&amp;Tabela_tudo[[#This Row],[Obs]]&amp;")"</f>
        <v>ROB ()</v>
      </c>
    </row>
    <row r="3447" spans="1:14" x14ac:dyDescent="0.3">
      <c r="A3447" s="1">
        <v>45569</v>
      </c>
      <c r="B3447" t="s">
        <v>20</v>
      </c>
      <c r="C3447" t="s">
        <v>455</v>
      </c>
      <c r="D3447" s="8"/>
      <c r="E3447" s="8"/>
      <c r="L3447" t="s">
        <v>563</v>
      </c>
      <c r="M3447" t="s">
        <v>478</v>
      </c>
      <c r="N3447" t="str">
        <f>Tabela_tudo[[#This Row],[Médico]]&amp;" ("&amp;Tabela_tudo[[#This Row],[Obs]]&amp;")"</f>
        <v>ROB ()</v>
      </c>
    </row>
    <row r="3448" spans="1:14" x14ac:dyDescent="0.3">
      <c r="A3448" s="1">
        <v>45562</v>
      </c>
      <c r="B3448" t="s">
        <v>20</v>
      </c>
      <c r="C3448" t="s">
        <v>455</v>
      </c>
      <c r="D3448" s="8"/>
      <c r="E3448" s="8"/>
      <c r="L3448" t="s">
        <v>563</v>
      </c>
      <c r="M3448" t="s">
        <v>478</v>
      </c>
      <c r="N3448" t="str">
        <f>Tabela_tudo[[#This Row],[Médico]]&amp;" ("&amp;Tabela_tudo[[#This Row],[Obs]]&amp;")"</f>
        <v>ROB ()</v>
      </c>
    </row>
    <row r="3449" spans="1:14" x14ac:dyDescent="0.3">
      <c r="A3449" s="1">
        <v>45499</v>
      </c>
      <c r="B3449" t="s">
        <v>20</v>
      </c>
      <c r="C3449" t="s">
        <v>455</v>
      </c>
      <c r="D3449" s="8"/>
      <c r="E3449" s="8"/>
      <c r="L3449" t="s">
        <v>563</v>
      </c>
      <c r="M3449" t="s">
        <v>478</v>
      </c>
      <c r="N3449" t="str">
        <f>Tabela_tudo[[#This Row],[Médico]]&amp;" ("&amp;Tabela_tudo[[#This Row],[Obs]]&amp;")"</f>
        <v>ROB ()</v>
      </c>
    </row>
    <row r="3450" spans="1:14" x14ac:dyDescent="0.3">
      <c r="A3450" s="1">
        <v>45492</v>
      </c>
      <c r="B3450" t="s">
        <v>20</v>
      </c>
      <c r="C3450" t="s">
        <v>455</v>
      </c>
      <c r="D3450" s="8"/>
      <c r="E3450" s="8"/>
      <c r="L3450" t="s">
        <v>563</v>
      </c>
      <c r="M3450" t="s">
        <v>478</v>
      </c>
      <c r="N3450" t="str">
        <f>Tabela_tudo[[#This Row],[Médico]]&amp;" ("&amp;Tabela_tudo[[#This Row],[Obs]]&amp;")"</f>
        <v>ROB ()</v>
      </c>
    </row>
    <row r="3451" spans="1:14" x14ac:dyDescent="0.3">
      <c r="A3451" s="1">
        <v>45485</v>
      </c>
      <c r="B3451" t="s">
        <v>20</v>
      </c>
      <c r="C3451" t="s">
        <v>455</v>
      </c>
      <c r="D3451" s="8"/>
      <c r="E3451" s="8"/>
      <c r="L3451" t="s">
        <v>563</v>
      </c>
      <c r="M3451" t="s">
        <v>478</v>
      </c>
      <c r="N3451" t="str">
        <f>Tabela_tudo[[#This Row],[Médico]]&amp;" ("&amp;Tabela_tudo[[#This Row],[Obs]]&amp;")"</f>
        <v>ROB ()</v>
      </c>
    </row>
    <row r="3452" spans="1:14" x14ac:dyDescent="0.3">
      <c r="A3452" s="1">
        <v>45506</v>
      </c>
      <c r="B3452" t="s">
        <v>20</v>
      </c>
      <c r="C3452" t="s">
        <v>455</v>
      </c>
      <c r="D3452" s="8"/>
      <c r="E3452" s="8"/>
      <c r="L3452" t="s">
        <v>563</v>
      </c>
      <c r="M3452" t="s">
        <v>478</v>
      </c>
      <c r="N3452" t="str">
        <f>Tabela_tudo[[#This Row],[Médico]]&amp;" ("&amp;Tabela_tudo[[#This Row],[Obs]]&amp;")"</f>
        <v>ROB ()</v>
      </c>
    </row>
    <row r="3453" spans="1:14" x14ac:dyDescent="0.3">
      <c r="A3453" s="1">
        <v>45527</v>
      </c>
      <c r="B3453" t="s">
        <v>20</v>
      </c>
      <c r="C3453" t="s">
        <v>455</v>
      </c>
      <c r="D3453" s="8"/>
      <c r="E3453" s="8"/>
      <c r="L3453" t="s">
        <v>563</v>
      </c>
      <c r="M3453" t="s">
        <v>478</v>
      </c>
      <c r="N3453" t="str">
        <f>Tabela_tudo[[#This Row],[Médico]]&amp;" ("&amp;Tabela_tudo[[#This Row],[Obs]]&amp;")"</f>
        <v>ROB ()</v>
      </c>
    </row>
    <row r="3454" spans="1:14" x14ac:dyDescent="0.3">
      <c r="A3454" s="1">
        <v>45520</v>
      </c>
      <c r="B3454" t="s">
        <v>20</v>
      </c>
      <c r="C3454" t="s">
        <v>455</v>
      </c>
      <c r="D3454" s="8"/>
      <c r="E3454" s="8"/>
      <c r="L3454" t="s">
        <v>563</v>
      </c>
      <c r="M3454" t="s">
        <v>478</v>
      </c>
      <c r="N3454" t="str">
        <f>Tabela_tudo[[#This Row],[Médico]]&amp;" ("&amp;Tabela_tudo[[#This Row],[Obs]]&amp;")"</f>
        <v>ROB ()</v>
      </c>
    </row>
    <row r="3455" spans="1:14" x14ac:dyDescent="0.3">
      <c r="A3455" s="1">
        <v>45513</v>
      </c>
      <c r="B3455" t="s">
        <v>20</v>
      </c>
      <c r="C3455" t="s">
        <v>455</v>
      </c>
      <c r="D3455" s="8"/>
      <c r="E3455" s="8"/>
      <c r="L3455" t="s">
        <v>563</v>
      </c>
      <c r="M3455" t="s">
        <v>478</v>
      </c>
      <c r="N3455" t="str">
        <f>Tabela_tudo[[#This Row],[Médico]]&amp;" ("&amp;Tabela_tudo[[#This Row],[Obs]]&amp;")"</f>
        <v>ROB ()</v>
      </c>
    </row>
    <row r="3456" spans="1:14" x14ac:dyDescent="0.3">
      <c r="A3456" s="1">
        <v>45373</v>
      </c>
      <c r="B3456" t="s">
        <v>20</v>
      </c>
      <c r="C3456" t="s">
        <v>455</v>
      </c>
      <c r="D3456" s="8"/>
      <c r="E3456" s="8"/>
      <c r="L3456" t="s">
        <v>563</v>
      </c>
      <c r="M3456" t="s">
        <v>478</v>
      </c>
      <c r="N3456" t="str">
        <f>Tabela_tudo[[#This Row],[Médico]]&amp;" ("&amp;Tabela_tudo[[#This Row],[Obs]]&amp;")"</f>
        <v>ROB ()</v>
      </c>
    </row>
    <row r="3457" spans="1:14" x14ac:dyDescent="0.3">
      <c r="A3457" s="1">
        <v>45233</v>
      </c>
      <c r="B3457" t="s">
        <v>20</v>
      </c>
      <c r="C3457" t="s">
        <v>455</v>
      </c>
      <c r="D3457" s="8"/>
      <c r="E3457" s="8"/>
      <c r="L3457" t="s">
        <v>563</v>
      </c>
      <c r="M3457" t="s">
        <v>478</v>
      </c>
      <c r="N3457" t="str">
        <f>Tabela_tudo[[#This Row],[Médico]]&amp;" ("&amp;Tabela_tudo[[#This Row],[Obs]]&amp;")"</f>
        <v>ROB ()</v>
      </c>
    </row>
    <row r="3458" spans="1:14" x14ac:dyDescent="0.3">
      <c r="A3458" s="1">
        <v>45226</v>
      </c>
      <c r="B3458" t="s">
        <v>20</v>
      </c>
      <c r="C3458" t="s">
        <v>455</v>
      </c>
      <c r="D3458" s="8"/>
      <c r="E3458" s="8"/>
      <c r="L3458" t="s">
        <v>563</v>
      </c>
      <c r="M3458" t="s">
        <v>478</v>
      </c>
      <c r="N3458" t="str">
        <f>Tabela_tudo[[#This Row],[Médico]]&amp;" ("&amp;Tabela_tudo[[#This Row],[Obs]]&amp;")"</f>
        <v>ROB ()</v>
      </c>
    </row>
    <row r="3459" spans="1:14" x14ac:dyDescent="0.3">
      <c r="A3459" s="1">
        <v>45219</v>
      </c>
      <c r="B3459" t="s">
        <v>20</v>
      </c>
      <c r="C3459" t="s">
        <v>455</v>
      </c>
      <c r="D3459" s="8"/>
      <c r="E3459" s="8"/>
      <c r="L3459" t="s">
        <v>563</v>
      </c>
      <c r="M3459" t="s">
        <v>478</v>
      </c>
      <c r="N3459" t="str">
        <f>Tabela_tudo[[#This Row],[Médico]]&amp;" ("&amp;Tabela_tudo[[#This Row],[Obs]]&amp;")"</f>
        <v>ROB ()</v>
      </c>
    </row>
    <row r="3460" spans="1:14" x14ac:dyDescent="0.3">
      <c r="A3460" s="1">
        <v>45240</v>
      </c>
      <c r="B3460" t="s">
        <v>20</v>
      </c>
      <c r="C3460" t="s">
        <v>455</v>
      </c>
      <c r="D3460" s="8"/>
      <c r="E3460" s="8"/>
      <c r="L3460" t="s">
        <v>563</v>
      </c>
      <c r="M3460" t="s">
        <v>478</v>
      </c>
      <c r="N3460" t="str">
        <f>Tabela_tudo[[#This Row],[Médico]]&amp;" ("&amp;Tabela_tudo[[#This Row],[Obs]]&amp;")"</f>
        <v>ROB ()</v>
      </c>
    </row>
    <row r="3461" spans="1:14" x14ac:dyDescent="0.3">
      <c r="A3461" s="1">
        <v>45261</v>
      </c>
      <c r="B3461" t="s">
        <v>20</v>
      </c>
      <c r="C3461" t="s">
        <v>455</v>
      </c>
      <c r="D3461" s="8"/>
      <c r="E3461" s="8"/>
      <c r="L3461" t="s">
        <v>563</v>
      </c>
      <c r="M3461" t="s">
        <v>478</v>
      </c>
      <c r="N3461" t="str">
        <f>Tabela_tudo[[#This Row],[Médico]]&amp;" ("&amp;Tabela_tudo[[#This Row],[Obs]]&amp;")"</f>
        <v>ROB ()</v>
      </c>
    </row>
    <row r="3462" spans="1:14" x14ac:dyDescent="0.3">
      <c r="A3462" s="1">
        <v>45254</v>
      </c>
      <c r="B3462" t="s">
        <v>20</v>
      </c>
      <c r="C3462" t="s">
        <v>455</v>
      </c>
      <c r="D3462" s="8"/>
      <c r="E3462" s="8"/>
      <c r="L3462" t="s">
        <v>563</v>
      </c>
      <c r="M3462" t="s">
        <v>478</v>
      </c>
      <c r="N3462" t="str">
        <f>Tabela_tudo[[#This Row],[Médico]]&amp;" ("&amp;Tabela_tudo[[#This Row],[Obs]]&amp;")"</f>
        <v>ROB ()</v>
      </c>
    </row>
    <row r="3463" spans="1:14" x14ac:dyDescent="0.3">
      <c r="A3463" s="1">
        <v>45247</v>
      </c>
      <c r="B3463" t="s">
        <v>20</v>
      </c>
      <c r="C3463" t="s">
        <v>455</v>
      </c>
      <c r="D3463" s="8"/>
      <c r="E3463" s="8"/>
      <c r="L3463" t="s">
        <v>563</v>
      </c>
      <c r="M3463" t="s">
        <v>478</v>
      </c>
      <c r="N3463" t="str">
        <f>Tabela_tudo[[#This Row],[Médico]]&amp;" ("&amp;Tabela_tudo[[#This Row],[Obs]]&amp;")"</f>
        <v>ROB ()</v>
      </c>
    </row>
    <row r="3464" spans="1:14" x14ac:dyDescent="0.3">
      <c r="A3464" s="1">
        <v>45184</v>
      </c>
      <c r="B3464" t="s">
        <v>20</v>
      </c>
      <c r="C3464" t="s">
        <v>455</v>
      </c>
      <c r="D3464" s="8"/>
      <c r="E3464" s="8"/>
      <c r="L3464" t="s">
        <v>563</v>
      </c>
      <c r="M3464" t="s">
        <v>478</v>
      </c>
      <c r="N3464" t="str">
        <f>Tabela_tudo[[#This Row],[Médico]]&amp;" ("&amp;Tabela_tudo[[#This Row],[Obs]]&amp;")"</f>
        <v>ROB ()</v>
      </c>
    </row>
    <row r="3465" spans="1:14" x14ac:dyDescent="0.3">
      <c r="A3465" s="1">
        <v>45177</v>
      </c>
      <c r="B3465" t="s">
        <v>20</v>
      </c>
      <c r="C3465" t="s">
        <v>455</v>
      </c>
      <c r="D3465" s="8"/>
      <c r="E3465" s="8"/>
      <c r="L3465" t="s">
        <v>563</v>
      </c>
      <c r="M3465" t="s">
        <v>478</v>
      </c>
      <c r="N3465" t="str">
        <f>Tabela_tudo[[#This Row],[Médico]]&amp;" ("&amp;Tabela_tudo[[#This Row],[Obs]]&amp;")"</f>
        <v>ROB ()</v>
      </c>
    </row>
    <row r="3466" spans="1:14" x14ac:dyDescent="0.3">
      <c r="A3466" s="1">
        <v>45170</v>
      </c>
      <c r="B3466" t="s">
        <v>20</v>
      </c>
      <c r="C3466" t="s">
        <v>455</v>
      </c>
      <c r="D3466" s="8"/>
      <c r="E3466" s="8"/>
      <c r="L3466" t="s">
        <v>563</v>
      </c>
      <c r="M3466" t="s">
        <v>478</v>
      </c>
      <c r="N3466" t="str">
        <f>Tabela_tudo[[#This Row],[Médico]]&amp;" ("&amp;Tabela_tudo[[#This Row],[Obs]]&amp;")"</f>
        <v>ROB ()</v>
      </c>
    </row>
    <row r="3467" spans="1:14" x14ac:dyDescent="0.3">
      <c r="A3467" s="1">
        <v>45191</v>
      </c>
      <c r="B3467" t="s">
        <v>20</v>
      </c>
      <c r="C3467" t="s">
        <v>455</v>
      </c>
      <c r="D3467" s="8"/>
      <c r="E3467" s="8"/>
      <c r="L3467" t="s">
        <v>563</v>
      </c>
      <c r="M3467" t="s">
        <v>478</v>
      </c>
      <c r="N3467" t="str">
        <f>Tabela_tudo[[#This Row],[Médico]]&amp;" ("&amp;Tabela_tudo[[#This Row],[Obs]]&amp;")"</f>
        <v>ROB ()</v>
      </c>
    </row>
    <row r="3468" spans="1:14" x14ac:dyDescent="0.3">
      <c r="A3468" s="1">
        <v>45212</v>
      </c>
      <c r="B3468" t="s">
        <v>20</v>
      </c>
      <c r="C3468" t="s">
        <v>455</v>
      </c>
      <c r="D3468" s="8"/>
      <c r="E3468" s="8"/>
      <c r="L3468" t="s">
        <v>563</v>
      </c>
      <c r="M3468" t="s">
        <v>478</v>
      </c>
      <c r="N3468" t="str">
        <f>Tabela_tudo[[#This Row],[Médico]]&amp;" ("&amp;Tabela_tudo[[#This Row],[Obs]]&amp;")"</f>
        <v>ROB ()</v>
      </c>
    </row>
    <row r="3469" spans="1:14" x14ac:dyDescent="0.3">
      <c r="A3469" s="1">
        <v>45205</v>
      </c>
      <c r="B3469" t="s">
        <v>20</v>
      </c>
      <c r="C3469" t="s">
        <v>455</v>
      </c>
      <c r="D3469" s="8"/>
      <c r="E3469" s="8"/>
      <c r="L3469" t="s">
        <v>563</v>
      </c>
      <c r="M3469" t="s">
        <v>478</v>
      </c>
      <c r="N3469" t="str">
        <f>Tabela_tudo[[#This Row],[Médico]]&amp;" ("&amp;Tabela_tudo[[#This Row],[Obs]]&amp;")"</f>
        <v>ROB ()</v>
      </c>
    </row>
    <row r="3470" spans="1:14" x14ac:dyDescent="0.3">
      <c r="A3470" s="1">
        <v>45198</v>
      </c>
      <c r="B3470" t="s">
        <v>20</v>
      </c>
      <c r="C3470" t="s">
        <v>455</v>
      </c>
      <c r="D3470" s="8"/>
      <c r="E3470" s="8"/>
      <c r="L3470" t="s">
        <v>563</v>
      </c>
      <c r="M3470" t="s">
        <v>478</v>
      </c>
      <c r="N3470" t="str">
        <f>Tabela_tudo[[#This Row],[Médico]]&amp;" ("&amp;Tabela_tudo[[#This Row],[Obs]]&amp;")"</f>
        <v>ROB ()</v>
      </c>
    </row>
    <row r="3471" spans="1:14" x14ac:dyDescent="0.3">
      <c r="A3471" s="1">
        <v>45268</v>
      </c>
      <c r="B3471" t="s">
        <v>20</v>
      </c>
      <c r="C3471" t="s">
        <v>455</v>
      </c>
      <c r="D3471" s="8"/>
      <c r="E3471" s="8"/>
      <c r="L3471" t="s">
        <v>563</v>
      </c>
      <c r="M3471" t="s">
        <v>478</v>
      </c>
      <c r="N3471" t="str">
        <f>Tabela_tudo[[#This Row],[Médico]]&amp;" ("&amp;Tabela_tudo[[#This Row],[Obs]]&amp;")"</f>
        <v>ROB ()</v>
      </c>
    </row>
    <row r="3472" spans="1:14" x14ac:dyDescent="0.3">
      <c r="A3472" s="1">
        <v>45338</v>
      </c>
      <c r="B3472" t="s">
        <v>20</v>
      </c>
      <c r="C3472" t="s">
        <v>455</v>
      </c>
      <c r="D3472" s="8"/>
      <c r="E3472" s="8"/>
      <c r="L3472" t="s">
        <v>563</v>
      </c>
      <c r="M3472" t="s">
        <v>478</v>
      </c>
      <c r="N3472" t="str">
        <f>Tabela_tudo[[#This Row],[Médico]]&amp;" ("&amp;Tabela_tudo[[#This Row],[Obs]]&amp;")"</f>
        <v>ROB ()</v>
      </c>
    </row>
    <row r="3473" spans="1:14" x14ac:dyDescent="0.3">
      <c r="A3473" s="1">
        <v>45331</v>
      </c>
      <c r="B3473" t="s">
        <v>20</v>
      </c>
      <c r="C3473" t="s">
        <v>455</v>
      </c>
      <c r="D3473" s="8"/>
      <c r="E3473" s="8"/>
      <c r="L3473" t="s">
        <v>563</v>
      </c>
      <c r="M3473" t="s">
        <v>478</v>
      </c>
      <c r="N3473" t="str">
        <f>Tabela_tudo[[#This Row],[Médico]]&amp;" ("&amp;Tabela_tudo[[#This Row],[Obs]]&amp;")"</f>
        <v>ROB ()</v>
      </c>
    </row>
    <row r="3474" spans="1:14" x14ac:dyDescent="0.3">
      <c r="A3474" s="1">
        <v>45324</v>
      </c>
      <c r="B3474" t="s">
        <v>20</v>
      </c>
      <c r="C3474" t="s">
        <v>455</v>
      </c>
      <c r="D3474" s="8"/>
      <c r="E3474" s="8"/>
      <c r="L3474" t="s">
        <v>563</v>
      </c>
      <c r="M3474" t="s">
        <v>478</v>
      </c>
      <c r="N3474" t="str">
        <f>Tabela_tudo[[#This Row],[Médico]]&amp;" ("&amp;Tabela_tudo[[#This Row],[Obs]]&amp;")"</f>
        <v>ROB ()</v>
      </c>
    </row>
    <row r="3475" spans="1:14" x14ac:dyDescent="0.3">
      <c r="A3475" s="1">
        <v>45345</v>
      </c>
      <c r="B3475" t="s">
        <v>20</v>
      </c>
      <c r="C3475" t="s">
        <v>455</v>
      </c>
      <c r="D3475" s="8"/>
      <c r="E3475" s="8"/>
      <c r="L3475" t="s">
        <v>563</v>
      </c>
      <c r="M3475" t="s">
        <v>478</v>
      </c>
      <c r="N3475" t="str">
        <f>Tabela_tudo[[#This Row],[Médico]]&amp;" ("&amp;Tabela_tudo[[#This Row],[Obs]]&amp;")"</f>
        <v>ROB ()</v>
      </c>
    </row>
    <row r="3476" spans="1:14" x14ac:dyDescent="0.3">
      <c r="A3476" s="1">
        <v>45366</v>
      </c>
      <c r="B3476" t="s">
        <v>20</v>
      </c>
      <c r="C3476" t="s">
        <v>455</v>
      </c>
      <c r="D3476" s="8"/>
      <c r="E3476" s="8"/>
      <c r="L3476" t="s">
        <v>563</v>
      </c>
      <c r="M3476" t="s">
        <v>478</v>
      </c>
      <c r="N3476" t="str">
        <f>Tabela_tudo[[#This Row],[Médico]]&amp;" ("&amp;Tabela_tudo[[#This Row],[Obs]]&amp;")"</f>
        <v>ROB ()</v>
      </c>
    </row>
    <row r="3477" spans="1:14" x14ac:dyDescent="0.3">
      <c r="A3477" s="1">
        <v>45359</v>
      </c>
      <c r="B3477" t="s">
        <v>20</v>
      </c>
      <c r="C3477" t="s">
        <v>455</v>
      </c>
      <c r="D3477" s="8"/>
      <c r="E3477" s="8"/>
      <c r="L3477" t="s">
        <v>563</v>
      </c>
      <c r="M3477" t="s">
        <v>478</v>
      </c>
      <c r="N3477" t="str">
        <f>Tabela_tudo[[#This Row],[Médico]]&amp;" ("&amp;Tabela_tudo[[#This Row],[Obs]]&amp;")"</f>
        <v>ROB ()</v>
      </c>
    </row>
    <row r="3478" spans="1:14" x14ac:dyDescent="0.3">
      <c r="A3478" s="1">
        <v>45352</v>
      </c>
      <c r="B3478" t="s">
        <v>20</v>
      </c>
      <c r="C3478" t="s">
        <v>455</v>
      </c>
      <c r="D3478" s="8"/>
      <c r="E3478" s="8"/>
      <c r="L3478" t="s">
        <v>563</v>
      </c>
      <c r="M3478" t="s">
        <v>478</v>
      </c>
      <c r="N3478" t="str">
        <f>Tabela_tudo[[#This Row],[Médico]]&amp;" ("&amp;Tabela_tudo[[#This Row],[Obs]]&amp;")"</f>
        <v>ROB ()</v>
      </c>
    </row>
    <row r="3479" spans="1:14" x14ac:dyDescent="0.3">
      <c r="A3479" s="1">
        <v>45289</v>
      </c>
      <c r="B3479" t="s">
        <v>20</v>
      </c>
      <c r="C3479" t="s">
        <v>455</v>
      </c>
      <c r="D3479" s="8"/>
      <c r="E3479" s="8"/>
      <c r="L3479" t="s">
        <v>563</v>
      </c>
      <c r="M3479" t="s">
        <v>478</v>
      </c>
      <c r="N3479" t="str">
        <f>Tabela_tudo[[#This Row],[Médico]]&amp;" ("&amp;Tabela_tudo[[#This Row],[Obs]]&amp;")"</f>
        <v>ROB ()</v>
      </c>
    </row>
    <row r="3480" spans="1:14" x14ac:dyDescent="0.3">
      <c r="A3480" s="1">
        <v>45282</v>
      </c>
      <c r="B3480" t="s">
        <v>20</v>
      </c>
      <c r="C3480" t="s">
        <v>455</v>
      </c>
      <c r="D3480" s="8"/>
      <c r="E3480" s="8"/>
      <c r="L3480" t="s">
        <v>563</v>
      </c>
      <c r="M3480" t="s">
        <v>478</v>
      </c>
      <c r="N3480" t="str">
        <f>Tabela_tudo[[#This Row],[Médico]]&amp;" ("&amp;Tabela_tudo[[#This Row],[Obs]]&amp;")"</f>
        <v>ROB ()</v>
      </c>
    </row>
    <row r="3481" spans="1:14" x14ac:dyDescent="0.3">
      <c r="A3481" s="1">
        <v>45275</v>
      </c>
      <c r="B3481" t="s">
        <v>20</v>
      </c>
      <c r="C3481" t="s">
        <v>455</v>
      </c>
      <c r="D3481" s="8"/>
      <c r="E3481" s="8"/>
      <c r="L3481" t="s">
        <v>563</v>
      </c>
      <c r="M3481" t="s">
        <v>478</v>
      </c>
      <c r="N3481" t="str">
        <f>Tabela_tudo[[#This Row],[Médico]]&amp;" ("&amp;Tabela_tudo[[#This Row],[Obs]]&amp;")"</f>
        <v>ROB ()</v>
      </c>
    </row>
    <row r="3482" spans="1:14" x14ac:dyDescent="0.3">
      <c r="A3482" s="1">
        <v>45296</v>
      </c>
      <c r="B3482" t="s">
        <v>20</v>
      </c>
      <c r="C3482" t="s">
        <v>455</v>
      </c>
      <c r="D3482" s="8"/>
      <c r="E3482" s="8"/>
      <c r="L3482" t="s">
        <v>563</v>
      </c>
      <c r="M3482" t="s">
        <v>478</v>
      </c>
      <c r="N3482" t="str">
        <f>Tabela_tudo[[#This Row],[Médico]]&amp;" ("&amp;Tabela_tudo[[#This Row],[Obs]]&amp;")"</f>
        <v>ROB ()</v>
      </c>
    </row>
    <row r="3483" spans="1:14" x14ac:dyDescent="0.3">
      <c r="A3483" s="1">
        <v>45317</v>
      </c>
      <c r="B3483" t="s">
        <v>20</v>
      </c>
      <c r="C3483" t="s">
        <v>455</v>
      </c>
      <c r="D3483" s="8"/>
      <c r="E3483" s="8"/>
      <c r="L3483" t="s">
        <v>563</v>
      </c>
      <c r="M3483" t="s">
        <v>478</v>
      </c>
      <c r="N3483" t="str">
        <f>Tabela_tudo[[#This Row],[Médico]]&amp;" ("&amp;Tabela_tudo[[#This Row],[Obs]]&amp;")"</f>
        <v>ROB ()</v>
      </c>
    </row>
    <row r="3484" spans="1:14" x14ac:dyDescent="0.3">
      <c r="A3484" s="1">
        <v>45310</v>
      </c>
      <c r="B3484" t="s">
        <v>20</v>
      </c>
      <c r="C3484" t="s">
        <v>455</v>
      </c>
      <c r="D3484" s="8"/>
      <c r="E3484" s="8"/>
      <c r="L3484" t="s">
        <v>563</v>
      </c>
      <c r="M3484" t="s">
        <v>478</v>
      </c>
      <c r="N3484" t="str">
        <f>Tabela_tudo[[#This Row],[Médico]]&amp;" ("&amp;Tabela_tudo[[#This Row],[Obs]]&amp;")"</f>
        <v>ROB ()</v>
      </c>
    </row>
    <row r="3485" spans="1:14" x14ac:dyDescent="0.3">
      <c r="A3485" s="1">
        <v>45303</v>
      </c>
      <c r="B3485" t="s">
        <v>20</v>
      </c>
      <c r="C3485" t="s">
        <v>455</v>
      </c>
      <c r="D3485" s="8"/>
      <c r="E3485" s="8"/>
      <c r="L3485" t="s">
        <v>563</v>
      </c>
      <c r="M3485" t="s">
        <v>478</v>
      </c>
      <c r="N3485" t="str">
        <f>Tabela_tudo[[#This Row],[Médico]]&amp;" ("&amp;Tabela_tudo[[#This Row],[Obs]]&amp;")"</f>
        <v>ROB ()</v>
      </c>
    </row>
    <row r="3486" spans="1:14" x14ac:dyDescent="0.3">
      <c r="A3486" s="1">
        <v>45583</v>
      </c>
      <c r="B3486" t="s">
        <v>20</v>
      </c>
      <c r="C3486" t="s">
        <v>455</v>
      </c>
      <c r="D3486" s="8"/>
      <c r="E3486" s="8"/>
      <c r="L3486" t="s">
        <v>563</v>
      </c>
      <c r="M3486" t="s">
        <v>478</v>
      </c>
      <c r="N3486" t="str">
        <f>Tabela_tudo[[#This Row],[Médico]]&amp;" ("&amp;Tabela_tudo[[#This Row],[Obs]]&amp;")"</f>
        <v>ROB ()</v>
      </c>
    </row>
    <row r="3487" spans="1:14" x14ac:dyDescent="0.3">
      <c r="A3487" s="1">
        <v>45135</v>
      </c>
      <c r="B3487" t="s">
        <v>333</v>
      </c>
      <c r="C3487" t="s">
        <v>455</v>
      </c>
      <c r="D3487" s="8"/>
      <c r="E3487" s="8"/>
      <c r="L3487" t="s">
        <v>563</v>
      </c>
      <c r="M3487" t="s">
        <v>478</v>
      </c>
      <c r="N3487" t="str">
        <f>Tabela_tudo[[#This Row],[Médico]]&amp;" ("&amp;Tabela_tudo[[#This Row],[Obs]]&amp;")"</f>
        <v>COR ()</v>
      </c>
    </row>
    <row r="3488" spans="1:14" x14ac:dyDescent="0.3">
      <c r="A3488" s="1">
        <v>45128</v>
      </c>
      <c r="B3488" t="s">
        <v>333</v>
      </c>
      <c r="C3488" t="s">
        <v>455</v>
      </c>
      <c r="D3488" s="8"/>
      <c r="E3488" s="8"/>
      <c r="L3488" t="s">
        <v>563</v>
      </c>
      <c r="M3488" t="s">
        <v>478</v>
      </c>
      <c r="N3488" t="str">
        <f>Tabela_tudo[[#This Row],[Médico]]&amp;" ("&amp;Tabela_tudo[[#This Row],[Obs]]&amp;")"</f>
        <v>COR ()</v>
      </c>
    </row>
    <row r="3489" spans="1:14" x14ac:dyDescent="0.3">
      <c r="A3489" s="1">
        <v>45121</v>
      </c>
      <c r="B3489" t="s">
        <v>333</v>
      </c>
      <c r="C3489" t="s">
        <v>455</v>
      </c>
      <c r="D3489" s="8"/>
      <c r="E3489" s="8"/>
      <c r="L3489" t="s">
        <v>563</v>
      </c>
      <c r="M3489" t="s">
        <v>478</v>
      </c>
      <c r="N3489" t="str">
        <f>Tabela_tudo[[#This Row],[Médico]]&amp;" ("&amp;Tabela_tudo[[#This Row],[Obs]]&amp;")"</f>
        <v>COR ()</v>
      </c>
    </row>
    <row r="3490" spans="1:14" x14ac:dyDescent="0.3">
      <c r="A3490" s="1">
        <v>45142</v>
      </c>
      <c r="B3490" t="s">
        <v>333</v>
      </c>
      <c r="C3490" t="s">
        <v>455</v>
      </c>
      <c r="D3490" s="8"/>
      <c r="E3490" s="8"/>
      <c r="L3490" t="s">
        <v>563</v>
      </c>
      <c r="M3490" t="s">
        <v>478</v>
      </c>
      <c r="N3490" t="str">
        <f>Tabela_tudo[[#This Row],[Médico]]&amp;" ("&amp;Tabela_tudo[[#This Row],[Obs]]&amp;")"</f>
        <v>COR ()</v>
      </c>
    </row>
    <row r="3491" spans="1:14" x14ac:dyDescent="0.3">
      <c r="A3491" s="1">
        <v>45163</v>
      </c>
      <c r="B3491" t="s">
        <v>333</v>
      </c>
      <c r="C3491" t="s">
        <v>455</v>
      </c>
      <c r="D3491" s="8"/>
      <c r="E3491" s="8"/>
      <c r="L3491" t="s">
        <v>563</v>
      </c>
      <c r="M3491" t="s">
        <v>478</v>
      </c>
      <c r="N3491" t="str">
        <f>Tabela_tudo[[#This Row],[Médico]]&amp;" ("&amp;Tabela_tudo[[#This Row],[Obs]]&amp;")"</f>
        <v>COR ()</v>
      </c>
    </row>
    <row r="3492" spans="1:14" x14ac:dyDescent="0.3">
      <c r="A3492" s="1">
        <v>45156</v>
      </c>
      <c r="B3492" t="s">
        <v>333</v>
      </c>
      <c r="C3492" t="s">
        <v>455</v>
      </c>
      <c r="D3492" s="8"/>
      <c r="E3492" s="8"/>
      <c r="L3492" t="s">
        <v>563</v>
      </c>
      <c r="M3492" t="s">
        <v>478</v>
      </c>
      <c r="N3492" t="str">
        <f>Tabela_tudo[[#This Row],[Médico]]&amp;" ("&amp;Tabela_tudo[[#This Row],[Obs]]&amp;")"</f>
        <v>COR ()</v>
      </c>
    </row>
    <row r="3493" spans="1:14" x14ac:dyDescent="0.3">
      <c r="A3493" s="1">
        <v>45149</v>
      </c>
      <c r="B3493" t="s">
        <v>333</v>
      </c>
      <c r="C3493" t="s">
        <v>455</v>
      </c>
      <c r="D3493" s="8"/>
      <c r="E3493" s="8"/>
      <c r="L3493" t="s">
        <v>563</v>
      </c>
      <c r="M3493" t="s">
        <v>478</v>
      </c>
      <c r="N3493" t="str">
        <f>Tabela_tudo[[#This Row],[Médico]]&amp;" ("&amp;Tabela_tudo[[#This Row],[Obs]]&amp;")"</f>
        <v>COR ()</v>
      </c>
    </row>
    <row r="3494" spans="1:14" x14ac:dyDescent="0.3">
      <c r="A3494" s="1">
        <v>45086</v>
      </c>
      <c r="B3494" t="s">
        <v>333</v>
      </c>
      <c r="C3494" t="s">
        <v>455</v>
      </c>
      <c r="D3494" s="8"/>
      <c r="E3494" s="8"/>
      <c r="L3494" t="s">
        <v>563</v>
      </c>
      <c r="M3494" t="s">
        <v>478</v>
      </c>
      <c r="N3494" t="str">
        <f>Tabela_tudo[[#This Row],[Médico]]&amp;" ("&amp;Tabela_tudo[[#This Row],[Obs]]&amp;")"</f>
        <v>COR ()</v>
      </c>
    </row>
    <row r="3495" spans="1:14" x14ac:dyDescent="0.3">
      <c r="A3495" s="1">
        <v>45079</v>
      </c>
      <c r="B3495" t="s">
        <v>333</v>
      </c>
      <c r="C3495" t="s">
        <v>455</v>
      </c>
      <c r="D3495" s="8"/>
      <c r="E3495" s="8"/>
      <c r="L3495" t="s">
        <v>563</v>
      </c>
      <c r="M3495" t="s">
        <v>478</v>
      </c>
      <c r="N3495" t="str">
        <f>Tabela_tudo[[#This Row],[Médico]]&amp;" ("&amp;Tabela_tudo[[#This Row],[Obs]]&amp;")"</f>
        <v>COR ()</v>
      </c>
    </row>
    <row r="3496" spans="1:14" x14ac:dyDescent="0.3">
      <c r="A3496" s="1">
        <v>45072</v>
      </c>
      <c r="B3496" t="s">
        <v>333</v>
      </c>
      <c r="C3496" t="s">
        <v>455</v>
      </c>
      <c r="D3496" s="8"/>
      <c r="E3496" s="8"/>
      <c r="L3496" t="s">
        <v>563</v>
      </c>
      <c r="M3496" t="s">
        <v>478</v>
      </c>
      <c r="N3496" t="str">
        <f>Tabela_tudo[[#This Row],[Médico]]&amp;" ("&amp;Tabela_tudo[[#This Row],[Obs]]&amp;")"</f>
        <v>COR ()</v>
      </c>
    </row>
    <row r="3497" spans="1:14" x14ac:dyDescent="0.3">
      <c r="A3497" s="1">
        <v>45093</v>
      </c>
      <c r="B3497" t="s">
        <v>333</v>
      </c>
      <c r="C3497" t="s">
        <v>455</v>
      </c>
      <c r="D3497" s="8"/>
      <c r="E3497" s="8"/>
      <c r="L3497" t="s">
        <v>563</v>
      </c>
      <c r="M3497" t="s">
        <v>478</v>
      </c>
      <c r="N3497" t="str">
        <f>Tabela_tudo[[#This Row],[Médico]]&amp;" ("&amp;Tabela_tudo[[#This Row],[Obs]]&amp;")"</f>
        <v>COR ()</v>
      </c>
    </row>
    <row r="3498" spans="1:14" x14ac:dyDescent="0.3">
      <c r="A3498" s="1">
        <v>45114</v>
      </c>
      <c r="B3498" t="s">
        <v>333</v>
      </c>
      <c r="C3498" t="s">
        <v>455</v>
      </c>
      <c r="D3498" s="8"/>
      <c r="E3498" s="8"/>
      <c r="L3498" t="s">
        <v>563</v>
      </c>
      <c r="M3498" t="s">
        <v>478</v>
      </c>
      <c r="N3498" t="str">
        <f>Tabela_tudo[[#This Row],[Médico]]&amp;" ("&amp;Tabela_tudo[[#This Row],[Obs]]&amp;")"</f>
        <v>COR ()</v>
      </c>
    </row>
    <row r="3499" spans="1:14" x14ac:dyDescent="0.3">
      <c r="A3499" s="1">
        <v>45107</v>
      </c>
      <c r="B3499" t="s">
        <v>333</v>
      </c>
      <c r="C3499" t="s">
        <v>455</v>
      </c>
      <c r="D3499" s="8"/>
      <c r="E3499" s="8"/>
      <c r="L3499" t="s">
        <v>563</v>
      </c>
      <c r="M3499" t="s">
        <v>478</v>
      </c>
      <c r="N3499" t="str">
        <f>Tabela_tudo[[#This Row],[Médico]]&amp;" ("&amp;Tabela_tudo[[#This Row],[Obs]]&amp;")"</f>
        <v>COR ()</v>
      </c>
    </row>
    <row r="3500" spans="1:14" x14ac:dyDescent="0.3">
      <c r="A3500" s="1">
        <v>45100</v>
      </c>
      <c r="B3500" t="s">
        <v>333</v>
      </c>
      <c r="C3500" t="s">
        <v>455</v>
      </c>
      <c r="D3500" s="8"/>
      <c r="E3500" s="8"/>
      <c r="L3500" t="s">
        <v>563</v>
      </c>
      <c r="M3500" t="s">
        <v>478</v>
      </c>
      <c r="N3500" t="str">
        <f>Tabela_tudo[[#This Row],[Médico]]&amp;" ("&amp;Tabela_tudo[[#This Row],[Obs]]&amp;")"</f>
        <v>COR ()</v>
      </c>
    </row>
    <row r="3501" spans="1:14" x14ac:dyDescent="0.3">
      <c r="A3501" s="1">
        <v>45170</v>
      </c>
      <c r="B3501" t="s">
        <v>333</v>
      </c>
      <c r="C3501" t="s">
        <v>455</v>
      </c>
      <c r="D3501" s="8"/>
      <c r="E3501" s="8"/>
      <c r="L3501" t="s">
        <v>563</v>
      </c>
      <c r="M3501" t="s">
        <v>478</v>
      </c>
      <c r="N3501" t="str">
        <f>Tabela_tudo[[#This Row],[Médico]]&amp;" ("&amp;Tabela_tudo[[#This Row],[Obs]]&amp;")"</f>
        <v>COR ()</v>
      </c>
    </row>
    <row r="3502" spans="1:14" x14ac:dyDescent="0.3">
      <c r="A3502" s="1">
        <v>45240</v>
      </c>
      <c r="B3502" t="s">
        <v>333</v>
      </c>
      <c r="C3502" t="s">
        <v>455</v>
      </c>
      <c r="D3502" s="8"/>
      <c r="E3502" s="8"/>
      <c r="L3502" t="s">
        <v>563</v>
      </c>
      <c r="M3502" t="s">
        <v>478</v>
      </c>
      <c r="N3502" t="str">
        <f>Tabela_tudo[[#This Row],[Médico]]&amp;" ("&amp;Tabela_tudo[[#This Row],[Obs]]&amp;")"</f>
        <v>COR ()</v>
      </c>
    </row>
    <row r="3503" spans="1:14" x14ac:dyDescent="0.3">
      <c r="A3503" s="1">
        <v>45233</v>
      </c>
      <c r="B3503" t="s">
        <v>333</v>
      </c>
      <c r="C3503" t="s">
        <v>455</v>
      </c>
      <c r="D3503" s="8"/>
      <c r="E3503" s="8"/>
      <c r="L3503" t="s">
        <v>563</v>
      </c>
      <c r="M3503" t="s">
        <v>478</v>
      </c>
      <c r="N3503" t="str">
        <f>Tabela_tudo[[#This Row],[Médico]]&amp;" ("&amp;Tabela_tudo[[#This Row],[Obs]]&amp;")"</f>
        <v>COR ()</v>
      </c>
    </row>
    <row r="3504" spans="1:14" x14ac:dyDescent="0.3">
      <c r="A3504" s="1">
        <v>45226</v>
      </c>
      <c r="B3504" t="s">
        <v>333</v>
      </c>
      <c r="C3504" t="s">
        <v>455</v>
      </c>
      <c r="D3504" s="8"/>
      <c r="E3504" s="8"/>
      <c r="L3504" t="s">
        <v>563</v>
      </c>
      <c r="M3504" t="s">
        <v>478</v>
      </c>
      <c r="N3504" t="str">
        <f>Tabela_tudo[[#This Row],[Médico]]&amp;" ("&amp;Tabela_tudo[[#This Row],[Obs]]&amp;")"</f>
        <v>COR ()</v>
      </c>
    </row>
    <row r="3505" spans="1:14" x14ac:dyDescent="0.3">
      <c r="A3505" s="1">
        <v>45247</v>
      </c>
      <c r="B3505" t="s">
        <v>333</v>
      </c>
      <c r="C3505" t="s">
        <v>455</v>
      </c>
      <c r="D3505" s="8"/>
      <c r="E3505" s="8"/>
      <c r="L3505" t="s">
        <v>563</v>
      </c>
      <c r="M3505" t="s">
        <v>478</v>
      </c>
      <c r="N3505" t="str">
        <f>Tabela_tudo[[#This Row],[Médico]]&amp;" ("&amp;Tabela_tudo[[#This Row],[Obs]]&amp;")"</f>
        <v>COR ()</v>
      </c>
    </row>
    <row r="3506" spans="1:14" x14ac:dyDescent="0.3">
      <c r="A3506" s="1">
        <v>45268</v>
      </c>
      <c r="B3506" t="s">
        <v>333</v>
      </c>
      <c r="C3506" t="s">
        <v>455</v>
      </c>
      <c r="D3506" s="8"/>
      <c r="E3506" s="8"/>
      <c r="L3506" t="s">
        <v>563</v>
      </c>
      <c r="M3506" t="s">
        <v>478</v>
      </c>
      <c r="N3506" t="str">
        <f>Tabela_tudo[[#This Row],[Médico]]&amp;" ("&amp;Tabela_tudo[[#This Row],[Obs]]&amp;")"</f>
        <v>COR ()</v>
      </c>
    </row>
    <row r="3507" spans="1:14" x14ac:dyDescent="0.3">
      <c r="A3507" s="1">
        <v>45261</v>
      </c>
      <c r="B3507" t="s">
        <v>333</v>
      </c>
      <c r="C3507" t="s">
        <v>455</v>
      </c>
      <c r="D3507" s="8"/>
      <c r="E3507" s="8"/>
      <c r="L3507" t="s">
        <v>563</v>
      </c>
      <c r="M3507" t="s">
        <v>478</v>
      </c>
      <c r="N3507" t="str">
        <f>Tabela_tudo[[#This Row],[Médico]]&amp;" ("&amp;Tabela_tudo[[#This Row],[Obs]]&amp;")"</f>
        <v>COR ()</v>
      </c>
    </row>
    <row r="3508" spans="1:14" x14ac:dyDescent="0.3">
      <c r="A3508" s="1">
        <v>45254</v>
      </c>
      <c r="B3508" t="s">
        <v>333</v>
      </c>
      <c r="C3508" t="s">
        <v>455</v>
      </c>
      <c r="D3508" s="8"/>
      <c r="E3508" s="8"/>
      <c r="L3508" t="s">
        <v>563</v>
      </c>
      <c r="M3508" t="s">
        <v>478</v>
      </c>
      <c r="N3508" t="str">
        <f>Tabela_tudo[[#This Row],[Médico]]&amp;" ("&amp;Tabela_tudo[[#This Row],[Obs]]&amp;")"</f>
        <v>COR ()</v>
      </c>
    </row>
    <row r="3509" spans="1:14" x14ac:dyDescent="0.3">
      <c r="A3509" s="1">
        <v>45191</v>
      </c>
      <c r="B3509" t="s">
        <v>333</v>
      </c>
      <c r="C3509" t="s">
        <v>455</v>
      </c>
      <c r="D3509" s="8"/>
      <c r="E3509" s="8"/>
      <c r="L3509" t="s">
        <v>563</v>
      </c>
      <c r="M3509" t="s">
        <v>478</v>
      </c>
      <c r="N3509" t="str">
        <f>Tabela_tudo[[#This Row],[Médico]]&amp;" ("&amp;Tabela_tudo[[#This Row],[Obs]]&amp;")"</f>
        <v>COR ()</v>
      </c>
    </row>
    <row r="3510" spans="1:14" x14ac:dyDescent="0.3">
      <c r="A3510" s="1">
        <v>45184</v>
      </c>
      <c r="B3510" t="s">
        <v>333</v>
      </c>
      <c r="C3510" t="s">
        <v>455</v>
      </c>
      <c r="D3510" s="8"/>
      <c r="E3510" s="8"/>
      <c r="L3510" t="s">
        <v>563</v>
      </c>
      <c r="M3510" t="s">
        <v>478</v>
      </c>
      <c r="N3510" t="str">
        <f>Tabela_tudo[[#This Row],[Médico]]&amp;" ("&amp;Tabela_tudo[[#This Row],[Obs]]&amp;")"</f>
        <v>COR ()</v>
      </c>
    </row>
    <row r="3511" spans="1:14" x14ac:dyDescent="0.3">
      <c r="A3511" s="1">
        <v>45177</v>
      </c>
      <c r="B3511" t="s">
        <v>333</v>
      </c>
      <c r="C3511" t="s">
        <v>455</v>
      </c>
      <c r="D3511" s="8"/>
      <c r="E3511" s="8"/>
      <c r="L3511" t="s">
        <v>563</v>
      </c>
      <c r="M3511" t="s">
        <v>478</v>
      </c>
      <c r="N3511" t="str">
        <f>Tabela_tudo[[#This Row],[Médico]]&amp;" ("&amp;Tabela_tudo[[#This Row],[Obs]]&amp;")"</f>
        <v>COR ()</v>
      </c>
    </row>
    <row r="3512" spans="1:14" x14ac:dyDescent="0.3">
      <c r="A3512" s="1">
        <v>45198</v>
      </c>
      <c r="B3512" t="s">
        <v>333</v>
      </c>
      <c r="C3512" t="s">
        <v>455</v>
      </c>
      <c r="D3512" s="8"/>
      <c r="E3512" s="8"/>
      <c r="L3512" t="s">
        <v>563</v>
      </c>
      <c r="M3512" t="s">
        <v>478</v>
      </c>
      <c r="N3512" t="str">
        <f>Tabela_tudo[[#This Row],[Médico]]&amp;" ("&amp;Tabela_tudo[[#This Row],[Obs]]&amp;")"</f>
        <v>COR ()</v>
      </c>
    </row>
    <row r="3513" spans="1:14" x14ac:dyDescent="0.3">
      <c r="A3513" s="1">
        <v>45219</v>
      </c>
      <c r="B3513" t="s">
        <v>333</v>
      </c>
      <c r="C3513" t="s">
        <v>455</v>
      </c>
      <c r="D3513" s="8"/>
      <c r="E3513" s="8"/>
      <c r="L3513" t="s">
        <v>563</v>
      </c>
      <c r="M3513" t="s">
        <v>478</v>
      </c>
      <c r="N3513" t="str">
        <f>Tabela_tudo[[#This Row],[Médico]]&amp;" ("&amp;Tabela_tudo[[#This Row],[Obs]]&amp;")"</f>
        <v>COR ()</v>
      </c>
    </row>
    <row r="3514" spans="1:14" x14ac:dyDescent="0.3">
      <c r="A3514" s="1">
        <v>45212</v>
      </c>
      <c r="B3514" t="s">
        <v>333</v>
      </c>
      <c r="C3514" t="s">
        <v>455</v>
      </c>
      <c r="D3514" s="8"/>
      <c r="E3514" s="8"/>
      <c r="L3514" t="s">
        <v>563</v>
      </c>
      <c r="M3514" t="s">
        <v>478</v>
      </c>
      <c r="N3514" t="str">
        <f>Tabela_tudo[[#This Row],[Médico]]&amp;" ("&amp;Tabela_tudo[[#This Row],[Obs]]&amp;")"</f>
        <v>COR ()</v>
      </c>
    </row>
    <row r="3515" spans="1:14" x14ac:dyDescent="0.3">
      <c r="A3515" s="1">
        <v>45205</v>
      </c>
      <c r="B3515" t="s">
        <v>333</v>
      </c>
      <c r="C3515" t="s">
        <v>455</v>
      </c>
      <c r="D3515" s="8"/>
      <c r="E3515" s="8"/>
      <c r="L3515" t="s">
        <v>563</v>
      </c>
      <c r="M3515" t="s">
        <v>478</v>
      </c>
      <c r="N3515" t="str">
        <f>Tabela_tudo[[#This Row],[Médico]]&amp;" ("&amp;Tabela_tudo[[#This Row],[Obs]]&amp;")"</f>
        <v>COR ()</v>
      </c>
    </row>
    <row r="3516" spans="1:14" x14ac:dyDescent="0.3">
      <c r="A3516" s="1">
        <v>45065</v>
      </c>
      <c r="B3516" t="s">
        <v>333</v>
      </c>
      <c r="C3516" t="s">
        <v>455</v>
      </c>
      <c r="D3516" s="8"/>
      <c r="E3516" s="8"/>
      <c r="L3516" t="s">
        <v>563</v>
      </c>
      <c r="M3516" t="s">
        <v>478</v>
      </c>
      <c r="N3516" t="str">
        <f>Tabela_tudo[[#This Row],[Médico]]&amp;" ("&amp;Tabela_tudo[[#This Row],[Obs]]&amp;")"</f>
        <v>COR ()</v>
      </c>
    </row>
    <row r="3517" spans="1:14" x14ac:dyDescent="0.3">
      <c r="A3517" s="1">
        <v>45653</v>
      </c>
      <c r="B3517" t="s">
        <v>20</v>
      </c>
      <c r="C3517" t="s">
        <v>455</v>
      </c>
      <c r="D3517" s="8"/>
      <c r="E3517" s="8"/>
      <c r="L3517" t="s">
        <v>563</v>
      </c>
      <c r="M3517" t="s">
        <v>478</v>
      </c>
      <c r="N3517" t="str">
        <f>Tabela_tudo[[#This Row],[Médico]]&amp;" ("&amp;Tabela_tudo[[#This Row],[Obs]]&amp;")"</f>
        <v>ROB ()</v>
      </c>
    </row>
    <row r="3518" spans="1:14" x14ac:dyDescent="0.3">
      <c r="A3518" s="1">
        <v>45646</v>
      </c>
      <c r="B3518" t="s">
        <v>20</v>
      </c>
      <c r="C3518" t="s">
        <v>455</v>
      </c>
      <c r="D3518" s="8"/>
      <c r="E3518" s="8"/>
      <c r="L3518" t="s">
        <v>563</v>
      </c>
      <c r="M3518" t="s">
        <v>478</v>
      </c>
      <c r="N3518" t="str">
        <f>Tabela_tudo[[#This Row],[Médico]]&amp;" ("&amp;Tabela_tudo[[#This Row],[Obs]]&amp;")"</f>
        <v>ROB ()</v>
      </c>
    </row>
    <row r="3519" spans="1:14" x14ac:dyDescent="0.3">
      <c r="A3519" s="1">
        <v>45639</v>
      </c>
      <c r="B3519" t="s">
        <v>20</v>
      </c>
      <c r="C3519" t="s">
        <v>455</v>
      </c>
      <c r="D3519" s="8"/>
      <c r="E3519" s="8"/>
      <c r="L3519" t="s">
        <v>563</v>
      </c>
      <c r="M3519" t="s">
        <v>478</v>
      </c>
      <c r="N3519" t="str">
        <f>Tabela_tudo[[#This Row],[Médico]]&amp;" ("&amp;Tabela_tudo[[#This Row],[Obs]]&amp;")"</f>
        <v>ROB ()</v>
      </c>
    </row>
    <row r="3520" spans="1:14" x14ac:dyDescent="0.3">
      <c r="A3520" s="1">
        <v>44932</v>
      </c>
      <c r="B3520" t="s">
        <v>333</v>
      </c>
      <c r="C3520" t="s">
        <v>455</v>
      </c>
      <c r="D3520" s="8"/>
      <c r="E3520" s="8"/>
      <c r="L3520" t="s">
        <v>563</v>
      </c>
      <c r="M3520" t="s">
        <v>478</v>
      </c>
      <c r="N3520" t="str">
        <f>Tabela_tudo[[#This Row],[Médico]]&amp;" ("&amp;Tabela_tudo[[#This Row],[Obs]]&amp;")"</f>
        <v>COR ()</v>
      </c>
    </row>
    <row r="3521" spans="1:14" x14ac:dyDescent="0.3">
      <c r="A3521" s="1">
        <v>44953</v>
      </c>
      <c r="B3521" t="s">
        <v>333</v>
      </c>
      <c r="C3521" t="s">
        <v>455</v>
      </c>
      <c r="D3521" s="8"/>
      <c r="E3521" s="8"/>
      <c r="L3521" t="s">
        <v>563</v>
      </c>
      <c r="M3521" t="s">
        <v>478</v>
      </c>
      <c r="N3521" t="str">
        <f>Tabela_tudo[[#This Row],[Médico]]&amp;" ("&amp;Tabela_tudo[[#This Row],[Obs]]&amp;")"</f>
        <v>COR ()</v>
      </c>
    </row>
    <row r="3522" spans="1:14" x14ac:dyDescent="0.3">
      <c r="A3522" s="1">
        <v>44946</v>
      </c>
      <c r="B3522" t="s">
        <v>333</v>
      </c>
      <c r="C3522" t="s">
        <v>455</v>
      </c>
      <c r="D3522" s="8"/>
      <c r="E3522" s="8"/>
      <c r="L3522" t="s">
        <v>563</v>
      </c>
      <c r="M3522" t="s">
        <v>478</v>
      </c>
      <c r="N3522" t="str">
        <f>Tabela_tudo[[#This Row],[Médico]]&amp;" ("&amp;Tabela_tudo[[#This Row],[Obs]]&amp;")"</f>
        <v>COR ()</v>
      </c>
    </row>
    <row r="3523" spans="1:14" x14ac:dyDescent="0.3">
      <c r="A3523" s="1">
        <v>44939</v>
      </c>
      <c r="B3523" t="s">
        <v>333</v>
      </c>
      <c r="C3523" t="s">
        <v>455</v>
      </c>
      <c r="D3523" s="8"/>
      <c r="E3523" s="8"/>
      <c r="L3523" t="s">
        <v>563</v>
      </c>
      <c r="M3523" t="s">
        <v>478</v>
      </c>
      <c r="N3523" t="str">
        <f>Tabela_tudo[[#This Row],[Médico]]&amp;" ("&amp;Tabela_tudo[[#This Row],[Obs]]&amp;")"</f>
        <v>COR ()</v>
      </c>
    </row>
    <row r="3524" spans="1:14" x14ac:dyDescent="0.3">
      <c r="A3524" s="1">
        <v>45604</v>
      </c>
      <c r="B3524" t="s">
        <v>20</v>
      </c>
      <c r="C3524" t="s">
        <v>455</v>
      </c>
      <c r="D3524" s="8"/>
      <c r="E3524" s="8"/>
      <c r="L3524" t="s">
        <v>563</v>
      </c>
      <c r="M3524" t="s">
        <v>478</v>
      </c>
      <c r="N3524" t="str">
        <f>Tabela_tudo[[#This Row],[Médico]]&amp;" ("&amp;Tabela_tudo[[#This Row],[Obs]]&amp;")"</f>
        <v>ROB ()</v>
      </c>
    </row>
    <row r="3525" spans="1:14" x14ac:dyDescent="0.3">
      <c r="A3525" s="1">
        <v>45597</v>
      </c>
      <c r="B3525" t="s">
        <v>20</v>
      </c>
      <c r="C3525" t="s">
        <v>455</v>
      </c>
      <c r="D3525" s="8"/>
      <c r="E3525" s="8"/>
      <c r="L3525" t="s">
        <v>563</v>
      </c>
      <c r="M3525" t="s">
        <v>478</v>
      </c>
      <c r="N3525" t="str">
        <f>Tabela_tudo[[#This Row],[Médico]]&amp;" ("&amp;Tabela_tudo[[#This Row],[Obs]]&amp;")"</f>
        <v>ROB ()</v>
      </c>
    </row>
    <row r="3526" spans="1:14" x14ac:dyDescent="0.3">
      <c r="A3526" s="1">
        <v>45590</v>
      </c>
      <c r="B3526" t="s">
        <v>20</v>
      </c>
      <c r="C3526" t="s">
        <v>455</v>
      </c>
      <c r="D3526" s="8"/>
      <c r="E3526" s="8"/>
      <c r="L3526" t="s">
        <v>563</v>
      </c>
      <c r="M3526" t="s">
        <v>478</v>
      </c>
      <c r="N3526" t="str">
        <f>Tabela_tudo[[#This Row],[Médico]]&amp;" ("&amp;Tabela_tudo[[#This Row],[Obs]]&amp;")"</f>
        <v>ROB ()</v>
      </c>
    </row>
    <row r="3527" spans="1:14" x14ac:dyDescent="0.3">
      <c r="A3527" s="1">
        <v>45611</v>
      </c>
      <c r="B3527" t="s">
        <v>20</v>
      </c>
      <c r="C3527" t="s">
        <v>455</v>
      </c>
      <c r="D3527" s="8"/>
      <c r="E3527" s="8"/>
      <c r="L3527" t="s">
        <v>563</v>
      </c>
      <c r="M3527" t="s">
        <v>478</v>
      </c>
      <c r="N3527" t="str">
        <f>Tabela_tudo[[#This Row],[Médico]]&amp;" ("&amp;Tabela_tudo[[#This Row],[Obs]]&amp;")"</f>
        <v>ROB ()</v>
      </c>
    </row>
    <row r="3528" spans="1:14" x14ac:dyDescent="0.3">
      <c r="A3528" s="1">
        <v>45632</v>
      </c>
      <c r="B3528" t="s">
        <v>20</v>
      </c>
      <c r="C3528" t="s">
        <v>455</v>
      </c>
      <c r="D3528" s="8"/>
      <c r="E3528" s="8"/>
      <c r="L3528" t="s">
        <v>563</v>
      </c>
      <c r="M3528" t="s">
        <v>478</v>
      </c>
      <c r="N3528" t="str">
        <f>Tabela_tudo[[#This Row],[Médico]]&amp;" ("&amp;Tabela_tudo[[#This Row],[Obs]]&amp;")"</f>
        <v>ROB ()</v>
      </c>
    </row>
    <row r="3529" spans="1:14" x14ac:dyDescent="0.3">
      <c r="A3529" s="1">
        <v>45625</v>
      </c>
      <c r="B3529" t="s">
        <v>20</v>
      </c>
      <c r="C3529" t="s">
        <v>455</v>
      </c>
      <c r="D3529" s="8"/>
      <c r="E3529" s="8"/>
      <c r="L3529" t="s">
        <v>563</v>
      </c>
      <c r="M3529" t="s">
        <v>478</v>
      </c>
      <c r="N3529" t="str">
        <f>Tabela_tudo[[#This Row],[Médico]]&amp;" ("&amp;Tabela_tudo[[#This Row],[Obs]]&amp;")"</f>
        <v>ROB ()</v>
      </c>
    </row>
    <row r="3530" spans="1:14" x14ac:dyDescent="0.3">
      <c r="A3530" s="1">
        <v>45618</v>
      </c>
      <c r="B3530" t="s">
        <v>20</v>
      </c>
      <c r="C3530" t="s">
        <v>455</v>
      </c>
      <c r="D3530" s="8"/>
      <c r="E3530" s="8"/>
      <c r="L3530" t="s">
        <v>563</v>
      </c>
      <c r="M3530" t="s">
        <v>478</v>
      </c>
      <c r="N3530" t="str">
        <f>Tabela_tudo[[#This Row],[Médico]]&amp;" ("&amp;Tabela_tudo[[#This Row],[Obs]]&amp;")"</f>
        <v>ROB ()</v>
      </c>
    </row>
    <row r="3531" spans="1:14" x14ac:dyDescent="0.3">
      <c r="A3531" s="1">
        <v>44960</v>
      </c>
      <c r="B3531" t="s">
        <v>333</v>
      </c>
      <c r="C3531" t="s">
        <v>455</v>
      </c>
      <c r="D3531" s="8"/>
      <c r="E3531" s="8"/>
      <c r="L3531" t="s">
        <v>563</v>
      </c>
      <c r="M3531" t="s">
        <v>478</v>
      </c>
      <c r="N3531" t="str">
        <f>Tabela_tudo[[#This Row],[Médico]]&amp;" ("&amp;Tabela_tudo[[#This Row],[Obs]]&amp;")"</f>
        <v>COR ()</v>
      </c>
    </row>
    <row r="3532" spans="1:14" x14ac:dyDescent="0.3">
      <c r="A3532" s="1">
        <v>45030</v>
      </c>
      <c r="B3532" t="s">
        <v>333</v>
      </c>
      <c r="C3532" t="s">
        <v>455</v>
      </c>
      <c r="D3532" s="8"/>
      <c r="E3532" s="8"/>
      <c r="L3532" t="s">
        <v>563</v>
      </c>
      <c r="M3532" t="s">
        <v>478</v>
      </c>
      <c r="N3532" t="str">
        <f>Tabela_tudo[[#This Row],[Médico]]&amp;" ("&amp;Tabela_tudo[[#This Row],[Obs]]&amp;")"</f>
        <v>COR ()</v>
      </c>
    </row>
    <row r="3533" spans="1:14" x14ac:dyDescent="0.3">
      <c r="A3533" s="1">
        <v>45023</v>
      </c>
      <c r="B3533" t="s">
        <v>333</v>
      </c>
      <c r="C3533" t="s">
        <v>455</v>
      </c>
      <c r="D3533" s="8"/>
      <c r="E3533" s="8"/>
      <c r="L3533" t="s">
        <v>563</v>
      </c>
      <c r="M3533" t="s">
        <v>478</v>
      </c>
      <c r="N3533" t="str">
        <f>Tabela_tudo[[#This Row],[Médico]]&amp;" ("&amp;Tabela_tudo[[#This Row],[Obs]]&amp;")"</f>
        <v>COR ()</v>
      </c>
    </row>
    <row r="3534" spans="1:14" x14ac:dyDescent="0.3">
      <c r="A3534" s="1">
        <v>45016</v>
      </c>
      <c r="B3534" t="s">
        <v>333</v>
      </c>
      <c r="C3534" t="s">
        <v>455</v>
      </c>
      <c r="D3534" s="8"/>
      <c r="E3534" s="8"/>
      <c r="L3534" t="s">
        <v>563</v>
      </c>
      <c r="M3534" t="s">
        <v>478</v>
      </c>
      <c r="N3534" t="str">
        <f>Tabela_tudo[[#This Row],[Médico]]&amp;" ("&amp;Tabela_tudo[[#This Row],[Obs]]&amp;")"</f>
        <v>COR ()</v>
      </c>
    </row>
    <row r="3535" spans="1:14" x14ac:dyDescent="0.3">
      <c r="A3535" s="1">
        <v>45037</v>
      </c>
      <c r="B3535" t="s">
        <v>333</v>
      </c>
      <c r="C3535" t="s">
        <v>455</v>
      </c>
      <c r="D3535" s="8"/>
      <c r="E3535" s="8"/>
      <c r="L3535" t="s">
        <v>563</v>
      </c>
      <c r="M3535" t="s">
        <v>478</v>
      </c>
      <c r="N3535" t="str">
        <f>Tabela_tudo[[#This Row],[Médico]]&amp;" ("&amp;Tabela_tudo[[#This Row],[Obs]]&amp;")"</f>
        <v>COR ()</v>
      </c>
    </row>
    <row r="3536" spans="1:14" x14ac:dyDescent="0.3">
      <c r="A3536" s="1">
        <v>45058</v>
      </c>
      <c r="B3536" t="s">
        <v>333</v>
      </c>
      <c r="C3536" t="s">
        <v>455</v>
      </c>
      <c r="D3536" s="8"/>
      <c r="E3536" s="8"/>
      <c r="L3536" t="s">
        <v>563</v>
      </c>
      <c r="M3536" t="s">
        <v>478</v>
      </c>
      <c r="N3536" t="str">
        <f>Tabela_tudo[[#This Row],[Médico]]&amp;" ("&amp;Tabela_tudo[[#This Row],[Obs]]&amp;")"</f>
        <v>COR ()</v>
      </c>
    </row>
    <row r="3537" spans="1:14" x14ac:dyDescent="0.3">
      <c r="A3537" s="1">
        <v>45051</v>
      </c>
      <c r="B3537" t="s">
        <v>333</v>
      </c>
      <c r="C3537" t="s">
        <v>455</v>
      </c>
      <c r="D3537" s="8"/>
      <c r="E3537" s="8"/>
      <c r="L3537" t="s">
        <v>563</v>
      </c>
      <c r="M3537" t="s">
        <v>478</v>
      </c>
      <c r="N3537" t="str">
        <f>Tabela_tudo[[#This Row],[Médico]]&amp;" ("&amp;Tabela_tudo[[#This Row],[Obs]]&amp;")"</f>
        <v>COR ()</v>
      </c>
    </row>
    <row r="3538" spans="1:14" x14ac:dyDescent="0.3">
      <c r="A3538" s="1">
        <v>45044</v>
      </c>
      <c r="B3538" t="s">
        <v>333</v>
      </c>
      <c r="C3538" t="s">
        <v>455</v>
      </c>
      <c r="D3538" s="8"/>
      <c r="E3538" s="8"/>
      <c r="L3538" t="s">
        <v>563</v>
      </c>
      <c r="M3538" t="s">
        <v>478</v>
      </c>
      <c r="N3538" t="str">
        <f>Tabela_tudo[[#This Row],[Médico]]&amp;" ("&amp;Tabela_tudo[[#This Row],[Obs]]&amp;")"</f>
        <v>COR ()</v>
      </c>
    </row>
    <row r="3539" spans="1:14" x14ac:dyDescent="0.3">
      <c r="A3539" s="1">
        <v>44981</v>
      </c>
      <c r="B3539" t="s">
        <v>333</v>
      </c>
      <c r="C3539" t="s">
        <v>455</v>
      </c>
      <c r="D3539" s="8"/>
      <c r="E3539" s="8"/>
      <c r="L3539" t="s">
        <v>563</v>
      </c>
      <c r="M3539" t="s">
        <v>478</v>
      </c>
      <c r="N3539" t="str">
        <f>Tabela_tudo[[#This Row],[Médico]]&amp;" ("&amp;Tabela_tudo[[#This Row],[Obs]]&amp;")"</f>
        <v>COR ()</v>
      </c>
    </row>
    <row r="3540" spans="1:14" x14ac:dyDescent="0.3">
      <c r="A3540" s="1">
        <v>44974</v>
      </c>
      <c r="B3540" t="s">
        <v>333</v>
      </c>
      <c r="C3540" t="s">
        <v>455</v>
      </c>
      <c r="D3540" s="8"/>
      <c r="E3540" s="8"/>
      <c r="L3540" t="s">
        <v>563</v>
      </c>
      <c r="M3540" t="s">
        <v>478</v>
      </c>
      <c r="N3540" t="str">
        <f>Tabela_tudo[[#This Row],[Médico]]&amp;" ("&amp;Tabela_tudo[[#This Row],[Obs]]&amp;")"</f>
        <v>COR ()</v>
      </c>
    </row>
    <row r="3541" spans="1:14" x14ac:dyDescent="0.3">
      <c r="A3541" s="1">
        <v>44967</v>
      </c>
      <c r="B3541" t="s">
        <v>333</v>
      </c>
      <c r="C3541" t="s">
        <v>455</v>
      </c>
      <c r="D3541" s="8"/>
      <c r="E3541" s="8"/>
      <c r="L3541" t="s">
        <v>563</v>
      </c>
      <c r="M3541" t="s">
        <v>478</v>
      </c>
      <c r="N3541" t="str">
        <f>Tabela_tudo[[#This Row],[Médico]]&amp;" ("&amp;Tabela_tudo[[#This Row],[Obs]]&amp;")"</f>
        <v>COR ()</v>
      </c>
    </row>
    <row r="3542" spans="1:14" x14ac:dyDescent="0.3">
      <c r="A3542" s="1">
        <v>44988</v>
      </c>
      <c r="B3542" t="s">
        <v>333</v>
      </c>
      <c r="C3542" t="s">
        <v>455</v>
      </c>
      <c r="D3542" s="8"/>
      <c r="E3542" s="8"/>
      <c r="L3542" t="s">
        <v>563</v>
      </c>
      <c r="M3542" t="s">
        <v>478</v>
      </c>
      <c r="N3542" t="str">
        <f>Tabela_tudo[[#This Row],[Médico]]&amp;" ("&amp;Tabela_tudo[[#This Row],[Obs]]&amp;")"</f>
        <v>COR ()</v>
      </c>
    </row>
    <row r="3543" spans="1:14" x14ac:dyDescent="0.3">
      <c r="A3543" s="1">
        <v>45009</v>
      </c>
      <c r="B3543" t="s">
        <v>333</v>
      </c>
      <c r="C3543" t="s">
        <v>455</v>
      </c>
      <c r="D3543" s="8"/>
      <c r="E3543" s="8"/>
      <c r="L3543" t="s">
        <v>563</v>
      </c>
      <c r="M3543" t="s">
        <v>478</v>
      </c>
      <c r="N3543" t="str">
        <f>Tabela_tudo[[#This Row],[Médico]]&amp;" ("&amp;Tabela_tudo[[#This Row],[Obs]]&amp;")"</f>
        <v>COR ()</v>
      </c>
    </row>
    <row r="3544" spans="1:14" x14ac:dyDescent="0.3">
      <c r="A3544" s="1">
        <v>45002</v>
      </c>
      <c r="B3544" t="s">
        <v>333</v>
      </c>
      <c r="C3544" t="s">
        <v>455</v>
      </c>
      <c r="D3544" s="8"/>
      <c r="E3544" s="8"/>
      <c r="L3544" t="s">
        <v>563</v>
      </c>
      <c r="M3544" t="s">
        <v>478</v>
      </c>
      <c r="N3544" t="str">
        <f>Tabela_tudo[[#This Row],[Médico]]&amp;" ("&amp;Tabela_tudo[[#This Row],[Obs]]&amp;")"</f>
        <v>COR ()</v>
      </c>
    </row>
    <row r="3545" spans="1:14" x14ac:dyDescent="0.3">
      <c r="A3545" s="1">
        <v>44995</v>
      </c>
      <c r="B3545" t="s">
        <v>333</v>
      </c>
      <c r="C3545" t="s">
        <v>455</v>
      </c>
      <c r="D3545" s="8"/>
      <c r="E3545" s="8"/>
      <c r="L3545" t="s">
        <v>563</v>
      </c>
      <c r="M3545" t="s">
        <v>478</v>
      </c>
      <c r="N3545" t="str">
        <f>Tabela_tudo[[#This Row],[Médico]]&amp;" ("&amp;Tabela_tudo[[#This Row],[Obs]]&amp;")"</f>
        <v>COR ()</v>
      </c>
    </row>
    <row r="3546" spans="1:14" x14ac:dyDescent="0.3">
      <c r="A3546" s="1">
        <v>45156</v>
      </c>
      <c r="B3546" t="s">
        <v>20</v>
      </c>
      <c r="C3546" t="s">
        <v>455</v>
      </c>
      <c r="D3546" s="8"/>
      <c r="E3546" s="8"/>
      <c r="L3546" t="s">
        <v>563</v>
      </c>
      <c r="M3546" t="s">
        <v>478</v>
      </c>
      <c r="N3546" t="str">
        <f>Tabela_tudo[[#This Row],[Médico]]&amp;" ("&amp;Tabela_tudo[[#This Row],[Obs]]&amp;")"</f>
        <v>ROB ()</v>
      </c>
    </row>
    <row r="3547" spans="1:14" x14ac:dyDescent="0.3">
      <c r="A3547" s="1">
        <v>45324</v>
      </c>
      <c r="B3547" t="s">
        <v>214</v>
      </c>
      <c r="C3547" t="s">
        <v>455</v>
      </c>
      <c r="D3547" s="8"/>
      <c r="E3547" s="8"/>
      <c r="L3547" t="s">
        <v>563</v>
      </c>
      <c r="M3547" t="s">
        <v>478</v>
      </c>
      <c r="N3547" t="str">
        <f>Tabela_tudo[[#This Row],[Médico]]&amp;" ("&amp;Tabela_tudo[[#This Row],[Obs]]&amp;")"</f>
        <v>IFA ()</v>
      </c>
    </row>
    <row r="3548" spans="1:14" x14ac:dyDescent="0.3">
      <c r="A3548" s="1">
        <v>45317</v>
      </c>
      <c r="B3548" t="s">
        <v>214</v>
      </c>
      <c r="C3548" t="s">
        <v>455</v>
      </c>
      <c r="D3548" s="8"/>
      <c r="E3548" s="8"/>
      <c r="L3548" t="s">
        <v>563</v>
      </c>
      <c r="M3548" t="s">
        <v>478</v>
      </c>
      <c r="N3548" t="str">
        <f>Tabela_tudo[[#This Row],[Médico]]&amp;" ("&amp;Tabela_tudo[[#This Row],[Obs]]&amp;")"</f>
        <v>IFA ()</v>
      </c>
    </row>
    <row r="3549" spans="1:14" x14ac:dyDescent="0.3">
      <c r="A3549" s="1">
        <v>45310</v>
      </c>
      <c r="B3549" t="s">
        <v>214</v>
      </c>
      <c r="C3549" t="s">
        <v>455</v>
      </c>
      <c r="D3549" s="8"/>
      <c r="E3549" s="8"/>
      <c r="L3549" t="s">
        <v>563</v>
      </c>
      <c r="M3549" t="s">
        <v>478</v>
      </c>
      <c r="N3549" t="str">
        <f>Tabela_tudo[[#This Row],[Médico]]&amp;" ("&amp;Tabela_tudo[[#This Row],[Obs]]&amp;")"</f>
        <v>IFA ()</v>
      </c>
    </row>
    <row r="3550" spans="1:14" x14ac:dyDescent="0.3">
      <c r="A3550" s="1">
        <v>45331</v>
      </c>
      <c r="B3550" t="s">
        <v>214</v>
      </c>
      <c r="C3550" t="s">
        <v>455</v>
      </c>
      <c r="D3550" s="8"/>
      <c r="E3550" s="8"/>
      <c r="L3550" t="s">
        <v>563</v>
      </c>
      <c r="M3550" t="s">
        <v>478</v>
      </c>
      <c r="N3550" t="str">
        <f>Tabela_tudo[[#This Row],[Médico]]&amp;" ("&amp;Tabela_tudo[[#This Row],[Obs]]&amp;")"</f>
        <v>IFA ()</v>
      </c>
    </row>
    <row r="3551" spans="1:14" x14ac:dyDescent="0.3">
      <c r="A3551" s="1">
        <v>45352</v>
      </c>
      <c r="B3551" t="s">
        <v>214</v>
      </c>
      <c r="C3551" t="s">
        <v>455</v>
      </c>
      <c r="D3551" s="8"/>
      <c r="E3551" s="8"/>
      <c r="L3551" t="s">
        <v>563</v>
      </c>
      <c r="M3551" t="s">
        <v>478</v>
      </c>
      <c r="N3551" t="str">
        <f>Tabela_tudo[[#This Row],[Médico]]&amp;" ("&amp;Tabela_tudo[[#This Row],[Obs]]&amp;")"</f>
        <v>IFA ()</v>
      </c>
    </row>
    <row r="3552" spans="1:14" x14ac:dyDescent="0.3">
      <c r="A3552" s="1">
        <v>45345</v>
      </c>
      <c r="B3552" t="s">
        <v>214</v>
      </c>
      <c r="C3552" t="s">
        <v>455</v>
      </c>
      <c r="D3552" s="8"/>
      <c r="E3552" s="8"/>
      <c r="L3552" t="s">
        <v>563</v>
      </c>
      <c r="M3552" t="s">
        <v>478</v>
      </c>
      <c r="N3552" t="str">
        <f>Tabela_tudo[[#This Row],[Médico]]&amp;" ("&amp;Tabela_tudo[[#This Row],[Obs]]&amp;")"</f>
        <v>IFA ()</v>
      </c>
    </row>
    <row r="3553" spans="1:14" x14ac:dyDescent="0.3">
      <c r="A3553" s="1">
        <v>45338</v>
      </c>
      <c r="B3553" t="s">
        <v>214</v>
      </c>
      <c r="C3553" t="s">
        <v>455</v>
      </c>
      <c r="D3553" s="8"/>
      <c r="E3553" s="8"/>
      <c r="L3553" t="s">
        <v>563</v>
      </c>
      <c r="M3553" t="s">
        <v>478</v>
      </c>
      <c r="N3553" t="str">
        <f>Tabela_tudo[[#This Row],[Médico]]&amp;" ("&amp;Tabela_tudo[[#This Row],[Obs]]&amp;")"</f>
        <v>IFA ()</v>
      </c>
    </row>
    <row r="3554" spans="1:14" x14ac:dyDescent="0.3">
      <c r="A3554" s="1">
        <v>45275</v>
      </c>
      <c r="B3554" t="s">
        <v>214</v>
      </c>
      <c r="C3554" t="s">
        <v>455</v>
      </c>
      <c r="D3554" s="8"/>
      <c r="E3554" s="8"/>
      <c r="L3554" t="s">
        <v>563</v>
      </c>
      <c r="M3554" t="s">
        <v>478</v>
      </c>
      <c r="N3554" t="str">
        <f>Tabela_tudo[[#This Row],[Médico]]&amp;" ("&amp;Tabela_tudo[[#This Row],[Obs]]&amp;")"</f>
        <v>IFA ()</v>
      </c>
    </row>
    <row r="3555" spans="1:14" x14ac:dyDescent="0.3">
      <c r="A3555" s="1">
        <v>45268</v>
      </c>
      <c r="B3555" t="s">
        <v>214</v>
      </c>
      <c r="C3555" t="s">
        <v>455</v>
      </c>
      <c r="D3555" s="8"/>
      <c r="E3555" s="8"/>
      <c r="L3555" t="s">
        <v>563</v>
      </c>
      <c r="M3555" t="s">
        <v>478</v>
      </c>
      <c r="N3555" t="str">
        <f>Tabela_tudo[[#This Row],[Médico]]&amp;" ("&amp;Tabela_tudo[[#This Row],[Obs]]&amp;")"</f>
        <v>IFA ()</v>
      </c>
    </row>
    <row r="3556" spans="1:14" x14ac:dyDescent="0.3">
      <c r="A3556" s="1">
        <v>45261</v>
      </c>
      <c r="B3556" t="s">
        <v>214</v>
      </c>
      <c r="C3556" t="s">
        <v>455</v>
      </c>
      <c r="D3556" s="8"/>
      <c r="E3556" s="8"/>
      <c r="L3556" t="s">
        <v>563</v>
      </c>
      <c r="M3556" t="s">
        <v>478</v>
      </c>
      <c r="N3556" t="str">
        <f>Tabela_tudo[[#This Row],[Médico]]&amp;" ("&amp;Tabela_tudo[[#This Row],[Obs]]&amp;")"</f>
        <v>IFA ()</v>
      </c>
    </row>
    <row r="3557" spans="1:14" x14ac:dyDescent="0.3">
      <c r="A3557" s="1">
        <v>45282</v>
      </c>
      <c r="B3557" t="s">
        <v>214</v>
      </c>
      <c r="C3557" t="s">
        <v>455</v>
      </c>
      <c r="D3557" s="8"/>
      <c r="E3557" s="8"/>
      <c r="L3557" t="s">
        <v>563</v>
      </c>
      <c r="M3557" t="s">
        <v>478</v>
      </c>
      <c r="N3557" t="str">
        <f>Tabela_tudo[[#This Row],[Médico]]&amp;" ("&amp;Tabela_tudo[[#This Row],[Obs]]&amp;")"</f>
        <v>IFA ()</v>
      </c>
    </row>
    <row r="3558" spans="1:14" x14ac:dyDescent="0.3">
      <c r="A3558" s="1">
        <v>45303</v>
      </c>
      <c r="B3558" t="s">
        <v>214</v>
      </c>
      <c r="C3558" t="s">
        <v>455</v>
      </c>
      <c r="D3558" s="8"/>
      <c r="E3558" s="8"/>
      <c r="L3558" t="s">
        <v>563</v>
      </c>
      <c r="M3558" t="s">
        <v>478</v>
      </c>
      <c r="N3558" t="str">
        <f>Tabela_tudo[[#This Row],[Médico]]&amp;" ("&amp;Tabela_tudo[[#This Row],[Obs]]&amp;")"</f>
        <v>IFA ()</v>
      </c>
    </row>
    <row r="3559" spans="1:14" x14ac:dyDescent="0.3">
      <c r="A3559" s="1">
        <v>45296</v>
      </c>
      <c r="B3559" t="s">
        <v>214</v>
      </c>
      <c r="C3559" t="s">
        <v>455</v>
      </c>
      <c r="D3559" s="8"/>
      <c r="E3559" s="8"/>
      <c r="L3559" t="s">
        <v>563</v>
      </c>
      <c r="M3559" t="s">
        <v>478</v>
      </c>
      <c r="N3559" t="str">
        <f>Tabela_tudo[[#This Row],[Médico]]&amp;" ("&amp;Tabela_tudo[[#This Row],[Obs]]&amp;")"</f>
        <v>IFA ()</v>
      </c>
    </row>
    <row r="3560" spans="1:14" x14ac:dyDescent="0.3">
      <c r="A3560" s="1">
        <v>45289</v>
      </c>
      <c r="B3560" t="s">
        <v>214</v>
      </c>
      <c r="C3560" t="s">
        <v>455</v>
      </c>
      <c r="D3560" s="8"/>
      <c r="E3560" s="8"/>
      <c r="L3560" t="s">
        <v>563</v>
      </c>
      <c r="M3560" t="s">
        <v>478</v>
      </c>
      <c r="N3560" t="str">
        <f>Tabela_tudo[[#This Row],[Médico]]&amp;" ("&amp;Tabela_tudo[[#This Row],[Obs]]&amp;")"</f>
        <v>IFA ()</v>
      </c>
    </row>
    <row r="3561" spans="1:14" x14ac:dyDescent="0.3">
      <c r="A3561" s="1">
        <v>45359</v>
      </c>
      <c r="B3561" t="s">
        <v>214</v>
      </c>
      <c r="C3561" t="s">
        <v>455</v>
      </c>
      <c r="D3561" s="8"/>
      <c r="E3561" s="8"/>
      <c r="L3561" t="s">
        <v>563</v>
      </c>
      <c r="M3561" t="s">
        <v>478</v>
      </c>
      <c r="N3561" t="str">
        <f>Tabela_tudo[[#This Row],[Médico]]&amp;" ("&amp;Tabela_tudo[[#This Row],[Obs]]&amp;")"</f>
        <v>IFA ()</v>
      </c>
    </row>
    <row r="3562" spans="1:14" x14ac:dyDescent="0.3">
      <c r="A3562" s="1">
        <v>45429</v>
      </c>
      <c r="B3562" t="s">
        <v>214</v>
      </c>
      <c r="C3562" t="s">
        <v>455</v>
      </c>
      <c r="D3562" s="8"/>
      <c r="E3562" s="8"/>
      <c r="L3562" t="s">
        <v>563</v>
      </c>
      <c r="M3562" t="s">
        <v>478</v>
      </c>
      <c r="N3562" t="str">
        <f>Tabela_tudo[[#This Row],[Médico]]&amp;" ("&amp;Tabela_tudo[[#This Row],[Obs]]&amp;")"</f>
        <v>IFA ()</v>
      </c>
    </row>
    <row r="3563" spans="1:14" x14ac:dyDescent="0.3">
      <c r="A3563" s="1">
        <v>45422</v>
      </c>
      <c r="B3563" t="s">
        <v>214</v>
      </c>
      <c r="C3563" t="s">
        <v>455</v>
      </c>
      <c r="D3563" s="8"/>
      <c r="E3563" s="8"/>
      <c r="L3563" t="s">
        <v>563</v>
      </c>
      <c r="M3563" t="s">
        <v>478</v>
      </c>
      <c r="N3563" t="str">
        <f>Tabela_tudo[[#This Row],[Médico]]&amp;" ("&amp;Tabela_tudo[[#This Row],[Obs]]&amp;")"</f>
        <v>IFA ()</v>
      </c>
    </row>
    <row r="3564" spans="1:14" x14ac:dyDescent="0.3">
      <c r="A3564" s="1">
        <v>45415</v>
      </c>
      <c r="B3564" t="s">
        <v>214</v>
      </c>
      <c r="C3564" t="s">
        <v>455</v>
      </c>
      <c r="D3564" s="8"/>
      <c r="E3564" s="8"/>
      <c r="L3564" t="s">
        <v>563</v>
      </c>
      <c r="M3564" t="s">
        <v>478</v>
      </c>
      <c r="N3564" t="str">
        <f>Tabela_tudo[[#This Row],[Médico]]&amp;" ("&amp;Tabela_tudo[[#This Row],[Obs]]&amp;")"</f>
        <v>IFA ()</v>
      </c>
    </row>
    <row r="3565" spans="1:14" x14ac:dyDescent="0.3">
      <c r="A3565" s="1">
        <v>45436</v>
      </c>
      <c r="B3565" t="s">
        <v>214</v>
      </c>
      <c r="C3565" t="s">
        <v>455</v>
      </c>
      <c r="D3565" s="8"/>
      <c r="E3565" s="8"/>
      <c r="L3565" t="s">
        <v>563</v>
      </c>
      <c r="M3565" t="s">
        <v>478</v>
      </c>
      <c r="N3565" t="str">
        <f>Tabela_tudo[[#This Row],[Médico]]&amp;" ("&amp;Tabela_tudo[[#This Row],[Obs]]&amp;")"</f>
        <v>IFA ()</v>
      </c>
    </row>
    <row r="3566" spans="1:14" x14ac:dyDescent="0.3">
      <c r="A3566" s="1">
        <v>45457</v>
      </c>
      <c r="B3566" t="s">
        <v>214</v>
      </c>
      <c r="C3566" t="s">
        <v>455</v>
      </c>
      <c r="D3566" s="8"/>
      <c r="E3566" s="8"/>
      <c r="L3566" t="s">
        <v>563</v>
      </c>
      <c r="M3566" t="s">
        <v>478</v>
      </c>
      <c r="N3566" t="str">
        <f>Tabela_tudo[[#This Row],[Médico]]&amp;" ("&amp;Tabela_tudo[[#This Row],[Obs]]&amp;")"</f>
        <v>IFA ()</v>
      </c>
    </row>
    <row r="3567" spans="1:14" x14ac:dyDescent="0.3">
      <c r="A3567" s="1">
        <v>45450</v>
      </c>
      <c r="B3567" t="s">
        <v>214</v>
      </c>
      <c r="C3567" t="s">
        <v>455</v>
      </c>
      <c r="D3567" s="8"/>
      <c r="E3567" s="8"/>
      <c r="L3567" t="s">
        <v>563</v>
      </c>
      <c r="M3567" t="s">
        <v>478</v>
      </c>
      <c r="N3567" t="str">
        <f>Tabela_tudo[[#This Row],[Médico]]&amp;" ("&amp;Tabela_tudo[[#This Row],[Obs]]&amp;")"</f>
        <v>IFA ()</v>
      </c>
    </row>
    <row r="3568" spans="1:14" x14ac:dyDescent="0.3">
      <c r="A3568" s="1">
        <v>45443</v>
      </c>
      <c r="B3568" t="s">
        <v>214</v>
      </c>
      <c r="C3568" t="s">
        <v>455</v>
      </c>
      <c r="D3568" s="8"/>
      <c r="E3568" s="8"/>
      <c r="L3568" t="s">
        <v>563</v>
      </c>
      <c r="M3568" t="s">
        <v>478</v>
      </c>
      <c r="N3568" t="str">
        <f>Tabela_tudo[[#This Row],[Médico]]&amp;" ("&amp;Tabela_tudo[[#This Row],[Obs]]&amp;")"</f>
        <v>IFA ()</v>
      </c>
    </row>
    <row r="3569" spans="1:14" x14ac:dyDescent="0.3">
      <c r="A3569" s="1">
        <v>45380</v>
      </c>
      <c r="B3569" t="s">
        <v>214</v>
      </c>
      <c r="C3569" t="s">
        <v>455</v>
      </c>
      <c r="D3569" s="8"/>
      <c r="E3569" s="8"/>
      <c r="L3569" t="s">
        <v>563</v>
      </c>
      <c r="M3569" t="s">
        <v>478</v>
      </c>
      <c r="N3569" t="str">
        <f>Tabela_tudo[[#This Row],[Médico]]&amp;" ("&amp;Tabela_tudo[[#This Row],[Obs]]&amp;")"</f>
        <v>IFA ()</v>
      </c>
    </row>
    <row r="3570" spans="1:14" x14ac:dyDescent="0.3">
      <c r="A3570" s="1">
        <v>45373</v>
      </c>
      <c r="B3570" t="s">
        <v>214</v>
      </c>
      <c r="C3570" t="s">
        <v>455</v>
      </c>
      <c r="D3570" s="8"/>
      <c r="E3570" s="8"/>
      <c r="L3570" t="s">
        <v>563</v>
      </c>
      <c r="M3570" t="s">
        <v>478</v>
      </c>
      <c r="N3570" t="str">
        <f>Tabela_tudo[[#This Row],[Médico]]&amp;" ("&amp;Tabela_tudo[[#This Row],[Obs]]&amp;")"</f>
        <v>IFA ()</v>
      </c>
    </row>
    <row r="3571" spans="1:14" x14ac:dyDescent="0.3">
      <c r="A3571" s="1">
        <v>45366</v>
      </c>
      <c r="B3571" t="s">
        <v>214</v>
      </c>
      <c r="C3571" t="s">
        <v>455</v>
      </c>
      <c r="D3571" s="8"/>
      <c r="E3571" s="8"/>
      <c r="L3571" t="s">
        <v>563</v>
      </c>
      <c r="M3571" t="s">
        <v>478</v>
      </c>
      <c r="N3571" t="str">
        <f>Tabela_tudo[[#This Row],[Médico]]&amp;" ("&amp;Tabela_tudo[[#This Row],[Obs]]&amp;")"</f>
        <v>IFA ()</v>
      </c>
    </row>
    <row r="3572" spans="1:14" x14ac:dyDescent="0.3">
      <c r="A3572" s="1">
        <v>45387</v>
      </c>
      <c r="B3572" t="s">
        <v>214</v>
      </c>
      <c r="C3572" t="s">
        <v>455</v>
      </c>
      <c r="D3572" s="8"/>
      <c r="E3572" s="8"/>
      <c r="L3572" t="s">
        <v>563</v>
      </c>
      <c r="M3572" t="s">
        <v>478</v>
      </c>
      <c r="N3572" t="str">
        <f>Tabela_tudo[[#This Row],[Médico]]&amp;" ("&amp;Tabela_tudo[[#This Row],[Obs]]&amp;")"</f>
        <v>IFA ()</v>
      </c>
    </row>
    <row r="3573" spans="1:14" x14ac:dyDescent="0.3">
      <c r="A3573" s="1">
        <v>45408</v>
      </c>
      <c r="B3573" t="s">
        <v>214</v>
      </c>
      <c r="C3573" t="s">
        <v>455</v>
      </c>
      <c r="D3573" s="8"/>
      <c r="E3573" s="8"/>
      <c r="L3573" t="s">
        <v>563</v>
      </c>
      <c r="M3573" t="s">
        <v>478</v>
      </c>
      <c r="N3573" t="str">
        <f>Tabela_tudo[[#This Row],[Médico]]&amp;" ("&amp;Tabela_tudo[[#This Row],[Obs]]&amp;")"</f>
        <v>IFA ()</v>
      </c>
    </row>
    <row r="3574" spans="1:14" x14ac:dyDescent="0.3">
      <c r="A3574" s="1">
        <v>45401</v>
      </c>
      <c r="B3574" t="s">
        <v>214</v>
      </c>
      <c r="C3574" t="s">
        <v>455</v>
      </c>
      <c r="D3574" s="8"/>
      <c r="E3574" s="8"/>
      <c r="L3574" t="s">
        <v>563</v>
      </c>
      <c r="M3574" t="s">
        <v>478</v>
      </c>
      <c r="N3574" t="str">
        <f>Tabela_tudo[[#This Row],[Médico]]&amp;" ("&amp;Tabela_tudo[[#This Row],[Obs]]&amp;")"</f>
        <v>IFA ()</v>
      </c>
    </row>
    <row r="3575" spans="1:14" x14ac:dyDescent="0.3">
      <c r="A3575" s="1">
        <v>45394</v>
      </c>
      <c r="B3575" t="s">
        <v>214</v>
      </c>
      <c r="C3575" t="s">
        <v>455</v>
      </c>
      <c r="D3575" s="8"/>
      <c r="E3575" s="8"/>
      <c r="L3575" t="s">
        <v>563</v>
      </c>
      <c r="M3575" t="s">
        <v>478</v>
      </c>
      <c r="N3575" t="str">
        <f>Tabela_tudo[[#This Row],[Médico]]&amp;" ("&amp;Tabela_tudo[[#This Row],[Obs]]&amp;")"</f>
        <v>IFA ()</v>
      </c>
    </row>
    <row r="3576" spans="1:14" x14ac:dyDescent="0.3">
      <c r="A3576" s="1">
        <v>45254</v>
      </c>
      <c r="B3576" t="s">
        <v>214</v>
      </c>
      <c r="C3576" t="s">
        <v>455</v>
      </c>
      <c r="D3576" s="8"/>
      <c r="E3576" s="8"/>
      <c r="L3576" t="s">
        <v>563</v>
      </c>
      <c r="M3576" t="s">
        <v>478</v>
      </c>
      <c r="N3576" t="str">
        <f>Tabela_tudo[[#This Row],[Médico]]&amp;" ("&amp;Tabela_tudo[[#This Row],[Obs]]&amp;")"</f>
        <v>IFA ()</v>
      </c>
    </row>
    <row r="3577" spans="1:14" x14ac:dyDescent="0.3">
      <c r="A3577" s="1">
        <v>45114</v>
      </c>
      <c r="B3577" t="s">
        <v>214</v>
      </c>
      <c r="C3577" t="s">
        <v>455</v>
      </c>
      <c r="D3577" s="8"/>
      <c r="E3577" s="8"/>
      <c r="L3577" t="s">
        <v>563</v>
      </c>
      <c r="M3577" t="s">
        <v>478</v>
      </c>
      <c r="N3577" t="str">
        <f>Tabela_tudo[[#This Row],[Médico]]&amp;" ("&amp;Tabela_tudo[[#This Row],[Obs]]&amp;")"</f>
        <v>IFA ()</v>
      </c>
    </row>
    <row r="3578" spans="1:14" x14ac:dyDescent="0.3">
      <c r="A3578" s="1">
        <v>45107</v>
      </c>
      <c r="B3578" t="s">
        <v>214</v>
      </c>
      <c r="C3578" t="s">
        <v>455</v>
      </c>
      <c r="D3578" s="8"/>
      <c r="E3578" s="8"/>
      <c r="L3578" t="s">
        <v>563</v>
      </c>
      <c r="M3578" t="s">
        <v>478</v>
      </c>
      <c r="N3578" t="str">
        <f>Tabela_tudo[[#This Row],[Médico]]&amp;" ("&amp;Tabela_tudo[[#This Row],[Obs]]&amp;")"</f>
        <v>IFA ()</v>
      </c>
    </row>
    <row r="3579" spans="1:14" x14ac:dyDescent="0.3">
      <c r="A3579" s="1">
        <v>45100</v>
      </c>
      <c r="B3579" t="s">
        <v>214</v>
      </c>
      <c r="C3579" t="s">
        <v>455</v>
      </c>
      <c r="D3579" s="8"/>
      <c r="E3579" s="8"/>
      <c r="L3579" t="s">
        <v>563</v>
      </c>
      <c r="M3579" t="s">
        <v>478</v>
      </c>
      <c r="N3579" t="str">
        <f>Tabela_tudo[[#This Row],[Médico]]&amp;" ("&amp;Tabela_tudo[[#This Row],[Obs]]&amp;")"</f>
        <v>IFA ()</v>
      </c>
    </row>
    <row r="3580" spans="1:14" x14ac:dyDescent="0.3">
      <c r="A3580" s="1">
        <v>45121</v>
      </c>
      <c r="B3580" t="s">
        <v>214</v>
      </c>
      <c r="C3580" t="s">
        <v>455</v>
      </c>
      <c r="D3580" s="8"/>
      <c r="E3580" s="8"/>
      <c r="L3580" t="s">
        <v>563</v>
      </c>
      <c r="M3580" t="s">
        <v>478</v>
      </c>
      <c r="N3580" t="str">
        <f>Tabela_tudo[[#This Row],[Médico]]&amp;" ("&amp;Tabela_tudo[[#This Row],[Obs]]&amp;")"</f>
        <v>IFA ()</v>
      </c>
    </row>
    <row r="3581" spans="1:14" x14ac:dyDescent="0.3">
      <c r="A3581" s="1">
        <v>45142</v>
      </c>
      <c r="B3581" t="s">
        <v>214</v>
      </c>
      <c r="C3581" t="s">
        <v>455</v>
      </c>
      <c r="D3581" s="8"/>
      <c r="E3581" s="8"/>
      <c r="L3581" t="s">
        <v>563</v>
      </c>
      <c r="M3581" t="s">
        <v>478</v>
      </c>
      <c r="N3581" t="str">
        <f>Tabela_tudo[[#This Row],[Médico]]&amp;" ("&amp;Tabela_tudo[[#This Row],[Obs]]&amp;")"</f>
        <v>IFA ()</v>
      </c>
    </row>
    <row r="3582" spans="1:14" x14ac:dyDescent="0.3">
      <c r="A3582" s="1">
        <v>45135</v>
      </c>
      <c r="B3582" t="s">
        <v>214</v>
      </c>
      <c r="C3582" t="s">
        <v>455</v>
      </c>
      <c r="D3582" s="8"/>
      <c r="E3582" s="8"/>
      <c r="L3582" t="s">
        <v>563</v>
      </c>
      <c r="M3582" t="s">
        <v>478</v>
      </c>
      <c r="N3582" t="str">
        <f>Tabela_tudo[[#This Row],[Médico]]&amp;" ("&amp;Tabela_tudo[[#This Row],[Obs]]&amp;")"</f>
        <v>IFA ()</v>
      </c>
    </row>
    <row r="3583" spans="1:14" x14ac:dyDescent="0.3">
      <c r="A3583" s="1">
        <v>45128</v>
      </c>
      <c r="B3583" t="s">
        <v>214</v>
      </c>
      <c r="C3583" t="s">
        <v>455</v>
      </c>
      <c r="D3583" s="8"/>
      <c r="E3583" s="8"/>
      <c r="L3583" t="s">
        <v>563</v>
      </c>
      <c r="M3583" t="s">
        <v>478</v>
      </c>
      <c r="N3583" t="str">
        <f>Tabela_tudo[[#This Row],[Médico]]&amp;" ("&amp;Tabela_tudo[[#This Row],[Obs]]&amp;")"</f>
        <v>IFA ()</v>
      </c>
    </row>
    <row r="3584" spans="1:14" x14ac:dyDescent="0.3">
      <c r="A3584" s="1">
        <v>45065</v>
      </c>
      <c r="B3584" t="s">
        <v>214</v>
      </c>
      <c r="C3584" t="s">
        <v>455</v>
      </c>
      <c r="D3584" s="8"/>
      <c r="E3584" s="8"/>
      <c r="L3584" t="s">
        <v>563</v>
      </c>
      <c r="M3584" t="s">
        <v>478</v>
      </c>
      <c r="N3584" t="str">
        <f>Tabela_tudo[[#This Row],[Médico]]&amp;" ("&amp;Tabela_tudo[[#This Row],[Obs]]&amp;")"</f>
        <v>IFA ()</v>
      </c>
    </row>
    <row r="3585" spans="1:14" x14ac:dyDescent="0.3">
      <c r="A3585" s="1">
        <v>45058</v>
      </c>
      <c r="B3585" t="s">
        <v>214</v>
      </c>
      <c r="C3585" t="s">
        <v>455</v>
      </c>
      <c r="D3585" s="8"/>
      <c r="E3585" s="8"/>
      <c r="L3585" t="s">
        <v>563</v>
      </c>
      <c r="M3585" t="s">
        <v>478</v>
      </c>
      <c r="N3585" t="str">
        <f>Tabela_tudo[[#This Row],[Médico]]&amp;" ("&amp;Tabela_tudo[[#This Row],[Obs]]&amp;")"</f>
        <v>IFA ()</v>
      </c>
    </row>
    <row r="3586" spans="1:14" x14ac:dyDescent="0.3">
      <c r="A3586" s="1">
        <v>45051</v>
      </c>
      <c r="B3586" t="s">
        <v>214</v>
      </c>
      <c r="C3586" t="s">
        <v>455</v>
      </c>
      <c r="D3586" s="8"/>
      <c r="E3586" s="8"/>
      <c r="L3586" t="s">
        <v>563</v>
      </c>
      <c r="M3586" t="s">
        <v>478</v>
      </c>
      <c r="N3586" t="str">
        <f>Tabela_tudo[[#This Row],[Médico]]&amp;" ("&amp;Tabela_tudo[[#This Row],[Obs]]&amp;")"</f>
        <v>IFA ()</v>
      </c>
    </row>
    <row r="3587" spans="1:14" x14ac:dyDescent="0.3">
      <c r="A3587" s="1">
        <v>45072</v>
      </c>
      <c r="B3587" t="s">
        <v>214</v>
      </c>
      <c r="C3587" t="s">
        <v>455</v>
      </c>
      <c r="D3587" s="8"/>
      <c r="E3587" s="8"/>
      <c r="L3587" t="s">
        <v>563</v>
      </c>
      <c r="M3587" t="s">
        <v>478</v>
      </c>
      <c r="N3587" t="str">
        <f>Tabela_tudo[[#This Row],[Médico]]&amp;" ("&amp;Tabela_tudo[[#This Row],[Obs]]&amp;")"</f>
        <v>IFA ()</v>
      </c>
    </row>
    <row r="3588" spans="1:14" x14ac:dyDescent="0.3">
      <c r="A3588" s="1">
        <v>45093</v>
      </c>
      <c r="B3588" t="s">
        <v>214</v>
      </c>
      <c r="C3588" t="s">
        <v>455</v>
      </c>
      <c r="D3588" s="8"/>
      <c r="E3588" s="8"/>
      <c r="L3588" t="s">
        <v>563</v>
      </c>
      <c r="M3588" t="s">
        <v>478</v>
      </c>
      <c r="N3588" t="str">
        <f>Tabela_tudo[[#This Row],[Médico]]&amp;" ("&amp;Tabela_tudo[[#This Row],[Obs]]&amp;")"</f>
        <v>IFA ()</v>
      </c>
    </row>
    <row r="3589" spans="1:14" x14ac:dyDescent="0.3">
      <c r="A3589" s="1">
        <v>45086</v>
      </c>
      <c r="B3589" t="s">
        <v>214</v>
      </c>
      <c r="C3589" t="s">
        <v>455</v>
      </c>
      <c r="D3589" s="8"/>
      <c r="E3589" s="8"/>
      <c r="L3589" t="s">
        <v>563</v>
      </c>
      <c r="M3589" t="s">
        <v>478</v>
      </c>
      <c r="N3589" t="str">
        <f>Tabela_tudo[[#This Row],[Médico]]&amp;" ("&amp;Tabela_tudo[[#This Row],[Obs]]&amp;")"</f>
        <v>IFA ()</v>
      </c>
    </row>
    <row r="3590" spans="1:14" x14ac:dyDescent="0.3">
      <c r="A3590" s="1">
        <v>45079</v>
      </c>
      <c r="B3590" t="s">
        <v>214</v>
      </c>
      <c r="C3590" t="s">
        <v>455</v>
      </c>
      <c r="D3590" s="8"/>
      <c r="E3590" s="8"/>
      <c r="L3590" t="s">
        <v>563</v>
      </c>
      <c r="M3590" t="s">
        <v>478</v>
      </c>
      <c r="N3590" t="str">
        <f>Tabela_tudo[[#This Row],[Médico]]&amp;" ("&amp;Tabela_tudo[[#This Row],[Obs]]&amp;")"</f>
        <v>IFA ()</v>
      </c>
    </row>
    <row r="3591" spans="1:14" x14ac:dyDescent="0.3">
      <c r="A3591" s="1">
        <v>45149</v>
      </c>
      <c r="B3591" t="s">
        <v>214</v>
      </c>
      <c r="C3591" t="s">
        <v>455</v>
      </c>
      <c r="D3591" s="8"/>
      <c r="E3591" s="8"/>
      <c r="L3591" t="s">
        <v>563</v>
      </c>
      <c r="M3591" t="s">
        <v>478</v>
      </c>
      <c r="N3591" t="str">
        <f>Tabela_tudo[[#This Row],[Médico]]&amp;" ("&amp;Tabela_tudo[[#This Row],[Obs]]&amp;")"</f>
        <v>IFA ()</v>
      </c>
    </row>
    <row r="3592" spans="1:14" x14ac:dyDescent="0.3">
      <c r="A3592" s="1">
        <v>45219</v>
      </c>
      <c r="B3592" t="s">
        <v>214</v>
      </c>
      <c r="C3592" t="s">
        <v>455</v>
      </c>
      <c r="D3592" s="8"/>
      <c r="E3592" s="8"/>
      <c r="L3592" t="s">
        <v>563</v>
      </c>
      <c r="M3592" t="s">
        <v>478</v>
      </c>
      <c r="N3592" t="str">
        <f>Tabela_tudo[[#This Row],[Médico]]&amp;" ("&amp;Tabela_tudo[[#This Row],[Obs]]&amp;")"</f>
        <v>IFA ()</v>
      </c>
    </row>
    <row r="3593" spans="1:14" x14ac:dyDescent="0.3">
      <c r="A3593" s="1">
        <v>45212</v>
      </c>
      <c r="B3593" t="s">
        <v>214</v>
      </c>
      <c r="C3593" t="s">
        <v>455</v>
      </c>
      <c r="D3593" s="8"/>
      <c r="E3593" s="8"/>
      <c r="L3593" t="s">
        <v>563</v>
      </c>
      <c r="M3593" t="s">
        <v>478</v>
      </c>
      <c r="N3593" t="str">
        <f>Tabela_tudo[[#This Row],[Médico]]&amp;" ("&amp;Tabela_tudo[[#This Row],[Obs]]&amp;")"</f>
        <v>IFA ()</v>
      </c>
    </row>
    <row r="3594" spans="1:14" x14ac:dyDescent="0.3">
      <c r="A3594" s="1">
        <v>45205</v>
      </c>
      <c r="B3594" t="s">
        <v>214</v>
      </c>
      <c r="C3594" t="s">
        <v>455</v>
      </c>
      <c r="D3594" s="8"/>
      <c r="E3594" s="8"/>
      <c r="L3594" t="s">
        <v>563</v>
      </c>
      <c r="M3594" t="s">
        <v>478</v>
      </c>
      <c r="N3594" t="str">
        <f>Tabela_tudo[[#This Row],[Médico]]&amp;" ("&amp;Tabela_tudo[[#This Row],[Obs]]&amp;")"</f>
        <v>IFA ()</v>
      </c>
    </row>
    <row r="3595" spans="1:14" x14ac:dyDescent="0.3">
      <c r="A3595" s="1">
        <v>45226</v>
      </c>
      <c r="B3595" t="s">
        <v>214</v>
      </c>
      <c r="C3595" t="s">
        <v>455</v>
      </c>
      <c r="D3595" s="8"/>
      <c r="E3595" s="8"/>
      <c r="L3595" t="s">
        <v>563</v>
      </c>
      <c r="M3595" t="s">
        <v>478</v>
      </c>
      <c r="N3595" t="str">
        <f>Tabela_tudo[[#This Row],[Médico]]&amp;" ("&amp;Tabela_tudo[[#This Row],[Obs]]&amp;")"</f>
        <v>IFA ()</v>
      </c>
    </row>
    <row r="3596" spans="1:14" x14ac:dyDescent="0.3">
      <c r="A3596" s="1">
        <v>45247</v>
      </c>
      <c r="B3596" t="s">
        <v>214</v>
      </c>
      <c r="C3596" t="s">
        <v>455</v>
      </c>
      <c r="D3596" s="8"/>
      <c r="E3596" s="8"/>
      <c r="L3596" t="s">
        <v>563</v>
      </c>
      <c r="M3596" t="s">
        <v>478</v>
      </c>
      <c r="N3596" t="str">
        <f>Tabela_tudo[[#This Row],[Médico]]&amp;" ("&amp;Tabela_tudo[[#This Row],[Obs]]&amp;")"</f>
        <v>IFA ()</v>
      </c>
    </row>
    <row r="3597" spans="1:14" x14ac:dyDescent="0.3">
      <c r="A3597" s="1">
        <v>45240</v>
      </c>
      <c r="B3597" t="s">
        <v>214</v>
      </c>
      <c r="C3597" t="s">
        <v>455</v>
      </c>
      <c r="D3597" s="8"/>
      <c r="E3597" s="8"/>
      <c r="L3597" t="s">
        <v>563</v>
      </c>
      <c r="M3597" t="s">
        <v>478</v>
      </c>
      <c r="N3597" t="str">
        <f>Tabela_tudo[[#This Row],[Médico]]&amp;" ("&amp;Tabela_tudo[[#This Row],[Obs]]&amp;")"</f>
        <v>IFA ()</v>
      </c>
    </row>
    <row r="3598" spans="1:14" x14ac:dyDescent="0.3">
      <c r="A3598" s="1">
        <v>45233</v>
      </c>
      <c r="B3598" t="s">
        <v>214</v>
      </c>
      <c r="C3598" t="s">
        <v>455</v>
      </c>
      <c r="D3598" s="8"/>
      <c r="E3598" s="8"/>
      <c r="L3598" t="s">
        <v>563</v>
      </c>
      <c r="M3598" t="s">
        <v>478</v>
      </c>
      <c r="N3598" t="str">
        <f>Tabela_tudo[[#This Row],[Médico]]&amp;" ("&amp;Tabela_tudo[[#This Row],[Obs]]&amp;")"</f>
        <v>IFA ()</v>
      </c>
    </row>
    <row r="3599" spans="1:14" x14ac:dyDescent="0.3">
      <c r="A3599" s="1">
        <v>45170</v>
      </c>
      <c r="B3599" t="s">
        <v>214</v>
      </c>
      <c r="C3599" t="s">
        <v>455</v>
      </c>
      <c r="D3599" s="8"/>
      <c r="E3599" s="8"/>
      <c r="L3599" t="s">
        <v>563</v>
      </c>
      <c r="M3599" t="s">
        <v>478</v>
      </c>
      <c r="N3599" t="str">
        <f>Tabela_tudo[[#This Row],[Médico]]&amp;" ("&amp;Tabela_tudo[[#This Row],[Obs]]&amp;")"</f>
        <v>IFA ()</v>
      </c>
    </row>
    <row r="3600" spans="1:14" x14ac:dyDescent="0.3">
      <c r="A3600" s="1">
        <v>45163</v>
      </c>
      <c r="B3600" t="s">
        <v>214</v>
      </c>
      <c r="C3600" t="s">
        <v>455</v>
      </c>
      <c r="D3600" s="8"/>
      <c r="E3600" s="8"/>
      <c r="L3600" t="s">
        <v>563</v>
      </c>
      <c r="M3600" t="s">
        <v>478</v>
      </c>
      <c r="N3600" t="str">
        <f>Tabela_tudo[[#This Row],[Médico]]&amp;" ("&amp;Tabela_tudo[[#This Row],[Obs]]&amp;")"</f>
        <v>IFA ()</v>
      </c>
    </row>
    <row r="3601" spans="1:14" x14ac:dyDescent="0.3">
      <c r="A3601" s="1">
        <v>45156</v>
      </c>
      <c r="B3601" t="s">
        <v>214</v>
      </c>
      <c r="C3601" t="s">
        <v>455</v>
      </c>
      <c r="D3601" s="8"/>
      <c r="E3601" s="8"/>
      <c r="L3601" t="s">
        <v>563</v>
      </c>
      <c r="M3601" t="s">
        <v>478</v>
      </c>
      <c r="N3601" t="str">
        <f>Tabela_tudo[[#This Row],[Médico]]&amp;" ("&amp;Tabela_tudo[[#This Row],[Obs]]&amp;")"</f>
        <v>IFA ()</v>
      </c>
    </row>
    <row r="3602" spans="1:14" x14ac:dyDescent="0.3">
      <c r="A3602" s="1">
        <v>45177</v>
      </c>
      <c r="B3602" t="s">
        <v>214</v>
      </c>
      <c r="C3602" t="s">
        <v>455</v>
      </c>
      <c r="D3602" s="8"/>
      <c r="E3602" s="8"/>
      <c r="L3602" t="s">
        <v>563</v>
      </c>
      <c r="M3602" t="s">
        <v>478</v>
      </c>
      <c r="N3602" t="str">
        <f>Tabela_tudo[[#This Row],[Médico]]&amp;" ("&amp;Tabela_tudo[[#This Row],[Obs]]&amp;")"</f>
        <v>IFA ()</v>
      </c>
    </row>
    <row r="3603" spans="1:14" x14ac:dyDescent="0.3">
      <c r="A3603" s="1">
        <v>45198</v>
      </c>
      <c r="B3603" t="s">
        <v>214</v>
      </c>
      <c r="C3603" t="s">
        <v>455</v>
      </c>
      <c r="D3603" s="8"/>
      <c r="E3603" s="8"/>
      <c r="L3603" t="s">
        <v>563</v>
      </c>
      <c r="M3603" t="s">
        <v>478</v>
      </c>
      <c r="N3603" t="str">
        <f>Tabela_tudo[[#This Row],[Médico]]&amp;" ("&amp;Tabela_tudo[[#This Row],[Obs]]&amp;")"</f>
        <v>IFA ()</v>
      </c>
    </row>
    <row r="3604" spans="1:14" x14ac:dyDescent="0.3">
      <c r="A3604" s="1">
        <v>45191</v>
      </c>
      <c r="B3604" t="s">
        <v>214</v>
      </c>
      <c r="C3604" t="s">
        <v>455</v>
      </c>
      <c r="D3604" s="8"/>
      <c r="E3604" s="8"/>
      <c r="L3604" t="s">
        <v>563</v>
      </c>
      <c r="M3604" t="s">
        <v>478</v>
      </c>
      <c r="N3604" t="str">
        <f>Tabela_tudo[[#This Row],[Médico]]&amp;" ("&amp;Tabela_tudo[[#This Row],[Obs]]&amp;")"</f>
        <v>IFA ()</v>
      </c>
    </row>
    <row r="3605" spans="1:14" x14ac:dyDescent="0.3">
      <c r="A3605" s="1">
        <v>45184</v>
      </c>
      <c r="B3605" t="s">
        <v>214</v>
      </c>
      <c r="C3605" t="s">
        <v>455</v>
      </c>
      <c r="D3605" s="8"/>
      <c r="E3605" s="8"/>
      <c r="L3605" t="s">
        <v>563</v>
      </c>
      <c r="M3605" t="s">
        <v>478</v>
      </c>
      <c r="N3605" t="str">
        <f>Tabela_tudo[[#This Row],[Médico]]&amp;" ("&amp;Tabela_tudo[[#This Row],[Obs]]&amp;")"</f>
        <v>IFA ()</v>
      </c>
    </row>
    <row r="3606" spans="1:14" x14ac:dyDescent="0.3">
      <c r="A3606" s="1">
        <v>45464</v>
      </c>
      <c r="B3606" t="s">
        <v>214</v>
      </c>
      <c r="C3606" t="s">
        <v>455</v>
      </c>
      <c r="D3606" s="8"/>
      <c r="E3606" s="8"/>
      <c r="L3606" t="s">
        <v>563</v>
      </c>
      <c r="M3606" t="s">
        <v>478</v>
      </c>
      <c r="N3606" t="str">
        <f>Tabela_tudo[[#This Row],[Médico]]&amp;" ("&amp;Tabela_tudo[[#This Row],[Obs]]&amp;")"</f>
        <v>IFA ()</v>
      </c>
    </row>
    <row r="3607" spans="1:14" x14ac:dyDescent="0.3">
      <c r="A3607" s="1">
        <v>45016</v>
      </c>
      <c r="B3607" t="s">
        <v>20</v>
      </c>
      <c r="C3607" t="s">
        <v>455</v>
      </c>
      <c r="D3607" s="8"/>
      <c r="E3607" s="8"/>
      <c r="L3607" t="s">
        <v>563</v>
      </c>
      <c r="M3607" t="s">
        <v>478</v>
      </c>
      <c r="N3607" t="str">
        <f>Tabela_tudo[[#This Row],[Médico]]&amp;" ("&amp;Tabela_tudo[[#This Row],[Obs]]&amp;")"</f>
        <v>ROB ()</v>
      </c>
    </row>
    <row r="3608" spans="1:14" x14ac:dyDescent="0.3">
      <c r="A3608" s="1">
        <v>45009</v>
      </c>
      <c r="B3608" t="s">
        <v>20</v>
      </c>
      <c r="C3608" t="s">
        <v>455</v>
      </c>
      <c r="D3608" s="8"/>
      <c r="E3608" s="8"/>
      <c r="L3608" t="s">
        <v>563</v>
      </c>
      <c r="M3608" t="s">
        <v>478</v>
      </c>
      <c r="N3608" t="str">
        <f>Tabela_tudo[[#This Row],[Médico]]&amp;" ("&amp;Tabela_tudo[[#This Row],[Obs]]&amp;")"</f>
        <v>ROB ()</v>
      </c>
    </row>
    <row r="3609" spans="1:14" x14ac:dyDescent="0.3">
      <c r="A3609" s="1">
        <v>45002</v>
      </c>
      <c r="B3609" t="s">
        <v>20</v>
      </c>
      <c r="C3609" t="s">
        <v>455</v>
      </c>
      <c r="D3609" s="8"/>
      <c r="E3609" s="8"/>
      <c r="L3609" t="s">
        <v>563</v>
      </c>
      <c r="M3609" t="s">
        <v>478</v>
      </c>
      <c r="N3609" t="str">
        <f>Tabela_tudo[[#This Row],[Médico]]&amp;" ("&amp;Tabela_tudo[[#This Row],[Obs]]&amp;")"</f>
        <v>ROB ()</v>
      </c>
    </row>
    <row r="3610" spans="1:14" x14ac:dyDescent="0.3">
      <c r="A3610" s="1">
        <v>45023</v>
      </c>
      <c r="B3610" t="s">
        <v>20</v>
      </c>
      <c r="C3610" t="s">
        <v>455</v>
      </c>
      <c r="D3610" s="8"/>
      <c r="E3610" s="8"/>
      <c r="L3610" t="s">
        <v>563</v>
      </c>
      <c r="M3610" t="s">
        <v>478</v>
      </c>
      <c r="N3610" t="str">
        <f>Tabela_tudo[[#This Row],[Médico]]&amp;" ("&amp;Tabela_tudo[[#This Row],[Obs]]&amp;")"</f>
        <v>ROB ()</v>
      </c>
    </row>
    <row r="3611" spans="1:14" x14ac:dyDescent="0.3">
      <c r="A3611" s="1">
        <v>45044</v>
      </c>
      <c r="B3611" t="s">
        <v>20</v>
      </c>
      <c r="C3611" t="s">
        <v>455</v>
      </c>
      <c r="D3611" s="8"/>
      <c r="E3611" s="8"/>
      <c r="L3611" t="s">
        <v>563</v>
      </c>
      <c r="M3611" t="s">
        <v>478</v>
      </c>
      <c r="N3611" t="str">
        <f>Tabela_tudo[[#This Row],[Médico]]&amp;" ("&amp;Tabela_tudo[[#This Row],[Obs]]&amp;")"</f>
        <v>ROB ()</v>
      </c>
    </row>
    <row r="3612" spans="1:14" x14ac:dyDescent="0.3">
      <c r="A3612" s="1">
        <v>45037</v>
      </c>
      <c r="B3612" t="s">
        <v>20</v>
      </c>
      <c r="C3612" t="s">
        <v>455</v>
      </c>
      <c r="D3612" s="8"/>
      <c r="E3612" s="8"/>
      <c r="L3612" t="s">
        <v>563</v>
      </c>
      <c r="M3612" t="s">
        <v>478</v>
      </c>
      <c r="N3612" t="str">
        <f>Tabela_tudo[[#This Row],[Médico]]&amp;" ("&amp;Tabela_tudo[[#This Row],[Obs]]&amp;")"</f>
        <v>ROB ()</v>
      </c>
    </row>
    <row r="3613" spans="1:14" x14ac:dyDescent="0.3">
      <c r="A3613" s="1">
        <v>45030</v>
      </c>
      <c r="B3613" t="s">
        <v>20</v>
      </c>
      <c r="C3613" t="s">
        <v>455</v>
      </c>
      <c r="D3613" s="8"/>
      <c r="E3613" s="8"/>
      <c r="L3613" t="s">
        <v>563</v>
      </c>
      <c r="M3613" t="s">
        <v>478</v>
      </c>
      <c r="N3613" t="str">
        <f>Tabela_tudo[[#This Row],[Médico]]&amp;" ("&amp;Tabela_tudo[[#This Row],[Obs]]&amp;")"</f>
        <v>ROB ()</v>
      </c>
    </row>
    <row r="3614" spans="1:14" x14ac:dyDescent="0.3">
      <c r="A3614" s="1">
        <v>44967</v>
      </c>
      <c r="B3614" t="s">
        <v>20</v>
      </c>
      <c r="C3614" t="s">
        <v>455</v>
      </c>
      <c r="D3614" s="8"/>
      <c r="E3614" s="8"/>
      <c r="L3614" t="s">
        <v>563</v>
      </c>
      <c r="M3614" t="s">
        <v>478</v>
      </c>
      <c r="N3614" t="str">
        <f>Tabela_tudo[[#This Row],[Médico]]&amp;" ("&amp;Tabela_tudo[[#This Row],[Obs]]&amp;")"</f>
        <v>ROB ()</v>
      </c>
    </row>
    <row r="3615" spans="1:14" x14ac:dyDescent="0.3">
      <c r="A3615" s="1">
        <v>44960</v>
      </c>
      <c r="B3615" t="s">
        <v>20</v>
      </c>
      <c r="C3615" t="s">
        <v>455</v>
      </c>
      <c r="D3615" s="8"/>
      <c r="E3615" s="8"/>
      <c r="L3615" t="s">
        <v>563</v>
      </c>
      <c r="M3615" t="s">
        <v>478</v>
      </c>
      <c r="N3615" t="str">
        <f>Tabela_tudo[[#This Row],[Médico]]&amp;" ("&amp;Tabela_tudo[[#This Row],[Obs]]&amp;")"</f>
        <v>ROB ()</v>
      </c>
    </row>
    <row r="3616" spans="1:14" x14ac:dyDescent="0.3">
      <c r="A3616" s="1">
        <v>44953</v>
      </c>
      <c r="B3616" t="s">
        <v>20</v>
      </c>
      <c r="C3616" t="s">
        <v>455</v>
      </c>
      <c r="D3616" s="8"/>
      <c r="E3616" s="8"/>
      <c r="L3616" t="s">
        <v>563</v>
      </c>
      <c r="M3616" t="s">
        <v>478</v>
      </c>
      <c r="N3616" t="str">
        <f>Tabela_tudo[[#This Row],[Médico]]&amp;" ("&amp;Tabela_tudo[[#This Row],[Obs]]&amp;")"</f>
        <v>ROB ()</v>
      </c>
    </row>
    <row r="3617" spans="1:14" x14ac:dyDescent="0.3">
      <c r="A3617" s="1">
        <v>44974</v>
      </c>
      <c r="B3617" t="s">
        <v>20</v>
      </c>
      <c r="C3617" t="s">
        <v>455</v>
      </c>
      <c r="D3617" s="8"/>
      <c r="E3617" s="8"/>
      <c r="L3617" t="s">
        <v>563</v>
      </c>
      <c r="M3617" t="s">
        <v>478</v>
      </c>
      <c r="N3617" t="str">
        <f>Tabela_tudo[[#This Row],[Médico]]&amp;" ("&amp;Tabela_tudo[[#This Row],[Obs]]&amp;")"</f>
        <v>ROB ()</v>
      </c>
    </row>
    <row r="3618" spans="1:14" x14ac:dyDescent="0.3">
      <c r="A3618" s="1">
        <v>44995</v>
      </c>
      <c r="B3618" t="s">
        <v>20</v>
      </c>
      <c r="C3618" t="s">
        <v>455</v>
      </c>
      <c r="D3618" s="8"/>
      <c r="E3618" s="8"/>
      <c r="L3618" t="s">
        <v>563</v>
      </c>
      <c r="M3618" t="s">
        <v>478</v>
      </c>
      <c r="N3618" t="str">
        <f>Tabela_tudo[[#This Row],[Médico]]&amp;" ("&amp;Tabela_tudo[[#This Row],[Obs]]&amp;")"</f>
        <v>ROB ()</v>
      </c>
    </row>
    <row r="3619" spans="1:14" x14ac:dyDescent="0.3">
      <c r="A3619" s="1">
        <v>44988</v>
      </c>
      <c r="B3619" t="s">
        <v>20</v>
      </c>
      <c r="C3619" t="s">
        <v>455</v>
      </c>
      <c r="D3619" s="8"/>
      <c r="E3619" s="8"/>
      <c r="L3619" t="s">
        <v>563</v>
      </c>
      <c r="M3619" t="s">
        <v>478</v>
      </c>
      <c r="N3619" t="str">
        <f>Tabela_tudo[[#This Row],[Médico]]&amp;" ("&amp;Tabela_tudo[[#This Row],[Obs]]&amp;")"</f>
        <v>ROB ()</v>
      </c>
    </row>
    <row r="3620" spans="1:14" x14ac:dyDescent="0.3">
      <c r="A3620" s="1">
        <v>44981</v>
      </c>
      <c r="B3620" t="s">
        <v>20</v>
      </c>
      <c r="C3620" t="s">
        <v>455</v>
      </c>
      <c r="D3620" s="8"/>
      <c r="E3620" s="8"/>
      <c r="L3620" t="s">
        <v>563</v>
      </c>
      <c r="M3620" t="s">
        <v>478</v>
      </c>
      <c r="N3620" t="str">
        <f>Tabela_tudo[[#This Row],[Médico]]&amp;" ("&amp;Tabela_tudo[[#This Row],[Obs]]&amp;")"</f>
        <v>ROB ()</v>
      </c>
    </row>
    <row r="3621" spans="1:14" x14ac:dyDescent="0.3">
      <c r="A3621" s="1">
        <v>45051</v>
      </c>
      <c r="B3621" t="s">
        <v>20</v>
      </c>
      <c r="C3621" t="s">
        <v>455</v>
      </c>
      <c r="D3621" s="8"/>
      <c r="E3621" s="8"/>
      <c r="L3621" t="s">
        <v>563</v>
      </c>
      <c r="M3621" t="s">
        <v>478</v>
      </c>
      <c r="N3621" t="str">
        <f>Tabela_tudo[[#This Row],[Médico]]&amp;" ("&amp;Tabela_tudo[[#This Row],[Obs]]&amp;")"</f>
        <v>ROB ()</v>
      </c>
    </row>
    <row r="3622" spans="1:14" x14ac:dyDescent="0.3">
      <c r="A3622" s="1">
        <v>45121</v>
      </c>
      <c r="B3622" t="s">
        <v>20</v>
      </c>
      <c r="C3622" t="s">
        <v>455</v>
      </c>
      <c r="D3622" s="8"/>
      <c r="E3622" s="8"/>
      <c r="L3622" t="s">
        <v>563</v>
      </c>
      <c r="M3622" t="s">
        <v>478</v>
      </c>
      <c r="N3622" t="str">
        <f>Tabela_tudo[[#This Row],[Médico]]&amp;" ("&amp;Tabela_tudo[[#This Row],[Obs]]&amp;")"</f>
        <v>ROB ()</v>
      </c>
    </row>
    <row r="3623" spans="1:14" x14ac:dyDescent="0.3">
      <c r="A3623" s="1">
        <v>45114</v>
      </c>
      <c r="B3623" t="s">
        <v>20</v>
      </c>
      <c r="C3623" t="s">
        <v>455</v>
      </c>
      <c r="D3623" s="8"/>
      <c r="E3623" s="8"/>
      <c r="L3623" t="s">
        <v>563</v>
      </c>
      <c r="M3623" t="s">
        <v>478</v>
      </c>
      <c r="N3623" t="str">
        <f>Tabela_tudo[[#This Row],[Médico]]&amp;" ("&amp;Tabela_tudo[[#This Row],[Obs]]&amp;")"</f>
        <v>ROB ()</v>
      </c>
    </row>
    <row r="3624" spans="1:14" x14ac:dyDescent="0.3">
      <c r="A3624" s="1">
        <v>45107</v>
      </c>
      <c r="B3624" t="s">
        <v>20</v>
      </c>
      <c r="C3624" t="s">
        <v>455</v>
      </c>
      <c r="D3624" s="8"/>
      <c r="E3624" s="8"/>
      <c r="L3624" t="s">
        <v>563</v>
      </c>
      <c r="M3624" t="s">
        <v>478</v>
      </c>
      <c r="N3624" t="str">
        <f>Tabela_tudo[[#This Row],[Médico]]&amp;" ("&amp;Tabela_tudo[[#This Row],[Obs]]&amp;")"</f>
        <v>ROB ()</v>
      </c>
    </row>
    <row r="3625" spans="1:14" x14ac:dyDescent="0.3">
      <c r="A3625" s="1">
        <v>45128</v>
      </c>
      <c r="B3625" t="s">
        <v>20</v>
      </c>
      <c r="C3625" t="s">
        <v>455</v>
      </c>
      <c r="D3625" s="8"/>
      <c r="E3625" s="8"/>
      <c r="L3625" t="s">
        <v>563</v>
      </c>
      <c r="M3625" t="s">
        <v>478</v>
      </c>
      <c r="N3625" t="str">
        <f>Tabela_tudo[[#This Row],[Médico]]&amp;" ("&amp;Tabela_tudo[[#This Row],[Obs]]&amp;")"</f>
        <v>ROB ()</v>
      </c>
    </row>
    <row r="3626" spans="1:14" x14ac:dyDescent="0.3">
      <c r="A3626" s="1">
        <v>45149</v>
      </c>
      <c r="B3626" t="s">
        <v>20</v>
      </c>
      <c r="C3626" t="s">
        <v>455</v>
      </c>
      <c r="D3626" s="8"/>
      <c r="E3626" s="8"/>
      <c r="L3626" t="s">
        <v>563</v>
      </c>
      <c r="M3626" t="s">
        <v>478</v>
      </c>
      <c r="N3626" t="str">
        <f>Tabela_tudo[[#This Row],[Médico]]&amp;" ("&amp;Tabela_tudo[[#This Row],[Obs]]&amp;")"</f>
        <v>ROB ()</v>
      </c>
    </row>
    <row r="3627" spans="1:14" x14ac:dyDescent="0.3">
      <c r="A3627" s="1">
        <v>45142</v>
      </c>
      <c r="B3627" t="s">
        <v>20</v>
      </c>
      <c r="C3627" t="s">
        <v>455</v>
      </c>
      <c r="D3627" s="8"/>
      <c r="E3627" s="8"/>
      <c r="L3627" t="s">
        <v>563</v>
      </c>
      <c r="M3627" t="s">
        <v>478</v>
      </c>
      <c r="N3627" t="str">
        <f>Tabela_tudo[[#This Row],[Médico]]&amp;" ("&amp;Tabela_tudo[[#This Row],[Obs]]&amp;")"</f>
        <v>ROB ()</v>
      </c>
    </row>
    <row r="3628" spans="1:14" x14ac:dyDescent="0.3">
      <c r="A3628" s="1">
        <v>45135</v>
      </c>
      <c r="B3628" t="s">
        <v>20</v>
      </c>
      <c r="C3628" t="s">
        <v>455</v>
      </c>
      <c r="D3628" s="8"/>
      <c r="E3628" s="8"/>
      <c r="L3628" t="s">
        <v>563</v>
      </c>
      <c r="M3628" t="s">
        <v>478</v>
      </c>
      <c r="N3628" t="str">
        <f>Tabela_tudo[[#This Row],[Médico]]&amp;" ("&amp;Tabela_tudo[[#This Row],[Obs]]&amp;")"</f>
        <v>ROB ()</v>
      </c>
    </row>
    <row r="3629" spans="1:14" x14ac:dyDescent="0.3">
      <c r="A3629" s="1">
        <v>45072</v>
      </c>
      <c r="B3629" t="s">
        <v>20</v>
      </c>
      <c r="C3629" t="s">
        <v>455</v>
      </c>
      <c r="D3629" s="8"/>
      <c r="E3629" s="8"/>
      <c r="L3629" t="s">
        <v>563</v>
      </c>
      <c r="M3629" t="s">
        <v>478</v>
      </c>
      <c r="N3629" t="str">
        <f>Tabela_tudo[[#This Row],[Médico]]&amp;" ("&amp;Tabela_tudo[[#This Row],[Obs]]&amp;")"</f>
        <v>ROB ()</v>
      </c>
    </row>
    <row r="3630" spans="1:14" x14ac:dyDescent="0.3">
      <c r="A3630" s="1">
        <v>45065</v>
      </c>
      <c r="B3630" t="s">
        <v>20</v>
      </c>
      <c r="C3630" t="s">
        <v>455</v>
      </c>
      <c r="D3630" s="8"/>
      <c r="E3630" s="8"/>
      <c r="L3630" t="s">
        <v>563</v>
      </c>
      <c r="M3630" t="s">
        <v>478</v>
      </c>
      <c r="N3630" t="str">
        <f>Tabela_tudo[[#This Row],[Médico]]&amp;" ("&amp;Tabela_tudo[[#This Row],[Obs]]&amp;")"</f>
        <v>ROB ()</v>
      </c>
    </row>
    <row r="3631" spans="1:14" x14ac:dyDescent="0.3">
      <c r="A3631" s="1">
        <v>45058</v>
      </c>
      <c r="B3631" t="s">
        <v>20</v>
      </c>
      <c r="C3631" t="s">
        <v>455</v>
      </c>
      <c r="D3631" s="8"/>
      <c r="E3631" s="8"/>
      <c r="L3631" t="s">
        <v>563</v>
      </c>
      <c r="M3631" t="s">
        <v>478</v>
      </c>
      <c r="N3631" t="str">
        <f>Tabela_tudo[[#This Row],[Médico]]&amp;" ("&amp;Tabela_tudo[[#This Row],[Obs]]&amp;")"</f>
        <v>ROB ()</v>
      </c>
    </row>
    <row r="3632" spans="1:14" x14ac:dyDescent="0.3">
      <c r="A3632" s="1">
        <v>45079</v>
      </c>
      <c r="B3632" t="s">
        <v>20</v>
      </c>
      <c r="C3632" t="s">
        <v>455</v>
      </c>
      <c r="D3632" s="8"/>
      <c r="E3632" s="8"/>
      <c r="L3632" t="s">
        <v>563</v>
      </c>
      <c r="M3632" t="s">
        <v>478</v>
      </c>
      <c r="N3632" t="str">
        <f>Tabela_tudo[[#This Row],[Médico]]&amp;" ("&amp;Tabela_tudo[[#This Row],[Obs]]&amp;")"</f>
        <v>ROB ()</v>
      </c>
    </row>
    <row r="3633" spans="1:14" x14ac:dyDescent="0.3">
      <c r="A3633" s="1">
        <v>45100</v>
      </c>
      <c r="B3633" t="s">
        <v>20</v>
      </c>
      <c r="C3633" t="s">
        <v>455</v>
      </c>
      <c r="D3633" s="8"/>
      <c r="E3633" s="8"/>
      <c r="L3633" t="s">
        <v>563</v>
      </c>
      <c r="M3633" t="s">
        <v>478</v>
      </c>
      <c r="N3633" t="str">
        <f>Tabela_tudo[[#This Row],[Médico]]&amp;" ("&amp;Tabela_tudo[[#This Row],[Obs]]&amp;")"</f>
        <v>ROB ()</v>
      </c>
    </row>
    <row r="3634" spans="1:14" x14ac:dyDescent="0.3">
      <c r="A3634" s="1">
        <v>45093</v>
      </c>
      <c r="B3634" t="s">
        <v>20</v>
      </c>
      <c r="C3634" t="s">
        <v>455</v>
      </c>
      <c r="D3634" s="8"/>
      <c r="E3634" s="8"/>
      <c r="L3634" t="s">
        <v>563</v>
      </c>
      <c r="M3634" t="s">
        <v>478</v>
      </c>
      <c r="N3634" t="str">
        <f>Tabela_tudo[[#This Row],[Médico]]&amp;" ("&amp;Tabela_tudo[[#This Row],[Obs]]&amp;")"</f>
        <v>ROB ()</v>
      </c>
    </row>
    <row r="3635" spans="1:14" x14ac:dyDescent="0.3">
      <c r="A3635" s="1">
        <v>45086</v>
      </c>
      <c r="B3635" t="s">
        <v>20</v>
      </c>
      <c r="C3635" t="s">
        <v>455</v>
      </c>
      <c r="D3635" s="8"/>
      <c r="E3635" s="8"/>
      <c r="L3635" t="s">
        <v>563</v>
      </c>
      <c r="M3635" t="s">
        <v>478</v>
      </c>
      <c r="N3635" t="str">
        <f>Tabela_tudo[[#This Row],[Médico]]&amp;" ("&amp;Tabela_tudo[[#This Row],[Obs]]&amp;")"</f>
        <v>ROB ()</v>
      </c>
    </row>
    <row r="3636" spans="1:14" x14ac:dyDescent="0.3">
      <c r="A3636" s="1">
        <v>44946</v>
      </c>
      <c r="B3636" t="s">
        <v>20</v>
      </c>
      <c r="C3636" t="s">
        <v>455</v>
      </c>
      <c r="D3636" s="8"/>
      <c r="E3636" s="8"/>
      <c r="L3636" t="s">
        <v>563</v>
      </c>
      <c r="M3636" t="s">
        <v>478</v>
      </c>
      <c r="N3636" t="str">
        <f>Tabela_tudo[[#This Row],[Médico]]&amp;" ("&amp;Tabela_tudo[[#This Row],[Obs]]&amp;")"</f>
        <v>ROB ()</v>
      </c>
    </row>
    <row r="3637" spans="1:14" x14ac:dyDescent="0.3">
      <c r="A3637" s="1">
        <v>45534</v>
      </c>
      <c r="B3637" t="s">
        <v>214</v>
      </c>
      <c r="C3637" t="s">
        <v>455</v>
      </c>
      <c r="D3637" s="8"/>
      <c r="E3637" s="8"/>
      <c r="L3637" t="s">
        <v>563</v>
      </c>
      <c r="M3637" t="s">
        <v>478</v>
      </c>
      <c r="N3637" t="str">
        <f>Tabela_tudo[[#This Row],[Médico]]&amp;" ("&amp;Tabela_tudo[[#This Row],[Obs]]&amp;")"</f>
        <v>IFA ()</v>
      </c>
    </row>
    <row r="3638" spans="1:14" x14ac:dyDescent="0.3">
      <c r="A3638" s="1">
        <v>45527</v>
      </c>
      <c r="B3638" t="s">
        <v>214</v>
      </c>
      <c r="C3638" t="s">
        <v>455</v>
      </c>
      <c r="D3638" s="8"/>
      <c r="E3638" s="8"/>
      <c r="L3638" t="s">
        <v>563</v>
      </c>
      <c r="M3638" t="s">
        <v>478</v>
      </c>
      <c r="N3638" t="str">
        <f>Tabela_tudo[[#This Row],[Médico]]&amp;" ("&amp;Tabela_tudo[[#This Row],[Obs]]&amp;")"</f>
        <v>IFA ()</v>
      </c>
    </row>
    <row r="3639" spans="1:14" x14ac:dyDescent="0.3">
      <c r="A3639" s="1">
        <v>45520</v>
      </c>
      <c r="B3639" t="s">
        <v>214</v>
      </c>
      <c r="C3639" t="s">
        <v>455</v>
      </c>
      <c r="D3639" s="8"/>
      <c r="E3639" s="8"/>
      <c r="L3639" t="s">
        <v>563</v>
      </c>
      <c r="M3639" t="s">
        <v>478</v>
      </c>
      <c r="N3639" t="str">
        <f>Tabela_tudo[[#This Row],[Médico]]&amp;" ("&amp;Tabela_tudo[[#This Row],[Obs]]&amp;")"</f>
        <v>IFA ()</v>
      </c>
    </row>
    <row r="3640" spans="1:14" x14ac:dyDescent="0.3">
      <c r="A3640" s="1">
        <v>45541</v>
      </c>
      <c r="B3640" t="s">
        <v>214</v>
      </c>
      <c r="C3640" t="s">
        <v>455</v>
      </c>
      <c r="D3640" s="8"/>
      <c r="E3640" s="8"/>
      <c r="L3640" t="s">
        <v>563</v>
      </c>
      <c r="M3640" t="s">
        <v>478</v>
      </c>
      <c r="N3640" t="str">
        <f>Tabela_tudo[[#This Row],[Médico]]&amp;" ("&amp;Tabela_tudo[[#This Row],[Obs]]&amp;")"</f>
        <v>IFA ()</v>
      </c>
    </row>
    <row r="3641" spans="1:14" x14ac:dyDescent="0.3">
      <c r="A3641" s="1">
        <v>45562</v>
      </c>
      <c r="B3641" t="s">
        <v>214</v>
      </c>
      <c r="C3641" t="s">
        <v>455</v>
      </c>
      <c r="D3641" s="8"/>
      <c r="E3641" s="8"/>
      <c r="L3641" t="s">
        <v>563</v>
      </c>
      <c r="M3641" t="s">
        <v>478</v>
      </c>
      <c r="N3641" t="str">
        <f>Tabela_tudo[[#This Row],[Médico]]&amp;" ("&amp;Tabela_tudo[[#This Row],[Obs]]&amp;")"</f>
        <v>IFA ()</v>
      </c>
    </row>
    <row r="3642" spans="1:14" x14ac:dyDescent="0.3">
      <c r="A3642" s="1">
        <v>45555</v>
      </c>
      <c r="B3642" t="s">
        <v>214</v>
      </c>
      <c r="C3642" t="s">
        <v>455</v>
      </c>
      <c r="D3642" s="8"/>
      <c r="E3642" s="8"/>
      <c r="L3642" t="s">
        <v>563</v>
      </c>
      <c r="M3642" t="s">
        <v>478</v>
      </c>
      <c r="N3642" t="str">
        <f>Tabela_tudo[[#This Row],[Médico]]&amp;" ("&amp;Tabela_tudo[[#This Row],[Obs]]&amp;")"</f>
        <v>IFA ()</v>
      </c>
    </row>
    <row r="3643" spans="1:14" x14ac:dyDescent="0.3">
      <c r="A3643" s="1">
        <v>45548</v>
      </c>
      <c r="B3643" t="s">
        <v>214</v>
      </c>
      <c r="C3643" t="s">
        <v>455</v>
      </c>
      <c r="D3643" s="8"/>
      <c r="E3643" s="8"/>
      <c r="L3643" t="s">
        <v>563</v>
      </c>
      <c r="M3643" t="s">
        <v>478</v>
      </c>
      <c r="N3643" t="str">
        <f>Tabela_tudo[[#This Row],[Médico]]&amp;" ("&amp;Tabela_tudo[[#This Row],[Obs]]&amp;")"</f>
        <v>IFA ()</v>
      </c>
    </row>
    <row r="3644" spans="1:14" x14ac:dyDescent="0.3">
      <c r="A3644" s="1">
        <v>45485</v>
      </c>
      <c r="B3644" t="s">
        <v>214</v>
      </c>
      <c r="C3644" t="s">
        <v>455</v>
      </c>
      <c r="D3644" s="8"/>
      <c r="E3644" s="8"/>
      <c r="L3644" t="s">
        <v>563</v>
      </c>
      <c r="M3644" t="s">
        <v>478</v>
      </c>
      <c r="N3644" t="str">
        <f>Tabela_tudo[[#This Row],[Médico]]&amp;" ("&amp;Tabela_tudo[[#This Row],[Obs]]&amp;")"</f>
        <v>IFA ()</v>
      </c>
    </row>
    <row r="3645" spans="1:14" x14ac:dyDescent="0.3">
      <c r="A3645" s="1">
        <v>45478</v>
      </c>
      <c r="B3645" t="s">
        <v>214</v>
      </c>
      <c r="C3645" t="s">
        <v>455</v>
      </c>
      <c r="D3645" s="8"/>
      <c r="E3645" s="8"/>
      <c r="L3645" t="s">
        <v>563</v>
      </c>
      <c r="M3645" t="s">
        <v>478</v>
      </c>
      <c r="N3645" t="str">
        <f>Tabela_tudo[[#This Row],[Médico]]&amp;" ("&amp;Tabela_tudo[[#This Row],[Obs]]&amp;")"</f>
        <v>IFA ()</v>
      </c>
    </row>
    <row r="3646" spans="1:14" x14ac:dyDescent="0.3">
      <c r="A3646" s="1">
        <v>45471</v>
      </c>
      <c r="B3646" t="s">
        <v>214</v>
      </c>
      <c r="C3646" t="s">
        <v>455</v>
      </c>
      <c r="D3646" s="8"/>
      <c r="E3646" s="8"/>
      <c r="L3646" t="s">
        <v>563</v>
      </c>
      <c r="M3646" t="s">
        <v>478</v>
      </c>
      <c r="N3646" t="str">
        <f>Tabela_tudo[[#This Row],[Médico]]&amp;" ("&amp;Tabela_tudo[[#This Row],[Obs]]&amp;")"</f>
        <v>IFA ()</v>
      </c>
    </row>
    <row r="3647" spans="1:14" x14ac:dyDescent="0.3">
      <c r="A3647" s="1">
        <v>45492</v>
      </c>
      <c r="B3647" t="s">
        <v>214</v>
      </c>
      <c r="C3647" t="s">
        <v>455</v>
      </c>
      <c r="D3647" s="8"/>
      <c r="E3647" s="8"/>
      <c r="L3647" t="s">
        <v>563</v>
      </c>
      <c r="M3647" t="s">
        <v>478</v>
      </c>
      <c r="N3647" t="str">
        <f>Tabela_tudo[[#This Row],[Médico]]&amp;" ("&amp;Tabela_tudo[[#This Row],[Obs]]&amp;")"</f>
        <v>IFA ()</v>
      </c>
    </row>
    <row r="3648" spans="1:14" x14ac:dyDescent="0.3">
      <c r="A3648" s="1">
        <v>45513</v>
      </c>
      <c r="B3648" t="s">
        <v>214</v>
      </c>
      <c r="C3648" t="s">
        <v>455</v>
      </c>
      <c r="D3648" s="8"/>
      <c r="E3648" s="8"/>
      <c r="L3648" t="s">
        <v>563</v>
      </c>
      <c r="M3648" t="s">
        <v>478</v>
      </c>
      <c r="N3648" t="str">
        <f>Tabela_tudo[[#This Row],[Médico]]&amp;" ("&amp;Tabela_tudo[[#This Row],[Obs]]&amp;")"</f>
        <v>IFA ()</v>
      </c>
    </row>
    <row r="3649" spans="1:14" x14ac:dyDescent="0.3">
      <c r="A3649" s="1">
        <v>45506</v>
      </c>
      <c r="B3649" t="s">
        <v>214</v>
      </c>
      <c r="C3649" t="s">
        <v>455</v>
      </c>
      <c r="D3649" s="8"/>
      <c r="E3649" s="8"/>
      <c r="L3649" t="s">
        <v>563</v>
      </c>
      <c r="M3649" t="s">
        <v>478</v>
      </c>
      <c r="N3649" t="str">
        <f>Tabela_tudo[[#This Row],[Médico]]&amp;" ("&amp;Tabela_tudo[[#This Row],[Obs]]&amp;")"</f>
        <v>IFA ()</v>
      </c>
    </row>
    <row r="3650" spans="1:14" x14ac:dyDescent="0.3">
      <c r="A3650" s="1">
        <v>45499</v>
      </c>
      <c r="B3650" t="s">
        <v>214</v>
      </c>
      <c r="C3650" t="s">
        <v>455</v>
      </c>
      <c r="D3650" s="8"/>
      <c r="E3650" s="8"/>
      <c r="L3650" t="s">
        <v>563</v>
      </c>
      <c r="M3650" t="s">
        <v>478</v>
      </c>
      <c r="N3650" t="str">
        <f>Tabela_tudo[[#This Row],[Médico]]&amp;" ("&amp;Tabela_tudo[[#This Row],[Obs]]&amp;")"</f>
        <v>IFA ()</v>
      </c>
    </row>
    <row r="3651" spans="1:14" x14ac:dyDescent="0.3">
      <c r="A3651" s="1">
        <v>45569</v>
      </c>
      <c r="B3651" t="s">
        <v>214</v>
      </c>
      <c r="C3651" t="s">
        <v>455</v>
      </c>
      <c r="D3651" s="8"/>
      <c r="E3651" s="8"/>
      <c r="L3651" t="s">
        <v>563</v>
      </c>
      <c r="M3651" t="s">
        <v>478</v>
      </c>
      <c r="N3651" t="str">
        <f>Tabela_tudo[[#This Row],[Médico]]&amp;" ("&amp;Tabela_tudo[[#This Row],[Obs]]&amp;")"</f>
        <v>IFA ()</v>
      </c>
    </row>
    <row r="3652" spans="1:14" x14ac:dyDescent="0.3">
      <c r="A3652" s="1">
        <v>45639</v>
      </c>
      <c r="B3652" t="s">
        <v>214</v>
      </c>
      <c r="C3652" t="s">
        <v>455</v>
      </c>
      <c r="D3652" s="8"/>
      <c r="E3652" s="8"/>
      <c r="L3652" t="s">
        <v>563</v>
      </c>
      <c r="M3652" t="s">
        <v>478</v>
      </c>
      <c r="N3652" t="str">
        <f>Tabela_tudo[[#This Row],[Médico]]&amp;" ("&amp;Tabela_tudo[[#This Row],[Obs]]&amp;")"</f>
        <v>IFA ()</v>
      </c>
    </row>
    <row r="3653" spans="1:14" x14ac:dyDescent="0.3">
      <c r="A3653" s="1">
        <v>45632</v>
      </c>
      <c r="B3653" t="s">
        <v>214</v>
      </c>
      <c r="C3653" t="s">
        <v>455</v>
      </c>
      <c r="D3653" s="8"/>
      <c r="E3653" s="8"/>
      <c r="L3653" t="s">
        <v>563</v>
      </c>
      <c r="M3653" t="s">
        <v>478</v>
      </c>
      <c r="N3653" t="str">
        <f>Tabela_tudo[[#This Row],[Médico]]&amp;" ("&amp;Tabela_tudo[[#This Row],[Obs]]&amp;")"</f>
        <v>IFA ()</v>
      </c>
    </row>
    <row r="3654" spans="1:14" x14ac:dyDescent="0.3">
      <c r="A3654" s="1">
        <v>45625</v>
      </c>
      <c r="B3654" t="s">
        <v>214</v>
      </c>
      <c r="C3654" t="s">
        <v>455</v>
      </c>
      <c r="D3654" s="8"/>
      <c r="E3654" s="8"/>
      <c r="L3654" t="s">
        <v>563</v>
      </c>
      <c r="M3654" t="s">
        <v>478</v>
      </c>
      <c r="N3654" t="str">
        <f>Tabela_tudo[[#This Row],[Médico]]&amp;" ("&amp;Tabela_tudo[[#This Row],[Obs]]&amp;")"</f>
        <v>IFA ()</v>
      </c>
    </row>
    <row r="3655" spans="1:14" x14ac:dyDescent="0.3">
      <c r="A3655" s="1">
        <v>45646</v>
      </c>
      <c r="B3655" t="s">
        <v>214</v>
      </c>
      <c r="C3655" t="s">
        <v>455</v>
      </c>
      <c r="D3655" s="8"/>
      <c r="E3655" s="8"/>
      <c r="L3655" t="s">
        <v>563</v>
      </c>
      <c r="M3655" t="s">
        <v>478</v>
      </c>
      <c r="N3655" t="str">
        <f>Tabela_tudo[[#This Row],[Médico]]&amp;" ("&amp;Tabela_tudo[[#This Row],[Obs]]&amp;")"</f>
        <v>IFA ()</v>
      </c>
    </row>
    <row r="3656" spans="1:14" x14ac:dyDescent="0.3">
      <c r="A3656" s="1">
        <v>44939</v>
      </c>
      <c r="B3656" t="s">
        <v>20</v>
      </c>
      <c r="C3656" t="s">
        <v>455</v>
      </c>
      <c r="D3656" s="8"/>
      <c r="E3656" s="8"/>
      <c r="L3656" t="s">
        <v>563</v>
      </c>
      <c r="M3656" t="s">
        <v>478</v>
      </c>
      <c r="N3656" t="str">
        <f>Tabela_tudo[[#This Row],[Médico]]&amp;" ("&amp;Tabela_tudo[[#This Row],[Obs]]&amp;")"</f>
        <v>ROB ()</v>
      </c>
    </row>
    <row r="3657" spans="1:14" x14ac:dyDescent="0.3">
      <c r="A3657" s="1">
        <v>44932</v>
      </c>
      <c r="B3657" t="s">
        <v>20</v>
      </c>
      <c r="C3657" t="s">
        <v>455</v>
      </c>
      <c r="D3657" s="8"/>
      <c r="E3657" s="8"/>
      <c r="L3657" t="s">
        <v>563</v>
      </c>
      <c r="M3657" t="s">
        <v>478</v>
      </c>
      <c r="N3657" t="str">
        <f>Tabela_tudo[[#This Row],[Médico]]&amp;" ("&amp;Tabela_tudo[[#This Row],[Obs]]&amp;")"</f>
        <v>ROB ()</v>
      </c>
    </row>
    <row r="3658" spans="1:14" x14ac:dyDescent="0.3">
      <c r="A3658" s="1">
        <v>45653</v>
      </c>
      <c r="B3658" t="s">
        <v>214</v>
      </c>
      <c r="C3658" t="s">
        <v>455</v>
      </c>
      <c r="D3658" s="8"/>
      <c r="E3658" s="8"/>
      <c r="L3658" t="s">
        <v>563</v>
      </c>
      <c r="M3658" t="s">
        <v>478</v>
      </c>
      <c r="N3658" t="str">
        <f>Tabela_tudo[[#This Row],[Médico]]&amp;" ("&amp;Tabela_tudo[[#This Row],[Obs]]&amp;")"</f>
        <v>IFA ()</v>
      </c>
    </row>
    <row r="3659" spans="1:14" x14ac:dyDescent="0.3">
      <c r="A3659" s="1">
        <v>45590</v>
      </c>
      <c r="B3659" t="s">
        <v>214</v>
      </c>
      <c r="C3659" t="s">
        <v>455</v>
      </c>
      <c r="D3659" s="8"/>
      <c r="E3659" s="8"/>
      <c r="L3659" t="s">
        <v>563</v>
      </c>
      <c r="M3659" t="s">
        <v>478</v>
      </c>
      <c r="N3659" t="str">
        <f>Tabela_tudo[[#This Row],[Médico]]&amp;" ("&amp;Tabela_tudo[[#This Row],[Obs]]&amp;")"</f>
        <v>IFA ()</v>
      </c>
    </row>
    <row r="3660" spans="1:14" x14ac:dyDescent="0.3">
      <c r="A3660" s="1">
        <v>45583</v>
      </c>
      <c r="B3660" t="s">
        <v>214</v>
      </c>
      <c r="C3660" t="s">
        <v>455</v>
      </c>
      <c r="D3660" s="8"/>
      <c r="E3660" s="8"/>
      <c r="L3660" t="s">
        <v>563</v>
      </c>
      <c r="M3660" t="s">
        <v>478</v>
      </c>
      <c r="N3660" t="str">
        <f>Tabela_tudo[[#This Row],[Médico]]&amp;" ("&amp;Tabela_tudo[[#This Row],[Obs]]&amp;")"</f>
        <v>IFA ()</v>
      </c>
    </row>
    <row r="3661" spans="1:14" x14ac:dyDescent="0.3">
      <c r="A3661" s="1">
        <v>45576</v>
      </c>
      <c r="B3661" t="s">
        <v>214</v>
      </c>
      <c r="C3661" t="s">
        <v>455</v>
      </c>
      <c r="D3661" s="8"/>
      <c r="E3661" s="8"/>
      <c r="L3661" t="s">
        <v>563</v>
      </c>
      <c r="M3661" t="s">
        <v>478</v>
      </c>
      <c r="N3661" t="str">
        <f>Tabela_tudo[[#This Row],[Médico]]&amp;" ("&amp;Tabela_tudo[[#This Row],[Obs]]&amp;")"</f>
        <v>IFA ()</v>
      </c>
    </row>
    <row r="3662" spans="1:14" x14ac:dyDescent="0.3">
      <c r="A3662" s="1">
        <v>45597</v>
      </c>
      <c r="B3662" t="s">
        <v>214</v>
      </c>
      <c r="C3662" t="s">
        <v>455</v>
      </c>
      <c r="D3662" s="8"/>
      <c r="E3662" s="8"/>
      <c r="L3662" t="s">
        <v>563</v>
      </c>
      <c r="M3662" t="s">
        <v>478</v>
      </c>
      <c r="N3662" t="str">
        <f>Tabela_tudo[[#This Row],[Médico]]&amp;" ("&amp;Tabela_tudo[[#This Row],[Obs]]&amp;")"</f>
        <v>IFA ()</v>
      </c>
    </row>
    <row r="3663" spans="1:14" x14ac:dyDescent="0.3">
      <c r="A3663" s="1">
        <v>45618</v>
      </c>
      <c r="B3663" t="s">
        <v>214</v>
      </c>
      <c r="C3663" t="s">
        <v>455</v>
      </c>
      <c r="D3663" s="8"/>
      <c r="E3663" s="8"/>
      <c r="L3663" t="s">
        <v>563</v>
      </c>
      <c r="M3663" t="s">
        <v>478</v>
      </c>
      <c r="N3663" t="str">
        <f>Tabela_tudo[[#This Row],[Médico]]&amp;" ("&amp;Tabela_tudo[[#This Row],[Obs]]&amp;")"</f>
        <v>IFA ()</v>
      </c>
    </row>
    <row r="3664" spans="1:14" x14ac:dyDescent="0.3">
      <c r="A3664" s="1">
        <v>45611</v>
      </c>
      <c r="B3664" t="s">
        <v>214</v>
      </c>
      <c r="C3664" t="s">
        <v>455</v>
      </c>
      <c r="D3664" s="8"/>
      <c r="E3664" s="8"/>
      <c r="L3664" t="s">
        <v>563</v>
      </c>
      <c r="M3664" t="s">
        <v>478</v>
      </c>
      <c r="N3664" t="str">
        <f>Tabela_tudo[[#This Row],[Médico]]&amp;" ("&amp;Tabela_tudo[[#This Row],[Obs]]&amp;")"</f>
        <v>IFA ()</v>
      </c>
    </row>
    <row r="3665" spans="1:14" x14ac:dyDescent="0.3">
      <c r="A3665" s="1">
        <v>45604</v>
      </c>
      <c r="B3665" t="s">
        <v>214</v>
      </c>
      <c r="C3665" t="s">
        <v>455</v>
      </c>
      <c r="D3665" s="8"/>
      <c r="E3665" s="8"/>
      <c r="L3665" t="s">
        <v>563</v>
      </c>
      <c r="M3665" t="s">
        <v>478</v>
      </c>
      <c r="N3665" t="str">
        <f>Tabela_tudo[[#This Row],[Médico]]&amp;" ("&amp;Tabela_tudo[[#This Row],[Obs]]&amp;")"</f>
        <v>IFA ()</v>
      </c>
    </row>
    <row r="3666" spans="1:14" x14ac:dyDescent="0.3">
      <c r="A3666" s="1">
        <v>45504</v>
      </c>
      <c r="B3666" t="s">
        <v>25</v>
      </c>
      <c r="C3666" t="s">
        <v>455</v>
      </c>
      <c r="D3666" s="8"/>
      <c r="E3666" s="8"/>
      <c r="L3666" t="s">
        <v>563</v>
      </c>
      <c r="M3666" t="s">
        <v>478</v>
      </c>
      <c r="N3666" t="str">
        <f>Tabela_tudo[[#This Row],[Médico]]&amp;" ("&amp;Tabela_tudo[[#This Row],[Obs]]&amp;")"</f>
        <v>HEN ()</v>
      </c>
    </row>
    <row r="3667" spans="1:14" x14ac:dyDescent="0.3">
      <c r="A3667" s="1">
        <v>45497</v>
      </c>
      <c r="B3667" t="s">
        <v>25</v>
      </c>
      <c r="C3667" t="s">
        <v>455</v>
      </c>
      <c r="D3667" s="8"/>
      <c r="E3667" s="8"/>
      <c r="L3667" t="s">
        <v>563</v>
      </c>
      <c r="M3667" t="s">
        <v>478</v>
      </c>
      <c r="N3667" t="str">
        <f>Tabela_tudo[[#This Row],[Médico]]&amp;" ("&amp;Tabela_tudo[[#This Row],[Obs]]&amp;")"</f>
        <v>HEN ()</v>
      </c>
    </row>
    <row r="3668" spans="1:14" x14ac:dyDescent="0.3">
      <c r="A3668" s="1">
        <v>45490</v>
      </c>
      <c r="B3668" t="s">
        <v>25</v>
      </c>
      <c r="C3668" t="s">
        <v>455</v>
      </c>
      <c r="D3668" s="8"/>
      <c r="E3668" s="8"/>
      <c r="L3668" t="s">
        <v>563</v>
      </c>
      <c r="M3668" t="s">
        <v>478</v>
      </c>
      <c r="N3668" t="str">
        <f>Tabela_tudo[[#This Row],[Médico]]&amp;" ("&amp;Tabela_tudo[[#This Row],[Obs]]&amp;")"</f>
        <v>HEN ()</v>
      </c>
    </row>
    <row r="3669" spans="1:14" x14ac:dyDescent="0.3">
      <c r="A3669" s="1">
        <v>45511</v>
      </c>
      <c r="B3669" t="s">
        <v>25</v>
      </c>
      <c r="C3669" t="s">
        <v>455</v>
      </c>
      <c r="D3669" s="8"/>
      <c r="E3669" s="8"/>
      <c r="L3669" t="s">
        <v>563</v>
      </c>
      <c r="M3669" t="s">
        <v>478</v>
      </c>
      <c r="N3669" t="str">
        <f>Tabela_tudo[[#This Row],[Médico]]&amp;" ("&amp;Tabela_tudo[[#This Row],[Obs]]&amp;")"</f>
        <v>HEN ()</v>
      </c>
    </row>
    <row r="3670" spans="1:14" x14ac:dyDescent="0.3">
      <c r="A3670" s="1">
        <v>45532</v>
      </c>
      <c r="B3670" t="s">
        <v>25</v>
      </c>
      <c r="C3670" t="s">
        <v>455</v>
      </c>
      <c r="D3670" s="8"/>
      <c r="E3670" s="8"/>
      <c r="L3670" t="s">
        <v>563</v>
      </c>
      <c r="M3670" t="s">
        <v>478</v>
      </c>
      <c r="N3670" t="str">
        <f>Tabela_tudo[[#This Row],[Médico]]&amp;" ("&amp;Tabela_tudo[[#This Row],[Obs]]&amp;")"</f>
        <v>HEN ()</v>
      </c>
    </row>
    <row r="3671" spans="1:14" x14ac:dyDescent="0.3">
      <c r="A3671" s="1">
        <v>45525</v>
      </c>
      <c r="B3671" t="s">
        <v>25</v>
      </c>
      <c r="C3671" t="s">
        <v>455</v>
      </c>
      <c r="D3671" s="8"/>
      <c r="E3671" s="8"/>
      <c r="L3671" t="s">
        <v>563</v>
      </c>
      <c r="M3671" t="s">
        <v>478</v>
      </c>
      <c r="N3671" t="str">
        <f>Tabela_tudo[[#This Row],[Médico]]&amp;" ("&amp;Tabela_tudo[[#This Row],[Obs]]&amp;")"</f>
        <v>HEN ()</v>
      </c>
    </row>
    <row r="3672" spans="1:14" x14ac:dyDescent="0.3">
      <c r="A3672" s="1">
        <v>45518</v>
      </c>
      <c r="B3672" t="s">
        <v>25</v>
      </c>
      <c r="C3672" t="s">
        <v>455</v>
      </c>
      <c r="D3672" s="8"/>
      <c r="E3672" s="8"/>
      <c r="L3672" t="s">
        <v>563</v>
      </c>
      <c r="M3672" t="s">
        <v>478</v>
      </c>
      <c r="N3672" t="str">
        <f>Tabela_tudo[[#This Row],[Médico]]&amp;" ("&amp;Tabela_tudo[[#This Row],[Obs]]&amp;")"</f>
        <v>HEN ()</v>
      </c>
    </row>
    <row r="3673" spans="1:14" x14ac:dyDescent="0.3">
      <c r="A3673" s="1">
        <v>45455</v>
      </c>
      <c r="B3673" t="s">
        <v>25</v>
      </c>
      <c r="C3673" t="s">
        <v>455</v>
      </c>
      <c r="D3673" s="8"/>
      <c r="E3673" s="8"/>
      <c r="L3673" t="s">
        <v>563</v>
      </c>
      <c r="M3673" t="s">
        <v>478</v>
      </c>
      <c r="N3673" t="str">
        <f>Tabela_tudo[[#This Row],[Médico]]&amp;" ("&amp;Tabela_tudo[[#This Row],[Obs]]&amp;")"</f>
        <v>HEN ()</v>
      </c>
    </row>
    <row r="3674" spans="1:14" x14ac:dyDescent="0.3">
      <c r="A3674" s="1">
        <v>45448</v>
      </c>
      <c r="B3674" t="s">
        <v>25</v>
      </c>
      <c r="C3674" t="s">
        <v>455</v>
      </c>
      <c r="D3674" s="8"/>
      <c r="E3674" s="8"/>
      <c r="L3674" t="s">
        <v>563</v>
      </c>
      <c r="M3674" t="s">
        <v>478</v>
      </c>
      <c r="N3674" t="str">
        <f>Tabela_tudo[[#This Row],[Médico]]&amp;" ("&amp;Tabela_tudo[[#This Row],[Obs]]&amp;")"</f>
        <v>HEN ()</v>
      </c>
    </row>
    <row r="3675" spans="1:14" x14ac:dyDescent="0.3">
      <c r="A3675" s="1">
        <v>45441</v>
      </c>
      <c r="B3675" t="s">
        <v>25</v>
      </c>
      <c r="C3675" t="s">
        <v>455</v>
      </c>
      <c r="D3675" s="8"/>
      <c r="E3675" s="8"/>
      <c r="L3675" t="s">
        <v>563</v>
      </c>
      <c r="M3675" t="s">
        <v>478</v>
      </c>
      <c r="N3675" t="str">
        <f>Tabela_tudo[[#This Row],[Médico]]&amp;" ("&amp;Tabela_tudo[[#This Row],[Obs]]&amp;")"</f>
        <v>HEN ()</v>
      </c>
    </row>
    <row r="3676" spans="1:14" x14ac:dyDescent="0.3">
      <c r="A3676" s="1">
        <v>45462</v>
      </c>
      <c r="B3676" t="s">
        <v>25</v>
      </c>
      <c r="C3676" t="s">
        <v>455</v>
      </c>
      <c r="D3676" s="8"/>
      <c r="E3676" s="8"/>
      <c r="L3676" t="s">
        <v>563</v>
      </c>
      <c r="M3676" t="s">
        <v>478</v>
      </c>
      <c r="N3676" t="str">
        <f>Tabela_tudo[[#This Row],[Médico]]&amp;" ("&amp;Tabela_tudo[[#This Row],[Obs]]&amp;")"</f>
        <v>HEN ()</v>
      </c>
    </row>
    <row r="3677" spans="1:14" x14ac:dyDescent="0.3">
      <c r="A3677" s="1">
        <v>45483</v>
      </c>
      <c r="B3677" t="s">
        <v>25</v>
      </c>
      <c r="C3677" t="s">
        <v>455</v>
      </c>
      <c r="D3677" s="8"/>
      <c r="E3677" s="8"/>
      <c r="L3677" t="s">
        <v>563</v>
      </c>
      <c r="M3677" t="s">
        <v>478</v>
      </c>
      <c r="N3677" t="str">
        <f>Tabela_tudo[[#This Row],[Médico]]&amp;" ("&amp;Tabela_tudo[[#This Row],[Obs]]&amp;")"</f>
        <v>HEN ()</v>
      </c>
    </row>
    <row r="3678" spans="1:14" x14ac:dyDescent="0.3">
      <c r="A3678" s="1">
        <v>45476</v>
      </c>
      <c r="B3678" t="s">
        <v>25</v>
      </c>
      <c r="C3678" t="s">
        <v>455</v>
      </c>
      <c r="D3678" s="8"/>
      <c r="E3678" s="8"/>
      <c r="L3678" t="s">
        <v>563</v>
      </c>
      <c r="M3678" t="s">
        <v>478</v>
      </c>
      <c r="N3678" t="str">
        <f>Tabela_tudo[[#This Row],[Médico]]&amp;" ("&amp;Tabela_tudo[[#This Row],[Obs]]&amp;")"</f>
        <v>HEN ()</v>
      </c>
    </row>
    <row r="3679" spans="1:14" x14ac:dyDescent="0.3">
      <c r="A3679" s="1">
        <v>45469</v>
      </c>
      <c r="B3679" t="s">
        <v>25</v>
      </c>
      <c r="C3679" t="s">
        <v>455</v>
      </c>
      <c r="D3679" s="8"/>
      <c r="E3679" s="8"/>
      <c r="L3679" t="s">
        <v>563</v>
      </c>
      <c r="M3679" t="s">
        <v>478</v>
      </c>
      <c r="N3679" t="str">
        <f>Tabela_tudo[[#This Row],[Médico]]&amp;" ("&amp;Tabela_tudo[[#This Row],[Obs]]&amp;")"</f>
        <v>HEN ()</v>
      </c>
    </row>
    <row r="3680" spans="1:14" x14ac:dyDescent="0.3">
      <c r="A3680" s="1">
        <v>45539</v>
      </c>
      <c r="B3680" t="s">
        <v>25</v>
      </c>
      <c r="C3680" t="s">
        <v>455</v>
      </c>
      <c r="D3680" s="8"/>
      <c r="E3680" s="8"/>
      <c r="L3680" t="s">
        <v>563</v>
      </c>
      <c r="M3680" t="s">
        <v>478</v>
      </c>
      <c r="N3680" t="str">
        <f>Tabela_tudo[[#This Row],[Médico]]&amp;" ("&amp;Tabela_tudo[[#This Row],[Obs]]&amp;")"</f>
        <v>HEN ()</v>
      </c>
    </row>
    <row r="3681" spans="1:14" x14ac:dyDescent="0.3">
      <c r="A3681" s="1">
        <v>45609</v>
      </c>
      <c r="B3681" t="s">
        <v>25</v>
      </c>
      <c r="C3681" t="s">
        <v>455</v>
      </c>
      <c r="D3681" s="8"/>
      <c r="E3681" s="8"/>
      <c r="L3681" t="s">
        <v>563</v>
      </c>
      <c r="M3681" t="s">
        <v>478</v>
      </c>
      <c r="N3681" t="str">
        <f>Tabela_tudo[[#This Row],[Médico]]&amp;" ("&amp;Tabela_tudo[[#This Row],[Obs]]&amp;")"</f>
        <v>HEN ()</v>
      </c>
    </row>
    <row r="3682" spans="1:14" x14ac:dyDescent="0.3">
      <c r="A3682" s="1">
        <v>45602</v>
      </c>
      <c r="B3682" t="s">
        <v>25</v>
      </c>
      <c r="C3682" t="s">
        <v>455</v>
      </c>
      <c r="D3682" s="8"/>
      <c r="E3682" s="8"/>
      <c r="L3682" t="s">
        <v>563</v>
      </c>
      <c r="M3682" t="s">
        <v>478</v>
      </c>
      <c r="N3682" t="str">
        <f>Tabela_tudo[[#This Row],[Médico]]&amp;" ("&amp;Tabela_tudo[[#This Row],[Obs]]&amp;")"</f>
        <v>HEN ()</v>
      </c>
    </row>
    <row r="3683" spans="1:14" x14ac:dyDescent="0.3">
      <c r="A3683" s="1">
        <v>45595</v>
      </c>
      <c r="B3683" t="s">
        <v>25</v>
      </c>
      <c r="C3683" t="s">
        <v>455</v>
      </c>
      <c r="D3683" s="8"/>
      <c r="E3683" s="8"/>
      <c r="L3683" t="s">
        <v>563</v>
      </c>
      <c r="M3683" t="s">
        <v>478</v>
      </c>
      <c r="N3683" t="str">
        <f>Tabela_tudo[[#This Row],[Médico]]&amp;" ("&amp;Tabela_tudo[[#This Row],[Obs]]&amp;")"</f>
        <v>HEN ()</v>
      </c>
    </row>
    <row r="3684" spans="1:14" x14ac:dyDescent="0.3">
      <c r="A3684" s="1">
        <v>45616</v>
      </c>
      <c r="B3684" t="s">
        <v>25</v>
      </c>
      <c r="C3684" t="s">
        <v>455</v>
      </c>
      <c r="D3684" s="8"/>
      <c r="E3684" s="8"/>
      <c r="L3684" t="s">
        <v>563</v>
      </c>
      <c r="M3684" t="s">
        <v>478</v>
      </c>
      <c r="N3684" t="str">
        <f>Tabela_tudo[[#This Row],[Médico]]&amp;" ("&amp;Tabela_tudo[[#This Row],[Obs]]&amp;")"</f>
        <v>HEN ()</v>
      </c>
    </row>
    <row r="3685" spans="1:14" x14ac:dyDescent="0.3">
      <c r="A3685" s="1">
        <v>45637</v>
      </c>
      <c r="B3685" t="s">
        <v>25</v>
      </c>
      <c r="C3685" t="s">
        <v>455</v>
      </c>
      <c r="D3685" s="8"/>
      <c r="E3685" s="8"/>
      <c r="L3685" t="s">
        <v>563</v>
      </c>
      <c r="M3685" t="s">
        <v>478</v>
      </c>
      <c r="N3685" t="str">
        <f>Tabela_tudo[[#This Row],[Médico]]&amp;" ("&amp;Tabela_tudo[[#This Row],[Obs]]&amp;")"</f>
        <v>HEN ()</v>
      </c>
    </row>
    <row r="3686" spans="1:14" x14ac:dyDescent="0.3">
      <c r="A3686" s="1">
        <v>45630</v>
      </c>
      <c r="B3686" t="s">
        <v>25</v>
      </c>
      <c r="C3686" t="s">
        <v>455</v>
      </c>
      <c r="D3686" s="8"/>
      <c r="E3686" s="8"/>
      <c r="L3686" t="s">
        <v>563</v>
      </c>
      <c r="M3686" t="s">
        <v>478</v>
      </c>
      <c r="N3686" t="str">
        <f>Tabela_tudo[[#This Row],[Médico]]&amp;" ("&amp;Tabela_tudo[[#This Row],[Obs]]&amp;")"</f>
        <v>HEN ()</v>
      </c>
    </row>
    <row r="3687" spans="1:14" x14ac:dyDescent="0.3">
      <c r="A3687" s="1">
        <v>45623</v>
      </c>
      <c r="B3687" t="s">
        <v>25</v>
      </c>
      <c r="C3687" t="s">
        <v>455</v>
      </c>
      <c r="D3687" s="8"/>
      <c r="E3687" s="8"/>
      <c r="L3687" t="s">
        <v>563</v>
      </c>
      <c r="M3687" t="s">
        <v>478</v>
      </c>
      <c r="N3687" t="str">
        <f>Tabela_tudo[[#This Row],[Médico]]&amp;" ("&amp;Tabela_tudo[[#This Row],[Obs]]&amp;")"</f>
        <v>HEN ()</v>
      </c>
    </row>
    <row r="3688" spans="1:14" x14ac:dyDescent="0.3">
      <c r="A3688" s="1">
        <v>45560</v>
      </c>
      <c r="B3688" t="s">
        <v>25</v>
      </c>
      <c r="C3688" t="s">
        <v>455</v>
      </c>
      <c r="D3688" s="8"/>
      <c r="E3688" s="8"/>
      <c r="L3688" t="s">
        <v>563</v>
      </c>
      <c r="M3688" t="s">
        <v>478</v>
      </c>
      <c r="N3688" t="str">
        <f>Tabela_tudo[[#This Row],[Médico]]&amp;" ("&amp;Tabela_tudo[[#This Row],[Obs]]&amp;")"</f>
        <v>HEN ()</v>
      </c>
    </row>
    <row r="3689" spans="1:14" x14ac:dyDescent="0.3">
      <c r="A3689" s="1">
        <v>45553</v>
      </c>
      <c r="B3689" t="s">
        <v>25</v>
      </c>
      <c r="C3689" t="s">
        <v>455</v>
      </c>
      <c r="D3689" s="8"/>
      <c r="E3689" s="8"/>
      <c r="L3689" t="s">
        <v>563</v>
      </c>
      <c r="M3689" t="s">
        <v>478</v>
      </c>
      <c r="N3689" t="str">
        <f>Tabela_tudo[[#This Row],[Médico]]&amp;" ("&amp;Tabela_tudo[[#This Row],[Obs]]&amp;")"</f>
        <v>HEN ()</v>
      </c>
    </row>
    <row r="3690" spans="1:14" x14ac:dyDescent="0.3">
      <c r="A3690" s="1">
        <v>45546</v>
      </c>
      <c r="B3690" t="s">
        <v>25</v>
      </c>
      <c r="C3690" t="s">
        <v>455</v>
      </c>
      <c r="D3690" s="8"/>
      <c r="E3690" s="8"/>
      <c r="L3690" t="s">
        <v>563</v>
      </c>
      <c r="M3690" t="s">
        <v>478</v>
      </c>
      <c r="N3690" t="str">
        <f>Tabela_tudo[[#This Row],[Médico]]&amp;" ("&amp;Tabela_tudo[[#This Row],[Obs]]&amp;")"</f>
        <v>HEN ()</v>
      </c>
    </row>
    <row r="3691" spans="1:14" x14ac:dyDescent="0.3">
      <c r="A3691" s="1">
        <v>45567</v>
      </c>
      <c r="B3691" t="s">
        <v>25</v>
      </c>
      <c r="C3691" t="s">
        <v>455</v>
      </c>
      <c r="D3691" s="8"/>
      <c r="E3691" s="8"/>
      <c r="L3691" t="s">
        <v>563</v>
      </c>
      <c r="M3691" t="s">
        <v>478</v>
      </c>
      <c r="N3691" t="str">
        <f>Tabela_tudo[[#This Row],[Médico]]&amp;" ("&amp;Tabela_tudo[[#This Row],[Obs]]&amp;")"</f>
        <v>HEN ()</v>
      </c>
    </row>
    <row r="3692" spans="1:14" x14ac:dyDescent="0.3">
      <c r="A3692" s="1">
        <v>45588</v>
      </c>
      <c r="B3692" t="s">
        <v>25</v>
      </c>
      <c r="C3692" t="s">
        <v>455</v>
      </c>
      <c r="D3692" s="8"/>
      <c r="E3692" s="8"/>
      <c r="L3692" t="s">
        <v>563</v>
      </c>
      <c r="M3692" t="s">
        <v>478</v>
      </c>
      <c r="N3692" t="str">
        <f>Tabela_tudo[[#This Row],[Médico]]&amp;" ("&amp;Tabela_tudo[[#This Row],[Obs]]&amp;")"</f>
        <v>HEN ()</v>
      </c>
    </row>
    <row r="3693" spans="1:14" x14ac:dyDescent="0.3">
      <c r="A3693" s="1">
        <v>45581</v>
      </c>
      <c r="B3693" t="s">
        <v>25</v>
      </c>
      <c r="C3693" t="s">
        <v>455</v>
      </c>
      <c r="D3693" s="8"/>
      <c r="E3693" s="8"/>
      <c r="L3693" t="s">
        <v>563</v>
      </c>
      <c r="M3693" t="s">
        <v>478</v>
      </c>
      <c r="N3693" t="str">
        <f>Tabela_tudo[[#This Row],[Médico]]&amp;" ("&amp;Tabela_tudo[[#This Row],[Obs]]&amp;")"</f>
        <v>HEN ()</v>
      </c>
    </row>
    <row r="3694" spans="1:14" x14ac:dyDescent="0.3">
      <c r="A3694" s="1">
        <v>45574</v>
      </c>
      <c r="B3694" t="s">
        <v>25</v>
      </c>
      <c r="C3694" t="s">
        <v>455</v>
      </c>
      <c r="D3694" s="8"/>
      <c r="E3694" s="8"/>
      <c r="L3694" t="s">
        <v>563</v>
      </c>
      <c r="M3694" t="s">
        <v>478</v>
      </c>
      <c r="N3694" t="str">
        <f>Tabela_tudo[[#This Row],[Médico]]&amp;" ("&amp;Tabela_tudo[[#This Row],[Obs]]&amp;")"</f>
        <v>HEN ()</v>
      </c>
    </row>
    <row r="3695" spans="1:14" x14ac:dyDescent="0.3">
      <c r="A3695" s="1">
        <v>45434</v>
      </c>
      <c r="B3695" t="s">
        <v>25</v>
      </c>
      <c r="C3695" t="s">
        <v>455</v>
      </c>
      <c r="D3695" s="8"/>
      <c r="E3695" s="8"/>
      <c r="L3695" t="s">
        <v>563</v>
      </c>
      <c r="M3695" t="s">
        <v>478</v>
      </c>
      <c r="N3695" t="str">
        <f>Tabela_tudo[[#This Row],[Médico]]&amp;" ("&amp;Tabela_tudo[[#This Row],[Obs]]&amp;")"</f>
        <v>HEN ()</v>
      </c>
    </row>
    <row r="3696" spans="1:14" x14ac:dyDescent="0.3">
      <c r="A3696" s="1">
        <v>45294</v>
      </c>
      <c r="B3696" t="s">
        <v>25</v>
      </c>
      <c r="C3696" t="s">
        <v>455</v>
      </c>
      <c r="D3696" s="8"/>
      <c r="E3696" s="8"/>
      <c r="L3696" t="s">
        <v>563</v>
      </c>
      <c r="M3696" t="s">
        <v>478</v>
      </c>
      <c r="N3696" t="str">
        <f>Tabela_tudo[[#This Row],[Médico]]&amp;" ("&amp;Tabela_tudo[[#This Row],[Obs]]&amp;")"</f>
        <v>HEN ()</v>
      </c>
    </row>
    <row r="3697" spans="1:14" x14ac:dyDescent="0.3">
      <c r="A3697" s="1">
        <v>45287</v>
      </c>
      <c r="B3697" t="s">
        <v>25</v>
      </c>
      <c r="C3697" t="s">
        <v>455</v>
      </c>
      <c r="D3697" s="8"/>
      <c r="E3697" s="8"/>
      <c r="L3697" t="s">
        <v>563</v>
      </c>
      <c r="M3697" t="s">
        <v>478</v>
      </c>
      <c r="N3697" t="str">
        <f>Tabela_tudo[[#This Row],[Médico]]&amp;" ("&amp;Tabela_tudo[[#This Row],[Obs]]&amp;")"</f>
        <v>HEN ()</v>
      </c>
    </row>
    <row r="3698" spans="1:14" x14ac:dyDescent="0.3">
      <c r="A3698" s="1">
        <v>45280</v>
      </c>
      <c r="B3698" t="s">
        <v>25</v>
      </c>
      <c r="C3698" t="s">
        <v>455</v>
      </c>
      <c r="D3698" s="8"/>
      <c r="E3698" s="8"/>
      <c r="L3698" t="s">
        <v>563</v>
      </c>
      <c r="M3698" t="s">
        <v>478</v>
      </c>
      <c r="N3698" t="str">
        <f>Tabela_tudo[[#This Row],[Médico]]&amp;" ("&amp;Tabela_tudo[[#This Row],[Obs]]&amp;")"</f>
        <v>HEN ()</v>
      </c>
    </row>
    <row r="3699" spans="1:14" x14ac:dyDescent="0.3">
      <c r="A3699" s="1">
        <v>45301</v>
      </c>
      <c r="B3699" t="s">
        <v>25</v>
      </c>
      <c r="C3699" t="s">
        <v>455</v>
      </c>
      <c r="D3699" s="8"/>
      <c r="E3699" s="8"/>
      <c r="L3699" t="s">
        <v>563</v>
      </c>
      <c r="M3699" t="s">
        <v>478</v>
      </c>
      <c r="N3699" t="str">
        <f>Tabela_tudo[[#This Row],[Médico]]&amp;" ("&amp;Tabela_tudo[[#This Row],[Obs]]&amp;")"</f>
        <v>HEN ()</v>
      </c>
    </row>
    <row r="3700" spans="1:14" x14ac:dyDescent="0.3">
      <c r="A3700" s="1">
        <v>45322</v>
      </c>
      <c r="B3700" t="s">
        <v>25</v>
      </c>
      <c r="C3700" t="s">
        <v>455</v>
      </c>
      <c r="D3700" s="8"/>
      <c r="E3700" s="8"/>
      <c r="L3700" t="s">
        <v>563</v>
      </c>
      <c r="M3700" t="s">
        <v>478</v>
      </c>
      <c r="N3700" t="str">
        <f>Tabela_tudo[[#This Row],[Médico]]&amp;" ("&amp;Tabela_tudo[[#This Row],[Obs]]&amp;")"</f>
        <v>HEN ()</v>
      </c>
    </row>
    <row r="3701" spans="1:14" x14ac:dyDescent="0.3">
      <c r="A3701" s="1">
        <v>45315</v>
      </c>
      <c r="B3701" t="s">
        <v>25</v>
      </c>
      <c r="C3701" t="s">
        <v>455</v>
      </c>
      <c r="D3701" s="8"/>
      <c r="E3701" s="8"/>
      <c r="L3701" t="s">
        <v>563</v>
      </c>
      <c r="M3701" t="s">
        <v>478</v>
      </c>
      <c r="N3701" t="str">
        <f>Tabela_tudo[[#This Row],[Médico]]&amp;" ("&amp;Tabela_tudo[[#This Row],[Obs]]&amp;")"</f>
        <v>HEN ()</v>
      </c>
    </row>
    <row r="3702" spans="1:14" x14ac:dyDescent="0.3">
      <c r="A3702" s="1">
        <v>45308</v>
      </c>
      <c r="B3702" t="s">
        <v>25</v>
      </c>
      <c r="C3702" t="s">
        <v>455</v>
      </c>
      <c r="D3702" s="8"/>
      <c r="E3702" s="8"/>
      <c r="L3702" t="s">
        <v>563</v>
      </c>
      <c r="M3702" t="s">
        <v>478</v>
      </c>
      <c r="N3702" t="str">
        <f>Tabela_tudo[[#This Row],[Médico]]&amp;" ("&amp;Tabela_tudo[[#This Row],[Obs]]&amp;")"</f>
        <v>HEN ()</v>
      </c>
    </row>
    <row r="3703" spans="1:14" x14ac:dyDescent="0.3">
      <c r="A3703" s="1">
        <v>45245</v>
      </c>
      <c r="B3703" t="s">
        <v>25</v>
      </c>
      <c r="C3703" t="s">
        <v>455</v>
      </c>
      <c r="D3703" s="8"/>
      <c r="E3703" s="8"/>
      <c r="L3703" t="s">
        <v>563</v>
      </c>
      <c r="M3703" t="s">
        <v>478</v>
      </c>
      <c r="N3703" t="str">
        <f>Tabela_tudo[[#This Row],[Médico]]&amp;" ("&amp;Tabela_tudo[[#This Row],[Obs]]&amp;")"</f>
        <v>HEN ()</v>
      </c>
    </row>
    <row r="3704" spans="1:14" x14ac:dyDescent="0.3">
      <c r="A3704" s="1">
        <v>45238</v>
      </c>
      <c r="B3704" t="s">
        <v>25</v>
      </c>
      <c r="C3704" t="s">
        <v>455</v>
      </c>
      <c r="D3704" s="8"/>
      <c r="E3704" s="8"/>
      <c r="L3704" t="s">
        <v>563</v>
      </c>
      <c r="M3704" t="s">
        <v>478</v>
      </c>
      <c r="N3704" t="str">
        <f>Tabela_tudo[[#This Row],[Médico]]&amp;" ("&amp;Tabela_tudo[[#This Row],[Obs]]&amp;")"</f>
        <v>HEN ()</v>
      </c>
    </row>
    <row r="3705" spans="1:14" x14ac:dyDescent="0.3">
      <c r="A3705" s="1">
        <v>45231</v>
      </c>
      <c r="B3705" t="s">
        <v>25</v>
      </c>
      <c r="C3705" t="s">
        <v>455</v>
      </c>
      <c r="D3705" s="8"/>
      <c r="E3705" s="8"/>
      <c r="L3705" t="s">
        <v>563</v>
      </c>
      <c r="M3705" t="s">
        <v>478</v>
      </c>
      <c r="N3705" t="str">
        <f>Tabela_tudo[[#This Row],[Médico]]&amp;" ("&amp;Tabela_tudo[[#This Row],[Obs]]&amp;")"</f>
        <v>HEN ()</v>
      </c>
    </row>
    <row r="3706" spans="1:14" x14ac:dyDescent="0.3">
      <c r="A3706" s="1">
        <v>45252</v>
      </c>
      <c r="B3706" t="s">
        <v>25</v>
      </c>
      <c r="C3706" t="s">
        <v>455</v>
      </c>
      <c r="D3706" s="8"/>
      <c r="E3706" s="8"/>
      <c r="L3706" t="s">
        <v>563</v>
      </c>
      <c r="M3706" t="s">
        <v>478</v>
      </c>
      <c r="N3706" t="str">
        <f>Tabela_tudo[[#This Row],[Médico]]&amp;" ("&amp;Tabela_tudo[[#This Row],[Obs]]&amp;")"</f>
        <v>HEN ()</v>
      </c>
    </row>
    <row r="3707" spans="1:14" x14ac:dyDescent="0.3">
      <c r="A3707" s="1">
        <v>45273</v>
      </c>
      <c r="B3707" t="s">
        <v>25</v>
      </c>
      <c r="C3707" t="s">
        <v>455</v>
      </c>
      <c r="D3707" s="8"/>
      <c r="E3707" s="8"/>
      <c r="L3707" t="s">
        <v>563</v>
      </c>
      <c r="M3707" t="s">
        <v>478</v>
      </c>
      <c r="N3707" t="str">
        <f>Tabela_tudo[[#This Row],[Médico]]&amp;" ("&amp;Tabela_tudo[[#This Row],[Obs]]&amp;")"</f>
        <v>HEN ()</v>
      </c>
    </row>
    <row r="3708" spans="1:14" x14ac:dyDescent="0.3">
      <c r="A3708" s="1">
        <v>45266</v>
      </c>
      <c r="B3708" t="s">
        <v>25</v>
      </c>
      <c r="C3708" t="s">
        <v>455</v>
      </c>
      <c r="D3708" s="8"/>
      <c r="E3708" s="8"/>
      <c r="L3708" t="s">
        <v>563</v>
      </c>
      <c r="M3708" t="s">
        <v>478</v>
      </c>
      <c r="N3708" t="str">
        <f>Tabela_tudo[[#This Row],[Médico]]&amp;" ("&amp;Tabela_tudo[[#This Row],[Obs]]&amp;")"</f>
        <v>HEN ()</v>
      </c>
    </row>
    <row r="3709" spans="1:14" x14ac:dyDescent="0.3">
      <c r="A3709" s="1">
        <v>45259</v>
      </c>
      <c r="B3709" t="s">
        <v>25</v>
      </c>
      <c r="C3709" t="s">
        <v>455</v>
      </c>
      <c r="D3709" s="8"/>
      <c r="E3709" s="8"/>
      <c r="L3709" t="s">
        <v>563</v>
      </c>
      <c r="M3709" t="s">
        <v>478</v>
      </c>
      <c r="N3709" t="str">
        <f>Tabela_tudo[[#This Row],[Médico]]&amp;" ("&amp;Tabela_tudo[[#This Row],[Obs]]&amp;")"</f>
        <v>HEN ()</v>
      </c>
    </row>
    <row r="3710" spans="1:14" x14ac:dyDescent="0.3">
      <c r="A3710" s="1">
        <v>45329</v>
      </c>
      <c r="B3710" t="s">
        <v>25</v>
      </c>
      <c r="C3710" t="s">
        <v>455</v>
      </c>
      <c r="D3710" s="8"/>
      <c r="E3710" s="8"/>
      <c r="L3710" t="s">
        <v>563</v>
      </c>
      <c r="M3710" t="s">
        <v>478</v>
      </c>
      <c r="N3710" t="str">
        <f>Tabela_tudo[[#This Row],[Médico]]&amp;" ("&amp;Tabela_tudo[[#This Row],[Obs]]&amp;")"</f>
        <v>HEN ()</v>
      </c>
    </row>
    <row r="3711" spans="1:14" x14ac:dyDescent="0.3">
      <c r="A3711" s="1">
        <v>45399</v>
      </c>
      <c r="B3711" t="s">
        <v>25</v>
      </c>
      <c r="C3711" t="s">
        <v>455</v>
      </c>
      <c r="D3711" s="8"/>
      <c r="E3711" s="8"/>
      <c r="L3711" t="s">
        <v>563</v>
      </c>
      <c r="M3711" t="s">
        <v>478</v>
      </c>
      <c r="N3711" t="str">
        <f>Tabela_tudo[[#This Row],[Médico]]&amp;" ("&amp;Tabela_tudo[[#This Row],[Obs]]&amp;")"</f>
        <v>HEN ()</v>
      </c>
    </row>
    <row r="3712" spans="1:14" x14ac:dyDescent="0.3">
      <c r="A3712" s="1">
        <v>45392</v>
      </c>
      <c r="B3712" t="s">
        <v>25</v>
      </c>
      <c r="C3712" t="s">
        <v>455</v>
      </c>
      <c r="D3712" s="8"/>
      <c r="E3712" s="8"/>
      <c r="L3712" t="s">
        <v>563</v>
      </c>
      <c r="M3712" t="s">
        <v>478</v>
      </c>
      <c r="N3712" t="str">
        <f>Tabela_tudo[[#This Row],[Médico]]&amp;" ("&amp;Tabela_tudo[[#This Row],[Obs]]&amp;")"</f>
        <v>HEN ()</v>
      </c>
    </row>
    <row r="3713" spans="1:14" x14ac:dyDescent="0.3">
      <c r="A3713" s="1">
        <v>45385</v>
      </c>
      <c r="B3713" t="s">
        <v>25</v>
      </c>
      <c r="C3713" t="s">
        <v>455</v>
      </c>
      <c r="D3713" s="8"/>
      <c r="E3713" s="8"/>
      <c r="L3713" t="s">
        <v>563</v>
      </c>
      <c r="M3713" t="s">
        <v>478</v>
      </c>
      <c r="N3713" t="str">
        <f>Tabela_tudo[[#This Row],[Médico]]&amp;" ("&amp;Tabela_tudo[[#This Row],[Obs]]&amp;")"</f>
        <v>HEN ()</v>
      </c>
    </row>
    <row r="3714" spans="1:14" x14ac:dyDescent="0.3">
      <c r="A3714" s="1">
        <v>45406</v>
      </c>
      <c r="B3714" t="s">
        <v>25</v>
      </c>
      <c r="C3714" t="s">
        <v>455</v>
      </c>
      <c r="D3714" s="8"/>
      <c r="E3714" s="8"/>
      <c r="L3714" t="s">
        <v>563</v>
      </c>
      <c r="M3714" t="s">
        <v>478</v>
      </c>
      <c r="N3714" t="str">
        <f>Tabela_tudo[[#This Row],[Médico]]&amp;" ("&amp;Tabela_tudo[[#This Row],[Obs]]&amp;")"</f>
        <v>HEN ()</v>
      </c>
    </row>
    <row r="3715" spans="1:14" x14ac:dyDescent="0.3">
      <c r="A3715" s="1">
        <v>45427</v>
      </c>
      <c r="B3715" t="s">
        <v>25</v>
      </c>
      <c r="C3715" t="s">
        <v>455</v>
      </c>
      <c r="D3715" s="8"/>
      <c r="E3715" s="8"/>
      <c r="L3715" t="s">
        <v>563</v>
      </c>
      <c r="M3715" t="s">
        <v>478</v>
      </c>
      <c r="N3715" t="str">
        <f>Tabela_tudo[[#This Row],[Médico]]&amp;" ("&amp;Tabela_tudo[[#This Row],[Obs]]&amp;")"</f>
        <v>HEN ()</v>
      </c>
    </row>
    <row r="3716" spans="1:14" x14ac:dyDescent="0.3">
      <c r="A3716" s="1">
        <v>45420</v>
      </c>
      <c r="B3716" t="s">
        <v>25</v>
      </c>
      <c r="C3716" t="s">
        <v>455</v>
      </c>
      <c r="D3716" s="8"/>
      <c r="E3716" s="8"/>
      <c r="L3716" t="s">
        <v>563</v>
      </c>
      <c r="M3716" t="s">
        <v>478</v>
      </c>
      <c r="N3716" t="str">
        <f>Tabela_tudo[[#This Row],[Médico]]&amp;" ("&amp;Tabela_tudo[[#This Row],[Obs]]&amp;")"</f>
        <v>HEN ()</v>
      </c>
    </row>
    <row r="3717" spans="1:14" x14ac:dyDescent="0.3">
      <c r="A3717" s="1">
        <v>45413</v>
      </c>
      <c r="B3717" t="s">
        <v>25</v>
      </c>
      <c r="C3717" t="s">
        <v>455</v>
      </c>
      <c r="D3717" s="8"/>
      <c r="E3717" s="8"/>
      <c r="L3717" t="s">
        <v>563</v>
      </c>
      <c r="M3717" t="s">
        <v>478</v>
      </c>
      <c r="N3717" t="str">
        <f>Tabela_tudo[[#This Row],[Médico]]&amp;" ("&amp;Tabela_tudo[[#This Row],[Obs]]&amp;")"</f>
        <v>HEN ()</v>
      </c>
    </row>
    <row r="3718" spans="1:14" x14ac:dyDescent="0.3">
      <c r="A3718" s="1">
        <v>45350</v>
      </c>
      <c r="B3718" t="s">
        <v>25</v>
      </c>
      <c r="C3718" t="s">
        <v>455</v>
      </c>
      <c r="D3718" s="8"/>
      <c r="E3718" s="8"/>
      <c r="L3718" t="s">
        <v>563</v>
      </c>
      <c r="M3718" t="s">
        <v>478</v>
      </c>
      <c r="N3718" t="str">
        <f>Tabela_tudo[[#This Row],[Médico]]&amp;" ("&amp;Tabela_tudo[[#This Row],[Obs]]&amp;")"</f>
        <v>HEN ()</v>
      </c>
    </row>
    <row r="3719" spans="1:14" x14ac:dyDescent="0.3">
      <c r="A3719" s="1">
        <v>45343</v>
      </c>
      <c r="B3719" t="s">
        <v>25</v>
      </c>
      <c r="C3719" t="s">
        <v>455</v>
      </c>
      <c r="D3719" s="8"/>
      <c r="E3719" s="8"/>
      <c r="L3719" t="s">
        <v>563</v>
      </c>
      <c r="M3719" t="s">
        <v>478</v>
      </c>
      <c r="N3719" t="str">
        <f>Tabela_tudo[[#This Row],[Médico]]&amp;" ("&amp;Tabela_tudo[[#This Row],[Obs]]&amp;")"</f>
        <v>HEN ()</v>
      </c>
    </row>
    <row r="3720" spans="1:14" x14ac:dyDescent="0.3">
      <c r="A3720" s="1">
        <v>45336</v>
      </c>
      <c r="B3720" t="s">
        <v>25</v>
      </c>
      <c r="C3720" t="s">
        <v>455</v>
      </c>
      <c r="D3720" s="8"/>
      <c r="E3720" s="8"/>
      <c r="L3720" t="s">
        <v>563</v>
      </c>
      <c r="M3720" t="s">
        <v>478</v>
      </c>
      <c r="N3720" t="str">
        <f>Tabela_tudo[[#This Row],[Médico]]&amp;" ("&amp;Tabela_tudo[[#This Row],[Obs]]&amp;")"</f>
        <v>HEN ()</v>
      </c>
    </row>
    <row r="3721" spans="1:14" x14ac:dyDescent="0.3">
      <c r="A3721" s="1">
        <v>45357</v>
      </c>
      <c r="B3721" t="s">
        <v>25</v>
      </c>
      <c r="C3721" t="s">
        <v>455</v>
      </c>
      <c r="D3721" s="8"/>
      <c r="E3721" s="8"/>
      <c r="L3721" t="s">
        <v>563</v>
      </c>
      <c r="M3721" t="s">
        <v>478</v>
      </c>
      <c r="N3721" t="str">
        <f>Tabela_tudo[[#This Row],[Médico]]&amp;" ("&amp;Tabela_tudo[[#This Row],[Obs]]&amp;")"</f>
        <v>HEN ()</v>
      </c>
    </row>
    <row r="3722" spans="1:14" x14ac:dyDescent="0.3">
      <c r="A3722" s="1">
        <v>45378</v>
      </c>
      <c r="B3722" t="s">
        <v>25</v>
      </c>
      <c r="C3722" t="s">
        <v>455</v>
      </c>
      <c r="D3722" s="8"/>
      <c r="E3722" s="8"/>
      <c r="L3722" t="s">
        <v>563</v>
      </c>
      <c r="M3722" t="s">
        <v>478</v>
      </c>
      <c r="N3722" t="str">
        <f>Tabela_tudo[[#This Row],[Médico]]&amp;" ("&amp;Tabela_tudo[[#This Row],[Obs]]&amp;")"</f>
        <v>HEN ()</v>
      </c>
    </row>
    <row r="3723" spans="1:14" x14ac:dyDescent="0.3">
      <c r="A3723" s="1">
        <v>45371</v>
      </c>
      <c r="B3723" t="s">
        <v>25</v>
      </c>
      <c r="C3723" t="s">
        <v>455</v>
      </c>
      <c r="D3723" s="8"/>
      <c r="E3723" s="8"/>
      <c r="L3723" t="s">
        <v>563</v>
      </c>
      <c r="M3723" t="s">
        <v>478</v>
      </c>
      <c r="N3723" t="str">
        <f>Tabela_tudo[[#This Row],[Médico]]&amp;" ("&amp;Tabela_tudo[[#This Row],[Obs]]&amp;")"</f>
        <v>HEN ()</v>
      </c>
    </row>
    <row r="3724" spans="1:14" x14ac:dyDescent="0.3">
      <c r="A3724" s="1">
        <v>45364</v>
      </c>
      <c r="B3724" t="s">
        <v>25</v>
      </c>
      <c r="C3724" t="s">
        <v>455</v>
      </c>
      <c r="D3724" s="8"/>
      <c r="E3724" s="8"/>
      <c r="L3724" t="s">
        <v>563</v>
      </c>
      <c r="M3724" t="s">
        <v>478</v>
      </c>
      <c r="N3724" t="str">
        <f>Tabela_tudo[[#This Row],[Médico]]&amp;" ("&amp;Tabela_tudo[[#This Row],[Obs]]&amp;")"</f>
        <v>HEN ()</v>
      </c>
    </row>
    <row r="3725" spans="1:14" x14ac:dyDescent="0.3">
      <c r="A3725" s="1">
        <v>45644</v>
      </c>
      <c r="B3725" t="s">
        <v>25</v>
      </c>
      <c r="C3725" t="s">
        <v>455</v>
      </c>
      <c r="D3725" s="8"/>
      <c r="E3725" s="8"/>
      <c r="L3725" t="s">
        <v>563</v>
      </c>
      <c r="M3725" t="s">
        <v>478</v>
      </c>
      <c r="N3725" t="str">
        <f>Tabela_tudo[[#This Row],[Médico]]&amp;" ("&amp;Tabela_tudo[[#This Row],[Obs]]&amp;")"</f>
        <v>HEN ()</v>
      </c>
    </row>
    <row r="3726" spans="1:14" x14ac:dyDescent="0.3">
      <c r="A3726" s="1">
        <v>45196</v>
      </c>
      <c r="B3726" t="s">
        <v>333</v>
      </c>
      <c r="C3726" t="s">
        <v>455</v>
      </c>
      <c r="D3726" s="8"/>
      <c r="E3726" s="8"/>
      <c r="L3726" t="s">
        <v>563</v>
      </c>
      <c r="M3726" t="s">
        <v>478</v>
      </c>
      <c r="N3726" t="str">
        <f>Tabela_tudo[[#This Row],[Médico]]&amp;" ("&amp;Tabela_tudo[[#This Row],[Obs]]&amp;")"</f>
        <v>COR ()</v>
      </c>
    </row>
    <row r="3727" spans="1:14" x14ac:dyDescent="0.3">
      <c r="A3727" s="1">
        <v>45189</v>
      </c>
      <c r="B3727" t="s">
        <v>333</v>
      </c>
      <c r="C3727" t="s">
        <v>455</v>
      </c>
      <c r="D3727" s="8"/>
      <c r="E3727" s="8"/>
      <c r="L3727" t="s">
        <v>563</v>
      </c>
      <c r="M3727" t="s">
        <v>478</v>
      </c>
      <c r="N3727" t="str">
        <f>Tabela_tudo[[#This Row],[Médico]]&amp;" ("&amp;Tabela_tudo[[#This Row],[Obs]]&amp;")"</f>
        <v>COR ()</v>
      </c>
    </row>
    <row r="3728" spans="1:14" x14ac:dyDescent="0.3">
      <c r="A3728" s="1">
        <v>45182</v>
      </c>
      <c r="B3728" t="s">
        <v>333</v>
      </c>
      <c r="C3728" t="s">
        <v>455</v>
      </c>
      <c r="D3728" s="8"/>
      <c r="E3728" s="8"/>
      <c r="L3728" t="s">
        <v>563</v>
      </c>
      <c r="M3728" t="s">
        <v>478</v>
      </c>
      <c r="N3728" t="str">
        <f>Tabela_tudo[[#This Row],[Médico]]&amp;" ("&amp;Tabela_tudo[[#This Row],[Obs]]&amp;")"</f>
        <v>COR ()</v>
      </c>
    </row>
    <row r="3729" spans="1:14" x14ac:dyDescent="0.3">
      <c r="A3729" s="1">
        <v>45203</v>
      </c>
      <c r="B3729" t="s">
        <v>333</v>
      </c>
      <c r="C3729" t="s">
        <v>455</v>
      </c>
      <c r="D3729" s="8"/>
      <c r="E3729" s="8"/>
      <c r="L3729" t="s">
        <v>563</v>
      </c>
      <c r="M3729" t="s">
        <v>478</v>
      </c>
      <c r="N3729" t="str">
        <f>Tabela_tudo[[#This Row],[Médico]]&amp;" ("&amp;Tabela_tudo[[#This Row],[Obs]]&amp;")"</f>
        <v>COR ()</v>
      </c>
    </row>
    <row r="3730" spans="1:14" x14ac:dyDescent="0.3">
      <c r="A3730" s="1">
        <v>45224</v>
      </c>
      <c r="B3730" t="s">
        <v>333</v>
      </c>
      <c r="C3730" t="s">
        <v>455</v>
      </c>
      <c r="D3730" s="8"/>
      <c r="E3730" s="8"/>
      <c r="L3730" t="s">
        <v>563</v>
      </c>
      <c r="M3730" t="s">
        <v>478</v>
      </c>
      <c r="N3730" t="str">
        <f>Tabela_tudo[[#This Row],[Médico]]&amp;" ("&amp;Tabela_tudo[[#This Row],[Obs]]&amp;")"</f>
        <v>COR ()</v>
      </c>
    </row>
    <row r="3731" spans="1:14" x14ac:dyDescent="0.3">
      <c r="A3731" s="1">
        <v>45217</v>
      </c>
      <c r="B3731" t="s">
        <v>333</v>
      </c>
      <c r="C3731" t="s">
        <v>455</v>
      </c>
      <c r="D3731" s="8"/>
      <c r="E3731" s="8"/>
      <c r="L3731" t="s">
        <v>563</v>
      </c>
      <c r="M3731" t="s">
        <v>478</v>
      </c>
      <c r="N3731" t="str">
        <f>Tabela_tudo[[#This Row],[Médico]]&amp;" ("&amp;Tabela_tudo[[#This Row],[Obs]]&amp;")"</f>
        <v>COR ()</v>
      </c>
    </row>
    <row r="3732" spans="1:14" x14ac:dyDescent="0.3">
      <c r="A3732" s="1">
        <v>45210</v>
      </c>
      <c r="B3732" t="s">
        <v>333</v>
      </c>
      <c r="C3732" t="s">
        <v>455</v>
      </c>
      <c r="D3732" s="8"/>
      <c r="E3732" s="8"/>
      <c r="L3732" t="s">
        <v>563</v>
      </c>
      <c r="M3732" t="s">
        <v>478</v>
      </c>
      <c r="N3732" t="str">
        <f>Tabela_tudo[[#This Row],[Médico]]&amp;" ("&amp;Tabela_tudo[[#This Row],[Obs]]&amp;")"</f>
        <v>COR ()</v>
      </c>
    </row>
    <row r="3733" spans="1:14" x14ac:dyDescent="0.3">
      <c r="A3733" s="1">
        <v>45147</v>
      </c>
      <c r="B3733" t="s">
        <v>333</v>
      </c>
      <c r="C3733" t="s">
        <v>455</v>
      </c>
      <c r="D3733" s="8"/>
      <c r="E3733" s="8"/>
      <c r="L3733" t="s">
        <v>563</v>
      </c>
      <c r="M3733" t="s">
        <v>478</v>
      </c>
      <c r="N3733" t="str">
        <f>Tabela_tudo[[#This Row],[Médico]]&amp;" ("&amp;Tabela_tudo[[#This Row],[Obs]]&amp;")"</f>
        <v>COR ()</v>
      </c>
    </row>
    <row r="3734" spans="1:14" x14ac:dyDescent="0.3">
      <c r="A3734" s="1">
        <v>45140</v>
      </c>
      <c r="B3734" t="s">
        <v>333</v>
      </c>
      <c r="C3734" t="s">
        <v>455</v>
      </c>
      <c r="D3734" s="8"/>
      <c r="E3734" s="8"/>
      <c r="L3734" t="s">
        <v>563</v>
      </c>
      <c r="M3734" t="s">
        <v>478</v>
      </c>
      <c r="N3734" t="str">
        <f>Tabela_tudo[[#This Row],[Médico]]&amp;" ("&amp;Tabela_tudo[[#This Row],[Obs]]&amp;")"</f>
        <v>COR ()</v>
      </c>
    </row>
    <row r="3735" spans="1:14" x14ac:dyDescent="0.3">
      <c r="A3735" s="1">
        <v>45133</v>
      </c>
      <c r="B3735" t="s">
        <v>333</v>
      </c>
      <c r="C3735" t="s">
        <v>455</v>
      </c>
      <c r="D3735" s="8"/>
      <c r="E3735" s="8"/>
      <c r="L3735" t="s">
        <v>563</v>
      </c>
      <c r="M3735" t="s">
        <v>478</v>
      </c>
      <c r="N3735" t="str">
        <f>Tabela_tudo[[#This Row],[Médico]]&amp;" ("&amp;Tabela_tudo[[#This Row],[Obs]]&amp;")"</f>
        <v>COR ()</v>
      </c>
    </row>
    <row r="3736" spans="1:14" x14ac:dyDescent="0.3">
      <c r="A3736" s="1">
        <v>45154</v>
      </c>
      <c r="B3736" t="s">
        <v>333</v>
      </c>
      <c r="C3736" t="s">
        <v>455</v>
      </c>
      <c r="D3736" s="8"/>
      <c r="E3736" s="8"/>
      <c r="L3736" t="s">
        <v>563</v>
      </c>
      <c r="M3736" t="s">
        <v>478</v>
      </c>
      <c r="N3736" t="str">
        <f>Tabela_tudo[[#This Row],[Médico]]&amp;" ("&amp;Tabela_tudo[[#This Row],[Obs]]&amp;")"</f>
        <v>COR ()</v>
      </c>
    </row>
    <row r="3737" spans="1:14" x14ac:dyDescent="0.3">
      <c r="A3737" s="1">
        <v>45175</v>
      </c>
      <c r="B3737" t="s">
        <v>333</v>
      </c>
      <c r="C3737" t="s">
        <v>455</v>
      </c>
      <c r="D3737" s="8"/>
      <c r="E3737" s="8"/>
      <c r="L3737" t="s">
        <v>563</v>
      </c>
      <c r="M3737" t="s">
        <v>478</v>
      </c>
      <c r="N3737" t="str">
        <f>Tabela_tudo[[#This Row],[Médico]]&amp;" ("&amp;Tabela_tudo[[#This Row],[Obs]]&amp;")"</f>
        <v>COR ()</v>
      </c>
    </row>
    <row r="3738" spans="1:14" x14ac:dyDescent="0.3">
      <c r="A3738" s="1">
        <v>45168</v>
      </c>
      <c r="B3738" t="s">
        <v>333</v>
      </c>
      <c r="C3738" t="s">
        <v>455</v>
      </c>
      <c r="D3738" s="8"/>
      <c r="E3738" s="8"/>
      <c r="L3738" t="s">
        <v>563</v>
      </c>
      <c r="M3738" t="s">
        <v>478</v>
      </c>
      <c r="N3738" t="str">
        <f>Tabela_tudo[[#This Row],[Médico]]&amp;" ("&amp;Tabela_tudo[[#This Row],[Obs]]&amp;")"</f>
        <v>COR ()</v>
      </c>
    </row>
    <row r="3739" spans="1:14" x14ac:dyDescent="0.3">
      <c r="A3739" s="1">
        <v>45161</v>
      </c>
      <c r="B3739" t="s">
        <v>333</v>
      </c>
      <c r="C3739" t="s">
        <v>455</v>
      </c>
      <c r="D3739" s="8"/>
      <c r="E3739" s="8"/>
      <c r="L3739" t="s">
        <v>563</v>
      </c>
      <c r="M3739" t="s">
        <v>478</v>
      </c>
      <c r="N3739" t="str">
        <f>Tabela_tudo[[#This Row],[Médico]]&amp;" ("&amp;Tabela_tudo[[#This Row],[Obs]]&amp;")"</f>
        <v>COR ()</v>
      </c>
    </row>
    <row r="3740" spans="1:14" x14ac:dyDescent="0.3">
      <c r="A3740" s="1">
        <v>45231</v>
      </c>
      <c r="B3740" t="s">
        <v>333</v>
      </c>
      <c r="C3740" t="s">
        <v>455</v>
      </c>
      <c r="D3740" s="8"/>
      <c r="E3740" s="8"/>
      <c r="L3740" t="s">
        <v>563</v>
      </c>
      <c r="M3740" t="s">
        <v>478</v>
      </c>
      <c r="N3740" t="str">
        <f>Tabela_tudo[[#This Row],[Médico]]&amp;" ("&amp;Tabela_tudo[[#This Row],[Obs]]&amp;")"</f>
        <v>COR ()</v>
      </c>
    </row>
    <row r="3741" spans="1:14" x14ac:dyDescent="0.3">
      <c r="A3741" s="1">
        <v>45301</v>
      </c>
      <c r="B3741" t="s">
        <v>333</v>
      </c>
      <c r="C3741" t="s">
        <v>455</v>
      </c>
      <c r="D3741" s="8"/>
      <c r="E3741" s="8"/>
      <c r="L3741" t="s">
        <v>563</v>
      </c>
      <c r="M3741" t="s">
        <v>478</v>
      </c>
      <c r="N3741" t="str">
        <f>Tabela_tudo[[#This Row],[Médico]]&amp;" ("&amp;Tabela_tudo[[#This Row],[Obs]]&amp;")"</f>
        <v>COR ()</v>
      </c>
    </row>
    <row r="3742" spans="1:14" x14ac:dyDescent="0.3">
      <c r="A3742" s="1">
        <v>45294</v>
      </c>
      <c r="B3742" t="s">
        <v>333</v>
      </c>
      <c r="C3742" t="s">
        <v>455</v>
      </c>
      <c r="D3742" s="8"/>
      <c r="E3742" s="8"/>
      <c r="L3742" t="s">
        <v>563</v>
      </c>
      <c r="M3742" t="s">
        <v>478</v>
      </c>
      <c r="N3742" t="str">
        <f>Tabela_tudo[[#This Row],[Médico]]&amp;" ("&amp;Tabela_tudo[[#This Row],[Obs]]&amp;")"</f>
        <v>COR ()</v>
      </c>
    </row>
    <row r="3743" spans="1:14" x14ac:dyDescent="0.3">
      <c r="A3743" s="1">
        <v>45287</v>
      </c>
      <c r="B3743" t="s">
        <v>333</v>
      </c>
      <c r="C3743" t="s">
        <v>455</v>
      </c>
      <c r="D3743" s="8"/>
      <c r="E3743" s="8"/>
      <c r="L3743" t="s">
        <v>563</v>
      </c>
      <c r="M3743" t="s">
        <v>478</v>
      </c>
      <c r="N3743" t="str">
        <f>Tabela_tudo[[#This Row],[Médico]]&amp;" ("&amp;Tabela_tudo[[#This Row],[Obs]]&amp;")"</f>
        <v>COR ()</v>
      </c>
    </row>
    <row r="3744" spans="1:14" x14ac:dyDescent="0.3">
      <c r="A3744" s="1">
        <v>45308</v>
      </c>
      <c r="B3744" t="s">
        <v>333</v>
      </c>
      <c r="C3744" t="s">
        <v>455</v>
      </c>
      <c r="D3744" s="8"/>
      <c r="E3744" s="8"/>
      <c r="L3744" t="s">
        <v>563</v>
      </c>
      <c r="M3744" t="s">
        <v>478</v>
      </c>
      <c r="N3744" t="str">
        <f>Tabela_tudo[[#This Row],[Médico]]&amp;" ("&amp;Tabela_tudo[[#This Row],[Obs]]&amp;")"</f>
        <v>COR ()</v>
      </c>
    </row>
    <row r="3745" spans="1:14" x14ac:dyDescent="0.3">
      <c r="A3745" s="1">
        <v>45329</v>
      </c>
      <c r="B3745" t="s">
        <v>333</v>
      </c>
      <c r="C3745" t="s">
        <v>455</v>
      </c>
      <c r="D3745" s="8"/>
      <c r="E3745" s="8"/>
      <c r="L3745" t="s">
        <v>563</v>
      </c>
      <c r="M3745" t="s">
        <v>478</v>
      </c>
      <c r="N3745" t="str">
        <f>Tabela_tudo[[#This Row],[Médico]]&amp;" ("&amp;Tabela_tudo[[#This Row],[Obs]]&amp;")"</f>
        <v>COR ()</v>
      </c>
    </row>
    <row r="3746" spans="1:14" x14ac:dyDescent="0.3">
      <c r="A3746" s="1">
        <v>45322</v>
      </c>
      <c r="B3746" t="s">
        <v>333</v>
      </c>
      <c r="C3746" t="s">
        <v>455</v>
      </c>
      <c r="D3746" s="8"/>
      <c r="E3746" s="8"/>
      <c r="L3746" t="s">
        <v>563</v>
      </c>
      <c r="M3746" t="s">
        <v>478</v>
      </c>
      <c r="N3746" t="str">
        <f>Tabela_tudo[[#This Row],[Médico]]&amp;" ("&amp;Tabela_tudo[[#This Row],[Obs]]&amp;")"</f>
        <v>COR ()</v>
      </c>
    </row>
    <row r="3747" spans="1:14" x14ac:dyDescent="0.3">
      <c r="A3747" s="1">
        <v>45315</v>
      </c>
      <c r="B3747" t="s">
        <v>333</v>
      </c>
      <c r="C3747" t="s">
        <v>455</v>
      </c>
      <c r="D3747" s="8"/>
      <c r="E3747" s="8"/>
      <c r="L3747" t="s">
        <v>563</v>
      </c>
      <c r="M3747" t="s">
        <v>478</v>
      </c>
      <c r="N3747" t="str">
        <f>Tabela_tudo[[#This Row],[Médico]]&amp;" ("&amp;Tabela_tudo[[#This Row],[Obs]]&amp;")"</f>
        <v>COR ()</v>
      </c>
    </row>
    <row r="3748" spans="1:14" x14ac:dyDescent="0.3">
      <c r="A3748" s="1">
        <v>45252</v>
      </c>
      <c r="B3748" t="s">
        <v>333</v>
      </c>
      <c r="C3748" t="s">
        <v>455</v>
      </c>
      <c r="D3748" s="8"/>
      <c r="E3748" s="8"/>
      <c r="L3748" t="s">
        <v>563</v>
      </c>
      <c r="M3748" t="s">
        <v>478</v>
      </c>
      <c r="N3748" t="str">
        <f>Tabela_tudo[[#This Row],[Médico]]&amp;" ("&amp;Tabela_tudo[[#This Row],[Obs]]&amp;")"</f>
        <v>COR ()</v>
      </c>
    </row>
    <row r="3749" spans="1:14" x14ac:dyDescent="0.3">
      <c r="A3749" s="1">
        <v>45245</v>
      </c>
      <c r="B3749" t="s">
        <v>333</v>
      </c>
      <c r="C3749" t="s">
        <v>455</v>
      </c>
      <c r="D3749" s="8"/>
      <c r="E3749" s="8"/>
      <c r="L3749" t="s">
        <v>563</v>
      </c>
      <c r="M3749" t="s">
        <v>478</v>
      </c>
      <c r="N3749" t="str">
        <f>Tabela_tudo[[#This Row],[Médico]]&amp;" ("&amp;Tabela_tudo[[#This Row],[Obs]]&amp;")"</f>
        <v>COR ()</v>
      </c>
    </row>
    <row r="3750" spans="1:14" x14ac:dyDescent="0.3">
      <c r="A3750" s="1">
        <v>45238</v>
      </c>
      <c r="B3750" t="s">
        <v>333</v>
      </c>
      <c r="C3750" t="s">
        <v>455</v>
      </c>
      <c r="D3750" s="8"/>
      <c r="E3750" s="8"/>
      <c r="L3750" t="s">
        <v>563</v>
      </c>
      <c r="M3750" t="s">
        <v>478</v>
      </c>
      <c r="N3750" t="str">
        <f>Tabela_tudo[[#This Row],[Médico]]&amp;" ("&amp;Tabela_tudo[[#This Row],[Obs]]&amp;")"</f>
        <v>COR ()</v>
      </c>
    </row>
    <row r="3751" spans="1:14" x14ac:dyDescent="0.3">
      <c r="A3751" s="1">
        <v>45259</v>
      </c>
      <c r="B3751" t="s">
        <v>333</v>
      </c>
      <c r="C3751" t="s">
        <v>455</v>
      </c>
      <c r="D3751" s="8"/>
      <c r="E3751" s="8"/>
      <c r="L3751" t="s">
        <v>563</v>
      </c>
      <c r="M3751" t="s">
        <v>478</v>
      </c>
      <c r="N3751" t="str">
        <f>Tabela_tudo[[#This Row],[Médico]]&amp;" ("&amp;Tabela_tudo[[#This Row],[Obs]]&amp;")"</f>
        <v>COR ()</v>
      </c>
    </row>
    <row r="3752" spans="1:14" x14ac:dyDescent="0.3">
      <c r="A3752" s="1">
        <v>45280</v>
      </c>
      <c r="B3752" t="s">
        <v>333</v>
      </c>
      <c r="C3752" t="s">
        <v>455</v>
      </c>
      <c r="D3752" s="8"/>
      <c r="E3752" s="8"/>
      <c r="L3752" t="s">
        <v>563</v>
      </c>
      <c r="M3752" t="s">
        <v>478</v>
      </c>
      <c r="N3752" t="str">
        <f>Tabela_tudo[[#This Row],[Médico]]&amp;" ("&amp;Tabela_tudo[[#This Row],[Obs]]&amp;")"</f>
        <v>COR ()</v>
      </c>
    </row>
    <row r="3753" spans="1:14" x14ac:dyDescent="0.3">
      <c r="A3753" s="1">
        <v>45273</v>
      </c>
      <c r="B3753" t="s">
        <v>333</v>
      </c>
      <c r="C3753" t="s">
        <v>455</v>
      </c>
      <c r="D3753" s="8"/>
      <c r="E3753" s="8"/>
      <c r="L3753" t="s">
        <v>563</v>
      </c>
      <c r="M3753" t="s">
        <v>478</v>
      </c>
      <c r="N3753" t="str">
        <f>Tabela_tudo[[#This Row],[Médico]]&amp;" ("&amp;Tabela_tudo[[#This Row],[Obs]]&amp;")"</f>
        <v>COR ()</v>
      </c>
    </row>
    <row r="3754" spans="1:14" x14ac:dyDescent="0.3">
      <c r="A3754" s="1">
        <v>45266</v>
      </c>
      <c r="B3754" t="s">
        <v>333</v>
      </c>
      <c r="C3754" t="s">
        <v>455</v>
      </c>
      <c r="D3754" s="8"/>
      <c r="E3754" s="8"/>
      <c r="L3754" t="s">
        <v>563</v>
      </c>
      <c r="M3754" t="s">
        <v>478</v>
      </c>
      <c r="N3754" t="str">
        <f>Tabela_tudo[[#This Row],[Médico]]&amp;" ("&amp;Tabela_tudo[[#This Row],[Obs]]&amp;")"</f>
        <v>COR ()</v>
      </c>
    </row>
    <row r="3755" spans="1:14" x14ac:dyDescent="0.3">
      <c r="A3755" s="1">
        <v>45126</v>
      </c>
      <c r="B3755" t="s">
        <v>333</v>
      </c>
      <c r="C3755" t="s">
        <v>455</v>
      </c>
      <c r="D3755" s="8"/>
      <c r="E3755" s="8"/>
      <c r="L3755" t="s">
        <v>563</v>
      </c>
      <c r="M3755" t="s">
        <v>478</v>
      </c>
      <c r="N3755" t="str">
        <f>Tabela_tudo[[#This Row],[Médico]]&amp;" ("&amp;Tabela_tudo[[#This Row],[Obs]]&amp;")"</f>
        <v>COR ()</v>
      </c>
    </row>
    <row r="3756" spans="1:14" x14ac:dyDescent="0.3">
      <c r="A3756" s="1">
        <v>44986</v>
      </c>
      <c r="B3756" t="s">
        <v>333</v>
      </c>
      <c r="C3756" t="s">
        <v>455</v>
      </c>
      <c r="D3756" s="8"/>
      <c r="E3756" s="8"/>
      <c r="L3756" t="s">
        <v>563</v>
      </c>
      <c r="M3756" t="s">
        <v>478</v>
      </c>
      <c r="N3756" t="str">
        <f>Tabela_tudo[[#This Row],[Médico]]&amp;" ("&amp;Tabela_tudo[[#This Row],[Obs]]&amp;")"</f>
        <v>COR ()</v>
      </c>
    </row>
    <row r="3757" spans="1:14" x14ac:dyDescent="0.3">
      <c r="A3757" s="1">
        <v>44979</v>
      </c>
      <c r="B3757" t="s">
        <v>333</v>
      </c>
      <c r="C3757" t="s">
        <v>455</v>
      </c>
      <c r="D3757" s="8"/>
      <c r="E3757" s="8"/>
      <c r="L3757" t="s">
        <v>563</v>
      </c>
      <c r="M3757" t="s">
        <v>478</v>
      </c>
      <c r="N3757" t="str">
        <f>Tabela_tudo[[#This Row],[Médico]]&amp;" ("&amp;Tabela_tudo[[#This Row],[Obs]]&amp;")"</f>
        <v>COR ()</v>
      </c>
    </row>
    <row r="3758" spans="1:14" x14ac:dyDescent="0.3">
      <c r="A3758" s="1">
        <v>44972</v>
      </c>
      <c r="B3758" t="s">
        <v>333</v>
      </c>
      <c r="C3758" t="s">
        <v>455</v>
      </c>
      <c r="D3758" s="8"/>
      <c r="E3758" s="8"/>
      <c r="L3758" t="s">
        <v>563</v>
      </c>
      <c r="M3758" t="s">
        <v>478</v>
      </c>
      <c r="N3758" t="str">
        <f>Tabela_tudo[[#This Row],[Médico]]&amp;" ("&amp;Tabela_tudo[[#This Row],[Obs]]&amp;")"</f>
        <v>COR ()</v>
      </c>
    </row>
    <row r="3759" spans="1:14" x14ac:dyDescent="0.3">
      <c r="A3759" s="1">
        <v>44993</v>
      </c>
      <c r="B3759" t="s">
        <v>333</v>
      </c>
      <c r="C3759" t="s">
        <v>455</v>
      </c>
      <c r="D3759" s="8"/>
      <c r="E3759" s="8"/>
      <c r="L3759" t="s">
        <v>563</v>
      </c>
      <c r="M3759" t="s">
        <v>478</v>
      </c>
      <c r="N3759" t="str">
        <f>Tabela_tudo[[#This Row],[Médico]]&amp;" ("&amp;Tabela_tudo[[#This Row],[Obs]]&amp;")"</f>
        <v>COR ()</v>
      </c>
    </row>
    <row r="3760" spans="1:14" x14ac:dyDescent="0.3">
      <c r="A3760" s="1">
        <v>45014</v>
      </c>
      <c r="B3760" t="s">
        <v>333</v>
      </c>
      <c r="C3760" t="s">
        <v>455</v>
      </c>
      <c r="D3760" s="8"/>
      <c r="E3760" s="8"/>
      <c r="L3760" t="s">
        <v>563</v>
      </c>
      <c r="M3760" t="s">
        <v>478</v>
      </c>
      <c r="N3760" t="str">
        <f>Tabela_tudo[[#This Row],[Médico]]&amp;" ("&amp;Tabela_tudo[[#This Row],[Obs]]&amp;")"</f>
        <v>COR ()</v>
      </c>
    </row>
    <row r="3761" spans="1:14" x14ac:dyDescent="0.3">
      <c r="A3761" s="1">
        <v>45007</v>
      </c>
      <c r="B3761" t="s">
        <v>333</v>
      </c>
      <c r="C3761" t="s">
        <v>455</v>
      </c>
      <c r="D3761" s="8"/>
      <c r="E3761" s="8"/>
      <c r="L3761" t="s">
        <v>563</v>
      </c>
      <c r="M3761" t="s">
        <v>478</v>
      </c>
      <c r="N3761" t="str">
        <f>Tabela_tudo[[#This Row],[Médico]]&amp;" ("&amp;Tabela_tudo[[#This Row],[Obs]]&amp;")"</f>
        <v>COR ()</v>
      </c>
    </row>
    <row r="3762" spans="1:14" x14ac:dyDescent="0.3">
      <c r="A3762" s="1">
        <v>45000</v>
      </c>
      <c r="B3762" t="s">
        <v>333</v>
      </c>
      <c r="C3762" t="s">
        <v>455</v>
      </c>
      <c r="D3762" s="8"/>
      <c r="E3762" s="8"/>
      <c r="L3762" t="s">
        <v>563</v>
      </c>
      <c r="M3762" t="s">
        <v>478</v>
      </c>
      <c r="N3762" t="str">
        <f>Tabela_tudo[[#This Row],[Médico]]&amp;" ("&amp;Tabela_tudo[[#This Row],[Obs]]&amp;")"</f>
        <v>COR ()</v>
      </c>
    </row>
    <row r="3763" spans="1:14" x14ac:dyDescent="0.3">
      <c r="A3763" s="1">
        <v>44937</v>
      </c>
      <c r="B3763" t="s">
        <v>333</v>
      </c>
      <c r="C3763" t="s">
        <v>455</v>
      </c>
      <c r="D3763" s="8"/>
      <c r="E3763" s="8"/>
      <c r="L3763" t="s">
        <v>563</v>
      </c>
      <c r="M3763" t="s">
        <v>478</v>
      </c>
      <c r="N3763" t="str">
        <f>Tabela_tudo[[#This Row],[Médico]]&amp;" ("&amp;Tabela_tudo[[#This Row],[Obs]]&amp;")"</f>
        <v>COR ()</v>
      </c>
    </row>
    <row r="3764" spans="1:14" x14ac:dyDescent="0.3">
      <c r="A3764" s="1">
        <v>44930</v>
      </c>
      <c r="B3764" t="s">
        <v>333</v>
      </c>
      <c r="C3764" t="s">
        <v>455</v>
      </c>
      <c r="D3764" s="8"/>
      <c r="E3764" s="8"/>
      <c r="L3764" t="s">
        <v>563</v>
      </c>
      <c r="M3764" t="s">
        <v>478</v>
      </c>
      <c r="N3764" t="str">
        <f>Tabela_tudo[[#This Row],[Médico]]&amp;" ("&amp;Tabela_tudo[[#This Row],[Obs]]&amp;")"</f>
        <v>COR ()</v>
      </c>
    </row>
    <row r="3765" spans="1:14" x14ac:dyDescent="0.3">
      <c r="A3765" s="1">
        <v>45651</v>
      </c>
      <c r="B3765" t="s">
        <v>25</v>
      </c>
      <c r="C3765" t="s">
        <v>455</v>
      </c>
      <c r="D3765" s="8"/>
      <c r="E3765" s="8"/>
      <c r="L3765" t="s">
        <v>563</v>
      </c>
      <c r="M3765" t="s">
        <v>478</v>
      </c>
      <c r="N3765" t="str">
        <f>Tabela_tudo[[#This Row],[Médico]]&amp;" ("&amp;Tabela_tudo[[#This Row],[Obs]]&amp;")"</f>
        <v>HEN ()</v>
      </c>
    </row>
    <row r="3766" spans="1:14" x14ac:dyDescent="0.3">
      <c r="A3766" s="1">
        <v>44944</v>
      </c>
      <c r="B3766" t="s">
        <v>333</v>
      </c>
      <c r="C3766" t="s">
        <v>455</v>
      </c>
      <c r="D3766" s="8"/>
      <c r="E3766" s="8"/>
      <c r="L3766" t="s">
        <v>563</v>
      </c>
      <c r="M3766" t="s">
        <v>478</v>
      </c>
      <c r="N3766" t="str">
        <f>Tabela_tudo[[#This Row],[Médico]]&amp;" ("&amp;Tabela_tudo[[#This Row],[Obs]]&amp;")"</f>
        <v>COR ()</v>
      </c>
    </row>
    <row r="3767" spans="1:14" x14ac:dyDescent="0.3">
      <c r="A3767" s="1">
        <v>44965</v>
      </c>
      <c r="B3767" t="s">
        <v>333</v>
      </c>
      <c r="C3767" t="s">
        <v>455</v>
      </c>
      <c r="D3767" s="8"/>
      <c r="E3767" s="8"/>
      <c r="L3767" t="s">
        <v>563</v>
      </c>
      <c r="M3767" t="s">
        <v>478</v>
      </c>
      <c r="N3767" t="str">
        <f>Tabela_tudo[[#This Row],[Médico]]&amp;" ("&amp;Tabela_tudo[[#This Row],[Obs]]&amp;")"</f>
        <v>COR ()</v>
      </c>
    </row>
    <row r="3768" spans="1:14" x14ac:dyDescent="0.3">
      <c r="A3768" s="1">
        <v>44958</v>
      </c>
      <c r="B3768" t="s">
        <v>333</v>
      </c>
      <c r="C3768" t="s">
        <v>455</v>
      </c>
      <c r="D3768" s="8"/>
      <c r="E3768" s="8"/>
      <c r="L3768" t="s">
        <v>563</v>
      </c>
      <c r="M3768" t="s">
        <v>478</v>
      </c>
      <c r="N3768" t="str">
        <f>Tabela_tudo[[#This Row],[Médico]]&amp;" ("&amp;Tabela_tudo[[#This Row],[Obs]]&amp;")"</f>
        <v>COR ()</v>
      </c>
    </row>
    <row r="3769" spans="1:14" x14ac:dyDescent="0.3">
      <c r="A3769" s="1">
        <v>44951</v>
      </c>
      <c r="B3769" t="s">
        <v>333</v>
      </c>
      <c r="C3769" t="s">
        <v>455</v>
      </c>
      <c r="D3769" s="8"/>
      <c r="E3769" s="8"/>
      <c r="L3769" t="s">
        <v>563</v>
      </c>
      <c r="M3769" t="s">
        <v>478</v>
      </c>
      <c r="N3769" t="str">
        <f>Tabela_tudo[[#This Row],[Médico]]&amp;" ("&amp;Tabela_tudo[[#This Row],[Obs]]&amp;")"</f>
        <v>COR ()</v>
      </c>
    </row>
    <row r="3770" spans="1:14" x14ac:dyDescent="0.3">
      <c r="A3770" s="1">
        <v>45021</v>
      </c>
      <c r="B3770" t="s">
        <v>333</v>
      </c>
      <c r="C3770" t="s">
        <v>455</v>
      </c>
      <c r="D3770" s="8"/>
      <c r="E3770" s="8"/>
      <c r="L3770" t="s">
        <v>563</v>
      </c>
      <c r="M3770" t="s">
        <v>478</v>
      </c>
      <c r="N3770" t="str">
        <f>Tabela_tudo[[#This Row],[Médico]]&amp;" ("&amp;Tabela_tudo[[#This Row],[Obs]]&amp;")"</f>
        <v>COR ()</v>
      </c>
    </row>
    <row r="3771" spans="1:14" x14ac:dyDescent="0.3">
      <c r="A3771" s="1">
        <v>45091</v>
      </c>
      <c r="B3771" t="s">
        <v>333</v>
      </c>
      <c r="C3771" t="s">
        <v>455</v>
      </c>
      <c r="D3771" s="8"/>
      <c r="E3771" s="8"/>
      <c r="L3771" t="s">
        <v>563</v>
      </c>
      <c r="M3771" t="s">
        <v>478</v>
      </c>
      <c r="N3771" t="str">
        <f>Tabela_tudo[[#This Row],[Médico]]&amp;" ("&amp;Tabela_tudo[[#This Row],[Obs]]&amp;")"</f>
        <v>COR ()</v>
      </c>
    </row>
    <row r="3772" spans="1:14" x14ac:dyDescent="0.3">
      <c r="A3772" s="1">
        <v>45084</v>
      </c>
      <c r="B3772" t="s">
        <v>333</v>
      </c>
      <c r="C3772" t="s">
        <v>455</v>
      </c>
      <c r="D3772" s="8"/>
      <c r="E3772" s="8"/>
      <c r="L3772" t="s">
        <v>563</v>
      </c>
      <c r="M3772" t="s">
        <v>478</v>
      </c>
      <c r="N3772" t="str">
        <f>Tabela_tudo[[#This Row],[Médico]]&amp;" ("&amp;Tabela_tudo[[#This Row],[Obs]]&amp;")"</f>
        <v>COR ()</v>
      </c>
    </row>
    <row r="3773" spans="1:14" x14ac:dyDescent="0.3">
      <c r="A3773" s="1">
        <v>45077</v>
      </c>
      <c r="B3773" t="s">
        <v>333</v>
      </c>
      <c r="C3773" t="s">
        <v>455</v>
      </c>
      <c r="D3773" s="8"/>
      <c r="E3773" s="8"/>
      <c r="L3773" t="s">
        <v>563</v>
      </c>
      <c r="M3773" t="s">
        <v>478</v>
      </c>
      <c r="N3773" t="str">
        <f>Tabela_tudo[[#This Row],[Médico]]&amp;" ("&amp;Tabela_tudo[[#This Row],[Obs]]&amp;")"</f>
        <v>COR ()</v>
      </c>
    </row>
    <row r="3774" spans="1:14" x14ac:dyDescent="0.3">
      <c r="A3774" s="1">
        <v>45098</v>
      </c>
      <c r="B3774" t="s">
        <v>333</v>
      </c>
      <c r="C3774" t="s">
        <v>455</v>
      </c>
      <c r="D3774" s="8"/>
      <c r="E3774" s="8"/>
      <c r="L3774" t="s">
        <v>563</v>
      </c>
      <c r="M3774" t="s">
        <v>478</v>
      </c>
      <c r="N3774" t="str">
        <f>Tabela_tudo[[#This Row],[Médico]]&amp;" ("&amp;Tabela_tudo[[#This Row],[Obs]]&amp;")"</f>
        <v>COR ()</v>
      </c>
    </row>
    <row r="3775" spans="1:14" x14ac:dyDescent="0.3">
      <c r="A3775" s="1">
        <v>45119</v>
      </c>
      <c r="B3775" t="s">
        <v>333</v>
      </c>
      <c r="C3775" t="s">
        <v>455</v>
      </c>
      <c r="D3775" s="8"/>
      <c r="E3775" s="8"/>
      <c r="L3775" t="s">
        <v>563</v>
      </c>
      <c r="M3775" t="s">
        <v>478</v>
      </c>
      <c r="N3775" t="str">
        <f>Tabela_tudo[[#This Row],[Médico]]&amp;" ("&amp;Tabela_tudo[[#This Row],[Obs]]&amp;")"</f>
        <v>COR ()</v>
      </c>
    </row>
    <row r="3776" spans="1:14" x14ac:dyDescent="0.3">
      <c r="A3776" s="1">
        <v>45112</v>
      </c>
      <c r="B3776" t="s">
        <v>333</v>
      </c>
      <c r="C3776" t="s">
        <v>455</v>
      </c>
      <c r="D3776" s="8"/>
      <c r="E3776" s="8"/>
      <c r="L3776" t="s">
        <v>563</v>
      </c>
      <c r="M3776" t="s">
        <v>478</v>
      </c>
      <c r="N3776" t="str">
        <f>Tabela_tudo[[#This Row],[Médico]]&amp;" ("&amp;Tabela_tudo[[#This Row],[Obs]]&amp;")"</f>
        <v>COR ()</v>
      </c>
    </row>
    <row r="3777" spans="1:14" x14ac:dyDescent="0.3">
      <c r="A3777" s="1">
        <v>45105</v>
      </c>
      <c r="B3777" t="s">
        <v>333</v>
      </c>
      <c r="C3777" t="s">
        <v>455</v>
      </c>
      <c r="D3777" s="8"/>
      <c r="E3777" s="8"/>
      <c r="L3777" t="s">
        <v>563</v>
      </c>
      <c r="M3777" t="s">
        <v>478</v>
      </c>
      <c r="N3777" t="str">
        <f>Tabela_tudo[[#This Row],[Médico]]&amp;" ("&amp;Tabela_tudo[[#This Row],[Obs]]&amp;")"</f>
        <v>COR ()</v>
      </c>
    </row>
    <row r="3778" spans="1:14" x14ac:dyDescent="0.3">
      <c r="A3778" s="1">
        <v>45042</v>
      </c>
      <c r="B3778" t="s">
        <v>333</v>
      </c>
      <c r="C3778" t="s">
        <v>455</v>
      </c>
      <c r="D3778" s="8"/>
      <c r="E3778" s="8"/>
      <c r="L3778" t="s">
        <v>563</v>
      </c>
      <c r="M3778" t="s">
        <v>478</v>
      </c>
      <c r="N3778" t="str">
        <f>Tabela_tudo[[#This Row],[Médico]]&amp;" ("&amp;Tabela_tudo[[#This Row],[Obs]]&amp;")"</f>
        <v>COR ()</v>
      </c>
    </row>
    <row r="3779" spans="1:14" x14ac:dyDescent="0.3">
      <c r="A3779" s="1">
        <v>45035</v>
      </c>
      <c r="B3779" t="s">
        <v>333</v>
      </c>
      <c r="C3779" t="s">
        <v>455</v>
      </c>
      <c r="D3779" s="8"/>
      <c r="E3779" s="8"/>
      <c r="L3779" t="s">
        <v>563</v>
      </c>
      <c r="M3779" t="s">
        <v>478</v>
      </c>
      <c r="N3779" t="str">
        <f>Tabela_tudo[[#This Row],[Médico]]&amp;" ("&amp;Tabela_tudo[[#This Row],[Obs]]&amp;")"</f>
        <v>COR ()</v>
      </c>
    </row>
    <row r="3780" spans="1:14" x14ac:dyDescent="0.3">
      <c r="A3780" s="1">
        <v>45028</v>
      </c>
      <c r="B3780" t="s">
        <v>333</v>
      </c>
      <c r="C3780" t="s">
        <v>455</v>
      </c>
      <c r="D3780" s="8"/>
      <c r="E3780" s="8"/>
      <c r="L3780" t="s">
        <v>563</v>
      </c>
      <c r="M3780" t="s">
        <v>478</v>
      </c>
      <c r="N3780" t="str">
        <f>Tabela_tudo[[#This Row],[Médico]]&amp;" ("&amp;Tabela_tudo[[#This Row],[Obs]]&amp;")"</f>
        <v>COR ()</v>
      </c>
    </row>
    <row r="3781" spans="1:14" x14ac:dyDescent="0.3">
      <c r="A3781" s="1">
        <v>45049</v>
      </c>
      <c r="B3781" t="s">
        <v>333</v>
      </c>
      <c r="C3781" t="s">
        <v>455</v>
      </c>
      <c r="D3781" s="8"/>
      <c r="E3781" s="8"/>
      <c r="L3781" t="s">
        <v>563</v>
      </c>
      <c r="M3781" t="s">
        <v>478</v>
      </c>
      <c r="N3781" t="str">
        <f>Tabela_tudo[[#This Row],[Médico]]&amp;" ("&amp;Tabela_tudo[[#This Row],[Obs]]&amp;")"</f>
        <v>COR ()</v>
      </c>
    </row>
    <row r="3782" spans="1:14" x14ac:dyDescent="0.3">
      <c r="A3782" s="1">
        <v>45070</v>
      </c>
      <c r="B3782" t="s">
        <v>333</v>
      </c>
      <c r="C3782" t="s">
        <v>455</v>
      </c>
      <c r="D3782" s="8"/>
      <c r="E3782" s="8"/>
      <c r="L3782" t="s">
        <v>563</v>
      </c>
      <c r="M3782" t="s">
        <v>478</v>
      </c>
      <c r="N3782" t="str">
        <f>Tabela_tudo[[#This Row],[Médico]]&amp;" ("&amp;Tabela_tudo[[#This Row],[Obs]]&amp;")"</f>
        <v>COR ()</v>
      </c>
    </row>
    <row r="3783" spans="1:14" x14ac:dyDescent="0.3">
      <c r="A3783" s="1">
        <v>45063</v>
      </c>
      <c r="B3783" t="s">
        <v>333</v>
      </c>
      <c r="C3783" t="s">
        <v>455</v>
      </c>
      <c r="D3783" s="8"/>
      <c r="E3783" s="8"/>
      <c r="L3783" t="s">
        <v>563</v>
      </c>
      <c r="M3783" t="s">
        <v>478</v>
      </c>
      <c r="N3783" t="str">
        <f>Tabela_tudo[[#This Row],[Médico]]&amp;" ("&amp;Tabela_tudo[[#This Row],[Obs]]&amp;")"</f>
        <v>COR ()</v>
      </c>
    </row>
    <row r="3784" spans="1:14" x14ac:dyDescent="0.3">
      <c r="A3784" s="1">
        <v>45056</v>
      </c>
      <c r="B3784" t="s">
        <v>333</v>
      </c>
      <c r="C3784" t="s">
        <v>455</v>
      </c>
      <c r="D3784" s="8"/>
      <c r="E3784" s="8"/>
      <c r="L3784" t="s">
        <v>563</v>
      </c>
      <c r="M3784" t="s">
        <v>478</v>
      </c>
      <c r="N3784" t="str">
        <f>Tabela_tudo[[#This Row],[Médico]]&amp;" ("&amp;Tabela_tudo[[#This Row],[Obs]]&amp;")"</f>
        <v>COR ()</v>
      </c>
    </row>
    <row r="3785" spans="1:14" x14ac:dyDescent="0.3">
      <c r="A3785" s="1">
        <v>45224</v>
      </c>
      <c r="B3785" t="s">
        <v>25</v>
      </c>
      <c r="C3785" t="s">
        <v>455</v>
      </c>
      <c r="D3785" s="8"/>
      <c r="E3785" s="8"/>
      <c r="L3785" t="s">
        <v>563</v>
      </c>
      <c r="M3785" t="s">
        <v>478</v>
      </c>
      <c r="N3785" t="str">
        <f>Tabela_tudo[[#This Row],[Médico]]&amp;" ("&amp;Tabela_tudo[[#This Row],[Obs]]&amp;")"</f>
        <v>HEN ()</v>
      </c>
    </row>
    <row r="3786" spans="1:14" x14ac:dyDescent="0.3">
      <c r="A3786" s="1">
        <v>45385</v>
      </c>
      <c r="B3786" t="s">
        <v>17</v>
      </c>
      <c r="C3786" t="s">
        <v>455</v>
      </c>
      <c r="D3786" s="8"/>
      <c r="E3786" s="8"/>
      <c r="L3786" t="s">
        <v>563</v>
      </c>
      <c r="M3786" t="s">
        <v>478</v>
      </c>
      <c r="N3786" t="str">
        <f>Tabela_tudo[[#This Row],[Médico]]&amp;" ("&amp;Tabela_tudo[[#This Row],[Obs]]&amp;")"</f>
        <v>FAB ()</v>
      </c>
    </row>
    <row r="3787" spans="1:14" x14ac:dyDescent="0.3">
      <c r="A3787" s="1">
        <v>45378</v>
      </c>
      <c r="B3787" t="s">
        <v>17</v>
      </c>
      <c r="C3787" t="s">
        <v>455</v>
      </c>
      <c r="D3787" s="8"/>
      <c r="E3787" s="8"/>
      <c r="L3787" t="s">
        <v>563</v>
      </c>
      <c r="M3787" t="s">
        <v>478</v>
      </c>
      <c r="N3787" t="str">
        <f>Tabela_tudo[[#This Row],[Médico]]&amp;" ("&amp;Tabela_tudo[[#This Row],[Obs]]&amp;")"</f>
        <v>FAB ()</v>
      </c>
    </row>
    <row r="3788" spans="1:14" x14ac:dyDescent="0.3">
      <c r="A3788" s="1">
        <v>45371</v>
      </c>
      <c r="B3788" t="s">
        <v>17</v>
      </c>
      <c r="C3788" t="s">
        <v>455</v>
      </c>
      <c r="D3788" s="8"/>
      <c r="E3788" s="8"/>
      <c r="L3788" t="s">
        <v>563</v>
      </c>
      <c r="M3788" t="s">
        <v>478</v>
      </c>
      <c r="N3788" t="str">
        <f>Tabela_tudo[[#This Row],[Médico]]&amp;" ("&amp;Tabela_tudo[[#This Row],[Obs]]&amp;")"</f>
        <v>FAB ()</v>
      </c>
    </row>
    <row r="3789" spans="1:14" x14ac:dyDescent="0.3">
      <c r="A3789" s="1">
        <v>45392</v>
      </c>
      <c r="B3789" t="s">
        <v>17</v>
      </c>
      <c r="C3789" t="s">
        <v>455</v>
      </c>
      <c r="D3789" s="8"/>
      <c r="E3789" s="8"/>
      <c r="L3789" t="s">
        <v>563</v>
      </c>
      <c r="M3789" t="s">
        <v>478</v>
      </c>
      <c r="N3789" t="str">
        <f>Tabela_tudo[[#This Row],[Médico]]&amp;" ("&amp;Tabela_tudo[[#This Row],[Obs]]&amp;")"</f>
        <v>FAB ()</v>
      </c>
    </row>
    <row r="3790" spans="1:14" x14ac:dyDescent="0.3">
      <c r="A3790" s="1">
        <v>45413</v>
      </c>
      <c r="B3790" t="s">
        <v>17</v>
      </c>
      <c r="C3790" t="s">
        <v>455</v>
      </c>
      <c r="D3790" s="8"/>
      <c r="E3790" s="8"/>
      <c r="L3790" t="s">
        <v>563</v>
      </c>
      <c r="M3790" t="s">
        <v>478</v>
      </c>
      <c r="N3790" t="str">
        <f>Tabela_tudo[[#This Row],[Médico]]&amp;" ("&amp;Tabela_tudo[[#This Row],[Obs]]&amp;")"</f>
        <v>FAB ()</v>
      </c>
    </row>
    <row r="3791" spans="1:14" x14ac:dyDescent="0.3">
      <c r="A3791" s="1">
        <v>45406</v>
      </c>
      <c r="B3791" t="s">
        <v>17</v>
      </c>
      <c r="C3791" t="s">
        <v>455</v>
      </c>
      <c r="D3791" s="8"/>
      <c r="E3791" s="8"/>
      <c r="L3791" t="s">
        <v>563</v>
      </c>
      <c r="M3791" t="s">
        <v>478</v>
      </c>
      <c r="N3791" t="str">
        <f>Tabela_tudo[[#This Row],[Médico]]&amp;" ("&amp;Tabela_tudo[[#This Row],[Obs]]&amp;")"</f>
        <v>FAB ()</v>
      </c>
    </row>
    <row r="3792" spans="1:14" x14ac:dyDescent="0.3">
      <c r="A3792" s="1">
        <v>45399</v>
      </c>
      <c r="B3792" t="s">
        <v>17</v>
      </c>
      <c r="C3792" t="s">
        <v>455</v>
      </c>
      <c r="D3792" s="8"/>
      <c r="E3792" s="8"/>
      <c r="L3792" t="s">
        <v>563</v>
      </c>
      <c r="M3792" t="s">
        <v>478</v>
      </c>
      <c r="N3792" t="str">
        <f>Tabela_tudo[[#This Row],[Médico]]&amp;" ("&amp;Tabela_tudo[[#This Row],[Obs]]&amp;")"</f>
        <v>FAB ()</v>
      </c>
    </row>
    <row r="3793" spans="1:14" x14ac:dyDescent="0.3">
      <c r="A3793" s="1">
        <v>45336</v>
      </c>
      <c r="B3793" t="s">
        <v>17</v>
      </c>
      <c r="C3793" t="s">
        <v>455</v>
      </c>
      <c r="D3793" s="8"/>
      <c r="E3793" s="8"/>
      <c r="L3793" t="s">
        <v>563</v>
      </c>
      <c r="M3793" t="s">
        <v>478</v>
      </c>
      <c r="N3793" t="str">
        <f>Tabela_tudo[[#This Row],[Médico]]&amp;" ("&amp;Tabela_tudo[[#This Row],[Obs]]&amp;")"</f>
        <v>FAB ()</v>
      </c>
    </row>
    <row r="3794" spans="1:14" x14ac:dyDescent="0.3">
      <c r="A3794" s="1">
        <v>45329</v>
      </c>
      <c r="B3794" t="s">
        <v>17</v>
      </c>
      <c r="C3794" t="s">
        <v>455</v>
      </c>
      <c r="D3794" s="8"/>
      <c r="E3794" s="8"/>
      <c r="L3794" t="s">
        <v>563</v>
      </c>
      <c r="M3794" t="s">
        <v>478</v>
      </c>
      <c r="N3794" t="str">
        <f>Tabela_tudo[[#This Row],[Médico]]&amp;" ("&amp;Tabela_tudo[[#This Row],[Obs]]&amp;")"</f>
        <v>FAB ()</v>
      </c>
    </row>
    <row r="3795" spans="1:14" x14ac:dyDescent="0.3">
      <c r="A3795" s="1">
        <v>45322</v>
      </c>
      <c r="B3795" t="s">
        <v>17</v>
      </c>
      <c r="C3795" t="s">
        <v>455</v>
      </c>
      <c r="D3795" s="8"/>
      <c r="E3795" s="8"/>
      <c r="L3795" t="s">
        <v>563</v>
      </c>
      <c r="M3795" t="s">
        <v>478</v>
      </c>
      <c r="N3795" t="str">
        <f>Tabela_tudo[[#This Row],[Médico]]&amp;" ("&amp;Tabela_tudo[[#This Row],[Obs]]&amp;")"</f>
        <v>FAB ()</v>
      </c>
    </row>
    <row r="3796" spans="1:14" x14ac:dyDescent="0.3">
      <c r="A3796" s="1">
        <v>45343</v>
      </c>
      <c r="B3796" t="s">
        <v>17</v>
      </c>
      <c r="C3796" t="s">
        <v>455</v>
      </c>
      <c r="D3796" s="8"/>
      <c r="E3796" s="8"/>
      <c r="L3796" t="s">
        <v>563</v>
      </c>
      <c r="M3796" t="s">
        <v>478</v>
      </c>
      <c r="N3796" t="str">
        <f>Tabela_tudo[[#This Row],[Médico]]&amp;" ("&amp;Tabela_tudo[[#This Row],[Obs]]&amp;")"</f>
        <v>FAB ()</v>
      </c>
    </row>
    <row r="3797" spans="1:14" x14ac:dyDescent="0.3">
      <c r="A3797" s="1">
        <v>45364</v>
      </c>
      <c r="B3797" t="s">
        <v>17</v>
      </c>
      <c r="C3797" t="s">
        <v>455</v>
      </c>
      <c r="D3797" s="8"/>
      <c r="E3797" s="8"/>
      <c r="L3797" t="s">
        <v>563</v>
      </c>
      <c r="M3797" t="s">
        <v>478</v>
      </c>
      <c r="N3797" t="str">
        <f>Tabela_tudo[[#This Row],[Médico]]&amp;" ("&amp;Tabela_tudo[[#This Row],[Obs]]&amp;")"</f>
        <v>FAB ()</v>
      </c>
    </row>
    <row r="3798" spans="1:14" x14ac:dyDescent="0.3">
      <c r="A3798" s="1">
        <v>45357</v>
      </c>
      <c r="B3798" t="s">
        <v>17</v>
      </c>
      <c r="C3798" t="s">
        <v>455</v>
      </c>
      <c r="D3798" s="8"/>
      <c r="E3798" s="8"/>
      <c r="L3798" t="s">
        <v>563</v>
      </c>
      <c r="M3798" t="s">
        <v>478</v>
      </c>
      <c r="N3798" t="str">
        <f>Tabela_tudo[[#This Row],[Médico]]&amp;" ("&amp;Tabela_tudo[[#This Row],[Obs]]&amp;")"</f>
        <v>FAB ()</v>
      </c>
    </row>
    <row r="3799" spans="1:14" x14ac:dyDescent="0.3">
      <c r="A3799" s="1">
        <v>45350</v>
      </c>
      <c r="B3799" t="s">
        <v>17</v>
      </c>
      <c r="C3799" t="s">
        <v>455</v>
      </c>
      <c r="D3799" s="8"/>
      <c r="E3799" s="8"/>
      <c r="L3799" t="s">
        <v>563</v>
      </c>
      <c r="M3799" t="s">
        <v>478</v>
      </c>
      <c r="N3799" t="str">
        <f>Tabela_tudo[[#This Row],[Médico]]&amp;" ("&amp;Tabela_tudo[[#This Row],[Obs]]&amp;")"</f>
        <v>FAB ()</v>
      </c>
    </row>
    <row r="3800" spans="1:14" x14ac:dyDescent="0.3">
      <c r="A3800" s="1">
        <v>45420</v>
      </c>
      <c r="B3800" t="s">
        <v>17</v>
      </c>
      <c r="C3800" t="s">
        <v>455</v>
      </c>
      <c r="D3800" s="8"/>
      <c r="E3800" s="8"/>
      <c r="L3800" t="s">
        <v>563</v>
      </c>
      <c r="M3800" t="s">
        <v>478</v>
      </c>
      <c r="N3800" t="str">
        <f>Tabela_tudo[[#This Row],[Médico]]&amp;" ("&amp;Tabela_tudo[[#This Row],[Obs]]&amp;")"</f>
        <v>FAB ()</v>
      </c>
    </row>
    <row r="3801" spans="1:14" x14ac:dyDescent="0.3">
      <c r="A3801" s="1">
        <v>45490</v>
      </c>
      <c r="B3801" t="s">
        <v>17</v>
      </c>
      <c r="C3801" t="s">
        <v>455</v>
      </c>
      <c r="D3801" s="8"/>
      <c r="E3801" s="8"/>
      <c r="L3801" t="s">
        <v>563</v>
      </c>
      <c r="M3801" t="s">
        <v>478</v>
      </c>
      <c r="N3801" t="str">
        <f>Tabela_tudo[[#This Row],[Médico]]&amp;" ("&amp;Tabela_tudo[[#This Row],[Obs]]&amp;")"</f>
        <v>FAB ()</v>
      </c>
    </row>
    <row r="3802" spans="1:14" x14ac:dyDescent="0.3">
      <c r="A3802" s="1">
        <v>45483</v>
      </c>
      <c r="B3802" t="s">
        <v>17</v>
      </c>
      <c r="C3802" t="s">
        <v>455</v>
      </c>
      <c r="D3802" s="8"/>
      <c r="E3802" s="8"/>
      <c r="L3802" t="s">
        <v>563</v>
      </c>
      <c r="M3802" t="s">
        <v>478</v>
      </c>
      <c r="N3802" t="str">
        <f>Tabela_tudo[[#This Row],[Médico]]&amp;" ("&amp;Tabela_tudo[[#This Row],[Obs]]&amp;")"</f>
        <v>FAB ()</v>
      </c>
    </row>
    <row r="3803" spans="1:14" x14ac:dyDescent="0.3">
      <c r="A3803" s="1">
        <v>45476</v>
      </c>
      <c r="B3803" t="s">
        <v>17</v>
      </c>
      <c r="C3803" t="s">
        <v>455</v>
      </c>
      <c r="D3803" s="8"/>
      <c r="E3803" s="8"/>
      <c r="L3803" t="s">
        <v>563</v>
      </c>
      <c r="M3803" t="s">
        <v>478</v>
      </c>
      <c r="N3803" t="str">
        <f>Tabela_tudo[[#This Row],[Médico]]&amp;" ("&amp;Tabela_tudo[[#This Row],[Obs]]&amp;")"</f>
        <v>FAB ()</v>
      </c>
    </row>
    <row r="3804" spans="1:14" x14ac:dyDescent="0.3">
      <c r="A3804" s="1">
        <v>45497</v>
      </c>
      <c r="B3804" t="s">
        <v>17</v>
      </c>
      <c r="C3804" t="s">
        <v>455</v>
      </c>
      <c r="D3804" s="8"/>
      <c r="E3804" s="8"/>
      <c r="L3804" t="s">
        <v>563</v>
      </c>
      <c r="M3804" t="s">
        <v>478</v>
      </c>
      <c r="N3804" t="str">
        <f>Tabela_tudo[[#This Row],[Médico]]&amp;" ("&amp;Tabela_tudo[[#This Row],[Obs]]&amp;")"</f>
        <v>FAB ()</v>
      </c>
    </row>
    <row r="3805" spans="1:14" x14ac:dyDescent="0.3">
      <c r="A3805" s="1">
        <v>45518</v>
      </c>
      <c r="B3805" t="s">
        <v>17</v>
      </c>
      <c r="C3805" t="s">
        <v>455</v>
      </c>
      <c r="D3805" s="8"/>
      <c r="E3805" s="8"/>
      <c r="L3805" t="s">
        <v>563</v>
      </c>
      <c r="M3805" t="s">
        <v>478</v>
      </c>
      <c r="N3805" t="str">
        <f>Tabela_tudo[[#This Row],[Médico]]&amp;" ("&amp;Tabela_tudo[[#This Row],[Obs]]&amp;")"</f>
        <v>FAB ()</v>
      </c>
    </row>
    <row r="3806" spans="1:14" x14ac:dyDescent="0.3">
      <c r="A3806" s="1">
        <v>45511</v>
      </c>
      <c r="B3806" t="s">
        <v>17</v>
      </c>
      <c r="C3806" t="s">
        <v>455</v>
      </c>
      <c r="D3806" s="8"/>
      <c r="E3806" s="8"/>
      <c r="L3806" t="s">
        <v>563</v>
      </c>
      <c r="M3806" t="s">
        <v>478</v>
      </c>
      <c r="N3806" t="str">
        <f>Tabela_tudo[[#This Row],[Médico]]&amp;" ("&amp;Tabela_tudo[[#This Row],[Obs]]&amp;")"</f>
        <v>FAB ()</v>
      </c>
    </row>
    <row r="3807" spans="1:14" x14ac:dyDescent="0.3">
      <c r="A3807" s="1">
        <v>45504</v>
      </c>
      <c r="B3807" t="s">
        <v>17</v>
      </c>
      <c r="C3807" t="s">
        <v>455</v>
      </c>
      <c r="D3807" s="8"/>
      <c r="E3807" s="8"/>
      <c r="L3807" t="s">
        <v>563</v>
      </c>
      <c r="M3807" t="s">
        <v>478</v>
      </c>
      <c r="N3807" t="str">
        <f>Tabela_tudo[[#This Row],[Médico]]&amp;" ("&amp;Tabela_tudo[[#This Row],[Obs]]&amp;")"</f>
        <v>FAB ()</v>
      </c>
    </row>
    <row r="3808" spans="1:14" x14ac:dyDescent="0.3">
      <c r="A3808" s="1">
        <v>45441</v>
      </c>
      <c r="B3808" t="s">
        <v>17</v>
      </c>
      <c r="C3808" t="s">
        <v>455</v>
      </c>
      <c r="D3808" s="8"/>
      <c r="E3808" s="8"/>
      <c r="L3808" t="s">
        <v>563</v>
      </c>
      <c r="M3808" t="s">
        <v>478</v>
      </c>
      <c r="N3808" t="str">
        <f>Tabela_tudo[[#This Row],[Médico]]&amp;" ("&amp;Tabela_tudo[[#This Row],[Obs]]&amp;")"</f>
        <v>FAB ()</v>
      </c>
    </row>
    <row r="3809" spans="1:14" x14ac:dyDescent="0.3">
      <c r="A3809" s="1">
        <v>45434</v>
      </c>
      <c r="B3809" t="s">
        <v>17</v>
      </c>
      <c r="C3809" t="s">
        <v>455</v>
      </c>
      <c r="D3809" s="8"/>
      <c r="E3809" s="8"/>
      <c r="L3809" t="s">
        <v>563</v>
      </c>
      <c r="M3809" t="s">
        <v>478</v>
      </c>
      <c r="N3809" t="str">
        <f>Tabela_tudo[[#This Row],[Médico]]&amp;" ("&amp;Tabela_tudo[[#This Row],[Obs]]&amp;")"</f>
        <v>FAB ()</v>
      </c>
    </row>
    <row r="3810" spans="1:14" x14ac:dyDescent="0.3">
      <c r="A3810" s="1">
        <v>45427</v>
      </c>
      <c r="B3810" t="s">
        <v>17</v>
      </c>
      <c r="C3810" t="s">
        <v>455</v>
      </c>
      <c r="D3810" s="8"/>
      <c r="E3810" s="8"/>
      <c r="L3810" t="s">
        <v>563</v>
      </c>
      <c r="M3810" t="s">
        <v>478</v>
      </c>
      <c r="N3810" t="str">
        <f>Tabela_tudo[[#This Row],[Médico]]&amp;" ("&amp;Tabela_tudo[[#This Row],[Obs]]&amp;")"</f>
        <v>FAB ()</v>
      </c>
    </row>
    <row r="3811" spans="1:14" x14ac:dyDescent="0.3">
      <c r="A3811" s="1">
        <v>45448</v>
      </c>
      <c r="B3811" t="s">
        <v>17</v>
      </c>
      <c r="C3811" t="s">
        <v>455</v>
      </c>
      <c r="D3811" s="8"/>
      <c r="E3811" s="8"/>
      <c r="L3811" t="s">
        <v>563</v>
      </c>
      <c r="M3811" t="s">
        <v>478</v>
      </c>
      <c r="N3811" t="str">
        <f>Tabela_tudo[[#This Row],[Médico]]&amp;" ("&amp;Tabela_tudo[[#This Row],[Obs]]&amp;")"</f>
        <v>FAB ()</v>
      </c>
    </row>
    <row r="3812" spans="1:14" x14ac:dyDescent="0.3">
      <c r="A3812" s="1">
        <v>45469</v>
      </c>
      <c r="B3812" t="s">
        <v>17</v>
      </c>
      <c r="C3812" t="s">
        <v>455</v>
      </c>
      <c r="D3812" s="8"/>
      <c r="E3812" s="8"/>
      <c r="L3812" t="s">
        <v>563</v>
      </c>
      <c r="M3812" t="s">
        <v>478</v>
      </c>
      <c r="N3812" t="str">
        <f>Tabela_tudo[[#This Row],[Médico]]&amp;" ("&amp;Tabela_tudo[[#This Row],[Obs]]&amp;")"</f>
        <v>FAB ()</v>
      </c>
    </row>
    <row r="3813" spans="1:14" x14ac:dyDescent="0.3">
      <c r="A3813" s="1">
        <v>45462</v>
      </c>
      <c r="B3813" t="s">
        <v>17</v>
      </c>
      <c r="C3813" t="s">
        <v>455</v>
      </c>
      <c r="D3813" s="8"/>
      <c r="E3813" s="8"/>
      <c r="L3813" t="s">
        <v>563</v>
      </c>
      <c r="M3813" t="s">
        <v>478</v>
      </c>
      <c r="N3813" t="str">
        <f>Tabela_tudo[[#This Row],[Médico]]&amp;" ("&amp;Tabela_tudo[[#This Row],[Obs]]&amp;")"</f>
        <v>FAB ()</v>
      </c>
    </row>
    <row r="3814" spans="1:14" x14ac:dyDescent="0.3">
      <c r="A3814" s="1">
        <v>45455</v>
      </c>
      <c r="B3814" t="s">
        <v>17</v>
      </c>
      <c r="C3814" t="s">
        <v>455</v>
      </c>
      <c r="D3814" s="8"/>
      <c r="E3814" s="8"/>
      <c r="L3814" t="s">
        <v>563</v>
      </c>
      <c r="M3814" t="s">
        <v>478</v>
      </c>
      <c r="N3814" t="str">
        <f>Tabela_tudo[[#This Row],[Médico]]&amp;" ("&amp;Tabela_tudo[[#This Row],[Obs]]&amp;")"</f>
        <v>FAB ()</v>
      </c>
    </row>
    <row r="3815" spans="1:14" x14ac:dyDescent="0.3">
      <c r="A3815" s="1">
        <v>45315</v>
      </c>
      <c r="B3815" t="s">
        <v>17</v>
      </c>
      <c r="C3815" t="s">
        <v>455</v>
      </c>
      <c r="D3815" s="8"/>
      <c r="E3815" s="8"/>
      <c r="L3815" t="s">
        <v>563</v>
      </c>
      <c r="M3815" t="s">
        <v>478</v>
      </c>
      <c r="N3815" t="str">
        <f>Tabela_tudo[[#This Row],[Médico]]&amp;" ("&amp;Tabela_tudo[[#This Row],[Obs]]&amp;")"</f>
        <v>FAB ()</v>
      </c>
    </row>
    <row r="3816" spans="1:14" x14ac:dyDescent="0.3">
      <c r="A3816" s="1">
        <v>45175</v>
      </c>
      <c r="B3816" t="s">
        <v>17</v>
      </c>
      <c r="C3816" t="s">
        <v>455</v>
      </c>
      <c r="D3816" s="8"/>
      <c r="E3816" s="8"/>
      <c r="L3816" t="s">
        <v>563</v>
      </c>
      <c r="M3816" t="s">
        <v>478</v>
      </c>
      <c r="N3816" t="str">
        <f>Tabela_tudo[[#This Row],[Médico]]&amp;" ("&amp;Tabela_tudo[[#This Row],[Obs]]&amp;")"</f>
        <v>FAB ()</v>
      </c>
    </row>
    <row r="3817" spans="1:14" x14ac:dyDescent="0.3">
      <c r="A3817" s="1">
        <v>45168</v>
      </c>
      <c r="B3817" t="s">
        <v>17</v>
      </c>
      <c r="C3817" t="s">
        <v>455</v>
      </c>
      <c r="D3817" s="8"/>
      <c r="E3817" s="8"/>
      <c r="L3817" t="s">
        <v>563</v>
      </c>
      <c r="M3817" t="s">
        <v>478</v>
      </c>
      <c r="N3817" t="str">
        <f>Tabela_tudo[[#This Row],[Médico]]&amp;" ("&amp;Tabela_tudo[[#This Row],[Obs]]&amp;")"</f>
        <v>FAB ()</v>
      </c>
    </row>
    <row r="3818" spans="1:14" x14ac:dyDescent="0.3">
      <c r="A3818" s="1">
        <v>45161</v>
      </c>
      <c r="B3818" t="s">
        <v>17</v>
      </c>
      <c r="C3818" t="s">
        <v>455</v>
      </c>
      <c r="D3818" s="8"/>
      <c r="E3818" s="8"/>
      <c r="L3818" t="s">
        <v>563</v>
      </c>
      <c r="M3818" t="s">
        <v>478</v>
      </c>
      <c r="N3818" t="str">
        <f>Tabela_tudo[[#This Row],[Médico]]&amp;" ("&amp;Tabela_tudo[[#This Row],[Obs]]&amp;")"</f>
        <v>FAB ()</v>
      </c>
    </row>
    <row r="3819" spans="1:14" x14ac:dyDescent="0.3">
      <c r="A3819" s="1">
        <v>45182</v>
      </c>
      <c r="B3819" t="s">
        <v>17</v>
      </c>
      <c r="C3819" t="s">
        <v>455</v>
      </c>
      <c r="D3819" s="8"/>
      <c r="E3819" s="8"/>
      <c r="L3819" t="s">
        <v>563</v>
      </c>
      <c r="M3819" t="s">
        <v>478</v>
      </c>
      <c r="N3819" t="str">
        <f>Tabela_tudo[[#This Row],[Médico]]&amp;" ("&amp;Tabela_tudo[[#This Row],[Obs]]&amp;")"</f>
        <v>FAB ()</v>
      </c>
    </row>
    <row r="3820" spans="1:14" x14ac:dyDescent="0.3">
      <c r="A3820" s="1">
        <v>45203</v>
      </c>
      <c r="B3820" t="s">
        <v>17</v>
      </c>
      <c r="C3820" t="s">
        <v>455</v>
      </c>
      <c r="D3820" s="8"/>
      <c r="E3820" s="8"/>
      <c r="L3820" t="s">
        <v>563</v>
      </c>
      <c r="M3820" t="s">
        <v>478</v>
      </c>
      <c r="N3820" t="str">
        <f>Tabela_tudo[[#This Row],[Médico]]&amp;" ("&amp;Tabela_tudo[[#This Row],[Obs]]&amp;")"</f>
        <v>FAB ()</v>
      </c>
    </row>
    <row r="3821" spans="1:14" x14ac:dyDescent="0.3">
      <c r="A3821" s="1">
        <v>45196</v>
      </c>
      <c r="B3821" t="s">
        <v>17</v>
      </c>
      <c r="C3821" t="s">
        <v>455</v>
      </c>
      <c r="D3821" s="8"/>
      <c r="E3821" s="8"/>
      <c r="L3821" t="s">
        <v>563</v>
      </c>
      <c r="M3821" t="s">
        <v>478</v>
      </c>
      <c r="N3821" t="str">
        <f>Tabela_tudo[[#This Row],[Médico]]&amp;" ("&amp;Tabela_tudo[[#This Row],[Obs]]&amp;")"</f>
        <v>FAB ()</v>
      </c>
    </row>
    <row r="3822" spans="1:14" x14ac:dyDescent="0.3">
      <c r="A3822" s="1">
        <v>45189</v>
      </c>
      <c r="B3822" t="s">
        <v>17</v>
      </c>
      <c r="C3822" t="s">
        <v>455</v>
      </c>
      <c r="D3822" s="8"/>
      <c r="E3822" s="8"/>
      <c r="L3822" t="s">
        <v>563</v>
      </c>
      <c r="M3822" t="s">
        <v>478</v>
      </c>
      <c r="N3822" t="str">
        <f>Tabela_tudo[[#This Row],[Médico]]&amp;" ("&amp;Tabela_tudo[[#This Row],[Obs]]&amp;")"</f>
        <v>FAB ()</v>
      </c>
    </row>
    <row r="3823" spans="1:14" x14ac:dyDescent="0.3">
      <c r="A3823" s="1">
        <v>45126</v>
      </c>
      <c r="B3823" t="s">
        <v>17</v>
      </c>
      <c r="C3823" t="s">
        <v>455</v>
      </c>
      <c r="D3823" s="8"/>
      <c r="E3823" s="8"/>
      <c r="L3823" t="s">
        <v>563</v>
      </c>
      <c r="M3823" t="s">
        <v>478</v>
      </c>
      <c r="N3823" t="str">
        <f>Tabela_tudo[[#This Row],[Médico]]&amp;" ("&amp;Tabela_tudo[[#This Row],[Obs]]&amp;")"</f>
        <v>FAB ()</v>
      </c>
    </row>
    <row r="3824" spans="1:14" x14ac:dyDescent="0.3">
      <c r="A3824" s="1">
        <v>45119</v>
      </c>
      <c r="B3824" t="s">
        <v>17</v>
      </c>
      <c r="C3824" t="s">
        <v>455</v>
      </c>
      <c r="D3824" s="8"/>
      <c r="E3824" s="8"/>
      <c r="L3824" t="s">
        <v>563</v>
      </c>
      <c r="M3824" t="s">
        <v>478</v>
      </c>
      <c r="N3824" t="str">
        <f>Tabela_tudo[[#This Row],[Médico]]&amp;" ("&amp;Tabela_tudo[[#This Row],[Obs]]&amp;")"</f>
        <v>FAB ()</v>
      </c>
    </row>
    <row r="3825" spans="1:14" x14ac:dyDescent="0.3">
      <c r="A3825" s="1">
        <v>45112</v>
      </c>
      <c r="B3825" t="s">
        <v>17</v>
      </c>
      <c r="C3825" t="s">
        <v>455</v>
      </c>
      <c r="D3825" s="8"/>
      <c r="E3825" s="8"/>
      <c r="L3825" t="s">
        <v>563</v>
      </c>
      <c r="M3825" t="s">
        <v>478</v>
      </c>
      <c r="N3825" t="str">
        <f>Tabela_tudo[[#This Row],[Médico]]&amp;" ("&amp;Tabela_tudo[[#This Row],[Obs]]&amp;")"</f>
        <v>FAB ()</v>
      </c>
    </row>
    <row r="3826" spans="1:14" x14ac:dyDescent="0.3">
      <c r="A3826" s="1">
        <v>45133</v>
      </c>
      <c r="B3826" t="s">
        <v>17</v>
      </c>
      <c r="C3826" t="s">
        <v>455</v>
      </c>
      <c r="D3826" s="8"/>
      <c r="E3826" s="8"/>
      <c r="L3826" t="s">
        <v>563</v>
      </c>
      <c r="M3826" t="s">
        <v>478</v>
      </c>
      <c r="N3826" t="str">
        <f>Tabela_tudo[[#This Row],[Médico]]&amp;" ("&amp;Tabela_tudo[[#This Row],[Obs]]&amp;")"</f>
        <v>FAB ()</v>
      </c>
    </row>
    <row r="3827" spans="1:14" x14ac:dyDescent="0.3">
      <c r="A3827" s="1">
        <v>45154</v>
      </c>
      <c r="B3827" t="s">
        <v>17</v>
      </c>
      <c r="C3827" t="s">
        <v>455</v>
      </c>
      <c r="D3827" s="8"/>
      <c r="E3827" s="8"/>
      <c r="L3827" t="s">
        <v>563</v>
      </c>
      <c r="M3827" t="s">
        <v>478</v>
      </c>
      <c r="N3827" t="str">
        <f>Tabela_tudo[[#This Row],[Médico]]&amp;" ("&amp;Tabela_tudo[[#This Row],[Obs]]&amp;")"</f>
        <v>FAB ()</v>
      </c>
    </row>
    <row r="3828" spans="1:14" x14ac:dyDescent="0.3">
      <c r="A3828" s="1">
        <v>45147</v>
      </c>
      <c r="B3828" t="s">
        <v>17</v>
      </c>
      <c r="C3828" t="s">
        <v>455</v>
      </c>
      <c r="D3828" s="8"/>
      <c r="E3828" s="8"/>
      <c r="L3828" t="s">
        <v>563</v>
      </c>
      <c r="M3828" t="s">
        <v>478</v>
      </c>
      <c r="N3828" t="str">
        <f>Tabela_tudo[[#This Row],[Médico]]&amp;" ("&amp;Tabela_tudo[[#This Row],[Obs]]&amp;")"</f>
        <v>FAB ()</v>
      </c>
    </row>
    <row r="3829" spans="1:14" x14ac:dyDescent="0.3">
      <c r="A3829" s="1">
        <v>45140</v>
      </c>
      <c r="B3829" t="s">
        <v>17</v>
      </c>
      <c r="C3829" t="s">
        <v>455</v>
      </c>
      <c r="D3829" s="8"/>
      <c r="E3829" s="8"/>
      <c r="L3829" t="s">
        <v>563</v>
      </c>
      <c r="M3829" t="s">
        <v>478</v>
      </c>
      <c r="N3829" t="str">
        <f>Tabela_tudo[[#This Row],[Médico]]&amp;" ("&amp;Tabela_tudo[[#This Row],[Obs]]&amp;")"</f>
        <v>FAB ()</v>
      </c>
    </row>
    <row r="3830" spans="1:14" x14ac:dyDescent="0.3">
      <c r="A3830" s="1">
        <v>45210</v>
      </c>
      <c r="B3830" t="s">
        <v>17</v>
      </c>
      <c r="C3830" t="s">
        <v>455</v>
      </c>
      <c r="D3830" s="8"/>
      <c r="E3830" s="8"/>
      <c r="L3830" t="s">
        <v>563</v>
      </c>
      <c r="M3830" t="s">
        <v>478</v>
      </c>
      <c r="N3830" t="str">
        <f>Tabela_tudo[[#This Row],[Médico]]&amp;" ("&amp;Tabela_tudo[[#This Row],[Obs]]&amp;")"</f>
        <v>FAB ()</v>
      </c>
    </row>
    <row r="3831" spans="1:14" x14ac:dyDescent="0.3">
      <c r="A3831" s="1">
        <v>45280</v>
      </c>
      <c r="B3831" t="s">
        <v>17</v>
      </c>
      <c r="C3831" t="s">
        <v>455</v>
      </c>
      <c r="D3831" s="8"/>
      <c r="E3831" s="8"/>
      <c r="L3831" t="s">
        <v>563</v>
      </c>
      <c r="M3831" t="s">
        <v>478</v>
      </c>
      <c r="N3831" t="str">
        <f>Tabela_tudo[[#This Row],[Médico]]&amp;" ("&amp;Tabela_tudo[[#This Row],[Obs]]&amp;")"</f>
        <v>FAB ()</v>
      </c>
    </row>
    <row r="3832" spans="1:14" x14ac:dyDescent="0.3">
      <c r="A3832" s="1">
        <v>45273</v>
      </c>
      <c r="B3832" t="s">
        <v>17</v>
      </c>
      <c r="C3832" t="s">
        <v>455</v>
      </c>
      <c r="D3832" s="8"/>
      <c r="E3832" s="8"/>
      <c r="L3832" t="s">
        <v>563</v>
      </c>
      <c r="M3832" t="s">
        <v>478</v>
      </c>
      <c r="N3832" t="str">
        <f>Tabela_tudo[[#This Row],[Médico]]&amp;" ("&amp;Tabela_tudo[[#This Row],[Obs]]&amp;")"</f>
        <v>FAB ()</v>
      </c>
    </row>
    <row r="3833" spans="1:14" x14ac:dyDescent="0.3">
      <c r="A3833" s="1">
        <v>45266</v>
      </c>
      <c r="B3833" t="s">
        <v>17</v>
      </c>
      <c r="C3833" t="s">
        <v>455</v>
      </c>
      <c r="D3833" s="8"/>
      <c r="E3833" s="8"/>
      <c r="L3833" t="s">
        <v>563</v>
      </c>
      <c r="M3833" t="s">
        <v>478</v>
      </c>
      <c r="N3833" t="str">
        <f>Tabela_tudo[[#This Row],[Médico]]&amp;" ("&amp;Tabela_tudo[[#This Row],[Obs]]&amp;")"</f>
        <v>FAB ()</v>
      </c>
    </row>
    <row r="3834" spans="1:14" x14ac:dyDescent="0.3">
      <c r="A3834" s="1">
        <v>45287</v>
      </c>
      <c r="B3834" t="s">
        <v>17</v>
      </c>
      <c r="C3834" t="s">
        <v>455</v>
      </c>
      <c r="D3834" s="8"/>
      <c r="E3834" s="8"/>
      <c r="L3834" t="s">
        <v>563</v>
      </c>
      <c r="M3834" t="s">
        <v>478</v>
      </c>
      <c r="N3834" t="str">
        <f>Tabela_tudo[[#This Row],[Médico]]&amp;" ("&amp;Tabela_tudo[[#This Row],[Obs]]&amp;")"</f>
        <v>FAB ()</v>
      </c>
    </row>
    <row r="3835" spans="1:14" x14ac:dyDescent="0.3">
      <c r="A3835" s="1">
        <v>45308</v>
      </c>
      <c r="B3835" t="s">
        <v>17</v>
      </c>
      <c r="C3835" t="s">
        <v>455</v>
      </c>
      <c r="D3835" s="8"/>
      <c r="E3835" s="8"/>
      <c r="L3835" t="s">
        <v>563</v>
      </c>
      <c r="M3835" t="s">
        <v>478</v>
      </c>
      <c r="N3835" t="str">
        <f>Tabela_tudo[[#This Row],[Médico]]&amp;" ("&amp;Tabela_tudo[[#This Row],[Obs]]&amp;")"</f>
        <v>FAB ()</v>
      </c>
    </row>
    <row r="3836" spans="1:14" x14ac:dyDescent="0.3">
      <c r="A3836" s="1">
        <v>45301</v>
      </c>
      <c r="B3836" t="s">
        <v>17</v>
      </c>
      <c r="C3836" t="s">
        <v>455</v>
      </c>
      <c r="D3836" s="8"/>
      <c r="E3836" s="8"/>
      <c r="L3836" t="s">
        <v>563</v>
      </c>
      <c r="M3836" t="s">
        <v>478</v>
      </c>
      <c r="N3836" t="str">
        <f>Tabela_tudo[[#This Row],[Médico]]&amp;" ("&amp;Tabela_tudo[[#This Row],[Obs]]&amp;")"</f>
        <v>FAB ()</v>
      </c>
    </row>
    <row r="3837" spans="1:14" x14ac:dyDescent="0.3">
      <c r="A3837" s="1">
        <v>45294</v>
      </c>
      <c r="B3837" t="s">
        <v>17</v>
      </c>
      <c r="C3837" t="s">
        <v>455</v>
      </c>
      <c r="D3837" s="8"/>
      <c r="E3837" s="8"/>
      <c r="L3837" t="s">
        <v>563</v>
      </c>
      <c r="M3837" t="s">
        <v>478</v>
      </c>
      <c r="N3837" t="str">
        <f>Tabela_tudo[[#This Row],[Médico]]&amp;" ("&amp;Tabela_tudo[[#This Row],[Obs]]&amp;")"</f>
        <v>FAB ()</v>
      </c>
    </row>
    <row r="3838" spans="1:14" x14ac:dyDescent="0.3">
      <c r="A3838" s="1">
        <v>45231</v>
      </c>
      <c r="B3838" t="s">
        <v>17</v>
      </c>
      <c r="C3838" t="s">
        <v>455</v>
      </c>
      <c r="D3838" s="8"/>
      <c r="E3838" s="8"/>
      <c r="L3838" t="s">
        <v>563</v>
      </c>
      <c r="M3838" t="s">
        <v>478</v>
      </c>
      <c r="N3838" t="str">
        <f>Tabela_tudo[[#This Row],[Médico]]&amp;" ("&amp;Tabela_tudo[[#This Row],[Obs]]&amp;")"</f>
        <v>FAB ()</v>
      </c>
    </row>
    <row r="3839" spans="1:14" x14ac:dyDescent="0.3">
      <c r="A3839" s="1">
        <v>45224</v>
      </c>
      <c r="B3839" t="s">
        <v>17</v>
      </c>
      <c r="C3839" t="s">
        <v>455</v>
      </c>
      <c r="D3839" s="8"/>
      <c r="E3839" s="8"/>
      <c r="L3839" t="s">
        <v>563</v>
      </c>
      <c r="M3839" t="s">
        <v>478</v>
      </c>
      <c r="N3839" t="str">
        <f>Tabela_tudo[[#This Row],[Médico]]&amp;" ("&amp;Tabela_tudo[[#This Row],[Obs]]&amp;")"</f>
        <v>FAB ()</v>
      </c>
    </row>
    <row r="3840" spans="1:14" x14ac:dyDescent="0.3">
      <c r="A3840" s="1">
        <v>45217</v>
      </c>
      <c r="B3840" t="s">
        <v>17</v>
      </c>
      <c r="C3840" t="s">
        <v>455</v>
      </c>
      <c r="D3840" s="8"/>
      <c r="E3840" s="8"/>
      <c r="L3840" t="s">
        <v>563</v>
      </c>
      <c r="M3840" t="s">
        <v>478</v>
      </c>
      <c r="N3840" t="str">
        <f>Tabela_tudo[[#This Row],[Médico]]&amp;" ("&amp;Tabela_tudo[[#This Row],[Obs]]&amp;")"</f>
        <v>FAB ()</v>
      </c>
    </row>
    <row r="3841" spans="1:14" x14ac:dyDescent="0.3">
      <c r="A3841" s="1">
        <v>45238</v>
      </c>
      <c r="B3841" t="s">
        <v>17</v>
      </c>
      <c r="C3841" t="s">
        <v>455</v>
      </c>
      <c r="D3841" s="8"/>
      <c r="E3841" s="8"/>
      <c r="L3841" t="s">
        <v>563</v>
      </c>
      <c r="M3841" t="s">
        <v>478</v>
      </c>
      <c r="N3841" t="str">
        <f>Tabela_tudo[[#This Row],[Médico]]&amp;" ("&amp;Tabela_tudo[[#This Row],[Obs]]&amp;")"</f>
        <v>FAB ()</v>
      </c>
    </row>
    <row r="3842" spans="1:14" x14ac:dyDescent="0.3">
      <c r="A3842" s="1">
        <v>45259</v>
      </c>
      <c r="B3842" t="s">
        <v>17</v>
      </c>
      <c r="C3842" t="s">
        <v>455</v>
      </c>
      <c r="D3842" s="8"/>
      <c r="E3842" s="8"/>
      <c r="L3842" t="s">
        <v>563</v>
      </c>
      <c r="M3842" t="s">
        <v>478</v>
      </c>
      <c r="N3842" t="str">
        <f>Tabela_tudo[[#This Row],[Médico]]&amp;" ("&amp;Tabela_tudo[[#This Row],[Obs]]&amp;")"</f>
        <v>FAB ()</v>
      </c>
    </row>
    <row r="3843" spans="1:14" x14ac:dyDescent="0.3">
      <c r="A3843" s="1">
        <v>45252</v>
      </c>
      <c r="B3843" t="s">
        <v>17</v>
      </c>
      <c r="C3843" t="s">
        <v>455</v>
      </c>
      <c r="D3843" s="8"/>
      <c r="E3843" s="8"/>
      <c r="L3843" t="s">
        <v>563</v>
      </c>
      <c r="M3843" t="s">
        <v>478</v>
      </c>
      <c r="N3843" t="str">
        <f>Tabela_tudo[[#This Row],[Médico]]&amp;" ("&amp;Tabela_tudo[[#This Row],[Obs]]&amp;")"</f>
        <v>FAB ()</v>
      </c>
    </row>
    <row r="3844" spans="1:14" x14ac:dyDescent="0.3">
      <c r="A3844" s="1">
        <v>45245</v>
      </c>
      <c r="B3844" t="s">
        <v>17</v>
      </c>
      <c r="C3844" t="s">
        <v>455</v>
      </c>
      <c r="D3844" s="8"/>
      <c r="E3844" s="8"/>
      <c r="L3844" t="s">
        <v>563</v>
      </c>
      <c r="M3844" t="s">
        <v>478</v>
      </c>
      <c r="N3844" t="str">
        <f>Tabela_tudo[[#This Row],[Médico]]&amp;" ("&amp;Tabela_tudo[[#This Row],[Obs]]&amp;")"</f>
        <v>FAB ()</v>
      </c>
    </row>
    <row r="3845" spans="1:14" x14ac:dyDescent="0.3">
      <c r="A3845" s="1">
        <v>45525</v>
      </c>
      <c r="B3845" t="s">
        <v>17</v>
      </c>
      <c r="C3845" t="s">
        <v>455</v>
      </c>
      <c r="D3845" s="8"/>
      <c r="E3845" s="8"/>
      <c r="L3845" t="s">
        <v>563</v>
      </c>
      <c r="M3845" t="s">
        <v>478</v>
      </c>
      <c r="N3845" t="str">
        <f>Tabela_tudo[[#This Row],[Médico]]&amp;" ("&amp;Tabela_tudo[[#This Row],[Obs]]&amp;")"</f>
        <v>FAB ()</v>
      </c>
    </row>
    <row r="3846" spans="1:14" x14ac:dyDescent="0.3">
      <c r="A3846" s="1">
        <v>45077</v>
      </c>
      <c r="B3846" t="s">
        <v>25</v>
      </c>
      <c r="C3846" t="s">
        <v>455</v>
      </c>
      <c r="D3846" s="8"/>
      <c r="E3846" s="8"/>
      <c r="L3846" t="s">
        <v>563</v>
      </c>
      <c r="M3846" t="s">
        <v>478</v>
      </c>
      <c r="N3846" t="str">
        <f>Tabela_tudo[[#This Row],[Médico]]&amp;" ("&amp;Tabela_tudo[[#This Row],[Obs]]&amp;")"</f>
        <v>HEN ()</v>
      </c>
    </row>
    <row r="3847" spans="1:14" x14ac:dyDescent="0.3">
      <c r="A3847" s="1">
        <v>45070</v>
      </c>
      <c r="B3847" t="s">
        <v>25</v>
      </c>
      <c r="C3847" t="s">
        <v>455</v>
      </c>
      <c r="D3847" s="8"/>
      <c r="E3847" s="8"/>
      <c r="L3847" t="s">
        <v>563</v>
      </c>
      <c r="M3847" t="s">
        <v>478</v>
      </c>
      <c r="N3847" t="str">
        <f>Tabela_tudo[[#This Row],[Médico]]&amp;" ("&amp;Tabela_tudo[[#This Row],[Obs]]&amp;")"</f>
        <v>HEN ()</v>
      </c>
    </row>
    <row r="3848" spans="1:14" x14ac:dyDescent="0.3">
      <c r="A3848" s="1">
        <v>45063</v>
      </c>
      <c r="B3848" t="s">
        <v>25</v>
      </c>
      <c r="C3848" t="s">
        <v>455</v>
      </c>
      <c r="D3848" s="8"/>
      <c r="E3848" s="8"/>
      <c r="L3848" t="s">
        <v>563</v>
      </c>
      <c r="M3848" t="s">
        <v>478</v>
      </c>
      <c r="N3848" t="str">
        <f>Tabela_tudo[[#This Row],[Médico]]&amp;" ("&amp;Tabela_tudo[[#This Row],[Obs]]&amp;")"</f>
        <v>HEN ()</v>
      </c>
    </row>
    <row r="3849" spans="1:14" x14ac:dyDescent="0.3">
      <c r="A3849" s="1">
        <v>45091</v>
      </c>
      <c r="B3849" t="s">
        <v>25</v>
      </c>
      <c r="C3849" t="s">
        <v>455</v>
      </c>
      <c r="D3849" s="8"/>
      <c r="E3849" s="8"/>
      <c r="L3849" t="s">
        <v>563</v>
      </c>
      <c r="M3849" t="s">
        <v>478</v>
      </c>
      <c r="N3849" t="str">
        <f>Tabela_tudo[[#This Row],[Médico]]&amp;" ("&amp;Tabela_tudo[[#This Row],[Obs]]&amp;")"</f>
        <v>HEN ()</v>
      </c>
    </row>
    <row r="3850" spans="1:14" x14ac:dyDescent="0.3">
      <c r="A3850" s="1">
        <v>45112</v>
      </c>
      <c r="B3850" t="s">
        <v>25</v>
      </c>
      <c r="C3850" t="s">
        <v>455</v>
      </c>
      <c r="D3850" s="8"/>
      <c r="E3850" s="8"/>
      <c r="L3850" t="s">
        <v>563</v>
      </c>
      <c r="M3850" t="s">
        <v>478</v>
      </c>
      <c r="N3850" t="str">
        <f>Tabela_tudo[[#This Row],[Médico]]&amp;" ("&amp;Tabela_tudo[[#This Row],[Obs]]&amp;")"</f>
        <v>HEN ()</v>
      </c>
    </row>
    <row r="3851" spans="1:14" x14ac:dyDescent="0.3">
      <c r="A3851" s="1">
        <v>45105</v>
      </c>
      <c r="B3851" t="s">
        <v>25</v>
      </c>
      <c r="C3851" t="s">
        <v>455</v>
      </c>
      <c r="D3851" s="8"/>
      <c r="E3851" s="8"/>
      <c r="L3851" t="s">
        <v>563</v>
      </c>
      <c r="M3851" t="s">
        <v>478</v>
      </c>
      <c r="N3851" t="str">
        <f>Tabela_tudo[[#This Row],[Médico]]&amp;" ("&amp;Tabela_tudo[[#This Row],[Obs]]&amp;")"</f>
        <v>HEN ()</v>
      </c>
    </row>
    <row r="3852" spans="1:14" x14ac:dyDescent="0.3">
      <c r="A3852" s="1">
        <v>45098</v>
      </c>
      <c r="B3852" t="s">
        <v>25</v>
      </c>
      <c r="C3852" t="s">
        <v>455</v>
      </c>
      <c r="D3852" s="8"/>
      <c r="E3852" s="8"/>
      <c r="L3852" t="s">
        <v>563</v>
      </c>
      <c r="M3852" t="s">
        <v>478</v>
      </c>
      <c r="N3852" t="str">
        <f>Tabela_tudo[[#This Row],[Médico]]&amp;" ("&amp;Tabela_tudo[[#This Row],[Obs]]&amp;")"</f>
        <v>HEN ()</v>
      </c>
    </row>
    <row r="3853" spans="1:14" x14ac:dyDescent="0.3">
      <c r="A3853" s="1">
        <v>45028</v>
      </c>
      <c r="B3853" t="s">
        <v>25</v>
      </c>
      <c r="C3853" t="s">
        <v>455</v>
      </c>
      <c r="D3853" s="8"/>
      <c r="E3853" s="8"/>
      <c r="L3853" t="s">
        <v>563</v>
      </c>
      <c r="M3853" t="s">
        <v>478</v>
      </c>
      <c r="N3853" t="str">
        <f>Tabela_tudo[[#This Row],[Médico]]&amp;" ("&amp;Tabela_tudo[[#This Row],[Obs]]&amp;")"</f>
        <v>HEN ()</v>
      </c>
    </row>
    <row r="3854" spans="1:14" x14ac:dyDescent="0.3">
      <c r="A3854" s="1">
        <v>45021</v>
      </c>
      <c r="B3854" t="s">
        <v>25</v>
      </c>
      <c r="C3854" t="s">
        <v>455</v>
      </c>
      <c r="D3854" s="8"/>
      <c r="E3854" s="8"/>
      <c r="L3854" t="s">
        <v>563</v>
      </c>
      <c r="M3854" t="s">
        <v>478</v>
      </c>
      <c r="N3854" t="str">
        <f>Tabela_tudo[[#This Row],[Médico]]&amp;" ("&amp;Tabela_tudo[[#This Row],[Obs]]&amp;")"</f>
        <v>HEN ()</v>
      </c>
    </row>
    <row r="3855" spans="1:14" x14ac:dyDescent="0.3">
      <c r="A3855" s="1">
        <v>45014</v>
      </c>
      <c r="B3855" t="s">
        <v>25</v>
      </c>
      <c r="C3855" t="s">
        <v>455</v>
      </c>
      <c r="D3855" s="8"/>
      <c r="E3855" s="8"/>
      <c r="L3855" t="s">
        <v>563</v>
      </c>
      <c r="M3855" t="s">
        <v>478</v>
      </c>
      <c r="N3855" t="str">
        <f>Tabela_tudo[[#This Row],[Médico]]&amp;" ("&amp;Tabela_tudo[[#This Row],[Obs]]&amp;")"</f>
        <v>HEN ()</v>
      </c>
    </row>
    <row r="3856" spans="1:14" x14ac:dyDescent="0.3">
      <c r="A3856" s="1">
        <v>45035</v>
      </c>
      <c r="B3856" t="s">
        <v>25</v>
      </c>
      <c r="C3856" t="s">
        <v>455</v>
      </c>
      <c r="D3856" s="8"/>
      <c r="E3856" s="8"/>
      <c r="L3856" t="s">
        <v>563</v>
      </c>
      <c r="M3856" t="s">
        <v>478</v>
      </c>
      <c r="N3856" t="str">
        <f>Tabela_tudo[[#This Row],[Médico]]&amp;" ("&amp;Tabela_tudo[[#This Row],[Obs]]&amp;")"</f>
        <v>HEN ()</v>
      </c>
    </row>
    <row r="3857" spans="1:14" x14ac:dyDescent="0.3">
      <c r="A3857" s="1">
        <v>45056</v>
      </c>
      <c r="B3857" t="s">
        <v>25</v>
      </c>
      <c r="C3857" t="s">
        <v>455</v>
      </c>
      <c r="D3857" s="8"/>
      <c r="E3857" s="8"/>
      <c r="L3857" t="s">
        <v>563</v>
      </c>
      <c r="M3857" t="s">
        <v>478</v>
      </c>
      <c r="N3857" t="str">
        <f>Tabela_tudo[[#This Row],[Médico]]&amp;" ("&amp;Tabela_tudo[[#This Row],[Obs]]&amp;")"</f>
        <v>HEN ()</v>
      </c>
    </row>
    <row r="3858" spans="1:14" x14ac:dyDescent="0.3">
      <c r="A3858" s="1">
        <v>45049</v>
      </c>
      <c r="B3858" t="s">
        <v>25</v>
      </c>
      <c r="C3858" t="s">
        <v>455</v>
      </c>
      <c r="D3858" s="8"/>
      <c r="E3858" s="8"/>
      <c r="L3858" t="s">
        <v>563</v>
      </c>
      <c r="M3858" t="s">
        <v>478</v>
      </c>
      <c r="N3858" t="str">
        <f>Tabela_tudo[[#This Row],[Médico]]&amp;" ("&amp;Tabela_tudo[[#This Row],[Obs]]&amp;")"</f>
        <v>HEN ()</v>
      </c>
    </row>
    <row r="3859" spans="1:14" x14ac:dyDescent="0.3">
      <c r="A3859" s="1">
        <v>45042</v>
      </c>
      <c r="B3859" t="s">
        <v>25</v>
      </c>
      <c r="C3859" t="s">
        <v>455</v>
      </c>
      <c r="D3859" s="8"/>
      <c r="E3859" s="8"/>
      <c r="L3859" t="s">
        <v>563</v>
      </c>
      <c r="M3859" t="s">
        <v>478</v>
      </c>
      <c r="N3859" t="str">
        <f>Tabela_tudo[[#This Row],[Médico]]&amp;" ("&amp;Tabela_tudo[[#This Row],[Obs]]&amp;")"</f>
        <v>HEN ()</v>
      </c>
    </row>
    <row r="3860" spans="1:14" x14ac:dyDescent="0.3">
      <c r="A3860" s="1">
        <v>45119</v>
      </c>
      <c r="B3860" t="s">
        <v>25</v>
      </c>
      <c r="C3860" t="s">
        <v>455</v>
      </c>
      <c r="D3860" s="8"/>
      <c r="E3860" s="8"/>
      <c r="L3860" t="s">
        <v>563</v>
      </c>
      <c r="M3860" t="s">
        <v>478</v>
      </c>
      <c r="N3860" t="str">
        <f>Tabela_tudo[[#This Row],[Médico]]&amp;" ("&amp;Tabela_tudo[[#This Row],[Obs]]&amp;")"</f>
        <v>HEN ()</v>
      </c>
    </row>
    <row r="3861" spans="1:14" x14ac:dyDescent="0.3">
      <c r="A3861" s="1">
        <v>45189</v>
      </c>
      <c r="B3861" t="s">
        <v>25</v>
      </c>
      <c r="C3861" t="s">
        <v>455</v>
      </c>
      <c r="D3861" s="8"/>
      <c r="E3861" s="8"/>
      <c r="L3861" t="s">
        <v>563</v>
      </c>
      <c r="M3861" t="s">
        <v>478</v>
      </c>
      <c r="N3861" t="str">
        <f>Tabela_tudo[[#This Row],[Médico]]&amp;" ("&amp;Tabela_tudo[[#This Row],[Obs]]&amp;")"</f>
        <v>HEN ()</v>
      </c>
    </row>
    <row r="3862" spans="1:14" x14ac:dyDescent="0.3">
      <c r="A3862" s="1">
        <v>45182</v>
      </c>
      <c r="B3862" t="s">
        <v>25</v>
      </c>
      <c r="C3862" t="s">
        <v>455</v>
      </c>
      <c r="D3862" s="8"/>
      <c r="E3862" s="8"/>
      <c r="L3862" t="s">
        <v>563</v>
      </c>
      <c r="M3862" t="s">
        <v>478</v>
      </c>
      <c r="N3862" t="str">
        <f>Tabela_tudo[[#This Row],[Médico]]&amp;" ("&amp;Tabela_tudo[[#This Row],[Obs]]&amp;")"</f>
        <v>HEN ()</v>
      </c>
    </row>
    <row r="3863" spans="1:14" x14ac:dyDescent="0.3">
      <c r="A3863" s="1">
        <v>45175</v>
      </c>
      <c r="B3863" t="s">
        <v>25</v>
      </c>
      <c r="C3863" t="s">
        <v>455</v>
      </c>
      <c r="D3863" s="8"/>
      <c r="E3863" s="8"/>
      <c r="L3863" t="s">
        <v>563</v>
      </c>
      <c r="M3863" t="s">
        <v>478</v>
      </c>
      <c r="N3863" t="str">
        <f>Tabela_tudo[[#This Row],[Médico]]&amp;" ("&amp;Tabela_tudo[[#This Row],[Obs]]&amp;")"</f>
        <v>HEN ()</v>
      </c>
    </row>
    <row r="3864" spans="1:14" x14ac:dyDescent="0.3">
      <c r="A3864" s="1">
        <v>45196</v>
      </c>
      <c r="B3864" t="s">
        <v>25</v>
      </c>
      <c r="C3864" t="s">
        <v>455</v>
      </c>
      <c r="D3864" s="8"/>
      <c r="E3864" s="8"/>
      <c r="L3864" t="s">
        <v>563</v>
      </c>
      <c r="M3864" t="s">
        <v>478</v>
      </c>
      <c r="N3864" t="str">
        <f>Tabela_tudo[[#This Row],[Médico]]&amp;" ("&amp;Tabela_tudo[[#This Row],[Obs]]&amp;")"</f>
        <v>HEN ()</v>
      </c>
    </row>
    <row r="3865" spans="1:14" x14ac:dyDescent="0.3">
      <c r="A3865" s="1">
        <v>45217</v>
      </c>
      <c r="B3865" t="s">
        <v>25</v>
      </c>
      <c r="C3865" t="s">
        <v>455</v>
      </c>
      <c r="D3865" s="8"/>
      <c r="E3865" s="8"/>
      <c r="L3865" t="s">
        <v>563</v>
      </c>
      <c r="M3865" t="s">
        <v>478</v>
      </c>
      <c r="N3865" t="str">
        <f>Tabela_tudo[[#This Row],[Médico]]&amp;" ("&amp;Tabela_tudo[[#This Row],[Obs]]&amp;")"</f>
        <v>HEN ()</v>
      </c>
    </row>
    <row r="3866" spans="1:14" x14ac:dyDescent="0.3">
      <c r="A3866" s="1">
        <v>45210</v>
      </c>
      <c r="B3866" t="s">
        <v>25</v>
      </c>
      <c r="C3866" t="s">
        <v>455</v>
      </c>
      <c r="D3866" s="8"/>
      <c r="E3866" s="8"/>
      <c r="L3866" t="s">
        <v>563</v>
      </c>
      <c r="M3866" t="s">
        <v>478</v>
      </c>
      <c r="N3866" t="str">
        <f>Tabela_tudo[[#This Row],[Médico]]&amp;" ("&amp;Tabela_tudo[[#This Row],[Obs]]&amp;")"</f>
        <v>HEN ()</v>
      </c>
    </row>
    <row r="3867" spans="1:14" x14ac:dyDescent="0.3">
      <c r="A3867" s="1">
        <v>45203</v>
      </c>
      <c r="B3867" t="s">
        <v>25</v>
      </c>
      <c r="C3867" t="s">
        <v>455</v>
      </c>
      <c r="D3867" s="8"/>
      <c r="E3867" s="8"/>
      <c r="L3867" t="s">
        <v>563</v>
      </c>
      <c r="M3867" t="s">
        <v>478</v>
      </c>
      <c r="N3867" t="str">
        <f>Tabela_tudo[[#This Row],[Médico]]&amp;" ("&amp;Tabela_tudo[[#This Row],[Obs]]&amp;")"</f>
        <v>HEN ()</v>
      </c>
    </row>
    <row r="3868" spans="1:14" x14ac:dyDescent="0.3">
      <c r="A3868" s="1">
        <v>45140</v>
      </c>
      <c r="B3868" t="s">
        <v>25</v>
      </c>
      <c r="C3868" t="s">
        <v>455</v>
      </c>
      <c r="D3868" s="8"/>
      <c r="E3868" s="8"/>
      <c r="L3868" t="s">
        <v>563</v>
      </c>
      <c r="M3868" t="s">
        <v>478</v>
      </c>
      <c r="N3868" t="str">
        <f>Tabela_tudo[[#This Row],[Médico]]&amp;" ("&amp;Tabela_tudo[[#This Row],[Obs]]&amp;")"</f>
        <v>HEN ()</v>
      </c>
    </row>
    <row r="3869" spans="1:14" x14ac:dyDescent="0.3">
      <c r="A3869" s="1">
        <v>45133</v>
      </c>
      <c r="B3869" t="s">
        <v>25</v>
      </c>
      <c r="C3869" t="s">
        <v>455</v>
      </c>
      <c r="D3869" s="8"/>
      <c r="E3869" s="8"/>
      <c r="L3869" t="s">
        <v>563</v>
      </c>
      <c r="M3869" t="s">
        <v>478</v>
      </c>
      <c r="N3869" t="str">
        <f>Tabela_tudo[[#This Row],[Médico]]&amp;" ("&amp;Tabela_tudo[[#This Row],[Obs]]&amp;")"</f>
        <v>HEN ()</v>
      </c>
    </row>
    <row r="3870" spans="1:14" x14ac:dyDescent="0.3">
      <c r="A3870" s="1">
        <v>45126</v>
      </c>
      <c r="B3870" t="s">
        <v>25</v>
      </c>
      <c r="C3870" t="s">
        <v>455</v>
      </c>
      <c r="D3870" s="8"/>
      <c r="E3870" s="8"/>
      <c r="L3870" t="s">
        <v>563</v>
      </c>
      <c r="M3870" t="s">
        <v>478</v>
      </c>
      <c r="N3870" t="str">
        <f>Tabela_tudo[[#This Row],[Médico]]&amp;" ("&amp;Tabela_tudo[[#This Row],[Obs]]&amp;")"</f>
        <v>HEN ()</v>
      </c>
    </row>
    <row r="3871" spans="1:14" x14ac:dyDescent="0.3">
      <c r="A3871" s="1">
        <v>45147</v>
      </c>
      <c r="B3871" t="s">
        <v>25</v>
      </c>
      <c r="C3871" t="s">
        <v>455</v>
      </c>
      <c r="D3871" s="8"/>
      <c r="E3871" s="8"/>
      <c r="L3871" t="s">
        <v>563</v>
      </c>
      <c r="M3871" t="s">
        <v>478</v>
      </c>
      <c r="N3871" t="str">
        <f>Tabela_tudo[[#This Row],[Médico]]&amp;" ("&amp;Tabela_tudo[[#This Row],[Obs]]&amp;")"</f>
        <v>HEN ()</v>
      </c>
    </row>
    <row r="3872" spans="1:14" x14ac:dyDescent="0.3">
      <c r="A3872" s="1">
        <v>45168</v>
      </c>
      <c r="B3872" t="s">
        <v>25</v>
      </c>
      <c r="C3872" t="s">
        <v>455</v>
      </c>
      <c r="D3872" s="8"/>
      <c r="E3872" s="8"/>
      <c r="L3872" t="s">
        <v>563</v>
      </c>
      <c r="M3872" t="s">
        <v>478</v>
      </c>
      <c r="N3872" t="str">
        <f>Tabela_tudo[[#This Row],[Médico]]&amp;" ("&amp;Tabela_tudo[[#This Row],[Obs]]&amp;")"</f>
        <v>HEN ()</v>
      </c>
    </row>
    <row r="3873" spans="1:14" x14ac:dyDescent="0.3">
      <c r="A3873" s="1">
        <v>45161</v>
      </c>
      <c r="B3873" t="s">
        <v>25</v>
      </c>
      <c r="C3873" t="s">
        <v>455</v>
      </c>
      <c r="D3873" s="8"/>
      <c r="E3873" s="8"/>
      <c r="L3873" t="s">
        <v>563</v>
      </c>
      <c r="M3873" t="s">
        <v>478</v>
      </c>
      <c r="N3873" t="str">
        <f>Tabela_tudo[[#This Row],[Médico]]&amp;" ("&amp;Tabela_tudo[[#This Row],[Obs]]&amp;")"</f>
        <v>HEN ()</v>
      </c>
    </row>
    <row r="3874" spans="1:14" x14ac:dyDescent="0.3">
      <c r="A3874" s="1">
        <v>45154</v>
      </c>
      <c r="B3874" t="s">
        <v>25</v>
      </c>
      <c r="C3874" t="s">
        <v>455</v>
      </c>
      <c r="D3874" s="8"/>
      <c r="E3874" s="8"/>
      <c r="L3874" t="s">
        <v>563</v>
      </c>
      <c r="M3874" t="s">
        <v>478</v>
      </c>
      <c r="N3874" t="str">
        <f>Tabela_tudo[[#This Row],[Médico]]&amp;" ("&amp;Tabela_tudo[[#This Row],[Obs]]&amp;")"</f>
        <v>HEN ()</v>
      </c>
    </row>
    <row r="3875" spans="1:14" x14ac:dyDescent="0.3">
      <c r="A3875" s="1">
        <v>45007</v>
      </c>
      <c r="B3875" t="s">
        <v>25</v>
      </c>
      <c r="C3875" t="s">
        <v>455</v>
      </c>
      <c r="D3875" s="8"/>
      <c r="E3875" s="8"/>
      <c r="L3875" t="s">
        <v>563</v>
      </c>
      <c r="M3875" t="s">
        <v>478</v>
      </c>
      <c r="N3875" t="str">
        <f>Tabela_tudo[[#This Row],[Médico]]&amp;" ("&amp;Tabela_tudo[[#This Row],[Obs]]&amp;")"</f>
        <v>HEN ()</v>
      </c>
    </row>
    <row r="3876" spans="1:14" x14ac:dyDescent="0.3">
      <c r="A3876" s="1">
        <v>45595</v>
      </c>
      <c r="B3876" t="s">
        <v>17</v>
      </c>
      <c r="C3876" t="s">
        <v>455</v>
      </c>
      <c r="D3876" s="8"/>
      <c r="E3876" s="8"/>
      <c r="L3876" t="s">
        <v>563</v>
      </c>
      <c r="M3876" t="s">
        <v>478</v>
      </c>
      <c r="N3876" t="str">
        <f>Tabela_tudo[[#This Row],[Médico]]&amp;" ("&amp;Tabela_tudo[[#This Row],[Obs]]&amp;")"</f>
        <v>FAB ()</v>
      </c>
    </row>
    <row r="3877" spans="1:14" x14ac:dyDescent="0.3">
      <c r="A3877" s="1">
        <v>45588</v>
      </c>
      <c r="B3877" t="s">
        <v>17</v>
      </c>
      <c r="C3877" t="s">
        <v>455</v>
      </c>
      <c r="D3877" s="8"/>
      <c r="E3877" s="8"/>
      <c r="L3877" t="s">
        <v>563</v>
      </c>
      <c r="M3877" t="s">
        <v>478</v>
      </c>
      <c r="N3877" t="str">
        <f>Tabela_tudo[[#This Row],[Médico]]&amp;" ("&amp;Tabela_tudo[[#This Row],[Obs]]&amp;")"</f>
        <v>FAB ()</v>
      </c>
    </row>
    <row r="3878" spans="1:14" x14ac:dyDescent="0.3">
      <c r="A3878" s="1">
        <v>45581</v>
      </c>
      <c r="B3878" t="s">
        <v>17</v>
      </c>
      <c r="C3878" t="s">
        <v>455</v>
      </c>
      <c r="D3878" s="8"/>
      <c r="E3878" s="8"/>
      <c r="L3878" t="s">
        <v>563</v>
      </c>
      <c r="M3878" t="s">
        <v>478</v>
      </c>
      <c r="N3878" t="str">
        <f>Tabela_tudo[[#This Row],[Médico]]&amp;" ("&amp;Tabela_tudo[[#This Row],[Obs]]&amp;")"</f>
        <v>FAB ()</v>
      </c>
    </row>
    <row r="3879" spans="1:14" x14ac:dyDescent="0.3">
      <c r="A3879" s="1">
        <v>45602</v>
      </c>
      <c r="B3879" t="s">
        <v>17</v>
      </c>
      <c r="C3879" t="s">
        <v>455</v>
      </c>
      <c r="D3879" s="8"/>
      <c r="E3879" s="8"/>
      <c r="L3879" t="s">
        <v>563</v>
      </c>
      <c r="M3879" t="s">
        <v>478</v>
      </c>
      <c r="N3879" t="str">
        <f>Tabela_tudo[[#This Row],[Médico]]&amp;" ("&amp;Tabela_tudo[[#This Row],[Obs]]&amp;")"</f>
        <v>FAB ()</v>
      </c>
    </row>
    <row r="3880" spans="1:14" x14ac:dyDescent="0.3">
      <c r="A3880" s="1">
        <v>45623</v>
      </c>
      <c r="B3880" t="s">
        <v>17</v>
      </c>
      <c r="C3880" t="s">
        <v>455</v>
      </c>
      <c r="D3880" s="8"/>
      <c r="E3880" s="8"/>
      <c r="L3880" t="s">
        <v>563</v>
      </c>
      <c r="M3880" t="s">
        <v>478</v>
      </c>
      <c r="N3880" t="str">
        <f>Tabela_tudo[[#This Row],[Médico]]&amp;" ("&amp;Tabela_tudo[[#This Row],[Obs]]&amp;")"</f>
        <v>FAB ()</v>
      </c>
    </row>
    <row r="3881" spans="1:14" x14ac:dyDescent="0.3">
      <c r="A3881" s="1">
        <v>45616</v>
      </c>
      <c r="B3881" t="s">
        <v>17</v>
      </c>
      <c r="C3881" t="s">
        <v>455</v>
      </c>
      <c r="D3881" s="8"/>
      <c r="E3881" s="8"/>
      <c r="L3881" t="s">
        <v>563</v>
      </c>
      <c r="M3881" t="s">
        <v>478</v>
      </c>
      <c r="N3881" t="str">
        <f>Tabela_tudo[[#This Row],[Médico]]&amp;" ("&amp;Tabela_tudo[[#This Row],[Obs]]&amp;")"</f>
        <v>FAB ()</v>
      </c>
    </row>
    <row r="3882" spans="1:14" x14ac:dyDescent="0.3">
      <c r="A3882" s="1">
        <v>45609</v>
      </c>
      <c r="B3882" t="s">
        <v>17</v>
      </c>
      <c r="C3882" t="s">
        <v>455</v>
      </c>
      <c r="D3882" s="8"/>
      <c r="E3882" s="8"/>
      <c r="L3882" t="s">
        <v>563</v>
      </c>
      <c r="M3882" t="s">
        <v>478</v>
      </c>
      <c r="N3882" t="str">
        <f>Tabela_tudo[[#This Row],[Médico]]&amp;" ("&amp;Tabela_tudo[[#This Row],[Obs]]&amp;")"</f>
        <v>FAB ()</v>
      </c>
    </row>
    <row r="3883" spans="1:14" x14ac:dyDescent="0.3">
      <c r="A3883" s="1">
        <v>45546</v>
      </c>
      <c r="B3883" t="s">
        <v>17</v>
      </c>
      <c r="C3883" t="s">
        <v>455</v>
      </c>
      <c r="D3883" s="8"/>
      <c r="E3883" s="8"/>
      <c r="L3883" t="s">
        <v>563</v>
      </c>
      <c r="M3883" t="s">
        <v>478</v>
      </c>
      <c r="N3883" t="str">
        <f>Tabela_tudo[[#This Row],[Médico]]&amp;" ("&amp;Tabela_tudo[[#This Row],[Obs]]&amp;")"</f>
        <v>FAB ()</v>
      </c>
    </row>
    <row r="3884" spans="1:14" x14ac:dyDescent="0.3">
      <c r="A3884" s="1">
        <v>45539</v>
      </c>
      <c r="B3884" t="s">
        <v>17</v>
      </c>
      <c r="C3884" t="s">
        <v>455</v>
      </c>
      <c r="D3884" s="8"/>
      <c r="E3884" s="8"/>
      <c r="L3884" t="s">
        <v>563</v>
      </c>
      <c r="M3884" t="s">
        <v>478</v>
      </c>
      <c r="N3884" t="str">
        <f>Tabela_tudo[[#This Row],[Médico]]&amp;" ("&amp;Tabela_tudo[[#This Row],[Obs]]&amp;")"</f>
        <v>FAB ()</v>
      </c>
    </row>
    <row r="3885" spans="1:14" x14ac:dyDescent="0.3">
      <c r="A3885" s="1">
        <v>45532</v>
      </c>
      <c r="B3885" t="s">
        <v>17</v>
      </c>
      <c r="C3885" t="s">
        <v>455</v>
      </c>
      <c r="D3885" s="8"/>
      <c r="E3885" s="8"/>
      <c r="L3885" t="s">
        <v>563</v>
      </c>
      <c r="M3885" t="s">
        <v>478</v>
      </c>
      <c r="N3885" t="str">
        <f>Tabela_tudo[[#This Row],[Médico]]&amp;" ("&amp;Tabela_tudo[[#This Row],[Obs]]&amp;")"</f>
        <v>FAB ()</v>
      </c>
    </row>
    <row r="3886" spans="1:14" x14ac:dyDescent="0.3">
      <c r="A3886" s="1">
        <v>45553</v>
      </c>
      <c r="B3886" t="s">
        <v>17</v>
      </c>
      <c r="C3886" t="s">
        <v>455</v>
      </c>
      <c r="D3886" s="8"/>
      <c r="E3886" s="8"/>
      <c r="L3886" t="s">
        <v>563</v>
      </c>
      <c r="M3886" t="s">
        <v>478</v>
      </c>
      <c r="N3886" t="str">
        <f>Tabela_tudo[[#This Row],[Médico]]&amp;" ("&amp;Tabela_tudo[[#This Row],[Obs]]&amp;")"</f>
        <v>FAB ()</v>
      </c>
    </row>
    <row r="3887" spans="1:14" x14ac:dyDescent="0.3">
      <c r="A3887" s="1">
        <v>45574</v>
      </c>
      <c r="B3887" t="s">
        <v>17</v>
      </c>
      <c r="C3887" t="s">
        <v>455</v>
      </c>
      <c r="D3887" s="8"/>
      <c r="E3887" s="8"/>
      <c r="L3887" t="s">
        <v>563</v>
      </c>
      <c r="M3887" t="s">
        <v>478</v>
      </c>
      <c r="N3887" t="str">
        <f>Tabela_tudo[[#This Row],[Médico]]&amp;" ("&amp;Tabela_tudo[[#This Row],[Obs]]&amp;")"</f>
        <v>FAB ()</v>
      </c>
    </row>
    <row r="3888" spans="1:14" x14ac:dyDescent="0.3">
      <c r="A3888" s="1">
        <v>45567</v>
      </c>
      <c r="B3888" t="s">
        <v>17</v>
      </c>
      <c r="C3888" t="s">
        <v>455</v>
      </c>
      <c r="D3888" s="8"/>
      <c r="E3888" s="8"/>
      <c r="L3888" t="s">
        <v>563</v>
      </c>
      <c r="M3888" t="s">
        <v>478</v>
      </c>
      <c r="N3888" t="str">
        <f>Tabela_tudo[[#This Row],[Médico]]&amp;" ("&amp;Tabela_tudo[[#This Row],[Obs]]&amp;")"</f>
        <v>FAB ()</v>
      </c>
    </row>
    <row r="3889" spans="1:14" x14ac:dyDescent="0.3">
      <c r="A3889" s="1">
        <v>45560</v>
      </c>
      <c r="B3889" t="s">
        <v>17</v>
      </c>
      <c r="C3889" t="s">
        <v>455</v>
      </c>
      <c r="D3889" s="8"/>
      <c r="E3889" s="8"/>
      <c r="L3889" t="s">
        <v>563</v>
      </c>
      <c r="M3889" t="s">
        <v>478</v>
      </c>
      <c r="N3889" t="str">
        <f>Tabela_tudo[[#This Row],[Médico]]&amp;" ("&amp;Tabela_tudo[[#This Row],[Obs]]&amp;")"</f>
        <v>FAB ()</v>
      </c>
    </row>
    <row r="3890" spans="1:14" x14ac:dyDescent="0.3">
      <c r="A3890" s="1">
        <v>45630</v>
      </c>
      <c r="B3890" t="s">
        <v>17</v>
      </c>
      <c r="C3890" t="s">
        <v>455</v>
      </c>
      <c r="D3890" s="8"/>
      <c r="E3890" s="8"/>
      <c r="L3890" t="s">
        <v>563</v>
      </c>
      <c r="M3890" t="s">
        <v>478</v>
      </c>
      <c r="N3890" t="str">
        <f>Tabela_tudo[[#This Row],[Médico]]&amp;" ("&amp;Tabela_tudo[[#This Row],[Obs]]&amp;")"</f>
        <v>FAB ()</v>
      </c>
    </row>
    <row r="3891" spans="1:14" x14ac:dyDescent="0.3">
      <c r="A3891" s="1">
        <v>44972</v>
      </c>
      <c r="B3891" t="s">
        <v>25</v>
      </c>
      <c r="C3891" t="s">
        <v>455</v>
      </c>
      <c r="D3891" s="8"/>
      <c r="E3891" s="8"/>
      <c r="L3891" t="s">
        <v>563</v>
      </c>
      <c r="M3891" t="s">
        <v>478</v>
      </c>
      <c r="N3891" t="str">
        <f>Tabela_tudo[[#This Row],[Médico]]&amp;" ("&amp;Tabela_tudo[[#This Row],[Obs]]&amp;")"</f>
        <v>HEN ()</v>
      </c>
    </row>
    <row r="3892" spans="1:14" x14ac:dyDescent="0.3">
      <c r="A3892" s="1">
        <v>44965</v>
      </c>
      <c r="B3892" t="s">
        <v>25</v>
      </c>
      <c r="C3892" t="s">
        <v>455</v>
      </c>
      <c r="D3892" s="8"/>
      <c r="E3892" s="8"/>
      <c r="L3892" t="s">
        <v>563</v>
      </c>
      <c r="M3892" t="s">
        <v>478</v>
      </c>
      <c r="N3892" t="str">
        <f>Tabela_tudo[[#This Row],[Médico]]&amp;" ("&amp;Tabela_tudo[[#This Row],[Obs]]&amp;")"</f>
        <v>HEN ()</v>
      </c>
    </row>
    <row r="3893" spans="1:14" x14ac:dyDescent="0.3">
      <c r="A3893" s="1">
        <v>44958</v>
      </c>
      <c r="B3893" t="s">
        <v>25</v>
      </c>
      <c r="C3893" t="s">
        <v>455</v>
      </c>
      <c r="D3893" s="8"/>
      <c r="E3893" s="8"/>
      <c r="L3893" t="s">
        <v>563</v>
      </c>
      <c r="M3893" t="s">
        <v>478</v>
      </c>
      <c r="N3893" t="str">
        <f>Tabela_tudo[[#This Row],[Médico]]&amp;" ("&amp;Tabela_tudo[[#This Row],[Obs]]&amp;")"</f>
        <v>HEN ()</v>
      </c>
    </row>
    <row r="3894" spans="1:14" x14ac:dyDescent="0.3">
      <c r="A3894" s="1">
        <v>44979</v>
      </c>
      <c r="B3894" t="s">
        <v>25</v>
      </c>
      <c r="C3894" t="s">
        <v>455</v>
      </c>
      <c r="D3894" s="8"/>
      <c r="E3894" s="8"/>
      <c r="L3894" t="s">
        <v>563</v>
      </c>
      <c r="M3894" t="s">
        <v>478</v>
      </c>
      <c r="N3894" t="str">
        <f>Tabela_tudo[[#This Row],[Médico]]&amp;" ("&amp;Tabela_tudo[[#This Row],[Obs]]&amp;")"</f>
        <v>HEN ()</v>
      </c>
    </row>
    <row r="3895" spans="1:14" x14ac:dyDescent="0.3">
      <c r="A3895" s="1">
        <v>45000</v>
      </c>
      <c r="B3895" t="s">
        <v>25</v>
      </c>
      <c r="C3895" t="s">
        <v>455</v>
      </c>
      <c r="D3895" s="8"/>
      <c r="E3895" s="8"/>
      <c r="L3895" t="s">
        <v>563</v>
      </c>
      <c r="M3895" t="s">
        <v>478</v>
      </c>
      <c r="N3895" t="str">
        <f>Tabela_tudo[[#This Row],[Médico]]&amp;" ("&amp;Tabela_tudo[[#This Row],[Obs]]&amp;")"</f>
        <v>HEN ()</v>
      </c>
    </row>
    <row r="3896" spans="1:14" x14ac:dyDescent="0.3">
      <c r="A3896" s="1">
        <v>44993</v>
      </c>
      <c r="B3896" t="s">
        <v>25</v>
      </c>
      <c r="C3896" t="s">
        <v>455</v>
      </c>
      <c r="D3896" s="8"/>
      <c r="E3896" s="8"/>
      <c r="L3896" t="s">
        <v>563</v>
      </c>
      <c r="M3896" t="s">
        <v>478</v>
      </c>
      <c r="N3896" t="str">
        <f>Tabela_tudo[[#This Row],[Médico]]&amp;" ("&amp;Tabela_tudo[[#This Row],[Obs]]&amp;")"</f>
        <v>HEN ()</v>
      </c>
    </row>
    <row r="3897" spans="1:14" x14ac:dyDescent="0.3">
      <c r="A3897" s="1">
        <v>44986</v>
      </c>
      <c r="B3897" t="s">
        <v>25</v>
      </c>
      <c r="C3897" t="s">
        <v>455</v>
      </c>
      <c r="D3897" s="8"/>
      <c r="E3897" s="8"/>
      <c r="L3897" t="s">
        <v>563</v>
      </c>
      <c r="M3897" t="s">
        <v>478</v>
      </c>
      <c r="N3897" t="str">
        <f>Tabela_tudo[[#This Row],[Médico]]&amp;" ("&amp;Tabela_tudo[[#This Row],[Obs]]&amp;")"</f>
        <v>HEN ()</v>
      </c>
    </row>
    <row r="3898" spans="1:14" x14ac:dyDescent="0.3">
      <c r="A3898" s="1">
        <v>45651</v>
      </c>
      <c r="B3898" t="s">
        <v>17</v>
      </c>
      <c r="C3898" t="s">
        <v>455</v>
      </c>
      <c r="D3898" s="8"/>
      <c r="E3898" s="8"/>
      <c r="L3898" t="s">
        <v>563</v>
      </c>
      <c r="M3898" t="s">
        <v>478</v>
      </c>
      <c r="N3898" t="str">
        <f>Tabela_tudo[[#This Row],[Médico]]&amp;" ("&amp;Tabela_tudo[[#This Row],[Obs]]&amp;")"</f>
        <v>FAB ()</v>
      </c>
    </row>
    <row r="3899" spans="1:14" x14ac:dyDescent="0.3">
      <c r="A3899" s="1">
        <v>45644</v>
      </c>
      <c r="B3899" t="s">
        <v>17</v>
      </c>
      <c r="C3899" t="s">
        <v>455</v>
      </c>
      <c r="D3899" s="8"/>
      <c r="E3899" s="8"/>
      <c r="L3899" t="s">
        <v>563</v>
      </c>
      <c r="M3899" t="s">
        <v>478</v>
      </c>
      <c r="N3899" t="str">
        <f>Tabela_tudo[[#This Row],[Médico]]&amp;" ("&amp;Tabela_tudo[[#This Row],[Obs]]&amp;")"</f>
        <v>FAB ()</v>
      </c>
    </row>
    <row r="3900" spans="1:14" x14ac:dyDescent="0.3">
      <c r="A3900" s="1">
        <v>45637</v>
      </c>
      <c r="B3900" t="s">
        <v>17</v>
      </c>
      <c r="C3900" t="s">
        <v>455</v>
      </c>
      <c r="D3900" s="8"/>
      <c r="E3900" s="8"/>
      <c r="L3900" t="s">
        <v>563</v>
      </c>
      <c r="M3900" t="s">
        <v>478</v>
      </c>
      <c r="N3900" t="str">
        <f>Tabela_tudo[[#This Row],[Médico]]&amp;" ("&amp;Tabela_tudo[[#This Row],[Obs]]&amp;")"</f>
        <v>FAB ()</v>
      </c>
    </row>
    <row r="3901" spans="1:14" x14ac:dyDescent="0.3">
      <c r="A3901" s="1">
        <v>44930</v>
      </c>
      <c r="B3901" t="s">
        <v>25</v>
      </c>
      <c r="C3901" t="s">
        <v>455</v>
      </c>
      <c r="D3901" s="8"/>
      <c r="E3901" s="8"/>
      <c r="L3901" t="s">
        <v>563</v>
      </c>
      <c r="M3901" t="s">
        <v>478</v>
      </c>
      <c r="N3901" t="str">
        <f>Tabela_tudo[[#This Row],[Médico]]&amp;" ("&amp;Tabela_tudo[[#This Row],[Obs]]&amp;")"</f>
        <v>HEN ()</v>
      </c>
    </row>
    <row r="3902" spans="1:14" x14ac:dyDescent="0.3">
      <c r="A3902" s="1">
        <v>44951</v>
      </c>
      <c r="B3902" t="s">
        <v>25</v>
      </c>
      <c r="C3902" t="s">
        <v>455</v>
      </c>
      <c r="D3902" s="8"/>
      <c r="E3902" s="8"/>
      <c r="L3902" t="s">
        <v>563</v>
      </c>
      <c r="M3902" t="s">
        <v>478</v>
      </c>
      <c r="N3902" t="str">
        <f>Tabela_tudo[[#This Row],[Médico]]&amp;" ("&amp;Tabela_tudo[[#This Row],[Obs]]&amp;")"</f>
        <v>HEN ()</v>
      </c>
    </row>
    <row r="3903" spans="1:14" x14ac:dyDescent="0.3">
      <c r="A3903" s="1">
        <v>44944</v>
      </c>
      <c r="B3903" t="s">
        <v>25</v>
      </c>
      <c r="C3903" t="s">
        <v>455</v>
      </c>
      <c r="D3903" s="8"/>
      <c r="E3903" s="8"/>
      <c r="L3903" t="s">
        <v>563</v>
      </c>
      <c r="M3903" t="s">
        <v>478</v>
      </c>
      <c r="N3903" t="str">
        <f>Tabela_tudo[[#This Row],[Médico]]&amp;" ("&amp;Tabela_tudo[[#This Row],[Obs]]&amp;")"</f>
        <v>HEN ()</v>
      </c>
    </row>
    <row r="3904" spans="1:14" x14ac:dyDescent="0.3">
      <c r="A3904" s="1">
        <v>44937</v>
      </c>
      <c r="B3904" t="s">
        <v>25</v>
      </c>
      <c r="C3904" t="s">
        <v>455</v>
      </c>
      <c r="D3904" s="8"/>
      <c r="E3904" s="8"/>
      <c r="L3904" t="s">
        <v>563</v>
      </c>
      <c r="M3904" t="s">
        <v>478</v>
      </c>
      <c r="N3904" t="str">
        <f>Tabela_tudo[[#This Row],[Médico]]&amp;" ("&amp;Tabela_tudo[[#This Row],[Obs]]&amp;")"</f>
        <v>HEN ()</v>
      </c>
    </row>
    <row r="3905" spans="1:14" x14ac:dyDescent="0.3">
      <c r="A3905" s="1">
        <v>44994</v>
      </c>
      <c r="B3905" t="s">
        <v>48</v>
      </c>
      <c r="C3905" t="s">
        <v>455</v>
      </c>
      <c r="D3905" s="8"/>
      <c r="E3905" s="8"/>
      <c r="L3905" t="s">
        <v>563</v>
      </c>
      <c r="M3905" t="s">
        <v>478</v>
      </c>
      <c r="N3905" t="str">
        <f>Tabela_tudo[[#This Row],[Médico]]&amp;" ("&amp;Tabela_tudo[[#This Row],[Obs]]&amp;")"</f>
        <v>MAF ()</v>
      </c>
    </row>
    <row r="3906" spans="1:14" x14ac:dyDescent="0.3">
      <c r="A3906" s="1">
        <v>44987</v>
      </c>
      <c r="B3906" t="s">
        <v>48</v>
      </c>
      <c r="C3906" t="s">
        <v>455</v>
      </c>
      <c r="D3906" s="8"/>
      <c r="E3906" s="8"/>
      <c r="L3906" t="s">
        <v>563</v>
      </c>
      <c r="M3906" t="s">
        <v>478</v>
      </c>
      <c r="N3906" t="str">
        <f>Tabela_tudo[[#This Row],[Médico]]&amp;" ("&amp;Tabela_tudo[[#This Row],[Obs]]&amp;")"</f>
        <v>MAF ()</v>
      </c>
    </row>
    <row r="3907" spans="1:14" x14ac:dyDescent="0.3">
      <c r="A3907" s="1">
        <v>44980</v>
      </c>
      <c r="B3907" t="s">
        <v>48</v>
      </c>
      <c r="C3907" t="s">
        <v>455</v>
      </c>
      <c r="D3907" s="8"/>
      <c r="E3907" s="8"/>
      <c r="L3907" t="s">
        <v>563</v>
      </c>
      <c r="M3907" t="s">
        <v>478</v>
      </c>
      <c r="N3907" t="str">
        <f>Tabela_tudo[[#This Row],[Médico]]&amp;" ("&amp;Tabela_tudo[[#This Row],[Obs]]&amp;")"</f>
        <v>MAF ()</v>
      </c>
    </row>
    <row r="3908" spans="1:14" x14ac:dyDescent="0.3">
      <c r="A3908" s="1">
        <v>45001</v>
      </c>
      <c r="B3908" t="s">
        <v>48</v>
      </c>
      <c r="C3908" t="s">
        <v>455</v>
      </c>
      <c r="D3908" s="8"/>
      <c r="E3908" s="8"/>
      <c r="L3908" t="s">
        <v>563</v>
      </c>
      <c r="M3908" t="s">
        <v>478</v>
      </c>
      <c r="N3908" t="str">
        <f>Tabela_tudo[[#This Row],[Médico]]&amp;" ("&amp;Tabela_tudo[[#This Row],[Obs]]&amp;")"</f>
        <v>MAF ()</v>
      </c>
    </row>
    <row r="3909" spans="1:14" x14ac:dyDescent="0.3">
      <c r="A3909" s="1">
        <v>45022</v>
      </c>
      <c r="B3909" t="s">
        <v>48</v>
      </c>
      <c r="C3909" t="s">
        <v>455</v>
      </c>
      <c r="D3909" s="8"/>
      <c r="E3909" s="8"/>
      <c r="L3909" t="s">
        <v>563</v>
      </c>
      <c r="M3909" t="s">
        <v>478</v>
      </c>
      <c r="N3909" t="str">
        <f>Tabela_tudo[[#This Row],[Médico]]&amp;" ("&amp;Tabela_tudo[[#This Row],[Obs]]&amp;")"</f>
        <v>MAF ()</v>
      </c>
    </row>
    <row r="3910" spans="1:14" x14ac:dyDescent="0.3">
      <c r="A3910" s="1">
        <v>45015</v>
      </c>
      <c r="B3910" t="s">
        <v>48</v>
      </c>
      <c r="C3910" t="s">
        <v>455</v>
      </c>
      <c r="D3910" s="8"/>
      <c r="E3910" s="8"/>
      <c r="L3910" t="s">
        <v>563</v>
      </c>
      <c r="M3910" t="s">
        <v>478</v>
      </c>
      <c r="N3910" t="str">
        <f>Tabela_tudo[[#This Row],[Médico]]&amp;" ("&amp;Tabela_tudo[[#This Row],[Obs]]&amp;")"</f>
        <v>MAF ()</v>
      </c>
    </row>
    <row r="3911" spans="1:14" x14ac:dyDescent="0.3">
      <c r="A3911" s="1">
        <v>45008</v>
      </c>
      <c r="B3911" t="s">
        <v>48</v>
      </c>
      <c r="C3911" t="s">
        <v>455</v>
      </c>
      <c r="D3911" s="8"/>
      <c r="E3911" s="8"/>
      <c r="L3911" t="s">
        <v>563</v>
      </c>
      <c r="M3911" t="s">
        <v>478</v>
      </c>
      <c r="N3911" t="str">
        <f>Tabela_tudo[[#This Row],[Médico]]&amp;" ("&amp;Tabela_tudo[[#This Row],[Obs]]&amp;")"</f>
        <v>MAF ()</v>
      </c>
    </row>
    <row r="3912" spans="1:14" x14ac:dyDescent="0.3">
      <c r="A3912" s="1">
        <v>44945</v>
      </c>
      <c r="B3912" t="s">
        <v>48</v>
      </c>
      <c r="C3912" t="s">
        <v>455</v>
      </c>
      <c r="D3912" s="8"/>
      <c r="E3912" s="8"/>
      <c r="L3912" t="s">
        <v>563</v>
      </c>
      <c r="M3912" t="s">
        <v>478</v>
      </c>
      <c r="N3912" t="str">
        <f>Tabela_tudo[[#This Row],[Médico]]&amp;" ("&amp;Tabela_tudo[[#This Row],[Obs]]&amp;")"</f>
        <v>MAF ()</v>
      </c>
    </row>
    <row r="3913" spans="1:14" x14ac:dyDescent="0.3">
      <c r="A3913" s="1">
        <v>44938</v>
      </c>
      <c r="B3913" t="s">
        <v>48</v>
      </c>
      <c r="C3913" t="s">
        <v>455</v>
      </c>
      <c r="D3913" s="8"/>
      <c r="E3913" s="8"/>
      <c r="L3913" t="s">
        <v>563</v>
      </c>
      <c r="M3913" t="s">
        <v>478</v>
      </c>
      <c r="N3913" t="str">
        <f>Tabela_tudo[[#This Row],[Médico]]&amp;" ("&amp;Tabela_tudo[[#This Row],[Obs]]&amp;")"</f>
        <v>MAF ()</v>
      </c>
    </row>
    <row r="3914" spans="1:14" x14ac:dyDescent="0.3">
      <c r="A3914" s="1">
        <v>44931</v>
      </c>
      <c r="B3914" t="s">
        <v>48</v>
      </c>
      <c r="C3914" t="s">
        <v>455</v>
      </c>
      <c r="D3914" s="8"/>
      <c r="E3914" s="8"/>
      <c r="L3914" t="s">
        <v>563</v>
      </c>
      <c r="M3914" t="s">
        <v>478</v>
      </c>
      <c r="N3914" t="str">
        <f>Tabela_tudo[[#This Row],[Médico]]&amp;" ("&amp;Tabela_tudo[[#This Row],[Obs]]&amp;")"</f>
        <v>MAF ()</v>
      </c>
    </row>
    <row r="3915" spans="1:14" x14ac:dyDescent="0.3">
      <c r="A3915" s="1">
        <v>44952</v>
      </c>
      <c r="B3915" t="s">
        <v>48</v>
      </c>
      <c r="C3915" t="s">
        <v>455</v>
      </c>
      <c r="D3915" s="8"/>
      <c r="E3915" s="8"/>
      <c r="L3915" t="s">
        <v>563</v>
      </c>
      <c r="M3915" t="s">
        <v>478</v>
      </c>
      <c r="N3915" t="str">
        <f>Tabela_tudo[[#This Row],[Médico]]&amp;" ("&amp;Tabela_tudo[[#This Row],[Obs]]&amp;")"</f>
        <v>MAF ()</v>
      </c>
    </row>
    <row r="3916" spans="1:14" x14ac:dyDescent="0.3">
      <c r="A3916" s="1">
        <v>44973</v>
      </c>
      <c r="B3916" t="s">
        <v>48</v>
      </c>
      <c r="C3916" t="s">
        <v>455</v>
      </c>
      <c r="D3916" s="8"/>
      <c r="E3916" s="8"/>
      <c r="L3916" t="s">
        <v>563</v>
      </c>
      <c r="M3916" t="s">
        <v>478</v>
      </c>
      <c r="N3916" t="str">
        <f>Tabela_tudo[[#This Row],[Médico]]&amp;" ("&amp;Tabela_tudo[[#This Row],[Obs]]&amp;")"</f>
        <v>MAF ()</v>
      </c>
    </row>
    <row r="3917" spans="1:14" x14ac:dyDescent="0.3">
      <c r="A3917" s="1">
        <v>44966</v>
      </c>
      <c r="B3917" t="s">
        <v>48</v>
      </c>
      <c r="C3917" t="s">
        <v>455</v>
      </c>
      <c r="D3917" s="8"/>
      <c r="E3917" s="8"/>
      <c r="L3917" t="s">
        <v>563</v>
      </c>
      <c r="M3917" t="s">
        <v>478</v>
      </c>
      <c r="N3917" t="str">
        <f>Tabela_tudo[[#This Row],[Médico]]&amp;" ("&amp;Tabela_tudo[[#This Row],[Obs]]&amp;")"</f>
        <v>MAF ()</v>
      </c>
    </row>
    <row r="3918" spans="1:14" x14ac:dyDescent="0.3">
      <c r="A3918" s="1">
        <v>44959</v>
      </c>
      <c r="B3918" t="s">
        <v>48</v>
      </c>
      <c r="C3918" t="s">
        <v>455</v>
      </c>
      <c r="D3918" s="8"/>
      <c r="E3918" s="8"/>
      <c r="L3918" t="s">
        <v>563</v>
      </c>
      <c r="M3918" t="s">
        <v>478</v>
      </c>
      <c r="N3918" t="str">
        <f>Tabela_tudo[[#This Row],[Médico]]&amp;" ("&amp;Tabela_tudo[[#This Row],[Obs]]&amp;")"</f>
        <v>MAF ()</v>
      </c>
    </row>
    <row r="3919" spans="1:14" x14ac:dyDescent="0.3">
      <c r="A3919" s="1">
        <v>45029</v>
      </c>
      <c r="B3919" t="s">
        <v>48</v>
      </c>
      <c r="C3919" t="s">
        <v>455</v>
      </c>
      <c r="D3919" s="8"/>
      <c r="E3919" s="8"/>
      <c r="L3919" t="s">
        <v>563</v>
      </c>
      <c r="M3919" t="s">
        <v>478</v>
      </c>
      <c r="N3919" t="str">
        <f>Tabela_tudo[[#This Row],[Médico]]&amp;" ("&amp;Tabela_tudo[[#This Row],[Obs]]&amp;")"</f>
        <v>MAF ()</v>
      </c>
    </row>
    <row r="3920" spans="1:14" x14ac:dyDescent="0.3">
      <c r="A3920" s="1">
        <v>45099</v>
      </c>
      <c r="B3920" t="s">
        <v>48</v>
      </c>
      <c r="C3920" t="s">
        <v>455</v>
      </c>
      <c r="D3920" s="8"/>
      <c r="E3920" s="8"/>
      <c r="L3920" t="s">
        <v>563</v>
      </c>
      <c r="M3920" t="s">
        <v>478</v>
      </c>
      <c r="N3920" t="str">
        <f>Tabela_tudo[[#This Row],[Médico]]&amp;" ("&amp;Tabela_tudo[[#This Row],[Obs]]&amp;")"</f>
        <v>MAF ()</v>
      </c>
    </row>
    <row r="3921" spans="1:14" x14ac:dyDescent="0.3">
      <c r="A3921" s="1">
        <v>45092</v>
      </c>
      <c r="B3921" t="s">
        <v>48</v>
      </c>
      <c r="C3921" t="s">
        <v>455</v>
      </c>
      <c r="D3921" s="8"/>
      <c r="E3921" s="8"/>
      <c r="L3921" t="s">
        <v>563</v>
      </c>
      <c r="M3921" t="s">
        <v>478</v>
      </c>
      <c r="N3921" t="str">
        <f>Tabela_tudo[[#This Row],[Médico]]&amp;" ("&amp;Tabela_tudo[[#This Row],[Obs]]&amp;")"</f>
        <v>MAF ()</v>
      </c>
    </row>
    <row r="3922" spans="1:14" x14ac:dyDescent="0.3">
      <c r="A3922" s="1">
        <v>45085</v>
      </c>
      <c r="B3922" t="s">
        <v>48</v>
      </c>
      <c r="C3922" t="s">
        <v>455</v>
      </c>
      <c r="D3922" s="8"/>
      <c r="E3922" s="8"/>
      <c r="L3922" t="s">
        <v>563</v>
      </c>
      <c r="M3922" t="s">
        <v>478</v>
      </c>
      <c r="N3922" t="str">
        <f>Tabela_tudo[[#This Row],[Médico]]&amp;" ("&amp;Tabela_tudo[[#This Row],[Obs]]&amp;")"</f>
        <v>MAF ()</v>
      </c>
    </row>
    <row r="3923" spans="1:14" x14ac:dyDescent="0.3">
      <c r="A3923" s="1">
        <v>45106</v>
      </c>
      <c r="B3923" t="s">
        <v>48</v>
      </c>
      <c r="C3923" t="s">
        <v>455</v>
      </c>
      <c r="D3923" s="8"/>
      <c r="E3923" s="8"/>
      <c r="L3923" t="s">
        <v>563</v>
      </c>
      <c r="M3923" t="s">
        <v>478</v>
      </c>
      <c r="N3923" t="str">
        <f>Tabela_tudo[[#This Row],[Médico]]&amp;" ("&amp;Tabela_tudo[[#This Row],[Obs]]&amp;")"</f>
        <v>MAF ()</v>
      </c>
    </row>
    <row r="3924" spans="1:14" x14ac:dyDescent="0.3">
      <c r="A3924" s="1">
        <v>45127</v>
      </c>
      <c r="B3924" t="s">
        <v>48</v>
      </c>
      <c r="C3924" t="s">
        <v>455</v>
      </c>
      <c r="D3924" s="8"/>
      <c r="E3924" s="8"/>
      <c r="L3924" t="s">
        <v>563</v>
      </c>
      <c r="M3924" t="s">
        <v>478</v>
      </c>
      <c r="N3924" t="str">
        <f>Tabela_tudo[[#This Row],[Médico]]&amp;" ("&amp;Tabela_tudo[[#This Row],[Obs]]&amp;")"</f>
        <v>MAF ()</v>
      </c>
    </row>
    <row r="3925" spans="1:14" x14ac:dyDescent="0.3">
      <c r="A3925" s="1">
        <v>45120</v>
      </c>
      <c r="B3925" t="s">
        <v>48</v>
      </c>
      <c r="C3925" t="s">
        <v>455</v>
      </c>
      <c r="D3925" s="8"/>
      <c r="E3925" s="8"/>
      <c r="L3925" t="s">
        <v>563</v>
      </c>
      <c r="M3925" t="s">
        <v>478</v>
      </c>
      <c r="N3925" t="str">
        <f>Tabela_tudo[[#This Row],[Médico]]&amp;" ("&amp;Tabela_tudo[[#This Row],[Obs]]&amp;")"</f>
        <v>MAF ()</v>
      </c>
    </row>
    <row r="3926" spans="1:14" x14ac:dyDescent="0.3">
      <c r="A3926" s="1">
        <v>45113</v>
      </c>
      <c r="B3926" t="s">
        <v>48</v>
      </c>
      <c r="C3926" t="s">
        <v>455</v>
      </c>
      <c r="D3926" s="8"/>
      <c r="E3926" s="8"/>
      <c r="L3926" t="s">
        <v>563</v>
      </c>
      <c r="M3926" t="s">
        <v>478</v>
      </c>
      <c r="N3926" t="str">
        <f>Tabela_tudo[[#This Row],[Médico]]&amp;" ("&amp;Tabela_tudo[[#This Row],[Obs]]&amp;")"</f>
        <v>MAF ()</v>
      </c>
    </row>
    <row r="3927" spans="1:14" x14ac:dyDescent="0.3">
      <c r="A3927" s="1">
        <v>45050</v>
      </c>
      <c r="B3927" t="s">
        <v>48</v>
      </c>
      <c r="C3927" t="s">
        <v>455</v>
      </c>
      <c r="D3927" s="8"/>
      <c r="E3927" s="8"/>
      <c r="L3927" t="s">
        <v>563</v>
      </c>
      <c r="M3927" t="s">
        <v>478</v>
      </c>
      <c r="N3927" t="str">
        <f>Tabela_tudo[[#This Row],[Médico]]&amp;" ("&amp;Tabela_tudo[[#This Row],[Obs]]&amp;")"</f>
        <v>MAF ()</v>
      </c>
    </row>
    <row r="3928" spans="1:14" x14ac:dyDescent="0.3">
      <c r="A3928" s="1">
        <v>45043</v>
      </c>
      <c r="B3928" t="s">
        <v>48</v>
      </c>
      <c r="C3928" t="s">
        <v>455</v>
      </c>
      <c r="D3928" s="8"/>
      <c r="E3928" s="8"/>
      <c r="L3928" t="s">
        <v>563</v>
      </c>
      <c r="M3928" t="s">
        <v>478</v>
      </c>
      <c r="N3928" t="str">
        <f>Tabela_tudo[[#This Row],[Médico]]&amp;" ("&amp;Tabela_tudo[[#This Row],[Obs]]&amp;")"</f>
        <v>MAF ()</v>
      </c>
    </row>
    <row r="3929" spans="1:14" x14ac:dyDescent="0.3">
      <c r="A3929" s="1">
        <v>45036</v>
      </c>
      <c r="B3929" t="s">
        <v>48</v>
      </c>
      <c r="C3929" t="s">
        <v>455</v>
      </c>
      <c r="D3929" s="8"/>
      <c r="E3929" s="8"/>
      <c r="L3929" t="s">
        <v>563</v>
      </c>
      <c r="M3929" t="s">
        <v>478</v>
      </c>
      <c r="N3929" t="str">
        <f>Tabela_tudo[[#This Row],[Médico]]&amp;" ("&amp;Tabela_tudo[[#This Row],[Obs]]&amp;")"</f>
        <v>MAF ()</v>
      </c>
    </row>
    <row r="3930" spans="1:14" x14ac:dyDescent="0.3">
      <c r="A3930" s="1">
        <v>45057</v>
      </c>
      <c r="B3930" t="s">
        <v>48</v>
      </c>
      <c r="C3930" t="s">
        <v>455</v>
      </c>
      <c r="D3930" s="8"/>
      <c r="E3930" s="8"/>
      <c r="L3930" t="s">
        <v>563</v>
      </c>
      <c r="M3930" t="s">
        <v>478</v>
      </c>
      <c r="N3930" t="str">
        <f>Tabela_tudo[[#This Row],[Médico]]&amp;" ("&amp;Tabela_tudo[[#This Row],[Obs]]&amp;")"</f>
        <v>MAF ()</v>
      </c>
    </row>
    <row r="3931" spans="1:14" x14ac:dyDescent="0.3">
      <c r="A3931" s="1">
        <v>45078</v>
      </c>
      <c r="B3931" t="s">
        <v>48</v>
      </c>
      <c r="C3931" t="s">
        <v>455</v>
      </c>
      <c r="D3931" s="8"/>
      <c r="E3931" s="8"/>
      <c r="L3931" t="s">
        <v>563</v>
      </c>
      <c r="M3931" t="s">
        <v>478</v>
      </c>
      <c r="N3931" t="str">
        <f>Tabela_tudo[[#This Row],[Médico]]&amp;" ("&amp;Tabela_tudo[[#This Row],[Obs]]&amp;")"</f>
        <v>MAF ()</v>
      </c>
    </row>
    <row r="3932" spans="1:14" x14ac:dyDescent="0.3">
      <c r="A3932" s="1">
        <v>45071</v>
      </c>
      <c r="B3932" t="s">
        <v>48</v>
      </c>
      <c r="C3932" t="s">
        <v>455</v>
      </c>
      <c r="D3932" s="8"/>
      <c r="E3932" s="8"/>
      <c r="L3932" t="s">
        <v>563</v>
      </c>
      <c r="M3932" t="s">
        <v>478</v>
      </c>
      <c r="N3932" t="str">
        <f>Tabela_tudo[[#This Row],[Médico]]&amp;" ("&amp;Tabela_tudo[[#This Row],[Obs]]&amp;")"</f>
        <v>MAF ()</v>
      </c>
    </row>
    <row r="3933" spans="1:14" x14ac:dyDescent="0.3">
      <c r="A3933" s="1">
        <v>45064</v>
      </c>
      <c r="B3933" t="s">
        <v>48</v>
      </c>
      <c r="C3933" t="s">
        <v>455</v>
      </c>
      <c r="D3933" s="8"/>
      <c r="E3933" s="8"/>
      <c r="L3933" t="s">
        <v>563</v>
      </c>
      <c r="M3933" t="s">
        <v>478</v>
      </c>
      <c r="N3933" t="str">
        <f>Tabela_tudo[[#This Row],[Médico]]&amp;" ("&amp;Tabela_tudo[[#This Row],[Obs]]&amp;")"</f>
        <v>MAF ()</v>
      </c>
    </row>
    <row r="3934" spans="1:14" x14ac:dyDescent="0.3">
      <c r="A3934" s="1">
        <v>45652</v>
      </c>
      <c r="B3934" t="s">
        <v>214</v>
      </c>
      <c r="C3934" t="s">
        <v>455</v>
      </c>
      <c r="D3934" s="8"/>
      <c r="E3934" s="8"/>
      <c r="L3934" t="s">
        <v>563</v>
      </c>
      <c r="M3934" t="s">
        <v>478</v>
      </c>
      <c r="N3934" t="str">
        <f>Tabela_tudo[[#This Row],[Médico]]&amp;" ("&amp;Tabela_tudo[[#This Row],[Obs]]&amp;")"</f>
        <v>IFA ()</v>
      </c>
    </row>
    <row r="3935" spans="1:14" x14ac:dyDescent="0.3">
      <c r="A3935" s="1">
        <v>45512</v>
      </c>
      <c r="B3935" t="s">
        <v>214</v>
      </c>
      <c r="C3935" t="s">
        <v>455</v>
      </c>
      <c r="D3935" s="8"/>
      <c r="E3935" s="8"/>
      <c r="L3935" t="s">
        <v>563</v>
      </c>
      <c r="M3935" t="s">
        <v>478</v>
      </c>
      <c r="N3935" t="str">
        <f>Tabela_tudo[[#This Row],[Médico]]&amp;" ("&amp;Tabela_tudo[[#This Row],[Obs]]&amp;")"</f>
        <v>IFA ()</v>
      </c>
    </row>
    <row r="3936" spans="1:14" x14ac:dyDescent="0.3">
      <c r="A3936" s="1">
        <v>45505</v>
      </c>
      <c r="B3936" t="s">
        <v>214</v>
      </c>
      <c r="C3936" t="s">
        <v>455</v>
      </c>
      <c r="D3936" s="8"/>
      <c r="E3936" s="8"/>
      <c r="L3936" t="s">
        <v>563</v>
      </c>
      <c r="M3936" t="s">
        <v>478</v>
      </c>
      <c r="N3936" t="str">
        <f>Tabela_tudo[[#This Row],[Médico]]&amp;" ("&amp;Tabela_tudo[[#This Row],[Obs]]&amp;")"</f>
        <v>IFA ()</v>
      </c>
    </row>
    <row r="3937" spans="1:14" x14ac:dyDescent="0.3">
      <c r="A3937" s="1">
        <v>45498</v>
      </c>
      <c r="B3937" t="s">
        <v>214</v>
      </c>
      <c r="C3937" t="s">
        <v>455</v>
      </c>
      <c r="D3937" s="8"/>
      <c r="E3937" s="8"/>
      <c r="L3937" t="s">
        <v>563</v>
      </c>
      <c r="M3937" t="s">
        <v>478</v>
      </c>
      <c r="N3937" t="str">
        <f>Tabela_tudo[[#This Row],[Médico]]&amp;" ("&amp;Tabela_tudo[[#This Row],[Obs]]&amp;")"</f>
        <v>IFA ()</v>
      </c>
    </row>
    <row r="3938" spans="1:14" x14ac:dyDescent="0.3">
      <c r="A3938" s="1">
        <v>45519</v>
      </c>
      <c r="B3938" t="s">
        <v>214</v>
      </c>
      <c r="C3938" t="s">
        <v>455</v>
      </c>
      <c r="D3938" s="8"/>
      <c r="E3938" s="8"/>
      <c r="L3938" t="s">
        <v>563</v>
      </c>
      <c r="M3938" t="s">
        <v>478</v>
      </c>
      <c r="N3938" t="str">
        <f>Tabela_tudo[[#This Row],[Médico]]&amp;" ("&amp;Tabela_tudo[[#This Row],[Obs]]&amp;")"</f>
        <v>IFA ()</v>
      </c>
    </row>
    <row r="3939" spans="1:14" x14ac:dyDescent="0.3">
      <c r="A3939" s="1">
        <v>45540</v>
      </c>
      <c r="B3939" t="s">
        <v>214</v>
      </c>
      <c r="C3939" t="s">
        <v>455</v>
      </c>
      <c r="D3939" s="8"/>
      <c r="E3939" s="8"/>
      <c r="L3939" t="s">
        <v>563</v>
      </c>
      <c r="M3939" t="s">
        <v>478</v>
      </c>
      <c r="N3939" t="str">
        <f>Tabela_tudo[[#This Row],[Médico]]&amp;" ("&amp;Tabela_tudo[[#This Row],[Obs]]&amp;")"</f>
        <v>IFA ()</v>
      </c>
    </row>
    <row r="3940" spans="1:14" x14ac:dyDescent="0.3">
      <c r="A3940" s="1">
        <v>45533</v>
      </c>
      <c r="B3940" t="s">
        <v>214</v>
      </c>
      <c r="C3940" t="s">
        <v>455</v>
      </c>
      <c r="D3940" s="8"/>
      <c r="E3940" s="8"/>
      <c r="L3940" t="s">
        <v>563</v>
      </c>
      <c r="M3940" t="s">
        <v>478</v>
      </c>
      <c r="N3940" t="str">
        <f>Tabela_tudo[[#This Row],[Médico]]&amp;" ("&amp;Tabela_tudo[[#This Row],[Obs]]&amp;")"</f>
        <v>IFA ()</v>
      </c>
    </row>
    <row r="3941" spans="1:14" x14ac:dyDescent="0.3">
      <c r="A3941" s="1">
        <v>45526</v>
      </c>
      <c r="B3941" t="s">
        <v>214</v>
      </c>
      <c r="C3941" t="s">
        <v>455</v>
      </c>
      <c r="D3941" s="8"/>
      <c r="E3941" s="8"/>
      <c r="L3941" t="s">
        <v>563</v>
      </c>
      <c r="M3941" t="s">
        <v>478</v>
      </c>
      <c r="N3941" t="str">
        <f>Tabela_tudo[[#This Row],[Médico]]&amp;" ("&amp;Tabela_tudo[[#This Row],[Obs]]&amp;")"</f>
        <v>IFA ()</v>
      </c>
    </row>
    <row r="3942" spans="1:14" x14ac:dyDescent="0.3">
      <c r="A3942" s="1">
        <v>45463</v>
      </c>
      <c r="B3942" t="s">
        <v>214</v>
      </c>
      <c r="C3942" t="s">
        <v>455</v>
      </c>
      <c r="D3942" s="8"/>
      <c r="E3942" s="8"/>
      <c r="L3942" t="s">
        <v>563</v>
      </c>
      <c r="M3942" t="s">
        <v>478</v>
      </c>
      <c r="N3942" t="str">
        <f>Tabela_tudo[[#This Row],[Médico]]&amp;" ("&amp;Tabela_tudo[[#This Row],[Obs]]&amp;")"</f>
        <v>IFA ()</v>
      </c>
    </row>
    <row r="3943" spans="1:14" x14ac:dyDescent="0.3">
      <c r="A3943" s="1">
        <v>45456</v>
      </c>
      <c r="B3943" t="s">
        <v>214</v>
      </c>
      <c r="C3943" t="s">
        <v>455</v>
      </c>
      <c r="D3943" s="8"/>
      <c r="E3943" s="8"/>
      <c r="L3943" t="s">
        <v>563</v>
      </c>
      <c r="M3943" t="s">
        <v>478</v>
      </c>
      <c r="N3943" t="str">
        <f>Tabela_tudo[[#This Row],[Médico]]&amp;" ("&amp;Tabela_tudo[[#This Row],[Obs]]&amp;")"</f>
        <v>IFA ()</v>
      </c>
    </row>
    <row r="3944" spans="1:14" x14ac:dyDescent="0.3">
      <c r="A3944" s="1">
        <v>45449</v>
      </c>
      <c r="B3944" t="s">
        <v>214</v>
      </c>
      <c r="C3944" t="s">
        <v>455</v>
      </c>
      <c r="D3944" s="8"/>
      <c r="E3944" s="8"/>
      <c r="L3944" t="s">
        <v>563</v>
      </c>
      <c r="M3944" t="s">
        <v>478</v>
      </c>
      <c r="N3944" t="str">
        <f>Tabela_tudo[[#This Row],[Médico]]&amp;" ("&amp;Tabela_tudo[[#This Row],[Obs]]&amp;")"</f>
        <v>IFA ()</v>
      </c>
    </row>
    <row r="3945" spans="1:14" x14ac:dyDescent="0.3">
      <c r="A3945" s="1">
        <v>45470</v>
      </c>
      <c r="B3945" t="s">
        <v>214</v>
      </c>
      <c r="C3945" t="s">
        <v>455</v>
      </c>
      <c r="D3945" s="8"/>
      <c r="E3945" s="8"/>
      <c r="L3945" t="s">
        <v>563</v>
      </c>
      <c r="M3945" t="s">
        <v>478</v>
      </c>
      <c r="N3945" t="str">
        <f>Tabela_tudo[[#This Row],[Médico]]&amp;" ("&amp;Tabela_tudo[[#This Row],[Obs]]&amp;")"</f>
        <v>IFA ()</v>
      </c>
    </row>
    <row r="3946" spans="1:14" x14ac:dyDescent="0.3">
      <c r="A3946" s="1">
        <v>45491</v>
      </c>
      <c r="B3946" t="s">
        <v>214</v>
      </c>
      <c r="C3946" t="s">
        <v>455</v>
      </c>
      <c r="D3946" s="8"/>
      <c r="E3946" s="8"/>
      <c r="L3946" t="s">
        <v>563</v>
      </c>
      <c r="M3946" t="s">
        <v>478</v>
      </c>
      <c r="N3946" t="str">
        <f>Tabela_tudo[[#This Row],[Médico]]&amp;" ("&amp;Tabela_tudo[[#This Row],[Obs]]&amp;")"</f>
        <v>IFA ()</v>
      </c>
    </row>
    <row r="3947" spans="1:14" x14ac:dyDescent="0.3">
      <c r="A3947" s="1">
        <v>45484</v>
      </c>
      <c r="B3947" t="s">
        <v>214</v>
      </c>
      <c r="C3947" t="s">
        <v>455</v>
      </c>
      <c r="D3947" s="8"/>
      <c r="E3947" s="8"/>
      <c r="L3947" t="s">
        <v>563</v>
      </c>
      <c r="M3947" t="s">
        <v>478</v>
      </c>
      <c r="N3947" t="str">
        <f>Tabela_tudo[[#This Row],[Médico]]&amp;" ("&amp;Tabela_tudo[[#This Row],[Obs]]&amp;")"</f>
        <v>IFA ()</v>
      </c>
    </row>
    <row r="3948" spans="1:14" x14ac:dyDescent="0.3">
      <c r="A3948" s="1">
        <v>45477</v>
      </c>
      <c r="B3948" t="s">
        <v>214</v>
      </c>
      <c r="C3948" t="s">
        <v>455</v>
      </c>
      <c r="D3948" s="8"/>
      <c r="E3948" s="8"/>
      <c r="L3948" t="s">
        <v>563</v>
      </c>
      <c r="M3948" t="s">
        <v>478</v>
      </c>
      <c r="N3948" t="str">
        <f>Tabela_tudo[[#This Row],[Médico]]&amp;" ("&amp;Tabela_tudo[[#This Row],[Obs]]&amp;")"</f>
        <v>IFA ()</v>
      </c>
    </row>
    <row r="3949" spans="1:14" x14ac:dyDescent="0.3">
      <c r="A3949" s="1">
        <v>45547</v>
      </c>
      <c r="B3949" t="s">
        <v>214</v>
      </c>
      <c r="C3949" t="s">
        <v>455</v>
      </c>
      <c r="D3949" s="8"/>
      <c r="E3949" s="8"/>
      <c r="L3949" t="s">
        <v>563</v>
      </c>
      <c r="M3949" t="s">
        <v>478</v>
      </c>
      <c r="N3949" t="str">
        <f>Tabela_tudo[[#This Row],[Médico]]&amp;" ("&amp;Tabela_tudo[[#This Row],[Obs]]&amp;")"</f>
        <v>IFA ()</v>
      </c>
    </row>
    <row r="3950" spans="1:14" x14ac:dyDescent="0.3">
      <c r="A3950" s="1">
        <v>45617</v>
      </c>
      <c r="B3950" t="s">
        <v>214</v>
      </c>
      <c r="C3950" t="s">
        <v>455</v>
      </c>
      <c r="D3950" s="8"/>
      <c r="E3950" s="8"/>
      <c r="L3950" t="s">
        <v>563</v>
      </c>
      <c r="M3950" t="s">
        <v>478</v>
      </c>
      <c r="N3950" t="str">
        <f>Tabela_tudo[[#This Row],[Médico]]&amp;" ("&amp;Tabela_tudo[[#This Row],[Obs]]&amp;")"</f>
        <v>IFA ()</v>
      </c>
    </row>
    <row r="3951" spans="1:14" x14ac:dyDescent="0.3">
      <c r="A3951" s="1">
        <v>45610</v>
      </c>
      <c r="B3951" t="s">
        <v>214</v>
      </c>
      <c r="C3951" t="s">
        <v>455</v>
      </c>
      <c r="D3951" s="8"/>
      <c r="E3951" s="8"/>
      <c r="L3951" t="s">
        <v>563</v>
      </c>
      <c r="M3951" t="s">
        <v>478</v>
      </c>
      <c r="N3951" t="str">
        <f>Tabela_tudo[[#This Row],[Médico]]&amp;" ("&amp;Tabela_tudo[[#This Row],[Obs]]&amp;")"</f>
        <v>IFA ()</v>
      </c>
    </row>
    <row r="3952" spans="1:14" x14ac:dyDescent="0.3">
      <c r="A3952" s="1">
        <v>45603</v>
      </c>
      <c r="B3952" t="s">
        <v>214</v>
      </c>
      <c r="C3952" t="s">
        <v>455</v>
      </c>
      <c r="D3952" s="8"/>
      <c r="E3952" s="8"/>
      <c r="L3952" t="s">
        <v>563</v>
      </c>
      <c r="M3952" t="s">
        <v>478</v>
      </c>
      <c r="N3952" t="str">
        <f>Tabela_tudo[[#This Row],[Médico]]&amp;" ("&amp;Tabela_tudo[[#This Row],[Obs]]&amp;")"</f>
        <v>IFA ()</v>
      </c>
    </row>
    <row r="3953" spans="1:14" x14ac:dyDescent="0.3">
      <c r="A3953" s="1">
        <v>45624</v>
      </c>
      <c r="B3953" t="s">
        <v>214</v>
      </c>
      <c r="C3953" t="s">
        <v>455</v>
      </c>
      <c r="D3953" s="8"/>
      <c r="E3953" s="8"/>
      <c r="L3953" t="s">
        <v>563</v>
      </c>
      <c r="M3953" t="s">
        <v>478</v>
      </c>
      <c r="N3953" t="str">
        <f>Tabela_tudo[[#This Row],[Médico]]&amp;" ("&amp;Tabela_tudo[[#This Row],[Obs]]&amp;")"</f>
        <v>IFA ()</v>
      </c>
    </row>
    <row r="3954" spans="1:14" x14ac:dyDescent="0.3">
      <c r="A3954" s="1">
        <v>45645</v>
      </c>
      <c r="B3954" t="s">
        <v>214</v>
      </c>
      <c r="C3954" t="s">
        <v>455</v>
      </c>
      <c r="D3954" s="8"/>
      <c r="E3954" s="8"/>
      <c r="L3954" t="s">
        <v>563</v>
      </c>
      <c r="M3954" t="s">
        <v>478</v>
      </c>
      <c r="N3954" t="str">
        <f>Tabela_tudo[[#This Row],[Médico]]&amp;" ("&amp;Tabela_tudo[[#This Row],[Obs]]&amp;")"</f>
        <v>IFA ()</v>
      </c>
    </row>
    <row r="3955" spans="1:14" x14ac:dyDescent="0.3">
      <c r="A3955" s="1">
        <v>45638</v>
      </c>
      <c r="B3955" t="s">
        <v>214</v>
      </c>
      <c r="C3955" t="s">
        <v>455</v>
      </c>
      <c r="D3955" s="8"/>
      <c r="E3955" s="8"/>
      <c r="L3955" t="s">
        <v>563</v>
      </c>
      <c r="M3955" t="s">
        <v>478</v>
      </c>
      <c r="N3955" t="str">
        <f>Tabela_tudo[[#This Row],[Médico]]&amp;" ("&amp;Tabela_tudo[[#This Row],[Obs]]&amp;")"</f>
        <v>IFA ()</v>
      </c>
    </row>
    <row r="3956" spans="1:14" x14ac:dyDescent="0.3">
      <c r="A3956" s="1">
        <v>45631</v>
      </c>
      <c r="B3956" t="s">
        <v>214</v>
      </c>
      <c r="C3956" t="s">
        <v>455</v>
      </c>
      <c r="D3956" s="8"/>
      <c r="E3956" s="8"/>
      <c r="L3956" t="s">
        <v>563</v>
      </c>
      <c r="M3956" t="s">
        <v>478</v>
      </c>
      <c r="N3956" t="str">
        <f>Tabela_tudo[[#This Row],[Médico]]&amp;" ("&amp;Tabela_tudo[[#This Row],[Obs]]&amp;")"</f>
        <v>IFA ()</v>
      </c>
    </row>
    <row r="3957" spans="1:14" x14ac:dyDescent="0.3">
      <c r="A3957" s="1">
        <v>45568</v>
      </c>
      <c r="B3957" t="s">
        <v>214</v>
      </c>
      <c r="C3957" t="s">
        <v>455</v>
      </c>
      <c r="D3957" s="8"/>
      <c r="E3957" s="8"/>
      <c r="L3957" t="s">
        <v>563</v>
      </c>
      <c r="M3957" t="s">
        <v>478</v>
      </c>
      <c r="N3957" t="str">
        <f>Tabela_tudo[[#This Row],[Médico]]&amp;" ("&amp;Tabela_tudo[[#This Row],[Obs]]&amp;")"</f>
        <v>IFA ()</v>
      </c>
    </row>
    <row r="3958" spans="1:14" x14ac:dyDescent="0.3">
      <c r="A3958" s="1">
        <v>45561</v>
      </c>
      <c r="B3958" t="s">
        <v>214</v>
      </c>
      <c r="C3958" t="s">
        <v>455</v>
      </c>
      <c r="D3958" s="8"/>
      <c r="E3958" s="8"/>
      <c r="L3958" t="s">
        <v>563</v>
      </c>
      <c r="M3958" t="s">
        <v>478</v>
      </c>
      <c r="N3958" t="str">
        <f>Tabela_tudo[[#This Row],[Médico]]&amp;" ("&amp;Tabela_tudo[[#This Row],[Obs]]&amp;")"</f>
        <v>IFA ()</v>
      </c>
    </row>
    <row r="3959" spans="1:14" x14ac:dyDescent="0.3">
      <c r="A3959" s="1">
        <v>45554</v>
      </c>
      <c r="B3959" t="s">
        <v>214</v>
      </c>
      <c r="C3959" t="s">
        <v>455</v>
      </c>
      <c r="D3959" s="8"/>
      <c r="E3959" s="8"/>
      <c r="L3959" t="s">
        <v>563</v>
      </c>
      <c r="M3959" t="s">
        <v>478</v>
      </c>
      <c r="N3959" t="str">
        <f>Tabela_tudo[[#This Row],[Médico]]&amp;" ("&amp;Tabela_tudo[[#This Row],[Obs]]&amp;")"</f>
        <v>IFA ()</v>
      </c>
    </row>
    <row r="3960" spans="1:14" x14ac:dyDescent="0.3">
      <c r="A3960" s="1">
        <v>45575</v>
      </c>
      <c r="B3960" t="s">
        <v>214</v>
      </c>
      <c r="C3960" t="s">
        <v>455</v>
      </c>
      <c r="D3960" s="8"/>
      <c r="E3960" s="8"/>
      <c r="L3960" t="s">
        <v>563</v>
      </c>
      <c r="M3960" t="s">
        <v>478</v>
      </c>
      <c r="N3960" t="str">
        <f>Tabela_tudo[[#This Row],[Médico]]&amp;" ("&amp;Tabela_tudo[[#This Row],[Obs]]&amp;")"</f>
        <v>IFA ()</v>
      </c>
    </row>
    <row r="3961" spans="1:14" x14ac:dyDescent="0.3">
      <c r="A3961" s="1">
        <v>45596</v>
      </c>
      <c r="B3961" t="s">
        <v>214</v>
      </c>
      <c r="C3961" t="s">
        <v>455</v>
      </c>
      <c r="D3961" s="8"/>
      <c r="E3961" s="8"/>
      <c r="L3961" t="s">
        <v>563</v>
      </c>
      <c r="M3961" t="s">
        <v>478</v>
      </c>
      <c r="N3961" t="str">
        <f>Tabela_tudo[[#This Row],[Médico]]&amp;" ("&amp;Tabela_tudo[[#This Row],[Obs]]&amp;")"</f>
        <v>IFA ()</v>
      </c>
    </row>
    <row r="3962" spans="1:14" x14ac:dyDescent="0.3">
      <c r="A3962" s="1">
        <v>45589</v>
      </c>
      <c r="B3962" t="s">
        <v>214</v>
      </c>
      <c r="C3962" t="s">
        <v>455</v>
      </c>
      <c r="D3962" s="8"/>
      <c r="E3962" s="8"/>
      <c r="L3962" t="s">
        <v>563</v>
      </c>
      <c r="M3962" t="s">
        <v>478</v>
      </c>
      <c r="N3962" t="str">
        <f>Tabela_tudo[[#This Row],[Médico]]&amp;" ("&amp;Tabela_tudo[[#This Row],[Obs]]&amp;")"</f>
        <v>IFA ()</v>
      </c>
    </row>
    <row r="3963" spans="1:14" x14ac:dyDescent="0.3">
      <c r="A3963" s="1">
        <v>45582</v>
      </c>
      <c r="B3963" t="s">
        <v>214</v>
      </c>
      <c r="C3963" t="s">
        <v>455</v>
      </c>
      <c r="D3963" s="8"/>
      <c r="E3963" s="8"/>
      <c r="L3963" t="s">
        <v>563</v>
      </c>
      <c r="M3963" t="s">
        <v>478</v>
      </c>
      <c r="N3963" t="str">
        <f>Tabela_tudo[[#This Row],[Médico]]&amp;" ("&amp;Tabela_tudo[[#This Row],[Obs]]&amp;")"</f>
        <v>IFA ()</v>
      </c>
    </row>
    <row r="3964" spans="1:14" x14ac:dyDescent="0.3">
      <c r="A3964" s="1">
        <v>45134</v>
      </c>
      <c r="B3964" t="s">
        <v>48</v>
      </c>
      <c r="C3964" t="s">
        <v>455</v>
      </c>
      <c r="D3964" s="8"/>
      <c r="E3964" s="8"/>
      <c r="L3964" t="s">
        <v>563</v>
      </c>
      <c r="M3964" t="s">
        <v>478</v>
      </c>
      <c r="N3964" t="str">
        <f>Tabela_tudo[[#This Row],[Médico]]&amp;" ("&amp;Tabela_tudo[[#This Row],[Obs]]&amp;")"</f>
        <v>MAF ()</v>
      </c>
    </row>
    <row r="3965" spans="1:14" x14ac:dyDescent="0.3">
      <c r="A3965" s="1">
        <v>45421</v>
      </c>
      <c r="B3965" t="s">
        <v>48</v>
      </c>
      <c r="C3965" t="s">
        <v>455</v>
      </c>
      <c r="D3965" s="8"/>
      <c r="E3965" s="8"/>
      <c r="L3965" t="s">
        <v>563</v>
      </c>
      <c r="M3965" t="s">
        <v>478</v>
      </c>
      <c r="N3965" t="str">
        <f>Tabela_tudo[[#This Row],[Médico]]&amp;" ("&amp;Tabela_tudo[[#This Row],[Obs]]&amp;")"</f>
        <v>MAF ()</v>
      </c>
    </row>
    <row r="3966" spans="1:14" x14ac:dyDescent="0.3">
      <c r="A3966" s="1">
        <v>45414</v>
      </c>
      <c r="B3966" t="s">
        <v>48</v>
      </c>
      <c r="C3966" t="s">
        <v>455</v>
      </c>
      <c r="D3966" s="8"/>
      <c r="E3966" s="8"/>
      <c r="L3966" t="s">
        <v>563</v>
      </c>
      <c r="M3966" t="s">
        <v>478</v>
      </c>
      <c r="N3966" t="str">
        <f>Tabela_tudo[[#This Row],[Médico]]&amp;" ("&amp;Tabela_tudo[[#This Row],[Obs]]&amp;")"</f>
        <v>MAF ()</v>
      </c>
    </row>
    <row r="3967" spans="1:14" x14ac:dyDescent="0.3">
      <c r="A3967" s="1">
        <v>45407</v>
      </c>
      <c r="B3967" t="s">
        <v>48</v>
      </c>
      <c r="C3967" t="s">
        <v>455</v>
      </c>
      <c r="D3967" s="8"/>
      <c r="E3967" s="8"/>
      <c r="L3967" t="s">
        <v>563</v>
      </c>
      <c r="M3967" t="s">
        <v>478</v>
      </c>
      <c r="N3967" t="str">
        <f>Tabela_tudo[[#This Row],[Médico]]&amp;" ("&amp;Tabela_tudo[[#This Row],[Obs]]&amp;")"</f>
        <v>MAF ()</v>
      </c>
    </row>
    <row r="3968" spans="1:14" x14ac:dyDescent="0.3">
      <c r="A3968" s="1">
        <v>45428</v>
      </c>
      <c r="B3968" t="s">
        <v>48</v>
      </c>
      <c r="C3968" t="s">
        <v>455</v>
      </c>
      <c r="D3968" s="8"/>
      <c r="E3968" s="8"/>
      <c r="L3968" t="s">
        <v>563</v>
      </c>
      <c r="M3968" t="s">
        <v>478</v>
      </c>
      <c r="N3968" t="str">
        <f>Tabela_tudo[[#This Row],[Médico]]&amp;" ("&amp;Tabela_tudo[[#This Row],[Obs]]&amp;")"</f>
        <v>MAF ()</v>
      </c>
    </row>
    <row r="3969" spans="1:14" x14ac:dyDescent="0.3">
      <c r="A3969" s="1">
        <v>45449</v>
      </c>
      <c r="B3969" t="s">
        <v>48</v>
      </c>
      <c r="C3969" t="s">
        <v>455</v>
      </c>
      <c r="D3969" s="8"/>
      <c r="E3969" s="8"/>
      <c r="L3969" t="s">
        <v>563</v>
      </c>
      <c r="M3969" t="s">
        <v>478</v>
      </c>
      <c r="N3969" t="str">
        <f>Tabela_tudo[[#This Row],[Médico]]&amp;" ("&amp;Tabela_tudo[[#This Row],[Obs]]&amp;")"</f>
        <v>MAF ()</v>
      </c>
    </row>
    <row r="3970" spans="1:14" x14ac:dyDescent="0.3">
      <c r="A3970" s="1">
        <v>45442</v>
      </c>
      <c r="B3970" t="s">
        <v>48</v>
      </c>
      <c r="C3970" t="s">
        <v>455</v>
      </c>
      <c r="D3970" s="8"/>
      <c r="E3970" s="8"/>
      <c r="L3970" t="s">
        <v>563</v>
      </c>
      <c r="M3970" t="s">
        <v>478</v>
      </c>
      <c r="N3970" t="str">
        <f>Tabela_tudo[[#This Row],[Médico]]&amp;" ("&amp;Tabela_tudo[[#This Row],[Obs]]&amp;")"</f>
        <v>MAF ()</v>
      </c>
    </row>
    <row r="3971" spans="1:14" x14ac:dyDescent="0.3">
      <c r="A3971" s="1">
        <v>45435</v>
      </c>
      <c r="B3971" t="s">
        <v>48</v>
      </c>
      <c r="C3971" t="s">
        <v>455</v>
      </c>
      <c r="D3971" s="8"/>
      <c r="E3971" s="8"/>
      <c r="L3971" t="s">
        <v>563</v>
      </c>
      <c r="M3971" t="s">
        <v>478</v>
      </c>
      <c r="N3971" t="str">
        <f>Tabela_tudo[[#This Row],[Médico]]&amp;" ("&amp;Tabela_tudo[[#This Row],[Obs]]&amp;")"</f>
        <v>MAF ()</v>
      </c>
    </row>
    <row r="3972" spans="1:14" x14ac:dyDescent="0.3">
      <c r="A3972" s="1">
        <v>45372</v>
      </c>
      <c r="B3972" t="s">
        <v>48</v>
      </c>
      <c r="C3972" t="s">
        <v>455</v>
      </c>
      <c r="D3972" s="8"/>
      <c r="E3972" s="8"/>
      <c r="L3972" t="s">
        <v>563</v>
      </c>
      <c r="M3972" t="s">
        <v>478</v>
      </c>
      <c r="N3972" t="str">
        <f>Tabela_tudo[[#This Row],[Médico]]&amp;" ("&amp;Tabela_tudo[[#This Row],[Obs]]&amp;")"</f>
        <v>MAF ()</v>
      </c>
    </row>
    <row r="3973" spans="1:14" x14ac:dyDescent="0.3">
      <c r="A3973" s="1">
        <v>45365</v>
      </c>
      <c r="B3973" t="s">
        <v>48</v>
      </c>
      <c r="C3973" t="s">
        <v>455</v>
      </c>
      <c r="D3973" s="8"/>
      <c r="E3973" s="8"/>
      <c r="L3973" t="s">
        <v>563</v>
      </c>
      <c r="M3973" t="s">
        <v>478</v>
      </c>
      <c r="N3973" t="str">
        <f>Tabela_tudo[[#This Row],[Médico]]&amp;" ("&amp;Tabela_tudo[[#This Row],[Obs]]&amp;")"</f>
        <v>MAF ()</v>
      </c>
    </row>
    <row r="3974" spans="1:14" x14ac:dyDescent="0.3">
      <c r="A3974" s="1">
        <v>45358</v>
      </c>
      <c r="B3974" t="s">
        <v>48</v>
      </c>
      <c r="C3974" t="s">
        <v>455</v>
      </c>
      <c r="D3974" s="8"/>
      <c r="E3974" s="8"/>
      <c r="L3974" t="s">
        <v>563</v>
      </c>
      <c r="M3974" t="s">
        <v>478</v>
      </c>
      <c r="N3974" t="str">
        <f>Tabela_tudo[[#This Row],[Médico]]&amp;" ("&amp;Tabela_tudo[[#This Row],[Obs]]&amp;")"</f>
        <v>MAF ()</v>
      </c>
    </row>
    <row r="3975" spans="1:14" x14ac:dyDescent="0.3">
      <c r="A3975" s="1">
        <v>45379</v>
      </c>
      <c r="B3975" t="s">
        <v>48</v>
      </c>
      <c r="C3975" t="s">
        <v>455</v>
      </c>
      <c r="D3975" s="8"/>
      <c r="E3975" s="8"/>
      <c r="L3975" t="s">
        <v>563</v>
      </c>
      <c r="M3975" t="s">
        <v>478</v>
      </c>
      <c r="N3975" t="str">
        <f>Tabela_tudo[[#This Row],[Médico]]&amp;" ("&amp;Tabela_tudo[[#This Row],[Obs]]&amp;")"</f>
        <v>MAF ()</v>
      </c>
    </row>
    <row r="3976" spans="1:14" x14ac:dyDescent="0.3">
      <c r="A3976" s="1">
        <v>45400</v>
      </c>
      <c r="B3976" t="s">
        <v>48</v>
      </c>
      <c r="C3976" t="s">
        <v>455</v>
      </c>
      <c r="D3976" s="8"/>
      <c r="E3976" s="8"/>
      <c r="L3976" t="s">
        <v>563</v>
      </c>
      <c r="M3976" t="s">
        <v>478</v>
      </c>
      <c r="N3976" t="str">
        <f>Tabela_tudo[[#This Row],[Médico]]&amp;" ("&amp;Tabela_tudo[[#This Row],[Obs]]&amp;")"</f>
        <v>MAF ()</v>
      </c>
    </row>
    <row r="3977" spans="1:14" x14ac:dyDescent="0.3">
      <c r="A3977" s="1">
        <v>45393</v>
      </c>
      <c r="B3977" t="s">
        <v>48</v>
      </c>
      <c r="C3977" t="s">
        <v>455</v>
      </c>
      <c r="D3977" s="8"/>
      <c r="E3977" s="8"/>
      <c r="L3977" t="s">
        <v>563</v>
      </c>
      <c r="M3977" t="s">
        <v>478</v>
      </c>
      <c r="N3977" t="str">
        <f>Tabela_tudo[[#This Row],[Médico]]&amp;" ("&amp;Tabela_tudo[[#This Row],[Obs]]&amp;")"</f>
        <v>MAF ()</v>
      </c>
    </row>
    <row r="3978" spans="1:14" x14ac:dyDescent="0.3">
      <c r="A3978" s="1">
        <v>45386</v>
      </c>
      <c r="B3978" t="s">
        <v>48</v>
      </c>
      <c r="C3978" t="s">
        <v>455</v>
      </c>
      <c r="D3978" s="8"/>
      <c r="E3978" s="8"/>
      <c r="L3978" t="s">
        <v>563</v>
      </c>
      <c r="M3978" t="s">
        <v>478</v>
      </c>
      <c r="N3978" t="str">
        <f>Tabela_tudo[[#This Row],[Médico]]&amp;" ("&amp;Tabela_tudo[[#This Row],[Obs]]&amp;")"</f>
        <v>MAF ()</v>
      </c>
    </row>
    <row r="3979" spans="1:14" x14ac:dyDescent="0.3">
      <c r="A3979" s="1">
        <v>45456</v>
      </c>
      <c r="B3979" t="s">
        <v>48</v>
      </c>
      <c r="C3979" t="s">
        <v>455</v>
      </c>
      <c r="D3979" s="8"/>
      <c r="E3979" s="8"/>
      <c r="L3979" t="s">
        <v>563</v>
      </c>
      <c r="M3979" t="s">
        <v>478</v>
      </c>
      <c r="N3979" t="str">
        <f>Tabela_tudo[[#This Row],[Médico]]&amp;" ("&amp;Tabela_tudo[[#This Row],[Obs]]&amp;")"</f>
        <v>MAF ()</v>
      </c>
    </row>
    <row r="3980" spans="1:14" x14ac:dyDescent="0.3">
      <c r="A3980" s="1">
        <v>45526</v>
      </c>
      <c r="B3980" t="s">
        <v>48</v>
      </c>
      <c r="C3980" t="s">
        <v>455</v>
      </c>
      <c r="D3980" s="8"/>
      <c r="E3980" s="8"/>
      <c r="L3980" t="s">
        <v>563</v>
      </c>
      <c r="M3980" t="s">
        <v>478</v>
      </c>
      <c r="N3980" t="str">
        <f>Tabela_tudo[[#This Row],[Médico]]&amp;" ("&amp;Tabela_tudo[[#This Row],[Obs]]&amp;")"</f>
        <v>MAF ()</v>
      </c>
    </row>
    <row r="3981" spans="1:14" x14ac:dyDescent="0.3">
      <c r="A3981" s="1">
        <v>45519</v>
      </c>
      <c r="B3981" t="s">
        <v>48</v>
      </c>
      <c r="C3981" t="s">
        <v>455</v>
      </c>
      <c r="D3981" s="8"/>
      <c r="E3981" s="8"/>
      <c r="L3981" t="s">
        <v>563</v>
      </c>
      <c r="M3981" t="s">
        <v>478</v>
      </c>
      <c r="N3981" t="str">
        <f>Tabela_tudo[[#This Row],[Médico]]&amp;" ("&amp;Tabela_tudo[[#This Row],[Obs]]&amp;")"</f>
        <v>MAF ()</v>
      </c>
    </row>
    <row r="3982" spans="1:14" x14ac:dyDescent="0.3">
      <c r="A3982" s="1">
        <v>45512</v>
      </c>
      <c r="B3982" t="s">
        <v>48</v>
      </c>
      <c r="C3982" t="s">
        <v>455</v>
      </c>
      <c r="D3982" s="8"/>
      <c r="E3982" s="8"/>
      <c r="L3982" t="s">
        <v>563</v>
      </c>
      <c r="M3982" t="s">
        <v>478</v>
      </c>
      <c r="N3982" t="str">
        <f>Tabela_tudo[[#This Row],[Médico]]&amp;" ("&amp;Tabela_tudo[[#This Row],[Obs]]&amp;")"</f>
        <v>MAF ()</v>
      </c>
    </row>
    <row r="3983" spans="1:14" x14ac:dyDescent="0.3">
      <c r="A3983" s="1">
        <v>45533</v>
      </c>
      <c r="B3983" t="s">
        <v>48</v>
      </c>
      <c r="C3983" t="s">
        <v>455</v>
      </c>
      <c r="D3983" s="8"/>
      <c r="E3983" s="8"/>
      <c r="L3983" t="s">
        <v>563</v>
      </c>
      <c r="M3983" t="s">
        <v>478</v>
      </c>
      <c r="N3983" t="str">
        <f>Tabela_tudo[[#This Row],[Médico]]&amp;" ("&amp;Tabela_tudo[[#This Row],[Obs]]&amp;")"</f>
        <v>MAF ()</v>
      </c>
    </row>
    <row r="3984" spans="1:14" x14ac:dyDescent="0.3">
      <c r="A3984" s="1">
        <v>45554</v>
      </c>
      <c r="B3984" t="s">
        <v>48</v>
      </c>
      <c r="C3984" t="s">
        <v>455</v>
      </c>
      <c r="D3984" s="8"/>
      <c r="E3984" s="8"/>
      <c r="L3984" t="s">
        <v>563</v>
      </c>
      <c r="M3984" t="s">
        <v>478</v>
      </c>
      <c r="N3984" t="str">
        <f>Tabela_tudo[[#This Row],[Médico]]&amp;" ("&amp;Tabela_tudo[[#This Row],[Obs]]&amp;")"</f>
        <v>MAF ()</v>
      </c>
    </row>
    <row r="3985" spans="1:14" x14ac:dyDescent="0.3">
      <c r="A3985" s="1">
        <v>45547</v>
      </c>
      <c r="B3985" t="s">
        <v>48</v>
      </c>
      <c r="C3985" t="s">
        <v>455</v>
      </c>
      <c r="D3985" s="8"/>
      <c r="E3985" s="8"/>
      <c r="L3985" t="s">
        <v>563</v>
      </c>
      <c r="M3985" t="s">
        <v>478</v>
      </c>
      <c r="N3985" t="str">
        <f>Tabela_tudo[[#This Row],[Médico]]&amp;" ("&amp;Tabela_tudo[[#This Row],[Obs]]&amp;")"</f>
        <v>MAF ()</v>
      </c>
    </row>
    <row r="3986" spans="1:14" x14ac:dyDescent="0.3">
      <c r="A3986" s="1">
        <v>45540</v>
      </c>
      <c r="B3986" t="s">
        <v>48</v>
      </c>
      <c r="C3986" t="s">
        <v>455</v>
      </c>
      <c r="D3986" s="8"/>
      <c r="E3986" s="8"/>
      <c r="L3986" t="s">
        <v>563</v>
      </c>
      <c r="M3986" t="s">
        <v>478</v>
      </c>
      <c r="N3986" t="str">
        <f>Tabela_tudo[[#This Row],[Médico]]&amp;" ("&amp;Tabela_tudo[[#This Row],[Obs]]&amp;")"</f>
        <v>MAF ()</v>
      </c>
    </row>
    <row r="3987" spans="1:14" x14ac:dyDescent="0.3">
      <c r="A3987" s="1">
        <v>45477</v>
      </c>
      <c r="B3987" t="s">
        <v>48</v>
      </c>
      <c r="C3987" t="s">
        <v>455</v>
      </c>
      <c r="D3987" s="8"/>
      <c r="E3987" s="8"/>
      <c r="L3987" t="s">
        <v>563</v>
      </c>
      <c r="M3987" t="s">
        <v>478</v>
      </c>
      <c r="N3987" t="str">
        <f>Tabela_tudo[[#This Row],[Médico]]&amp;" ("&amp;Tabela_tudo[[#This Row],[Obs]]&amp;")"</f>
        <v>MAF ()</v>
      </c>
    </row>
    <row r="3988" spans="1:14" x14ac:dyDescent="0.3">
      <c r="A3988" s="1">
        <v>45470</v>
      </c>
      <c r="B3988" t="s">
        <v>48</v>
      </c>
      <c r="C3988" t="s">
        <v>455</v>
      </c>
      <c r="D3988" s="8"/>
      <c r="E3988" s="8"/>
      <c r="L3988" t="s">
        <v>563</v>
      </c>
      <c r="M3988" t="s">
        <v>478</v>
      </c>
      <c r="N3988" t="str">
        <f>Tabela_tudo[[#This Row],[Médico]]&amp;" ("&amp;Tabela_tudo[[#This Row],[Obs]]&amp;")"</f>
        <v>MAF ()</v>
      </c>
    </row>
    <row r="3989" spans="1:14" x14ac:dyDescent="0.3">
      <c r="A3989" s="1">
        <v>45463</v>
      </c>
      <c r="B3989" t="s">
        <v>48</v>
      </c>
      <c r="C3989" t="s">
        <v>455</v>
      </c>
      <c r="D3989" s="8"/>
      <c r="E3989" s="8"/>
      <c r="L3989" t="s">
        <v>563</v>
      </c>
      <c r="M3989" t="s">
        <v>478</v>
      </c>
      <c r="N3989" t="str">
        <f>Tabela_tudo[[#This Row],[Médico]]&amp;" ("&amp;Tabela_tudo[[#This Row],[Obs]]&amp;")"</f>
        <v>MAF ()</v>
      </c>
    </row>
    <row r="3990" spans="1:14" x14ac:dyDescent="0.3">
      <c r="A3990" s="1">
        <v>45484</v>
      </c>
      <c r="B3990" t="s">
        <v>48</v>
      </c>
      <c r="C3990" t="s">
        <v>455</v>
      </c>
      <c r="D3990" s="8"/>
      <c r="E3990" s="8"/>
      <c r="L3990" t="s">
        <v>563</v>
      </c>
      <c r="M3990" t="s">
        <v>478</v>
      </c>
      <c r="N3990" t="str">
        <f>Tabela_tudo[[#This Row],[Médico]]&amp;" ("&amp;Tabela_tudo[[#This Row],[Obs]]&amp;")"</f>
        <v>MAF ()</v>
      </c>
    </row>
    <row r="3991" spans="1:14" x14ac:dyDescent="0.3">
      <c r="A3991" s="1">
        <v>45505</v>
      </c>
      <c r="B3991" t="s">
        <v>48</v>
      </c>
      <c r="C3991" t="s">
        <v>455</v>
      </c>
      <c r="D3991" s="8"/>
      <c r="E3991" s="8"/>
      <c r="L3991" t="s">
        <v>563</v>
      </c>
      <c r="M3991" t="s">
        <v>478</v>
      </c>
      <c r="N3991" t="str">
        <f>Tabela_tudo[[#This Row],[Médico]]&amp;" ("&amp;Tabela_tudo[[#This Row],[Obs]]&amp;")"</f>
        <v>MAF ()</v>
      </c>
    </row>
    <row r="3992" spans="1:14" x14ac:dyDescent="0.3">
      <c r="A3992" s="1">
        <v>45498</v>
      </c>
      <c r="B3992" t="s">
        <v>48</v>
      </c>
      <c r="C3992" t="s">
        <v>455</v>
      </c>
      <c r="D3992" s="8"/>
      <c r="E3992" s="8"/>
      <c r="L3992" t="s">
        <v>563</v>
      </c>
      <c r="M3992" t="s">
        <v>478</v>
      </c>
      <c r="N3992" t="str">
        <f>Tabela_tudo[[#This Row],[Médico]]&amp;" ("&amp;Tabela_tudo[[#This Row],[Obs]]&amp;")"</f>
        <v>MAF ()</v>
      </c>
    </row>
    <row r="3993" spans="1:14" x14ac:dyDescent="0.3">
      <c r="A3993" s="1">
        <v>45491</v>
      </c>
      <c r="B3993" t="s">
        <v>48</v>
      </c>
      <c r="C3993" t="s">
        <v>455</v>
      </c>
      <c r="D3993" s="8"/>
      <c r="E3993" s="8"/>
      <c r="L3993" t="s">
        <v>563</v>
      </c>
      <c r="M3993" t="s">
        <v>478</v>
      </c>
      <c r="N3993" t="str">
        <f>Tabela_tudo[[#This Row],[Médico]]&amp;" ("&amp;Tabela_tudo[[#This Row],[Obs]]&amp;")"</f>
        <v>MAF ()</v>
      </c>
    </row>
    <row r="3994" spans="1:14" x14ac:dyDescent="0.3">
      <c r="A3994" s="1">
        <v>45351</v>
      </c>
      <c r="B3994" t="s">
        <v>48</v>
      </c>
      <c r="C3994" t="s">
        <v>455</v>
      </c>
      <c r="D3994" s="8"/>
      <c r="E3994" s="8"/>
      <c r="L3994" t="s">
        <v>563</v>
      </c>
      <c r="M3994" t="s">
        <v>478</v>
      </c>
      <c r="N3994" t="str">
        <f>Tabela_tudo[[#This Row],[Médico]]&amp;" ("&amp;Tabela_tudo[[#This Row],[Obs]]&amp;")"</f>
        <v>MAF ()</v>
      </c>
    </row>
    <row r="3995" spans="1:14" x14ac:dyDescent="0.3">
      <c r="A3995" s="1">
        <v>45204</v>
      </c>
      <c r="B3995" t="s">
        <v>48</v>
      </c>
      <c r="C3995" t="s">
        <v>455</v>
      </c>
      <c r="D3995" s="8"/>
      <c r="E3995" s="8"/>
      <c r="L3995" t="s">
        <v>563</v>
      </c>
      <c r="M3995" t="s">
        <v>478</v>
      </c>
      <c r="N3995" t="str">
        <f>Tabela_tudo[[#This Row],[Médico]]&amp;" ("&amp;Tabela_tudo[[#This Row],[Obs]]&amp;")"</f>
        <v>MAF ()</v>
      </c>
    </row>
    <row r="3996" spans="1:14" x14ac:dyDescent="0.3">
      <c r="A3996" s="1">
        <v>45197</v>
      </c>
      <c r="B3996" t="s">
        <v>48</v>
      </c>
      <c r="C3996" t="s">
        <v>455</v>
      </c>
      <c r="D3996" s="8"/>
      <c r="E3996" s="8"/>
      <c r="L3996" t="s">
        <v>563</v>
      </c>
      <c r="M3996" t="s">
        <v>478</v>
      </c>
      <c r="N3996" t="str">
        <f>Tabela_tudo[[#This Row],[Médico]]&amp;" ("&amp;Tabela_tudo[[#This Row],[Obs]]&amp;")"</f>
        <v>MAF ()</v>
      </c>
    </row>
    <row r="3997" spans="1:14" x14ac:dyDescent="0.3">
      <c r="A3997" s="1">
        <v>45190</v>
      </c>
      <c r="B3997" t="s">
        <v>48</v>
      </c>
      <c r="C3997" t="s">
        <v>455</v>
      </c>
      <c r="D3997" s="8"/>
      <c r="E3997" s="8"/>
      <c r="L3997" t="s">
        <v>563</v>
      </c>
      <c r="M3997" t="s">
        <v>478</v>
      </c>
      <c r="N3997" t="str">
        <f>Tabela_tudo[[#This Row],[Médico]]&amp;" ("&amp;Tabela_tudo[[#This Row],[Obs]]&amp;")"</f>
        <v>MAF ()</v>
      </c>
    </row>
    <row r="3998" spans="1:14" x14ac:dyDescent="0.3">
      <c r="A3998" s="1">
        <v>45211</v>
      </c>
      <c r="B3998" t="s">
        <v>48</v>
      </c>
      <c r="C3998" t="s">
        <v>455</v>
      </c>
      <c r="D3998" s="8"/>
      <c r="E3998" s="8"/>
      <c r="L3998" t="s">
        <v>563</v>
      </c>
      <c r="M3998" t="s">
        <v>478</v>
      </c>
      <c r="N3998" t="str">
        <f>Tabela_tudo[[#This Row],[Médico]]&amp;" ("&amp;Tabela_tudo[[#This Row],[Obs]]&amp;")"</f>
        <v>MAF ()</v>
      </c>
    </row>
    <row r="3999" spans="1:14" x14ac:dyDescent="0.3">
      <c r="A3999" s="1">
        <v>45232</v>
      </c>
      <c r="B3999" t="s">
        <v>48</v>
      </c>
      <c r="C3999" t="s">
        <v>455</v>
      </c>
      <c r="D3999" s="8"/>
      <c r="E3999" s="8"/>
      <c r="L3999" t="s">
        <v>563</v>
      </c>
      <c r="M3999" t="s">
        <v>478</v>
      </c>
      <c r="N3999" t="str">
        <f>Tabela_tudo[[#This Row],[Médico]]&amp;" ("&amp;Tabela_tudo[[#This Row],[Obs]]&amp;")"</f>
        <v>MAF ()</v>
      </c>
    </row>
    <row r="4000" spans="1:14" x14ac:dyDescent="0.3">
      <c r="A4000" s="1">
        <v>45225</v>
      </c>
      <c r="B4000" t="s">
        <v>48</v>
      </c>
      <c r="C4000" t="s">
        <v>455</v>
      </c>
      <c r="D4000" s="8"/>
      <c r="E4000" s="8"/>
      <c r="L4000" t="s">
        <v>563</v>
      </c>
      <c r="M4000" t="s">
        <v>478</v>
      </c>
      <c r="N4000" t="str">
        <f>Tabela_tudo[[#This Row],[Médico]]&amp;" ("&amp;Tabela_tudo[[#This Row],[Obs]]&amp;")"</f>
        <v>MAF ()</v>
      </c>
    </row>
    <row r="4001" spans="1:14" x14ac:dyDescent="0.3">
      <c r="A4001" s="1">
        <v>45218</v>
      </c>
      <c r="B4001" t="s">
        <v>48</v>
      </c>
      <c r="C4001" t="s">
        <v>455</v>
      </c>
      <c r="D4001" s="8"/>
      <c r="E4001" s="8"/>
      <c r="L4001" t="s">
        <v>563</v>
      </c>
      <c r="M4001" t="s">
        <v>478</v>
      </c>
      <c r="N4001" t="str">
        <f>Tabela_tudo[[#This Row],[Médico]]&amp;" ("&amp;Tabela_tudo[[#This Row],[Obs]]&amp;")"</f>
        <v>MAF ()</v>
      </c>
    </row>
    <row r="4002" spans="1:14" x14ac:dyDescent="0.3">
      <c r="A4002" s="1">
        <v>45155</v>
      </c>
      <c r="B4002" t="s">
        <v>48</v>
      </c>
      <c r="C4002" t="s">
        <v>455</v>
      </c>
      <c r="D4002" s="8"/>
      <c r="E4002" s="8"/>
      <c r="L4002" t="s">
        <v>563</v>
      </c>
      <c r="M4002" t="s">
        <v>478</v>
      </c>
      <c r="N4002" t="str">
        <f>Tabela_tudo[[#This Row],[Médico]]&amp;" ("&amp;Tabela_tudo[[#This Row],[Obs]]&amp;")"</f>
        <v>MAF ()</v>
      </c>
    </row>
    <row r="4003" spans="1:14" x14ac:dyDescent="0.3">
      <c r="A4003" s="1">
        <v>45148</v>
      </c>
      <c r="B4003" t="s">
        <v>48</v>
      </c>
      <c r="C4003" t="s">
        <v>455</v>
      </c>
      <c r="D4003" s="8"/>
      <c r="E4003" s="8"/>
      <c r="L4003" t="s">
        <v>563</v>
      </c>
      <c r="M4003" t="s">
        <v>478</v>
      </c>
      <c r="N4003" t="str">
        <f>Tabela_tudo[[#This Row],[Médico]]&amp;" ("&amp;Tabela_tudo[[#This Row],[Obs]]&amp;")"</f>
        <v>MAF ()</v>
      </c>
    </row>
    <row r="4004" spans="1:14" x14ac:dyDescent="0.3">
      <c r="A4004" s="1">
        <v>45141</v>
      </c>
      <c r="B4004" t="s">
        <v>48</v>
      </c>
      <c r="C4004" t="s">
        <v>455</v>
      </c>
      <c r="D4004" s="8"/>
      <c r="E4004" s="8"/>
      <c r="L4004" t="s">
        <v>563</v>
      </c>
      <c r="M4004" t="s">
        <v>478</v>
      </c>
      <c r="N4004" t="str">
        <f>Tabela_tudo[[#This Row],[Médico]]&amp;" ("&amp;Tabela_tudo[[#This Row],[Obs]]&amp;")"</f>
        <v>MAF ()</v>
      </c>
    </row>
    <row r="4005" spans="1:14" x14ac:dyDescent="0.3">
      <c r="A4005" s="1">
        <v>45162</v>
      </c>
      <c r="B4005" t="s">
        <v>48</v>
      </c>
      <c r="C4005" t="s">
        <v>455</v>
      </c>
      <c r="D4005" s="8"/>
      <c r="E4005" s="8"/>
      <c r="L4005" t="s">
        <v>563</v>
      </c>
      <c r="M4005" t="s">
        <v>478</v>
      </c>
      <c r="N4005" t="str">
        <f>Tabela_tudo[[#This Row],[Médico]]&amp;" ("&amp;Tabela_tudo[[#This Row],[Obs]]&amp;")"</f>
        <v>MAF ()</v>
      </c>
    </row>
    <row r="4006" spans="1:14" x14ac:dyDescent="0.3">
      <c r="A4006" s="1">
        <v>45183</v>
      </c>
      <c r="B4006" t="s">
        <v>48</v>
      </c>
      <c r="C4006" t="s">
        <v>455</v>
      </c>
      <c r="D4006" s="8"/>
      <c r="E4006" s="8"/>
      <c r="L4006" t="s">
        <v>563</v>
      </c>
      <c r="M4006" t="s">
        <v>478</v>
      </c>
      <c r="N4006" t="str">
        <f>Tabela_tudo[[#This Row],[Médico]]&amp;" ("&amp;Tabela_tudo[[#This Row],[Obs]]&amp;")"</f>
        <v>MAF ()</v>
      </c>
    </row>
    <row r="4007" spans="1:14" x14ac:dyDescent="0.3">
      <c r="A4007" s="1">
        <v>45176</v>
      </c>
      <c r="B4007" t="s">
        <v>48</v>
      </c>
      <c r="C4007" t="s">
        <v>455</v>
      </c>
      <c r="D4007" s="8"/>
      <c r="E4007" s="8"/>
      <c r="L4007" t="s">
        <v>563</v>
      </c>
      <c r="M4007" t="s">
        <v>478</v>
      </c>
      <c r="N4007" t="str">
        <f>Tabela_tudo[[#This Row],[Médico]]&amp;" ("&amp;Tabela_tudo[[#This Row],[Obs]]&amp;")"</f>
        <v>MAF ()</v>
      </c>
    </row>
    <row r="4008" spans="1:14" x14ac:dyDescent="0.3">
      <c r="A4008" s="1">
        <v>45169</v>
      </c>
      <c r="B4008" t="s">
        <v>48</v>
      </c>
      <c r="C4008" t="s">
        <v>455</v>
      </c>
      <c r="D4008" s="8"/>
      <c r="E4008" s="8"/>
      <c r="L4008" t="s">
        <v>563</v>
      </c>
      <c r="M4008" t="s">
        <v>478</v>
      </c>
      <c r="N4008" t="str">
        <f>Tabela_tudo[[#This Row],[Médico]]&amp;" ("&amp;Tabela_tudo[[#This Row],[Obs]]&amp;")"</f>
        <v>MAF ()</v>
      </c>
    </row>
    <row r="4009" spans="1:14" x14ac:dyDescent="0.3">
      <c r="A4009" s="1">
        <v>45246</v>
      </c>
      <c r="B4009" t="s">
        <v>48</v>
      </c>
      <c r="C4009" t="s">
        <v>455</v>
      </c>
      <c r="D4009" s="8"/>
      <c r="E4009" s="8"/>
      <c r="L4009" t="s">
        <v>563</v>
      </c>
      <c r="M4009" t="s">
        <v>478</v>
      </c>
      <c r="N4009" t="str">
        <f>Tabela_tudo[[#This Row],[Médico]]&amp;" ("&amp;Tabela_tudo[[#This Row],[Obs]]&amp;")"</f>
        <v>MAF ()</v>
      </c>
    </row>
    <row r="4010" spans="1:14" x14ac:dyDescent="0.3">
      <c r="A4010" s="1">
        <v>45316</v>
      </c>
      <c r="B4010" t="s">
        <v>48</v>
      </c>
      <c r="C4010" t="s">
        <v>455</v>
      </c>
      <c r="D4010" s="8"/>
      <c r="E4010" s="8"/>
      <c r="L4010" t="s">
        <v>563</v>
      </c>
      <c r="M4010" t="s">
        <v>478</v>
      </c>
      <c r="N4010" t="str">
        <f>Tabela_tudo[[#This Row],[Médico]]&amp;" ("&amp;Tabela_tudo[[#This Row],[Obs]]&amp;")"</f>
        <v>MAF ()</v>
      </c>
    </row>
    <row r="4011" spans="1:14" x14ac:dyDescent="0.3">
      <c r="A4011" s="1">
        <v>45309</v>
      </c>
      <c r="B4011" t="s">
        <v>48</v>
      </c>
      <c r="C4011" t="s">
        <v>455</v>
      </c>
      <c r="D4011" s="8"/>
      <c r="E4011" s="8"/>
      <c r="L4011" t="s">
        <v>563</v>
      </c>
      <c r="M4011" t="s">
        <v>478</v>
      </c>
      <c r="N4011" t="str">
        <f>Tabela_tudo[[#This Row],[Médico]]&amp;" ("&amp;Tabela_tudo[[#This Row],[Obs]]&amp;")"</f>
        <v>MAF ()</v>
      </c>
    </row>
    <row r="4012" spans="1:14" x14ac:dyDescent="0.3">
      <c r="A4012" s="1">
        <v>45302</v>
      </c>
      <c r="B4012" t="s">
        <v>48</v>
      </c>
      <c r="C4012" t="s">
        <v>455</v>
      </c>
      <c r="D4012" s="8"/>
      <c r="E4012" s="8"/>
      <c r="L4012" t="s">
        <v>563</v>
      </c>
      <c r="M4012" t="s">
        <v>478</v>
      </c>
      <c r="N4012" t="str">
        <f>Tabela_tudo[[#This Row],[Médico]]&amp;" ("&amp;Tabela_tudo[[#This Row],[Obs]]&amp;")"</f>
        <v>MAF ()</v>
      </c>
    </row>
    <row r="4013" spans="1:14" x14ac:dyDescent="0.3">
      <c r="A4013" s="1">
        <v>45323</v>
      </c>
      <c r="B4013" t="s">
        <v>48</v>
      </c>
      <c r="C4013" t="s">
        <v>455</v>
      </c>
      <c r="D4013" s="8"/>
      <c r="E4013" s="8"/>
      <c r="L4013" t="s">
        <v>563</v>
      </c>
      <c r="M4013" t="s">
        <v>478</v>
      </c>
      <c r="N4013" t="str">
        <f>Tabela_tudo[[#This Row],[Médico]]&amp;" ("&amp;Tabela_tudo[[#This Row],[Obs]]&amp;")"</f>
        <v>MAF ()</v>
      </c>
    </row>
    <row r="4014" spans="1:14" x14ac:dyDescent="0.3">
      <c r="A4014" s="1">
        <v>45344</v>
      </c>
      <c r="B4014" t="s">
        <v>48</v>
      </c>
      <c r="C4014" t="s">
        <v>455</v>
      </c>
      <c r="D4014" s="8"/>
      <c r="E4014" s="8"/>
      <c r="L4014" t="s">
        <v>563</v>
      </c>
      <c r="M4014" t="s">
        <v>478</v>
      </c>
      <c r="N4014" t="str">
        <f>Tabela_tudo[[#This Row],[Médico]]&amp;" ("&amp;Tabela_tudo[[#This Row],[Obs]]&amp;")"</f>
        <v>MAF ()</v>
      </c>
    </row>
    <row r="4015" spans="1:14" x14ac:dyDescent="0.3">
      <c r="A4015" s="1">
        <v>45337</v>
      </c>
      <c r="B4015" t="s">
        <v>48</v>
      </c>
      <c r="C4015" t="s">
        <v>455</v>
      </c>
      <c r="D4015" s="8"/>
      <c r="E4015" s="8"/>
      <c r="L4015" t="s">
        <v>563</v>
      </c>
      <c r="M4015" t="s">
        <v>478</v>
      </c>
      <c r="N4015" t="str">
        <f>Tabela_tudo[[#This Row],[Médico]]&amp;" ("&amp;Tabela_tudo[[#This Row],[Obs]]&amp;")"</f>
        <v>MAF ()</v>
      </c>
    </row>
    <row r="4016" spans="1:14" x14ac:dyDescent="0.3">
      <c r="A4016" s="1">
        <v>45330</v>
      </c>
      <c r="B4016" t="s">
        <v>48</v>
      </c>
      <c r="C4016" t="s">
        <v>455</v>
      </c>
      <c r="D4016" s="8"/>
      <c r="E4016" s="8"/>
      <c r="L4016" t="s">
        <v>563</v>
      </c>
      <c r="M4016" t="s">
        <v>478</v>
      </c>
      <c r="N4016" t="str">
        <f>Tabela_tudo[[#This Row],[Médico]]&amp;" ("&amp;Tabela_tudo[[#This Row],[Obs]]&amp;")"</f>
        <v>MAF ()</v>
      </c>
    </row>
    <row r="4017" spans="1:14" x14ac:dyDescent="0.3">
      <c r="A4017" s="1">
        <v>45267</v>
      </c>
      <c r="B4017" t="s">
        <v>48</v>
      </c>
      <c r="C4017" t="s">
        <v>455</v>
      </c>
      <c r="D4017" s="8"/>
      <c r="E4017" s="8"/>
      <c r="L4017" t="s">
        <v>563</v>
      </c>
      <c r="M4017" t="s">
        <v>478</v>
      </c>
      <c r="N4017" t="str">
        <f>Tabela_tudo[[#This Row],[Médico]]&amp;" ("&amp;Tabela_tudo[[#This Row],[Obs]]&amp;")"</f>
        <v>MAF ()</v>
      </c>
    </row>
    <row r="4018" spans="1:14" x14ac:dyDescent="0.3">
      <c r="A4018" s="1">
        <v>45260</v>
      </c>
      <c r="B4018" t="s">
        <v>48</v>
      </c>
      <c r="C4018" t="s">
        <v>455</v>
      </c>
      <c r="D4018" s="8"/>
      <c r="E4018" s="8"/>
      <c r="L4018" t="s">
        <v>563</v>
      </c>
      <c r="M4018" t="s">
        <v>478</v>
      </c>
      <c r="N4018" t="str">
        <f>Tabela_tudo[[#This Row],[Médico]]&amp;" ("&amp;Tabela_tudo[[#This Row],[Obs]]&amp;")"</f>
        <v>MAF ()</v>
      </c>
    </row>
    <row r="4019" spans="1:14" x14ac:dyDescent="0.3">
      <c r="A4019" s="1">
        <v>45253</v>
      </c>
      <c r="B4019" t="s">
        <v>48</v>
      </c>
      <c r="C4019" t="s">
        <v>455</v>
      </c>
      <c r="D4019" s="8"/>
      <c r="E4019" s="8"/>
      <c r="L4019" t="s">
        <v>563</v>
      </c>
      <c r="M4019" t="s">
        <v>478</v>
      </c>
      <c r="N4019" t="str">
        <f>Tabela_tudo[[#This Row],[Médico]]&amp;" ("&amp;Tabela_tudo[[#This Row],[Obs]]&amp;")"</f>
        <v>MAF ()</v>
      </c>
    </row>
    <row r="4020" spans="1:14" x14ac:dyDescent="0.3">
      <c r="A4020" s="1">
        <v>45274</v>
      </c>
      <c r="B4020" t="s">
        <v>48</v>
      </c>
      <c r="C4020" t="s">
        <v>455</v>
      </c>
      <c r="D4020" s="8"/>
      <c r="E4020" s="8"/>
      <c r="L4020" t="s">
        <v>563</v>
      </c>
      <c r="M4020" t="s">
        <v>478</v>
      </c>
      <c r="N4020" t="str">
        <f>Tabela_tudo[[#This Row],[Médico]]&amp;" ("&amp;Tabela_tudo[[#This Row],[Obs]]&amp;")"</f>
        <v>MAF ()</v>
      </c>
    </row>
    <row r="4021" spans="1:14" x14ac:dyDescent="0.3">
      <c r="A4021" s="1">
        <v>45295</v>
      </c>
      <c r="B4021" t="s">
        <v>48</v>
      </c>
      <c r="C4021" t="s">
        <v>455</v>
      </c>
      <c r="D4021" s="8"/>
      <c r="E4021" s="8"/>
      <c r="L4021" t="s">
        <v>563</v>
      </c>
      <c r="M4021" t="s">
        <v>478</v>
      </c>
      <c r="N4021" t="str">
        <f>Tabela_tudo[[#This Row],[Médico]]&amp;" ("&amp;Tabela_tudo[[#This Row],[Obs]]&amp;")"</f>
        <v>MAF ()</v>
      </c>
    </row>
    <row r="4022" spans="1:14" x14ac:dyDescent="0.3">
      <c r="A4022" s="1">
        <v>45288</v>
      </c>
      <c r="B4022" t="s">
        <v>48</v>
      </c>
      <c r="C4022" t="s">
        <v>455</v>
      </c>
      <c r="D4022" s="8"/>
      <c r="E4022" s="8"/>
      <c r="L4022" t="s">
        <v>563</v>
      </c>
      <c r="M4022" t="s">
        <v>478</v>
      </c>
      <c r="N4022" t="str">
        <f>Tabela_tudo[[#This Row],[Médico]]&amp;" ("&amp;Tabela_tudo[[#This Row],[Obs]]&amp;")"</f>
        <v>MAF ()</v>
      </c>
    </row>
    <row r="4023" spans="1:14" x14ac:dyDescent="0.3">
      <c r="A4023" s="1">
        <v>45281</v>
      </c>
      <c r="B4023" t="s">
        <v>48</v>
      </c>
      <c r="C4023" t="s">
        <v>455</v>
      </c>
      <c r="D4023" s="8"/>
      <c r="E4023" s="8"/>
      <c r="L4023" t="s">
        <v>563</v>
      </c>
      <c r="M4023" t="s">
        <v>478</v>
      </c>
      <c r="N4023" t="str">
        <f>Tabela_tudo[[#This Row],[Médico]]&amp;" ("&amp;Tabela_tudo[[#This Row],[Obs]]&amp;")"</f>
        <v>MAF ()</v>
      </c>
    </row>
    <row r="4024" spans="1:14" x14ac:dyDescent="0.3">
      <c r="A4024" s="1">
        <v>45442</v>
      </c>
      <c r="B4024" t="s">
        <v>214</v>
      </c>
      <c r="C4024" t="s">
        <v>455</v>
      </c>
      <c r="D4024" s="8"/>
      <c r="E4024" s="8"/>
      <c r="L4024" t="s">
        <v>563</v>
      </c>
      <c r="M4024" t="s">
        <v>478</v>
      </c>
      <c r="N4024" t="str">
        <f>Tabela_tudo[[#This Row],[Médico]]&amp;" ("&amp;Tabela_tudo[[#This Row],[Obs]]&amp;")"</f>
        <v>IFA ()</v>
      </c>
    </row>
    <row r="4025" spans="1:14" x14ac:dyDescent="0.3">
      <c r="A4025" s="1">
        <v>45609</v>
      </c>
      <c r="B4025" t="s">
        <v>333</v>
      </c>
      <c r="C4025" t="s">
        <v>455</v>
      </c>
      <c r="D4025" s="8"/>
      <c r="E4025" s="8"/>
      <c r="L4025" t="s">
        <v>563</v>
      </c>
      <c r="M4025" t="s">
        <v>478</v>
      </c>
      <c r="N4025" t="str">
        <f>Tabela_tudo[[#This Row],[Médico]]&amp;" ("&amp;Tabela_tudo[[#This Row],[Obs]]&amp;")"</f>
        <v>COR ()</v>
      </c>
    </row>
    <row r="4026" spans="1:14" x14ac:dyDescent="0.3">
      <c r="A4026" s="1">
        <v>45602</v>
      </c>
      <c r="B4026" t="s">
        <v>333</v>
      </c>
      <c r="C4026" t="s">
        <v>455</v>
      </c>
      <c r="D4026" s="8"/>
      <c r="E4026" s="8"/>
      <c r="L4026" t="s">
        <v>563</v>
      </c>
      <c r="M4026" t="s">
        <v>478</v>
      </c>
      <c r="N4026" t="str">
        <f>Tabela_tudo[[#This Row],[Médico]]&amp;" ("&amp;Tabela_tudo[[#This Row],[Obs]]&amp;")"</f>
        <v>COR ()</v>
      </c>
    </row>
    <row r="4027" spans="1:14" x14ac:dyDescent="0.3">
      <c r="A4027" s="1">
        <v>45595</v>
      </c>
      <c r="B4027" t="s">
        <v>333</v>
      </c>
      <c r="C4027" t="s">
        <v>455</v>
      </c>
      <c r="D4027" s="8"/>
      <c r="E4027" s="8"/>
      <c r="L4027" t="s">
        <v>563</v>
      </c>
      <c r="M4027" t="s">
        <v>478</v>
      </c>
      <c r="N4027" t="str">
        <f>Tabela_tudo[[#This Row],[Médico]]&amp;" ("&amp;Tabela_tudo[[#This Row],[Obs]]&amp;")"</f>
        <v>COR ()</v>
      </c>
    </row>
    <row r="4028" spans="1:14" x14ac:dyDescent="0.3">
      <c r="A4028" s="1">
        <v>45616</v>
      </c>
      <c r="B4028" t="s">
        <v>333</v>
      </c>
      <c r="C4028" t="s">
        <v>455</v>
      </c>
      <c r="D4028" s="8"/>
      <c r="E4028" s="8"/>
      <c r="L4028" t="s">
        <v>563</v>
      </c>
      <c r="M4028" t="s">
        <v>478</v>
      </c>
      <c r="N4028" t="str">
        <f>Tabela_tudo[[#This Row],[Médico]]&amp;" ("&amp;Tabela_tudo[[#This Row],[Obs]]&amp;")"</f>
        <v>COR ()</v>
      </c>
    </row>
    <row r="4029" spans="1:14" x14ac:dyDescent="0.3">
      <c r="A4029" s="1">
        <v>45637</v>
      </c>
      <c r="B4029" t="s">
        <v>333</v>
      </c>
      <c r="C4029" t="s">
        <v>455</v>
      </c>
      <c r="D4029" s="8"/>
      <c r="E4029" s="8"/>
      <c r="L4029" t="s">
        <v>563</v>
      </c>
      <c r="M4029" t="s">
        <v>478</v>
      </c>
      <c r="N4029" t="str">
        <f>Tabela_tudo[[#This Row],[Médico]]&amp;" ("&amp;Tabela_tudo[[#This Row],[Obs]]&amp;")"</f>
        <v>COR ()</v>
      </c>
    </row>
    <row r="4030" spans="1:14" x14ac:dyDescent="0.3">
      <c r="A4030" s="1">
        <v>45630</v>
      </c>
      <c r="B4030" t="s">
        <v>333</v>
      </c>
      <c r="C4030" t="s">
        <v>455</v>
      </c>
      <c r="D4030" s="8"/>
      <c r="E4030" s="8"/>
      <c r="L4030" t="s">
        <v>563</v>
      </c>
      <c r="M4030" t="s">
        <v>478</v>
      </c>
      <c r="N4030" t="str">
        <f>Tabela_tudo[[#This Row],[Médico]]&amp;" ("&amp;Tabela_tudo[[#This Row],[Obs]]&amp;")"</f>
        <v>COR ()</v>
      </c>
    </row>
    <row r="4031" spans="1:14" x14ac:dyDescent="0.3">
      <c r="A4031" s="1">
        <v>45623</v>
      </c>
      <c r="B4031" t="s">
        <v>333</v>
      </c>
      <c r="C4031" t="s">
        <v>455</v>
      </c>
      <c r="D4031" s="8"/>
      <c r="E4031" s="8"/>
      <c r="L4031" t="s">
        <v>563</v>
      </c>
      <c r="M4031" t="s">
        <v>478</v>
      </c>
      <c r="N4031" t="str">
        <f>Tabela_tudo[[#This Row],[Médico]]&amp;" ("&amp;Tabela_tudo[[#This Row],[Obs]]&amp;")"</f>
        <v>COR ()</v>
      </c>
    </row>
    <row r="4032" spans="1:14" x14ac:dyDescent="0.3">
      <c r="A4032" s="1">
        <v>45560</v>
      </c>
      <c r="B4032" t="s">
        <v>333</v>
      </c>
      <c r="C4032" t="s">
        <v>455</v>
      </c>
      <c r="D4032" s="8"/>
      <c r="E4032" s="8"/>
      <c r="L4032" t="s">
        <v>563</v>
      </c>
      <c r="M4032" t="s">
        <v>478</v>
      </c>
      <c r="N4032" t="str">
        <f>Tabela_tudo[[#This Row],[Médico]]&amp;" ("&amp;Tabela_tudo[[#This Row],[Obs]]&amp;")"</f>
        <v>COR ()</v>
      </c>
    </row>
    <row r="4033" spans="1:14" x14ac:dyDescent="0.3">
      <c r="A4033" s="1">
        <v>45553</v>
      </c>
      <c r="B4033" t="s">
        <v>333</v>
      </c>
      <c r="C4033" t="s">
        <v>455</v>
      </c>
      <c r="D4033" s="8"/>
      <c r="E4033" s="8"/>
      <c r="L4033" t="s">
        <v>563</v>
      </c>
      <c r="M4033" t="s">
        <v>478</v>
      </c>
      <c r="N4033" t="str">
        <f>Tabela_tudo[[#This Row],[Médico]]&amp;" ("&amp;Tabela_tudo[[#This Row],[Obs]]&amp;")"</f>
        <v>COR ()</v>
      </c>
    </row>
    <row r="4034" spans="1:14" x14ac:dyDescent="0.3">
      <c r="A4034" s="1">
        <v>45546</v>
      </c>
      <c r="B4034" t="s">
        <v>333</v>
      </c>
      <c r="C4034" t="s">
        <v>455</v>
      </c>
      <c r="D4034" s="8"/>
      <c r="E4034" s="8"/>
      <c r="L4034" t="s">
        <v>563</v>
      </c>
      <c r="M4034" t="s">
        <v>478</v>
      </c>
      <c r="N4034" t="str">
        <f>Tabela_tudo[[#This Row],[Médico]]&amp;" ("&amp;Tabela_tudo[[#This Row],[Obs]]&amp;")"</f>
        <v>COR ()</v>
      </c>
    </row>
    <row r="4035" spans="1:14" x14ac:dyDescent="0.3">
      <c r="A4035" s="1">
        <v>45567</v>
      </c>
      <c r="B4035" t="s">
        <v>333</v>
      </c>
      <c r="C4035" t="s">
        <v>455</v>
      </c>
      <c r="D4035" s="8"/>
      <c r="E4035" s="8"/>
      <c r="L4035" t="s">
        <v>563</v>
      </c>
      <c r="M4035" t="s">
        <v>478</v>
      </c>
      <c r="N4035" t="str">
        <f>Tabela_tudo[[#This Row],[Médico]]&amp;" ("&amp;Tabela_tudo[[#This Row],[Obs]]&amp;")"</f>
        <v>COR ()</v>
      </c>
    </row>
    <row r="4036" spans="1:14" x14ac:dyDescent="0.3">
      <c r="A4036" s="1">
        <v>45588</v>
      </c>
      <c r="B4036" t="s">
        <v>333</v>
      </c>
      <c r="C4036" t="s">
        <v>455</v>
      </c>
      <c r="D4036" s="8"/>
      <c r="E4036" s="8"/>
      <c r="L4036" t="s">
        <v>563</v>
      </c>
      <c r="M4036" t="s">
        <v>478</v>
      </c>
      <c r="N4036" t="str">
        <f>Tabela_tudo[[#This Row],[Médico]]&amp;" ("&amp;Tabela_tudo[[#This Row],[Obs]]&amp;")"</f>
        <v>COR ()</v>
      </c>
    </row>
    <row r="4037" spans="1:14" x14ac:dyDescent="0.3">
      <c r="A4037" s="1">
        <v>45581</v>
      </c>
      <c r="B4037" t="s">
        <v>333</v>
      </c>
      <c r="C4037" t="s">
        <v>455</v>
      </c>
      <c r="D4037" s="8"/>
      <c r="E4037" s="8"/>
      <c r="L4037" t="s">
        <v>563</v>
      </c>
      <c r="M4037" t="s">
        <v>478</v>
      </c>
      <c r="N4037" t="str">
        <f>Tabela_tudo[[#This Row],[Médico]]&amp;" ("&amp;Tabela_tudo[[#This Row],[Obs]]&amp;")"</f>
        <v>COR ()</v>
      </c>
    </row>
    <row r="4038" spans="1:14" x14ac:dyDescent="0.3">
      <c r="A4038" s="1">
        <v>45574</v>
      </c>
      <c r="B4038" t="s">
        <v>333</v>
      </c>
      <c r="C4038" t="s">
        <v>455</v>
      </c>
      <c r="D4038" s="8"/>
      <c r="E4038" s="8"/>
      <c r="L4038" t="s">
        <v>563</v>
      </c>
      <c r="M4038" t="s">
        <v>478</v>
      </c>
      <c r="N4038" t="str">
        <f>Tabela_tudo[[#This Row],[Médico]]&amp;" ("&amp;Tabela_tudo[[#This Row],[Obs]]&amp;")"</f>
        <v>COR ()</v>
      </c>
    </row>
    <row r="4039" spans="1:14" x14ac:dyDescent="0.3">
      <c r="A4039" s="1">
        <v>45644</v>
      </c>
      <c r="B4039" t="s">
        <v>333</v>
      </c>
      <c r="C4039" t="s">
        <v>455</v>
      </c>
      <c r="D4039" s="8"/>
      <c r="E4039" s="8"/>
      <c r="L4039" t="s">
        <v>563</v>
      </c>
      <c r="M4039" t="s">
        <v>478</v>
      </c>
      <c r="N4039" t="str">
        <f>Tabela_tudo[[#This Row],[Médico]]&amp;" ("&amp;Tabela_tudo[[#This Row],[Obs]]&amp;")"</f>
        <v>COR ()</v>
      </c>
    </row>
    <row r="4040" spans="1:14" x14ac:dyDescent="0.3">
      <c r="A4040" s="1">
        <v>44987</v>
      </c>
      <c r="B4040" t="s">
        <v>214</v>
      </c>
      <c r="C4040" t="s">
        <v>455</v>
      </c>
      <c r="D4040" s="8"/>
      <c r="E4040" s="8"/>
      <c r="L4040" t="s">
        <v>563</v>
      </c>
      <c r="M4040" t="s">
        <v>478</v>
      </c>
      <c r="N4040" t="str">
        <f>Tabela_tudo[[#This Row],[Médico]]&amp;" ("&amp;Tabela_tudo[[#This Row],[Obs]]&amp;")"</f>
        <v>IFA ()</v>
      </c>
    </row>
    <row r="4041" spans="1:14" x14ac:dyDescent="0.3">
      <c r="A4041" s="1">
        <v>44980</v>
      </c>
      <c r="B4041" t="s">
        <v>214</v>
      </c>
      <c r="C4041" t="s">
        <v>455</v>
      </c>
      <c r="D4041" s="8"/>
      <c r="E4041" s="8"/>
      <c r="L4041" t="s">
        <v>563</v>
      </c>
      <c r="M4041" t="s">
        <v>478</v>
      </c>
      <c r="N4041" t="str">
        <f>Tabela_tudo[[#This Row],[Médico]]&amp;" ("&amp;Tabela_tudo[[#This Row],[Obs]]&amp;")"</f>
        <v>IFA ()</v>
      </c>
    </row>
    <row r="4042" spans="1:14" x14ac:dyDescent="0.3">
      <c r="A4042" s="1">
        <v>44973</v>
      </c>
      <c r="B4042" t="s">
        <v>214</v>
      </c>
      <c r="C4042" t="s">
        <v>455</v>
      </c>
      <c r="D4042" s="8"/>
      <c r="E4042" s="8"/>
      <c r="L4042" t="s">
        <v>563</v>
      </c>
      <c r="M4042" t="s">
        <v>478</v>
      </c>
      <c r="N4042" t="str">
        <f>Tabela_tudo[[#This Row],[Médico]]&amp;" ("&amp;Tabela_tudo[[#This Row],[Obs]]&amp;")"</f>
        <v>IFA ()</v>
      </c>
    </row>
    <row r="4043" spans="1:14" x14ac:dyDescent="0.3">
      <c r="A4043" s="1">
        <v>44994</v>
      </c>
      <c r="B4043" t="s">
        <v>214</v>
      </c>
      <c r="C4043" t="s">
        <v>455</v>
      </c>
      <c r="D4043" s="8"/>
      <c r="E4043" s="8"/>
      <c r="L4043" t="s">
        <v>563</v>
      </c>
      <c r="M4043" t="s">
        <v>478</v>
      </c>
      <c r="N4043" t="str">
        <f>Tabela_tudo[[#This Row],[Médico]]&amp;" ("&amp;Tabela_tudo[[#This Row],[Obs]]&amp;")"</f>
        <v>IFA ()</v>
      </c>
    </row>
    <row r="4044" spans="1:14" x14ac:dyDescent="0.3">
      <c r="A4044" s="1">
        <v>45015</v>
      </c>
      <c r="B4044" t="s">
        <v>214</v>
      </c>
      <c r="C4044" t="s">
        <v>455</v>
      </c>
      <c r="D4044" s="8"/>
      <c r="E4044" s="8"/>
      <c r="L4044" t="s">
        <v>563</v>
      </c>
      <c r="M4044" t="s">
        <v>478</v>
      </c>
      <c r="N4044" t="str">
        <f>Tabela_tudo[[#This Row],[Médico]]&amp;" ("&amp;Tabela_tudo[[#This Row],[Obs]]&amp;")"</f>
        <v>IFA ()</v>
      </c>
    </row>
    <row r="4045" spans="1:14" x14ac:dyDescent="0.3">
      <c r="A4045" s="1">
        <v>45008</v>
      </c>
      <c r="B4045" t="s">
        <v>214</v>
      </c>
      <c r="C4045" t="s">
        <v>455</v>
      </c>
      <c r="D4045" s="8"/>
      <c r="E4045" s="8"/>
      <c r="L4045" t="s">
        <v>563</v>
      </c>
      <c r="M4045" t="s">
        <v>478</v>
      </c>
      <c r="N4045" t="str">
        <f>Tabela_tudo[[#This Row],[Médico]]&amp;" ("&amp;Tabela_tudo[[#This Row],[Obs]]&amp;")"</f>
        <v>IFA ()</v>
      </c>
    </row>
    <row r="4046" spans="1:14" x14ac:dyDescent="0.3">
      <c r="A4046" s="1">
        <v>45001</v>
      </c>
      <c r="B4046" t="s">
        <v>214</v>
      </c>
      <c r="C4046" t="s">
        <v>455</v>
      </c>
      <c r="D4046" s="8"/>
      <c r="E4046" s="8"/>
      <c r="L4046" t="s">
        <v>563</v>
      </c>
      <c r="M4046" t="s">
        <v>478</v>
      </c>
      <c r="N4046" t="str">
        <f>Tabela_tudo[[#This Row],[Médico]]&amp;" ("&amp;Tabela_tudo[[#This Row],[Obs]]&amp;")"</f>
        <v>IFA ()</v>
      </c>
    </row>
    <row r="4047" spans="1:14" x14ac:dyDescent="0.3">
      <c r="A4047" s="1">
        <v>44938</v>
      </c>
      <c r="B4047" t="s">
        <v>214</v>
      </c>
      <c r="C4047" t="s">
        <v>455</v>
      </c>
      <c r="D4047" s="8"/>
      <c r="E4047" s="8"/>
      <c r="L4047" t="s">
        <v>563</v>
      </c>
      <c r="M4047" t="s">
        <v>478</v>
      </c>
      <c r="N4047" t="str">
        <f>Tabela_tudo[[#This Row],[Médico]]&amp;" ("&amp;Tabela_tudo[[#This Row],[Obs]]&amp;")"</f>
        <v>IFA ()</v>
      </c>
    </row>
    <row r="4048" spans="1:14" x14ac:dyDescent="0.3">
      <c r="A4048" s="1">
        <v>44931</v>
      </c>
      <c r="B4048" t="s">
        <v>214</v>
      </c>
      <c r="C4048" t="s">
        <v>455</v>
      </c>
      <c r="D4048" s="8"/>
      <c r="E4048" s="8"/>
      <c r="L4048" t="s">
        <v>563</v>
      </c>
      <c r="M4048" t="s">
        <v>478</v>
      </c>
      <c r="N4048" t="str">
        <f>Tabela_tudo[[#This Row],[Médico]]&amp;" ("&amp;Tabela_tudo[[#This Row],[Obs]]&amp;")"</f>
        <v>IFA ()</v>
      </c>
    </row>
    <row r="4049" spans="1:14" x14ac:dyDescent="0.3">
      <c r="A4049" s="1">
        <v>45651</v>
      </c>
      <c r="B4049" t="s">
        <v>333</v>
      </c>
      <c r="C4049" t="s">
        <v>455</v>
      </c>
      <c r="D4049" s="8"/>
      <c r="E4049" s="8"/>
      <c r="L4049" t="s">
        <v>563</v>
      </c>
      <c r="M4049" t="s">
        <v>478</v>
      </c>
      <c r="N4049" t="str">
        <f>Tabela_tudo[[#This Row],[Médico]]&amp;" ("&amp;Tabela_tudo[[#This Row],[Obs]]&amp;")"</f>
        <v>COR ()</v>
      </c>
    </row>
    <row r="4050" spans="1:14" x14ac:dyDescent="0.3">
      <c r="A4050" s="1">
        <v>44945</v>
      </c>
      <c r="B4050" t="s">
        <v>214</v>
      </c>
      <c r="C4050" t="s">
        <v>455</v>
      </c>
      <c r="D4050" s="8"/>
      <c r="E4050" s="8"/>
      <c r="L4050" t="s">
        <v>563</v>
      </c>
      <c r="M4050" t="s">
        <v>478</v>
      </c>
      <c r="N4050" t="str">
        <f>Tabela_tudo[[#This Row],[Médico]]&amp;" ("&amp;Tabela_tudo[[#This Row],[Obs]]&amp;")"</f>
        <v>IFA ()</v>
      </c>
    </row>
    <row r="4051" spans="1:14" x14ac:dyDescent="0.3">
      <c r="A4051" s="1">
        <v>44966</v>
      </c>
      <c r="B4051" t="s">
        <v>214</v>
      </c>
      <c r="C4051" t="s">
        <v>455</v>
      </c>
      <c r="D4051" s="8"/>
      <c r="E4051" s="8"/>
      <c r="L4051" t="s">
        <v>563</v>
      </c>
      <c r="M4051" t="s">
        <v>478</v>
      </c>
      <c r="N4051" t="str">
        <f>Tabela_tudo[[#This Row],[Médico]]&amp;" ("&amp;Tabela_tudo[[#This Row],[Obs]]&amp;")"</f>
        <v>IFA ()</v>
      </c>
    </row>
    <row r="4052" spans="1:14" x14ac:dyDescent="0.3">
      <c r="A4052" s="1">
        <v>44959</v>
      </c>
      <c r="B4052" t="s">
        <v>214</v>
      </c>
      <c r="C4052" t="s">
        <v>455</v>
      </c>
      <c r="D4052" s="8"/>
      <c r="E4052" s="8"/>
      <c r="L4052" t="s">
        <v>563</v>
      </c>
      <c r="M4052" t="s">
        <v>478</v>
      </c>
      <c r="N4052" t="str">
        <f>Tabela_tudo[[#This Row],[Médico]]&amp;" ("&amp;Tabela_tudo[[#This Row],[Obs]]&amp;")"</f>
        <v>IFA ()</v>
      </c>
    </row>
    <row r="4053" spans="1:14" x14ac:dyDescent="0.3">
      <c r="A4053" s="1">
        <v>44952</v>
      </c>
      <c r="B4053" t="s">
        <v>214</v>
      </c>
      <c r="C4053" t="s">
        <v>455</v>
      </c>
      <c r="D4053" s="8"/>
      <c r="E4053" s="8"/>
      <c r="L4053" t="s">
        <v>563</v>
      </c>
      <c r="M4053" t="s">
        <v>478</v>
      </c>
      <c r="N4053" t="str">
        <f>Tabela_tudo[[#This Row],[Médico]]&amp;" ("&amp;Tabela_tudo[[#This Row],[Obs]]&amp;")"</f>
        <v>IFA ()</v>
      </c>
    </row>
    <row r="4054" spans="1:14" x14ac:dyDescent="0.3">
      <c r="A4054" s="1">
        <v>45539</v>
      </c>
      <c r="B4054" t="s">
        <v>333</v>
      </c>
      <c r="C4054" t="s">
        <v>455</v>
      </c>
      <c r="D4054" s="8"/>
      <c r="E4054" s="8"/>
      <c r="L4054" t="s">
        <v>563</v>
      </c>
      <c r="M4054" t="s">
        <v>478</v>
      </c>
      <c r="N4054" t="str">
        <f>Tabela_tudo[[#This Row],[Médico]]&amp;" ("&amp;Tabela_tudo[[#This Row],[Obs]]&amp;")"</f>
        <v>COR ()</v>
      </c>
    </row>
    <row r="4055" spans="1:14" x14ac:dyDescent="0.3">
      <c r="A4055" s="1">
        <v>45399</v>
      </c>
      <c r="B4055" t="s">
        <v>333</v>
      </c>
      <c r="C4055" t="s">
        <v>455</v>
      </c>
      <c r="D4055" s="8"/>
      <c r="E4055" s="8"/>
      <c r="L4055" t="s">
        <v>563</v>
      </c>
      <c r="M4055" t="s">
        <v>478</v>
      </c>
      <c r="N4055" t="str">
        <f>Tabela_tudo[[#This Row],[Médico]]&amp;" ("&amp;Tabela_tudo[[#This Row],[Obs]]&amp;")"</f>
        <v>COR ()</v>
      </c>
    </row>
    <row r="4056" spans="1:14" x14ac:dyDescent="0.3">
      <c r="A4056" s="1">
        <v>45392</v>
      </c>
      <c r="B4056" t="s">
        <v>333</v>
      </c>
      <c r="C4056" t="s">
        <v>455</v>
      </c>
      <c r="D4056" s="8"/>
      <c r="E4056" s="8"/>
      <c r="L4056" t="s">
        <v>563</v>
      </c>
      <c r="M4056" t="s">
        <v>478</v>
      </c>
      <c r="N4056" t="str">
        <f>Tabela_tudo[[#This Row],[Médico]]&amp;" ("&amp;Tabela_tudo[[#This Row],[Obs]]&amp;")"</f>
        <v>COR ()</v>
      </c>
    </row>
    <row r="4057" spans="1:14" x14ac:dyDescent="0.3">
      <c r="A4057" s="1">
        <v>45385</v>
      </c>
      <c r="B4057" t="s">
        <v>333</v>
      </c>
      <c r="C4057" t="s">
        <v>455</v>
      </c>
      <c r="D4057" s="8"/>
      <c r="E4057" s="8"/>
      <c r="L4057" t="s">
        <v>563</v>
      </c>
      <c r="M4057" t="s">
        <v>478</v>
      </c>
      <c r="N4057" t="str">
        <f>Tabela_tudo[[#This Row],[Médico]]&amp;" ("&amp;Tabela_tudo[[#This Row],[Obs]]&amp;")"</f>
        <v>COR ()</v>
      </c>
    </row>
    <row r="4058" spans="1:14" x14ac:dyDescent="0.3">
      <c r="A4058" s="1">
        <v>45406</v>
      </c>
      <c r="B4058" t="s">
        <v>333</v>
      </c>
      <c r="C4058" t="s">
        <v>455</v>
      </c>
      <c r="D4058" s="8"/>
      <c r="E4058" s="8"/>
      <c r="L4058" t="s">
        <v>563</v>
      </c>
      <c r="M4058" t="s">
        <v>478</v>
      </c>
      <c r="N4058" t="str">
        <f>Tabela_tudo[[#This Row],[Médico]]&amp;" ("&amp;Tabela_tudo[[#This Row],[Obs]]&amp;")"</f>
        <v>COR ()</v>
      </c>
    </row>
    <row r="4059" spans="1:14" x14ac:dyDescent="0.3">
      <c r="A4059" s="1">
        <v>45427</v>
      </c>
      <c r="B4059" t="s">
        <v>333</v>
      </c>
      <c r="C4059" t="s">
        <v>455</v>
      </c>
      <c r="D4059" s="8"/>
      <c r="E4059" s="8"/>
      <c r="L4059" t="s">
        <v>563</v>
      </c>
      <c r="M4059" t="s">
        <v>478</v>
      </c>
      <c r="N4059" t="str">
        <f>Tabela_tudo[[#This Row],[Médico]]&amp;" ("&amp;Tabela_tudo[[#This Row],[Obs]]&amp;")"</f>
        <v>COR ()</v>
      </c>
    </row>
    <row r="4060" spans="1:14" x14ac:dyDescent="0.3">
      <c r="A4060" s="1">
        <v>45420</v>
      </c>
      <c r="B4060" t="s">
        <v>333</v>
      </c>
      <c r="C4060" t="s">
        <v>455</v>
      </c>
      <c r="D4060" s="8"/>
      <c r="E4060" s="8"/>
      <c r="L4060" t="s">
        <v>563</v>
      </c>
      <c r="M4060" t="s">
        <v>478</v>
      </c>
      <c r="N4060" t="str">
        <f>Tabela_tudo[[#This Row],[Médico]]&amp;" ("&amp;Tabela_tudo[[#This Row],[Obs]]&amp;")"</f>
        <v>COR ()</v>
      </c>
    </row>
    <row r="4061" spans="1:14" x14ac:dyDescent="0.3">
      <c r="A4061" s="1">
        <v>45413</v>
      </c>
      <c r="B4061" t="s">
        <v>333</v>
      </c>
      <c r="C4061" t="s">
        <v>455</v>
      </c>
      <c r="D4061" s="8"/>
      <c r="E4061" s="8"/>
      <c r="L4061" t="s">
        <v>563</v>
      </c>
      <c r="M4061" t="s">
        <v>478</v>
      </c>
      <c r="N4061" t="str">
        <f>Tabela_tudo[[#This Row],[Médico]]&amp;" ("&amp;Tabela_tudo[[#This Row],[Obs]]&amp;")"</f>
        <v>COR ()</v>
      </c>
    </row>
    <row r="4062" spans="1:14" x14ac:dyDescent="0.3">
      <c r="A4062" s="1">
        <v>45350</v>
      </c>
      <c r="B4062" t="s">
        <v>333</v>
      </c>
      <c r="C4062" t="s">
        <v>455</v>
      </c>
      <c r="D4062" s="8"/>
      <c r="E4062" s="8"/>
      <c r="L4062" t="s">
        <v>563</v>
      </c>
      <c r="M4062" t="s">
        <v>478</v>
      </c>
      <c r="N4062" t="str">
        <f>Tabela_tudo[[#This Row],[Médico]]&amp;" ("&amp;Tabela_tudo[[#This Row],[Obs]]&amp;")"</f>
        <v>COR ()</v>
      </c>
    </row>
    <row r="4063" spans="1:14" x14ac:dyDescent="0.3">
      <c r="A4063" s="1">
        <v>45343</v>
      </c>
      <c r="B4063" t="s">
        <v>333</v>
      </c>
      <c r="C4063" t="s">
        <v>455</v>
      </c>
      <c r="D4063" s="8"/>
      <c r="E4063" s="8"/>
      <c r="L4063" t="s">
        <v>563</v>
      </c>
      <c r="M4063" t="s">
        <v>478</v>
      </c>
      <c r="N4063" t="str">
        <f>Tabela_tudo[[#This Row],[Médico]]&amp;" ("&amp;Tabela_tudo[[#This Row],[Obs]]&amp;")"</f>
        <v>COR ()</v>
      </c>
    </row>
    <row r="4064" spans="1:14" x14ac:dyDescent="0.3">
      <c r="A4064" s="1">
        <v>45336</v>
      </c>
      <c r="B4064" t="s">
        <v>333</v>
      </c>
      <c r="C4064" t="s">
        <v>455</v>
      </c>
      <c r="D4064" s="8"/>
      <c r="E4064" s="8"/>
      <c r="L4064" t="s">
        <v>563</v>
      </c>
      <c r="M4064" t="s">
        <v>478</v>
      </c>
      <c r="N4064" t="str">
        <f>Tabela_tudo[[#This Row],[Médico]]&amp;" ("&amp;Tabela_tudo[[#This Row],[Obs]]&amp;")"</f>
        <v>COR ()</v>
      </c>
    </row>
    <row r="4065" spans="1:14" x14ac:dyDescent="0.3">
      <c r="A4065" s="1">
        <v>45357</v>
      </c>
      <c r="B4065" t="s">
        <v>333</v>
      </c>
      <c r="C4065" t="s">
        <v>455</v>
      </c>
      <c r="D4065" s="8"/>
      <c r="E4065" s="8"/>
      <c r="L4065" t="s">
        <v>563</v>
      </c>
      <c r="M4065" t="s">
        <v>478</v>
      </c>
      <c r="N4065" t="str">
        <f>Tabela_tudo[[#This Row],[Médico]]&amp;" ("&amp;Tabela_tudo[[#This Row],[Obs]]&amp;")"</f>
        <v>COR ()</v>
      </c>
    </row>
    <row r="4066" spans="1:14" x14ac:dyDescent="0.3">
      <c r="A4066" s="1">
        <v>45378</v>
      </c>
      <c r="B4066" t="s">
        <v>333</v>
      </c>
      <c r="C4066" t="s">
        <v>455</v>
      </c>
      <c r="D4066" s="8"/>
      <c r="E4066" s="8"/>
      <c r="L4066" t="s">
        <v>563</v>
      </c>
      <c r="M4066" t="s">
        <v>478</v>
      </c>
      <c r="N4066" t="str">
        <f>Tabela_tudo[[#This Row],[Médico]]&amp;" ("&amp;Tabela_tudo[[#This Row],[Obs]]&amp;")"</f>
        <v>COR ()</v>
      </c>
    </row>
    <row r="4067" spans="1:14" x14ac:dyDescent="0.3">
      <c r="A4067" s="1">
        <v>45371</v>
      </c>
      <c r="B4067" t="s">
        <v>333</v>
      </c>
      <c r="C4067" t="s">
        <v>455</v>
      </c>
      <c r="D4067" s="8"/>
      <c r="E4067" s="8"/>
      <c r="L4067" t="s">
        <v>563</v>
      </c>
      <c r="M4067" t="s">
        <v>478</v>
      </c>
      <c r="N4067" t="str">
        <f>Tabela_tudo[[#This Row],[Médico]]&amp;" ("&amp;Tabela_tudo[[#This Row],[Obs]]&amp;")"</f>
        <v>COR ()</v>
      </c>
    </row>
    <row r="4068" spans="1:14" x14ac:dyDescent="0.3">
      <c r="A4068" s="1">
        <v>45364</v>
      </c>
      <c r="B4068" t="s">
        <v>333</v>
      </c>
      <c r="C4068" t="s">
        <v>455</v>
      </c>
      <c r="D4068" s="8"/>
      <c r="E4068" s="8"/>
      <c r="L4068" t="s">
        <v>563</v>
      </c>
      <c r="M4068" t="s">
        <v>478</v>
      </c>
      <c r="N4068" t="str">
        <f>Tabela_tudo[[#This Row],[Médico]]&amp;" ("&amp;Tabela_tudo[[#This Row],[Obs]]&amp;")"</f>
        <v>COR ()</v>
      </c>
    </row>
    <row r="4069" spans="1:14" x14ac:dyDescent="0.3">
      <c r="A4069" s="1">
        <v>45434</v>
      </c>
      <c r="B4069" t="s">
        <v>333</v>
      </c>
      <c r="C4069" t="s">
        <v>455</v>
      </c>
      <c r="D4069" s="8"/>
      <c r="E4069" s="8"/>
      <c r="L4069" t="s">
        <v>563</v>
      </c>
      <c r="M4069" t="s">
        <v>478</v>
      </c>
      <c r="N4069" t="str">
        <f>Tabela_tudo[[#This Row],[Médico]]&amp;" ("&amp;Tabela_tudo[[#This Row],[Obs]]&amp;")"</f>
        <v>COR ()</v>
      </c>
    </row>
    <row r="4070" spans="1:14" x14ac:dyDescent="0.3">
      <c r="A4070" s="1">
        <v>45504</v>
      </c>
      <c r="B4070" t="s">
        <v>333</v>
      </c>
      <c r="C4070" t="s">
        <v>455</v>
      </c>
      <c r="D4070" s="8"/>
      <c r="E4070" s="8"/>
      <c r="L4070" t="s">
        <v>563</v>
      </c>
      <c r="M4070" t="s">
        <v>478</v>
      </c>
      <c r="N4070" t="str">
        <f>Tabela_tudo[[#This Row],[Médico]]&amp;" ("&amp;Tabela_tudo[[#This Row],[Obs]]&amp;")"</f>
        <v>COR ()</v>
      </c>
    </row>
    <row r="4071" spans="1:14" x14ac:dyDescent="0.3">
      <c r="A4071" s="1">
        <v>45497</v>
      </c>
      <c r="B4071" t="s">
        <v>333</v>
      </c>
      <c r="C4071" t="s">
        <v>455</v>
      </c>
      <c r="D4071" s="8"/>
      <c r="E4071" s="8"/>
      <c r="L4071" t="s">
        <v>563</v>
      </c>
      <c r="M4071" t="s">
        <v>478</v>
      </c>
      <c r="N4071" t="str">
        <f>Tabela_tudo[[#This Row],[Médico]]&amp;" ("&amp;Tabela_tudo[[#This Row],[Obs]]&amp;")"</f>
        <v>COR ()</v>
      </c>
    </row>
    <row r="4072" spans="1:14" x14ac:dyDescent="0.3">
      <c r="A4072" s="1">
        <v>45490</v>
      </c>
      <c r="B4072" t="s">
        <v>333</v>
      </c>
      <c r="C4072" t="s">
        <v>455</v>
      </c>
      <c r="D4072" s="8"/>
      <c r="E4072" s="8"/>
      <c r="L4072" t="s">
        <v>563</v>
      </c>
      <c r="M4072" t="s">
        <v>478</v>
      </c>
      <c r="N4072" t="str">
        <f>Tabela_tudo[[#This Row],[Médico]]&amp;" ("&amp;Tabela_tudo[[#This Row],[Obs]]&amp;")"</f>
        <v>COR ()</v>
      </c>
    </row>
    <row r="4073" spans="1:14" x14ac:dyDescent="0.3">
      <c r="A4073" s="1">
        <v>45511</v>
      </c>
      <c r="B4073" t="s">
        <v>333</v>
      </c>
      <c r="C4073" t="s">
        <v>455</v>
      </c>
      <c r="D4073" s="8"/>
      <c r="E4073" s="8"/>
      <c r="L4073" t="s">
        <v>563</v>
      </c>
      <c r="M4073" t="s">
        <v>478</v>
      </c>
      <c r="N4073" t="str">
        <f>Tabela_tudo[[#This Row],[Médico]]&amp;" ("&amp;Tabela_tudo[[#This Row],[Obs]]&amp;")"</f>
        <v>COR ()</v>
      </c>
    </row>
    <row r="4074" spans="1:14" x14ac:dyDescent="0.3">
      <c r="A4074" s="1">
        <v>45532</v>
      </c>
      <c r="B4074" t="s">
        <v>333</v>
      </c>
      <c r="C4074" t="s">
        <v>455</v>
      </c>
      <c r="D4074" s="8"/>
      <c r="E4074" s="8"/>
      <c r="L4074" t="s">
        <v>563</v>
      </c>
      <c r="M4074" t="s">
        <v>478</v>
      </c>
      <c r="N4074" t="str">
        <f>Tabela_tudo[[#This Row],[Médico]]&amp;" ("&amp;Tabela_tudo[[#This Row],[Obs]]&amp;")"</f>
        <v>COR ()</v>
      </c>
    </row>
    <row r="4075" spans="1:14" x14ac:dyDescent="0.3">
      <c r="A4075" s="1">
        <v>45525</v>
      </c>
      <c r="B4075" t="s">
        <v>333</v>
      </c>
      <c r="C4075" t="s">
        <v>455</v>
      </c>
      <c r="D4075" s="8"/>
      <c r="E4075" s="8"/>
      <c r="L4075" t="s">
        <v>563</v>
      </c>
      <c r="M4075" t="s">
        <v>478</v>
      </c>
      <c r="N4075" t="str">
        <f>Tabela_tudo[[#This Row],[Médico]]&amp;" ("&amp;Tabela_tudo[[#This Row],[Obs]]&amp;")"</f>
        <v>COR ()</v>
      </c>
    </row>
    <row r="4076" spans="1:14" x14ac:dyDescent="0.3">
      <c r="A4076" s="1">
        <v>45518</v>
      </c>
      <c r="B4076" t="s">
        <v>333</v>
      </c>
      <c r="C4076" t="s">
        <v>455</v>
      </c>
      <c r="D4076" s="8"/>
      <c r="E4076" s="8"/>
      <c r="L4076" t="s">
        <v>563</v>
      </c>
      <c r="M4076" t="s">
        <v>478</v>
      </c>
      <c r="N4076" t="str">
        <f>Tabela_tudo[[#This Row],[Médico]]&amp;" ("&amp;Tabela_tudo[[#This Row],[Obs]]&amp;")"</f>
        <v>COR ()</v>
      </c>
    </row>
    <row r="4077" spans="1:14" x14ac:dyDescent="0.3">
      <c r="A4077" s="1">
        <v>45455</v>
      </c>
      <c r="B4077" t="s">
        <v>333</v>
      </c>
      <c r="C4077" t="s">
        <v>455</v>
      </c>
      <c r="D4077" s="8"/>
      <c r="E4077" s="8"/>
      <c r="L4077" t="s">
        <v>563</v>
      </c>
      <c r="M4077" t="s">
        <v>478</v>
      </c>
      <c r="N4077" t="str">
        <f>Tabela_tudo[[#This Row],[Médico]]&amp;" ("&amp;Tabela_tudo[[#This Row],[Obs]]&amp;")"</f>
        <v>COR ()</v>
      </c>
    </row>
    <row r="4078" spans="1:14" x14ac:dyDescent="0.3">
      <c r="A4078" s="1">
        <v>45448</v>
      </c>
      <c r="B4078" t="s">
        <v>333</v>
      </c>
      <c r="C4078" t="s">
        <v>455</v>
      </c>
      <c r="D4078" s="8"/>
      <c r="E4078" s="8"/>
      <c r="L4078" t="s">
        <v>563</v>
      </c>
      <c r="M4078" t="s">
        <v>478</v>
      </c>
      <c r="N4078" t="str">
        <f>Tabela_tudo[[#This Row],[Médico]]&amp;" ("&amp;Tabela_tudo[[#This Row],[Obs]]&amp;")"</f>
        <v>COR ()</v>
      </c>
    </row>
    <row r="4079" spans="1:14" x14ac:dyDescent="0.3">
      <c r="A4079" s="1">
        <v>45441</v>
      </c>
      <c r="B4079" t="s">
        <v>333</v>
      </c>
      <c r="C4079" t="s">
        <v>455</v>
      </c>
      <c r="D4079" s="8"/>
      <c r="E4079" s="8"/>
      <c r="L4079" t="s">
        <v>563</v>
      </c>
      <c r="M4079" t="s">
        <v>478</v>
      </c>
      <c r="N4079" t="str">
        <f>Tabela_tudo[[#This Row],[Médico]]&amp;" ("&amp;Tabela_tudo[[#This Row],[Obs]]&amp;")"</f>
        <v>COR ()</v>
      </c>
    </row>
    <row r="4080" spans="1:14" x14ac:dyDescent="0.3">
      <c r="A4080" s="1">
        <v>45462</v>
      </c>
      <c r="B4080" t="s">
        <v>333</v>
      </c>
      <c r="C4080" t="s">
        <v>455</v>
      </c>
      <c r="D4080" s="8"/>
      <c r="E4080" s="8"/>
      <c r="L4080" t="s">
        <v>563</v>
      </c>
      <c r="M4080" t="s">
        <v>478</v>
      </c>
      <c r="N4080" t="str">
        <f>Tabela_tudo[[#This Row],[Médico]]&amp;" ("&amp;Tabela_tudo[[#This Row],[Obs]]&amp;")"</f>
        <v>COR ()</v>
      </c>
    </row>
    <row r="4081" spans="1:14" x14ac:dyDescent="0.3">
      <c r="A4081" s="1">
        <v>45483</v>
      </c>
      <c r="B4081" t="s">
        <v>333</v>
      </c>
      <c r="C4081" t="s">
        <v>455</v>
      </c>
      <c r="D4081" s="8"/>
      <c r="E4081" s="8"/>
      <c r="L4081" t="s">
        <v>563</v>
      </c>
      <c r="M4081" t="s">
        <v>478</v>
      </c>
      <c r="N4081" t="str">
        <f>Tabela_tudo[[#This Row],[Médico]]&amp;" ("&amp;Tabela_tudo[[#This Row],[Obs]]&amp;")"</f>
        <v>COR ()</v>
      </c>
    </row>
    <row r="4082" spans="1:14" x14ac:dyDescent="0.3">
      <c r="A4082" s="1">
        <v>45476</v>
      </c>
      <c r="B4082" t="s">
        <v>333</v>
      </c>
      <c r="C4082" t="s">
        <v>455</v>
      </c>
      <c r="D4082" s="8"/>
      <c r="E4082" s="8"/>
      <c r="L4082" t="s">
        <v>563</v>
      </c>
      <c r="M4082" t="s">
        <v>478</v>
      </c>
      <c r="N4082" t="str">
        <f>Tabela_tudo[[#This Row],[Médico]]&amp;" ("&amp;Tabela_tudo[[#This Row],[Obs]]&amp;")"</f>
        <v>COR ()</v>
      </c>
    </row>
    <row r="4083" spans="1:14" x14ac:dyDescent="0.3">
      <c r="A4083" s="1">
        <v>45469</v>
      </c>
      <c r="B4083" t="s">
        <v>333</v>
      </c>
      <c r="C4083" t="s">
        <v>455</v>
      </c>
      <c r="D4083" s="8"/>
      <c r="E4083" s="8"/>
      <c r="L4083" t="s">
        <v>563</v>
      </c>
      <c r="M4083" t="s">
        <v>478</v>
      </c>
      <c r="N4083" t="str">
        <f>Tabela_tudo[[#This Row],[Médico]]&amp;" ("&amp;Tabela_tudo[[#This Row],[Obs]]&amp;")"</f>
        <v>COR ()</v>
      </c>
    </row>
    <row r="4084" spans="1:14" x14ac:dyDescent="0.3">
      <c r="A4084" s="1">
        <v>45022</v>
      </c>
      <c r="B4084" t="s">
        <v>214</v>
      </c>
      <c r="C4084" t="s">
        <v>455</v>
      </c>
      <c r="D4084" s="8"/>
      <c r="E4084" s="8"/>
      <c r="L4084" t="s">
        <v>563</v>
      </c>
      <c r="M4084" t="s">
        <v>478</v>
      </c>
      <c r="N4084" t="str">
        <f>Tabela_tudo[[#This Row],[Médico]]&amp;" ("&amp;Tabela_tudo[[#This Row],[Obs]]&amp;")"</f>
        <v>IFA ()</v>
      </c>
    </row>
    <row r="4085" spans="1:14" x14ac:dyDescent="0.3">
      <c r="A4085" s="1">
        <v>45302</v>
      </c>
      <c r="B4085" t="s">
        <v>214</v>
      </c>
      <c r="C4085" t="s">
        <v>455</v>
      </c>
      <c r="D4085" s="8"/>
      <c r="E4085" s="8"/>
      <c r="L4085" t="s">
        <v>563</v>
      </c>
      <c r="M4085" t="s">
        <v>478</v>
      </c>
      <c r="N4085" t="str">
        <f>Tabela_tudo[[#This Row],[Médico]]&amp;" ("&amp;Tabela_tudo[[#This Row],[Obs]]&amp;")"</f>
        <v>IFA ()</v>
      </c>
    </row>
    <row r="4086" spans="1:14" x14ac:dyDescent="0.3">
      <c r="A4086" s="1">
        <v>45295</v>
      </c>
      <c r="B4086" t="s">
        <v>214</v>
      </c>
      <c r="C4086" t="s">
        <v>455</v>
      </c>
      <c r="D4086" s="8"/>
      <c r="E4086" s="8"/>
      <c r="L4086" t="s">
        <v>563</v>
      </c>
      <c r="M4086" t="s">
        <v>478</v>
      </c>
      <c r="N4086" t="str">
        <f>Tabela_tudo[[#This Row],[Médico]]&amp;" ("&amp;Tabela_tudo[[#This Row],[Obs]]&amp;")"</f>
        <v>IFA ()</v>
      </c>
    </row>
    <row r="4087" spans="1:14" x14ac:dyDescent="0.3">
      <c r="A4087" s="1">
        <v>45288</v>
      </c>
      <c r="B4087" t="s">
        <v>214</v>
      </c>
      <c r="C4087" t="s">
        <v>455</v>
      </c>
      <c r="D4087" s="8"/>
      <c r="E4087" s="8"/>
      <c r="L4087" t="s">
        <v>563</v>
      </c>
      <c r="M4087" t="s">
        <v>478</v>
      </c>
      <c r="N4087" t="str">
        <f>Tabela_tudo[[#This Row],[Médico]]&amp;" ("&amp;Tabela_tudo[[#This Row],[Obs]]&amp;")"</f>
        <v>IFA ()</v>
      </c>
    </row>
    <row r="4088" spans="1:14" x14ac:dyDescent="0.3">
      <c r="A4088" s="1">
        <v>45309</v>
      </c>
      <c r="B4088" t="s">
        <v>214</v>
      </c>
      <c r="C4088" t="s">
        <v>455</v>
      </c>
      <c r="D4088" s="8"/>
      <c r="E4088" s="8"/>
      <c r="L4088" t="s">
        <v>563</v>
      </c>
      <c r="M4088" t="s">
        <v>478</v>
      </c>
      <c r="N4088" t="str">
        <f>Tabela_tudo[[#This Row],[Médico]]&amp;" ("&amp;Tabela_tudo[[#This Row],[Obs]]&amp;")"</f>
        <v>IFA ()</v>
      </c>
    </row>
    <row r="4089" spans="1:14" x14ac:dyDescent="0.3">
      <c r="A4089" s="1">
        <v>45330</v>
      </c>
      <c r="B4089" t="s">
        <v>214</v>
      </c>
      <c r="C4089" t="s">
        <v>455</v>
      </c>
      <c r="D4089" s="8"/>
      <c r="E4089" s="8"/>
      <c r="L4089" t="s">
        <v>563</v>
      </c>
      <c r="M4089" t="s">
        <v>478</v>
      </c>
      <c r="N4089" t="str">
        <f>Tabela_tudo[[#This Row],[Médico]]&amp;" ("&amp;Tabela_tudo[[#This Row],[Obs]]&amp;")"</f>
        <v>IFA ()</v>
      </c>
    </row>
    <row r="4090" spans="1:14" x14ac:dyDescent="0.3">
      <c r="A4090" s="1">
        <v>45323</v>
      </c>
      <c r="B4090" t="s">
        <v>214</v>
      </c>
      <c r="C4090" t="s">
        <v>455</v>
      </c>
      <c r="D4090" s="8"/>
      <c r="E4090" s="8"/>
      <c r="L4090" t="s">
        <v>563</v>
      </c>
      <c r="M4090" t="s">
        <v>478</v>
      </c>
      <c r="N4090" t="str">
        <f>Tabela_tudo[[#This Row],[Médico]]&amp;" ("&amp;Tabela_tudo[[#This Row],[Obs]]&amp;")"</f>
        <v>IFA ()</v>
      </c>
    </row>
    <row r="4091" spans="1:14" x14ac:dyDescent="0.3">
      <c r="A4091" s="1">
        <v>45316</v>
      </c>
      <c r="B4091" t="s">
        <v>214</v>
      </c>
      <c r="C4091" t="s">
        <v>455</v>
      </c>
      <c r="D4091" s="8"/>
      <c r="E4091" s="8"/>
      <c r="L4091" t="s">
        <v>563</v>
      </c>
      <c r="M4091" t="s">
        <v>478</v>
      </c>
      <c r="N4091" t="str">
        <f>Tabela_tudo[[#This Row],[Médico]]&amp;" ("&amp;Tabela_tudo[[#This Row],[Obs]]&amp;")"</f>
        <v>IFA ()</v>
      </c>
    </row>
    <row r="4092" spans="1:14" x14ac:dyDescent="0.3">
      <c r="A4092" s="1">
        <v>45253</v>
      </c>
      <c r="B4092" t="s">
        <v>214</v>
      </c>
      <c r="C4092" t="s">
        <v>455</v>
      </c>
      <c r="D4092" s="8"/>
      <c r="E4092" s="8"/>
      <c r="L4092" t="s">
        <v>563</v>
      </c>
      <c r="M4092" t="s">
        <v>478</v>
      </c>
      <c r="N4092" t="str">
        <f>Tabela_tudo[[#This Row],[Médico]]&amp;" ("&amp;Tabela_tudo[[#This Row],[Obs]]&amp;")"</f>
        <v>IFA ()</v>
      </c>
    </row>
    <row r="4093" spans="1:14" x14ac:dyDescent="0.3">
      <c r="A4093" s="1">
        <v>45246</v>
      </c>
      <c r="B4093" t="s">
        <v>214</v>
      </c>
      <c r="C4093" t="s">
        <v>455</v>
      </c>
      <c r="D4093" s="8"/>
      <c r="E4093" s="8"/>
      <c r="L4093" t="s">
        <v>563</v>
      </c>
      <c r="M4093" t="s">
        <v>478</v>
      </c>
      <c r="N4093" t="str">
        <f>Tabela_tudo[[#This Row],[Médico]]&amp;" ("&amp;Tabela_tudo[[#This Row],[Obs]]&amp;")"</f>
        <v>IFA ()</v>
      </c>
    </row>
    <row r="4094" spans="1:14" x14ac:dyDescent="0.3">
      <c r="A4094" s="1">
        <v>45239</v>
      </c>
      <c r="B4094" t="s">
        <v>214</v>
      </c>
      <c r="C4094" t="s">
        <v>455</v>
      </c>
      <c r="D4094" s="8"/>
      <c r="E4094" s="8"/>
      <c r="L4094" t="s">
        <v>563</v>
      </c>
      <c r="M4094" t="s">
        <v>478</v>
      </c>
      <c r="N4094" t="str">
        <f>Tabela_tudo[[#This Row],[Médico]]&amp;" ("&amp;Tabela_tudo[[#This Row],[Obs]]&amp;")"</f>
        <v>IFA ()</v>
      </c>
    </row>
    <row r="4095" spans="1:14" x14ac:dyDescent="0.3">
      <c r="A4095" s="1">
        <v>45260</v>
      </c>
      <c r="B4095" t="s">
        <v>214</v>
      </c>
      <c r="C4095" t="s">
        <v>455</v>
      </c>
      <c r="D4095" s="8"/>
      <c r="E4095" s="8"/>
      <c r="L4095" t="s">
        <v>563</v>
      </c>
      <c r="M4095" t="s">
        <v>478</v>
      </c>
      <c r="N4095" t="str">
        <f>Tabela_tudo[[#This Row],[Médico]]&amp;" ("&amp;Tabela_tudo[[#This Row],[Obs]]&amp;")"</f>
        <v>IFA ()</v>
      </c>
    </row>
    <row r="4096" spans="1:14" x14ac:dyDescent="0.3">
      <c r="A4096" s="1">
        <v>45281</v>
      </c>
      <c r="B4096" t="s">
        <v>214</v>
      </c>
      <c r="C4096" t="s">
        <v>455</v>
      </c>
      <c r="D4096" s="8"/>
      <c r="E4096" s="8"/>
      <c r="L4096" t="s">
        <v>563</v>
      </c>
      <c r="M4096" t="s">
        <v>478</v>
      </c>
      <c r="N4096" t="str">
        <f>Tabela_tudo[[#This Row],[Médico]]&amp;" ("&amp;Tabela_tudo[[#This Row],[Obs]]&amp;")"</f>
        <v>IFA ()</v>
      </c>
    </row>
    <row r="4097" spans="1:14" x14ac:dyDescent="0.3">
      <c r="A4097" s="1">
        <v>45274</v>
      </c>
      <c r="B4097" t="s">
        <v>214</v>
      </c>
      <c r="C4097" t="s">
        <v>455</v>
      </c>
      <c r="D4097" s="8"/>
      <c r="E4097" s="8"/>
      <c r="L4097" t="s">
        <v>563</v>
      </c>
      <c r="M4097" t="s">
        <v>478</v>
      </c>
      <c r="N4097" t="str">
        <f>Tabela_tudo[[#This Row],[Médico]]&amp;" ("&amp;Tabela_tudo[[#This Row],[Obs]]&amp;")"</f>
        <v>IFA ()</v>
      </c>
    </row>
    <row r="4098" spans="1:14" x14ac:dyDescent="0.3">
      <c r="A4098" s="1">
        <v>45267</v>
      </c>
      <c r="B4098" t="s">
        <v>214</v>
      </c>
      <c r="C4098" t="s">
        <v>455</v>
      </c>
      <c r="D4098" s="8"/>
      <c r="E4098" s="8"/>
      <c r="L4098" t="s">
        <v>563</v>
      </c>
      <c r="M4098" t="s">
        <v>478</v>
      </c>
      <c r="N4098" t="str">
        <f>Tabela_tudo[[#This Row],[Médico]]&amp;" ("&amp;Tabela_tudo[[#This Row],[Obs]]&amp;")"</f>
        <v>IFA ()</v>
      </c>
    </row>
    <row r="4099" spans="1:14" x14ac:dyDescent="0.3">
      <c r="A4099" s="1">
        <v>45337</v>
      </c>
      <c r="B4099" t="s">
        <v>214</v>
      </c>
      <c r="C4099" t="s">
        <v>455</v>
      </c>
      <c r="D4099" s="8"/>
      <c r="E4099" s="8"/>
      <c r="L4099" t="s">
        <v>563</v>
      </c>
      <c r="M4099" t="s">
        <v>478</v>
      </c>
      <c r="N4099" t="str">
        <f>Tabela_tudo[[#This Row],[Médico]]&amp;" ("&amp;Tabela_tudo[[#This Row],[Obs]]&amp;")"</f>
        <v>IFA ()</v>
      </c>
    </row>
    <row r="4100" spans="1:14" x14ac:dyDescent="0.3">
      <c r="A4100" s="1">
        <v>45407</v>
      </c>
      <c r="B4100" t="s">
        <v>214</v>
      </c>
      <c r="C4100" t="s">
        <v>455</v>
      </c>
      <c r="D4100" s="8"/>
      <c r="E4100" s="8"/>
      <c r="L4100" t="s">
        <v>563</v>
      </c>
      <c r="M4100" t="s">
        <v>478</v>
      </c>
      <c r="N4100" t="str">
        <f>Tabela_tudo[[#This Row],[Médico]]&amp;" ("&amp;Tabela_tudo[[#This Row],[Obs]]&amp;")"</f>
        <v>IFA ()</v>
      </c>
    </row>
    <row r="4101" spans="1:14" x14ac:dyDescent="0.3">
      <c r="A4101" s="1">
        <v>45400</v>
      </c>
      <c r="B4101" t="s">
        <v>214</v>
      </c>
      <c r="C4101" t="s">
        <v>455</v>
      </c>
      <c r="D4101" s="8"/>
      <c r="E4101" s="8"/>
      <c r="L4101" t="s">
        <v>563</v>
      </c>
      <c r="M4101" t="s">
        <v>478</v>
      </c>
      <c r="N4101" t="str">
        <f>Tabela_tudo[[#This Row],[Médico]]&amp;" ("&amp;Tabela_tudo[[#This Row],[Obs]]&amp;")"</f>
        <v>IFA ()</v>
      </c>
    </row>
    <row r="4102" spans="1:14" x14ac:dyDescent="0.3">
      <c r="A4102" s="1">
        <v>45393</v>
      </c>
      <c r="B4102" t="s">
        <v>214</v>
      </c>
      <c r="C4102" t="s">
        <v>455</v>
      </c>
      <c r="D4102" s="8"/>
      <c r="E4102" s="8"/>
      <c r="L4102" t="s">
        <v>563</v>
      </c>
      <c r="M4102" t="s">
        <v>478</v>
      </c>
      <c r="N4102" t="str">
        <f>Tabela_tudo[[#This Row],[Médico]]&amp;" ("&amp;Tabela_tudo[[#This Row],[Obs]]&amp;")"</f>
        <v>IFA ()</v>
      </c>
    </row>
    <row r="4103" spans="1:14" x14ac:dyDescent="0.3">
      <c r="A4103" s="1">
        <v>45414</v>
      </c>
      <c r="B4103" t="s">
        <v>214</v>
      </c>
      <c r="C4103" t="s">
        <v>455</v>
      </c>
      <c r="D4103" s="8"/>
      <c r="E4103" s="8"/>
      <c r="L4103" t="s">
        <v>563</v>
      </c>
      <c r="M4103" t="s">
        <v>478</v>
      </c>
      <c r="N4103" t="str">
        <f>Tabela_tudo[[#This Row],[Médico]]&amp;" ("&amp;Tabela_tudo[[#This Row],[Obs]]&amp;")"</f>
        <v>IFA ()</v>
      </c>
    </row>
    <row r="4104" spans="1:14" x14ac:dyDescent="0.3">
      <c r="A4104" s="1">
        <v>45435</v>
      </c>
      <c r="B4104" t="s">
        <v>214</v>
      </c>
      <c r="C4104" t="s">
        <v>455</v>
      </c>
      <c r="D4104" s="8"/>
      <c r="E4104" s="8"/>
      <c r="L4104" t="s">
        <v>563</v>
      </c>
      <c r="M4104" t="s">
        <v>478</v>
      </c>
      <c r="N4104" t="str">
        <f>Tabela_tudo[[#This Row],[Médico]]&amp;" ("&amp;Tabela_tudo[[#This Row],[Obs]]&amp;")"</f>
        <v>IFA ()</v>
      </c>
    </row>
    <row r="4105" spans="1:14" x14ac:dyDescent="0.3">
      <c r="A4105" s="1">
        <v>45428</v>
      </c>
      <c r="B4105" t="s">
        <v>214</v>
      </c>
      <c r="C4105" t="s">
        <v>455</v>
      </c>
      <c r="D4105" s="8"/>
      <c r="E4105" s="8"/>
      <c r="L4105" t="s">
        <v>563</v>
      </c>
      <c r="M4105" t="s">
        <v>478</v>
      </c>
      <c r="N4105" t="str">
        <f>Tabela_tudo[[#This Row],[Médico]]&amp;" ("&amp;Tabela_tudo[[#This Row],[Obs]]&amp;")"</f>
        <v>IFA ()</v>
      </c>
    </row>
    <row r="4106" spans="1:14" x14ac:dyDescent="0.3">
      <c r="A4106" s="1">
        <v>45421</v>
      </c>
      <c r="B4106" t="s">
        <v>214</v>
      </c>
      <c r="C4106" t="s">
        <v>455</v>
      </c>
      <c r="D4106" s="8"/>
      <c r="E4106" s="8"/>
      <c r="L4106" t="s">
        <v>563</v>
      </c>
      <c r="M4106" t="s">
        <v>478</v>
      </c>
      <c r="N4106" t="str">
        <f>Tabela_tudo[[#This Row],[Médico]]&amp;" ("&amp;Tabela_tudo[[#This Row],[Obs]]&amp;")"</f>
        <v>IFA ()</v>
      </c>
    </row>
    <row r="4107" spans="1:14" x14ac:dyDescent="0.3">
      <c r="A4107" s="1">
        <v>45358</v>
      </c>
      <c r="B4107" t="s">
        <v>214</v>
      </c>
      <c r="C4107" t="s">
        <v>455</v>
      </c>
      <c r="D4107" s="8"/>
      <c r="E4107" s="8"/>
      <c r="L4107" t="s">
        <v>563</v>
      </c>
      <c r="M4107" t="s">
        <v>478</v>
      </c>
      <c r="N4107" t="str">
        <f>Tabela_tudo[[#This Row],[Médico]]&amp;" ("&amp;Tabela_tudo[[#This Row],[Obs]]&amp;")"</f>
        <v>IFA ()</v>
      </c>
    </row>
    <row r="4108" spans="1:14" x14ac:dyDescent="0.3">
      <c r="A4108" s="1">
        <v>45351</v>
      </c>
      <c r="B4108" t="s">
        <v>214</v>
      </c>
      <c r="C4108" t="s">
        <v>455</v>
      </c>
      <c r="D4108" s="8"/>
      <c r="E4108" s="8"/>
      <c r="L4108" t="s">
        <v>563</v>
      </c>
      <c r="M4108" t="s">
        <v>478</v>
      </c>
      <c r="N4108" t="str">
        <f>Tabela_tudo[[#This Row],[Médico]]&amp;" ("&amp;Tabela_tudo[[#This Row],[Obs]]&amp;")"</f>
        <v>IFA ()</v>
      </c>
    </row>
    <row r="4109" spans="1:14" x14ac:dyDescent="0.3">
      <c r="A4109" s="1">
        <v>45344</v>
      </c>
      <c r="B4109" t="s">
        <v>214</v>
      </c>
      <c r="C4109" t="s">
        <v>455</v>
      </c>
      <c r="D4109" s="8"/>
      <c r="E4109" s="8"/>
      <c r="L4109" t="s">
        <v>563</v>
      </c>
      <c r="M4109" t="s">
        <v>478</v>
      </c>
      <c r="N4109" t="str">
        <f>Tabela_tudo[[#This Row],[Médico]]&amp;" ("&amp;Tabela_tudo[[#This Row],[Obs]]&amp;")"</f>
        <v>IFA ()</v>
      </c>
    </row>
    <row r="4110" spans="1:14" x14ac:dyDescent="0.3">
      <c r="A4110" s="1">
        <v>45365</v>
      </c>
      <c r="B4110" t="s">
        <v>214</v>
      </c>
      <c r="C4110" t="s">
        <v>455</v>
      </c>
      <c r="D4110" s="8"/>
      <c r="E4110" s="8"/>
      <c r="L4110" t="s">
        <v>563</v>
      </c>
      <c r="M4110" t="s">
        <v>478</v>
      </c>
      <c r="N4110" t="str">
        <f>Tabela_tudo[[#This Row],[Médico]]&amp;" ("&amp;Tabela_tudo[[#This Row],[Obs]]&amp;")"</f>
        <v>IFA ()</v>
      </c>
    </row>
    <row r="4111" spans="1:14" x14ac:dyDescent="0.3">
      <c r="A4111" s="1">
        <v>45386</v>
      </c>
      <c r="B4111" t="s">
        <v>214</v>
      </c>
      <c r="C4111" t="s">
        <v>455</v>
      </c>
      <c r="D4111" s="8"/>
      <c r="E4111" s="8"/>
      <c r="L4111" t="s">
        <v>563</v>
      </c>
      <c r="M4111" t="s">
        <v>478</v>
      </c>
      <c r="N4111" t="str">
        <f>Tabela_tudo[[#This Row],[Médico]]&amp;" ("&amp;Tabela_tudo[[#This Row],[Obs]]&amp;")"</f>
        <v>IFA ()</v>
      </c>
    </row>
    <row r="4112" spans="1:14" x14ac:dyDescent="0.3">
      <c r="A4112" s="1">
        <v>45379</v>
      </c>
      <c r="B4112" t="s">
        <v>214</v>
      </c>
      <c r="C4112" t="s">
        <v>455</v>
      </c>
      <c r="D4112" s="8"/>
      <c r="E4112" s="8"/>
      <c r="L4112" t="s">
        <v>563</v>
      </c>
      <c r="M4112" t="s">
        <v>478</v>
      </c>
      <c r="N4112" t="str">
        <f>Tabela_tudo[[#This Row],[Médico]]&amp;" ("&amp;Tabela_tudo[[#This Row],[Obs]]&amp;")"</f>
        <v>IFA ()</v>
      </c>
    </row>
    <row r="4113" spans="1:14" x14ac:dyDescent="0.3">
      <c r="A4113" s="1">
        <v>45372</v>
      </c>
      <c r="B4113" t="s">
        <v>214</v>
      </c>
      <c r="C4113" t="s">
        <v>455</v>
      </c>
      <c r="D4113" s="8"/>
      <c r="E4113" s="8"/>
      <c r="L4113" t="s">
        <v>563</v>
      </c>
      <c r="M4113" t="s">
        <v>478</v>
      </c>
      <c r="N4113" t="str">
        <f>Tabela_tudo[[#This Row],[Médico]]&amp;" ("&amp;Tabela_tudo[[#This Row],[Obs]]&amp;")"</f>
        <v>IFA ()</v>
      </c>
    </row>
    <row r="4114" spans="1:14" x14ac:dyDescent="0.3">
      <c r="A4114" s="1">
        <v>45232</v>
      </c>
      <c r="B4114" t="s">
        <v>214</v>
      </c>
      <c r="C4114" t="s">
        <v>455</v>
      </c>
      <c r="D4114" s="8"/>
      <c r="E4114" s="8"/>
      <c r="L4114" t="s">
        <v>563</v>
      </c>
      <c r="M4114" t="s">
        <v>478</v>
      </c>
      <c r="N4114" t="str">
        <f>Tabela_tudo[[#This Row],[Médico]]&amp;" ("&amp;Tabela_tudo[[#This Row],[Obs]]&amp;")"</f>
        <v>IFA ()</v>
      </c>
    </row>
    <row r="4115" spans="1:14" x14ac:dyDescent="0.3">
      <c r="A4115" s="1">
        <v>45092</v>
      </c>
      <c r="B4115" t="s">
        <v>214</v>
      </c>
      <c r="C4115" t="s">
        <v>455</v>
      </c>
      <c r="D4115" s="8"/>
      <c r="E4115" s="8"/>
      <c r="L4115" t="s">
        <v>563</v>
      </c>
      <c r="M4115" t="s">
        <v>478</v>
      </c>
      <c r="N4115" t="str">
        <f>Tabela_tudo[[#This Row],[Médico]]&amp;" ("&amp;Tabela_tudo[[#This Row],[Obs]]&amp;")"</f>
        <v>IFA ()</v>
      </c>
    </row>
    <row r="4116" spans="1:14" x14ac:dyDescent="0.3">
      <c r="A4116" s="1">
        <v>45085</v>
      </c>
      <c r="B4116" t="s">
        <v>214</v>
      </c>
      <c r="C4116" t="s">
        <v>455</v>
      </c>
      <c r="D4116" s="8"/>
      <c r="E4116" s="8"/>
      <c r="L4116" t="s">
        <v>563</v>
      </c>
      <c r="M4116" t="s">
        <v>478</v>
      </c>
      <c r="N4116" t="str">
        <f>Tabela_tudo[[#This Row],[Médico]]&amp;" ("&amp;Tabela_tudo[[#This Row],[Obs]]&amp;")"</f>
        <v>IFA ()</v>
      </c>
    </row>
    <row r="4117" spans="1:14" x14ac:dyDescent="0.3">
      <c r="A4117" s="1">
        <v>45078</v>
      </c>
      <c r="B4117" t="s">
        <v>214</v>
      </c>
      <c r="C4117" t="s">
        <v>455</v>
      </c>
      <c r="D4117" s="8"/>
      <c r="E4117" s="8"/>
      <c r="L4117" t="s">
        <v>563</v>
      </c>
      <c r="M4117" t="s">
        <v>478</v>
      </c>
      <c r="N4117" t="str">
        <f>Tabela_tudo[[#This Row],[Médico]]&amp;" ("&amp;Tabela_tudo[[#This Row],[Obs]]&amp;")"</f>
        <v>IFA ()</v>
      </c>
    </row>
    <row r="4118" spans="1:14" x14ac:dyDescent="0.3">
      <c r="A4118" s="1">
        <v>45099</v>
      </c>
      <c r="B4118" t="s">
        <v>214</v>
      </c>
      <c r="C4118" t="s">
        <v>455</v>
      </c>
      <c r="D4118" s="8"/>
      <c r="E4118" s="8"/>
      <c r="L4118" t="s">
        <v>563</v>
      </c>
      <c r="M4118" t="s">
        <v>478</v>
      </c>
      <c r="N4118" t="str">
        <f>Tabela_tudo[[#This Row],[Médico]]&amp;" ("&amp;Tabela_tudo[[#This Row],[Obs]]&amp;")"</f>
        <v>IFA ()</v>
      </c>
    </row>
    <row r="4119" spans="1:14" x14ac:dyDescent="0.3">
      <c r="A4119" s="1">
        <v>45120</v>
      </c>
      <c r="B4119" t="s">
        <v>214</v>
      </c>
      <c r="C4119" t="s">
        <v>455</v>
      </c>
      <c r="D4119" s="8"/>
      <c r="E4119" s="8"/>
      <c r="L4119" t="s">
        <v>563</v>
      </c>
      <c r="M4119" t="s">
        <v>478</v>
      </c>
      <c r="N4119" t="str">
        <f>Tabela_tudo[[#This Row],[Médico]]&amp;" ("&amp;Tabela_tudo[[#This Row],[Obs]]&amp;")"</f>
        <v>IFA ()</v>
      </c>
    </row>
    <row r="4120" spans="1:14" x14ac:dyDescent="0.3">
      <c r="A4120" s="1">
        <v>45113</v>
      </c>
      <c r="B4120" t="s">
        <v>214</v>
      </c>
      <c r="C4120" t="s">
        <v>455</v>
      </c>
      <c r="D4120" s="8"/>
      <c r="E4120" s="8"/>
      <c r="L4120" t="s">
        <v>563</v>
      </c>
      <c r="M4120" t="s">
        <v>478</v>
      </c>
      <c r="N4120" t="str">
        <f>Tabela_tudo[[#This Row],[Médico]]&amp;" ("&amp;Tabela_tudo[[#This Row],[Obs]]&amp;")"</f>
        <v>IFA ()</v>
      </c>
    </row>
    <row r="4121" spans="1:14" x14ac:dyDescent="0.3">
      <c r="A4121" s="1">
        <v>45106</v>
      </c>
      <c r="B4121" t="s">
        <v>214</v>
      </c>
      <c r="C4121" t="s">
        <v>455</v>
      </c>
      <c r="D4121" s="8"/>
      <c r="E4121" s="8"/>
      <c r="L4121" t="s">
        <v>563</v>
      </c>
      <c r="M4121" t="s">
        <v>478</v>
      </c>
      <c r="N4121" t="str">
        <f>Tabela_tudo[[#This Row],[Médico]]&amp;" ("&amp;Tabela_tudo[[#This Row],[Obs]]&amp;")"</f>
        <v>IFA ()</v>
      </c>
    </row>
    <row r="4122" spans="1:14" x14ac:dyDescent="0.3">
      <c r="A4122" s="1">
        <v>45043</v>
      </c>
      <c r="B4122" t="s">
        <v>214</v>
      </c>
      <c r="C4122" t="s">
        <v>455</v>
      </c>
      <c r="D4122" s="8"/>
      <c r="E4122" s="8"/>
      <c r="L4122" t="s">
        <v>563</v>
      </c>
      <c r="M4122" t="s">
        <v>478</v>
      </c>
      <c r="N4122" t="str">
        <f>Tabela_tudo[[#This Row],[Médico]]&amp;" ("&amp;Tabela_tudo[[#This Row],[Obs]]&amp;")"</f>
        <v>IFA ()</v>
      </c>
    </row>
    <row r="4123" spans="1:14" x14ac:dyDescent="0.3">
      <c r="A4123" s="1">
        <v>45036</v>
      </c>
      <c r="B4123" t="s">
        <v>214</v>
      </c>
      <c r="C4123" t="s">
        <v>455</v>
      </c>
      <c r="D4123" s="8"/>
      <c r="E4123" s="8"/>
      <c r="L4123" t="s">
        <v>563</v>
      </c>
      <c r="M4123" t="s">
        <v>478</v>
      </c>
      <c r="N4123" t="str">
        <f>Tabela_tudo[[#This Row],[Médico]]&amp;" ("&amp;Tabela_tudo[[#This Row],[Obs]]&amp;")"</f>
        <v>IFA ()</v>
      </c>
    </row>
    <row r="4124" spans="1:14" x14ac:dyDescent="0.3">
      <c r="A4124" s="1">
        <v>45029</v>
      </c>
      <c r="B4124" t="s">
        <v>214</v>
      </c>
      <c r="C4124" t="s">
        <v>455</v>
      </c>
      <c r="D4124" s="8"/>
      <c r="E4124" s="8"/>
      <c r="L4124" t="s">
        <v>563</v>
      </c>
      <c r="M4124" t="s">
        <v>478</v>
      </c>
      <c r="N4124" t="str">
        <f>Tabela_tudo[[#This Row],[Médico]]&amp;" ("&amp;Tabela_tudo[[#This Row],[Obs]]&amp;")"</f>
        <v>IFA ()</v>
      </c>
    </row>
    <row r="4125" spans="1:14" x14ac:dyDescent="0.3">
      <c r="A4125" s="1">
        <v>45050</v>
      </c>
      <c r="B4125" t="s">
        <v>214</v>
      </c>
      <c r="C4125" t="s">
        <v>455</v>
      </c>
      <c r="D4125" s="8"/>
      <c r="E4125" s="8"/>
      <c r="L4125" t="s">
        <v>563</v>
      </c>
      <c r="M4125" t="s">
        <v>478</v>
      </c>
      <c r="N4125" t="str">
        <f>Tabela_tudo[[#This Row],[Médico]]&amp;" ("&amp;Tabela_tudo[[#This Row],[Obs]]&amp;")"</f>
        <v>IFA ()</v>
      </c>
    </row>
    <row r="4126" spans="1:14" x14ac:dyDescent="0.3">
      <c r="A4126" s="1">
        <v>45071</v>
      </c>
      <c r="B4126" t="s">
        <v>214</v>
      </c>
      <c r="C4126" t="s">
        <v>455</v>
      </c>
      <c r="D4126" s="8"/>
      <c r="E4126" s="8"/>
      <c r="L4126" t="s">
        <v>563</v>
      </c>
      <c r="M4126" t="s">
        <v>478</v>
      </c>
      <c r="N4126" t="str">
        <f>Tabela_tudo[[#This Row],[Médico]]&amp;" ("&amp;Tabela_tudo[[#This Row],[Obs]]&amp;")"</f>
        <v>IFA ()</v>
      </c>
    </row>
    <row r="4127" spans="1:14" x14ac:dyDescent="0.3">
      <c r="A4127" s="1">
        <v>45064</v>
      </c>
      <c r="B4127" t="s">
        <v>214</v>
      </c>
      <c r="C4127" t="s">
        <v>455</v>
      </c>
      <c r="D4127" s="8"/>
      <c r="E4127" s="8"/>
      <c r="L4127" t="s">
        <v>563</v>
      </c>
      <c r="M4127" t="s">
        <v>478</v>
      </c>
      <c r="N4127" t="str">
        <f>Tabela_tudo[[#This Row],[Médico]]&amp;" ("&amp;Tabela_tudo[[#This Row],[Obs]]&amp;")"</f>
        <v>IFA ()</v>
      </c>
    </row>
    <row r="4128" spans="1:14" x14ac:dyDescent="0.3">
      <c r="A4128" s="1">
        <v>45057</v>
      </c>
      <c r="B4128" t="s">
        <v>214</v>
      </c>
      <c r="C4128" t="s">
        <v>455</v>
      </c>
      <c r="D4128" s="8"/>
      <c r="E4128" s="8"/>
      <c r="L4128" t="s">
        <v>563</v>
      </c>
      <c r="M4128" t="s">
        <v>478</v>
      </c>
      <c r="N4128" t="str">
        <f>Tabela_tudo[[#This Row],[Médico]]&amp;" ("&amp;Tabela_tudo[[#This Row],[Obs]]&amp;")"</f>
        <v>IFA ()</v>
      </c>
    </row>
    <row r="4129" spans="1:14" x14ac:dyDescent="0.3">
      <c r="A4129" s="1">
        <v>45127</v>
      </c>
      <c r="B4129" t="s">
        <v>214</v>
      </c>
      <c r="C4129" t="s">
        <v>455</v>
      </c>
      <c r="D4129" s="8"/>
      <c r="E4129" s="8"/>
      <c r="L4129" t="s">
        <v>563</v>
      </c>
      <c r="M4129" t="s">
        <v>478</v>
      </c>
      <c r="N4129" t="str">
        <f>Tabela_tudo[[#This Row],[Médico]]&amp;" ("&amp;Tabela_tudo[[#This Row],[Obs]]&amp;")"</f>
        <v>IFA ()</v>
      </c>
    </row>
    <row r="4130" spans="1:14" x14ac:dyDescent="0.3">
      <c r="A4130" s="1">
        <v>45197</v>
      </c>
      <c r="B4130" t="s">
        <v>214</v>
      </c>
      <c r="C4130" t="s">
        <v>455</v>
      </c>
      <c r="D4130" s="8"/>
      <c r="E4130" s="8"/>
      <c r="L4130" t="s">
        <v>563</v>
      </c>
      <c r="M4130" t="s">
        <v>478</v>
      </c>
      <c r="N4130" t="str">
        <f>Tabela_tudo[[#This Row],[Médico]]&amp;" ("&amp;Tabela_tudo[[#This Row],[Obs]]&amp;")"</f>
        <v>IFA ()</v>
      </c>
    </row>
    <row r="4131" spans="1:14" x14ac:dyDescent="0.3">
      <c r="A4131" s="1">
        <v>45190</v>
      </c>
      <c r="B4131" t="s">
        <v>214</v>
      </c>
      <c r="C4131" t="s">
        <v>455</v>
      </c>
      <c r="D4131" s="8"/>
      <c r="E4131" s="8"/>
      <c r="L4131" t="s">
        <v>563</v>
      </c>
      <c r="M4131" t="s">
        <v>478</v>
      </c>
      <c r="N4131" t="str">
        <f>Tabela_tudo[[#This Row],[Médico]]&amp;" ("&amp;Tabela_tudo[[#This Row],[Obs]]&amp;")"</f>
        <v>IFA ()</v>
      </c>
    </row>
    <row r="4132" spans="1:14" x14ac:dyDescent="0.3">
      <c r="A4132" s="1">
        <v>45183</v>
      </c>
      <c r="B4132" t="s">
        <v>214</v>
      </c>
      <c r="C4132" t="s">
        <v>455</v>
      </c>
      <c r="D4132" s="8"/>
      <c r="E4132" s="8"/>
      <c r="L4132" t="s">
        <v>563</v>
      </c>
      <c r="M4132" t="s">
        <v>478</v>
      </c>
      <c r="N4132" t="str">
        <f>Tabela_tudo[[#This Row],[Médico]]&amp;" ("&amp;Tabela_tudo[[#This Row],[Obs]]&amp;")"</f>
        <v>IFA ()</v>
      </c>
    </row>
    <row r="4133" spans="1:14" x14ac:dyDescent="0.3">
      <c r="A4133" s="1">
        <v>45204</v>
      </c>
      <c r="B4133" t="s">
        <v>214</v>
      </c>
      <c r="C4133" t="s">
        <v>455</v>
      </c>
      <c r="D4133" s="8"/>
      <c r="E4133" s="8"/>
      <c r="L4133" t="s">
        <v>563</v>
      </c>
      <c r="M4133" t="s">
        <v>478</v>
      </c>
      <c r="N4133" t="str">
        <f>Tabela_tudo[[#This Row],[Médico]]&amp;" ("&amp;Tabela_tudo[[#This Row],[Obs]]&amp;")"</f>
        <v>IFA ()</v>
      </c>
    </row>
    <row r="4134" spans="1:14" x14ac:dyDescent="0.3">
      <c r="A4134" s="1">
        <v>45225</v>
      </c>
      <c r="B4134" t="s">
        <v>214</v>
      </c>
      <c r="C4134" t="s">
        <v>455</v>
      </c>
      <c r="D4134" s="8"/>
      <c r="E4134" s="8"/>
      <c r="L4134" t="s">
        <v>563</v>
      </c>
      <c r="M4134" t="s">
        <v>478</v>
      </c>
      <c r="N4134" t="str">
        <f>Tabela_tudo[[#This Row],[Médico]]&amp;" ("&amp;Tabela_tudo[[#This Row],[Obs]]&amp;")"</f>
        <v>IFA ()</v>
      </c>
    </row>
    <row r="4135" spans="1:14" x14ac:dyDescent="0.3">
      <c r="A4135" s="1">
        <v>45218</v>
      </c>
      <c r="B4135" t="s">
        <v>214</v>
      </c>
      <c r="C4135" t="s">
        <v>455</v>
      </c>
      <c r="D4135" s="8"/>
      <c r="E4135" s="8"/>
      <c r="L4135" t="s">
        <v>563</v>
      </c>
      <c r="M4135" t="s">
        <v>478</v>
      </c>
      <c r="N4135" t="str">
        <f>Tabela_tudo[[#This Row],[Médico]]&amp;" ("&amp;Tabela_tudo[[#This Row],[Obs]]&amp;")"</f>
        <v>IFA ()</v>
      </c>
    </row>
    <row r="4136" spans="1:14" x14ac:dyDescent="0.3">
      <c r="A4136" s="1">
        <v>45211</v>
      </c>
      <c r="B4136" t="s">
        <v>214</v>
      </c>
      <c r="C4136" t="s">
        <v>455</v>
      </c>
      <c r="D4136" s="8"/>
      <c r="E4136" s="8"/>
      <c r="L4136" t="s">
        <v>563</v>
      </c>
      <c r="M4136" t="s">
        <v>478</v>
      </c>
      <c r="N4136" t="str">
        <f>Tabela_tudo[[#This Row],[Médico]]&amp;" ("&amp;Tabela_tudo[[#This Row],[Obs]]&amp;")"</f>
        <v>IFA ()</v>
      </c>
    </row>
    <row r="4137" spans="1:14" x14ac:dyDescent="0.3">
      <c r="A4137" s="1">
        <v>45148</v>
      </c>
      <c r="B4137" t="s">
        <v>214</v>
      </c>
      <c r="C4137" t="s">
        <v>455</v>
      </c>
      <c r="D4137" s="8"/>
      <c r="E4137" s="8"/>
      <c r="L4137" t="s">
        <v>563</v>
      </c>
      <c r="M4137" t="s">
        <v>478</v>
      </c>
      <c r="N4137" t="str">
        <f>Tabela_tudo[[#This Row],[Médico]]&amp;" ("&amp;Tabela_tudo[[#This Row],[Obs]]&amp;")"</f>
        <v>IFA ()</v>
      </c>
    </row>
    <row r="4138" spans="1:14" x14ac:dyDescent="0.3">
      <c r="A4138" s="1">
        <v>45141</v>
      </c>
      <c r="B4138" t="s">
        <v>214</v>
      </c>
      <c r="C4138" t="s">
        <v>455</v>
      </c>
      <c r="D4138" s="8"/>
      <c r="E4138" s="8"/>
      <c r="L4138" t="s">
        <v>563</v>
      </c>
      <c r="M4138" t="s">
        <v>478</v>
      </c>
      <c r="N4138" t="str">
        <f>Tabela_tudo[[#This Row],[Médico]]&amp;" ("&amp;Tabela_tudo[[#This Row],[Obs]]&amp;")"</f>
        <v>IFA ()</v>
      </c>
    </row>
    <row r="4139" spans="1:14" x14ac:dyDescent="0.3">
      <c r="A4139" s="1">
        <v>45134</v>
      </c>
      <c r="B4139" t="s">
        <v>214</v>
      </c>
      <c r="C4139" t="s">
        <v>455</v>
      </c>
      <c r="D4139" s="8"/>
      <c r="E4139" s="8"/>
      <c r="L4139" t="s">
        <v>563</v>
      </c>
      <c r="M4139" t="s">
        <v>478</v>
      </c>
      <c r="N4139" t="str">
        <f>Tabela_tudo[[#This Row],[Médico]]&amp;" ("&amp;Tabela_tudo[[#This Row],[Obs]]&amp;")"</f>
        <v>IFA ()</v>
      </c>
    </row>
    <row r="4140" spans="1:14" x14ac:dyDescent="0.3">
      <c r="A4140" s="1">
        <v>45155</v>
      </c>
      <c r="B4140" t="s">
        <v>214</v>
      </c>
      <c r="C4140" t="s">
        <v>455</v>
      </c>
      <c r="D4140" s="8"/>
      <c r="E4140" s="8"/>
      <c r="L4140" t="s">
        <v>563</v>
      </c>
      <c r="M4140" t="s">
        <v>478</v>
      </c>
      <c r="N4140" t="str">
        <f>Tabela_tudo[[#This Row],[Médico]]&amp;" ("&amp;Tabela_tudo[[#This Row],[Obs]]&amp;")"</f>
        <v>IFA ()</v>
      </c>
    </row>
    <row r="4141" spans="1:14" x14ac:dyDescent="0.3">
      <c r="A4141" s="1">
        <v>45176</v>
      </c>
      <c r="B4141" t="s">
        <v>214</v>
      </c>
      <c r="C4141" t="s">
        <v>455</v>
      </c>
      <c r="D4141" s="8"/>
      <c r="E4141" s="8"/>
      <c r="L4141" t="s">
        <v>563</v>
      </c>
      <c r="M4141" t="s">
        <v>478</v>
      </c>
      <c r="N4141" t="str">
        <f>Tabela_tudo[[#This Row],[Médico]]&amp;" ("&amp;Tabela_tudo[[#This Row],[Obs]]&amp;")"</f>
        <v>IFA ()</v>
      </c>
    </row>
    <row r="4142" spans="1:14" x14ac:dyDescent="0.3">
      <c r="A4142" s="1">
        <v>45169</v>
      </c>
      <c r="B4142" t="s">
        <v>214</v>
      </c>
      <c r="C4142" t="s">
        <v>455</v>
      </c>
      <c r="D4142" s="8"/>
      <c r="E4142" s="8"/>
      <c r="L4142" t="s">
        <v>563</v>
      </c>
      <c r="M4142" t="s">
        <v>478</v>
      </c>
      <c r="N4142" t="str">
        <f>Tabela_tudo[[#This Row],[Médico]]&amp;" ("&amp;Tabela_tudo[[#This Row],[Obs]]&amp;")"</f>
        <v>IFA ()</v>
      </c>
    </row>
    <row r="4143" spans="1:14" x14ac:dyDescent="0.3">
      <c r="A4143" s="1">
        <v>45162</v>
      </c>
      <c r="B4143" t="s">
        <v>214</v>
      </c>
      <c r="C4143" t="s">
        <v>455</v>
      </c>
      <c r="D4143" s="8"/>
      <c r="E4143" s="8"/>
      <c r="L4143" t="s">
        <v>563</v>
      </c>
      <c r="M4143" t="s">
        <v>478</v>
      </c>
      <c r="N4143" t="str">
        <f>Tabela_tudo[[#This Row],[Médico]]&amp;" ("&amp;Tabela_tudo[[#This Row],[Obs]]&amp;")"</f>
        <v>IFA ()</v>
      </c>
    </row>
    <row r="4144" spans="1:14" x14ac:dyDescent="0.3">
      <c r="A4144" s="1">
        <v>45092</v>
      </c>
      <c r="B4144" t="s">
        <v>75</v>
      </c>
      <c r="C4144" t="s">
        <v>55</v>
      </c>
      <c r="D4144" s="8">
        <v>0.83333333333333337</v>
      </c>
      <c r="E4144" s="8">
        <v>0.875</v>
      </c>
      <c r="F4144" t="s">
        <v>153</v>
      </c>
      <c r="K4144" t="s">
        <v>565</v>
      </c>
      <c r="M4144" t="s">
        <v>478</v>
      </c>
      <c r="N4144" t="str">
        <f>Tabela_tudo[[#This Row],[Médico]]&amp;" ("&amp;Tabela_tudo[[#This Row],[Obs]]&amp;")"</f>
        <v>KOP (FLE - SEMINÁRIO R1 R2 R3 ONLINE )</v>
      </c>
    </row>
    <row r="4145" spans="1:14" x14ac:dyDescent="0.3">
      <c r="A4145" s="1">
        <v>45152</v>
      </c>
      <c r="B4145" t="s">
        <v>75</v>
      </c>
      <c r="C4145" t="s">
        <v>55</v>
      </c>
      <c r="D4145" s="8">
        <v>0.29166666666666669</v>
      </c>
      <c r="E4145" s="8">
        <v>0.33333333333333331</v>
      </c>
      <c r="F4145" t="s">
        <v>340</v>
      </c>
      <c r="G4145" t="s">
        <v>565</v>
      </c>
      <c r="M4145" t="s">
        <v>478</v>
      </c>
      <c r="N4145" t="str">
        <f>Tabela_tudo[[#This Row],[Médico]]&amp;" ("&amp;Tabela_tudo[[#This Row],[Obs]]&amp;")"</f>
        <v>KOP (DOR AGUDA E INFLAMAÇÃO R3 NO SANE)</v>
      </c>
    </row>
    <row r="4146" spans="1:14" x14ac:dyDescent="0.3">
      <c r="A4146" s="1">
        <v>45215</v>
      </c>
      <c r="B4146" t="s">
        <v>64</v>
      </c>
      <c r="C4146" t="s">
        <v>55</v>
      </c>
      <c r="D4146" s="8">
        <v>0.29166666666666669</v>
      </c>
      <c r="E4146" s="8">
        <v>0.33333333333333331</v>
      </c>
      <c r="F4146" t="s">
        <v>691</v>
      </c>
      <c r="G4146" t="s">
        <v>565</v>
      </c>
      <c r="M4146" t="s">
        <v>478</v>
      </c>
      <c r="N4146" t="str">
        <f>Tabela_tudo[[#This Row],[Médico]]&amp;" ("&amp;Tabela_tudo[[#This Row],[Obs]]&amp;")"</f>
        <v>SAR (AULA - TX RIM - R3 NO SANE)</v>
      </c>
    </row>
    <row r="4147" spans="1:14" x14ac:dyDescent="0.3">
      <c r="A4147" s="1">
        <v>45238</v>
      </c>
      <c r="B4147" t="s">
        <v>48</v>
      </c>
      <c r="C4147" t="s">
        <v>55</v>
      </c>
      <c r="D4147" s="8">
        <v>0.29166666666666669</v>
      </c>
      <c r="E4147" s="8">
        <v>0.33333333333333331</v>
      </c>
      <c r="F4147" t="s">
        <v>722</v>
      </c>
      <c r="G4147" t="s">
        <v>565</v>
      </c>
      <c r="M4147" t="s">
        <v>478</v>
      </c>
      <c r="N4147" t="str">
        <f>Tabela_tudo[[#This Row],[Médico]]&amp;" ("&amp;Tabela_tudo[[#This Row],[Obs]]&amp;")"</f>
        <v>MAF (COMPLICAÇÕES EM ANESTESIA R1 NO SANE)</v>
      </c>
    </row>
    <row r="4148" spans="1:14" x14ac:dyDescent="0.3">
      <c r="A4148" s="1">
        <v>45092</v>
      </c>
      <c r="B4148" t="s">
        <v>73</v>
      </c>
      <c r="C4148" t="s">
        <v>55</v>
      </c>
      <c r="D4148" s="8">
        <v>0.70833333333333337</v>
      </c>
      <c r="E4148" s="8">
        <v>0.75</v>
      </c>
      <c r="F4148" t="s">
        <v>154</v>
      </c>
      <c r="J4148" t="s">
        <v>565</v>
      </c>
      <c r="M4148" t="s">
        <v>478</v>
      </c>
      <c r="N4148" t="str">
        <f>Tabela_tudo[[#This Row],[Médico]]&amp;" ("&amp;Tabela_tudo[[#This Row],[Obs]]&amp;")"</f>
        <v>RT (REUNIÃO C/ DIRETOR GHC DR SATI)</v>
      </c>
    </row>
    <row r="4149" spans="1:14" x14ac:dyDescent="0.3">
      <c r="A4149" s="1">
        <v>45187</v>
      </c>
      <c r="B4149" t="s">
        <v>64</v>
      </c>
      <c r="C4149" t="s">
        <v>55</v>
      </c>
      <c r="D4149" s="8">
        <v>0.29166666666666669</v>
      </c>
      <c r="E4149" s="8">
        <v>0.33333333333333331</v>
      </c>
      <c r="F4149" t="s">
        <v>617</v>
      </c>
      <c r="G4149" t="s">
        <v>565</v>
      </c>
      <c r="M4149" t="s">
        <v>478</v>
      </c>
      <c r="N4149" t="str">
        <f>Tabela_tudo[[#This Row],[Médico]]&amp;" ("&amp;Tabela_tudo[[#This Row],[Obs]]&amp;")"</f>
        <v>SAR (SAR - FILOS E FARMAC SIST URINÁRIO - R2 NO SANE )</v>
      </c>
    </row>
    <row r="4150" spans="1:14" x14ac:dyDescent="0.3">
      <c r="A4150" s="1">
        <v>45161</v>
      </c>
      <c r="B4150" t="s">
        <v>34</v>
      </c>
      <c r="C4150" t="s">
        <v>55</v>
      </c>
      <c r="D4150" s="8">
        <v>0.29166666666666669</v>
      </c>
      <c r="E4150" s="8">
        <v>0.33333333333333331</v>
      </c>
      <c r="F4150" t="s">
        <v>351</v>
      </c>
      <c r="G4150" t="s">
        <v>565</v>
      </c>
      <c r="M4150" t="s">
        <v>478</v>
      </c>
      <c r="N4150" t="str">
        <f>Tabela_tudo[[#This Row],[Médico]]&amp;" ("&amp;Tabela_tudo[[#This Row],[Obs]]&amp;")"</f>
        <v>LIP (AULA PCR - R1 NO SANE)</v>
      </c>
    </row>
    <row r="4151" spans="1:14" x14ac:dyDescent="0.3">
      <c r="A4151" s="1">
        <v>45187</v>
      </c>
      <c r="B4151" t="s">
        <v>63</v>
      </c>
      <c r="C4151" t="s">
        <v>55</v>
      </c>
      <c r="D4151" s="8">
        <v>0.75</v>
      </c>
      <c r="E4151" s="8">
        <v>0.79166666666666663</v>
      </c>
      <c r="F4151" t="s">
        <v>395</v>
      </c>
      <c r="J4151" t="s">
        <v>565</v>
      </c>
      <c r="M4151" t="s">
        <v>478</v>
      </c>
      <c r="N4151" t="str">
        <f>Tabela_tudo[[#This Row],[Médico]]&amp;" ("&amp;Tabela_tudo[[#This Row],[Obs]]&amp;")"</f>
        <v>FQ (CASSI - OFICINA TCC - NF REC MG VF FLA)</v>
      </c>
    </row>
    <row r="4152" spans="1:14" x14ac:dyDescent="0.3">
      <c r="A4152" s="1">
        <v>45208</v>
      </c>
      <c r="B4152" t="s">
        <v>17</v>
      </c>
      <c r="C4152" t="s">
        <v>55</v>
      </c>
      <c r="D4152" s="8">
        <v>0.29166666666666669</v>
      </c>
      <c r="E4152" s="8">
        <v>0.33333333333333331</v>
      </c>
      <c r="F4152" t="s">
        <v>706</v>
      </c>
      <c r="G4152" t="s">
        <v>565</v>
      </c>
      <c r="M4152" t="s">
        <v>478</v>
      </c>
      <c r="N4152" t="str">
        <f>Tabela_tudo[[#This Row],[Médico]]&amp;" ("&amp;Tabela_tudo[[#This Row],[Obs]]&amp;")"</f>
        <v>FAB (SUPORTE VENTILATORIO R3 NO SANE)</v>
      </c>
    </row>
    <row r="4153" spans="1:14" x14ac:dyDescent="0.3">
      <c r="A4153" s="1">
        <v>45077</v>
      </c>
      <c r="B4153" t="s">
        <v>48</v>
      </c>
      <c r="C4153" t="s">
        <v>55</v>
      </c>
      <c r="D4153" s="8">
        <v>0.79166666666666663</v>
      </c>
      <c r="E4153" s="8">
        <v>0.83333333333333337</v>
      </c>
      <c r="F4153" t="s">
        <v>100</v>
      </c>
      <c r="K4153" t="s">
        <v>565</v>
      </c>
      <c r="M4153" t="s">
        <v>478</v>
      </c>
      <c r="N4153" t="str">
        <f>Tabela_tudo[[#This Row],[Médico]]&amp;" ("&amp;Tabela_tudo[[#This Row],[Obs]]&amp;")"</f>
        <v>MAF (SEMINÁRIO R1 R2 R3)</v>
      </c>
    </row>
    <row r="4154" spans="1:14" x14ac:dyDescent="0.3">
      <c r="A4154" s="1">
        <v>45204</v>
      </c>
      <c r="B4154" t="s">
        <v>66</v>
      </c>
      <c r="C4154" t="s">
        <v>55</v>
      </c>
      <c r="D4154" s="8">
        <v>0.83333333333333337</v>
      </c>
      <c r="E4154" s="8">
        <v>0.875</v>
      </c>
      <c r="F4154" t="s">
        <v>675</v>
      </c>
      <c r="K4154" t="s">
        <v>565</v>
      </c>
      <c r="M4154" t="s">
        <v>478</v>
      </c>
      <c r="N4154" t="str">
        <f>Tabela_tudo[[#This Row],[Médico]]&amp;" ("&amp;Tabela_tudo[[#This Row],[Obs]]&amp;")"</f>
        <v>MOZ (SEMINÁRIO - R1, R2, R3 - ONLINE)</v>
      </c>
    </row>
    <row r="4155" spans="1:14" x14ac:dyDescent="0.3">
      <c r="A4155" s="1">
        <v>45166</v>
      </c>
      <c r="B4155" t="s">
        <v>73</v>
      </c>
      <c r="C4155" t="s">
        <v>55</v>
      </c>
      <c r="D4155" s="8">
        <v>0.3125</v>
      </c>
      <c r="E4155" s="8">
        <v>0.375</v>
      </c>
      <c r="F4155" t="s">
        <v>361</v>
      </c>
      <c r="G4155" t="s">
        <v>565</v>
      </c>
      <c r="M4155" t="s">
        <v>478</v>
      </c>
      <c r="N4155" t="str">
        <f>Tabela_tudo[[#This Row],[Médico]]&amp;" ("&amp;Tabela_tudo[[#This Row],[Obs]]&amp;")"</f>
        <v>RT (AVALIAÇÃO RESIDENTES DRI ORO)</v>
      </c>
    </row>
    <row r="4156" spans="1:14" x14ac:dyDescent="0.3">
      <c r="A4156" s="1">
        <v>45161</v>
      </c>
      <c r="B4156" t="s">
        <v>37</v>
      </c>
      <c r="C4156" t="s">
        <v>55</v>
      </c>
      <c r="D4156" s="8">
        <v>0.83333333333333337</v>
      </c>
      <c r="E4156" s="8">
        <v>0.91666666666666663</v>
      </c>
      <c r="F4156" t="s">
        <v>350</v>
      </c>
      <c r="K4156" t="s">
        <v>565</v>
      </c>
      <c r="M4156" t="s">
        <v>478</v>
      </c>
      <c r="N4156" t="str">
        <f>Tabela_tudo[[#This Row],[Médico]]&amp;" ("&amp;Tabela_tudo[[#This Row],[Obs]]&amp;")"</f>
        <v>EBB (AD - SEMINARIO ONLINE - R1 R2 R3)</v>
      </c>
    </row>
    <row r="4157" spans="1:14" x14ac:dyDescent="0.3">
      <c r="A4157" s="1">
        <v>45068</v>
      </c>
      <c r="B4157" t="s">
        <v>63</v>
      </c>
      <c r="C4157" t="s">
        <v>55</v>
      </c>
      <c r="D4157" s="8">
        <v>0.75</v>
      </c>
      <c r="E4157" s="8">
        <v>0.83333333333333337</v>
      </c>
      <c r="F4157" t="s">
        <v>58</v>
      </c>
      <c r="J4157" t="s">
        <v>565</v>
      </c>
      <c r="K4157" t="s">
        <v>565</v>
      </c>
      <c r="M4157" t="s">
        <v>478</v>
      </c>
      <c r="N4157" t="str">
        <f>Tabela_tudo[[#This Row],[Médico]]&amp;" ("&amp;Tabela_tudo[[#This Row],[Obs]]&amp;")"</f>
        <v>FQ (OFICNA TCC HED - R1 )</v>
      </c>
    </row>
    <row r="4158" spans="1:14" x14ac:dyDescent="0.3">
      <c r="A4158" s="1">
        <v>45090</v>
      </c>
      <c r="B4158" t="s">
        <v>47</v>
      </c>
      <c r="C4158" t="s">
        <v>55</v>
      </c>
      <c r="D4158" s="8">
        <v>0.29166666666666669</v>
      </c>
      <c r="E4158" s="8">
        <v>0.33333333333333331</v>
      </c>
      <c r="F4158" t="s">
        <v>144</v>
      </c>
      <c r="G4158" t="s">
        <v>565</v>
      </c>
      <c r="M4158" t="s">
        <v>478</v>
      </c>
      <c r="N4158" t="str">
        <f>Tabela_tudo[[#This Row],[Médico]]&amp;" ("&amp;Tabela_tudo[[#This Row],[Obs]]&amp;")"</f>
        <v>VIN (TRANSFUSÃO R2 NO SANE )</v>
      </c>
    </row>
    <row r="4159" spans="1:14" x14ac:dyDescent="0.3">
      <c r="A4159" s="1">
        <v>45090</v>
      </c>
      <c r="B4159" t="s">
        <v>73</v>
      </c>
      <c r="C4159" t="s">
        <v>55</v>
      </c>
      <c r="D4159" s="8">
        <v>0.33333333333333331</v>
      </c>
      <c r="E4159" s="8">
        <v>0.375</v>
      </c>
      <c r="F4159" t="s">
        <v>145</v>
      </c>
      <c r="G4159" t="s">
        <v>565</v>
      </c>
      <c r="M4159" t="s">
        <v>478</v>
      </c>
      <c r="N4159" t="str">
        <f>Tabela_tudo[[#This Row],[Médico]]&amp;" ("&amp;Tabela_tudo[[#This Row],[Obs]]&amp;")"</f>
        <v>RT (REUNIÃO CET)</v>
      </c>
    </row>
    <row r="4160" spans="1:14" x14ac:dyDescent="0.3">
      <c r="A4160" s="1">
        <v>45090</v>
      </c>
      <c r="B4160" t="s">
        <v>47</v>
      </c>
      <c r="C4160" t="s">
        <v>55</v>
      </c>
      <c r="D4160" s="8">
        <v>0.33333333333333331</v>
      </c>
      <c r="E4160" s="8">
        <v>0.375</v>
      </c>
      <c r="F4160" t="s">
        <v>145</v>
      </c>
      <c r="G4160" t="s">
        <v>565</v>
      </c>
      <c r="M4160" t="s">
        <v>478</v>
      </c>
      <c r="N4160" t="str">
        <f>Tabela_tudo[[#This Row],[Médico]]&amp;" ("&amp;Tabela_tudo[[#This Row],[Obs]]&amp;")"</f>
        <v>VIN (REUNIÃO CET)</v>
      </c>
    </row>
    <row r="4161" spans="1:14" x14ac:dyDescent="0.3">
      <c r="A4161" s="1">
        <v>45202</v>
      </c>
      <c r="B4161" t="s">
        <v>50</v>
      </c>
      <c r="C4161" t="s">
        <v>55</v>
      </c>
      <c r="D4161" s="8">
        <v>0.29166666666666669</v>
      </c>
      <c r="E4161" s="8">
        <v>0.33333333333333331</v>
      </c>
      <c r="F4161" t="s">
        <v>649</v>
      </c>
      <c r="G4161" t="s">
        <v>565</v>
      </c>
      <c r="M4161" t="s">
        <v>478</v>
      </c>
      <c r="N4161" t="str">
        <f>Tabela_tudo[[#This Row],[Médico]]&amp;" ("&amp;Tabela_tudo[[#This Row],[Obs]]&amp;")"</f>
        <v>PJP (ANESTESIA AMBULATORIAL NO SANE - R2)</v>
      </c>
    </row>
    <row r="4162" spans="1:14" x14ac:dyDescent="0.3">
      <c r="A4162" s="1">
        <v>45091</v>
      </c>
      <c r="B4162" t="s">
        <v>52</v>
      </c>
      <c r="C4162" t="s">
        <v>55</v>
      </c>
      <c r="D4162" s="8">
        <v>0.83333333333333337</v>
      </c>
      <c r="E4162" s="8">
        <v>0.875</v>
      </c>
      <c r="F4162" t="s">
        <v>150</v>
      </c>
      <c r="K4162" t="s">
        <v>565</v>
      </c>
      <c r="M4162" t="s">
        <v>478</v>
      </c>
      <c r="N4162" t="str">
        <f>Tabela_tudo[[#This Row],[Médico]]&amp;" ("&amp;Tabela_tudo[[#This Row],[Obs]]&amp;")"</f>
        <v>AEL (KIL - SEMINARIO R1 R2 R3 ONLINE )</v>
      </c>
    </row>
    <row r="4163" spans="1:14" x14ac:dyDescent="0.3">
      <c r="A4163" s="1">
        <v>45096</v>
      </c>
      <c r="B4163" t="s">
        <v>12</v>
      </c>
      <c r="C4163" t="s">
        <v>55</v>
      </c>
      <c r="D4163" s="8">
        <v>0.29166666666666669</v>
      </c>
      <c r="E4163" s="8">
        <v>0.33333333333333331</v>
      </c>
      <c r="F4163" t="s">
        <v>163</v>
      </c>
      <c r="G4163" t="s">
        <v>565</v>
      </c>
      <c r="M4163" t="s">
        <v>478</v>
      </c>
      <c r="N4163" t="str">
        <f>Tabela_tudo[[#This Row],[Médico]]&amp;" ("&amp;Tabela_tudo[[#This Row],[Obs]]&amp;")"</f>
        <v>EDU (AULA CHOQUE - R3 NO SANE )</v>
      </c>
    </row>
    <row r="4164" spans="1:14" x14ac:dyDescent="0.3">
      <c r="A4164" s="1">
        <v>45112</v>
      </c>
      <c r="B4164" t="s">
        <v>12</v>
      </c>
      <c r="C4164" t="s">
        <v>55</v>
      </c>
      <c r="D4164" s="8">
        <v>0.75</v>
      </c>
      <c r="E4164" s="8">
        <v>0.875</v>
      </c>
      <c r="F4164" t="s">
        <v>229</v>
      </c>
      <c r="J4164" t="s">
        <v>565</v>
      </c>
      <c r="K4164" t="s">
        <v>565</v>
      </c>
      <c r="M4164" t="s">
        <v>478</v>
      </c>
      <c r="N4164" t="str">
        <f>Tabela_tudo[[#This Row],[Médico]]&amp;" ("&amp;Tabela_tudo[[#This Row],[Obs]]&amp;")"</f>
        <v>EDU (AULA R3 NO SANE)</v>
      </c>
    </row>
    <row r="4165" spans="1:14" x14ac:dyDescent="0.3">
      <c r="A4165" s="1">
        <v>45174</v>
      </c>
      <c r="B4165" t="s">
        <v>85</v>
      </c>
      <c r="C4165" t="s">
        <v>55</v>
      </c>
      <c r="D4165" s="8">
        <v>0.29166666666666669</v>
      </c>
      <c r="E4165" s="8">
        <v>0.33333333333333331</v>
      </c>
      <c r="F4165" t="s">
        <v>435</v>
      </c>
      <c r="G4165" t="s">
        <v>565</v>
      </c>
      <c r="M4165" t="s">
        <v>478</v>
      </c>
      <c r="N4165" t="str">
        <f>Tabela_tudo[[#This Row],[Médico]]&amp;" ("&amp;Tabela_tudo[[#This Row],[Obs]]&amp;")"</f>
        <v>ELF (AULA CIRURGIA ABDOMINAL - R2 NO SANE)</v>
      </c>
    </row>
    <row r="4166" spans="1:14" x14ac:dyDescent="0.3">
      <c r="A4166" s="1">
        <v>45145</v>
      </c>
      <c r="B4166" t="s">
        <v>37</v>
      </c>
      <c r="C4166" t="s">
        <v>55</v>
      </c>
      <c r="D4166" s="8">
        <v>0.29166666666666669</v>
      </c>
      <c r="E4166" s="8">
        <v>0.33333333333333331</v>
      </c>
      <c r="F4166" t="s">
        <v>295</v>
      </c>
      <c r="G4166" t="s">
        <v>565</v>
      </c>
      <c r="M4166" t="s">
        <v>478</v>
      </c>
      <c r="N4166" t="str">
        <f>Tabela_tudo[[#This Row],[Médico]]&amp;" ("&amp;Tabela_tudo[[#This Row],[Obs]]&amp;")"</f>
        <v>EBB (ANESTESIA FORA CC - R3 NO SANE)</v>
      </c>
    </row>
    <row r="4167" spans="1:14" x14ac:dyDescent="0.3">
      <c r="A4167" s="1">
        <v>45119</v>
      </c>
      <c r="B4167" t="s">
        <v>47</v>
      </c>
      <c r="C4167" t="s">
        <v>55</v>
      </c>
      <c r="D4167" s="8">
        <v>0.29166666666666669</v>
      </c>
      <c r="E4167" s="8">
        <v>0.33333333333333331</v>
      </c>
      <c r="F4167" t="s">
        <v>233</v>
      </c>
      <c r="G4167" t="s">
        <v>565</v>
      </c>
      <c r="M4167" t="s">
        <v>478</v>
      </c>
      <c r="N4167" t="str">
        <f>Tabela_tudo[[#This Row],[Médico]]&amp;" ("&amp;Tabela_tudo[[#This Row],[Obs]]&amp;")"</f>
        <v>VIN (FARMACOLOGIA - R1 NO SANE )</v>
      </c>
    </row>
    <row r="4168" spans="1:14" x14ac:dyDescent="0.3">
      <c r="A4168" s="1">
        <v>45069</v>
      </c>
      <c r="B4168" t="s">
        <v>7</v>
      </c>
      <c r="C4168" t="s">
        <v>55</v>
      </c>
      <c r="D4168" s="8">
        <v>0.83333333333333337</v>
      </c>
      <c r="E4168" s="8">
        <v>0.875</v>
      </c>
      <c r="F4168" t="s">
        <v>91</v>
      </c>
      <c r="K4168" t="s">
        <v>565</v>
      </c>
      <c r="M4168" t="s">
        <v>478</v>
      </c>
      <c r="N4168" t="str">
        <f>Tabela_tudo[[#This Row],[Médico]]&amp;" ("&amp;Tabela_tudo[[#This Row],[Obs]]&amp;")"</f>
        <v>ARI (RC - TODOS R)</v>
      </c>
    </row>
    <row r="4169" spans="1:14" x14ac:dyDescent="0.3">
      <c r="A4169" s="1">
        <v>45203</v>
      </c>
      <c r="B4169" t="s">
        <v>32</v>
      </c>
      <c r="C4169" t="s">
        <v>55</v>
      </c>
      <c r="D4169" s="8">
        <v>0.29166666666666669</v>
      </c>
      <c r="E4169" s="8">
        <v>0.33333333333333331</v>
      </c>
      <c r="F4169" t="s">
        <v>651</v>
      </c>
      <c r="G4169" t="s">
        <v>565</v>
      </c>
      <c r="M4169" t="s">
        <v>478</v>
      </c>
      <c r="N4169" t="str">
        <f>Tabela_tudo[[#This Row],[Médico]]&amp;" ("&amp;Tabela_tudo[[#This Row],[Obs]]&amp;")"</f>
        <v>JS (AULA SRPA - R1 NO SANE )</v>
      </c>
    </row>
    <row r="4170" spans="1:14" x14ac:dyDescent="0.3">
      <c r="A4170" s="1">
        <v>45069</v>
      </c>
      <c r="B4170" t="s">
        <v>47</v>
      </c>
      <c r="C4170" t="s">
        <v>55</v>
      </c>
      <c r="D4170" s="8">
        <v>0.29166666666666669</v>
      </c>
      <c r="E4170" s="8">
        <v>0.83333333333333337</v>
      </c>
      <c r="F4170" t="s">
        <v>90</v>
      </c>
      <c r="G4170" t="s">
        <v>565</v>
      </c>
      <c r="H4170" t="s">
        <v>565</v>
      </c>
      <c r="I4170" t="s">
        <v>565</v>
      </c>
      <c r="J4170" t="s">
        <v>565</v>
      </c>
      <c r="K4170" t="s">
        <v>565</v>
      </c>
      <c r="M4170" t="s">
        <v>478</v>
      </c>
      <c r="N4170" t="str">
        <f>Tabela_tudo[[#This Row],[Médico]]&amp;" ("&amp;Tabela_tudo[[#This Row],[Obs]]&amp;")"</f>
        <v>VIN (REPOSIÇÃO VOLEMICA )</v>
      </c>
    </row>
    <row r="4171" spans="1:14" x14ac:dyDescent="0.3">
      <c r="A4171" s="1">
        <v>45070</v>
      </c>
      <c r="B4171" t="s">
        <v>75</v>
      </c>
      <c r="C4171" t="s">
        <v>55</v>
      </c>
      <c r="D4171" s="8">
        <v>0.29166666666666669</v>
      </c>
      <c r="E4171" s="8">
        <v>0.83333333333333337</v>
      </c>
      <c r="F4171" t="s">
        <v>76</v>
      </c>
      <c r="G4171" t="s">
        <v>565</v>
      </c>
      <c r="H4171" t="s">
        <v>565</v>
      </c>
      <c r="I4171" t="s">
        <v>565</v>
      </c>
      <c r="J4171" t="s">
        <v>565</v>
      </c>
      <c r="K4171" t="s">
        <v>565</v>
      </c>
      <c r="M4171" t="s">
        <v>478</v>
      </c>
      <c r="N4171" t="str">
        <f>Tabela_tudo[[#This Row],[Médico]]&amp;" ("&amp;Tabela_tudo[[#This Row],[Obs]]&amp;")"</f>
        <v>KOP (AULA FARMACOL CARDIO - R1)</v>
      </c>
    </row>
    <row r="4172" spans="1:14" x14ac:dyDescent="0.3">
      <c r="A4172" s="1">
        <v>45112</v>
      </c>
      <c r="B4172" t="s">
        <v>142</v>
      </c>
      <c r="C4172" t="s">
        <v>55</v>
      </c>
      <c r="D4172" s="8">
        <v>0.33333333333333331</v>
      </c>
      <c r="E4172" s="8">
        <v>0.41666666666666669</v>
      </c>
      <c r="F4172" t="s">
        <v>225</v>
      </c>
      <c r="G4172" t="s">
        <v>565</v>
      </c>
      <c r="M4172" t="s">
        <v>478</v>
      </c>
      <c r="N4172" t="str">
        <f>Tabela_tudo[[#This Row],[Médico]]&amp;" ("&amp;Tabela_tudo[[#This Row],[Obs]]&amp;")"</f>
        <v>VIV (AVAL R'S NF REC MG)</v>
      </c>
    </row>
    <row r="4173" spans="1:14" x14ac:dyDescent="0.3">
      <c r="A4173" s="1">
        <v>45097</v>
      </c>
      <c r="B4173" t="s">
        <v>50</v>
      </c>
      <c r="C4173" t="s">
        <v>55</v>
      </c>
      <c r="D4173" s="8">
        <v>0.29166666666666669</v>
      </c>
      <c r="E4173" s="8">
        <v>0.33333333333333331</v>
      </c>
      <c r="F4173" t="s">
        <v>169</v>
      </c>
      <c r="G4173" t="s">
        <v>565</v>
      </c>
      <c r="M4173" t="s">
        <v>478</v>
      </c>
      <c r="N4173" t="str">
        <f>Tabela_tudo[[#This Row],[Médico]]&amp;" ("&amp;Tabela_tudo[[#This Row],[Obs]]&amp;")"</f>
        <v>PJP (R1 NO SANE - FARMACOLOGIA)</v>
      </c>
    </row>
    <row r="4174" spans="1:14" x14ac:dyDescent="0.3">
      <c r="A4174" s="1">
        <v>45089</v>
      </c>
      <c r="B4174" t="s">
        <v>17</v>
      </c>
      <c r="C4174" t="s">
        <v>55</v>
      </c>
      <c r="D4174" s="8">
        <v>0.29166666666666669</v>
      </c>
      <c r="E4174" s="8">
        <v>0.33333333333333331</v>
      </c>
      <c r="F4174" t="s">
        <v>138</v>
      </c>
      <c r="G4174" t="s">
        <v>565</v>
      </c>
      <c r="M4174" t="s">
        <v>478</v>
      </c>
      <c r="N4174" t="str">
        <f>Tabela_tudo[[#This Row],[Médico]]&amp;" ("&amp;Tabela_tudo[[#This Row],[Obs]]&amp;")"</f>
        <v>FAB (FISOL SIST RESPIRATORIO R1 SANE)</v>
      </c>
    </row>
    <row r="4175" spans="1:14" x14ac:dyDescent="0.3">
      <c r="A4175" s="1">
        <v>45169</v>
      </c>
      <c r="B4175" t="s">
        <v>34</v>
      </c>
      <c r="C4175" t="s">
        <v>55</v>
      </c>
      <c r="D4175" s="8">
        <v>0.83333333333333337</v>
      </c>
      <c r="E4175" s="8">
        <v>0.875</v>
      </c>
      <c r="F4175" t="s">
        <v>389</v>
      </c>
      <c r="K4175" t="s">
        <v>565</v>
      </c>
      <c r="M4175" t="s">
        <v>478</v>
      </c>
      <c r="N4175" t="str">
        <f>Tabela_tudo[[#This Row],[Médico]]&amp;" ("&amp;Tabela_tudo[[#This Row],[Obs]]&amp;")"</f>
        <v>LIP (SEMINÁRIO ONLINE - R1, R2, R3)</v>
      </c>
    </row>
    <row r="4176" spans="1:14" x14ac:dyDescent="0.3">
      <c r="A4176" s="1">
        <v>45112</v>
      </c>
      <c r="B4176" t="s">
        <v>73</v>
      </c>
      <c r="C4176" t="s">
        <v>55</v>
      </c>
      <c r="D4176" s="8">
        <v>0.33333333333333331</v>
      </c>
      <c r="E4176" s="8">
        <v>0.41666666666666669</v>
      </c>
      <c r="F4176" t="s">
        <v>225</v>
      </c>
      <c r="G4176" t="s">
        <v>565</v>
      </c>
      <c r="M4176" t="s">
        <v>478</v>
      </c>
      <c r="N4176" t="str">
        <f>Tabela_tudo[[#This Row],[Médico]]&amp;" ("&amp;Tabela_tudo[[#This Row],[Obs]]&amp;")"</f>
        <v>RT (AVAL R'S NF REC MG)</v>
      </c>
    </row>
    <row r="4177" spans="1:14" x14ac:dyDescent="0.3">
      <c r="A4177" s="1">
        <v>45146</v>
      </c>
      <c r="B4177" t="s">
        <v>73</v>
      </c>
      <c r="C4177" t="s">
        <v>55</v>
      </c>
      <c r="D4177" s="8">
        <v>0.66666666666666663</v>
      </c>
      <c r="E4177" s="8">
        <v>0.79166666666666663</v>
      </c>
      <c r="F4177" t="s">
        <v>304</v>
      </c>
      <c r="J4177" t="s">
        <v>565</v>
      </c>
      <c r="M4177" t="s">
        <v>478</v>
      </c>
      <c r="N4177" t="str">
        <f>Tabela_tudo[[#This Row],[Médico]]&amp;" ("&amp;Tabela_tudo[[#This Row],[Obs]]&amp;")"</f>
        <v>RT (SUPERVISÃO DA PROVAS )</v>
      </c>
    </row>
    <row r="4178" spans="1:14" x14ac:dyDescent="0.3">
      <c r="A4178" s="1">
        <v>45147</v>
      </c>
      <c r="B4178" t="s">
        <v>29</v>
      </c>
      <c r="C4178" t="s">
        <v>55</v>
      </c>
      <c r="D4178" s="8">
        <v>0.79166666666666663</v>
      </c>
      <c r="E4178" s="8">
        <v>0.83333333333333337</v>
      </c>
      <c r="F4178" t="s">
        <v>307</v>
      </c>
      <c r="K4178" t="s">
        <v>565</v>
      </c>
      <c r="M4178" t="s">
        <v>478</v>
      </c>
      <c r="N4178" t="str">
        <f>Tabela_tudo[[#This Row],[Médico]]&amp;" ("&amp;Tabela_tudo[[#This Row],[Obs]]&amp;")"</f>
        <v>JOA (FARMACOL. ANESTÉSICOS LOCAIS - R1 - NO SANE)</v>
      </c>
    </row>
    <row r="4179" spans="1:14" x14ac:dyDescent="0.3">
      <c r="A4179" s="1">
        <v>45110</v>
      </c>
      <c r="B4179" t="s">
        <v>17</v>
      </c>
      <c r="C4179" t="s">
        <v>55</v>
      </c>
      <c r="D4179" s="8">
        <v>0.29166666666666669</v>
      </c>
      <c r="E4179" s="8">
        <v>0.33333333333333331</v>
      </c>
      <c r="F4179" t="s">
        <v>216</v>
      </c>
      <c r="G4179" t="s">
        <v>565</v>
      </c>
      <c r="M4179" t="s">
        <v>478</v>
      </c>
      <c r="N4179" t="str">
        <f>Tabela_tudo[[#This Row],[Médico]]&amp;" ("&amp;Tabela_tudo[[#This Row],[Obs]]&amp;")"</f>
        <v>FAB (TX PULMÃO R3 NO SANE)</v>
      </c>
    </row>
    <row r="4180" spans="1:14" x14ac:dyDescent="0.3">
      <c r="A4180" s="1">
        <v>45096</v>
      </c>
      <c r="B4180" t="s">
        <v>63</v>
      </c>
      <c r="C4180" t="s">
        <v>55</v>
      </c>
      <c r="D4180" s="8">
        <v>0.75</v>
      </c>
      <c r="E4180" s="8">
        <v>0.79166666666666663</v>
      </c>
      <c r="F4180" t="s">
        <v>165</v>
      </c>
      <c r="J4180" t="s">
        <v>565</v>
      </c>
      <c r="M4180" t="s">
        <v>478</v>
      </c>
      <c r="N4180" t="str">
        <f>Tabela_tudo[[#This Row],[Médico]]&amp;" ("&amp;Tabela_tudo[[#This Row],[Obs]]&amp;")"</f>
        <v>FQ (CASSI - OFICINA TCC-NF,REC,MG,VF,FLA,R1)</v>
      </c>
    </row>
    <row r="4181" spans="1:14" x14ac:dyDescent="0.3">
      <c r="A4181" s="1">
        <v>45120</v>
      </c>
      <c r="B4181" t="s">
        <v>33</v>
      </c>
      <c r="C4181" t="s">
        <v>55</v>
      </c>
      <c r="D4181" s="8">
        <v>0.83333333333333337</v>
      </c>
      <c r="E4181" s="8">
        <v>0.91666666666666663</v>
      </c>
      <c r="F4181" t="s">
        <v>242</v>
      </c>
      <c r="K4181" t="s">
        <v>565</v>
      </c>
      <c r="M4181" t="s">
        <v>478</v>
      </c>
      <c r="N4181" t="str">
        <f>Tabela_tudo[[#This Row],[Médico]]&amp;" ("&amp;Tabela_tudo[[#This Row],[Obs]]&amp;")"</f>
        <v>DIF (SEMINÁRIO ONLINE R1 R2 R3)</v>
      </c>
    </row>
    <row r="4182" spans="1:14" x14ac:dyDescent="0.3">
      <c r="A4182" s="1">
        <v>45112</v>
      </c>
      <c r="B4182" t="s">
        <v>75</v>
      </c>
      <c r="C4182" t="s">
        <v>55</v>
      </c>
      <c r="D4182" s="8">
        <v>0.29166666666666669</v>
      </c>
      <c r="E4182" s="8">
        <v>0.33333333333333331</v>
      </c>
      <c r="F4182" t="s">
        <v>227</v>
      </c>
      <c r="G4182" t="s">
        <v>565</v>
      </c>
      <c r="M4182" t="s">
        <v>478</v>
      </c>
      <c r="N4182" t="str">
        <f>Tabela_tudo[[#This Row],[Médico]]&amp;" ("&amp;Tabela_tudo[[#This Row],[Obs]]&amp;")"</f>
        <v>KOP (AULA R1 NO SANE )</v>
      </c>
    </row>
    <row r="4183" spans="1:14" x14ac:dyDescent="0.3">
      <c r="A4183" s="1">
        <v>45201</v>
      </c>
      <c r="B4183" t="s">
        <v>63</v>
      </c>
      <c r="C4183" t="s">
        <v>55</v>
      </c>
      <c r="D4183" s="8">
        <v>0.75</v>
      </c>
      <c r="E4183" s="8">
        <v>0.79166666666666663</v>
      </c>
      <c r="F4183" t="s">
        <v>646</v>
      </c>
      <c r="J4183" t="s">
        <v>565</v>
      </c>
      <c r="M4183" t="s">
        <v>478</v>
      </c>
      <c r="N4183" t="str">
        <f>Tabela_tudo[[#This Row],[Médico]]&amp;" ("&amp;Tabela_tudo[[#This Row],[Obs]]&amp;")"</f>
        <v>FQ (CASSI - OFICINA TCC HED - WEN BED RKS MG NF)</v>
      </c>
    </row>
    <row r="4184" spans="1:14" x14ac:dyDescent="0.3">
      <c r="A4184" s="1">
        <v>45201</v>
      </c>
      <c r="B4184" t="s">
        <v>71</v>
      </c>
      <c r="C4184" t="s">
        <v>55</v>
      </c>
      <c r="D4184" s="8">
        <v>0.83333333333333337</v>
      </c>
      <c r="E4184" s="8">
        <v>0.875</v>
      </c>
      <c r="F4184" t="s">
        <v>647</v>
      </c>
      <c r="K4184" t="s">
        <v>565</v>
      </c>
      <c r="M4184" t="s">
        <v>478</v>
      </c>
      <c r="N4184" t="str">
        <f>Tabela_tudo[[#This Row],[Médico]]&amp;" ("&amp;Tabela_tudo[[#This Row],[Obs]]&amp;")"</f>
        <v>BRU (REC - SEMINARIO ONLINE - R1 R2 R3)</v>
      </c>
    </row>
    <row r="4185" spans="1:14" x14ac:dyDescent="0.3">
      <c r="A4185" s="1">
        <v>45162</v>
      </c>
      <c r="B4185" t="s">
        <v>44</v>
      </c>
      <c r="C4185" t="s">
        <v>55</v>
      </c>
      <c r="D4185" s="8">
        <v>0.83333333333333337</v>
      </c>
      <c r="E4185" s="8">
        <v>0.91666666666666663</v>
      </c>
      <c r="F4185" t="s">
        <v>355</v>
      </c>
      <c r="K4185" t="s">
        <v>565</v>
      </c>
      <c r="M4185" t="s">
        <v>478</v>
      </c>
      <c r="N4185" t="str">
        <f>Tabela_tudo[[#This Row],[Médico]]&amp;" ("&amp;Tabela_tudo[[#This Row],[Obs]]&amp;")"</f>
        <v>REI (WEN - SEMINÁRIO ONLINE R1 R2 R3)</v>
      </c>
    </row>
    <row r="4186" spans="1:14" x14ac:dyDescent="0.3">
      <c r="A4186" s="1">
        <v>45134</v>
      </c>
      <c r="B4186" t="s">
        <v>14</v>
      </c>
      <c r="C4186" t="s">
        <v>55</v>
      </c>
      <c r="D4186" s="8">
        <v>0.83333333333333337</v>
      </c>
      <c r="E4186" s="8">
        <v>0.91666666666666663</v>
      </c>
      <c r="F4186" t="s">
        <v>100</v>
      </c>
      <c r="K4186" t="s">
        <v>565</v>
      </c>
      <c r="M4186" t="s">
        <v>478</v>
      </c>
      <c r="N4186" t="str">
        <f>Tabela_tudo[[#This Row],[Médico]]&amp;" ("&amp;Tabela_tudo[[#This Row],[Obs]]&amp;")"</f>
        <v>PW (SEMINÁRIO R1 R2 R3)</v>
      </c>
    </row>
    <row r="4187" spans="1:14" x14ac:dyDescent="0.3">
      <c r="A4187" s="1">
        <v>45099</v>
      </c>
      <c r="B4187" t="s">
        <v>17</v>
      </c>
      <c r="C4187" t="s">
        <v>55</v>
      </c>
      <c r="D4187" s="8">
        <v>0.29166666666666669</v>
      </c>
      <c r="E4187" s="8">
        <v>0.33333333333333331</v>
      </c>
      <c r="F4187" t="s">
        <v>177</v>
      </c>
      <c r="G4187" t="s">
        <v>565</v>
      </c>
      <c r="M4187" t="s">
        <v>478</v>
      </c>
      <c r="N4187" t="str">
        <f>Tabela_tudo[[#This Row],[Médico]]&amp;" ("&amp;Tabela_tudo[[#This Row],[Obs]]&amp;")"</f>
        <v>FAB (FISIOL SIST RESPIRATORIO - R1 NO SANE)</v>
      </c>
    </row>
    <row r="4188" spans="1:14" x14ac:dyDescent="0.3">
      <c r="A4188" s="1">
        <v>45099</v>
      </c>
      <c r="B4188" t="s">
        <v>64</v>
      </c>
      <c r="C4188" t="s">
        <v>55</v>
      </c>
      <c r="D4188" s="8">
        <v>0.83333333333333337</v>
      </c>
      <c r="E4188" s="8">
        <v>0.875</v>
      </c>
      <c r="F4188" t="s">
        <v>178</v>
      </c>
      <c r="K4188" t="s">
        <v>565</v>
      </c>
      <c r="M4188" t="s">
        <v>478</v>
      </c>
      <c r="N4188" t="str">
        <f>Tabela_tudo[[#This Row],[Médico]]&amp;" ("&amp;Tabela_tudo[[#This Row],[Obs]]&amp;")"</f>
        <v>SAR (SEMINARIO ONLINE R1 R2 R3)</v>
      </c>
    </row>
    <row r="4189" spans="1:14" x14ac:dyDescent="0.3">
      <c r="A4189" s="1">
        <v>45149</v>
      </c>
      <c r="B4189" t="s">
        <v>94</v>
      </c>
      <c r="C4189" t="s">
        <v>55</v>
      </c>
      <c r="D4189" s="8">
        <v>0.29166666666666669</v>
      </c>
      <c r="E4189" s="8">
        <v>0.33333333333333331</v>
      </c>
      <c r="F4189" t="s">
        <v>320</v>
      </c>
      <c r="G4189" t="s">
        <v>565</v>
      </c>
      <c r="M4189" t="s">
        <v>478</v>
      </c>
      <c r="N4189" t="str">
        <f>Tabela_tudo[[#This Row],[Médico]]&amp;" ("&amp;Tabela_tudo[[#This Row],[Obs]]&amp;")"</f>
        <v>TOT (AULA OBSTETRICIA R2 NO SANE)</v>
      </c>
    </row>
    <row r="4190" spans="1:14" x14ac:dyDescent="0.3">
      <c r="A4190" s="1">
        <v>45183</v>
      </c>
      <c r="B4190" t="s">
        <v>33</v>
      </c>
      <c r="C4190" t="s">
        <v>55</v>
      </c>
      <c r="D4190" s="8">
        <v>0.83333333333333337</v>
      </c>
      <c r="E4190" s="8">
        <v>0.875</v>
      </c>
      <c r="F4190" t="s">
        <v>620</v>
      </c>
      <c r="K4190" t="s">
        <v>565</v>
      </c>
      <c r="M4190" t="s">
        <v>478</v>
      </c>
      <c r="N4190" t="str">
        <f>Tabela_tudo[[#This Row],[Médico]]&amp;" ("&amp;Tabela_tudo[[#This Row],[Obs]]&amp;")"</f>
        <v>DIF (DIF + CA - SEMINÁRIO - R1, R2, R3 - ONLINE)</v>
      </c>
    </row>
    <row r="4191" spans="1:14" x14ac:dyDescent="0.3">
      <c r="A4191" s="1">
        <v>45083</v>
      </c>
      <c r="B4191" t="s">
        <v>63</v>
      </c>
      <c r="C4191" t="s">
        <v>55</v>
      </c>
      <c r="D4191" s="8">
        <v>0.29166666666666669</v>
      </c>
      <c r="E4191" s="8">
        <v>0.375</v>
      </c>
      <c r="F4191" t="s">
        <v>126</v>
      </c>
      <c r="G4191" t="s">
        <v>565</v>
      </c>
      <c r="M4191" t="s">
        <v>478</v>
      </c>
      <c r="N4191" t="str">
        <f>Tabela_tudo[[#This Row],[Médico]]&amp;" ("&amp;Tabela_tudo[[#This Row],[Obs]]&amp;")"</f>
        <v>FQ (R1 NO SANE )</v>
      </c>
    </row>
    <row r="4192" spans="1:14" x14ac:dyDescent="0.3">
      <c r="A4192" s="1">
        <v>45153</v>
      </c>
      <c r="B4192" t="s">
        <v>34</v>
      </c>
      <c r="C4192" t="s">
        <v>55</v>
      </c>
      <c r="D4192" s="8">
        <v>0.29166666666666669</v>
      </c>
      <c r="E4192" s="8">
        <v>0.33333333333333331</v>
      </c>
      <c r="F4192" t="s">
        <v>324</v>
      </c>
      <c r="G4192" t="s">
        <v>565</v>
      </c>
      <c r="M4192" t="s">
        <v>478</v>
      </c>
      <c r="N4192" t="str">
        <f>Tabela_tudo[[#This Row],[Médico]]&amp;" ("&amp;Tabela_tudo[[#This Row],[Obs]]&amp;")"</f>
        <v>LIP (UROLOGIA - R2 NO SANE)</v>
      </c>
    </row>
    <row r="4193" spans="1:14" x14ac:dyDescent="0.3">
      <c r="A4193" s="1">
        <v>45167</v>
      </c>
      <c r="B4193" t="s">
        <v>64</v>
      </c>
      <c r="C4193" t="s">
        <v>55</v>
      </c>
      <c r="D4193" s="8">
        <v>0.70833333333333337</v>
      </c>
      <c r="E4193" s="8">
        <v>0.75</v>
      </c>
      <c r="F4193" t="s">
        <v>381</v>
      </c>
      <c r="J4193" t="s">
        <v>565</v>
      </c>
      <c r="M4193" t="s">
        <v>478</v>
      </c>
      <c r="N4193" t="str">
        <f>Tabela_tudo[[#This Row],[Médico]]&amp;" ("&amp;Tabela_tudo[[#This Row],[Obs]]&amp;")"</f>
        <v>SAR (WEN REVISÃO DE TRABALHOS)</v>
      </c>
    </row>
    <row r="4194" spans="1:14" x14ac:dyDescent="0.3">
      <c r="A4194" s="1">
        <v>45229</v>
      </c>
      <c r="B4194" t="s">
        <v>25</v>
      </c>
      <c r="C4194" t="s">
        <v>55</v>
      </c>
      <c r="D4194" s="8">
        <v>0.83333333333333337</v>
      </c>
      <c r="E4194" s="8">
        <v>0.91666666666666663</v>
      </c>
      <c r="F4194" t="s">
        <v>198</v>
      </c>
      <c r="K4194" t="s">
        <v>565</v>
      </c>
      <c r="M4194" t="s">
        <v>478</v>
      </c>
      <c r="N4194" t="str">
        <f>Tabela_tudo[[#This Row],[Médico]]&amp;" ("&amp;Tabela_tudo[[#This Row],[Obs]]&amp;")"</f>
        <v>HEN (SEMINARIO R1 R2 R3)</v>
      </c>
    </row>
    <row r="4195" spans="1:14" x14ac:dyDescent="0.3">
      <c r="A4195" s="1">
        <v>45167</v>
      </c>
      <c r="B4195" t="s">
        <v>23</v>
      </c>
      <c r="C4195" t="s">
        <v>55</v>
      </c>
      <c r="D4195" s="8">
        <v>0.70833333333333337</v>
      </c>
      <c r="E4195" s="8">
        <v>0.75</v>
      </c>
      <c r="F4195" t="s">
        <v>381</v>
      </c>
      <c r="J4195" t="s">
        <v>565</v>
      </c>
      <c r="M4195" t="s">
        <v>478</v>
      </c>
      <c r="N4195" t="str">
        <f>Tabela_tudo[[#This Row],[Médico]]&amp;" ("&amp;Tabela_tudo[[#This Row],[Obs]]&amp;")"</f>
        <v>BG (WEN REVISÃO DE TRABALHOS)</v>
      </c>
    </row>
    <row r="4196" spans="1:14" x14ac:dyDescent="0.3">
      <c r="A4196" s="1">
        <v>45217</v>
      </c>
      <c r="B4196" t="s">
        <v>29</v>
      </c>
      <c r="C4196" t="s">
        <v>55</v>
      </c>
      <c r="D4196" s="8">
        <v>0.83333333333333337</v>
      </c>
      <c r="E4196" s="8">
        <v>0.91666666666666663</v>
      </c>
      <c r="F4196" t="s">
        <v>709</v>
      </c>
      <c r="K4196" t="s">
        <v>565</v>
      </c>
      <c r="M4196" t="s">
        <v>478</v>
      </c>
      <c r="N4196" t="str">
        <f>Tabela_tudo[[#This Row],[Médico]]&amp;" ("&amp;Tabela_tudo[[#This Row],[Obs]]&amp;")"</f>
        <v>JOA (SEMINARIO R1 R2 R3 ONLINE )</v>
      </c>
    </row>
    <row r="4197" spans="1:14" x14ac:dyDescent="0.3">
      <c r="A4197" s="1">
        <v>45155</v>
      </c>
      <c r="B4197" t="s">
        <v>73</v>
      </c>
      <c r="C4197" t="s">
        <v>55</v>
      </c>
      <c r="D4197" s="8">
        <v>0.83333333333333337</v>
      </c>
      <c r="E4197" s="8">
        <v>0.91666666666666663</v>
      </c>
      <c r="F4197" t="s">
        <v>331</v>
      </c>
      <c r="K4197" t="s">
        <v>565</v>
      </c>
      <c r="M4197" t="s">
        <v>478</v>
      </c>
      <c r="N4197" t="str">
        <f>Tabela_tudo[[#This Row],[Médico]]&amp;" ("&amp;Tabela_tudo[[#This Row],[Obs]]&amp;")"</f>
        <v>RT (SEMINÁRIO R1,R2,R3, - ONLINE)</v>
      </c>
    </row>
    <row r="4198" spans="1:14" x14ac:dyDescent="0.3">
      <c r="A4198" s="1">
        <v>45148</v>
      </c>
      <c r="B4198" t="s">
        <v>37</v>
      </c>
      <c r="C4198" t="s">
        <v>55</v>
      </c>
      <c r="D4198" s="8">
        <v>0.83333333333333337</v>
      </c>
      <c r="E4198" s="8">
        <v>0.91666666666666663</v>
      </c>
      <c r="F4198" t="s">
        <v>316</v>
      </c>
      <c r="K4198" t="s">
        <v>565</v>
      </c>
      <c r="M4198" t="s">
        <v>478</v>
      </c>
      <c r="N4198" t="str">
        <f>Tabela_tudo[[#This Row],[Médico]]&amp;" ("&amp;Tabela_tudo[[#This Row],[Obs]]&amp;")"</f>
        <v>EBB (SEMINARIO ONLINE R1 R2 R3 )</v>
      </c>
    </row>
    <row r="4199" spans="1:14" x14ac:dyDescent="0.3">
      <c r="A4199" s="1">
        <v>45131</v>
      </c>
      <c r="B4199" t="s">
        <v>142</v>
      </c>
      <c r="C4199" t="s">
        <v>55</v>
      </c>
      <c r="D4199" s="8">
        <v>0.3125</v>
      </c>
      <c r="E4199" s="8">
        <v>0.40625</v>
      </c>
      <c r="F4199" t="s">
        <v>257</v>
      </c>
      <c r="G4199" t="s">
        <v>565</v>
      </c>
      <c r="M4199" t="s">
        <v>478</v>
      </c>
      <c r="N4199" t="str">
        <f>Tabela_tudo[[#This Row],[Médico]]&amp;" ("&amp;Tabela_tudo[[#This Row],[Obs]]&amp;")"</f>
        <v>VIV (AVALIAÇÃO RESIDENTES )</v>
      </c>
    </row>
    <row r="4200" spans="1:14" x14ac:dyDescent="0.3">
      <c r="A4200" s="1">
        <v>45131</v>
      </c>
      <c r="B4200" t="s">
        <v>73</v>
      </c>
      <c r="C4200" t="s">
        <v>55</v>
      </c>
      <c r="D4200" s="8">
        <v>0.3125</v>
      </c>
      <c r="E4200" s="8">
        <v>0.40625</v>
      </c>
      <c r="F4200" t="s">
        <v>257</v>
      </c>
      <c r="G4200" t="s">
        <v>565</v>
      </c>
      <c r="M4200" t="s">
        <v>478</v>
      </c>
      <c r="N4200" t="str">
        <f>Tabela_tudo[[#This Row],[Médico]]&amp;" ("&amp;Tabela_tudo[[#This Row],[Obs]]&amp;")"</f>
        <v>RT (AVALIAÇÃO RESIDENTES )</v>
      </c>
    </row>
    <row r="4201" spans="1:14" x14ac:dyDescent="0.3">
      <c r="A4201" s="1">
        <v>45182</v>
      </c>
      <c r="B4201" t="s">
        <v>23</v>
      </c>
      <c r="C4201" t="s">
        <v>55</v>
      </c>
      <c r="D4201" s="8">
        <v>0.29166666666666669</v>
      </c>
      <c r="E4201" s="8">
        <v>0.33333333333333331</v>
      </c>
      <c r="F4201" t="s">
        <v>616</v>
      </c>
      <c r="G4201" t="s">
        <v>565</v>
      </c>
      <c r="M4201" t="s">
        <v>478</v>
      </c>
      <c r="N4201" t="str">
        <f>Tabela_tudo[[#This Row],[Médico]]&amp;" ("&amp;Tabela_tudo[[#This Row],[Obs]]&amp;")"</f>
        <v>BG (QUALIDADE E SEGURANÇA - HED 7° ANDAR CPDA)</v>
      </c>
    </row>
    <row r="4202" spans="1:14" x14ac:dyDescent="0.3">
      <c r="A4202" s="1">
        <v>45231</v>
      </c>
      <c r="B4202" t="s">
        <v>29</v>
      </c>
      <c r="C4202" t="s">
        <v>55</v>
      </c>
      <c r="D4202" s="8">
        <v>0.29166666666666669</v>
      </c>
      <c r="E4202" s="8">
        <v>0.33333333333333331</v>
      </c>
      <c r="F4202" t="s">
        <v>717</v>
      </c>
      <c r="G4202" t="s">
        <v>565</v>
      </c>
      <c r="M4202" t="s">
        <v>478</v>
      </c>
      <c r="N4202" t="str">
        <f>Tabela_tudo[[#This Row],[Médico]]&amp;" ("&amp;Tabela_tudo[[#This Row],[Obs]]&amp;")"</f>
        <v>JOA (BSA BPD - R1 NO SANE)</v>
      </c>
    </row>
    <row r="4203" spans="1:14" x14ac:dyDescent="0.3">
      <c r="A4203" s="1">
        <v>45071</v>
      </c>
      <c r="B4203" t="s">
        <v>72</v>
      </c>
      <c r="C4203" t="s">
        <v>55</v>
      </c>
      <c r="D4203" s="8">
        <v>0.83333333333333337</v>
      </c>
      <c r="E4203" s="8">
        <v>0.875</v>
      </c>
      <c r="F4203" t="s">
        <v>107</v>
      </c>
      <c r="K4203" t="s">
        <v>565</v>
      </c>
      <c r="M4203" t="s">
        <v>478</v>
      </c>
      <c r="N4203" t="str">
        <f>Tabela_tudo[[#This Row],[Médico]]&amp;" ("&amp;Tabela_tudo[[#This Row],[Obs]]&amp;")"</f>
        <v>GRA (SEMINÁRIO ONLINE - R1 R2 R3 )</v>
      </c>
    </row>
    <row r="4204" spans="1:14" x14ac:dyDescent="0.3">
      <c r="A4204" s="1">
        <v>45218</v>
      </c>
      <c r="B4204" t="s">
        <v>25</v>
      </c>
      <c r="C4204" t="s">
        <v>55</v>
      </c>
      <c r="D4204" s="8">
        <v>0.83333333333333337</v>
      </c>
      <c r="E4204" s="8">
        <v>0.91666666666666663</v>
      </c>
      <c r="F4204" t="s">
        <v>711</v>
      </c>
      <c r="K4204" t="s">
        <v>565</v>
      </c>
      <c r="M4204" t="s">
        <v>478</v>
      </c>
      <c r="N4204" t="str">
        <f>Tabela_tudo[[#This Row],[Médico]]&amp;" ("&amp;Tabela_tudo[[#This Row],[Obs]]&amp;")"</f>
        <v>HEN (SEMINÁRIO R1 R2 R3 ONLINE )</v>
      </c>
    </row>
    <row r="4205" spans="1:14" x14ac:dyDescent="0.3">
      <c r="A4205" s="1">
        <v>45113</v>
      </c>
      <c r="B4205" t="s">
        <v>142</v>
      </c>
      <c r="C4205" t="s">
        <v>55</v>
      </c>
      <c r="D4205" s="8">
        <v>0.83333333333333337</v>
      </c>
      <c r="E4205" s="8">
        <v>0.91666666666666663</v>
      </c>
      <c r="F4205" t="s">
        <v>198</v>
      </c>
      <c r="K4205" t="s">
        <v>565</v>
      </c>
      <c r="M4205" t="s">
        <v>478</v>
      </c>
      <c r="N4205" t="str">
        <f>Tabela_tudo[[#This Row],[Médico]]&amp;" ("&amp;Tabela_tudo[[#This Row],[Obs]]&amp;")"</f>
        <v>VIV (SEMINARIO R1 R2 R3)</v>
      </c>
    </row>
    <row r="4206" spans="1:14" x14ac:dyDescent="0.3">
      <c r="A4206" s="1">
        <v>45167</v>
      </c>
      <c r="B4206" t="s">
        <v>64</v>
      </c>
      <c r="C4206" t="s">
        <v>55</v>
      </c>
      <c r="D4206" s="8">
        <v>0.75</v>
      </c>
      <c r="E4206" s="8">
        <v>0.79166666666666663</v>
      </c>
      <c r="F4206" t="s">
        <v>378</v>
      </c>
      <c r="J4206" t="s">
        <v>565</v>
      </c>
      <c r="M4206" t="s">
        <v>478</v>
      </c>
      <c r="N4206" t="str">
        <f>Tabela_tudo[[#This Row],[Médico]]&amp;" ("&amp;Tabela_tudo[[#This Row],[Obs]]&amp;")"</f>
        <v>SAR (REUNIÃO TCC REC NO SANE)</v>
      </c>
    </row>
    <row r="4207" spans="1:14" x14ac:dyDescent="0.3">
      <c r="A4207" s="1">
        <v>45167</v>
      </c>
      <c r="B4207" t="s">
        <v>73</v>
      </c>
      <c r="C4207" t="s">
        <v>55</v>
      </c>
      <c r="D4207" s="8">
        <v>0.29166666666666669</v>
      </c>
      <c r="E4207" s="8">
        <v>0.33333333333333331</v>
      </c>
      <c r="F4207" t="s">
        <v>377</v>
      </c>
      <c r="G4207" t="s">
        <v>565</v>
      </c>
      <c r="M4207" t="s">
        <v>478</v>
      </c>
      <c r="N4207" t="str">
        <f>Tabela_tudo[[#This Row],[Médico]]&amp;" ("&amp;Tabela_tudo[[#This Row],[Obs]]&amp;")"</f>
        <v>RT (AULA ORTOPEDIA - R2 NO SANE)</v>
      </c>
    </row>
    <row r="4208" spans="1:14" x14ac:dyDescent="0.3">
      <c r="A4208" s="1">
        <v>45224</v>
      </c>
      <c r="B4208" t="s">
        <v>73</v>
      </c>
      <c r="C4208" t="s">
        <v>55</v>
      </c>
      <c r="D4208" s="8">
        <v>0.45833333333333331</v>
      </c>
      <c r="E4208" s="8">
        <v>0.5625</v>
      </c>
      <c r="F4208" t="s">
        <v>715</v>
      </c>
      <c r="H4208" t="s">
        <v>565</v>
      </c>
      <c r="I4208" t="s">
        <v>565</v>
      </c>
      <c r="M4208" t="s">
        <v>478</v>
      </c>
      <c r="N4208" t="str">
        <f>Tabela_tudo[[#This Row],[Médico]]&amp;" ("&amp;Tabela_tudo[[#This Row],[Obs]]&amp;")"</f>
        <v>RT (EVENTO UNISINOS SÃO LEOPOLDO)</v>
      </c>
    </row>
    <row r="4209" spans="1:14" x14ac:dyDescent="0.3">
      <c r="A4209" s="1">
        <v>45079</v>
      </c>
      <c r="B4209" t="s">
        <v>75</v>
      </c>
      <c r="C4209" t="s">
        <v>55</v>
      </c>
      <c r="D4209" s="8">
        <v>0.83333333333333337</v>
      </c>
      <c r="E4209" s="8">
        <v>0.875</v>
      </c>
      <c r="F4209" t="s">
        <v>110</v>
      </c>
      <c r="K4209" t="s">
        <v>565</v>
      </c>
      <c r="M4209" t="s">
        <v>478</v>
      </c>
      <c r="N4209" t="str">
        <f>Tabela_tudo[[#This Row],[Médico]]&amp;" ("&amp;Tabela_tudo[[#This Row],[Obs]]&amp;")"</f>
        <v>KOP (SEMINÁRIO ONLINE R1 R2 R3 )</v>
      </c>
    </row>
    <row r="4210" spans="1:14" x14ac:dyDescent="0.3">
      <c r="A4210" s="1">
        <v>45194</v>
      </c>
      <c r="B4210" t="s">
        <v>63</v>
      </c>
      <c r="C4210" t="s">
        <v>55</v>
      </c>
      <c r="D4210" s="8">
        <v>0.75</v>
      </c>
      <c r="E4210" s="8">
        <v>0.79166666666666663</v>
      </c>
      <c r="F4210" t="s">
        <v>400</v>
      </c>
      <c r="J4210" t="s">
        <v>565</v>
      </c>
      <c r="M4210" t="s">
        <v>478</v>
      </c>
      <c r="N4210" t="str">
        <f>Tabela_tudo[[#This Row],[Médico]]&amp;" ("&amp;Tabela_tudo[[#This Row],[Obs]]&amp;")"</f>
        <v>FQ (FQ/CASSI - OFICINA TCC - BED WEN BMT AD RKS)</v>
      </c>
    </row>
    <row r="4211" spans="1:14" x14ac:dyDescent="0.3">
      <c r="A4211" s="1">
        <v>45154</v>
      </c>
      <c r="B4211" t="s">
        <v>23</v>
      </c>
      <c r="C4211" t="s">
        <v>55</v>
      </c>
      <c r="D4211" s="8">
        <v>0.29166666666666669</v>
      </c>
      <c r="E4211" s="8">
        <v>0.33333333333333331</v>
      </c>
      <c r="F4211" t="s">
        <v>328</v>
      </c>
      <c r="G4211" t="s">
        <v>565</v>
      </c>
      <c r="M4211" t="s">
        <v>478</v>
      </c>
      <c r="N4211" t="str">
        <f>Tabela_tudo[[#This Row],[Médico]]&amp;" ("&amp;Tabela_tudo[[#This Row],[Obs]]&amp;")"</f>
        <v>BG (AULA BNM - LOCAL A DEFINIR)</v>
      </c>
    </row>
    <row r="4212" spans="1:14" x14ac:dyDescent="0.3">
      <c r="A4212" s="1">
        <v>45133</v>
      </c>
      <c r="B4212" t="s">
        <v>33</v>
      </c>
      <c r="C4212" t="s">
        <v>55</v>
      </c>
      <c r="D4212" s="8">
        <v>0.83333333333333337</v>
      </c>
      <c r="E4212" s="8">
        <v>0.91666666666666663</v>
      </c>
      <c r="K4212" t="s">
        <v>565</v>
      </c>
      <c r="M4212" t="s">
        <v>478</v>
      </c>
      <c r="N4212" t="str">
        <f>Tabela_tudo[[#This Row],[Médico]]&amp;" ("&amp;Tabela_tudo[[#This Row],[Obs]]&amp;")"</f>
        <v>DIF ()</v>
      </c>
    </row>
    <row r="4213" spans="1:14" x14ac:dyDescent="0.3">
      <c r="A4213" s="1">
        <v>45098</v>
      </c>
      <c r="B4213" t="s">
        <v>47</v>
      </c>
      <c r="C4213" t="s">
        <v>55</v>
      </c>
      <c r="D4213" s="8">
        <v>0.29166666666666669</v>
      </c>
      <c r="E4213" s="8">
        <v>0.33333333333333331</v>
      </c>
      <c r="F4213" t="s">
        <v>171</v>
      </c>
      <c r="G4213" t="s">
        <v>565</v>
      </c>
      <c r="M4213" t="s">
        <v>478</v>
      </c>
      <c r="N4213" t="str">
        <f>Tabela_tudo[[#This Row],[Médico]]&amp;" ("&amp;Tabela_tudo[[#This Row],[Obs]]&amp;")"</f>
        <v>VIN (TRANSFUSÃO - R2 NO SANE)</v>
      </c>
    </row>
    <row r="4214" spans="1:14" x14ac:dyDescent="0.3">
      <c r="A4214" s="1">
        <v>45082</v>
      </c>
      <c r="B4214" t="s">
        <v>48</v>
      </c>
      <c r="C4214" t="s">
        <v>55</v>
      </c>
      <c r="D4214" s="8">
        <v>0.83333333333333337</v>
      </c>
      <c r="E4214" s="8">
        <v>0.91666666666666663</v>
      </c>
      <c r="F4214" t="s">
        <v>122</v>
      </c>
      <c r="K4214" t="s">
        <v>565</v>
      </c>
      <c r="M4214" t="s">
        <v>478</v>
      </c>
      <c r="N4214" t="str">
        <f>Tabela_tudo[[#This Row],[Médico]]&amp;" ("&amp;Tabela_tudo[[#This Row],[Obs]]&amp;")"</f>
        <v>MAF (SEMINARIO R1 R2 R3 )</v>
      </c>
    </row>
    <row r="4215" spans="1:14" x14ac:dyDescent="0.3">
      <c r="A4215" s="1">
        <v>45159</v>
      </c>
      <c r="B4215" t="s">
        <v>63</v>
      </c>
      <c r="C4215" t="s">
        <v>55</v>
      </c>
      <c r="D4215" s="8">
        <v>0.70833333333333337</v>
      </c>
      <c r="E4215" s="8">
        <v>0.75</v>
      </c>
      <c r="F4215" t="s">
        <v>336</v>
      </c>
      <c r="J4215" t="s">
        <v>565</v>
      </c>
      <c r="M4215" t="s">
        <v>478</v>
      </c>
      <c r="N4215" t="str">
        <f>Tabela_tudo[[#This Row],[Médico]]&amp;" ("&amp;Tabela_tudo[[#This Row],[Obs]]&amp;")"</f>
        <v>FQ (REUNIAO TCC VF PRESENCIAL NO HED)</v>
      </c>
    </row>
    <row r="4216" spans="1:14" x14ac:dyDescent="0.3">
      <c r="A4216" s="1">
        <v>45166</v>
      </c>
      <c r="B4216" t="s">
        <v>63</v>
      </c>
      <c r="C4216" t="s">
        <v>55</v>
      </c>
      <c r="D4216" s="8">
        <v>0.75</v>
      </c>
      <c r="E4216" s="8">
        <v>0.79166666666666663</v>
      </c>
      <c r="F4216" t="s">
        <v>362</v>
      </c>
      <c r="J4216" t="s">
        <v>565</v>
      </c>
      <c r="M4216" t="s">
        <v>478</v>
      </c>
      <c r="N4216" t="str">
        <f>Tabela_tudo[[#This Row],[Médico]]&amp;" ("&amp;Tabela_tudo[[#This Row],[Obs]]&amp;")"</f>
        <v>FQ (OFICINA TCC NO HED - BED WEN BMT AD RKS )</v>
      </c>
    </row>
    <row r="4217" spans="1:14" x14ac:dyDescent="0.3">
      <c r="A4217" s="1">
        <v>45196</v>
      </c>
      <c r="B4217" t="s">
        <v>142</v>
      </c>
      <c r="C4217" t="s">
        <v>55</v>
      </c>
      <c r="D4217" s="8">
        <v>0.29166666666666669</v>
      </c>
      <c r="E4217" s="8">
        <v>0.33333333333333331</v>
      </c>
      <c r="F4217" t="s">
        <v>627</v>
      </c>
      <c r="G4217" t="s">
        <v>565</v>
      </c>
      <c r="M4217" t="s">
        <v>478</v>
      </c>
      <c r="N4217" t="str">
        <f>Tabela_tudo[[#This Row],[Médico]]&amp;" ("&amp;Tabela_tudo[[#This Row],[Obs]]&amp;")"</f>
        <v>VIV (AULA OFTALMO R2 NO SANE )</v>
      </c>
    </row>
    <row r="4218" spans="1:14" x14ac:dyDescent="0.3">
      <c r="A4218" s="1">
        <v>45159</v>
      </c>
      <c r="B4218" t="s">
        <v>63</v>
      </c>
      <c r="C4218" t="s">
        <v>55</v>
      </c>
      <c r="D4218" s="8">
        <v>0.75</v>
      </c>
      <c r="E4218" s="8">
        <v>0.79166666666666663</v>
      </c>
      <c r="F4218" t="s">
        <v>335</v>
      </c>
      <c r="J4218" t="s">
        <v>565</v>
      </c>
      <c r="M4218" t="s">
        <v>478</v>
      </c>
      <c r="N4218" t="str">
        <f>Tabela_tudo[[#This Row],[Médico]]&amp;" ("&amp;Tabela_tudo[[#This Row],[Obs]]&amp;")"</f>
        <v>FQ (CASSI - OFICINA TCC NO HED NF REC MG VF FLA )</v>
      </c>
    </row>
    <row r="4219" spans="1:14" x14ac:dyDescent="0.3">
      <c r="A4219" s="1">
        <v>45196</v>
      </c>
      <c r="B4219" t="s">
        <v>23</v>
      </c>
      <c r="C4219" t="s">
        <v>55</v>
      </c>
      <c r="D4219" s="8">
        <v>0.79166666666666663</v>
      </c>
      <c r="E4219" s="8">
        <v>0.91666666666666663</v>
      </c>
      <c r="F4219" t="s">
        <v>626</v>
      </c>
      <c r="K4219" t="s">
        <v>565</v>
      </c>
      <c r="M4219" t="s">
        <v>478</v>
      </c>
      <c r="N4219" t="str">
        <f>Tabela_tudo[[#This Row],[Médico]]&amp;" ("&amp;Tabela_tudo[[#This Row],[Obs]]&amp;")"</f>
        <v>BG (GERENCIAMENTO CC - R3 NO HED)</v>
      </c>
    </row>
    <row r="4220" spans="1:14" x14ac:dyDescent="0.3">
      <c r="A4220" s="1">
        <v>45159</v>
      </c>
      <c r="B4220" t="s">
        <v>333</v>
      </c>
      <c r="C4220" t="s">
        <v>55</v>
      </c>
      <c r="D4220" s="8">
        <v>0.29166666666666669</v>
      </c>
      <c r="E4220" s="8">
        <v>0.33333333333333331</v>
      </c>
      <c r="F4220" t="s">
        <v>334</v>
      </c>
      <c r="G4220" t="s">
        <v>565</v>
      </c>
      <c r="M4220" t="s">
        <v>478</v>
      </c>
      <c r="N4220" t="str">
        <f>Tabela_tudo[[#This Row],[Médico]]&amp;" ("&amp;Tabela_tudo[[#This Row],[Obs]]&amp;")"</f>
        <v>COR (DOR CRÔNICA ONLINE R3)</v>
      </c>
    </row>
    <row r="4221" spans="1:14" x14ac:dyDescent="0.3">
      <c r="A4221" s="1">
        <v>45222</v>
      </c>
      <c r="B4221" t="s">
        <v>37</v>
      </c>
      <c r="C4221" t="s">
        <v>55</v>
      </c>
      <c r="D4221" s="8">
        <v>0.29166666666666669</v>
      </c>
      <c r="E4221" s="8">
        <v>0.33333333333333331</v>
      </c>
      <c r="F4221" t="s">
        <v>714</v>
      </c>
      <c r="G4221" t="s">
        <v>565</v>
      </c>
      <c r="M4221" t="s">
        <v>478</v>
      </c>
      <c r="N4221" t="str">
        <f>Tabela_tudo[[#This Row],[Médico]]&amp;" ("&amp;Tabela_tudo[[#This Row],[Obs]]&amp;")"</f>
        <v>EBB (ANESTESIA OTORRINO R1 NO SANE)</v>
      </c>
    </row>
    <row r="4222" spans="1:14" x14ac:dyDescent="0.3">
      <c r="A4222" s="1">
        <v>45113</v>
      </c>
      <c r="B4222" t="s">
        <v>12</v>
      </c>
      <c r="C4222" t="s">
        <v>55</v>
      </c>
      <c r="D4222" s="8">
        <v>0.79166666666666663</v>
      </c>
      <c r="E4222" s="8">
        <v>0.83333333333333337</v>
      </c>
      <c r="F4222" t="s">
        <v>203</v>
      </c>
      <c r="K4222" t="s">
        <v>565</v>
      </c>
      <c r="M4222" t="s">
        <v>478</v>
      </c>
      <c r="N4222" t="str">
        <f>Tabela_tudo[[#This Row],[Médico]]&amp;" ("&amp;Tabela_tudo[[#This Row],[Obs]]&amp;")"</f>
        <v>EDU (AULA CHOQUE - R3 - ONLINE)</v>
      </c>
    </row>
    <row r="4223" spans="1:14" x14ac:dyDescent="0.3">
      <c r="A4223" s="1">
        <v>45141</v>
      </c>
      <c r="B4223" t="s">
        <v>63</v>
      </c>
      <c r="C4223" t="s">
        <v>55</v>
      </c>
      <c r="D4223" s="8">
        <v>0.83333333333333337</v>
      </c>
      <c r="E4223" s="8">
        <v>0.91666666666666663</v>
      </c>
      <c r="F4223" t="s">
        <v>242</v>
      </c>
      <c r="K4223" t="s">
        <v>565</v>
      </c>
      <c r="M4223" t="s">
        <v>478</v>
      </c>
      <c r="N4223" t="str">
        <f>Tabela_tudo[[#This Row],[Médico]]&amp;" ("&amp;Tabela_tudo[[#This Row],[Obs]]&amp;")"</f>
        <v>FQ (SEMINÁRIO ONLINE R1 R2 R3)</v>
      </c>
    </row>
    <row r="4224" spans="1:14" x14ac:dyDescent="0.3">
      <c r="A4224" s="1">
        <v>45138</v>
      </c>
      <c r="B4224" t="s">
        <v>33</v>
      </c>
      <c r="C4224" t="s">
        <v>55</v>
      </c>
      <c r="D4224" s="8">
        <v>0.29166666666666669</v>
      </c>
      <c r="E4224" s="8">
        <v>0.375</v>
      </c>
      <c r="F4224" t="s">
        <v>270</v>
      </c>
      <c r="G4224" t="s">
        <v>565</v>
      </c>
      <c r="M4224" t="s">
        <v>478</v>
      </c>
      <c r="N4224" t="str">
        <f>Tabela_tudo[[#This Row],[Médico]]&amp;" ("&amp;Tabela_tudo[[#This Row],[Obs]]&amp;")"</f>
        <v>DIF (AULA TX PULMÃO - R3 NO SANE)</v>
      </c>
    </row>
    <row r="4225" spans="1:14" x14ac:dyDescent="0.3">
      <c r="A4225" s="1">
        <v>45078</v>
      </c>
      <c r="B4225" t="s">
        <v>75</v>
      </c>
      <c r="C4225" t="s">
        <v>55</v>
      </c>
      <c r="D4225" s="8">
        <v>0.83333333333333337</v>
      </c>
      <c r="E4225" s="8">
        <v>0.875</v>
      </c>
      <c r="F4225" t="s">
        <v>110</v>
      </c>
      <c r="K4225" t="s">
        <v>565</v>
      </c>
      <c r="M4225" t="s">
        <v>478</v>
      </c>
      <c r="N4225" t="str">
        <f>Tabela_tudo[[#This Row],[Médico]]&amp;" ("&amp;Tabela_tudo[[#This Row],[Obs]]&amp;")"</f>
        <v>KOP (SEMINÁRIO ONLINE R1 R2 R3 )</v>
      </c>
    </row>
    <row r="4226" spans="1:14" x14ac:dyDescent="0.3">
      <c r="A4226" s="1">
        <v>45236</v>
      </c>
      <c r="B4226" t="s">
        <v>68</v>
      </c>
      <c r="C4226" t="s">
        <v>55</v>
      </c>
      <c r="D4226" s="8">
        <v>0.83333333333333337</v>
      </c>
      <c r="E4226" s="8">
        <v>0.91666666666666663</v>
      </c>
      <c r="F4226" t="s">
        <v>721</v>
      </c>
      <c r="K4226" t="s">
        <v>565</v>
      </c>
      <c r="M4226" t="s">
        <v>478</v>
      </c>
      <c r="N4226" t="str">
        <f>Tabela_tudo[[#This Row],[Médico]]&amp;" ("&amp;Tabela_tudo[[#This Row],[Obs]]&amp;")"</f>
        <v>PED (NF - SEMINÁRIO ONLINE R1 R2 R3)</v>
      </c>
    </row>
    <row r="4227" spans="1:14" x14ac:dyDescent="0.3">
      <c r="A4227" s="1">
        <v>45229</v>
      </c>
      <c r="B4227" t="s">
        <v>63</v>
      </c>
      <c r="C4227" t="s">
        <v>55</v>
      </c>
      <c r="D4227" s="8">
        <v>0.75</v>
      </c>
      <c r="E4227" s="8">
        <v>0.83333333333333337</v>
      </c>
      <c r="F4227" t="s">
        <v>696</v>
      </c>
      <c r="J4227" t="s">
        <v>565</v>
      </c>
      <c r="K4227" t="s">
        <v>565</v>
      </c>
      <c r="M4227" t="s">
        <v>478</v>
      </c>
      <c r="N4227" t="str">
        <f>Tabela_tudo[[#This Row],[Médico]]&amp;" ("&amp;Tabela_tudo[[#This Row],[Obs]]&amp;")"</f>
        <v>FQ (OFICINA TCC HED WEN BED RKS MG NF)</v>
      </c>
    </row>
    <row r="4228" spans="1:14" x14ac:dyDescent="0.3">
      <c r="A4228" s="1">
        <v>45166</v>
      </c>
      <c r="B4228" t="s">
        <v>142</v>
      </c>
      <c r="C4228" t="s">
        <v>55</v>
      </c>
      <c r="D4228" s="8">
        <v>0.3125</v>
      </c>
      <c r="E4228" s="8">
        <v>0.375</v>
      </c>
      <c r="F4228" t="s">
        <v>361</v>
      </c>
      <c r="G4228" t="s">
        <v>565</v>
      </c>
      <c r="M4228" t="s">
        <v>478</v>
      </c>
      <c r="N4228" t="str">
        <f>Tabela_tudo[[#This Row],[Médico]]&amp;" ("&amp;Tabela_tudo[[#This Row],[Obs]]&amp;")"</f>
        <v>VIV (AVALIAÇÃO RESIDENTES DRI ORO)</v>
      </c>
    </row>
    <row r="4229" spans="1:14" x14ac:dyDescent="0.3">
      <c r="A4229" s="1">
        <v>45133</v>
      </c>
      <c r="B4229" t="s">
        <v>73</v>
      </c>
      <c r="C4229" t="s">
        <v>55</v>
      </c>
      <c r="D4229" s="8">
        <v>0.3125</v>
      </c>
      <c r="E4229" s="8">
        <v>0.40625</v>
      </c>
      <c r="G4229" t="s">
        <v>565</v>
      </c>
      <c r="M4229" t="s">
        <v>478</v>
      </c>
      <c r="N4229" t="str">
        <f>Tabela_tudo[[#This Row],[Médico]]&amp;" ("&amp;Tabela_tudo[[#This Row],[Obs]]&amp;")"</f>
        <v>RT ()</v>
      </c>
    </row>
    <row r="4230" spans="1:14" x14ac:dyDescent="0.3">
      <c r="A4230" s="1">
        <v>45133</v>
      </c>
      <c r="B4230" t="s">
        <v>142</v>
      </c>
      <c r="C4230" t="s">
        <v>55</v>
      </c>
      <c r="D4230" s="8">
        <v>0.3125</v>
      </c>
      <c r="E4230" s="8">
        <v>0.40625</v>
      </c>
      <c r="G4230" t="s">
        <v>565</v>
      </c>
      <c r="M4230" t="s">
        <v>478</v>
      </c>
      <c r="N4230" t="str">
        <f>Tabela_tudo[[#This Row],[Médico]]&amp;" ("&amp;Tabela_tudo[[#This Row],[Obs]]&amp;")"</f>
        <v>VIV ()</v>
      </c>
    </row>
    <row r="4231" spans="1:14" x14ac:dyDescent="0.3">
      <c r="A4231" s="1">
        <v>45068</v>
      </c>
      <c r="B4231" t="s">
        <v>61</v>
      </c>
      <c r="C4231" t="s">
        <v>55</v>
      </c>
      <c r="D4231" s="8">
        <v>0.75</v>
      </c>
      <c r="E4231" s="8">
        <v>0.83333333333333337</v>
      </c>
      <c r="F4231" t="s">
        <v>58</v>
      </c>
      <c r="M4231" t="s">
        <v>477</v>
      </c>
      <c r="N4231" t="str">
        <f>Tabela_tudo[[#This Row],[Médico]]&amp;" ("&amp;Tabela_tudo[[#This Row],[Obs]]&amp;")"</f>
        <v>AD (OFICNA TCC HED - R1 )</v>
      </c>
    </row>
    <row r="4232" spans="1:14" x14ac:dyDescent="0.3">
      <c r="A4232" s="1">
        <v>45148</v>
      </c>
      <c r="B4232" t="s">
        <v>61</v>
      </c>
      <c r="C4232" t="s">
        <v>55</v>
      </c>
      <c r="D4232" s="8">
        <v>0.83333333333333337</v>
      </c>
      <c r="E4232" s="8">
        <v>0.91666666666666663</v>
      </c>
      <c r="F4232" t="s">
        <v>316</v>
      </c>
      <c r="M4232" t="s">
        <v>477</v>
      </c>
      <c r="N4232" t="str">
        <f>Tabela_tudo[[#This Row],[Médico]]&amp;" ("&amp;Tabela_tudo[[#This Row],[Obs]]&amp;")"</f>
        <v>AD (SEMINARIO ONLINE R1 R2 R3 )</v>
      </c>
    </row>
    <row r="4233" spans="1:14" x14ac:dyDescent="0.3">
      <c r="A4233" s="1">
        <v>45131</v>
      </c>
      <c r="B4233" t="s">
        <v>62</v>
      </c>
      <c r="C4233" t="s">
        <v>55</v>
      </c>
      <c r="D4233" s="8">
        <v>0.375</v>
      </c>
      <c r="E4233" s="8">
        <v>0.40625</v>
      </c>
      <c r="F4233" t="s">
        <v>259</v>
      </c>
      <c r="M4233" t="s">
        <v>477</v>
      </c>
      <c r="N4233" t="str">
        <f>Tabela_tudo[[#This Row],[Médico]]&amp;" ("&amp;Tabela_tudo[[#This Row],[Obs]]&amp;")"</f>
        <v>RKS (AVALIAÇÃO)</v>
      </c>
    </row>
    <row r="4234" spans="1:14" x14ac:dyDescent="0.3">
      <c r="A4234" s="1">
        <v>45133</v>
      </c>
      <c r="B4234" t="s">
        <v>103</v>
      </c>
      <c r="C4234" t="s">
        <v>55</v>
      </c>
      <c r="D4234" s="8">
        <v>0.3125</v>
      </c>
      <c r="E4234" s="8">
        <v>0.34375</v>
      </c>
      <c r="M4234" t="s">
        <v>481</v>
      </c>
      <c r="N4234" t="str">
        <f>Tabela_tudo[[#This Row],[Médico]]&amp;" ("&amp;Tabela_tudo[[#This Row],[Obs]]&amp;")"</f>
        <v>CAD ()</v>
      </c>
    </row>
    <row r="4235" spans="1:14" x14ac:dyDescent="0.3">
      <c r="A4235" s="1">
        <v>45120</v>
      </c>
      <c r="B4235" t="s">
        <v>103</v>
      </c>
      <c r="C4235" t="s">
        <v>55</v>
      </c>
      <c r="D4235" s="8">
        <v>0.83333333333333337</v>
      </c>
      <c r="E4235" s="8">
        <v>0.91666666666666663</v>
      </c>
      <c r="F4235" t="s">
        <v>242</v>
      </c>
      <c r="M4235" t="s">
        <v>481</v>
      </c>
      <c r="N4235" t="str">
        <f>Tabela_tudo[[#This Row],[Médico]]&amp;" ("&amp;Tabela_tudo[[#This Row],[Obs]]&amp;")"</f>
        <v>CAD (SEMINÁRIO ONLINE R1 R2 R3)</v>
      </c>
    </row>
    <row r="4236" spans="1:14" x14ac:dyDescent="0.3">
      <c r="A4236" s="1">
        <v>45068</v>
      </c>
      <c r="B4236" t="s">
        <v>62</v>
      </c>
      <c r="C4236" t="s">
        <v>55</v>
      </c>
      <c r="D4236" s="8">
        <v>0.75</v>
      </c>
      <c r="E4236" s="8">
        <v>0.83333333333333337</v>
      </c>
      <c r="F4236" t="s">
        <v>58</v>
      </c>
      <c r="M4236" t="s">
        <v>477</v>
      </c>
      <c r="N4236" t="str">
        <f>Tabela_tudo[[#This Row],[Médico]]&amp;" ("&amp;Tabela_tudo[[#This Row],[Obs]]&amp;")"</f>
        <v>RKS (OFICNA TCC HED - R1 )</v>
      </c>
    </row>
    <row r="4237" spans="1:14" x14ac:dyDescent="0.3">
      <c r="A4237" s="1">
        <v>45131</v>
      </c>
      <c r="B4237" t="s">
        <v>61</v>
      </c>
      <c r="C4237" t="s">
        <v>55</v>
      </c>
      <c r="D4237" s="8">
        <v>0.34375</v>
      </c>
      <c r="E4237" s="8">
        <v>0.375</v>
      </c>
      <c r="F4237" t="s">
        <v>258</v>
      </c>
      <c r="M4237" t="s">
        <v>477</v>
      </c>
      <c r="N4237" t="str">
        <f>Tabela_tudo[[#This Row],[Médico]]&amp;" ("&amp;Tabela_tudo[[#This Row],[Obs]]&amp;")"</f>
        <v>AD (AVALIAÇÃO )</v>
      </c>
    </row>
    <row r="4238" spans="1:14" x14ac:dyDescent="0.3">
      <c r="A4238" s="1">
        <v>45133</v>
      </c>
      <c r="B4238" t="s">
        <v>79</v>
      </c>
      <c r="C4238" t="s">
        <v>55</v>
      </c>
      <c r="D4238" s="8">
        <v>0.34375</v>
      </c>
      <c r="E4238" s="8">
        <v>0.375</v>
      </c>
      <c r="M4238" t="s">
        <v>481</v>
      </c>
      <c r="N4238" t="str">
        <f>Tabela_tudo[[#This Row],[Médico]]&amp;" ("&amp;Tabela_tudo[[#This Row],[Obs]]&amp;")"</f>
        <v>MTB ()</v>
      </c>
    </row>
    <row r="4239" spans="1:14" x14ac:dyDescent="0.3">
      <c r="A4239" s="1">
        <v>45133</v>
      </c>
      <c r="B4239" t="s">
        <v>60</v>
      </c>
      <c r="C4239" t="s">
        <v>55</v>
      </c>
      <c r="D4239" s="8">
        <v>0.375</v>
      </c>
      <c r="E4239" s="8">
        <v>0.40625</v>
      </c>
      <c r="M4239" t="s">
        <v>477</v>
      </c>
      <c r="N4239" t="str">
        <f>Tabela_tudo[[#This Row],[Médico]]&amp;" ("&amp;Tabela_tudo[[#This Row],[Obs]]&amp;")"</f>
        <v>BMT ()</v>
      </c>
    </row>
    <row r="4240" spans="1:14" x14ac:dyDescent="0.3">
      <c r="A4240" s="1">
        <v>45155</v>
      </c>
      <c r="B4240" t="s">
        <v>60</v>
      </c>
      <c r="C4240" t="s">
        <v>55</v>
      </c>
      <c r="D4240" s="8">
        <v>0.83333333333333337</v>
      </c>
      <c r="E4240" s="8">
        <v>0.91666666666666663</v>
      </c>
      <c r="F4240" t="s">
        <v>331</v>
      </c>
      <c r="M4240" t="s">
        <v>477</v>
      </c>
      <c r="N4240" t="str">
        <f>Tabela_tudo[[#This Row],[Médico]]&amp;" ("&amp;Tabela_tudo[[#This Row],[Obs]]&amp;")"</f>
        <v>BMT (SEMINÁRIO R1,R2,R3, - ONLINE)</v>
      </c>
    </row>
    <row r="4241" spans="1:14" x14ac:dyDescent="0.3">
      <c r="A4241" s="1">
        <v>45204</v>
      </c>
      <c r="B4241" t="s">
        <v>83</v>
      </c>
      <c r="C4241" t="s">
        <v>55</v>
      </c>
      <c r="D4241" s="8">
        <v>0.83333333333333337</v>
      </c>
      <c r="E4241" s="8">
        <v>0.875</v>
      </c>
      <c r="F4241" t="s">
        <v>675</v>
      </c>
      <c r="M4241" t="s">
        <v>477</v>
      </c>
      <c r="N4241" t="str">
        <f>Tabela_tudo[[#This Row],[Médico]]&amp;" ("&amp;Tabela_tudo[[#This Row],[Obs]]&amp;")"</f>
        <v>MG (SEMINÁRIO - R1, R2, R3 - ONLINE)</v>
      </c>
    </row>
    <row r="4242" spans="1:14" x14ac:dyDescent="0.3">
      <c r="A4242" s="1">
        <v>45141</v>
      </c>
      <c r="B4242" t="s">
        <v>103</v>
      </c>
      <c r="C4242" t="s">
        <v>55</v>
      </c>
      <c r="D4242" s="8">
        <v>0.83333333333333337</v>
      </c>
      <c r="E4242" s="8">
        <v>0.91666666666666663</v>
      </c>
      <c r="F4242" t="s">
        <v>242</v>
      </c>
      <c r="M4242" t="s">
        <v>481</v>
      </c>
      <c r="N4242" t="str">
        <f>Tabela_tudo[[#This Row],[Médico]]&amp;" ("&amp;Tabela_tudo[[#This Row],[Obs]]&amp;")"</f>
        <v>CAD (SEMINÁRIO ONLINE R1 R2 R3)</v>
      </c>
    </row>
    <row r="4243" spans="1:14" x14ac:dyDescent="0.3">
      <c r="A4243" s="1">
        <v>45112</v>
      </c>
      <c r="B4243" t="s">
        <v>80</v>
      </c>
      <c r="C4243" t="s">
        <v>55</v>
      </c>
      <c r="D4243" s="8">
        <v>0.35416666666666669</v>
      </c>
      <c r="E4243" s="8">
        <v>0.375</v>
      </c>
      <c r="F4243" t="s">
        <v>226</v>
      </c>
      <c r="M4243" t="s">
        <v>477</v>
      </c>
      <c r="N4243" t="str">
        <f>Tabela_tudo[[#This Row],[Médico]]&amp;" ("&amp;Tabela_tudo[[#This Row],[Obs]]&amp;")"</f>
        <v>REC (AVALIAÇÃO RESIDENTES)</v>
      </c>
    </row>
    <row r="4244" spans="1:14" x14ac:dyDescent="0.3">
      <c r="A4244" s="1">
        <v>45169</v>
      </c>
      <c r="B4244" t="s">
        <v>57</v>
      </c>
      <c r="C4244" t="s">
        <v>55</v>
      </c>
      <c r="D4244" s="8">
        <v>0.83333333333333337</v>
      </c>
      <c r="E4244" s="8">
        <v>0.875</v>
      </c>
      <c r="F4244" t="s">
        <v>389</v>
      </c>
      <c r="M4244" t="s">
        <v>477</v>
      </c>
      <c r="N4244" t="str">
        <f>Tabela_tudo[[#This Row],[Médico]]&amp;" ("&amp;Tabela_tudo[[#This Row],[Obs]]&amp;")"</f>
        <v>BED (SEMINÁRIO ONLINE - R1, R2, R3)</v>
      </c>
    </row>
    <row r="4245" spans="1:14" x14ac:dyDescent="0.3">
      <c r="A4245" s="1">
        <v>45112</v>
      </c>
      <c r="B4245" t="s">
        <v>149</v>
      </c>
      <c r="C4245" t="s">
        <v>55</v>
      </c>
      <c r="D4245" s="8">
        <v>0.33333333333333331</v>
      </c>
      <c r="E4245" s="8">
        <v>0.35416666666666669</v>
      </c>
      <c r="F4245" t="s">
        <v>226</v>
      </c>
      <c r="M4245" t="s">
        <v>477</v>
      </c>
      <c r="N4245" t="str">
        <f>Tabela_tudo[[#This Row],[Médico]]&amp;" ("&amp;Tabela_tudo[[#This Row],[Obs]]&amp;")"</f>
        <v>NF (AVALIAÇÃO RESIDENTES)</v>
      </c>
    </row>
    <row r="4246" spans="1:14" x14ac:dyDescent="0.3">
      <c r="A4246" s="1">
        <v>45146</v>
      </c>
      <c r="B4246" t="s">
        <v>149</v>
      </c>
      <c r="C4246" t="s">
        <v>55</v>
      </c>
      <c r="D4246" s="8">
        <v>0.66666666666666663</v>
      </c>
      <c r="E4246" s="8">
        <v>0.6875</v>
      </c>
      <c r="F4246" t="s">
        <v>300</v>
      </c>
      <c r="M4246" t="s">
        <v>477</v>
      </c>
      <c r="N4246" t="str">
        <f>Tabela_tudo[[#This Row],[Médico]]&amp;" ("&amp;Tabela_tudo[[#This Row],[Obs]]&amp;")"</f>
        <v>NF (PROVA 2 SBA - TODOS ME1 )</v>
      </c>
    </row>
    <row r="4247" spans="1:14" x14ac:dyDescent="0.3">
      <c r="A4247" s="1">
        <v>45068</v>
      </c>
      <c r="B4247" t="s">
        <v>40</v>
      </c>
      <c r="C4247" t="s">
        <v>55</v>
      </c>
      <c r="D4247" s="8">
        <v>0.54166666666666663</v>
      </c>
      <c r="E4247" s="8">
        <v>0.625</v>
      </c>
      <c r="F4247" t="s">
        <v>56</v>
      </c>
      <c r="M4247" t="s">
        <v>481</v>
      </c>
      <c r="N4247" t="str">
        <f>Tabela_tudo[[#This Row],[Médico]]&amp;" ("&amp;Tabela_tudo[[#This Row],[Obs]]&amp;")"</f>
        <v>EMA (SERVIÇO ESCOLA PISICOLOGIA UNISINOS)</v>
      </c>
    </row>
    <row r="4248" spans="1:14" x14ac:dyDescent="0.3">
      <c r="A4248" s="1">
        <v>45077</v>
      </c>
      <c r="B4248" t="s">
        <v>98</v>
      </c>
      <c r="C4248" t="s">
        <v>55</v>
      </c>
      <c r="D4248" s="8">
        <v>0.79166666666666663</v>
      </c>
      <c r="E4248" s="8">
        <v>0.83333333333333337</v>
      </c>
      <c r="F4248" t="s">
        <v>100</v>
      </c>
      <c r="M4248" t="s">
        <v>479</v>
      </c>
      <c r="N4248" t="str">
        <f>Tabela_tudo[[#This Row],[Médico]]&amp;" ("&amp;Tabela_tudo[[#This Row],[Obs]]&amp;")"</f>
        <v>NIC (SEMINÁRIO R1 R2 R3)</v>
      </c>
    </row>
    <row r="4249" spans="1:14" x14ac:dyDescent="0.3">
      <c r="A4249" s="1">
        <v>45146</v>
      </c>
      <c r="B4249" t="s">
        <v>40</v>
      </c>
      <c r="C4249" t="s">
        <v>55</v>
      </c>
      <c r="D4249" s="8">
        <v>0.75</v>
      </c>
      <c r="E4249" s="8">
        <v>0.77083333333333337</v>
      </c>
      <c r="F4249" t="s">
        <v>302</v>
      </c>
      <c r="M4249" t="s">
        <v>481</v>
      </c>
      <c r="N4249" t="str">
        <f>Tabela_tudo[[#This Row],[Médico]]&amp;" ("&amp;Tabela_tudo[[#This Row],[Obs]]&amp;")"</f>
        <v>EMA (PROVA 2 SBA - TODOS ME3)</v>
      </c>
    </row>
    <row r="4250" spans="1:14" x14ac:dyDescent="0.3">
      <c r="A4250" s="1">
        <v>45146</v>
      </c>
      <c r="B4250" t="s">
        <v>42</v>
      </c>
      <c r="C4250" t="s">
        <v>55</v>
      </c>
      <c r="D4250" s="8">
        <v>0.70833333333333337</v>
      </c>
      <c r="E4250" s="8">
        <v>0.72916666666666663</v>
      </c>
      <c r="F4250" t="s">
        <v>301</v>
      </c>
      <c r="M4250" t="s">
        <v>479</v>
      </c>
      <c r="N4250" t="str">
        <f>Tabela_tudo[[#This Row],[Médico]]&amp;" ("&amp;Tabela_tudo[[#This Row],[Obs]]&amp;")"</f>
        <v>SAK (PROVA 2 SBA - TODOS ME2)</v>
      </c>
    </row>
    <row r="4251" spans="1:14" x14ac:dyDescent="0.3">
      <c r="A4251" s="1">
        <v>45068</v>
      </c>
      <c r="B4251" t="s">
        <v>42</v>
      </c>
      <c r="C4251" t="s">
        <v>55</v>
      </c>
      <c r="D4251" s="8">
        <v>0.5</v>
      </c>
      <c r="E4251" s="8">
        <v>0.625</v>
      </c>
      <c r="F4251" t="s">
        <v>56</v>
      </c>
      <c r="M4251" t="s">
        <v>479</v>
      </c>
      <c r="N4251" t="str">
        <f>Tabela_tudo[[#This Row],[Médico]]&amp;" ("&amp;Tabela_tudo[[#This Row],[Obs]]&amp;")"</f>
        <v>SAK (SERVIÇO ESCOLA PISICOLOGIA UNISINOS)</v>
      </c>
    </row>
    <row r="4252" spans="1:14" x14ac:dyDescent="0.3">
      <c r="A4252" s="1">
        <v>45134</v>
      </c>
      <c r="B4252" t="s">
        <v>62</v>
      </c>
      <c r="C4252" t="s">
        <v>55</v>
      </c>
      <c r="D4252" s="8">
        <v>0.83333333333333337</v>
      </c>
      <c r="E4252" s="8">
        <v>0.91666666666666663</v>
      </c>
      <c r="F4252" t="s">
        <v>100</v>
      </c>
      <c r="M4252" t="s">
        <v>477</v>
      </c>
      <c r="N4252" t="str">
        <f>Tabela_tudo[[#This Row],[Médico]]&amp;" ("&amp;Tabela_tudo[[#This Row],[Obs]]&amp;")"</f>
        <v>RKS (SEMINÁRIO R1 R2 R3)</v>
      </c>
    </row>
    <row r="4253" spans="1:14" x14ac:dyDescent="0.3">
      <c r="A4253" s="1">
        <v>45068</v>
      </c>
      <c r="B4253" t="s">
        <v>59</v>
      </c>
      <c r="C4253" t="s">
        <v>55</v>
      </c>
      <c r="D4253" s="8">
        <v>0.75</v>
      </c>
      <c r="E4253" s="8">
        <v>0.83333333333333337</v>
      </c>
      <c r="F4253" t="s">
        <v>58</v>
      </c>
      <c r="M4253" t="s">
        <v>477</v>
      </c>
      <c r="N4253" t="str">
        <f>Tabela_tudo[[#This Row],[Médico]]&amp;" ("&amp;Tabela_tudo[[#This Row],[Obs]]&amp;")"</f>
        <v>WEN (OFICNA TCC HED - R1 )</v>
      </c>
    </row>
    <row r="4254" spans="1:14" x14ac:dyDescent="0.3">
      <c r="A4254" s="1">
        <v>45071</v>
      </c>
      <c r="B4254" t="s">
        <v>42</v>
      </c>
      <c r="C4254" t="s">
        <v>55</v>
      </c>
      <c r="D4254" s="8">
        <v>0.83333333333333337</v>
      </c>
      <c r="E4254" s="8">
        <v>0.875</v>
      </c>
      <c r="F4254" t="s">
        <v>107</v>
      </c>
      <c r="M4254" t="s">
        <v>479</v>
      </c>
      <c r="N4254" t="str">
        <f>Tabela_tudo[[#This Row],[Médico]]&amp;" ("&amp;Tabela_tudo[[#This Row],[Obs]]&amp;")"</f>
        <v>SAK (SEMINÁRIO ONLINE - R1 R2 R3 )</v>
      </c>
    </row>
    <row r="4255" spans="1:14" x14ac:dyDescent="0.3">
      <c r="A4255" s="1">
        <v>45133</v>
      </c>
      <c r="B4255" t="s">
        <v>109</v>
      </c>
      <c r="C4255" t="s">
        <v>55</v>
      </c>
      <c r="D4255" s="8">
        <v>0.83333333333333337</v>
      </c>
      <c r="E4255" s="8">
        <v>0.91666666666666663</v>
      </c>
      <c r="M4255" t="s">
        <v>479</v>
      </c>
      <c r="N4255" t="str">
        <f>Tabela_tudo[[#This Row],[Médico]]&amp;" ("&amp;Tabela_tudo[[#This Row],[Obs]]&amp;")"</f>
        <v>CA ()</v>
      </c>
    </row>
    <row r="4256" spans="1:14" x14ac:dyDescent="0.3">
      <c r="A4256" s="1">
        <v>45131</v>
      </c>
      <c r="B4256" t="s">
        <v>9</v>
      </c>
      <c r="C4256" t="s">
        <v>55</v>
      </c>
      <c r="D4256" s="8">
        <v>0.3125</v>
      </c>
      <c r="E4256" s="8">
        <v>0.33333333333333331</v>
      </c>
      <c r="F4256" t="s">
        <v>258</v>
      </c>
      <c r="M4256" t="s">
        <v>481</v>
      </c>
      <c r="N4256" t="str">
        <f>Tabela_tudo[[#This Row],[Médico]]&amp;" ("&amp;Tabela_tudo[[#This Row],[Obs]]&amp;")"</f>
        <v>KRE (AVALIAÇÃO )</v>
      </c>
    </row>
    <row r="4257" spans="1:14" x14ac:dyDescent="0.3">
      <c r="A4257" s="1">
        <v>45068</v>
      </c>
      <c r="B4257" t="s">
        <v>60</v>
      </c>
      <c r="C4257" t="s">
        <v>55</v>
      </c>
      <c r="D4257" s="8">
        <v>0.75</v>
      </c>
      <c r="E4257" s="8">
        <v>0.83333333333333337</v>
      </c>
      <c r="F4257" t="s">
        <v>58</v>
      </c>
      <c r="M4257" t="s">
        <v>477</v>
      </c>
      <c r="N4257" t="str">
        <f>Tabela_tudo[[#This Row],[Médico]]&amp;" ("&amp;Tabela_tudo[[#This Row],[Obs]]&amp;")"</f>
        <v>BMT (OFICNA TCC HED - R1 )</v>
      </c>
    </row>
    <row r="4258" spans="1:14" x14ac:dyDescent="0.3">
      <c r="A4258" s="1">
        <v>45068</v>
      </c>
      <c r="B4258" t="s">
        <v>57</v>
      </c>
      <c r="C4258" t="s">
        <v>55</v>
      </c>
      <c r="D4258" s="8">
        <v>0.75</v>
      </c>
      <c r="E4258" s="8">
        <v>0.83333333333333337</v>
      </c>
      <c r="F4258" t="s">
        <v>58</v>
      </c>
      <c r="M4258" t="s">
        <v>477</v>
      </c>
      <c r="N4258" t="str">
        <f>Tabela_tudo[[#This Row],[Médico]]&amp;" ("&amp;Tabela_tudo[[#This Row],[Obs]]&amp;")"</f>
        <v>BED (OFICNA TCC HED - R1 )</v>
      </c>
    </row>
    <row r="4259" spans="1:14" x14ac:dyDescent="0.3">
      <c r="A4259" s="1">
        <v>45112</v>
      </c>
      <c r="B4259" t="s">
        <v>83</v>
      </c>
      <c r="C4259" t="s">
        <v>55</v>
      </c>
      <c r="D4259" s="8">
        <v>0.375</v>
      </c>
      <c r="E4259" s="8">
        <v>0.39583333333333331</v>
      </c>
      <c r="F4259" t="s">
        <v>226</v>
      </c>
      <c r="M4259" t="s">
        <v>477</v>
      </c>
      <c r="N4259" t="str">
        <f>Tabela_tudo[[#This Row],[Médico]]&amp;" ("&amp;Tabela_tudo[[#This Row],[Obs]]&amp;")"</f>
        <v>MG (AVALIAÇÃO RESIDENTES)</v>
      </c>
    </row>
    <row r="4260" spans="1:14" x14ac:dyDescent="0.3">
      <c r="A4260" s="1">
        <v>45113</v>
      </c>
      <c r="B4260" t="s">
        <v>69</v>
      </c>
      <c r="C4260" t="s">
        <v>55</v>
      </c>
      <c r="D4260" s="8">
        <v>0.83333333333333337</v>
      </c>
      <c r="E4260" s="8">
        <v>0.91666666666666663</v>
      </c>
      <c r="F4260" t="s">
        <v>198</v>
      </c>
      <c r="M4260" t="s">
        <v>479</v>
      </c>
      <c r="N4260" t="str">
        <f>Tabela_tudo[[#This Row],[Médico]]&amp;" ("&amp;Tabela_tudo[[#This Row],[Obs]]&amp;")"</f>
        <v>PRE (SEMINARIO R1 R2 R3)</v>
      </c>
    </row>
    <row r="4261" spans="1:14" x14ac:dyDescent="0.3">
      <c r="A4261" s="1">
        <v>45140</v>
      </c>
      <c r="B4261" t="s">
        <v>73</v>
      </c>
      <c r="C4261" t="s">
        <v>53</v>
      </c>
      <c r="D4261" s="8">
        <v>0.45833333333333331</v>
      </c>
      <c r="E4261" s="8">
        <v>0.5</v>
      </c>
      <c r="F4261" t="s">
        <v>278</v>
      </c>
      <c r="H4261" t="s">
        <v>565</v>
      </c>
      <c r="M4261" t="s">
        <v>478</v>
      </c>
      <c r="N4261" t="str">
        <f>Tabela_tudo[[#This Row],[Médico]]&amp;" ("&amp;Tabela_tudo[[#This Row],[Obs]]&amp;")"</f>
        <v>RT (REUNIÃO COORDENADORES HED)</v>
      </c>
    </row>
    <row r="4262" spans="1:14" x14ac:dyDescent="0.3">
      <c r="A4262" s="1">
        <v>45196</v>
      </c>
      <c r="B4262" t="s">
        <v>23</v>
      </c>
      <c r="C4262" t="s">
        <v>53</v>
      </c>
      <c r="D4262" s="8">
        <v>0.70833333333333337</v>
      </c>
      <c r="E4262" s="8">
        <v>0.98958333333333337</v>
      </c>
      <c r="F4262" t="s">
        <v>623</v>
      </c>
      <c r="J4262" t="s">
        <v>565</v>
      </c>
      <c r="K4262" t="s">
        <v>565</v>
      </c>
      <c r="M4262" t="s">
        <v>478</v>
      </c>
      <c r="N4262" t="str">
        <f>Tabela_tudo[[#This Row],[Médico]]&amp;" ("&amp;Tabela_tudo[[#This Row],[Obs]]&amp;")"</f>
        <v>BG (REUNIÃO HED/UNISINOS)</v>
      </c>
    </row>
    <row r="4263" spans="1:14" x14ac:dyDescent="0.3">
      <c r="A4263" s="1">
        <v>45188</v>
      </c>
      <c r="B4263" t="s">
        <v>23</v>
      </c>
      <c r="C4263" t="s">
        <v>53</v>
      </c>
      <c r="D4263" s="8">
        <v>0.375</v>
      </c>
      <c r="E4263" s="8">
        <v>0.41666666666666669</v>
      </c>
      <c r="F4263" t="s">
        <v>624</v>
      </c>
      <c r="G4263" t="s">
        <v>565</v>
      </c>
      <c r="M4263" t="s">
        <v>478</v>
      </c>
      <c r="N4263" t="str">
        <f>Tabela_tudo[[#This Row],[Médico]]&amp;" ("&amp;Tabela_tudo[[#This Row],[Obs]]&amp;")"</f>
        <v>BG (REUNIÃO EST ON)</v>
      </c>
    </row>
    <row r="4264" spans="1:14" x14ac:dyDescent="0.3">
      <c r="A4264" s="1">
        <v>45093</v>
      </c>
      <c r="B4264" t="s">
        <v>84</v>
      </c>
      <c r="C4264" t="s">
        <v>53</v>
      </c>
      <c r="D4264" s="8">
        <v>0.70833333333333337</v>
      </c>
      <c r="E4264" s="8">
        <v>0.75</v>
      </c>
      <c r="F4264" t="s">
        <v>157</v>
      </c>
      <c r="J4264" t="s">
        <v>565</v>
      </c>
      <c r="M4264" t="s">
        <v>478</v>
      </c>
      <c r="N4264" t="str">
        <f>Tabela_tudo[[#This Row],[Médico]]&amp;" ("&amp;Tabela_tudo[[#This Row],[Obs]]&amp;")"</f>
        <v>ANO (EST - REUNIÃO ONLINE )</v>
      </c>
    </row>
    <row r="4265" spans="1:14" x14ac:dyDescent="0.3">
      <c r="A4265" s="1">
        <v>45188</v>
      </c>
      <c r="B4265" t="s">
        <v>73</v>
      </c>
      <c r="C4265" t="s">
        <v>53</v>
      </c>
      <c r="D4265" s="8">
        <v>0.375</v>
      </c>
      <c r="E4265" s="8">
        <v>0.41666666666666669</v>
      </c>
      <c r="F4265" t="s">
        <v>624</v>
      </c>
      <c r="G4265" t="s">
        <v>565</v>
      </c>
      <c r="M4265" t="s">
        <v>478</v>
      </c>
      <c r="N4265" t="str">
        <f>Tabela_tudo[[#This Row],[Médico]]&amp;" ("&amp;Tabela_tudo[[#This Row],[Obs]]&amp;")"</f>
        <v>RT (REUNIÃO EST ON)</v>
      </c>
    </row>
    <row r="4266" spans="1:14" x14ac:dyDescent="0.3">
      <c r="A4266" s="1">
        <v>45203</v>
      </c>
      <c r="B4266" t="s">
        <v>63</v>
      </c>
      <c r="C4266" t="s">
        <v>53</v>
      </c>
      <c r="D4266" s="8">
        <v>0.58333333333333337</v>
      </c>
      <c r="E4266" s="8">
        <v>0.66666666666666663</v>
      </c>
      <c r="F4266" t="s">
        <v>279</v>
      </c>
      <c r="I4266" t="s">
        <v>565</v>
      </c>
      <c r="M4266" t="s">
        <v>478</v>
      </c>
      <c r="N4266" t="str">
        <f>Tabela_tudo[[#This Row],[Médico]]&amp;" ("&amp;Tabela_tudo[[#This Row],[Obs]]&amp;")"</f>
        <v>FQ (REUNIÃO CEP HED)</v>
      </c>
    </row>
    <row r="4267" spans="1:14" x14ac:dyDescent="0.3">
      <c r="A4267" s="1">
        <v>45175</v>
      </c>
      <c r="B4267" t="s">
        <v>50</v>
      </c>
      <c r="C4267" t="s">
        <v>53</v>
      </c>
      <c r="D4267" s="8">
        <v>0.39583333333333331</v>
      </c>
      <c r="E4267" s="8">
        <v>0.4375</v>
      </c>
      <c r="F4267" t="s">
        <v>440</v>
      </c>
      <c r="G4267" t="s">
        <v>565</v>
      </c>
      <c r="H4267" t="s">
        <v>565</v>
      </c>
      <c r="M4267" t="s">
        <v>478</v>
      </c>
      <c r="N4267" t="str">
        <f>Tabela_tudo[[#This Row],[Médico]]&amp;" ("&amp;Tabela_tudo[[#This Row],[Obs]]&amp;")"</f>
        <v>PJP (REUNIÃO ICFUC)</v>
      </c>
    </row>
    <row r="4268" spans="1:14" x14ac:dyDescent="0.3">
      <c r="A4268" s="1">
        <v>45140</v>
      </c>
      <c r="B4268" t="s">
        <v>25</v>
      </c>
      <c r="C4268" t="s">
        <v>53</v>
      </c>
      <c r="D4268" s="8">
        <v>0.83333333333333337</v>
      </c>
      <c r="E4268" s="8">
        <v>0.875</v>
      </c>
      <c r="F4268" t="s">
        <v>280</v>
      </c>
      <c r="K4268" t="s">
        <v>565</v>
      </c>
      <c r="M4268" t="s">
        <v>478</v>
      </c>
      <c r="N4268" t="str">
        <f>Tabela_tudo[[#This Row],[Médico]]&amp;" ("&amp;Tabela_tudo[[#This Row],[Obs]]&amp;")"</f>
        <v>HEN (REUNIÃO ADM COM TODOS OS MÉDICOS)</v>
      </c>
    </row>
    <row r="4269" spans="1:14" x14ac:dyDescent="0.3">
      <c r="A4269" s="1">
        <v>45100</v>
      </c>
      <c r="B4269" t="s">
        <v>17</v>
      </c>
      <c r="C4269" t="s">
        <v>53</v>
      </c>
      <c r="D4269" s="8">
        <v>0.70833333333333337</v>
      </c>
      <c r="E4269" s="8">
        <v>0.75</v>
      </c>
      <c r="F4269" t="s">
        <v>180</v>
      </c>
      <c r="J4269" t="s">
        <v>565</v>
      </c>
      <c r="M4269" t="s">
        <v>478</v>
      </c>
      <c r="N4269" t="str">
        <f>Tabela_tudo[[#This Row],[Médico]]&amp;" ("&amp;Tabela_tudo[[#This Row],[Obs]]&amp;")"</f>
        <v>FAB (WORKSHOP - STC )</v>
      </c>
    </row>
    <row r="4270" spans="1:14" x14ac:dyDescent="0.3">
      <c r="A4270" s="1">
        <v>45068</v>
      </c>
      <c r="B4270" t="s">
        <v>12</v>
      </c>
      <c r="C4270" t="s">
        <v>53</v>
      </c>
      <c r="D4270" s="8">
        <v>0.54166666666666663</v>
      </c>
      <c r="E4270" s="8">
        <v>0.625</v>
      </c>
      <c r="F4270" t="s">
        <v>54</v>
      </c>
      <c r="I4270" t="s">
        <v>565</v>
      </c>
      <c r="M4270" t="s">
        <v>478</v>
      </c>
      <c r="N4270" t="str">
        <f>Tabela_tudo[[#This Row],[Médico]]&amp;" ("&amp;Tabela_tudo[[#This Row],[Obs]]&amp;")"</f>
        <v>EDU (REUNIÃO ICFUC )</v>
      </c>
    </row>
    <row r="4271" spans="1:14" x14ac:dyDescent="0.3">
      <c r="A4271" s="1">
        <v>45140</v>
      </c>
      <c r="B4271" t="s">
        <v>63</v>
      </c>
      <c r="C4271" t="s">
        <v>53</v>
      </c>
      <c r="D4271" s="8">
        <v>0.58333333333333337</v>
      </c>
      <c r="E4271" s="8">
        <v>0.66666666666666663</v>
      </c>
      <c r="F4271" t="s">
        <v>279</v>
      </c>
      <c r="I4271" t="s">
        <v>565</v>
      </c>
      <c r="M4271" t="s">
        <v>478</v>
      </c>
      <c r="N4271" t="str">
        <f>Tabela_tudo[[#This Row],[Médico]]&amp;" ("&amp;Tabela_tudo[[#This Row],[Obs]]&amp;")"</f>
        <v>FQ (REUNIÃO CEP HED)</v>
      </c>
    </row>
    <row r="4272" spans="1:14" x14ac:dyDescent="0.3">
      <c r="A4272" s="1">
        <v>45118</v>
      </c>
      <c r="B4272" t="s">
        <v>23</v>
      </c>
      <c r="C4272" t="s">
        <v>53</v>
      </c>
      <c r="D4272" s="8">
        <v>0.70833333333333337</v>
      </c>
      <c r="E4272" s="8">
        <v>0.75</v>
      </c>
      <c r="F4272" t="s">
        <v>212</v>
      </c>
      <c r="J4272" t="s">
        <v>565</v>
      </c>
      <c r="M4272" t="s">
        <v>478</v>
      </c>
      <c r="N4272" t="str">
        <f>Tabela_tudo[[#This Row],[Médico]]&amp;" ("&amp;Tabela_tudo[[#This Row],[Obs]]&amp;")"</f>
        <v>BG (CASSIANA + UNIMED NO SANE )</v>
      </c>
    </row>
    <row r="4273" spans="1:14" x14ac:dyDescent="0.3">
      <c r="A4273" s="1">
        <v>45093</v>
      </c>
      <c r="B4273" t="s">
        <v>23</v>
      </c>
      <c r="C4273" t="s">
        <v>53</v>
      </c>
      <c r="D4273" s="8">
        <v>0.70833333333333337</v>
      </c>
      <c r="E4273" s="8">
        <v>0.75</v>
      </c>
      <c r="F4273" t="s">
        <v>157</v>
      </c>
      <c r="J4273" t="s">
        <v>565</v>
      </c>
      <c r="M4273" t="s">
        <v>478</v>
      </c>
      <c r="N4273" t="str">
        <f>Tabela_tudo[[#This Row],[Médico]]&amp;" ("&amp;Tabela_tudo[[#This Row],[Obs]]&amp;")"</f>
        <v>BG (EST - REUNIÃO ONLINE )</v>
      </c>
    </row>
    <row r="4274" spans="1:14" x14ac:dyDescent="0.3">
      <c r="A4274" s="1">
        <v>45195</v>
      </c>
      <c r="B4274" t="s">
        <v>63</v>
      </c>
      <c r="C4274" t="s">
        <v>53</v>
      </c>
      <c r="D4274" s="8">
        <v>0.79166666666666663</v>
      </c>
      <c r="E4274" s="8">
        <v>0.83333333333333337</v>
      </c>
      <c r="F4274" t="s">
        <v>622</v>
      </c>
      <c r="K4274" t="s">
        <v>565</v>
      </c>
      <c r="M4274" t="s">
        <v>478</v>
      </c>
      <c r="N4274" t="str">
        <f>Tabela_tudo[[#This Row],[Médico]]&amp;" ("&amp;Tabela_tudo[[#This Row],[Obs]]&amp;")"</f>
        <v>FQ (FQ + VF - REUNIÃO TCC COM ISABELLA)</v>
      </c>
    </row>
    <row r="4275" spans="1:14" x14ac:dyDescent="0.3">
      <c r="A4275" s="1">
        <v>45174</v>
      </c>
      <c r="B4275" t="s">
        <v>64</v>
      </c>
      <c r="C4275" t="s">
        <v>53</v>
      </c>
      <c r="D4275" s="8">
        <v>0.5625</v>
      </c>
      <c r="E4275" s="8">
        <v>0.60416666666666663</v>
      </c>
      <c r="F4275" t="s">
        <v>438</v>
      </c>
      <c r="I4275" t="s">
        <v>565</v>
      </c>
      <c r="M4275" t="s">
        <v>478</v>
      </c>
      <c r="N4275" t="str">
        <f>Tabela_tudo[[#This Row],[Médico]]&amp;" ("&amp;Tabela_tudo[[#This Row],[Obs]]&amp;")"</f>
        <v>SAR (REUNIÃO ANESTECH - ONLINE)</v>
      </c>
    </row>
    <row r="4276" spans="1:14" x14ac:dyDescent="0.3">
      <c r="A4276" s="1">
        <v>45169</v>
      </c>
      <c r="B4276" t="s">
        <v>63</v>
      </c>
      <c r="C4276" t="s">
        <v>53</v>
      </c>
      <c r="D4276" s="8">
        <v>0.79166666666666663</v>
      </c>
      <c r="E4276" s="8">
        <v>0.83333333333333337</v>
      </c>
      <c r="F4276" t="s">
        <v>390</v>
      </c>
      <c r="K4276" t="s">
        <v>565</v>
      </c>
      <c r="M4276" t="s">
        <v>478</v>
      </c>
      <c r="N4276" t="str">
        <f>Tabela_tudo[[#This Row],[Médico]]&amp;" ("&amp;Tabela_tudo[[#This Row],[Obs]]&amp;")"</f>
        <v>FQ (REUNIÃO C/ ISABELLA (ACADEMIKAMENTE))</v>
      </c>
    </row>
    <row r="4277" spans="1:14" x14ac:dyDescent="0.3">
      <c r="A4277" s="1">
        <v>45097</v>
      </c>
      <c r="B4277" t="s">
        <v>66</v>
      </c>
      <c r="C4277" t="s">
        <v>53</v>
      </c>
      <c r="D4277" s="8">
        <v>0.70833333333333337</v>
      </c>
      <c r="E4277" s="8">
        <v>0.75</v>
      </c>
      <c r="F4277" t="s">
        <v>141</v>
      </c>
      <c r="J4277" t="s">
        <v>565</v>
      </c>
      <c r="M4277" t="s">
        <v>478</v>
      </c>
      <c r="N4277" t="str">
        <f>Tabela_tudo[[#This Row],[Médico]]&amp;" ("&amp;Tabela_tudo[[#This Row],[Obs]]&amp;")"</f>
        <v>MOZ (REUNIÃO MARKETING )</v>
      </c>
    </row>
    <row r="4278" spans="1:14" x14ac:dyDescent="0.3">
      <c r="A4278" s="1">
        <v>45167</v>
      </c>
      <c r="B4278" t="s">
        <v>23</v>
      </c>
      <c r="C4278" t="s">
        <v>53</v>
      </c>
      <c r="D4278" s="8">
        <v>0.58333333333333337</v>
      </c>
      <c r="E4278" s="8">
        <v>0.625</v>
      </c>
      <c r="F4278" t="s">
        <v>376</v>
      </c>
      <c r="I4278" t="s">
        <v>565</v>
      </c>
      <c r="M4278" t="s">
        <v>478</v>
      </c>
      <c r="N4278" t="str">
        <f>Tabela_tudo[[#This Row],[Médico]]&amp;" ("&amp;Tabela_tudo[[#This Row],[Obs]]&amp;")"</f>
        <v>BG (REUNIÃO CONTADOR GATTI )</v>
      </c>
    </row>
    <row r="4279" spans="1:14" x14ac:dyDescent="0.3">
      <c r="A4279" s="1">
        <v>45197</v>
      </c>
      <c r="B4279" t="s">
        <v>84</v>
      </c>
      <c r="C4279" t="s">
        <v>53</v>
      </c>
      <c r="D4279" s="8">
        <v>0.72916666666666663</v>
      </c>
      <c r="E4279" s="8">
        <v>0.77083333333333337</v>
      </c>
      <c r="J4279" t="s">
        <v>565</v>
      </c>
      <c r="M4279" t="s">
        <v>478</v>
      </c>
      <c r="N4279" t="str">
        <f>Tabela_tudo[[#This Row],[Médico]]&amp;" ("&amp;Tabela_tudo[[#This Row],[Obs]]&amp;")"</f>
        <v>ANO ()</v>
      </c>
    </row>
    <row r="4280" spans="1:14" x14ac:dyDescent="0.3">
      <c r="A4280" s="1">
        <v>45141</v>
      </c>
      <c r="B4280" t="s">
        <v>66</v>
      </c>
      <c r="C4280" t="s">
        <v>53</v>
      </c>
      <c r="D4280" s="8">
        <v>0.66666666666666663</v>
      </c>
      <c r="E4280" s="8">
        <v>0.70833333333333337</v>
      </c>
      <c r="F4280" t="s">
        <v>286</v>
      </c>
      <c r="J4280" t="s">
        <v>565</v>
      </c>
      <c r="M4280" t="s">
        <v>478</v>
      </c>
      <c r="N4280" t="str">
        <f>Tabela_tudo[[#This Row],[Médico]]&amp;" ("&amp;Tabela_tudo[[#This Row],[Obs]]&amp;")"</f>
        <v>MOZ (REUNIÃO COM ESTATISTICA )</v>
      </c>
    </row>
    <row r="4281" spans="1:14" x14ac:dyDescent="0.3">
      <c r="A4281" s="1">
        <v>45201</v>
      </c>
      <c r="B4281" t="s">
        <v>14</v>
      </c>
      <c r="C4281" t="s">
        <v>53</v>
      </c>
      <c r="D4281" s="8">
        <v>0.79166666666666663</v>
      </c>
      <c r="E4281" s="8">
        <v>0.83333333333333337</v>
      </c>
      <c r="F4281" t="s">
        <v>645</v>
      </c>
      <c r="K4281" t="s">
        <v>565</v>
      </c>
      <c r="M4281" t="s">
        <v>478</v>
      </c>
      <c r="N4281" t="str">
        <f>Tabela_tudo[[#This Row],[Médico]]&amp;" ("&amp;Tabela_tudo[[#This Row],[Obs]]&amp;")"</f>
        <v>PW (REUNIÃO NO PPG COM ORIENTADOR)</v>
      </c>
    </row>
    <row r="4282" spans="1:14" x14ac:dyDescent="0.3">
      <c r="A4282" s="1">
        <v>45167</v>
      </c>
      <c r="B4282" t="s">
        <v>12</v>
      </c>
      <c r="C4282" t="s">
        <v>53</v>
      </c>
      <c r="D4282" s="8">
        <v>0.58333333333333337</v>
      </c>
      <c r="E4282" s="8">
        <v>0.625</v>
      </c>
      <c r="F4282" t="s">
        <v>376</v>
      </c>
      <c r="I4282" t="s">
        <v>565</v>
      </c>
      <c r="M4282" t="s">
        <v>478</v>
      </c>
      <c r="N4282" t="str">
        <f>Tabela_tudo[[#This Row],[Médico]]&amp;" ("&amp;Tabela_tudo[[#This Row],[Obs]]&amp;")"</f>
        <v>EDU (REUNIÃO CONTADOR GATTI )</v>
      </c>
    </row>
    <row r="4283" spans="1:14" x14ac:dyDescent="0.3">
      <c r="A4283" s="1">
        <v>45097</v>
      </c>
      <c r="B4283" t="s">
        <v>29</v>
      </c>
      <c r="C4283" t="s">
        <v>53</v>
      </c>
      <c r="D4283" s="8">
        <v>0.66666666666666663</v>
      </c>
      <c r="E4283" s="8">
        <v>0.70833333333333337</v>
      </c>
      <c r="F4283" t="s">
        <v>168</v>
      </c>
      <c r="J4283" t="s">
        <v>565</v>
      </c>
      <c r="M4283" t="s">
        <v>478</v>
      </c>
      <c r="N4283" t="str">
        <f>Tabela_tudo[[#This Row],[Médico]]&amp;" ("&amp;Tabela_tudo[[#This Row],[Obs]]&amp;")"</f>
        <v>JOA (AGENDA ONLINE)</v>
      </c>
    </row>
    <row r="4284" spans="1:14" x14ac:dyDescent="0.3">
      <c r="A4284" s="1">
        <v>45097</v>
      </c>
      <c r="B4284" t="s">
        <v>142</v>
      </c>
      <c r="C4284" t="s">
        <v>53</v>
      </c>
      <c r="D4284" s="8">
        <v>0.70833333333333337</v>
      </c>
      <c r="E4284" s="8">
        <v>0.75</v>
      </c>
      <c r="F4284" t="s">
        <v>141</v>
      </c>
      <c r="J4284" t="s">
        <v>565</v>
      </c>
      <c r="M4284" t="s">
        <v>478</v>
      </c>
      <c r="N4284" t="str">
        <f>Tabela_tudo[[#This Row],[Médico]]&amp;" ("&amp;Tabela_tudo[[#This Row],[Obs]]&amp;")"</f>
        <v>VIV (REUNIÃO MARKETING )</v>
      </c>
    </row>
    <row r="4285" spans="1:14" x14ac:dyDescent="0.3">
      <c r="A4285" s="1">
        <v>45097</v>
      </c>
      <c r="B4285" t="s">
        <v>50</v>
      </c>
      <c r="C4285" t="s">
        <v>53</v>
      </c>
      <c r="D4285" s="8">
        <v>0.70833333333333337</v>
      </c>
      <c r="E4285" s="8">
        <v>0.75</v>
      </c>
      <c r="F4285" t="s">
        <v>141</v>
      </c>
      <c r="J4285" t="s">
        <v>565</v>
      </c>
      <c r="M4285" t="s">
        <v>478</v>
      </c>
      <c r="N4285" t="str">
        <f>Tabela_tudo[[#This Row],[Médico]]&amp;" ("&amp;Tabela_tudo[[#This Row],[Obs]]&amp;")"</f>
        <v>PJP (REUNIÃO MARKETING )</v>
      </c>
    </row>
    <row r="4286" spans="1:14" x14ac:dyDescent="0.3">
      <c r="A4286" s="1">
        <v>45068</v>
      </c>
      <c r="B4286" t="s">
        <v>47</v>
      </c>
      <c r="C4286" t="s">
        <v>53</v>
      </c>
      <c r="D4286" s="8">
        <v>0.54166666666666663</v>
      </c>
      <c r="E4286" s="8">
        <v>0.625</v>
      </c>
      <c r="F4286" t="s">
        <v>54</v>
      </c>
      <c r="I4286" t="s">
        <v>565</v>
      </c>
      <c r="M4286" t="s">
        <v>478</v>
      </c>
      <c r="N4286" t="str">
        <f>Tabela_tudo[[#This Row],[Médico]]&amp;" ("&amp;Tabela_tudo[[#This Row],[Obs]]&amp;")"</f>
        <v>VIN (REUNIÃO ICFUC )</v>
      </c>
    </row>
    <row r="4287" spans="1:14" x14ac:dyDescent="0.3">
      <c r="A4287" s="1">
        <v>45180</v>
      </c>
      <c r="B4287" t="s">
        <v>23</v>
      </c>
      <c r="C4287" t="s">
        <v>53</v>
      </c>
      <c r="D4287" s="8">
        <v>0.45833333333333331</v>
      </c>
      <c r="E4287" s="8">
        <v>0.5</v>
      </c>
      <c r="H4287" t="s">
        <v>565</v>
      </c>
      <c r="M4287" t="s">
        <v>478</v>
      </c>
      <c r="N4287" t="str">
        <f>Tabela_tudo[[#This Row],[Médico]]&amp;" ("&amp;Tabela_tudo[[#This Row],[Obs]]&amp;")"</f>
        <v>BG ()</v>
      </c>
    </row>
    <row r="4288" spans="1:14" x14ac:dyDescent="0.3">
      <c r="A4288" s="1">
        <v>45174</v>
      </c>
      <c r="B4288" t="s">
        <v>23</v>
      </c>
      <c r="C4288" t="s">
        <v>53</v>
      </c>
      <c r="D4288" s="8">
        <v>0.33333333333333331</v>
      </c>
      <c r="E4288" s="8">
        <v>0.375</v>
      </c>
      <c r="F4288" t="s">
        <v>431</v>
      </c>
      <c r="G4288" t="s">
        <v>565</v>
      </c>
      <c r="M4288" t="s">
        <v>478</v>
      </c>
      <c r="N4288" t="str">
        <f>Tabela_tudo[[#This Row],[Médico]]&amp;" ("&amp;Tabela_tudo[[#This Row],[Obs]]&amp;")"</f>
        <v>BG (REUNIÃO C/JOÃO SANE  PRESENCIAL)</v>
      </c>
    </row>
    <row r="4289" spans="1:14" x14ac:dyDescent="0.3">
      <c r="A4289" s="1">
        <v>45098</v>
      </c>
      <c r="B4289" t="s">
        <v>14</v>
      </c>
      <c r="C4289" t="s">
        <v>53</v>
      </c>
      <c r="D4289" s="8">
        <v>0.75</v>
      </c>
      <c r="E4289" s="8">
        <v>0.83333333333333337</v>
      </c>
      <c r="F4289" t="s">
        <v>172</v>
      </c>
      <c r="J4289" t="s">
        <v>565</v>
      </c>
      <c r="K4289" t="s">
        <v>565</v>
      </c>
      <c r="M4289" t="s">
        <v>478</v>
      </c>
      <c r="N4289" t="str">
        <f>Tabela_tudo[[#This Row],[Médico]]&amp;" ("&amp;Tabela_tudo[[#This Row],[Obs]]&amp;")"</f>
        <v>PW (BMT WEN MARIANA ESTUDO COSMIC)</v>
      </c>
    </row>
    <row r="4290" spans="1:14" x14ac:dyDescent="0.3">
      <c r="A4290" s="1">
        <v>45174</v>
      </c>
      <c r="B4290" t="s">
        <v>23</v>
      </c>
      <c r="C4290" t="s">
        <v>53</v>
      </c>
      <c r="D4290" s="8">
        <v>0.41666666666666669</v>
      </c>
      <c r="E4290" s="8">
        <v>0.45833333333333331</v>
      </c>
      <c r="F4290" t="s">
        <v>432</v>
      </c>
      <c r="H4290" t="s">
        <v>565</v>
      </c>
      <c r="M4290" t="s">
        <v>478</v>
      </c>
      <c r="N4290" t="str">
        <f>Tabela_tudo[[#This Row],[Médico]]&amp;" ("&amp;Tabela_tudo[[#This Row],[Obs]]&amp;")"</f>
        <v>BG (REUNIÃO EST SANE - ONLINE)</v>
      </c>
    </row>
    <row r="4291" spans="1:14" x14ac:dyDescent="0.3">
      <c r="A4291" s="1">
        <v>45169</v>
      </c>
      <c r="B4291" t="s">
        <v>73</v>
      </c>
      <c r="C4291" t="s">
        <v>53</v>
      </c>
      <c r="D4291" s="8">
        <v>0.5</v>
      </c>
      <c r="E4291" s="8">
        <v>0.54166666666666663</v>
      </c>
      <c r="F4291" t="s">
        <v>387</v>
      </c>
      <c r="H4291" t="s">
        <v>565</v>
      </c>
      <c r="M4291" t="s">
        <v>478</v>
      </c>
      <c r="N4291" t="str">
        <f>Tabela_tudo[[#This Row],[Médico]]&amp;" ("&amp;Tabela_tudo[[#This Row],[Obs]]&amp;")"</f>
        <v>RT (REUNIÃO C/ RESIDENTES EMA, ORO, KLA, KIL, CA -  NO HED)</v>
      </c>
    </row>
    <row r="4292" spans="1:14" x14ac:dyDescent="0.3">
      <c r="A4292" s="1">
        <v>45197</v>
      </c>
      <c r="B4292" t="s">
        <v>34</v>
      </c>
      <c r="C4292" t="s">
        <v>53</v>
      </c>
      <c r="D4292" s="8">
        <v>0.72916666666666663</v>
      </c>
      <c r="E4292" s="8">
        <v>0.77083333333333337</v>
      </c>
      <c r="J4292" t="s">
        <v>565</v>
      </c>
      <c r="M4292" t="s">
        <v>478</v>
      </c>
      <c r="N4292" t="str">
        <f>Tabela_tudo[[#This Row],[Médico]]&amp;" ("&amp;Tabela_tudo[[#This Row],[Obs]]&amp;")"</f>
        <v>LIP ()</v>
      </c>
    </row>
    <row r="4293" spans="1:14" x14ac:dyDescent="0.3">
      <c r="A4293" s="1">
        <v>45197</v>
      </c>
      <c r="B4293" t="s">
        <v>50</v>
      </c>
      <c r="C4293" t="s">
        <v>53</v>
      </c>
      <c r="D4293" s="8">
        <v>0.72916666666666663</v>
      </c>
      <c r="E4293" s="8">
        <v>0.77083333333333337</v>
      </c>
      <c r="J4293" t="s">
        <v>565</v>
      </c>
      <c r="M4293" t="s">
        <v>478</v>
      </c>
      <c r="N4293" t="str">
        <f>Tabela_tudo[[#This Row],[Médico]]&amp;" ("&amp;Tabela_tudo[[#This Row],[Obs]]&amp;")"</f>
        <v>PJP ()</v>
      </c>
    </row>
    <row r="4294" spans="1:14" x14ac:dyDescent="0.3">
      <c r="A4294" s="1">
        <v>45169</v>
      </c>
      <c r="B4294" t="s">
        <v>23</v>
      </c>
      <c r="C4294" t="s">
        <v>53</v>
      </c>
      <c r="D4294" s="8">
        <v>0.5</v>
      </c>
      <c r="E4294" s="8">
        <v>0.54166666666666663</v>
      </c>
      <c r="F4294" t="s">
        <v>387</v>
      </c>
      <c r="H4294" t="s">
        <v>565</v>
      </c>
      <c r="M4294" t="s">
        <v>478</v>
      </c>
      <c r="N4294" t="str">
        <f>Tabela_tudo[[#This Row],[Médico]]&amp;" ("&amp;Tabela_tudo[[#This Row],[Obs]]&amp;")"</f>
        <v>BG (REUNIÃO C/ RESIDENTES EMA, ORO, KLA, KIL, CA -  NO HED)</v>
      </c>
    </row>
    <row r="4295" spans="1:14" x14ac:dyDescent="0.3">
      <c r="A4295" s="1">
        <v>45198</v>
      </c>
      <c r="B4295" t="s">
        <v>23</v>
      </c>
      <c r="C4295" t="s">
        <v>53</v>
      </c>
      <c r="D4295" s="8">
        <v>0.45833333333333331</v>
      </c>
      <c r="E4295" s="8">
        <v>0.54166666666666663</v>
      </c>
      <c r="F4295" t="s">
        <v>641</v>
      </c>
      <c r="H4295" t="s">
        <v>565</v>
      </c>
      <c r="M4295" t="s">
        <v>478</v>
      </c>
      <c r="N4295" t="str">
        <f>Tabela_tudo[[#This Row],[Médico]]&amp;" ("&amp;Tabela_tudo[[#This Row],[Obs]]&amp;")"</f>
        <v>BG (REUNIÃO COM PRESIDENTE DO IPERGS)</v>
      </c>
    </row>
    <row r="4296" spans="1:14" x14ac:dyDescent="0.3">
      <c r="A4296" s="1">
        <v>45145</v>
      </c>
      <c r="B4296" t="s">
        <v>23</v>
      </c>
      <c r="C4296" t="s">
        <v>53</v>
      </c>
      <c r="D4296" s="8">
        <v>0.29166666666666669</v>
      </c>
      <c r="E4296" s="8">
        <v>0.54166666666666663</v>
      </c>
      <c r="F4296" t="s">
        <v>293</v>
      </c>
      <c r="G4296" t="s">
        <v>565</v>
      </c>
      <c r="H4296" t="s">
        <v>565</v>
      </c>
      <c r="M4296" t="s">
        <v>478</v>
      </c>
      <c r="N4296" t="str">
        <f>Tabela_tudo[[#This Row],[Médico]]&amp;" ("&amp;Tabela_tudo[[#This Row],[Obs]]&amp;")"</f>
        <v>BG (REUNIÃO UNIMED MANHA E TARDE )</v>
      </c>
    </row>
    <row r="4297" spans="1:14" x14ac:dyDescent="0.3">
      <c r="A4297" s="1">
        <v>45226</v>
      </c>
      <c r="B4297" t="s">
        <v>23</v>
      </c>
      <c r="C4297" t="s">
        <v>53</v>
      </c>
      <c r="D4297" s="8">
        <v>0.75</v>
      </c>
      <c r="E4297" s="8">
        <v>0.91666666666666663</v>
      </c>
      <c r="J4297" t="s">
        <v>565</v>
      </c>
      <c r="K4297" t="s">
        <v>565</v>
      </c>
      <c r="M4297" t="s">
        <v>478</v>
      </c>
      <c r="N4297" t="str">
        <f>Tabela_tudo[[#This Row],[Médico]]&amp;" ("&amp;Tabela_tudo[[#This Row],[Obs]]&amp;")"</f>
        <v>BG ()</v>
      </c>
    </row>
    <row r="4298" spans="1:14" x14ac:dyDescent="0.3">
      <c r="A4298" s="1">
        <v>45174</v>
      </c>
      <c r="B4298" t="s">
        <v>73</v>
      </c>
      <c r="C4298" t="s">
        <v>53</v>
      </c>
      <c r="D4298" s="8">
        <v>0.45833333333333331</v>
      </c>
      <c r="E4298" s="8">
        <v>0.5</v>
      </c>
      <c r="F4298" t="s">
        <v>434</v>
      </c>
      <c r="H4298" t="s">
        <v>565</v>
      </c>
      <c r="M4298" t="s">
        <v>478</v>
      </c>
      <c r="N4298" t="str">
        <f>Tabela_tudo[[#This Row],[Médico]]&amp;" ("&amp;Tabela_tudo[[#This Row],[Obs]]&amp;")"</f>
        <v>RT (REUNIÃO SANE - PRESENCIAL)</v>
      </c>
    </row>
    <row r="4299" spans="1:14" x14ac:dyDescent="0.3">
      <c r="A4299" s="1">
        <v>45174</v>
      </c>
      <c r="B4299" t="s">
        <v>73</v>
      </c>
      <c r="C4299" t="s">
        <v>53</v>
      </c>
      <c r="D4299" s="8">
        <v>0.41666666666666669</v>
      </c>
      <c r="E4299" s="8">
        <v>0.45833333333333331</v>
      </c>
      <c r="F4299" t="s">
        <v>432</v>
      </c>
      <c r="H4299" t="s">
        <v>565</v>
      </c>
      <c r="M4299" t="s">
        <v>478</v>
      </c>
      <c r="N4299" t="str">
        <f>Tabela_tudo[[#This Row],[Médico]]&amp;" ("&amp;Tabela_tudo[[#This Row],[Obs]]&amp;")"</f>
        <v>RT (REUNIÃO EST SANE - ONLINE)</v>
      </c>
    </row>
    <row r="4300" spans="1:14" x14ac:dyDescent="0.3">
      <c r="A4300" s="1">
        <v>45068</v>
      </c>
      <c r="B4300" t="s">
        <v>64</v>
      </c>
      <c r="C4300" t="s">
        <v>53</v>
      </c>
      <c r="D4300" s="8">
        <v>0.75</v>
      </c>
      <c r="E4300" s="8">
        <v>0.83333333333333337</v>
      </c>
      <c r="F4300" t="s">
        <v>65</v>
      </c>
      <c r="J4300" t="s">
        <v>565</v>
      </c>
      <c r="K4300" t="s">
        <v>565</v>
      </c>
      <c r="M4300" t="s">
        <v>478</v>
      </c>
      <c r="N4300" t="str">
        <f>Tabela_tudo[[#This Row],[Médico]]&amp;" ("&amp;Tabela_tudo[[#This Row],[Obs]]&amp;")"</f>
        <v>SAR (REUNIÃO NO SANE)</v>
      </c>
    </row>
    <row r="4301" spans="1:14" x14ac:dyDescent="0.3">
      <c r="A4301" s="1">
        <v>45174</v>
      </c>
      <c r="B4301" t="s">
        <v>23</v>
      </c>
      <c r="C4301" t="s">
        <v>53</v>
      </c>
      <c r="D4301" s="8">
        <v>0.45833333333333331</v>
      </c>
      <c r="E4301" s="8">
        <v>0.5</v>
      </c>
      <c r="F4301" t="s">
        <v>434</v>
      </c>
      <c r="H4301" t="s">
        <v>565</v>
      </c>
      <c r="M4301" t="s">
        <v>478</v>
      </c>
      <c r="N4301" t="str">
        <f>Tabela_tudo[[#This Row],[Médico]]&amp;" ("&amp;Tabela_tudo[[#This Row],[Obs]]&amp;")"</f>
        <v>BG (REUNIÃO SANE - PRESENCIAL)</v>
      </c>
    </row>
    <row r="4302" spans="1:14" x14ac:dyDescent="0.3">
      <c r="A4302" s="1">
        <v>45150</v>
      </c>
      <c r="B4302" t="s">
        <v>12</v>
      </c>
      <c r="C4302" t="s">
        <v>53</v>
      </c>
      <c r="D4302" s="8">
        <v>0.33333333333333331</v>
      </c>
      <c r="E4302" s="8">
        <v>0.5</v>
      </c>
      <c r="F4302" t="s">
        <v>159</v>
      </c>
      <c r="G4302" t="s">
        <v>565</v>
      </c>
      <c r="H4302" t="s">
        <v>565</v>
      </c>
      <c r="M4302" t="s">
        <v>478</v>
      </c>
      <c r="N4302" t="str">
        <f>Tabela_tudo[[#This Row],[Médico]]&amp;" ("&amp;Tabela_tudo[[#This Row],[Obs]]&amp;")"</f>
        <v>EDU (MBA)</v>
      </c>
    </row>
    <row r="4303" spans="1:14" x14ac:dyDescent="0.3">
      <c r="A4303" s="1">
        <v>45118</v>
      </c>
      <c r="B4303" t="s">
        <v>50</v>
      </c>
      <c r="C4303" t="s">
        <v>53</v>
      </c>
      <c r="D4303" s="8">
        <v>0.70833333333333337</v>
      </c>
      <c r="E4303" s="8">
        <v>0.75</v>
      </c>
      <c r="F4303" t="s">
        <v>212</v>
      </c>
      <c r="J4303" t="s">
        <v>565</v>
      </c>
      <c r="M4303" t="s">
        <v>478</v>
      </c>
      <c r="N4303" t="str">
        <f>Tabela_tudo[[#This Row],[Médico]]&amp;" ("&amp;Tabela_tudo[[#This Row],[Obs]]&amp;")"</f>
        <v>PJP (CASSIANA + UNIMED NO SANE )</v>
      </c>
    </row>
    <row r="4304" spans="1:14" x14ac:dyDescent="0.3">
      <c r="A4304" s="1">
        <v>45145</v>
      </c>
      <c r="B4304" t="s">
        <v>47</v>
      </c>
      <c r="C4304" t="s">
        <v>53</v>
      </c>
      <c r="D4304" s="8">
        <v>0.75</v>
      </c>
      <c r="E4304" s="8">
        <v>0.91666666666666663</v>
      </c>
      <c r="J4304" t="s">
        <v>565</v>
      </c>
      <c r="K4304" t="s">
        <v>565</v>
      </c>
      <c r="M4304" t="s">
        <v>478</v>
      </c>
      <c r="N4304" t="str">
        <f>Tabela_tudo[[#This Row],[Médico]]&amp;" ("&amp;Tabela_tudo[[#This Row],[Obs]]&amp;")"</f>
        <v>VIN ()</v>
      </c>
    </row>
    <row r="4305" spans="1:14" x14ac:dyDescent="0.3">
      <c r="A4305" s="1">
        <v>45145</v>
      </c>
      <c r="B4305" t="s">
        <v>33</v>
      </c>
      <c r="C4305" t="s">
        <v>53</v>
      </c>
      <c r="D4305" s="8">
        <v>0.75</v>
      </c>
      <c r="E4305" s="8">
        <v>0.91666666666666663</v>
      </c>
      <c r="J4305" t="s">
        <v>565</v>
      </c>
      <c r="K4305" t="s">
        <v>565</v>
      </c>
      <c r="M4305" t="s">
        <v>478</v>
      </c>
      <c r="N4305" t="str">
        <f>Tabela_tudo[[#This Row],[Médico]]&amp;" ("&amp;Tabela_tudo[[#This Row],[Obs]]&amp;")"</f>
        <v>DIF ()</v>
      </c>
    </row>
    <row r="4306" spans="1:14" x14ac:dyDescent="0.3">
      <c r="A4306" s="1">
        <v>45096</v>
      </c>
      <c r="B4306" t="s">
        <v>50</v>
      </c>
      <c r="C4306" t="s">
        <v>53</v>
      </c>
      <c r="D4306" s="8">
        <v>0.70833333333333337</v>
      </c>
      <c r="E4306" s="8">
        <v>0.75</v>
      </c>
      <c r="F4306" t="s">
        <v>164</v>
      </c>
      <c r="J4306" t="s">
        <v>565</v>
      </c>
      <c r="M4306" t="s">
        <v>478</v>
      </c>
      <c r="N4306" t="str">
        <f>Tabela_tudo[[#This Row],[Médico]]&amp;" ("&amp;Tabela_tudo[[#This Row],[Obs]]&amp;")"</f>
        <v>PJP (REUNIÃO LETICIA )</v>
      </c>
    </row>
    <row r="4307" spans="1:14" x14ac:dyDescent="0.3">
      <c r="A4307" s="1">
        <v>45099</v>
      </c>
      <c r="B4307" t="s">
        <v>64</v>
      </c>
      <c r="C4307" t="s">
        <v>53</v>
      </c>
      <c r="D4307" s="8">
        <v>0.58333333333333337</v>
      </c>
      <c r="E4307" s="8">
        <v>0.625</v>
      </c>
      <c r="I4307" t="s">
        <v>565</v>
      </c>
      <c r="M4307" t="s">
        <v>478</v>
      </c>
      <c r="N4307" t="str">
        <f>Tabela_tudo[[#This Row],[Médico]]&amp;" ("&amp;Tabela_tudo[[#This Row],[Obs]]&amp;")"</f>
        <v>SAR ()</v>
      </c>
    </row>
    <row r="4308" spans="1:14" x14ac:dyDescent="0.3">
      <c r="A4308" s="1">
        <v>45099</v>
      </c>
      <c r="B4308" t="s">
        <v>84</v>
      </c>
      <c r="C4308" t="s">
        <v>53</v>
      </c>
      <c r="D4308" s="8">
        <v>0.58333333333333337</v>
      </c>
      <c r="E4308" s="8">
        <v>0.625</v>
      </c>
      <c r="I4308" t="s">
        <v>565</v>
      </c>
      <c r="M4308" t="s">
        <v>478</v>
      </c>
      <c r="N4308" t="str">
        <f>Tabela_tudo[[#This Row],[Médico]]&amp;" ("&amp;Tabela_tudo[[#This Row],[Obs]]&amp;")"</f>
        <v>ANO ()</v>
      </c>
    </row>
    <row r="4309" spans="1:14" x14ac:dyDescent="0.3">
      <c r="A4309" s="1">
        <v>45068</v>
      </c>
      <c r="B4309" t="s">
        <v>66</v>
      </c>
      <c r="C4309" t="s">
        <v>53</v>
      </c>
      <c r="D4309" s="8">
        <v>0.75</v>
      </c>
      <c r="E4309" s="8">
        <v>0.83333333333333337</v>
      </c>
      <c r="F4309" t="s">
        <v>65</v>
      </c>
      <c r="J4309" t="s">
        <v>565</v>
      </c>
      <c r="K4309" t="s">
        <v>565</v>
      </c>
      <c r="M4309" t="s">
        <v>478</v>
      </c>
      <c r="N4309" t="str">
        <f>Tabela_tudo[[#This Row],[Médico]]&amp;" ("&amp;Tabela_tudo[[#This Row],[Obs]]&amp;")"</f>
        <v>MOZ (REUNIÃO NO SANE)</v>
      </c>
    </row>
    <row r="4310" spans="1:14" x14ac:dyDescent="0.3">
      <c r="A4310" s="1">
        <v>45099</v>
      </c>
      <c r="B4310" t="s">
        <v>23</v>
      </c>
      <c r="C4310" t="s">
        <v>53</v>
      </c>
      <c r="D4310" s="8">
        <v>0.58333333333333337</v>
      </c>
      <c r="E4310" s="8">
        <v>0.625</v>
      </c>
      <c r="I4310" t="s">
        <v>565</v>
      </c>
      <c r="M4310" t="s">
        <v>478</v>
      </c>
      <c r="N4310" t="str">
        <f>Tabela_tudo[[#This Row],[Médico]]&amp;" ("&amp;Tabela_tudo[[#This Row],[Obs]]&amp;")"</f>
        <v>BG ()</v>
      </c>
    </row>
    <row r="4311" spans="1:14" x14ac:dyDescent="0.3">
      <c r="A4311" s="1">
        <v>45202</v>
      </c>
      <c r="B4311" t="s">
        <v>47</v>
      </c>
      <c r="C4311" t="s">
        <v>53</v>
      </c>
      <c r="D4311" s="8">
        <v>0.66666666666666663</v>
      </c>
      <c r="E4311" s="8">
        <v>0.75</v>
      </c>
      <c r="F4311" t="s">
        <v>53</v>
      </c>
      <c r="J4311" t="s">
        <v>565</v>
      </c>
      <c r="M4311" t="s">
        <v>478</v>
      </c>
      <c r="N4311" t="str">
        <f>Tabela_tudo[[#This Row],[Médico]]&amp;" ("&amp;Tabela_tudo[[#This Row],[Obs]]&amp;")"</f>
        <v>VIN (REUNIÃO)</v>
      </c>
    </row>
    <row r="4312" spans="1:14" x14ac:dyDescent="0.3">
      <c r="A4312" s="1">
        <v>45167</v>
      </c>
      <c r="B4312" t="s">
        <v>23</v>
      </c>
      <c r="C4312" t="s">
        <v>53</v>
      </c>
      <c r="D4312" s="8">
        <v>0.66666666666666663</v>
      </c>
      <c r="E4312" s="8">
        <v>0.70833333333333337</v>
      </c>
      <c r="F4312" t="s">
        <v>382</v>
      </c>
      <c r="J4312" t="s">
        <v>565</v>
      </c>
      <c r="M4312" t="s">
        <v>478</v>
      </c>
      <c r="N4312" t="str">
        <f>Tabela_tudo[[#This Row],[Médico]]&amp;" ("&amp;Tabela_tudo[[#This Row],[Obs]]&amp;")"</f>
        <v>BG (REUNIÃO SIMERS)</v>
      </c>
    </row>
    <row r="4313" spans="1:14" x14ac:dyDescent="0.3">
      <c r="A4313" s="1">
        <v>45174</v>
      </c>
      <c r="B4313" t="s">
        <v>73</v>
      </c>
      <c r="C4313" t="s">
        <v>53</v>
      </c>
      <c r="D4313" s="8">
        <v>0.33333333333333331</v>
      </c>
      <c r="E4313" s="8">
        <v>0.375</v>
      </c>
      <c r="F4313" t="s">
        <v>431</v>
      </c>
      <c r="G4313" t="s">
        <v>565</v>
      </c>
      <c r="M4313" t="s">
        <v>478</v>
      </c>
      <c r="N4313" t="str">
        <f>Tabela_tudo[[#This Row],[Médico]]&amp;" ("&amp;Tabela_tudo[[#This Row],[Obs]]&amp;")"</f>
        <v>RT (REUNIÃO C/JOÃO SANE  PRESENCIAL)</v>
      </c>
    </row>
    <row r="4314" spans="1:14" x14ac:dyDescent="0.3">
      <c r="A4314" s="1">
        <v>45096</v>
      </c>
      <c r="B4314" t="s">
        <v>84</v>
      </c>
      <c r="C4314" t="s">
        <v>53</v>
      </c>
      <c r="D4314" s="8">
        <v>0.70833333333333337</v>
      </c>
      <c r="E4314" s="8">
        <v>0.75</v>
      </c>
      <c r="F4314" t="s">
        <v>164</v>
      </c>
      <c r="J4314" t="s">
        <v>565</v>
      </c>
      <c r="M4314" t="s">
        <v>478</v>
      </c>
      <c r="N4314" t="str">
        <f>Tabela_tudo[[#This Row],[Médico]]&amp;" ("&amp;Tabela_tudo[[#This Row],[Obs]]&amp;")"</f>
        <v>ANO (REUNIÃO LETICIA )</v>
      </c>
    </row>
    <row r="4315" spans="1:14" x14ac:dyDescent="0.3">
      <c r="A4315" s="1">
        <v>45096</v>
      </c>
      <c r="B4315" t="s">
        <v>12</v>
      </c>
      <c r="C4315" t="s">
        <v>53</v>
      </c>
      <c r="D4315" s="8">
        <v>0.41666666666666669</v>
      </c>
      <c r="E4315" s="8">
        <v>0.45833333333333331</v>
      </c>
      <c r="F4315" t="s">
        <v>162</v>
      </c>
      <c r="H4315" t="s">
        <v>565</v>
      </c>
      <c r="M4315" t="s">
        <v>478</v>
      </c>
      <c r="N4315" t="str">
        <f>Tabela_tudo[[#This Row],[Médico]]&amp;" ("&amp;Tabela_tudo[[#This Row],[Obs]]&amp;")"</f>
        <v>EDU (REUNIÃO HED FINANCEIRO )</v>
      </c>
    </row>
    <row r="4316" spans="1:14" x14ac:dyDescent="0.3">
      <c r="A4316" s="1">
        <v>45205</v>
      </c>
      <c r="B4316" t="s">
        <v>73</v>
      </c>
      <c r="C4316" t="s">
        <v>53</v>
      </c>
      <c r="D4316" s="8">
        <v>0.70833333333333337</v>
      </c>
      <c r="E4316" s="8">
        <v>0.75</v>
      </c>
      <c r="F4316" t="s">
        <v>705</v>
      </c>
      <c r="J4316" t="s">
        <v>565</v>
      </c>
      <c r="M4316" t="s">
        <v>478</v>
      </c>
      <c r="N4316" t="str">
        <f>Tabela_tudo[[#This Row],[Médico]]&amp;" ("&amp;Tabela_tudo[[#This Row],[Obs]]&amp;")"</f>
        <v>RT (REUNIÃO EST ONLINE )</v>
      </c>
    </row>
    <row r="4317" spans="1:14" x14ac:dyDescent="0.3">
      <c r="A4317" s="1">
        <v>45205</v>
      </c>
      <c r="B4317" t="s">
        <v>50</v>
      </c>
      <c r="C4317" t="s">
        <v>53</v>
      </c>
      <c r="D4317" s="8">
        <v>0.70833333333333337</v>
      </c>
      <c r="E4317" s="8">
        <v>0.75</v>
      </c>
      <c r="F4317" t="s">
        <v>705</v>
      </c>
      <c r="J4317" t="s">
        <v>565</v>
      </c>
      <c r="M4317" t="s">
        <v>478</v>
      </c>
      <c r="N4317" t="str">
        <f>Tabela_tudo[[#This Row],[Médico]]&amp;" ("&amp;Tabela_tudo[[#This Row],[Obs]]&amp;")"</f>
        <v>PJP (REUNIÃO EST ONLINE )</v>
      </c>
    </row>
    <row r="4318" spans="1:14" x14ac:dyDescent="0.3">
      <c r="A4318" s="1">
        <v>45132</v>
      </c>
      <c r="B4318" t="s">
        <v>12</v>
      </c>
      <c r="C4318" t="s">
        <v>53</v>
      </c>
      <c r="D4318" s="8">
        <v>0.70833333333333337</v>
      </c>
      <c r="E4318" s="8">
        <v>0.79166666666666663</v>
      </c>
      <c r="F4318" t="s">
        <v>53</v>
      </c>
      <c r="J4318" t="s">
        <v>565</v>
      </c>
      <c r="M4318" t="s">
        <v>478</v>
      </c>
      <c r="N4318" t="str">
        <f>Tabela_tudo[[#This Row],[Médico]]&amp;" ("&amp;Tabela_tudo[[#This Row],[Obs]]&amp;")"</f>
        <v>EDU (REUNIÃO)</v>
      </c>
    </row>
    <row r="4319" spans="1:14" x14ac:dyDescent="0.3">
      <c r="A4319" s="1">
        <v>45132</v>
      </c>
      <c r="B4319" t="s">
        <v>47</v>
      </c>
      <c r="C4319" t="s">
        <v>53</v>
      </c>
      <c r="D4319" s="8">
        <v>0.54166666666666663</v>
      </c>
      <c r="E4319" s="8">
        <v>0.91666666666666663</v>
      </c>
      <c r="F4319" t="s">
        <v>248</v>
      </c>
      <c r="I4319" t="s">
        <v>565</v>
      </c>
      <c r="J4319" t="s">
        <v>565</v>
      </c>
      <c r="K4319" t="s">
        <v>565</v>
      </c>
      <c r="M4319" t="s">
        <v>478</v>
      </c>
      <c r="N4319" t="str">
        <f>Tabela_tudo[[#This Row],[Médico]]&amp;" ("&amp;Tabela_tudo[[#This Row],[Obs]]&amp;")"</f>
        <v>VIN (ALUNOS UNISINOS HED )</v>
      </c>
    </row>
    <row r="4320" spans="1:14" x14ac:dyDescent="0.3">
      <c r="A4320" s="1">
        <v>45223</v>
      </c>
      <c r="B4320" t="s">
        <v>23</v>
      </c>
      <c r="C4320" t="s">
        <v>53</v>
      </c>
      <c r="D4320" s="8">
        <v>0.66666666666666663</v>
      </c>
      <c r="E4320" s="8">
        <v>0.75</v>
      </c>
      <c r="F4320" t="s">
        <v>702</v>
      </c>
      <c r="J4320" t="s">
        <v>565</v>
      </c>
      <c r="M4320" t="s">
        <v>478</v>
      </c>
      <c r="N4320" t="str">
        <f>Tabela_tudo[[#This Row],[Médico]]&amp;" ("&amp;Tabela_tudo[[#This Row],[Obs]]&amp;")"</f>
        <v>BG (REUNIÃO CCG/HAPVIDA - ONLINE)</v>
      </c>
    </row>
    <row r="4321" spans="1:14" x14ac:dyDescent="0.3">
      <c r="A4321" s="1">
        <v>45223</v>
      </c>
      <c r="B4321" t="s">
        <v>50</v>
      </c>
      <c r="C4321" t="s">
        <v>53</v>
      </c>
      <c r="D4321" s="8">
        <v>0.41666666666666669</v>
      </c>
      <c r="E4321" s="8">
        <v>0.45833333333333331</v>
      </c>
      <c r="F4321" t="s">
        <v>703</v>
      </c>
      <c r="H4321" t="s">
        <v>565</v>
      </c>
      <c r="M4321" t="s">
        <v>478</v>
      </c>
      <c r="N4321" t="str">
        <f>Tabela_tudo[[#This Row],[Médico]]&amp;" ("&amp;Tabela_tudo[[#This Row],[Obs]]&amp;")"</f>
        <v>PJP (REUNIÃO HMV)</v>
      </c>
    </row>
    <row r="4322" spans="1:14" x14ac:dyDescent="0.3">
      <c r="A4322" s="1">
        <v>45139</v>
      </c>
      <c r="B4322" t="s">
        <v>23</v>
      </c>
      <c r="C4322" t="s">
        <v>53</v>
      </c>
      <c r="D4322" s="8">
        <v>0.66666666666666663</v>
      </c>
      <c r="E4322" s="8">
        <v>0.70833333333333337</v>
      </c>
      <c r="F4322" t="s">
        <v>274</v>
      </c>
      <c r="J4322" t="s">
        <v>565</v>
      </c>
      <c r="M4322" t="s">
        <v>478</v>
      </c>
      <c r="N4322" t="str">
        <f>Tabela_tudo[[#This Row],[Médico]]&amp;" ("&amp;Tabela_tudo[[#This Row],[Obs]]&amp;")"</f>
        <v>BG (REUNIÃO ADVOGADOS )</v>
      </c>
    </row>
    <row r="4323" spans="1:14" x14ac:dyDescent="0.3">
      <c r="A4323" s="1">
        <v>45209</v>
      </c>
      <c r="B4323" t="s">
        <v>23</v>
      </c>
      <c r="C4323" t="s">
        <v>53</v>
      </c>
      <c r="D4323" s="8">
        <v>0.70833333333333337</v>
      </c>
      <c r="E4323" s="8">
        <v>0.75</v>
      </c>
      <c r="F4323" t="s">
        <v>686</v>
      </c>
      <c r="J4323" t="s">
        <v>565</v>
      </c>
      <c r="M4323" t="s">
        <v>478</v>
      </c>
      <c r="N4323" t="str">
        <f>Tabela_tudo[[#This Row],[Médico]]&amp;" ("&amp;Tabela_tudo[[#This Row],[Obs]]&amp;")"</f>
        <v>BG (REUNIÃO C/ ADVOGADO)</v>
      </c>
    </row>
    <row r="4324" spans="1:14" x14ac:dyDescent="0.3">
      <c r="A4324" s="1">
        <v>45209</v>
      </c>
      <c r="B4324" t="s">
        <v>12</v>
      </c>
      <c r="C4324" t="s">
        <v>53</v>
      </c>
      <c r="D4324" s="8">
        <v>0.70833333333333337</v>
      </c>
      <c r="E4324" s="8">
        <v>0.75</v>
      </c>
      <c r="F4324" t="s">
        <v>686</v>
      </c>
      <c r="J4324" t="s">
        <v>565</v>
      </c>
      <c r="M4324" t="s">
        <v>478</v>
      </c>
      <c r="N4324" t="str">
        <f>Tabela_tudo[[#This Row],[Médico]]&amp;" ("&amp;Tabela_tudo[[#This Row],[Obs]]&amp;")"</f>
        <v>EDU (REUNIÃO C/ ADVOGADO)</v>
      </c>
    </row>
    <row r="4325" spans="1:14" x14ac:dyDescent="0.3">
      <c r="A4325" s="1">
        <v>45110</v>
      </c>
      <c r="B4325" t="s">
        <v>64</v>
      </c>
      <c r="C4325" t="s">
        <v>53</v>
      </c>
      <c r="D4325" s="8">
        <v>0.66666666666666663</v>
      </c>
      <c r="E4325" s="8">
        <v>0.75</v>
      </c>
      <c r="F4325" t="s">
        <v>218</v>
      </c>
      <c r="J4325" t="s">
        <v>565</v>
      </c>
      <c r="M4325" t="s">
        <v>478</v>
      </c>
      <c r="N4325" t="str">
        <f>Tabela_tudo[[#This Row],[Médico]]&amp;" ("&amp;Tabela_tudo[[#This Row],[Obs]]&amp;")"</f>
        <v>SAR (REUNIÃO COM LETICIA )</v>
      </c>
    </row>
    <row r="4326" spans="1:14" x14ac:dyDescent="0.3">
      <c r="A4326" s="1">
        <v>45017</v>
      </c>
      <c r="B4326" t="s">
        <v>21</v>
      </c>
      <c r="C4326" t="s">
        <v>53</v>
      </c>
      <c r="D4326" s="8">
        <v>0.33333333333333331</v>
      </c>
      <c r="E4326" s="8">
        <v>0.41666666666666669</v>
      </c>
      <c r="G4326" t="s">
        <v>565</v>
      </c>
      <c r="M4326" t="s">
        <v>478</v>
      </c>
      <c r="N4326" t="str">
        <f>Tabela_tudo[[#This Row],[Médico]]&amp;" ("&amp;Tabela_tudo[[#This Row],[Obs]]&amp;")"</f>
        <v>RA ()</v>
      </c>
    </row>
    <row r="4327" spans="1:14" x14ac:dyDescent="0.3">
      <c r="A4327" s="1">
        <v>45132</v>
      </c>
      <c r="B4327" t="s">
        <v>50</v>
      </c>
      <c r="C4327" t="s">
        <v>53</v>
      </c>
      <c r="D4327" s="8">
        <v>0.70833333333333337</v>
      </c>
      <c r="E4327" s="8">
        <v>0.79166666666666663</v>
      </c>
      <c r="F4327" t="s">
        <v>53</v>
      </c>
      <c r="J4327" t="s">
        <v>565</v>
      </c>
      <c r="M4327" t="s">
        <v>478</v>
      </c>
      <c r="N4327" t="str">
        <f>Tabela_tudo[[#This Row],[Médico]]&amp;" ("&amp;Tabela_tudo[[#This Row],[Obs]]&amp;")"</f>
        <v>PJP (REUNIÃO)</v>
      </c>
    </row>
    <row r="4328" spans="1:14" x14ac:dyDescent="0.3">
      <c r="A4328" s="1">
        <v>45152</v>
      </c>
      <c r="B4328" t="s">
        <v>64</v>
      </c>
      <c r="C4328" t="s">
        <v>53</v>
      </c>
      <c r="D4328" s="8">
        <v>0.58333333333333337</v>
      </c>
      <c r="E4328" s="8">
        <v>0.625</v>
      </c>
      <c r="F4328" t="s">
        <v>341</v>
      </c>
      <c r="I4328" t="s">
        <v>565</v>
      </c>
      <c r="M4328" t="s">
        <v>478</v>
      </c>
      <c r="N4328" t="str">
        <f>Tabela_tudo[[#This Row],[Médico]]&amp;" ("&amp;Tabela_tudo[[#This Row],[Obs]]&amp;")"</f>
        <v>SAR (REUNIAO ANESTEC )</v>
      </c>
    </row>
    <row r="4329" spans="1:14" x14ac:dyDescent="0.3">
      <c r="A4329" s="1">
        <v>45152</v>
      </c>
      <c r="B4329" t="s">
        <v>23</v>
      </c>
      <c r="C4329" t="s">
        <v>53</v>
      </c>
      <c r="D4329" s="8">
        <v>0.29166666666666669</v>
      </c>
      <c r="E4329" s="8">
        <v>0.79166666666666663</v>
      </c>
      <c r="F4329" t="s">
        <v>339</v>
      </c>
      <c r="G4329" t="s">
        <v>565</v>
      </c>
      <c r="H4329" t="s">
        <v>565</v>
      </c>
      <c r="I4329" t="s">
        <v>565</v>
      </c>
      <c r="J4329" t="s">
        <v>565</v>
      </c>
      <c r="M4329" t="s">
        <v>478</v>
      </c>
      <c r="N4329" t="str">
        <f>Tabela_tudo[[#This Row],[Médico]]&amp;" ("&amp;Tabela_tudo[[#This Row],[Obs]]&amp;")"</f>
        <v>BG (REUNIAO UNIMED MANHA E TARDE)</v>
      </c>
    </row>
    <row r="4330" spans="1:14" x14ac:dyDescent="0.3">
      <c r="A4330" s="1">
        <v>45184</v>
      </c>
      <c r="B4330" t="s">
        <v>14</v>
      </c>
      <c r="C4330" t="s">
        <v>53</v>
      </c>
      <c r="D4330" s="8">
        <v>0.5625</v>
      </c>
      <c r="E4330" s="8">
        <v>0.60416666666666663</v>
      </c>
      <c r="F4330" t="s">
        <v>393</v>
      </c>
      <c r="I4330" t="s">
        <v>565</v>
      </c>
      <c r="M4330" t="s">
        <v>478</v>
      </c>
      <c r="N4330" t="str">
        <f>Tabela_tudo[[#This Row],[Médico]]&amp;" ("&amp;Tabela_tudo[[#This Row],[Obs]]&amp;")"</f>
        <v>PW (REUNIÃO COMISSÃO COORDENADORA)</v>
      </c>
    </row>
    <row r="4331" spans="1:14" x14ac:dyDescent="0.3">
      <c r="A4331" s="1">
        <v>45112</v>
      </c>
      <c r="B4331" t="s">
        <v>16</v>
      </c>
      <c r="C4331" t="s">
        <v>53</v>
      </c>
      <c r="D4331" s="8">
        <v>0.45833333333333331</v>
      </c>
      <c r="E4331" s="8">
        <v>0.5</v>
      </c>
      <c r="F4331" t="s">
        <v>54</v>
      </c>
      <c r="H4331" t="s">
        <v>565</v>
      </c>
      <c r="M4331" t="s">
        <v>478</v>
      </c>
      <c r="N4331" t="str">
        <f>Tabela_tudo[[#This Row],[Médico]]&amp;" ("&amp;Tabela_tudo[[#This Row],[Obs]]&amp;")"</f>
        <v>PP (REUNIÃO ICFUC )</v>
      </c>
    </row>
    <row r="4332" spans="1:14" x14ac:dyDescent="0.3">
      <c r="A4332" s="1">
        <v>45112</v>
      </c>
      <c r="B4332" t="s">
        <v>14</v>
      </c>
      <c r="C4332" t="s">
        <v>53</v>
      </c>
      <c r="D4332" s="8">
        <v>0.45833333333333331</v>
      </c>
      <c r="E4332" s="8">
        <v>0.5</v>
      </c>
      <c r="F4332" t="s">
        <v>54</v>
      </c>
      <c r="H4332" t="s">
        <v>565</v>
      </c>
      <c r="M4332" t="s">
        <v>478</v>
      </c>
      <c r="N4332" t="str">
        <f>Tabela_tudo[[#This Row],[Médico]]&amp;" ("&amp;Tabela_tudo[[#This Row],[Obs]]&amp;")"</f>
        <v>PW (REUNIÃO ICFUC )</v>
      </c>
    </row>
    <row r="4333" spans="1:14" x14ac:dyDescent="0.3">
      <c r="A4333" s="1">
        <v>45139</v>
      </c>
      <c r="B4333" t="s">
        <v>12</v>
      </c>
      <c r="C4333" t="s">
        <v>53</v>
      </c>
      <c r="D4333" s="8">
        <v>0.70833333333333337</v>
      </c>
      <c r="E4333" s="8">
        <v>0.75</v>
      </c>
      <c r="F4333" t="s">
        <v>276</v>
      </c>
      <c r="J4333" t="s">
        <v>565</v>
      </c>
      <c r="M4333" t="s">
        <v>478</v>
      </c>
      <c r="N4333" t="str">
        <f>Tabela_tudo[[#This Row],[Médico]]&amp;" ("&amp;Tabela_tudo[[#This Row],[Obs]]&amp;")"</f>
        <v>EDU (REUNIÃO MERITOCRACIA C/ Mª JULIA)</v>
      </c>
    </row>
    <row r="4334" spans="1:14" x14ac:dyDescent="0.3">
      <c r="A4334" s="1">
        <v>45156</v>
      </c>
      <c r="B4334" t="s">
        <v>23</v>
      </c>
      <c r="C4334" t="s">
        <v>53</v>
      </c>
      <c r="D4334" s="8">
        <v>0.4375</v>
      </c>
      <c r="E4334" s="8">
        <v>0.47916666666666669</v>
      </c>
      <c r="F4334" t="s">
        <v>325</v>
      </c>
      <c r="H4334" t="s">
        <v>565</v>
      </c>
      <c r="M4334" t="s">
        <v>478</v>
      </c>
      <c r="N4334" t="str">
        <f>Tabela_tudo[[#This Row],[Médico]]&amp;" ("&amp;Tabela_tudo[[#This Row],[Obs]]&amp;")"</f>
        <v>BG (REUNIÃO CARDIOLOGIA )</v>
      </c>
    </row>
    <row r="4335" spans="1:14" x14ac:dyDescent="0.3">
      <c r="A4335" s="1">
        <v>45110</v>
      </c>
      <c r="B4335" t="s">
        <v>12</v>
      </c>
      <c r="C4335" t="s">
        <v>53</v>
      </c>
      <c r="D4335" s="8">
        <v>0.41666666666666669</v>
      </c>
      <c r="E4335" s="8">
        <v>0.45833333333333331</v>
      </c>
      <c r="F4335" t="s">
        <v>215</v>
      </c>
      <c r="H4335" t="s">
        <v>565</v>
      </c>
      <c r="M4335" t="s">
        <v>478</v>
      </c>
      <c r="N4335" t="str">
        <f>Tabela_tudo[[#This Row],[Médico]]&amp;" ("&amp;Tabela_tudo[[#This Row],[Obs]]&amp;")"</f>
        <v>EDU (C/ ALEXSANDER AFPE - NO SANE)</v>
      </c>
    </row>
    <row r="4336" spans="1:14" x14ac:dyDescent="0.3">
      <c r="A4336" s="1">
        <v>45139</v>
      </c>
      <c r="B4336" t="s">
        <v>50</v>
      </c>
      <c r="C4336" t="s">
        <v>53</v>
      </c>
      <c r="D4336" s="8">
        <v>0.70833333333333337</v>
      </c>
      <c r="E4336" s="8">
        <v>0.75</v>
      </c>
      <c r="F4336" t="s">
        <v>276</v>
      </c>
      <c r="J4336" t="s">
        <v>565</v>
      </c>
      <c r="M4336" t="s">
        <v>478</v>
      </c>
      <c r="N4336" t="str">
        <f>Tabela_tudo[[#This Row],[Médico]]&amp;" ("&amp;Tabela_tudo[[#This Row],[Obs]]&amp;")"</f>
        <v>PJP (REUNIÃO MERITOCRACIA C/ Mª JULIA)</v>
      </c>
    </row>
    <row r="4337" spans="1:14" x14ac:dyDescent="0.3">
      <c r="A4337" s="1">
        <v>45223</v>
      </c>
      <c r="B4337" t="s">
        <v>12</v>
      </c>
      <c r="C4337" t="s">
        <v>53</v>
      </c>
      <c r="D4337" s="8">
        <v>0.58333333333333337</v>
      </c>
      <c r="E4337" s="8">
        <v>0.66666666666666663</v>
      </c>
      <c r="F4337" t="s">
        <v>701</v>
      </c>
      <c r="I4337" t="s">
        <v>565</v>
      </c>
      <c r="M4337" t="s">
        <v>478</v>
      </c>
      <c r="N4337" t="str">
        <f>Tabela_tudo[[#This Row],[Médico]]&amp;" ("&amp;Tabela_tudo[[#This Row],[Obs]]&amp;")"</f>
        <v>EDU (REUNIÃO DIREÇÃO HMD)</v>
      </c>
    </row>
    <row r="4338" spans="1:14" x14ac:dyDescent="0.3">
      <c r="A4338" s="1">
        <v>45223</v>
      </c>
      <c r="B4338" t="s">
        <v>64</v>
      </c>
      <c r="C4338" t="s">
        <v>53</v>
      </c>
      <c r="D4338" s="8">
        <v>0.75</v>
      </c>
      <c r="E4338" s="8">
        <v>0.79166666666666663</v>
      </c>
      <c r="F4338" t="s">
        <v>415</v>
      </c>
      <c r="J4338" t="s">
        <v>565</v>
      </c>
      <c r="M4338" t="s">
        <v>478</v>
      </c>
      <c r="N4338" t="str">
        <f>Tabela_tudo[[#This Row],[Médico]]&amp;" ("&amp;Tabela_tudo[[#This Row],[Obs]]&amp;")"</f>
        <v>SAR (REUNIÃO TCC)</v>
      </c>
    </row>
    <row r="4339" spans="1:14" x14ac:dyDescent="0.3">
      <c r="A4339" s="1">
        <v>45223</v>
      </c>
      <c r="B4339" t="s">
        <v>12</v>
      </c>
      <c r="C4339" t="s">
        <v>53</v>
      </c>
      <c r="D4339" s="8">
        <v>0.66666666666666663</v>
      </c>
      <c r="E4339" s="8">
        <v>0.75</v>
      </c>
      <c r="F4339" t="s">
        <v>702</v>
      </c>
      <c r="J4339" t="s">
        <v>565</v>
      </c>
      <c r="M4339" t="s">
        <v>478</v>
      </c>
      <c r="N4339" t="str">
        <f>Tabela_tudo[[#This Row],[Médico]]&amp;" ("&amp;Tabela_tudo[[#This Row],[Obs]]&amp;")"</f>
        <v>EDU (REUNIÃO CCG/HAPVIDA - ONLINE)</v>
      </c>
    </row>
    <row r="4340" spans="1:14" x14ac:dyDescent="0.3">
      <c r="A4340" s="1">
        <v>45223</v>
      </c>
      <c r="B4340" t="s">
        <v>23</v>
      </c>
      <c r="C4340" t="s">
        <v>53</v>
      </c>
      <c r="D4340" s="8">
        <v>0.58333333333333337</v>
      </c>
      <c r="E4340" s="8">
        <v>0.66666666666666663</v>
      </c>
      <c r="F4340" t="s">
        <v>701</v>
      </c>
      <c r="I4340" t="s">
        <v>565</v>
      </c>
      <c r="M4340" t="s">
        <v>478</v>
      </c>
      <c r="N4340" t="str">
        <f>Tabela_tudo[[#This Row],[Médico]]&amp;" ("&amp;Tabela_tudo[[#This Row],[Obs]]&amp;")"</f>
        <v>BG (REUNIÃO DIREÇÃO HMD)</v>
      </c>
    </row>
    <row r="4341" spans="1:14" x14ac:dyDescent="0.3">
      <c r="A4341" s="1">
        <v>45089</v>
      </c>
      <c r="B4341" t="s">
        <v>142</v>
      </c>
      <c r="C4341" t="s">
        <v>53</v>
      </c>
      <c r="D4341" s="8">
        <v>0.70833333333333337</v>
      </c>
      <c r="E4341" s="8">
        <v>0.79166666666666663</v>
      </c>
      <c r="F4341" t="s">
        <v>141</v>
      </c>
      <c r="J4341" t="s">
        <v>565</v>
      </c>
      <c r="M4341" t="s">
        <v>478</v>
      </c>
      <c r="N4341" t="str">
        <f>Tabela_tudo[[#This Row],[Médico]]&amp;" ("&amp;Tabela_tudo[[#This Row],[Obs]]&amp;")"</f>
        <v>VIV (REUNIÃO MARKETING )</v>
      </c>
    </row>
    <row r="4342" spans="1:14" x14ac:dyDescent="0.3">
      <c r="A4342" s="1">
        <v>45089</v>
      </c>
      <c r="B4342" t="s">
        <v>50</v>
      </c>
      <c r="C4342" t="s">
        <v>53</v>
      </c>
      <c r="D4342" s="8">
        <v>0.70833333333333337</v>
      </c>
      <c r="E4342" s="8">
        <v>0.79166666666666663</v>
      </c>
      <c r="F4342" t="s">
        <v>141</v>
      </c>
      <c r="J4342" t="s">
        <v>565</v>
      </c>
      <c r="M4342" t="s">
        <v>478</v>
      </c>
      <c r="N4342" t="str">
        <f>Tabela_tudo[[#This Row],[Médico]]&amp;" ("&amp;Tabela_tudo[[#This Row],[Obs]]&amp;")"</f>
        <v>PJP (REUNIÃO MARKETING )</v>
      </c>
    </row>
    <row r="4343" spans="1:14" x14ac:dyDescent="0.3">
      <c r="A4343" s="1">
        <v>45089</v>
      </c>
      <c r="B4343" t="s">
        <v>17</v>
      </c>
      <c r="C4343" t="s">
        <v>53</v>
      </c>
      <c r="D4343" s="8">
        <v>0.625</v>
      </c>
      <c r="E4343" s="8">
        <v>0.66666666666666663</v>
      </c>
      <c r="F4343" t="s">
        <v>140</v>
      </c>
      <c r="I4343" t="s">
        <v>565</v>
      </c>
      <c r="M4343" t="s">
        <v>478</v>
      </c>
      <c r="N4343" t="str">
        <f>Tabela_tudo[[#This Row],[Médico]]&amp;" ("&amp;Tabela_tudo[[#This Row],[Obs]]&amp;")"</f>
        <v>FAB (CENTRO DE SIMULAÇÃO STA CASA)</v>
      </c>
    </row>
    <row r="4344" spans="1:14" x14ac:dyDescent="0.3">
      <c r="A4344" s="1">
        <v>45216</v>
      </c>
      <c r="B4344" t="s">
        <v>23</v>
      </c>
      <c r="C4344" t="s">
        <v>53</v>
      </c>
      <c r="D4344" s="8">
        <v>0.6875</v>
      </c>
      <c r="E4344" s="8">
        <v>0.72916666666666663</v>
      </c>
      <c r="F4344" t="s">
        <v>440</v>
      </c>
      <c r="J4344" t="s">
        <v>565</v>
      </c>
      <c r="M4344" t="s">
        <v>478</v>
      </c>
      <c r="N4344" t="str">
        <f>Tabela_tudo[[#This Row],[Médico]]&amp;" ("&amp;Tabela_tudo[[#This Row],[Obs]]&amp;")"</f>
        <v>BG (REUNIÃO ICFUC)</v>
      </c>
    </row>
    <row r="4345" spans="1:14" x14ac:dyDescent="0.3">
      <c r="A4345" s="1">
        <v>45173</v>
      </c>
      <c r="B4345" t="s">
        <v>50</v>
      </c>
      <c r="C4345" t="s">
        <v>53</v>
      </c>
      <c r="D4345" s="8">
        <v>0.58333333333333337</v>
      </c>
      <c r="E4345" s="8">
        <v>0.60416666666666663</v>
      </c>
      <c r="F4345" t="s">
        <v>420</v>
      </c>
      <c r="I4345" t="s">
        <v>565</v>
      </c>
      <c r="M4345" t="s">
        <v>478</v>
      </c>
      <c r="N4345" t="str">
        <f>Tabela_tudo[[#This Row],[Médico]]&amp;" ("&amp;Tabela_tudo[[#This Row],[Obs]]&amp;")"</f>
        <v>PJP (REUNIÃO C/ ESTATÍSTICO)</v>
      </c>
    </row>
    <row r="4346" spans="1:14" x14ac:dyDescent="0.3">
      <c r="A4346" s="1">
        <v>45133</v>
      </c>
      <c r="B4346" t="s">
        <v>50</v>
      </c>
      <c r="C4346" t="s">
        <v>53</v>
      </c>
      <c r="D4346" s="8">
        <v>0.75</v>
      </c>
      <c r="E4346" s="8">
        <v>0.79166666666666663</v>
      </c>
      <c r="F4346" t="s">
        <v>262</v>
      </c>
      <c r="J4346" t="s">
        <v>565</v>
      </c>
      <c r="M4346" t="s">
        <v>478</v>
      </c>
      <c r="N4346" t="str">
        <f>Tabela_tudo[[#This Row],[Médico]]&amp;" ("&amp;Tabela_tudo[[#This Row],[Obs]]&amp;")"</f>
        <v>PJP (REUNIÃO STA CASA)</v>
      </c>
    </row>
    <row r="4347" spans="1:14" x14ac:dyDescent="0.3">
      <c r="A4347" s="1">
        <v>45111</v>
      </c>
      <c r="B4347" t="s">
        <v>23</v>
      </c>
      <c r="C4347" t="s">
        <v>53</v>
      </c>
      <c r="D4347" s="8">
        <v>0.375</v>
      </c>
      <c r="E4347" s="8">
        <v>0.45833333333333331</v>
      </c>
      <c r="F4347" t="s">
        <v>221</v>
      </c>
      <c r="G4347" t="s">
        <v>565</v>
      </c>
      <c r="H4347" t="s">
        <v>565</v>
      </c>
      <c r="M4347" t="s">
        <v>478</v>
      </c>
      <c r="N4347" t="str">
        <f>Tabela_tudo[[#This Row],[Médico]]&amp;" ("&amp;Tabela_tudo[[#This Row],[Obs]]&amp;")"</f>
        <v>BG (REUNIÃO IPE)</v>
      </c>
    </row>
    <row r="4348" spans="1:14" x14ac:dyDescent="0.3">
      <c r="A4348" s="1">
        <v>45173</v>
      </c>
      <c r="B4348" t="s">
        <v>14</v>
      </c>
      <c r="C4348" t="s">
        <v>53</v>
      </c>
      <c r="D4348" s="8">
        <v>0.58333333333333337</v>
      </c>
      <c r="E4348" s="8">
        <v>0.75</v>
      </c>
      <c r="F4348" t="s">
        <v>421</v>
      </c>
      <c r="I4348" t="s">
        <v>565</v>
      </c>
      <c r="J4348" t="s">
        <v>565</v>
      </c>
      <c r="M4348" t="s">
        <v>478</v>
      </c>
      <c r="N4348" t="str">
        <f>Tabela_tudo[[#This Row],[Médico]]&amp;" ("&amp;Tabela_tudo[[#This Row],[Obs]]&amp;")"</f>
        <v>PW (REUNIÃO PPG)</v>
      </c>
    </row>
    <row r="4349" spans="1:14" x14ac:dyDescent="0.3">
      <c r="A4349" s="1">
        <v>45148</v>
      </c>
      <c r="B4349" t="s">
        <v>23</v>
      </c>
      <c r="C4349" t="s">
        <v>53</v>
      </c>
      <c r="D4349" s="8">
        <v>0.5</v>
      </c>
      <c r="E4349" s="8">
        <v>0.58333333333333337</v>
      </c>
      <c r="F4349" t="s">
        <v>317</v>
      </c>
      <c r="H4349" t="s">
        <v>565</v>
      </c>
      <c r="I4349" t="s">
        <v>565</v>
      </c>
      <c r="M4349" t="s">
        <v>478</v>
      </c>
      <c r="N4349" t="str">
        <f>Tabela_tudo[[#This Row],[Médico]]&amp;" ("&amp;Tabela_tudo[[#This Row],[Obs]]&amp;")"</f>
        <v>BG (REUNIÃO HEMO IC)</v>
      </c>
    </row>
    <row r="4350" spans="1:14" x14ac:dyDescent="0.3">
      <c r="A4350" s="1">
        <v>45148</v>
      </c>
      <c r="B4350" t="s">
        <v>23</v>
      </c>
      <c r="C4350" t="s">
        <v>53</v>
      </c>
      <c r="D4350" s="8">
        <v>0.66666666666666663</v>
      </c>
      <c r="E4350" s="8">
        <v>0.70833333333333337</v>
      </c>
      <c r="F4350" t="s">
        <v>318</v>
      </c>
      <c r="J4350" t="s">
        <v>565</v>
      </c>
      <c r="M4350" t="s">
        <v>478</v>
      </c>
      <c r="N4350" t="str">
        <f>Tabela_tudo[[#This Row],[Médico]]&amp;" ("&amp;Tabela_tudo[[#This Row],[Obs]]&amp;")"</f>
        <v>BG (REUNIÃO UNIMED )</v>
      </c>
    </row>
    <row r="4351" spans="1:14" x14ac:dyDescent="0.3">
      <c r="A4351" s="1">
        <v>45078</v>
      </c>
      <c r="B4351" t="s">
        <v>50</v>
      </c>
      <c r="C4351" t="s">
        <v>53</v>
      </c>
      <c r="D4351" s="8">
        <v>0.66666666666666663</v>
      </c>
      <c r="E4351" s="8">
        <v>0.70833333333333337</v>
      </c>
      <c r="J4351" t="s">
        <v>565</v>
      </c>
      <c r="M4351" t="s">
        <v>478</v>
      </c>
      <c r="N4351" t="str">
        <f>Tabela_tudo[[#This Row],[Médico]]&amp;" ("&amp;Tabela_tudo[[#This Row],[Obs]]&amp;")"</f>
        <v>PJP ()</v>
      </c>
    </row>
    <row r="4352" spans="1:14" x14ac:dyDescent="0.3">
      <c r="A4352" s="1">
        <v>45229</v>
      </c>
      <c r="B4352" t="s">
        <v>34</v>
      </c>
      <c r="C4352" t="s">
        <v>53</v>
      </c>
      <c r="D4352" s="8">
        <v>0.72916666666666663</v>
      </c>
      <c r="E4352" s="8">
        <v>0.77083333333333337</v>
      </c>
      <c r="F4352" t="s">
        <v>65</v>
      </c>
      <c r="J4352" t="s">
        <v>565</v>
      </c>
      <c r="M4352" t="s">
        <v>478</v>
      </c>
      <c r="N4352" t="str">
        <f>Tabela_tudo[[#This Row],[Médico]]&amp;" ("&amp;Tabela_tudo[[#This Row],[Obs]]&amp;")"</f>
        <v>LIP (REUNIÃO NO SANE)</v>
      </c>
    </row>
    <row r="4353" spans="1:14" x14ac:dyDescent="0.3">
      <c r="A4353" s="1">
        <v>45229</v>
      </c>
      <c r="B4353" t="s">
        <v>84</v>
      </c>
      <c r="C4353" t="s">
        <v>53</v>
      </c>
      <c r="D4353" s="8">
        <v>0.72916666666666663</v>
      </c>
      <c r="E4353" s="8">
        <v>0.77083333333333337</v>
      </c>
      <c r="F4353" t="s">
        <v>65</v>
      </c>
      <c r="J4353" t="s">
        <v>565</v>
      </c>
      <c r="M4353" t="s">
        <v>478</v>
      </c>
      <c r="N4353" t="str">
        <f>Tabela_tudo[[#This Row],[Médico]]&amp;" ("&amp;Tabela_tudo[[#This Row],[Obs]]&amp;")"</f>
        <v>ANO (REUNIÃO NO SANE)</v>
      </c>
    </row>
    <row r="4354" spans="1:14" x14ac:dyDescent="0.3">
      <c r="A4354" s="1">
        <v>45229</v>
      </c>
      <c r="B4354" t="s">
        <v>50</v>
      </c>
      <c r="C4354" t="s">
        <v>53</v>
      </c>
      <c r="D4354" s="8">
        <v>0.72916666666666663</v>
      </c>
      <c r="E4354" s="8">
        <v>0.77083333333333337</v>
      </c>
      <c r="F4354" t="s">
        <v>65</v>
      </c>
      <c r="J4354" t="s">
        <v>565</v>
      </c>
      <c r="M4354" t="s">
        <v>478</v>
      </c>
      <c r="N4354" t="str">
        <f>Tabela_tudo[[#This Row],[Médico]]&amp;" ("&amp;Tabela_tudo[[#This Row],[Obs]]&amp;")"</f>
        <v>PJP (REUNIÃO NO SANE)</v>
      </c>
    </row>
    <row r="4355" spans="1:14" x14ac:dyDescent="0.3">
      <c r="A4355" s="1">
        <v>45134</v>
      </c>
      <c r="B4355" t="s">
        <v>23</v>
      </c>
      <c r="C4355" t="s">
        <v>53</v>
      </c>
      <c r="D4355" s="8">
        <v>0.72916666666666663</v>
      </c>
      <c r="E4355" s="8">
        <v>0.875</v>
      </c>
      <c r="F4355" t="s">
        <v>267</v>
      </c>
      <c r="J4355" t="s">
        <v>565</v>
      </c>
      <c r="K4355" t="s">
        <v>565</v>
      </c>
      <c r="M4355" t="s">
        <v>478</v>
      </c>
      <c r="N4355" t="str">
        <f>Tabela_tudo[[#This Row],[Médico]]&amp;" ("&amp;Tabela_tudo[[#This Row],[Obs]]&amp;")"</f>
        <v>BG (REUNIÃO EXTRAORDINÁRIA DO CONSELHO EXECUTIVO)</v>
      </c>
    </row>
    <row r="4356" spans="1:14" x14ac:dyDescent="0.3">
      <c r="A4356" s="1">
        <v>45153</v>
      </c>
      <c r="B4356" t="s">
        <v>47</v>
      </c>
      <c r="C4356" t="s">
        <v>53</v>
      </c>
      <c r="D4356" s="8">
        <v>0.375</v>
      </c>
      <c r="E4356" s="8">
        <v>0.41666666666666669</v>
      </c>
      <c r="F4356" t="s">
        <v>325</v>
      </c>
      <c r="G4356" t="s">
        <v>565</v>
      </c>
      <c r="M4356" t="s">
        <v>478</v>
      </c>
      <c r="N4356" t="str">
        <f>Tabela_tudo[[#This Row],[Médico]]&amp;" ("&amp;Tabela_tudo[[#This Row],[Obs]]&amp;")"</f>
        <v>VIN (REUNIÃO CARDIOLOGIA )</v>
      </c>
    </row>
    <row r="4357" spans="1:14" x14ac:dyDescent="0.3">
      <c r="A4357" s="1">
        <v>45153</v>
      </c>
      <c r="B4357" t="s">
        <v>23</v>
      </c>
      <c r="C4357" t="s">
        <v>53</v>
      </c>
      <c r="D4357" s="8">
        <v>0.375</v>
      </c>
      <c r="E4357" s="8">
        <v>0.41666666666666669</v>
      </c>
      <c r="F4357" t="s">
        <v>325</v>
      </c>
      <c r="G4357" t="s">
        <v>565</v>
      </c>
      <c r="M4357" t="s">
        <v>478</v>
      </c>
      <c r="N4357" t="str">
        <f>Tabela_tudo[[#This Row],[Médico]]&amp;" ("&amp;Tabela_tudo[[#This Row],[Obs]]&amp;")"</f>
        <v>BG (REUNIÃO CARDIOLOGIA )</v>
      </c>
    </row>
    <row r="4358" spans="1:14" x14ac:dyDescent="0.3">
      <c r="A4358" s="1">
        <v>45111</v>
      </c>
      <c r="B4358" t="s">
        <v>73</v>
      </c>
      <c r="C4358" t="s">
        <v>53</v>
      </c>
      <c r="D4358" s="8">
        <v>0.5</v>
      </c>
      <c r="E4358" s="8">
        <v>0.54166666666666663</v>
      </c>
      <c r="F4358" t="s">
        <v>92</v>
      </c>
      <c r="H4358" t="s">
        <v>565</v>
      </c>
      <c r="M4358" t="s">
        <v>478</v>
      </c>
      <c r="N4358" t="str">
        <f>Tabela_tudo[[#This Row],[Médico]]&amp;" ("&amp;Tabela_tudo[[#This Row],[Obs]]&amp;")"</f>
        <v>RT (REUNIÃO COREME ICFUC )</v>
      </c>
    </row>
    <row r="4359" spans="1:14" x14ac:dyDescent="0.3">
      <c r="A4359" s="1">
        <v>45113</v>
      </c>
      <c r="B4359" t="s">
        <v>12</v>
      </c>
      <c r="C4359" t="s">
        <v>53</v>
      </c>
      <c r="D4359" s="8">
        <v>0.33333333333333331</v>
      </c>
      <c r="E4359" s="8">
        <v>0.41666666666666669</v>
      </c>
      <c r="F4359" t="s">
        <v>199</v>
      </c>
      <c r="G4359" t="s">
        <v>565</v>
      </c>
      <c r="M4359" t="s">
        <v>478</v>
      </c>
      <c r="N4359" t="str">
        <f>Tabela_tudo[[#This Row],[Médico]]&amp;" ("&amp;Tabela_tudo[[#This Row],[Obs]]&amp;")"</f>
        <v>EDU (EMPRESA DE COBRANÇA )</v>
      </c>
    </row>
    <row r="4360" spans="1:14" x14ac:dyDescent="0.3">
      <c r="A4360" s="1">
        <v>45131</v>
      </c>
      <c r="B4360" t="s">
        <v>50</v>
      </c>
      <c r="C4360" t="s">
        <v>53</v>
      </c>
      <c r="D4360" s="8">
        <v>0.77083333333333337</v>
      </c>
      <c r="E4360" s="8">
        <v>0.91666666666666663</v>
      </c>
      <c r="F4360" t="s">
        <v>256</v>
      </c>
      <c r="J4360" t="s">
        <v>565</v>
      </c>
      <c r="K4360" t="s">
        <v>565</v>
      </c>
      <c r="M4360" t="s">
        <v>478</v>
      </c>
      <c r="N4360" t="str">
        <f>Tabela_tudo[[#This Row],[Médico]]&amp;" ("&amp;Tabela_tudo[[#This Row],[Obs]]&amp;")"</f>
        <v>PJP (REUNIÃO HMV )</v>
      </c>
    </row>
    <row r="4361" spans="1:14" x14ac:dyDescent="0.3">
      <c r="A4361" s="1">
        <v>45148</v>
      </c>
      <c r="B4361" t="s">
        <v>50</v>
      </c>
      <c r="C4361" t="s">
        <v>53</v>
      </c>
      <c r="D4361" s="8">
        <v>0.66666666666666663</v>
      </c>
      <c r="E4361" s="8">
        <v>0.70833333333333337</v>
      </c>
      <c r="F4361" t="s">
        <v>315</v>
      </c>
      <c r="J4361" t="s">
        <v>565</v>
      </c>
      <c r="M4361" t="s">
        <v>478</v>
      </c>
      <c r="N4361" t="str">
        <f>Tabela_tudo[[#This Row],[Médico]]&amp;" ("&amp;Tabela_tudo[[#This Row],[Obs]]&amp;")"</f>
        <v>PJP (REUNIÃO STC)</v>
      </c>
    </row>
    <row r="4362" spans="1:14" x14ac:dyDescent="0.3">
      <c r="A4362" s="1">
        <v>45071</v>
      </c>
      <c r="B4362" t="s">
        <v>23</v>
      </c>
      <c r="C4362" t="s">
        <v>53</v>
      </c>
      <c r="D4362" s="8">
        <v>0.70833333333333337</v>
      </c>
      <c r="E4362" s="8">
        <v>0.83333333333333337</v>
      </c>
      <c r="F4362" t="s">
        <v>106</v>
      </c>
      <c r="J4362" t="s">
        <v>565</v>
      </c>
      <c r="K4362" t="s">
        <v>565</v>
      </c>
      <c r="M4362" t="s">
        <v>478</v>
      </c>
      <c r="N4362" t="str">
        <f>Tabela_tudo[[#This Row],[Médico]]&amp;" ("&amp;Tabela_tudo[[#This Row],[Obs]]&amp;")"</f>
        <v>BG (REUNIÃO UNIMED)</v>
      </c>
    </row>
    <row r="4363" spans="1:14" x14ac:dyDescent="0.3">
      <c r="A4363" s="1">
        <v>45084</v>
      </c>
      <c r="B4363" t="s">
        <v>63</v>
      </c>
      <c r="C4363" t="s">
        <v>53</v>
      </c>
      <c r="D4363" s="8">
        <v>0.58333333333333337</v>
      </c>
      <c r="E4363" s="8">
        <v>0.66666666666666663</v>
      </c>
      <c r="F4363" t="s">
        <v>129</v>
      </c>
      <c r="I4363" t="s">
        <v>565</v>
      </c>
      <c r="M4363" t="s">
        <v>478</v>
      </c>
      <c r="N4363" t="str">
        <f>Tabela_tudo[[#This Row],[Médico]]&amp;" ("&amp;Tabela_tudo[[#This Row],[Obs]]&amp;")"</f>
        <v>FQ (CEP HED - REUNIÃO )</v>
      </c>
    </row>
    <row r="4364" spans="1:14" x14ac:dyDescent="0.3">
      <c r="A4364" s="1">
        <v>45216</v>
      </c>
      <c r="B4364" t="s">
        <v>12</v>
      </c>
      <c r="C4364" t="s">
        <v>53</v>
      </c>
      <c r="D4364" s="8">
        <v>0.6875</v>
      </c>
      <c r="E4364" s="8">
        <v>0.72916666666666663</v>
      </c>
      <c r="F4364" t="s">
        <v>440</v>
      </c>
      <c r="J4364" t="s">
        <v>565</v>
      </c>
      <c r="M4364" t="s">
        <v>478</v>
      </c>
      <c r="N4364" t="str">
        <f>Tabela_tudo[[#This Row],[Médico]]&amp;" ("&amp;Tabela_tudo[[#This Row],[Obs]]&amp;")"</f>
        <v>EDU (REUNIÃO ICFUC)</v>
      </c>
    </row>
    <row r="4365" spans="1:14" x14ac:dyDescent="0.3">
      <c r="A4365" s="1">
        <v>45181</v>
      </c>
      <c r="B4365" t="s">
        <v>33</v>
      </c>
      <c r="C4365" t="s">
        <v>53</v>
      </c>
      <c r="D4365" s="8">
        <v>0.60416666666666663</v>
      </c>
      <c r="E4365" s="8">
        <v>0.64583333333333337</v>
      </c>
      <c r="F4365" t="s">
        <v>615</v>
      </c>
      <c r="I4365" t="s">
        <v>565</v>
      </c>
      <c r="M4365" t="s">
        <v>478</v>
      </c>
      <c r="N4365" t="str">
        <f>Tabela_tudo[[#This Row],[Médico]]&amp;" ("&amp;Tabela_tudo[[#This Row],[Obs]]&amp;")"</f>
        <v>DIF (REUNIÃO SANTA CASA )</v>
      </c>
    </row>
    <row r="4366" spans="1:14" x14ac:dyDescent="0.3">
      <c r="A4366" s="1">
        <v>45219</v>
      </c>
      <c r="B4366" t="s">
        <v>50</v>
      </c>
      <c r="C4366" t="s">
        <v>53</v>
      </c>
      <c r="D4366" s="8">
        <v>0.6875</v>
      </c>
      <c r="E4366" s="8">
        <v>0.72916666666666663</v>
      </c>
      <c r="F4366" t="s">
        <v>713</v>
      </c>
      <c r="J4366" t="s">
        <v>565</v>
      </c>
      <c r="M4366" t="s">
        <v>478</v>
      </c>
      <c r="N4366" t="str">
        <f>Tabela_tudo[[#This Row],[Médico]]&amp;" ("&amp;Tabela_tudo[[#This Row],[Obs]]&amp;")"</f>
        <v>PJP (REUNIAO EST ONLINE)</v>
      </c>
    </row>
    <row r="4367" spans="1:14" x14ac:dyDescent="0.3">
      <c r="A4367" s="1">
        <v>45082</v>
      </c>
      <c r="B4367" t="s">
        <v>73</v>
      </c>
      <c r="C4367" t="s">
        <v>53</v>
      </c>
      <c r="D4367" s="8">
        <v>0.83333333333333337</v>
      </c>
      <c r="E4367" s="8">
        <v>0.91666666666666663</v>
      </c>
      <c r="F4367" t="s">
        <v>121</v>
      </c>
      <c r="K4367" t="s">
        <v>565</v>
      </c>
      <c r="M4367" t="s">
        <v>478</v>
      </c>
      <c r="N4367" t="str">
        <f>Tabela_tudo[[#This Row],[Médico]]&amp;" ("&amp;Tabela_tudo[[#This Row],[Obs]]&amp;")"</f>
        <v>RT (REUNIÃO CET SBA REGIÃO SUL ONLINE)</v>
      </c>
    </row>
    <row r="4368" spans="1:14" x14ac:dyDescent="0.3">
      <c r="A4368" s="1">
        <v>45148</v>
      </c>
      <c r="B4368" t="s">
        <v>12</v>
      </c>
      <c r="C4368" t="s">
        <v>53</v>
      </c>
      <c r="D4368" s="8">
        <v>0.5</v>
      </c>
      <c r="E4368" s="8">
        <v>0.58333333333333337</v>
      </c>
      <c r="F4368" t="s">
        <v>317</v>
      </c>
      <c r="H4368" t="s">
        <v>565</v>
      </c>
      <c r="I4368" t="s">
        <v>565</v>
      </c>
      <c r="M4368" t="s">
        <v>478</v>
      </c>
      <c r="N4368" t="str">
        <f>Tabela_tudo[[#This Row],[Médico]]&amp;" ("&amp;Tabela_tudo[[#This Row],[Obs]]&amp;")"</f>
        <v>EDU (REUNIÃO HEMO IC)</v>
      </c>
    </row>
    <row r="4369" spans="1:14" x14ac:dyDescent="0.3">
      <c r="A4369" s="1">
        <v>45219</v>
      </c>
      <c r="B4369" t="s">
        <v>73</v>
      </c>
      <c r="C4369" t="s">
        <v>53</v>
      </c>
      <c r="D4369" s="8">
        <v>0.6875</v>
      </c>
      <c r="E4369" s="8">
        <v>0.72916666666666663</v>
      </c>
      <c r="F4369" t="s">
        <v>713</v>
      </c>
      <c r="J4369" t="s">
        <v>565</v>
      </c>
      <c r="M4369" t="s">
        <v>478</v>
      </c>
      <c r="N4369" t="str">
        <f>Tabela_tudo[[#This Row],[Médico]]&amp;" ("&amp;Tabela_tudo[[#This Row],[Obs]]&amp;")"</f>
        <v>RT (REUNIAO EST ONLINE)</v>
      </c>
    </row>
    <row r="4370" spans="1:14" x14ac:dyDescent="0.3">
      <c r="A4370" s="1">
        <v>45218</v>
      </c>
      <c r="B4370" t="s">
        <v>50</v>
      </c>
      <c r="C4370" t="s">
        <v>53</v>
      </c>
      <c r="D4370" s="8">
        <v>0.66666666666666663</v>
      </c>
      <c r="E4370" s="8">
        <v>0.91666666666666663</v>
      </c>
      <c r="F4370" t="s">
        <v>710</v>
      </c>
      <c r="J4370" t="s">
        <v>565</v>
      </c>
      <c r="K4370" t="s">
        <v>565</v>
      </c>
      <c r="M4370" t="s">
        <v>478</v>
      </c>
      <c r="N4370" t="str">
        <f>Tabela_tudo[[#This Row],[Médico]]&amp;" ("&amp;Tabela_tudo[[#This Row],[Obs]]&amp;")"</f>
        <v>PJP (EVENTO STC)</v>
      </c>
    </row>
    <row r="4371" spans="1:14" x14ac:dyDescent="0.3">
      <c r="A4371" s="1">
        <v>45113</v>
      </c>
      <c r="B4371" t="s">
        <v>12</v>
      </c>
      <c r="C4371" t="s">
        <v>53</v>
      </c>
      <c r="D4371" s="8">
        <v>0.41666666666666669</v>
      </c>
      <c r="E4371" s="8">
        <v>0.45833333333333331</v>
      </c>
      <c r="F4371" t="s">
        <v>200</v>
      </c>
      <c r="H4371" t="s">
        <v>565</v>
      </c>
      <c r="M4371" t="s">
        <v>478</v>
      </c>
      <c r="N4371" t="str">
        <f>Tabela_tudo[[#This Row],[Médico]]&amp;" ("&amp;Tabela_tudo[[#This Row],[Obs]]&amp;")"</f>
        <v>EDU (ADVOGADO )</v>
      </c>
    </row>
    <row r="4372" spans="1:14" x14ac:dyDescent="0.3">
      <c r="A4372" s="1">
        <v>45113</v>
      </c>
      <c r="B4372" t="s">
        <v>12</v>
      </c>
      <c r="C4372" t="s">
        <v>53</v>
      </c>
      <c r="D4372" s="8">
        <v>0.45833333333333331</v>
      </c>
      <c r="E4372" s="8">
        <v>0.5</v>
      </c>
      <c r="F4372" t="s">
        <v>202</v>
      </c>
      <c r="H4372" t="s">
        <v>565</v>
      </c>
      <c r="M4372" t="s">
        <v>478</v>
      </c>
      <c r="N4372" t="str">
        <f>Tabela_tudo[[#This Row],[Médico]]&amp;" ("&amp;Tabela_tudo[[#This Row],[Obs]]&amp;")"</f>
        <v>EDU (DIEGO GALBINSK)</v>
      </c>
    </row>
    <row r="4373" spans="1:14" x14ac:dyDescent="0.3">
      <c r="A4373" s="1">
        <v>45156</v>
      </c>
      <c r="B4373" t="s">
        <v>50</v>
      </c>
      <c r="C4373" t="s">
        <v>53</v>
      </c>
      <c r="D4373" s="8">
        <v>0.4375</v>
      </c>
      <c r="E4373" s="8">
        <v>0.47916666666666669</v>
      </c>
      <c r="F4373" t="s">
        <v>325</v>
      </c>
      <c r="H4373" t="s">
        <v>565</v>
      </c>
      <c r="M4373" t="s">
        <v>478</v>
      </c>
      <c r="N4373" t="str">
        <f>Tabela_tudo[[#This Row],[Médico]]&amp;" ("&amp;Tabela_tudo[[#This Row],[Obs]]&amp;")"</f>
        <v>PJP (REUNIÃO CARDIOLOGIA )</v>
      </c>
    </row>
    <row r="4374" spans="1:14" x14ac:dyDescent="0.3">
      <c r="A4374" s="1">
        <v>45069</v>
      </c>
      <c r="B4374" t="s">
        <v>23</v>
      </c>
      <c r="C4374" t="s">
        <v>53</v>
      </c>
      <c r="D4374" s="8">
        <v>0.70833333333333337</v>
      </c>
      <c r="E4374" s="8">
        <v>0.83333333333333337</v>
      </c>
      <c r="F4374" t="s">
        <v>93</v>
      </c>
      <c r="J4374" t="s">
        <v>565</v>
      </c>
      <c r="K4374" t="s">
        <v>565</v>
      </c>
      <c r="M4374" t="s">
        <v>478</v>
      </c>
      <c r="N4374" t="str">
        <f>Tabela_tudo[[#This Row],[Médico]]&amp;" ("&amp;Tabela_tudo[[#This Row],[Obs]]&amp;")"</f>
        <v>BG (REUNIÃO THIAGO)</v>
      </c>
    </row>
    <row r="4375" spans="1:14" x14ac:dyDescent="0.3">
      <c r="A4375" s="1">
        <v>45168</v>
      </c>
      <c r="B4375" t="s">
        <v>34</v>
      </c>
      <c r="C4375" t="s">
        <v>53</v>
      </c>
      <c r="D4375" s="8">
        <v>0.33333333333333331</v>
      </c>
      <c r="E4375" s="8">
        <v>0.45833333333333331</v>
      </c>
      <c r="F4375" t="s">
        <v>414</v>
      </c>
      <c r="G4375" t="s">
        <v>565</v>
      </c>
      <c r="H4375" t="s">
        <v>565</v>
      </c>
      <c r="M4375" t="s">
        <v>478</v>
      </c>
      <c r="N4375" t="str">
        <f>Tabela_tudo[[#This Row],[Médico]]&amp;" ("&amp;Tabela_tudo[[#This Row],[Obs]]&amp;")"</f>
        <v>LIP (REUNIÃO ESCALA DE VERÃO )</v>
      </c>
    </row>
    <row r="4376" spans="1:14" x14ac:dyDescent="0.3">
      <c r="A4376" s="1">
        <v>45069</v>
      </c>
      <c r="B4376" t="s">
        <v>73</v>
      </c>
      <c r="C4376" t="s">
        <v>53</v>
      </c>
      <c r="D4376" s="8">
        <v>0.5</v>
      </c>
      <c r="E4376" s="8">
        <v>0.83333333333333337</v>
      </c>
      <c r="F4376" t="s">
        <v>92</v>
      </c>
      <c r="H4376" t="s">
        <v>565</v>
      </c>
      <c r="I4376" t="s">
        <v>565</v>
      </c>
      <c r="J4376" t="s">
        <v>565</v>
      </c>
      <c r="K4376" t="s">
        <v>565</v>
      </c>
      <c r="M4376" t="s">
        <v>478</v>
      </c>
      <c r="N4376" t="str">
        <f>Tabela_tudo[[#This Row],[Médico]]&amp;" ("&amp;Tabela_tudo[[#This Row],[Obs]]&amp;")"</f>
        <v>RT (REUNIÃO COREME ICFUC )</v>
      </c>
    </row>
    <row r="4377" spans="1:14" x14ac:dyDescent="0.3">
      <c r="A4377" s="1">
        <v>45175</v>
      </c>
      <c r="B4377" t="s">
        <v>73</v>
      </c>
      <c r="C4377" t="s">
        <v>53</v>
      </c>
      <c r="D4377" s="8">
        <v>0.47916666666666669</v>
      </c>
      <c r="E4377" s="8">
        <v>0.52083333333333337</v>
      </c>
      <c r="F4377" t="s">
        <v>442</v>
      </c>
      <c r="H4377" t="s">
        <v>565</v>
      </c>
      <c r="M4377" t="s">
        <v>478</v>
      </c>
      <c r="N4377" t="str">
        <f>Tabela_tudo[[#This Row],[Médico]]&amp;" ("&amp;Tabela_tudo[[#This Row],[Obs]]&amp;")"</f>
        <v>RT (REUNIÃO NO HMV)</v>
      </c>
    </row>
    <row r="4378" spans="1:14" x14ac:dyDescent="0.3">
      <c r="A4378" s="1">
        <v>45069</v>
      </c>
      <c r="B4378" t="s">
        <v>12</v>
      </c>
      <c r="C4378" t="s">
        <v>53</v>
      </c>
      <c r="D4378" s="8">
        <v>0.75</v>
      </c>
      <c r="E4378" s="8">
        <v>0.83333333333333337</v>
      </c>
      <c r="F4378" t="s">
        <v>89</v>
      </c>
      <c r="J4378" t="s">
        <v>565</v>
      </c>
      <c r="K4378" t="s">
        <v>565</v>
      </c>
      <c r="M4378" t="s">
        <v>478</v>
      </c>
      <c r="N4378" t="str">
        <f>Tabela_tudo[[#This Row],[Médico]]&amp;" ("&amp;Tabela_tudo[[#This Row],[Obs]]&amp;")"</f>
        <v>EDU (REUNIÃO CONSELHO )</v>
      </c>
    </row>
    <row r="4379" spans="1:14" x14ac:dyDescent="0.3">
      <c r="A4379" s="1">
        <v>45034</v>
      </c>
      <c r="B4379" t="s">
        <v>12</v>
      </c>
      <c r="C4379" t="s">
        <v>53</v>
      </c>
      <c r="D4379" s="8">
        <v>0.57291666666666663</v>
      </c>
      <c r="E4379" s="8">
        <v>0.61458333333333337</v>
      </c>
      <c r="I4379" t="s">
        <v>565</v>
      </c>
      <c r="M4379" t="s">
        <v>478</v>
      </c>
      <c r="N4379" t="str">
        <f>Tabela_tudo[[#This Row],[Médico]]&amp;" ("&amp;Tabela_tudo[[#This Row],[Obs]]&amp;")"</f>
        <v>EDU ()</v>
      </c>
    </row>
    <row r="4380" spans="1:14" x14ac:dyDescent="0.3">
      <c r="A4380" s="1">
        <v>45161</v>
      </c>
      <c r="B4380" t="s">
        <v>20</v>
      </c>
      <c r="C4380" t="s">
        <v>53</v>
      </c>
      <c r="D4380" s="8">
        <v>0.66666666666666663</v>
      </c>
      <c r="E4380" s="8">
        <v>0.70833333333333337</v>
      </c>
      <c r="F4380" t="s">
        <v>353</v>
      </c>
      <c r="J4380" t="s">
        <v>565</v>
      </c>
      <c r="M4380" t="s">
        <v>478</v>
      </c>
      <c r="N4380" t="str">
        <f>Tabela_tudo[[#This Row],[Médico]]&amp;" ("&amp;Tabela_tudo[[#This Row],[Obs]]&amp;")"</f>
        <v>ROB (JOA E ROB NO SANE REUNIÃO FÉRIAS DE VERÃO)</v>
      </c>
    </row>
    <row r="4381" spans="1:14" x14ac:dyDescent="0.3">
      <c r="A4381" s="1">
        <v>45161</v>
      </c>
      <c r="B4381" t="s">
        <v>29</v>
      </c>
      <c r="C4381" t="s">
        <v>53</v>
      </c>
      <c r="D4381" s="8">
        <v>0.66666666666666663</v>
      </c>
      <c r="E4381" s="8">
        <v>0.70833333333333337</v>
      </c>
      <c r="F4381" t="s">
        <v>353</v>
      </c>
      <c r="J4381" t="s">
        <v>565</v>
      </c>
      <c r="M4381" t="s">
        <v>478</v>
      </c>
      <c r="N4381" t="str">
        <f>Tabela_tudo[[#This Row],[Médico]]&amp;" ("&amp;Tabela_tudo[[#This Row],[Obs]]&amp;")"</f>
        <v>JOA (JOA E ROB NO SANE REUNIÃO FÉRIAS DE VERÃO)</v>
      </c>
    </row>
    <row r="4382" spans="1:14" x14ac:dyDescent="0.3">
      <c r="A4382" s="1">
        <v>45069</v>
      </c>
      <c r="B4382" t="s">
        <v>12</v>
      </c>
      <c r="C4382" t="s">
        <v>53</v>
      </c>
      <c r="D4382" s="8">
        <v>0.70833333333333337</v>
      </c>
      <c r="E4382" s="8">
        <v>0.83333333333333337</v>
      </c>
      <c r="F4382" t="s">
        <v>93</v>
      </c>
      <c r="J4382" t="s">
        <v>565</v>
      </c>
      <c r="K4382" t="s">
        <v>565</v>
      </c>
      <c r="M4382" t="s">
        <v>478</v>
      </c>
      <c r="N4382" t="str">
        <f>Tabela_tudo[[#This Row],[Médico]]&amp;" ("&amp;Tabela_tudo[[#This Row],[Obs]]&amp;")"</f>
        <v>EDU (REUNIÃO THIAGO)</v>
      </c>
    </row>
    <row r="4383" spans="1:14" x14ac:dyDescent="0.3">
      <c r="A4383" s="1">
        <v>45168</v>
      </c>
      <c r="B4383" t="s">
        <v>66</v>
      </c>
      <c r="C4383" t="s">
        <v>53</v>
      </c>
      <c r="D4383" s="8">
        <v>0.79166666666666663</v>
      </c>
      <c r="E4383" s="8">
        <v>0.89583333333333337</v>
      </c>
      <c r="F4383" t="s">
        <v>415</v>
      </c>
      <c r="K4383" t="s">
        <v>565</v>
      </c>
      <c r="M4383" t="s">
        <v>478</v>
      </c>
      <c r="N4383" t="str">
        <f>Tabela_tudo[[#This Row],[Médico]]&amp;" ("&amp;Tabela_tudo[[#This Row],[Obs]]&amp;")"</f>
        <v>MOZ (REUNIÃO TCC)</v>
      </c>
    </row>
    <row r="4384" spans="1:14" x14ac:dyDescent="0.3">
      <c r="A4384" s="1">
        <v>45069</v>
      </c>
      <c r="B4384" t="s">
        <v>29</v>
      </c>
      <c r="C4384" t="s">
        <v>53</v>
      </c>
      <c r="D4384" s="8">
        <v>0.75</v>
      </c>
      <c r="E4384" s="8">
        <v>0.83333333333333337</v>
      </c>
      <c r="F4384" t="s">
        <v>89</v>
      </c>
      <c r="J4384" t="s">
        <v>565</v>
      </c>
      <c r="K4384" t="s">
        <v>565</v>
      </c>
      <c r="M4384" t="s">
        <v>478</v>
      </c>
      <c r="N4384" t="str">
        <f>Tabela_tudo[[#This Row],[Médico]]&amp;" ("&amp;Tabela_tudo[[#This Row],[Obs]]&amp;")"</f>
        <v>JOA (REUNIÃO CONSELHO )</v>
      </c>
    </row>
    <row r="4385" spans="1:14" x14ac:dyDescent="0.3">
      <c r="A4385" s="1">
        <v>45069</v>
      </c>
      <c r="B4385" t="s">
        <v>23</v>
      </c>
      <c r="C4385" t="s">
        <v>53</v>
      </c>
      <c r="D4385" s="8">
        <v>0.75</v>
      </c>
      <c r="E4385" s="8">
        <v>0.83333333333333337</v>
      </c>
      <c r="F4385" t="s">
        <v>89</v>
      </c>
      <c r="J4385" t="s">
        <v>565</v>
      </c>
      <c r="K4385" t="s">
        <v>565</v>
      </c>
      <c r="M4385" t="s">
        <v>478</v>
      </c>
      <c r="N4385" t="str">
        <f>Tabela_tudo[[#This Row],[Médico]]&amp;" ("&amp;Tabela_tudo[[#This Row],[Obs]]&amp;")"</f>
        <v>BG (REUNIÃO CONSELHO )</v>
      </c>
    </row>
    <row r="4386" spans="1:14" x14ac:dyDescent="0.3">
      <c r="A4386" s="1">
        <v>45069</v>
      </c>
      <c r="B4386" t="s">
        <v>20</v>
      </c>
      <c r="C4386" t="s">
        <v>53</v>
      </c>
      <c r="D4386" s="8">
        <v>0.75</v>
      </c>
      <c r="E4386" s="8">
        <v>0.83333333333333337</v>
      </c>
      <c r="F4386" t="s">
        <v>89</v>
      </c>
      <c r="J4386" t="s">
        <v>565</v>
      </c>
      <c r="K4386" t="s">
        <v>565</v>
      </c>
      <c r="M4386" t="s">
        <v>478</v>
      </c>
      <c r="N4386" t="str">
        <f>Tabela_tudo[[#This Row],[Médico]]&amp;" ("&amp;Tabela_tudo[[#This Row],[Obs]]&amp;")"</f>
        <v>ROB (REUNIÃO CONSELHO )</v>
      </c>
    </row>
    <row r="4387" spans="1:14" x14ac:dyDescent="0.3">
      <c r="A4387" s="1">
        <v>45091</v>
      </c>
      <c r="B4387" t="s">
        <v>47</v>
      </c>
      <c r="C4387" t="s">
        <v>53</v>
      </c>
      <c r="D4387" s="8">
        <v>0.79166666666666663</v>
      </c>
      <c r="E4387" s="8">
        <v>0.91666666666666663</v>
      </c>
      <c r="F4387" t="s">
        <v>151</v>
      </c>
      <c r="K4387" t="s">
        <v>565</v>
      </c>
      <c r="M4387" t="s">
        <v>478</v>
      </c>
      <c r="N4387" t="str">
        <f>Tabela_tudo[[#This Row],[Médico]]&amp;" ("&amp;Tabela_tudo[[#This Row],[Obs]]&amp;")"</f>
        <v>VIN (AULA LIGA DE ANESTESIOLOGIA )</v>
      </c>
    </row>
    <row r="4388" spans="1:14" x14ac:dyDescent="0.3">
      <c r="A4388" s="1">
        <v>45160</v>
      </c>
      <c r="B4388" t="s">
        <v>23</v>
      </c>
      <c r="C4388" t="s">
        <v>53</v>
      </c>
      <c r="D4388" s="8">
        <v>0.58333333333333337</v>
      </c>
      <c r="E4388" s="8">
        <v>0.625</v>
      </c>
      <c r="F4388" t="s">
        <v>346</v>
      </c>
      <c r="I4388" t="s">
        <v>565</v>
      </c>
      <c r="M4388" t="s">
        <v>478</v>
      </c>
      <c r="N4388" t="str">
        <f>Tabela_tudo[[#This Row],[Médico]]&amp;" ("&amp;Tabela_tudo[[#This Row],[Obs]]&amp;")"</f>
        <v>BG (REUNIÃO AGENTE EXTERNO )</v>
      </c>
    </row>
    <row r="4389" spans="1:14" x14ac:dyDescent="0.3">
      <c r="A4389" s="1">
        <v>45160</v>
      </c>
      <c r="B4389" t="s">
        <v>23</v>
      </c>
      <c r="C4389" t="s">
        <v>53</v>
      </c>
      <c r="D4389" s="8">
        <v>0.70833333333333337</v>
      </c>
      <c r="E4389" s="8">
        <v>0.75</v>
      </c>
      <c r="F4389" t="s">
        <v>347</v>
      </c>
      <c r="J4389" t="s">
        <v>565</v>
      </c>
      <c r="M4389" t="s">
        <v>478</v>
      </c>
      <c r="N4389" t="str">
        <f>Tabela_tudo[[#This Row],[Médico]]&amp;" ("&amp;Tabela_tudo[[#This Row],[Obs]]&amp;")"</f>
        <v>BG (REUNIÃO ADVOGADO THOMAZ - SANE)</v>
      </c>
    </row>
    <row r="4390" spans="1:14" x14ac:dyDescent="0.3">
      <c r="A4390" s="1">
        <v>45069</v>
      </c>
      <c r="B4390" t="s">
        <v>50</v>
      </c>
      <c r="C4390" t="s">
        <v>53</v>
      </c>
      <c r="D4390" s="8">
        <v>0.75</v>
      </c>
      <c r="E4390" s="8">
        <v>0.83333333333333337</v>
      </c>
      <c r="F4390" t="s">
        <v>89</v>
      </c>
      <c r="J4390" t="s">
        <v>565</v>
      </c>
      <c r="K4390" t="s">
        <v>565</v>
      </c>
      <c r="M4390" t="s">
        <v>478</v>
      </c>
      <c r="N4390" t="str">
        <f>Tabela_tudo[[#This Row],[Médico]]&amp;" ("&amp;Tabela_tudo[[#This Row],[Obs]]&amp;")"</f>
        <v>PJP (REUNIÃO CONSELHO )</v>
      </c>
    </row>
    <row r="4391" spans="1:14" x14ac:dyDescent="0.3">
      <c r="A4391" s="1">
        <v>45069</v>
      </c>
      <c r="B4391" t="s">
        <v>47</v>
      </c>
      <c r="C4391" t="s">
        <v>53</v>
      </c>
      <c r="D4391" s="8">
        <v>0.75</v>
      </c>
      <c r="E4391" s="8">
        <v>0.83333333333333337</v>
      </c>
      <c r="F4391" t="s">
        <v>89</v>
      </c>
      <c r="J4391" t="s">
        <v>565</v>
      </c>
      <c r="K4391" t="s">
        <v>565</v>
      </c>
      <c r="M4391" t="s">
        <v>478</v>
      </c>
      <c r="N4391" t="str">
        <f>Tabela_tudo[[#This Row],[Médico]]&amp;" ("&amp;Tabela_tudo[[#This Row],[Obs]]&amp;")"</f>
        <v>VIN (REUNIÃO CONSELHO )</v>
      </c>
    </row>
    <row r="4392" spans="1:14" x14ac:dyDescent="0.3">
      <c r="A4392" s="1">
        <v>45146</v>
      </c>
      <c r="B4392" t="s">
        <v>73</v>
      </c>
      <c r="C4392" t="s">
        <v>53</v>
      </c>
      <c r="D4392" s="8">
        <v>0.45833333333333331</v>
      </c>
      <c r="E4392" s="8">
        <v>0.54166666666666663</v>
      </c>
      <c r="F4392" t="s">
        <v>303</v>
      </c>
      <c r="H4392" t="s">
        <v>565</v>
      </c>
      <c r="M4392" t="s">
        <v>478</v>
      </c>
      <c r="N4392" t="str">
        <f>Tabela_tudo[[#This Row],[Médico]]&amp;" ("&amp;Tabela_tudo[[#This Row],[Obs]]&amp;")"</f>
        <v>RT (REUNIÃO COREME HED - 11º ANDAR)</v>
      </c>
    </row>
    <row r="4393" spans="1:14" x14ac:dyDescent="0.3">
      <c r="A4393" s="1">
        <v>45161</v>
      </c>
      <c r="B4393" t="s">
        <v>47</v>
      </c>
      <c r="C4393" t="s">
        <v>53</v>
      </c>
      <c r="D4393" s="8">
        <v>0.625</v>
      </c>
      <c r="E4393" s="8">
        <v>0.75</v>
      </c>
      <c r="F4393" t="s">
        <v>352</v>
      </c>
      <c r="I4393" t="s">
        <v>565</v>
      </c>
      <c r="J4393" t="s">
        <v>565</v>
      </c>
      <c r="M4393" t="s">
        <v>478</v>
      </c>
      <c r="N4393" t="str">
        <f>Tabela_tudo[[#This Row],[Médico]]&amp;" ("&amp;Tabela_tudo[[#This Row],[Obs]]&amp;")"</f>
        <v>VIN (palestra NeuroSul)</v>
      </c>
    </row>
    <row r="4394" spans="1:14" x14ac:dyDescent="0.3">
      <c r="A4394" s="1">
        <v>45069</v>
      </c>
      <c r="B4394" t="s">
        <v>73</v>
      </c>
      <c r="C4394" t="s">
        <v>53</v>
      </c>
      <c r="D4394" s="8">
        <v>0.75</v>
      </c>
      <c r="E4394" s="8">
        <v>0.83333333333333337</v>
      </c>
      <c r="F4394" t="s">
        <v>89</v>
      </c>
      <c r="J4394" t="s">
        <v>565</v>
      </c>
      <c r="K4394" t="s">
        <v>565</v>
      </c>
      <c r="M4394" t="s">
        <v>478</v>
      </c>
      <c r="N4394" t="str">
        <f>Tabela_tudo[[#This Row],[Médico]]&amp;" ("&amp;Tabela_tudo[[#This Row],[Obs]]&amp;")"</f>
        <v>RT (REUNIÃO CONSELHO )</v>
      </c>
    </row>
    <row r="4395" spans="1:14" x14ac:dyDescent="0.3">
      <c r="A4395" s="1">
        <v>45175</v>
      </c>
      <c r="B4395" t="s">
        <v>23</v>
      </c>
      <c r="C4395" t="s">
        <v>53</v>
      </c>
      <c r="D4395" s="8">
        <v>0.39583333333333331</v>
      </c>
      <c r="E4395" s="8">
        <v>0.4375</v>
      </c>
      <c r="F4395" t="s">
        <v>440</v>
      </c>
      <c r="G4395" t="s">
        <v>565</v>
      </c>
      <c r="H4395" t="s">
        <v>565</v>
      </c>
      <c r="M4395" t="s">
        <v>478</v>
      </c>
      <c r="N4395" t="str">
        <f>Tabela_tudo[[#This Row],[Médico]]&amp;" ("&amp;Tabela_tudo[[#This Row],[Obs]]&amp;")"</f>
        <v>BG (REUNIÃO ICFUC)</v>
      </c>
    </row>
    <row r="4396" spans="1:14" x14ac:dyDescent="0.3">
      <c r="A4396" s="1">
        <v>45090</v>
      </c>
      <c r="B4396" t="s">
        <v>12</v>
      </c>
      <c r="C4396" t="s">
        <v>53</v>
      </c>
      <c r="D4396" s="8">
        <v>0.625</v>
      </c>
      <c r="E4396" s="8">
        <v>0.70833333333333337</v>
      </c>
      <c r="F4396" t="s">
        <v>146</v>
      </c>
      <c r="I4396" t="s">
        <v>565</v>
      </c>
      <c r="J4396" t="s">
        <v>565</v>
      </c>
      <c r="M4396" t="s">
        <v>478</v>
      </c>
      <c r="N4396" t="str">
        <f>Tabela_tudo[[#This Row],[Médico]]&amp;" ("&amp;Tabela_tudo[[#This Row],[Obs]]&amp;")"</f>
        <v>EDU (JURIDICO + CONTADOR )</v>
      </c>
    </row>
    <row r="4397" spans="1:14" x14ac:dyDescent="0.3">
      <c r="A4397" s="1">
        <v>45112</v>
      </c>
      <c r="B4397" t="s">
        <v>14</v>
      </c>
      <c r="C4397" t="s">
        <v>53</v>
      </c>
      <c r="D4397" s="8">
        <v>0.75</v>
      </c>
      <c r="E4397" s="8">
        <v>0.79166666666666663</v>
      </c>
      <c r="F4397" t="s">
        <v>228</v>
      </c>
      <c r="J4397" t="s">
        <v>565</v>
      </c>
      <c r="M4397" t="s">
        <v>478</v>
      </c>
      <c r="N4397" t="str">
        <f>Tabela_tudo[[#This Row],[Médico]]&amp;" ("&amp;Tabela_tudo[[#This Row],[Obs]]&amp;")"</f>
        <v>PW (REUNIAO ONLINE COM ESTATISTICA)</v>
      </c>
    </row>
    <row r="4398" spans="1:14" x14ac:dyDescent="0.3">
      <c r="A4398" s="1">
        <v>45090</v>
      </c>
      <c r="B4398" t="s">
        <v>23</v>
      </c>
      <c r="C4398" t="s">
        <v>53</v>
      </c>
      <c r="D4398" s="8">
        <v>0.70833333333333337</v>
      </c>
      <c r="E4398" s="8">
        <v>0.75</v>
      </c>
      <c r="F4398" t="s">
        <v>147</v>
      </c>
      <c r="J4398" t="s">
        <v>565</v>
      </c>
      <c r="M4398" t="s">
        <v>478</v>
      </c>
      <c r="N4398" t="str">
        <f>Tabela_tudo[[#This Row],[Médico]]&amp;" ("&amp;Tabela_tudo[[#This Row],[Obs]]&amp;")"</f>
        <v>BG (FERNANDO PETERSEN )</v>
      </c>
    </row>
    <row r="4399" spans="1:14" x14ac:dyDescent="0.3">
      <c r="A4399" s="1">
        <v>45090</v>
      </c>
      <c r="B4399" t="s">
        <v>23</v>
      </c>
      <c r="C4399" t="s">
        <v>53</v>
      </c>
      <c r="D4399" s="8">
        <v>0.625</v>
      </c>
      <c r="E4399" s="8">
        <v>0.70833333333333337</v>
      </c>
      <c r="F4399" t="s">
        <v>146</v>
      </c>
      <c r="I4399" t="s">
        <v>565</v>
      </c>
      <c r="J4399" t="s">
        <v>565</v>
      </c>
      <c r="M4399" t="s">
        <v>478</v>
      </c>
      <c r="N4399" t="str">
        <f>Tabela_tudo[[#This Row],[Médico]]&amp;" ("&amp;Tabela_tudo[[#This Row],[Obs]]&amp;")"</f>
        <v>BG (JURIDICO + CONTADOR )</v>
      </c>
    </row>
    <row r="4400" spans="1:14" x14ac:dyDescent="0.3">
      <c r="A4400" s="1">
        <v>45175</v>
      </c>
      <c r="B4400" t="s">
        <v>63</v>
      </c>
      <c r="C4400" t="s">
        <v>53</v>
      </c>
      <c r="D4400" s="8">
        <v>0.58333333333333337</v>
      </c>
      <c r="E4400" s="8">
        <v>0.66666666666666663</v>
      </c>
      <c r="F4400" t="s">
        <v>279</v>
      </c>
      <c r="I4400" t="s">
        <v>565</v>
      </c>
      <c r="M4400" t="s">
        <v>478</v>
      </c>
      <c r="N4400" t="str">
        <f>Tabela_tudo[[#This Row],[Médico]]&amp;" ("&amp;Tabela_tudo[[#This Row],[Obs]]&amp;")"</f>
        <v>FQ (REUNIÃO CEP HED)</v>
      </c>
    </row>
    <row r="4401" spans="1:14" x14ac:dyDescent="0.3">
      <c r="A4401" s="1">
        <v>45227</v>
      </c>
      <c r="B4401" t="s">
        <v>23</v>
      </c>
      <c r="C4401" t="s">
        <v>53</v>
      </c>
      <c r="D4401" s="8">
        <v>0.29166666666666669</v>
      </c>
      <c r="E4401" s="8">
        <v>0.98958333333333337</v>
      </c>
      <c r="F4401" t="s">
        <v>699</v>
      </c>
      <c r="G4401" t="s">
        <v>565</v>
      </c>
      <c r="H4401" t="s">
        <v>565</v>
      </c>
      <c r="I4401" t="s">
        <v>565</v>
      </c>
      <c r="J4401" t="s">
        <v>565</v>
      </c>
      <c r="K4401" t="s">
        <v>565</v>
      </c>
      <c r="M4401" t="s">
        <v>478</v>
      </c>
      <c r="N4401" t="str">
        <f>Tabela_tudo[[#This Row],[Médico]]&amp;" ("&amp;Tabela_tudo[[#This Row],[Obs]]&amp;")"</f>
        <v>BG (EVENTO ULBRA )</v>
      </c>
    </row>
    <row r="4402" spans="1:14" x14ac:dyDescent="0.3">
      <c r="A4402" s="1">
        <v>45090</v>
      </c>
      <c r="B4402" t="s">
        <v>12</v>
      </c>
      <c r="C4402" t="s">
        <v>53</v>
      </c>
      <c r="D4402" s="8">
        <v>0.70833333333333337</v>
      </c>
      <c r="E4402" s="8">
        <v>0.75</v>
      </c>
      <c r="F4402" t="s">
        <v>147</v>
      </c>
      <c r="J4402" t="s">
        <v>565</v>
      </c>
      <c r="M4402" t="s">
        <v>478</v>
      </c>
      <c r="N4402" t="str">
        <f>Tabela_tudo[[#This Row],[Médico]]&amp;" ("&amp;Tabela_tudo[[#This Row],[Obs]]&amp;")"</f>
        <v>EDU (FERNANDO PETERSEN )</v>
      </c>
    </row>
    <row r="4403" spans="1:14" x14ac:dyDescent="0.3">
      <c r="A4403" s="1">
        <v>45112</v>
      </c>
      <c r="B4403" t="s">
        <v>63</v>
      </c>
      <c r="C4403" t="s">
        <v>53</v>
      </c>
      <c r="D4403" s="8">
        <v>0.58333333333333337</v>
      </c>
      <c r="E4403" s="8">
        <v>0.66666666666666663</v>
      </c>
      <c r="F4403" t="s">
        <v>230</v>
      </c>
      <c r="I4403" t="s">
        <v>565</v>
      </c>
      <c r="M4403" t="s">
        <v>478</v>
      </c>
      <c r="N4403" t="str">
        <f>Tabela_tudo[[#This Row],[Médico]]&amp;" ("&amp;Tabela_tudo[[#This Row],[Obs]]&amp;")"</f>
        <v>FQ (CEP HED)</v>
      </c>
    </row>
    <row r="4404" spans="1:14" x14ac:dyDescent="0.3">
      <c r="A4404" s="1">
        <v>45124</v>
      </c>
      <c r="B4404" t="s">
        <v>63</v>
      </c>
      <c r="C4404" t="s">
        <v>53</v>
      </c>
      <c r="D4404" s="8">
        <v>0.45833333333333331</v>
      </c>
      <c r="E4404" s="8">
        <v>0.5</v>
      </c>
      <c r="F4404" t="s">
        <v>245</v>
      </c>
      <c r="H4404" t="s">
        <v>565</v>
      </c>
      <c r="M4404" t="s">
        <v>478</v>
      </c>
      <c r="N4404" t="str">
        <f>Tabela_tudo[[#This Row],[Médico]]&amp;" ("&amp;Tabela_tudo[[#This Row],[Obs]]&amp;")"</f>
        <v>FQ (Estudo clínico HED)</v>
      </c>
    </row>
    <row r="4405" spans="1:14" x14ac:dyDescent="0.3">
      <c r="A4405" s="1">
        <v>45160</v>
      </c>
      <c r="B4405" t="s">
        <v>23</v>
      </c>
      <c r="C4405" t="s">
        <v>53</v>
      </c>
      <c r="D4405" s="8">
        <v>0.66666666666666663</v>
      </c>
      <c r="E4405" s="8">
        <v>0.70833333333333337</v>
      </c>
      <c r="F4405" t="s">
        <v>344</v>
      </c>
      <c r="J4405" t="s">
        <v>565</v>
      </c>
      <c r="M4405" t="s">
        <v>478</v>
      </c>
      <c r="N4405" t="str">
        <f>Tabela_tudo[[#This Row],[Médico]]&amp;" ("&amp;Tabela_tudo[[#This Row],[Obs]]&amp;")"</f>
        <v>BG (REUNIÃO SANE SÃO PIETRO )</v>
      </c>
    </row>
    <row r="4406" spans="1:14" x14ac:dyDescent="0.3">
      <c r="A4406" s="1">
        <v>45112</v>
      </c>
      <c r="B4406" t="s">
        <v>60</v>
      </c>
      <c r="C4406" t="s">
        <v>53</v>
      </c>
      <c r="D4406" s="8">
        <v>0.75</v>
      </c>
      <c r="E4406" s="8">
        <v>0.79166666666666663</v>
      </c>
      <c r="F4406" t="s">
        <v>228</v>
      </c>
      <c r="M4406" t="s">
        <v>477</v>
      </c>
      <c r="N4406" t="str">
        <f>Tabela_tudo[[#This Row],[Médico]]&amp;" ("&amp;Tabela_tudo[[#This Row],[Obs]]&amp;")"</f>
        <v>BMT (REUNIAO ONLINE COM ESTATISTICA)</v>
      </c>
    </row>
    <row r="4407" spans="1:14" x14ac:dyDescent="0.3">
      <c r="A4407" s="1">
        <v>45141</v>
      </c>
      <c r="B4407" t="s">
        <v>36</v>
      </c>
      <c r="C4407" t="s">
        <v>53</v>
      </c>
      <c r="D4407" s="8">
        <v>0.66666666666666663</v>
      </c>
      <c r="E4407" s="8">
        <v>0.70833333333333337</v>
      </c>
      <c r="F4407" t="s">
        <v>286</v>
      </c>
      <c r="M4407" t="s">
        <v>481</v>
      </c>
      <c r="N4407" t="str">
        <f>Tabela_tudo[[#This Row],[Médico]]&amp;" ("&amp;Tabela_tudo[[#This Row],[Obs]]&amp;")"</f>
        <v>DRI (REUNIÃO COM ESTATISTICA )</v>
      </c>
    </row>
    <row r="4408" spans="1:14" x14ac:dyDescent="0.3">
      <c r="A4408" s="1">
        <v>45223</v>
      </c>
      <c r="B4408" t="s">
        <v>80</v>
      </c>
      <c r="C4408" t="s">
        <v>53</v>
      </c>
      <c r="D4408" s="8">
        <v>0.75</v>
      </c>
      <c r="E4408" s="8">
        <v>0.79166666666666663</v>
      </c>
      <c r="F4408" t="s">
        <v>415</v>
      </c>
      <c r="M4408" t="s">
        <v>477</v>
      </c>
      <c r="N4408" t="str">
        <f>Tabela_tudo[[#This Row],[Médico]]&amp;" ("&amp;Tabela_tudo[[#This Row],[Obs]]&amp;")"</f>
        <v>REC (REUNIÃO TCC)</v>
      </c>
    </row>
    <row r="4409" spans="1:14" x14ac:dyDescent="0.3">
      <c r="A4409" s="1">
        <v>45168</v>
      </c>
      <c r="B4409" t="s">
        <v>83</v>
      </c>
      <c r="C4409" t="s">
        <v>53</v>
      </c>
      <c r="D4409" s="8">
        <v>0.79166666666666663</v>
      </c>
      <c r="E4409" s="8">
        <v>0.89583333333333337</v>
      </c>
      <c r="F4409" t="s">
        <v>415</v>
      </c>
      <c r="M4409" t="s">
        <v>477</v>
      </c>
      <c r="N4409" t="str">
        <f>Tabela_tudo[[#This Row],[Médico]]&amp;" ("&amp;Tabela_tudo[[#This Row],[Obs]]&amp;")"</f>
        <v>MG (REUNIÃO TCC)</v>
      </c>
    </row>
    <row r="4410" spans="1:14" x14ac:dyDescent="0.3">
      <c r="A4410" s="1">
        <v>45195</v>
      </c>
      <c r="B4410" t="s">
        <v>214</v>
      </c>
      <c r="C4410" t="s">
        <v>464</v>
      </c>
      <c r="D4410" s="8"/>
      <c r="E4410" s="8"/>
      <c r="M4410" t="s">
        <v>478</v>
      </c>
      <c r="N4410" t="str">
        <f>Tabela_tudo[[#This Row],[Médico]]&amp;" ("&amp;Tabela_tudo[[#This Row],[Obs]]&amp;")"</f>
        <v>IFA ()</v>
      </c>
    </row>
    <row r="4411" spans="1:14" x14ac:dyDescent="0.3">
      <c r="A4411" s="1">
        <v>45174</v>
      </c>
      <c r="B4411" t="s">
        <v>72</v>
      </c>
      <c r="C4411" t="s">
        <v>15</v>
      </c>
      <c r="D4411" s="8"/>
      <c r="E4411" s="8"/>
      <c r="M4411" t="s">
        <v>478</v>
      </c>
      <c r="N4411" t="str">
        <f>Tabela_tudo[[#This Row],[Médico]]&amp;" ("&amp;Tabela_tudo[[#This Row],[Obs]]&amp;")"</f>
        <v>GRA ()</v>
      </c>
    </row>
    <row r="4412" spans="1:14" x14ac:dyDescent="0.3">
      <c r="A4412" s="1">
        <v>45196</v>
      </c>
      <c r="B4412" t="s">
        <v>214</v>
      </c>
      <c r="C4412" t="s">
        <v>464</v>
      </c>
      <c r="D4412" s="8"/>
      <c r="E4412" s="8"/>
      <c r="M4412" t="s">
        <v>478</v>
      </c>
      <c r="N4412" t="str">
        <f>Tabela_tudo[[#This Row],[Médico]]&amp;" ("&amp;Tabela_tudo[[#This Row],[Obs]]&amp;")"</f>
        <v>IFA ()</v>
      </c>
    </row>
    <row r="4413" spans="1:14" x14ac:dyDescent="0.3">
      <c r="A4413" s="1">
        <v>45177</v>
      </c>
      <c r="B4413" t="s">
        <v>73</v>
      </c>
      <c r="C4413" t="s">
        <v>8</v>
      </c>
      <c r="D4413" s="8"/>
      <c r="E4413" s="8"/>
      <c r="M4413" t="s">
        <v>478</v>
      </c>
      <c r="N4413" t="str">
        <f>Tabela_tudo[[#This Row],[Médico]]&amp;" ("&amp;Tabela_tudo[[#This Row],[Obs]]&amp;")"</f>
        <v>RT ()</v>
      </c>
    </row>
    <row r="4414" spans="1:14" x14ac:dyDescent="0.3">
      <c r="A4414" s="1">
        <v>45179</v>
      </c>
      <c r="B4414" t="s">
        <v>68</v>
      </c>
      <c r="C4414" t="s">
        <v>465</v>
      </c>
      <c r="D4414" s="8"/>
      <c r="E4414" s="8"/>
      <c r="F4414" t="s">
        <v>472</v>
      </c>
      <c r="M4414" t="s">
        <v>478</v>
      </c>
      <c r="N4414" t="str">
        <f>Tabela_tudo[[#This Row],[Médico]]&amp;" ("&amp;Tabela_tudo[[#This Row],[Obs]]&amp;")"</f>
        <v>PED (CLASA)</v>
      </c>
    </row>
    <row r="4415" spans="1:14" x14ac:dyDescent="0.3">
      <c r="A4415" s="1">
        <v>45177</v>
      </c>
      <c r="B4415" t="s">
        <v>33</v>
      </c>
      <c r="C4415" t="s">
        <v>15</v>
      </c>
      <c r="D4415" s="8"/>
      <c r="E4415" s="8"/>
      <c r="M4415" t="s">
        <v>478</v>
      </c>
      <c r="N4415" t="str">
        <f>Tabela_tudo[[#This Row],[Médico]]&amp;" ("&amp;Tabela_tudo[[#This Row],[Obs]]&amp;")"</f>
        <v>DIF ()</v>
      </c>
    </row>
    <row r="4416" spans="1:14" x14ac:dyDescent="0.3">
      <c r="A4416" s="1">
        <v>45194</v>
      </c>
      <c r="B4416" t="s">
        <v>214</v>
      </c>
      <c r="C4416" t="s">
        <v>464</v>
      </c>
      <c r="D4416" s="8"/>
      <c r="E4416" s="8"/>
      <c r="M4416" t="s">
        <v>478</v>
      </c>
      <c r="N4416" t="str">
        <f>Tabela_tudo[[#This Row],[Médico]]&amp;" ("&amp;Tabela_tudo[[#This Row],[Obs]]&amp;")"</f>
        <v>IFA ()</v>
      </c>
    </row>
    <row r="4417" spans="1:14" x14ac:dyDescent="0.3">
      <c r="A4417" s="1">
        <v>45174</v>
      </c>
      <c r="B4417" t="s">
        <v>63</v>
      </c>
      <c r="C4417" t="s">
        <v>8</v>
      </c>
      <c r="D4417" s="8"/>
      <c r="E4417" s="8"/>
      <c r="M4417" t="s">
        <v>478</v>
      </c>
      <c r="N4417" t="str">
        <f>Tabela_tudo[[#This Row],[Médico]]&amp;" ("&amp;Tabela_tudo[[#This Row],[Obs]]&amp;")"</f>
        <v>FQ ()</v>
      </c>
    </row>
    <row r="4418" spans="1:14" x14ac:dyDescent="0.3">
      <c r="A4418" s="1">
        <v>45199</v>
      </c>
      <c r="B4418" t="s">
        <v>214</v>
      </c>
      <c r="C4418" t="s">
        <v>464</v>
      </c>
      <c r="D4418" s="8"/>
      <c r="E4418" s="8"/>
      <c r="M4418" t="s">
        <v>478</v>
      </c>
      <c r="N4418" t="str">
        <f>Tabela_tudo[[#This Row],[Médico]]&amp;" ("&amp;Tabela_tudo[[#This Row],[Obs]]&amp;")"</f>
        <v>IFA ()</v>
      </c>
    </row>
    <row r="4419" spans="1:14" x14ac:dyDescent="0.3">
      <c r="A4419" s="1">
        <v>45168</v>
      </c>
      <c r="B4419" t="s">
        <v>48</v>
      </c>
      <c r="C4419" t="s">
        <v>49</v>
      </c>
      <c r="D4419" s="8"/>
      <c r="E4419" s="8"/>
      <c r="M4419" t="s">
        <v>478</v>
      </c>
      <c r="N4419" t="str">
        <f>Tabela_tudo[[#This Row],[Médico]]&amp;" ("&amp;Tabela_tudo[[#This Row],[Obs]]&amp;")"</f>
        <v>MAF ()</v>
      </c>
    </row>
    <row r="4420" spans="1:14" x14ac:dyDescent="0.3">
      <c r="A4420" s="1">
        <v>45194</v>
      </c>
      <c r="B4420" t="s">
        <v>75</v>
      </c>
      <c r="C4420" t="s">
        <v>464</v>
      </c>
      <c r="D4420" s="8"/>
      <c r="E4420" s="8"/>
      <c r="M4420" t="s">
        <v>478</v>
      </c>
      <c r="N4420" t="str">
        <f>Tabela_tudo[[#This Row],[Médico]]&amp;" ("&amp;Tabela_tudo[[#This Row],[Obs]]&amp;")"</f>
        <v>KOP ()</v>
      </c>
    </row>
    <row r="4421" spans="1:14" x14ac:dyDescent="0.3">
      <c r="A4421" s="1">
        <v>45180</v>
      </c>
      <c r="B4421" t="s">
        <v>47</v>
      </c>
      <c r="C4421" t="s">
        <v>30</v>
      </c>
      <c r="D4421" s="8"/>
      <c r="E4421" s="8"/>
      <c r="M4421" t="s">
        <v>478</v>
      </c>
      <c r="N4421" t="str">
        <f>Tabela_tudo[[#This Row],[Médico]]&amp;" ("&amp;Tabela_tudo[[#This Row],[Obs]]&amp;")"</f>
        <v>VIN ()</v>
      </c>
    </row>
    <row r="4422" spans="1:14" x14ac:dyDescent="0.3">
      <c r="A4422" s="1">
        <v>45197</v>
      </c>
      <c r="B4422" t="s">
        <v>214</v>
      </c>
      <c r="C4422" t="s">
        <v>464</v>
      </c>
      <c r="D4422" s="8"/>
      <c r="E4422" s="8"/>
      <c r="M4422" t="s">
        <v>478</v>
      </c>
      <c r="N4422" t="str">
        <f>Tabela_tudo[[#This Row],[Médico]]&amp;" ("&amp;Tabela_tudo[[#This Row],[Obs]]&amp;")"</f>
        <v>IFA ()</v>
      </c>
    </row>
    <row r="4423" spans="1:14" x14ac:dyDescent="0.3">
      <c r="A4423" s="1">
        <v>45168</v>
      </c>
      <c r="B4423" t="s">
        <v>66</v>
      </c>
      <c r="C4423" t="s">
        <v>45</v>
      </c>
      <c r="D4423" s="8"/>
      <c r="E4423" s="8"/>
      <c r="M4423" t="s">
        <v>478</v>
      </c>
      <c r="N4423" t="str">
        <f>Tabela_tudo[[#This Row],[Médico]]&amp;" ("&amp;Tabela_tudo[[#This Row],[Obs]]&amp;")"</f>
        <v>MOZ ()</v>
      </c>
    </row>
    <row r="4424" spans="1:14" x14ac:dyDescent="0.3">
      <c r="A4424" s="1">
        <v>45198</v>
      </c>
      <c r="B4424" t="s">
        <v>214</v>
      </c>
      <c r="C4424" t="s">
        <v>464</v>
      </c>
      <c r="D4424" s="8"/>
      <c r="E4424" s="8"/>
      <c r="M4424" t="s">
        <v>478</v>
      </c>
      <c r="N4424" t="str">
        <f>Tabela_tudo[[#This Row],[Médico]]&amp;" ("&amp;Tabela_tudo[[#This Row],[Obs]]&amp;")"</f>
        <v>IFA ()</v>
      </c>
    </row>
    <row r="4425" spans="1:14" x14ac:dyDescent="0.3">
      <c r="A4425" s="1">
        <v>45168</v>
      </c>
      <c r="B4425" t="s">
        <v>73</v>
      </c>
      <c r="C4425" t="s">
        <v>51</v>
      </c>
      <c r="D4425" s="8"/>
      <c r="E4425" s="8"/>
      <c r="M4425" t="s">
        <v>478</v>
      </c>
      <c r="N4425" t="str">
        <f>Tabela_tudo[[#This Row],[Médico]]&amp;" ("&amp;Tabela_tudo[[#This Row],[Obs]]&amp;")"</f>
        <v>RT ()</v>
      </c>
    </row>
    <row r="4426" spans="1:14" x14ac:dyDescent="0.3">
      <c r="A4426" s="1">
        <v>45177</v>
      </c>
      <c r="B4426" t="s">
        <v>47</v>
      </c>
      <c r="C4426" t="s">
        <v>465</v>
      </c>
      <c r="D4426" s="8"/>
      <c r="E4426" s="8"/>
      <c r="F4426" t="s">
        <v>472</v>
      </c>
      <c r="M4426" t="s">
        <v>478</v>
      </c>
      <c r="N4426" t="str">
        <f>Tabela_tudo[[#This Row],[Médico]]&amp;" ("&amp;Tabela_tudo[[#This Row],[Obs]]&amp;")"</f>
        <v>VIN (CLASA)</v>
      </c>
    </row>
    <row r="4427" spans="1:14" x14ac:dyDescent="0.3">
      <c r="A4427" s="1">
        <v>45177</v>
      </c>
      <c r="B4427" t="s">
        <v>85</v>
      </c>
      <c r="C4427" t="s">
        <v>13</v>
      </c>
      <c r="D4427" s="8"/>
      <c r="E4427" s="8"/>
      <c r="M4427" t="s">
        <v>478</v>
      </c>
      <c r="N4427" t="str">
        <f>Tabela_tudo[[#This Row],[Médico]]&amp;" ("&amp;Tabela_tudo[[#This Row],[Obs]]&amp;")"</f>
        <v>ELF ()</v>
      </c>
    </row>
    <row r="4428" spans="1:14" x14ac:dyDescent="0.3">
      <c r="A4428" s="1">
        <v>45178</v>
      </c>
      <c r="B4428" t="s">
        <v>47</v>
      </c>
      <c r="C4428" t="s">
        <v>465</v>
      </c>
      <c r="D4428" s="8"/>
      <c r="E4428" s="8"/>
      <c r="F4428" t="s">
        <v>472</v>
      </c>
      <c r="M4428" t="s">
        <v>478</v>
      </c>
      <c r="N4428" t="str">
        <f>Tabela_tudo[[#This Row],[Médico]]&amp;" ("&amp;Tabela_tudo[[#This Row],[Obs]]&amp;")"</f>
        <v>VIN (CLASA)</v>
      </c>
    </row>
    <row r="4429" spans="1:14" x14ac:dyDescent="0.3">
      <c r="A4429" s="1">
        <v>45168</v>
      </c>
      <c r="B4429" t="s">
        <v>75</v>
      </c>
      <c r="C4429" t="s">
        <v>124</v>
      </c>
      <c r="D4429" s="8">
        <v>0.83333333333333337</v>
      </c>
      <c r="E4429" s="8">
        <v>0.91666666666666663</v>
      </c>
      <c r="F4429" t="s">
        <v>413</v>
      </c>
      <c r="K4429" t="s">
        <v>565</v>
      </c>
      <c r="M4429" t="s">
        <v>478</v>
      </c>
      <c r="N4429" t="str">
        <f>Tabela_tudo[[#This Row],[Médico]]&amp;" ("&amp;Tabela_tudo[[#This Row],[Obs]]&amp;")"</f>
        <v>KOP (ANEST NA ERA DA INTELIG. ARTIFICIAL )</v>
      </c>
    </row>
    <row r="4430" spans="1:14" x14ac:dyDescent="0.3">
      <c r="A4430" s="1">
        <v>45158</v>
      </c>
      <c r="B4430" t="s">
        <v>47</v>
      </c>
      <c r="C4430" t="s">
        <v>465</v>
      </c>
      <c r="D4430" s="8"/>
      <c r="E4430" s="8"/>
      <c r="F4430" t="s">
        <v>471</v>
      </c>
      <c r="M4430" t="s">
        <v>478</v>
      </c>
      <c r="N4430" t="str">
        <f>Tabela_tudo[[#This Row],[Médico]]&amp;" ("&amp;Tabela_tudo[[#This Row],[Obs]]&amp;")"</f>
        <v>VIN (JABC)</v>
      </c>
    </row>
    <row r="4431" spans="1:14" x14ac:dyDescent="0.3">
      <c r="A4431" s="1">
        <v>45168</v>
      </c>
      <c r="B4431" t="s">
        <v>20</v>
      </c>
      <c r="C4431" t="s">
        <v>30</v>
      </c>
      <c r="D4431" s="8"/>
      <c r="E4431" s="8"/>
      <c r="M4431" t="s">
        <v>478</v>
      </c>
      <c r="N4431" t="str">
        <f>Tabela_tudo[[#This Row],[Médico]]&amp;" ("&amp;Tabela_tudo[[#This Row],[Obs]]&amp;")"</f>
        <v>ROB ()</v>
      </c>
    </row>
    <row r="4432" spans="1:14" x14ac:dyDescent="0.3">
      <c r="A4432" s="1">
        <v>45176</v>
      </c>
      <c r="B4432" t="s">
        <v>47</v>
      </c>
      <c r="C4432" t="s">
        <v>465</v>
      </c>
      <c r="D4432" s="8"/>
      <c r="E4432" s="8"/>
      <c r="F4432" t="s">
        <v>472</v>
      </c>
      <c r="M4432" t="s">
        <v>478</v>
      </c>
      <c r="N4432" t="str">
        <f>Tabela_tudo[[#This Row],[Médico]]&amp;" ("&amp;Tabela_tudo[[#This Row],[Obs]]&amp;")"</f>
        <v>VIN (CLASA)</v>
      </c>
    </row>
    <row r="4433" spans="1:14" x14ac:dyDescent="0.3">
      <c r="A4433" s="1">
        <v>45193</v>
      </c>
      <c r="B4433" t="s">
        <v>68</v>
      </c>
      <c r="C4433" t="s">
        <v>13</v>
      </c>
      <c r="D4433" s="8"/>
      <c r="E4433" s="8"/>
      <c r="M4433" t="s">
        <v>478</v>
      </c>
      <c r="N4433" t="str">
        <f>Tabela_tudo[[#This Row],[Médico]]&amp;" ("&amp;Tabela_tudo[[#This Row],[Obs]]&amp;")"</f>
        <v>PED ()</v>
      </c>
    </row>
    <row r="4434" spans="1:14" x14ac:dyDescent="0.3">
      <c r="A4434" s="1">
        <v>45177</v>
      </c>
      <c r="B4434" t="s">
        <v>68</v>
      </c>
      <c r="C4434" t="s">
        <v>465</v>
      </c>
      <c r="D4434" s="8"/>
      <c r="E4434" s="8"/>
      <c r="F4434" t="s">
        <v>472</v>
      </c>
      <c r="M4434" t="s">
        <v>478</v>
      </c>
      <c r="N4434" t="str">
        <f>Tabela_tudo[[#This Row],[Médico]]&amp;" ("&amp;Tabela_tudo[[#This Row],[Obs]]&amp;")"</f>
        <v>PED (CLASA)</v>
      </c>
    </row>
    <row r="4435" spans="1:14" x14ac:dyDescent="0.3">
      <c r="A4435" s="1">
        <v>45171</v>
      </c>
      <c r="B4435" t="s">
        <v>17</v>
      </c>
      <c r="C4435" t="s">
        <v>8</v>
      </c>
      <c r="D4435" s="8"/>
      <c r="E4435" s="8"/>
      <c r="M4435" t="s">
        <v>478</v>
      </c>
      <c r="N4435" t="str">
        <f>Tabela_tudo[[#This Row],[Médico]]&amp;" ("&amp;Tabela_tudo[[#This Row],[Obs]]&amp;")"</f>
        <v>FAB ()</v>
      </c>
    </row>
    <row r="4436" spans="1:14" x14ac:dyDescent="0.3">
      <c r="A4436" s="1">
        <v>45178</v>
      </c>
      <c r="B4436" t="s">
        <v>68</v>
      </c>
      <c r="C4436" t="s">
        <v>465</v>
      </c>
      <c r="D4436" s="8"/>
      <c r="E4436" s="8"/>
      <c r="F4436" t="s">
        <v>472</v>
      </c>
      <c r="M4436" t="s">
        <v>478</v>
      </c>
      <c r="N4436" t="str">
        <f>Tabela_tudo[[#This Row],[Médico]]&amp;" ("&amp;Tabela_tudo[[#This Row],[Obs]]&amp;")"</f>
        <v>PED (CLASA)</v>
      </c>
    </row>
    <row r="4437" spans="1:14" x14ac:dyDescent="0.3">
      <c r="A4437" s="1">
        <v>45180</v>
      </c>
      <c r="B4437" t="s">
        <v>44</v>
      </c>
      <c r="C4437" t="s">
        <v>8</v>
      </c>
      <c r="D4437" s="8"/>
      <c r="E4437" s="8"/>
      <c r="M4437" t="s">
        <v>478</v>
      </c>
      <c r="N4437" t="str">
        <f>Tabela_tudo[[#This Row],[Médico]]&amp;" ("&amp;Tabela_tudo[[#This Row],[Obs]]&amp;")"</f>
        <v>REI ()</v>
      </c>
    </row>
    <row r="4438" spans="1:14" x14ac:dyDescent="0.3">
      <c r="A4438" s="1">
        <v>45179</v>
      </c>
      <c r="B4438" t="s">
        <v>47</v>
      </c>
      <c r="C4438" t="s">
        <v>465</v>
      </c>
      <c r="D4438" s="8"/>
      <c r="E4438" s="8"/>
      <c r="F4438" t="s">
        <v>472</v>
      </c>
      <c r="M4438" t="s">
        <v>478</v>
      </c>
      <c r="N4438" t="str">
        <f>Tabela_tudo[[#This Row],[Médico]]&amp;" ("&amp;Tabela_tudo[[#This Row],[Obs]]&amp;")"</f>
        <v>VIN (CLASA)</v>
      </c>
    </row>
    <row r="4439" spans="1:14" x14ac:dyDescent="0.3">
      <c r="A4439" s="1">
        <v>45180</v>
      </c>
      <c r="B4439" t="s">
        <v>29</v>
      </c>
      <c r="C4439" t="s">
        <v>30</v>
      </c>
      <c r="D4439" s="8"/>
      <c r="E4439" s="8"/>
      <c r="M4439" t="s">
        <v>478</v>
      </c>
      <c r="N4439" t="str">
        <f>Tabela_tudo[[#This Row],[Médico]]&amp;" ("&amp;Tabela_tudo[[#This Row],[Obs]]&amp;")"</f>
        <v>JOA ()</v>
      </c>
    </row>
    <row r="4440" spans="1:14" x14ac:dyDescent="0.3">
      <c r="A4440" s="1">
        <v>45176</v>
      </c>
      <c r="B4440" t="s">
        <v>68</v>
      </c>
      <c r="C4440" t="s">
        <v>465</v>
      </c>
      <c r="D4440" s="8"/>
      <c r="E4440" s="8"/>
      <c r="F4440" t="s">
        <v>472</v>
      </c>
      <c r="M4440" t="s">
        <v>478</v>
      </c>
      <c r="N4440" t="str">
        <f>Tabela_tudo[[#This Row],[Médico]]&amp;" ("&amp;Tabela_tudo[[#This Row],[Obs]]&amp;")"</f>
        <v>PED (CLASA)</v>
      </c>
    </row>
    <row r="4441" spans="1:14" x14ac:dyDescent="0.3">
      <c r="A4441" s="1">
        <v>45180</v>
      </c>
      <c r="B4441" t="s">
        <v>37</v>
      </c>
      <c r="C4441" t="s">
        <v>30</v>
      </c>
      <c r="D4441" s="8"/>
      <c r="E4441" s="8"/>
      <c r="M4441" t="s">
        <v>478</v>
      </c>
      <c r="N4441" t="str">
        <f>Tabela_tudo[[#This Row],[Médico]]&amp;" ("&amp;Tabela_tudo[[#This Row],[Obs]]&amp;")"</f>
        <v>EBB ()</v>
      </c>
    </row>
    <row r="4442" spans="1:14" x14ac:dyDescent="0.3">
      <c r="A4442" s="1">
        <v>45199</v>
      </c>
      <c r="B4442" t="s">
        <v>7</v>
      </c>
      <c r="C4442" t="s">
        <v>464</v>
      </c>
      <c r="D4442" s="8"/>
      <c r="E4442" s="8"/>
      <c r="M4442" t="s">
        <v>478</v>
      </c>
      <c r="N4442" t="str">
        <f>Tabela_tudo[[#This Row],[Médico]]&amp;" ("&amp;Tabela_tudo[[#This Row],[Obs]]&amp;")"</f>
        <v>ARI ()</v>
      </c>
    </row>
    <row r="4443" spans="1:14" x14ac:dyDescent="0.3">
      <c r="A4443" s="1">
        <v>45173</v>
      </c>
      <c r="B4443" t="s">
        <v>34</v>
      </c>
      <c r="C4443" t="s">
        <v>15</v>
      </c>
      <c r="D4443" s="8"/>
      <c r="E4443" s="8"/>
      <c r="M4443" t="s">
        <v>478</v>
      </c>
      <c r="N4443" t="str">
        <f>Tabela_tudo[[#This Row],[Médico]]&amp;" ("&amp;Tabela_tudo[[#This Row],[Obs]]&amp;")"</f>
        <v>LIP ()</v>
      </c>
    </row>
    <row r="4444" spans="1:14" x14ac:dyDescent="0.3">
      <c r="A4444" s="1">
        <v>45194</v>
      </c>
      <c r="B4444" t="s">
        <v>17</v>
      </c>
      <c r="C4444" t="s">
        <v>465</v>
      </c>
      <c r="D4444" s="8"/>
      <c r="E4444" s="8"/>
      <c r="F4444" t="s">
        <v>473</v>
      </c>
      <c r="M4444" t="s">
        <v>478</v>
      </c>
      <c r="N4444" t="str">
        <f>Tabela_tudo[[#This Row],[Médico]]&amp;" ("&amp;Tabela_tudo[[#This Row],[Obs]]&amp;")"</f>
        <v>FAB (ANEST. ARG.)</v>
      </c>
    </row>
    <row r="4445" spans="1:14" x14ac:dyDescent="0.3">
      <c r="A4445" s="1">
        <v>45173</v>
      </c>
      <c r="B4445" t="s">
        <v>21</v>
      </c>
      <c r="C4445" t="s">
        <v>46</v>
      </c>
      <c r="D4445" s="8"/>
      <c r="E4445" s="8"/>
      <c r="M4445" t="s">
        <v>478</v>
      </c>
      <c r="N4445" t="str">
        <f>Tabela_tudo[[#This Row],[Médico]]&amp;" ("&amp;Tabela_tudo[[#This Row],[Obs]]&amp;")"</f>
        <v>RA ()</v>
      </c>
    </row>
    <row r="4446" spans="1:14" x14ac:dyDescent="0.3">
      <c r="A4446" s="1">
        <v>45197</v>
      </c>
      <c r="B4446" t="s">
        <v>7</v>
      </c>
      <c r="C4446" t="s">
        <v>464</v>
      </c>
      <c r="D4446" s="8"/>
      <c r="E4446" s="8"/>
      <c r="M4446" t="s">
        <v>478</v>
      </c>
      <c r="N4446" t="str">
        <f>Tabela_tudo[[#This Row],[Médico]]&amp;" ("&amp;Tabela_tudo[[#This Row],[Obs]]&amp;")"</f>
        <v>ARI ()</v>
      </c>
    </row>
    <row r="4447" spans="1:14" x14ac:dyDescent="0.3">
      <c r="A4447" s="1">
        <v>45173</v>
      </c>
      <c r="B4447" t="s">
        <v>72</v>
      </c>
      <c r="C4447" t="s">
        <v>18</v>
      </c>
      <c r="D4447" s="8"/>
      <c r="E4447" s="8"/>
      <c r="M4447" t="s">
        <v>478</v>
      </c>
      <c r="N4447" t="str">
        <f>Tabela_tudo[[#This Row],[Médico]]&amp;" ("&amp;Tabela_tudo[[#This Row],[Obs]]&amp;")"</f>
        <v>GRA ()</v>
      </c>
    </row>
    <row r="4448" spans="1:14" x14ac:dyDescent="0.3">
      <c r="A4448" s="1">
        <v>45198</v>
      </c>
      <c r="B4448" t="s">
        <v>7</v>
      </c>
      <c r="C4448" t="s">
        <v>464</v>
      </c>
      <c r="D4448" s="8"/>
      <c r="E4448" s="8"/>
      <c r="M4448" t="s">
        <v>478</v>
      </c>
      <c r="N4448" t="str">
        <f>Tabela_tudo[[#This Row],[Médico]]&amp;" ("&amp;Tabela_tudo[[#This Row],[Obs]]&amp;")"</f>
        <v>ARI ()</v>
      </c>
    </row>
    <row r="4449" spans="1:14" x14ac:dyDescent="0.3">
      <c r="A4449" s="1">
        <v>45168</v>
      </c>
      <c r="B4449" t="s">
        <v>68</v>
      </c>
      <c r="C4449" t="s">
        <v>46</v>
      </c>
      <c r="D4449" s="8"/>
      <c r="E4449" s="8"/>
      <c r="M4449" t="s">
        <v>478</v>
      </c>
      <c r="N4449" t="str">
        <f>Tabela_tudo[[#This Row],[Médico]]&amp;" ("&amp;Tabela_tudo[[#This Row],[Obs]]&amp;")"</f>
        <v>PED ()</v>
      </c>
    </row>
    <row r="4450" spans="1:14" x14ac:dyDescent="0.3">
      <c r="A4450" s="1">
        <v>45197</v>
      </c>
      <c r="B4450" t="s">
        <v>17</v>
      </c>
      <c r="C4450" t="s">
        <v>465</v>
      </c>
      <c r="D4450" s="8"/>
      <c r="E4450" s="8"/>
      <c r="F4450" t="s">
        <v>473</v>
      </c>
      <c r="M4450" t="s">
        <v>478</v>
      </c>
      <c r="N4450" t="str">
        <f>Tabela_tudo[[#This Row],[Médico]]&amp;" ("&amp;Tabela_tudo[[#This Row],[Obs]]&amp;")"</f>
        <v>FAB (ANEST. ARG.)</v>
      </c>
    </row>
    <row r="4451" spans="1:14" x14ac:dyDescent="0.3">
      <c r="A4451" s="1">
        <v>45173</v>
      </c>
      <c r="B4451" t="s">
        <v>50</v>
      </c>
      <c r="C4451" t="s">
        <v>51</v>
      </c>
      <c r="D4451" s="8"/>
      <c r="E4451" s="8"/>
      <c r="M4451" t="s">
        <v>478</v>
      </c>
      <c r="N4451" t="str">
        <f>Tabela_tudo[[#This Row],[Médico]]&amp;" ("&amp;Tabela_tudo[[#This Row],[Obs]]&amp;")"</f>
        <v>PJP ()</v>
      </c>
    </row>
    <row r="4452" spans="1:14" x14ac:dyDescent="0.3">
      <c r="A4452" s="1">
        <v>45198</v>
      </c>
      <c r="B4452" t="s">
        <v>17</v>
      </c>
      <c r="C4452" t="s">
        <v>465</v>
      </c>
      <c r="D4452" s="8"/>
      <c r="E4452" s="8"/>
      <c r="F4452" t="s">
        <v>473</v>
      </c>
      <c r="M4452" t="s">
        <v>478</v>
      </c>
      <c r="N4452" t="str">
        <f>Tabela_tudo[[#This Row],[Médico]]&amp;" ("&amp;Tabela_tudo[[#This Row],[Obs]]&amp;")"</f>
        <v>FAB (ANEST. ARG.)</v>
      </c>
    </row>
    <row r="4453" spans="1:14" x14ac:dyDescent="0.3">
      <c r="A4453" s="1">
        <v>45168</v>
      </c>
      <c r="B4453" t="s">
        <v>68</v>
      </c>
      <c r="C4453" t="s">
        <v>15</v>
      </c>
      <c r="D4453" s="8"/>
      <c r="E4453" s="8"/>
      <c r="M4453" t="s">
        <v>478</v>
      </c>
      <c r="N4453" t="str">
        <f>Tabela_tudo[[#This Row],[Médico]]&amp;" ("&amp;Tabela_tudo[[#This Row],[Obs]]&amp;")"</f>
        <v>PED ()</v>
      </c>
    </row>
    <row r="4454" spans="1:14" x14ac:dyDescent="0.3">
      <c r="A4454" s="1">
        <v>45195</v>
      </c>
      <c r="B4454" t="s">
        <v>17</v>
      </c>
      <c r="C4454" t="s">
        <v>465</v>
      </c>
      <c r="D4454" s="8"/>
      <c r="E4454" s="8"/>
      <c r="F4454" t="s">
        <v>473</v>
      </c>
      <c r="M4454" t="s">
        <v>478</v>
      </c>
      <c r="N4454" t="str">
        <f>Tabela_tudo[[#This Row],[Médico]]&amp;" ("&amp;Tabela_tudo[[#This Row],[Obs]]&amp;")"</f>
        <v>FAB (ANEST. ARG.)</v>
      </c>
    </row>
    <row r="4455" spans="1:14" x14ac:dyDescent="0.3">
      <c r="A4455" s="1">
        <v>45168</v>
      </c>
      <c r="B4455" t="s">
        <v>71</v>
      </c>
      <c r="C4455" t="s">
        <v>8</v>
      </c>
      <c r="D4455" s="8"/>
      <c r="E4455" s="8"/>
      <c r="M4455" t="s">
        <v>478</v>
      </c>
      <c r="N4455" t="str">
        <f>Tabela_tudo[[#This Row],[Médico]]&amp;" ("&amp;Tabela_tudo[[#This Row],[Obs]]&amp;")"</f>
        <v>BRU ()</v>
      </c>
    </row>
    <row r="4456" spans="1:14" x14ac:dyDescent="0.3">
      <c r="A4456" s="1">
        <v>45196</v>
      </c>
      <c r="B4456" t="s">
        <v>17</v>
      </c>
      <c r="C4456" t="s">
        <v>465</v>
      </c>
      <c r="D4456" s="8"/>
      <c r="E4456" s="8"/>
      <c r="F4456" t="s">
        <v>473</v>
      </c>
      <c r="M4456" t="s">
        <v>478</v>
      </c>
      <c r="N4456" t="str">
        <f>Tabela_tudo[[#This Row],[Médico]]&amp;" ("&amp;Tabela_tudo[[#This Row],[Obs]]&amp;")"</f>
        <v>FAB (ANEST. ARG.)</v>
      </c>
    </row>
    <row r="4457" spans="1:14" x14ac:dyDescent="0.3">
      <c r="A4457" s="1">
        <v>45168</v>
      </c>
      <c r="B4457" t="s">
        <v>47</v>
      </c>
      <c r="C4457" t="s">
        <v>18</v>
      </c>
      <c r="D4457" s="8"/>
      <c r="E4457" s="8"/>
      <c r="M4457" t="s">
        <v>478</v>
      </c>
      <c r="N4457" t="str">
        <f>Tabela_tudo[[#This Row],[Médico]]&amp;" ("&amp;Tabela_tudo[[#This Row],[Obs]]&amp;")"</f>
        <v>VIN ()</v>
      </c>
    </row>
    <row r="4458" spans="1:14" x14ac:dyDescent="0.3">
      <c r="A4458" s="1">
        <v>45197</v>
      </c>
      <c r="B4458" t="s">
        <v>75</v>
      </c>
      <c r="C4458" t="s">
        <v>464</v>
      </c>
      <c r="D4458" s="8"/>
      <c r="E4458" s="8"/>
      <c r="M4458" t="s">
        <v>478</v>
      </c>
      <c r="N4458" t="str">
        <f>Tabela_tudo[[#This Row],[Médico]]&amp;" ("&amp;Tabela_tudo[[#This Row],[Obs]]&amp;")"</f>
        <v>KOP ()</v>
      </c>
    </row>
    <row r="4459" spans="1:14" x14ac:dyDescent="0.3">
      <c r="A4459" s="1">
        <v>45173</v>
      </c>
      <c r="B4459" t="s">
        <v>50</v>
      </c>
      <c r="C4459" t="s">
        <v>8</v>
      </c>
      <c r="D4459" s="8"/>
      <c r="E4459" s="8"/>
      <c r="M4459" t="s">
        <v>478</v>
      </c>
      <c r="N4459" t="str">
        <f>Tabela_tudo[[#This Row],[Médico]]&amp;" ("&amp;Tabela_tudo[[#This Row],[Obs]]&amp;")"</f>
        <v>PJP ()</v>
      </c>
    </row>
    <row r="4460" spans="1:14" x14ac:dyDescent="0.3">
      <c r="A4460" s="1">
        <v>45198</v>
      </c>
      <c r="B4460" t="s">
        <v>75</v>
      </c>
      <c r="C4460" t="s">
        <v>464</v>
      </c>
      <c r="D4460" s="8"/>
      <c r="E4460" s="8"/>
      <c r="M4460" t="s">
        <v>478</v>
      </c>
      <c r="N4460" t="str">
        <f>Tabela_tudo[[#This Row],[Médico]]&amp;" ("&amp;Tabela_tudo[[#This Row],[Obs]]&amp;")"</f>
        <v>KOP ()</v>
      </c>
    </row>
    <row r="4461" spans="1:14" x14ac:dyDescent="0.3">
      <c r="A4461" s="1">
        <v>45173</v>
      </c>
      <c r="B4461" t="s">
        <v>44</v>
      </c>
      <c r="C4461" t="s">
        <v>45</v>
      </c>
      <c r="D4461" s="8"/>
      <c r="E4461" s="8"/>
      <c r="M4461" t="s">
        <v>478</v>
      </c>
      <c r="N4461" t="str">
        <f>Tabela_tudo[[#This Row],[Médico]]&amp;" ("&amp;Tabela_tudo[[#This Row],[Obs]]&amp;")"</f>
        <v>REI ()</v>
      </c>
    </row>
    <row r="4462" spans="1:14" x14ac:dyDescent="0.3">
      <c r="A4462" s="1">
        <v>45195</v>
      </c>
      <c r="B4462" t="s">
        <v>75</v>
      </c>
      <c r="C4462" t="s">
        <v>464</v>
      </c>
      <c r="D4462" s="8"/>
      <c r="E4462" s="8"/>
      <c r="M4462" t="s">
        <v>478</v>
      </c>
      <c r="N4462" t="str">
        <f>Tabela_tudo[[#This Row],[Médico]]&amp;" ("&amp;Tabela_tudo[[#This Row],[Obs]]&amp;")"</f>
        <v>KOP ()</v>
      </c>
    </row>
    <row r="4463" spans="1:14" x14ac:dyDescent="0.3">
      <c r="A4463" s="1">
        <v>45173</v>
      </c>
      <c r="B4463" t="s">
        <v>142</v>
      </c>
      <c r="C4463" t="s">
        <v>43</v>
      </c>
      <c r="D4463" s="8"/>
      <c r="E4463" s="8"/>
      <c r="M4463" t="s">
        <v>478</v>
      </c>
      <c r="N4463" t="str">
        <f>Tabela_tudo[[#This Row],[Médico]]&amp;" ("&amp;Tabela_tudo[[#This Row],[Obs]]&amp;")"</f>
        <v>VIV ()</v>
      </c>
    </row>
    <row r="4464" spans="1:14" x14ac:dyDescent="0.3">
      <c r="A4464" s="1">
        <v>45196</v>
      </c>
      <c r="B4464" t="s">
        <v>75</v>
      </c>
      <c r="C4464" t="s">
        <v>464</v>
      </c>
      <c r="D4464" s="8"/>
      <c r="E4464" s="8"/>
      <c r="M4464" t="s">
        <v>478</v>
      </c>
      <c r="N4464" t="str">
        <f>Tabela_tudo[[#This Row],[Médico]]&amp;" ("&amp;Tabela_tudo[[#This Row],[Obs]]&amp;")"</f>
        <v>KOP ()</v>
      </c>
    </row>
    <row r="4465" spans="1:14" x14ac:dyDescent="0.3">
      <c r="A4465" s="1">
        <v>45178</v>
      </c>
      <c r="B4465" t="s">
        <v>73</v>
      </c>
      <c r="C4465" t="s">
        <v>78</v>
      </c>
      <c r="D4465" s="8"/>
      <c r="E4465" s="8"/>
      <c r="M4465" t="s">
        <v>478</v>
      </c>
      <c r="N4465" t="str">
        <f>Tabela_tudo[[#This Row],[Médico]]&amp;" ("&amp;Tabela_tudo[[#This Row],[Obs]]&amp;")"</f>
        <v>RT ()</v>
      </c>
    </row>
    <row r="4466" spans="1:14" x14ac:dyDescent="0.3">
      <c r="A4466" s="1">
        <v>45195</v>
      </c>
      <c r="B4466" t="s">
        <v>7</v>
      </c>
      <c r="C4466" t="s">
        <v>464</v>
      </c>
      <c r="D4466" s="8"/>
      <c r="E4466" s="8"/>
      <c r="M4466" t="s">
        <v>478</v>
      </c>
      <c r="N4466" t="str">
        <f>Tabela_tudo[[#This Row],[Médico]]&amp;" ("&amp;Tabela_tudo[[#This Row],[Obs]]&amp;")"</f>
        <v>ARI ()</v>
      </c>
    </row>
    <row r="4467" spans="1:14" x14ac:dyDescent="0.3">
      <c r="A4467" s="1">
        <v>45173</v>
      </c>
      <c r="B4467" t="s">
        <v>85</v>
      </c>
      <c r="C4467" t="s">
        <v>49</v>
      </c>
      <c r="D4467" s="8"/>
      <c r="E4467" s="8"/>
      <c r="M4467" t="s">
        <v>478</v>
      </c>
      <c r="N4467" t="str">
        <f>Tabela_tudo[[#This Row],[Médico]]&amp;" ("&amp;Tabela_tudo[[#This Row],[Obs]]&amp;")"</f>
        <v>ELF ()</v>
      </c>
    </row>
    <row r="4468" spans="1:14" x14ac:dyDescent="0.3">
      <c r="A4468" s="1">
        <v>45196</v>
      </c>
      <c r="B4468" t="s">
        <v>7</v>
      </c>
      <c r="C4468" t="s">
        <v>464</v>
      </c>
      <c r="D4468" s="8"/>
      <c r="E4468" s="8"/>
      <c r="M4468" t="s">
        <v>478</v>
      </c>
      <c r="N4468" t="str">
        <f>Tabela_tudo[[#This Row],[Médico]]&amp;" ("&amp;Tabela_tudo[[#This Row],[Obs]]&amp;")"</f>
        <v>ARI ()</v>
      </c>
    </row>
    <row r="4469" spans="1:14" x14ac:dyDescent="0.3">
      <c r="A4469" s="1">
        <v>45173</v>
      </c>
      <c r="B4469" t="s">
        <v>68</v>
      </c>
      <c r="C4469" t="s">
        <v>13</v>
      </c>
      <c r="D4469" s="8"/>
      <c r="E4469" s="8"/>
      <c r="M4469" t="s">
        <v>478</v>
      </c>
      <c r="N4469" t="str">
        <f>Tabela_tudo[[#This Row],[Médico]]&amp;" ("&amp;Tabela_tudo[[#This Row],[Obs]]&amp;")"</f>
        <v>PED ()</v>
      </c>
    </row>
    <row r="4470" spans="1:14" x14ac:dyDescent="0.3">
      <c r="A4470" s="1">
        <v>45199</v>
      </c>
      <c r="B4470" t="s">
        <v>75</v>
      </c>
      <c r="C4470" t="s">
        <v>464</v>
      </c>
      <c r="D4470" s="8"/>
      <c r="E4470" s="8"/>
      <c r="M4470" t="s">
        <v>478</v>
      </c>
      <c r="N4470" t="str">
        <f>Tabela_tudo[[#This Row],[Médico]]&amp;" ("&amp;Tabela_tudo[[#This Row],[Obs]]&amp;")"</f>
        <v>KOP ()</v>
      </c>
    </row>
    <row r="4471" spans="1:14" x14ac:dyDescent="0.3">
      <c r="A4471" s="1">
        <v>45171</v>
      </c>
      <c r="B4471" t="s">
        <v>72</v>
      </c>
      <c r="C4471" t="s">
        <v>78</v>
      </c>
      <c r="D4471" s="8"/>
      <c r="E4471" s="8"/>
      <c r="M4471" t="s">
        <v>478</v>
      </c>
      <c r="N4471" t="str">
        <f>Tabela_tudo[[#This Row],[Médico]]&amp;" ("&amp;Tabela_tudo[[#This Row],[Obs]]&amp;")"</f>
        <v>GRA ()</v>
      </c>
    </row>
    <row r="4472" spans="1:14" x14ac:dyDescent="0.3">
      <c r="A4472" s="1">
        <v>45194</v>
      </c>
      <c r="B4472" t="s">
        <v>7</v>
      </c>
      <c r="C4472" t="s">
        <v>464</v>
      </c>
      <c r="D4472" s="8"/>
      <c r="E4472" s="8"/>
      <c r="M4472" t="s">
        <v>478</v>
      </c>
      <c r="N4472" t="str">
        <f>Tabela_tudo[[#This Row],[Médico]]&amp;" ("&amp;Tabela_tudo[[#This Row],[Obs]]&amp;")"</f>
        <v>ARI ()</v>
      </c>
    </row>
    <row r="4473" spans="1:14" x14ac:dyDescent="0.3">
      <c r="A4473" s="1">
        <v>45168</v>
      </c>
      <c r="B4473" t="s">
        <v>64</v>
      </c>
      <c r="C4473" t="s">
        <v>43</v>
      </c>
      <c r="D4473" s="8"/>
      <c r="E4473" s="8"/>
      <c r="M4473" t="s">
        <v>478</v>
      </c>
      <c r="N4473" t="str">
        <f>Tabela_tudo[[#This Row],[Médico]]&amp;" ("&amp;Tabela_tudo[[#This Row],[Obs]]&amp;")"</f>
        <v>SAR ()</v>
      </c>
    </row>
    <row r="4474" spans="1:14" x14ac:dyDescent="0.3">
      <c r="A4474" s="1">
        <v>45157</v>
      </c>
      <c r="B4474" t="s">
        <v>47</v>
      </c>
      <c r="C4474" t="s">
        <v>465</v>
      </c>
      <c r="D4474" s="8"/>
      <c r="E4474" s="8"/>
      <c r="F4474" t="s">
        <v>471</v>
      </c>
      <c r="M4474" t="s">
        <v>478</v>
      </c>
      <c r="N4474" t="str">
        <f>Tabela_tudo[[#This Row],[Médico]]&amp;" ("&amp;Tabela_tudo[[#This Row],[Obs]]&amp;")"</f>
        <v>VIN (JABC)</v>
      </c>
    </row>
    <row r="4475" spans="1:14" x14ac:dyDescent="0.3">
      <c r="A4475" s="1">
        <v>45180</v>
      </c>
      <c r="B4475" t="s">
        <v>66</v>
      </c>
      <c r="C4475" t="s">
        <v>15</v>
      </c>
      <c r="D4475" s="8"/>
      <c r="E4475" s="8"/>
      <c r="M4475" t="s">
        <v>478</v>
      </c>
      <c r="N4475" t="str">
        <f>Tabela_tudo[[#This Row],[Médico]]&amp;" ("&amp;Tabela_tudo[[#This Row],[Obs]]&amp;")"</f>
        <v>MOZ ()</v>
      </c>
    </row>
    <row r="4476" spans="1:14" x14ac:dyDescent="0.3">
      <c r="A4476" s="1">
        <v>45149</v>
      </c>
      <c r="B4476" t="s">
        <v>63</v>
      </c>
      <c r="C4476" t="s">
        <v>464</v>
      </c>
      <c r="D4476" s="8"/>
      <c r="E4476" s="8"/>
      <c r="M4476" t="s">
        <v>478</v>
      </c>
      <c r="N4476" t="str">
        <f>Tabela_tudo[[#This Row],[Médico]]&amp;" ("&amp;Tabela_tudo[[#This Row],[Obs]]&amp;")"</f>
        <v>FQ ()</v>
      </c>
    </row>
    <row r="4477" spans="1:14" x14ac:dyDescent="0.3">
      <c r="A4477" s="1">
        <v>45180</v>
      </c>
      <c r="B4477" t="s">
        <v>142</v>
      </c>
      <c r="C4477" t="s">
        <v>13</v>
      </c>
      <c r="D4477" s="8"/>
      <c r="E4477" s="8"/>
      <c r="M4477" t="s">
        <v>478</v>
      </c>
      <c r="N4477" t="str">
        <f>Tabela_tudo[[#This Row],[Médico]]&amp;" ("&amp;Tabela_tudo[[#This Row],[Obs]]&amp;")"</f>
        <v>VIV ()</v>
      </c>
    </row>
    <row r="4478" spans="1:14" x14ac:dyDescent="0.3">
      <c r="A4478" s="1">
        <v>45150</v>
      </c>
      <c r="B4478" t="s">
        <v>63</v>
      </c>
      <c r="C4478" t="s">
        <v>464</v>
      </c>
      <c r="D4478" s="8"/>
      <c r="E4478" s="8"/>
      <c r="M4478" t="s">
        <v>478</v>
      </c>
      <c r="N4478" t="str">
        <f>Tabela_tudo[[#This Row],[Médico]]&amp;" ("&amp;Tabela_tudo[[#This Row],[Obs]]&amp;")"</f>
        <v>FQ ()</v>
      </c>
    </row>
    <row r="4479" spans="1:14" x14ac:dyDescent="0.3">
      <c r="A4479" s="1">
        <v>45178</v>
      </c>
      <c r="B4479" t="s">
        <v>63</v>
      </c>
      <c r="C4479" t="s">
        <v>13</v>
      </c>
      <c r="D4479" s="8"/>
      <c r="E4479" s="8"/>
      <c r="M4479" t="s">
        <v>478</v>
      </c>
      <c r="N4479" t="str">
        <f>Tabela_tudo[[#This Row],[Médico]]&amp;" ("&amp;Tabela_tudo[[#This Row],[Obs]]&amp;")"</f>
        <v>FQ ()</v>
      </c>
    </row>
    <row r="4480" spans="1:14" x14ac:dyDescent="0.3">
      <c r="A4480" s="1">
        <v>45147</v>
      </c>
      <c r="B4480" t="s">
        <v>63</v>
      </c>
      <c r="C4480" t="s">
        <v>464</v>
      </c>
      <c r="D4480" s="8"/>
      <c r="E4480" s="8"/>
      <c r="M4480" t="s">
        <v>478</v>
      </c>
      <c r="N4480" t="str">
        <f>Tabela_tudo[[#This Row],[Médico]]&amp;" ("&amp;Tabela_tudo[[#This Row],[Obs]]&amp;")"</f>
        <v>FQ ()</v>
      </c>
    </row>
    <row r="4481" spans="1:14" x14ac:dyDescent="0.3">
      <c r="A4481" s="1">
        <v>45167</v>
      </c>
      <c r="B4481" t="s">
        <v>33</v>
      </c>
      <c r="C4481" t="s">
        <v>30</v>
      </c>
      <c r="D4481" s="8"/>
      <c r="E4481" s="8"/>
      <c r="M4481" t="s">
        <v>478</v>
      </c>
      <c r="N4481" t="str">
        <f>Tabela_tudo[[#This Row],[Médico]]&amp;" ("&amp;Tabela_tudo[[#This Row],[Obs]]&amp;")"</f>
        <v>DIF ()</v>
      </c>
    </row>
    <row r="4482" spans="1:14" x14ac:dyDescent="0.3">
      <c r="A4482" s="1">
        <v>45148</v>
      </c>
      <c r="B4482" t="s">
        <v>63</v>
      </c>
      <c r="C4482" t="s">
        <v>464</v>
      </c>
      <c r="D4482" s="8"/>
      <c r="E4482" s="8"/>
      <c r="M4482" t="s">
        <v>478</v>
      </c>
      <c r="N4482" t="str">
        <f>Tabela_tudo[[#This Row],[Médico]]&amp;" ("&amp;Tabela_tudo[[#This Row],[Obs]]&amp;")"</f>
        <v>FQ ()</v>
      </c>
    </row>
    <row r="4483" spans="1:14" x14ac:dyDescent="0.3">
      <c r="A4483" s="1">
        <v>45178</v>
      </c>
      <c r="B4483" t="s">
        <v>85</v>
      </c>
      <c r="C4483" t="s">
        <v>8</v>
      </c>
      <c r="D4483" s="8"/>
      <c r="E4483" s="8"/>
      <c r="M4483" t="s">
        <v>478</v>
      </c>
      <c r="N4483" t="str">
        <f>Tabela_tudo[[#This Row],[Médico]]&amp;" ("&amp;Tabela_tudo[[#This Row],[Obs]]&amp;")"</f>
        <v>ELF ()</v>
      </c>
    </row>
    <row r="4484" spans="1:14" x14ac:dyDescent="0.3">
      <c r="A4484" s="1">
        <v>45150</v>
      </c>
      <c r="B4484" t="s">
        <v>12</v>
      </c>
      <c r="C4484" t="s">
        <v>464</v>
      </c>
      <c r="D4484" s="8"/>
      <c r="E4484" s="8"/>
      <c r="M4484" t="s">
        <v>478</v>
      </c>
      <c r="N4484" t="str">
        <f>Tabela_tudo[[#This Row],[Médico]]&amp;" ("&amp;Tabela_tudo[[#This Row],[Obs]]&amp;")"</f>
        <v>EDU ()</v>
      </c>
    </row>
    <row r="4485" spans="1:14" x14ac:dyDescent="0.3">
      <c r="A4485" s="1">
        <v>45170</v>
      </c>
      <c r="B4485" t="s">
        <v>48</v>
      </c>
      <c r="C4485" t="s">
        <v>30</v>
      </c>
      <c r="D4485" s="8"/>
      <c r="E4485" s="8"/>
      <c r="M4485" t="s">
        <v>478</v>
      </c>
      <c r="N4485" t="str">
        <f>Tabela_tudo[[#This Row],[Médico]]&amp;" ("&amp;Tabela_tudo[[#This Row],[Obs]]&amp;")"</f>
        <v>MAF ()</v>
      </c>
    </row>
    <row r="4486" spans="1:14" x14ac:dyDescent="0.3">
      <c r="A4486" s="1">
        <v>45151</v>
      </c>
      <c r="B4486" t="s">
        <v>12</v>
      </c>
      <c r="C4486" t="s">
        <v>464</v>
      </c>
      <c r="D4486" s="8"/>
      <c r="E4486" s="8"/>
      <c r="M4486" t="s">
        <v>478</v>
      </c>
      <c r="N4486" t="str">
        <f>Tabela_tudo[[#This Row],[Médico]]&amp;" ("&amp;Tabela_tudo[[#This Row],[Obs]]&amp;")"</f>
        <v>EDU ()</v>
      </c>
    </row>
    <row r="4487" spans="1:14" x14ac:dyDescent="0.3">
      <c r="A4487" s="1">
        <v>45180</v>
      </c>
      <c r="B4487" t="s">
        <v>71</v>
      </c>
      <c r="C4487" t="s">
        <v>49</v>
      </c>
      <c r="D4487" s="8"/>
      <c r="E4487" s="8"/>
      <c r="M4487" t="s">
        <v>478</v>
      </c>
      <c r="N4487" t="str">
        <f>Tabela_tudo[[#This Row],[Médico]]&amp;" ("&amp;Tabela_tudo[[#This Row],[Obs]]&amp;")"</f>
        <v>BRU ()</v>
      </c>
    </row>
    <row r="4488" spans="1:14" x14ac:dyDescent="0.3">
      <c r="A4488" s="1">
        <v>45151</v>
      </c>
      <c r="B4488" t="s">
        <v>63</v>
      </c>
      <c r="C4488" t="s">
        <v>464</v>
      </c>
      <c r="D4488" s="8"/>
      <c r="E4488" s="8"/>
      <c r="M4488" t="s">
        <v>478</v>
      </c>
      <c r="N4488" t="str">
        <f>Tabela_tudo[[#This Row],[Médico]]&amp;" ("&amp;Tabela_tudo[[#This Row],[Obs]]&amp;")"</f>
        <v>FQ ()</v>
      </c>
    </row>
    <row r="4489" spans="1:14" x14ac:dyDescent="0.3">
      <c r="A4489" s="1">
        <v>45180</v>
      </c>
      <c r="B4489" t="s">
        <v>50</v>
      </c>
      <c r="C4489" t="s">
        <v>51</v>
      </c>
      <c r="D4489" s="8"/>
      <c r="E4489" s="8"/>
      <c r="M4489" t="s">
        <v>478</v>
      </c>
      <c r="N4489" t="str">
        <f>Tabela_tudo[[#This Row],[Médico]]&amp;" ("&amp;Tabela_tudo[[#This Row],[Obs]]&amp;")"</f>
        <v>PJP ()</v>
      </c>
    </row>
    <row r="4490" spans="1:14" x14ac:dyDescent="0.3">
      <c r="A4490" s="1">
        <v>45149</v>
      </c>
      <c r="B4490" t="s">
        <v>12</v>
      </c>
      <c r="C4490" t="s">
        <v>464</v>
      </c>
      <c r="D4490" s="8"/>
      <c r="E4490" s="8"/>
      <c r="M4490" t="s">
        <v>478</v>
      </c>
      <c r="N4490" t="str">
        <f>Tabela_tudo[[#This Row],[Médico]]&amp;" ("&amp;Tabela_tudo[[#This Row],[Obs]]&amp;")"</f>
        <v>EDU ()</v>
      </c>
    </row>
    <row r="4491" spans="1:14" x14ac:dyDescent="0.3">
      <c r="A4491" s="1">
        <v>45170</v>
      </c>
      <c r="B4491" t="s">
        <v>29</v>
      </c>
      <c r="C4491" t="s">
        <v>13</v>
      </c>
      <c r="D4491" s="8"/>
      <c r="E4491" s="8"/>
      <c r="M4491" t="s">
        <v>478</v>
      </c>
      <c r="N4491" t="str">
        <f>Tabela_tudo[[#This Row],[Médico]]&amp;" ("&amp;Tabela_tudo[[#This Row],[Obs]]&amp;")"</f>
        <v>JOA ()</v>
      </c>
    </row>
    <row r="4492" spans="1:14" x14ac:dyDescent="0.3">
      <c r="A4492" s="1">
        <v>45148</v>
      </c>
      <c r="B4492" t="s">
        <v>68</v>
      </c>
      <c r="C4492" t="s">
        <v>464</v>
      </c>
      <c r="D4492" s="8"/>
      <c r="E4492" s="8"/>
      <c r="M4492" t="s">
        <v>478</v>
      </c>
      <c r="N4492" t="str">
        <f>Tabela_tudo[[#This Row],[Médico]]&amp;" ("&amp;Tabela_tudo[[#This Row],[Obs]]&amp;")"</f>
        <v>PED ()</v>
      </c>
    </row>
    <row r="4493" spans="1:14" x14ac:dyDescent="0.3">
      <c r="A4493" s="1">
        <v>45176</v>
      </c>
      <c r="B4493" t="s">
        <v>84</v>
      </c>
      <c r="C4493" t="s">
        <v>13</v>
      </c>
      <c r="D4493" s="8"/>
      <c r="E4493" s="8"/>
      <c r="M4493" t="s">
        <v>478</v>
      </c>
      <c r="N4493" t="str">
        <f>Tabela_tudo[[#This Row],[Médico]]&amp;" ("&amp;Tabela_tudo[[#This Row],[Obs]]&amp;")"</f>
        <v>ANO ()</v>
      </c>
    </row>
    <row r="4494" spans="1:14" x14ac:dyDescent="0.3">
      <c r="A4494" s="1">
        <v>45149</v>
      </c>
      <c r="B4494" t="s">
        <v>68</v>
      </c>
      <c r="C4494" t="s">
        <v>464</v>
      </c>
      <c r="D4494" s="8"/>
      <c r="E4494" s="8"/>
      <c r="M4494" t="s">
        <v>478</v>
      </c>
      <c r="N4494" t="str">
        <f>Tabela_tudo[[#This Row],[Médico]]&amp;" ("&amp;Tabela_tudo[[#This Row],[Obs]]&amp;")"</f>
        <v>PED ()</v>
      </c>
    </row>
    <row r="4495" spans="1:14" x14ac:dyDescent="0.3">
      <c r="A4495" s="1">
        <v>45177</v>
      </c>
      <c r="B4495" t="s">
        <v>33</v>
      </c>
      <c r="C4495" t="s">
        <v>43</v>
      </c>
      <c r="D4495" s="8"/>
      <c r="E4495" s="8"/>
      <c r="M4495" t="s">
        <v>478</v>
      </c>
      <c r="N4495" t="str">
        <f>Tabela_tudo[[#This Row],[Médico]]&amp;" ("&amp;Tabela_tudo[[#This Row],[Obs]]&amp;")"</f>
        <v>DIF ()</v>
      </c>
    </row>
    <row r="4496" spans="1:14" x14ac:dyDescent="0.3">
      <c r="A4496" s="1">
        <v>45146</v>
      </c>
      <c r="B4496" t="s">
        <v>68</v>
      </c>
      <c r="C4496" t="s">
        <v>464</v>
      </c>
      <c r="D4496" s="8"/>
      <c r="E4496" s="8"/>
      <c r="M4496" t="s">
        <v>478</v>
      </c>
      <c r="N4496" t="str">
        <f>Tabela_tudo[[#This Row],[Médico]]&amp;" ("&amp;Tabela_tudo[[#This Row],[Obs]]&amp;")"</f>
        <v>PED ()</v>
      </c>
    </row>
    <row r="4497" spans="1:14" x14ac:dyDescent="0.3">
      <c r="A4497" s="1">
        <v>45169</v>
      </c>
      <c r="B4497" t="s">
        <v>94</v>
      </c>
      <c r="C4497" t="s">
        <v>18</v>
      </c>
      <c r="D4497" s="8"/>
      <c r="E4497" s="8"/>
      <c r="M4497" t="s">
        <v>478</v>
      </c>
      <c r="N4497" t="str">
        <f>Tabela_tudo[[#This Row],[Médico]]&amp;" ("&amp;Tabela_tudo[[#This Row],[Obs]]&amp;")"</f>
        <v>TOT ()</v>
      </c>
    </row>
    <row r="4498" spans="1:14" x14ac:dyDescent="0.3">
      <c r="A4498" s="1">
        <v>45147</v>
      </c>
      <c r="B4498" t="s">
        <v>68</v>
      </c>
      <c r="C4498" t="s">
        <v>464</v>
      </c>
      <c r="D4498" s="8"/>
      <c r="E4498" s="8"/>
      <c r="M4498" t="s">
        <v>478</v>
      </c>
      <c r="N4498" t="str">
        <f>Tabela_tudo[[#This Row],[Médico]]&amp;" ("&amp;Tabela_tudo[[#This Row],[Obs]]&amp;")"</f>
        <v>PED ()</v>
      </c>
    </row>
    <row r="4499" spans="1:14" x14ac:dyDescent="0.3">
      <c r="A4499" s="1">
        <v>45169</v>
      </c>
      <c r="B4499" t="s">
        <v>14</v>
      </c>
      <c r="C4499" t="s">
        <v>46</v>
      </c>
      <c r="D4499" s="8"/>
      <c r="E4499" s="8"/>
      <c r="M4499" t="s">
        <v>478</v>
      </c>
      <c r="N4499" t="str">
        <f>Tabela_tudo[[#This Row],[Médico]]&amp;" ("&amp;Tabela_tudo[[#This Row],[Obs]]&amp;")"</f>
        <v>PW ()</v>
      </c>
    </row>
    <row r="4500" spans="1:14" x14ac:dyDescent="0.3">
      <c r="A4500" s="1">
        <v>45145</v>
      </c>
      <c r="B4500" t="s">
        <v>63</v>
      </c>
      <c r="C4500" t="s">
        <v>464</v>
      </c>
      <c r="D4500" s="8"/>
      <c r="E4500" s="8"/>
      <c r="M4500" t="s">
        <v>478</v>
      </c>
      <c r="N4500" t="str">
        <f>Tabela_tudo[[#This Row],[Médico]]&amp;" ("&amp;Tabela_tudo[[#This Row],[Obs]]&amp;")"</f>
        <v>FQ ()</v>
      </c>
    </row>
    <row r="4501" spans="1:14" x14ac:dyDescent="0.3">
      <c r="A4501" s="1">
        <v>45170</v>
      </c>
      <c r="B4501" t="s">
        <v>33</v>
      </c>
      <c r="C4501" t="s">
        <v>30</v>
      </c>
      <c r="D4501" s="8"/>
      <c r="E4501" s="8"/>
      <c r="M4501" t="s">
        <v>478</v>
      </c>
      <c r="N4501" t="str">
        <f>Tabela_tudo[[#This Row],[Médico]]&amp;" ("&amp;Tabela_tudo[[#This Row],[Obs]]&amp;")"</f>
        <v>DIF ()</v>
      </c>
    </row>
    <row r="4502" spans="1:14" x14ac:dyDescent="0.3">
      <c r="A4502" s="1">
        <v>45146</v>
      </c>
      <c r="B4502" t="s">
        <v>63</v>
      </c>
      <c r="C4502" t="s">
        <v>464</v>
      </c>
      <c r="D4502" s="8"/>
      <c r="E4502" s="8"/>
      <c r="M4502" t="s">
        <v>478</v>
      </c>
      <c r="N4502" t="str">
        <f>Tabela_tudo[[#This Row],[Médico]]&amp;" ("&amp;Tabela_tudo[[#This Row],[Obs]]&amp;")"</f>
        <v>FQ ()</v>
      </c>
    </row>
    <row r="4503" spans="1:14" x14ac:dyDescent="0.3">
      <c r="A4503" s="1">
        <v>45180</v>
      </c>
      <c r="B4503" t="s">
        <v>44</v>
      </c>
      <c r="C4503" t="s">
        <v>45</v>
      </c>
      <c r="D4503" s="8"/>
      <c r="E4503" s="8"/>
      <c r="M4503" t="s">
        <v>478</v>
      </c>
      <c r="N4503" t="str">
        <f>Tabela_tudo[[#This Row],[Médico]]&amp;" ("&amp;Tabela_tudo[[#This Row],[Obs]]&amp;")"</f>
        <v>REI ()</v>
      </c>
    </row>
    <row r="4504" spans="1:14" x14ac:dyDescent="0.3">
      <c r="A4504" s="1">
        <v>45150</v>
      </c>
      <c r="B4504" t="s">
        <v>68</v>
      </c>
      <c r="C4504" t="s">
        <v>464</v>
      </c>
      <c r="D4504" s="8"/>
      <c r="E4504" s="8"/>
      <c r="M4504" t="s">
        <v>478</v>
      </c>
      <c r="N4504" t="str">
        <f>Tabela_tudo[[#This Row],[Médico]]&amp;" ("&amp;Tabela_tudo[[#This Row],[Obs]]&amp;")"</f>
        <v>PED ()</v>
      </c>
    </row>
    <row r="4505" spans="1:14" x14ac:dyDescent="0.3">
      <c r="A4505" s="1">
        <v>45169</v>
      </c>
      <c r="B4505" t="s">
        <v>34</v>
      </c>
      <c r="C4505" t="s">
        <v>51</v>
      </c>
      <c r="D4505" s="8"/>
      <c r="E4505" s="8"/>
      <c r="M4505" t="s">
        <v>478</v>
      </c>
      <c r="N4505" t="str">
        <f>Tabela_tudo[[#This Row],[Médico]]&amp;" ("&amp;Tabela_tudo[[#This Row],[Obs]]&amp;")"</f>
        <v>LIP ()</v>
      </c>
    </row>
    <row r="4506" spans="1:14" x14ac:dyDescent="0.3">
      <c r="A4506" s="1">
        <v>45151</v>
      </c>
      <c r="B4506" t="s">
        <v>68</v>
      </c>
      <c r="C4506" t="s">
        <v>464</v>
      </c>
      <c r="D4506" s="8"/>
      <c r="E4506" s="8"/>
      <c r="M4506" t="s">
        <v>478</v>
      </c>
      <c r="N4506" t="str">
        <f>Tabela_tudo[[#This Row],[Médico]]&amp;" ("&amp;Tabela_tudo[[#This Row],[Obs]]&amp;")"</f>
        <v>PED ()</v>
      </c>
    </row>
    <row r="4507" spans="1:14" x14ac:dyDescent="0.3">
      <c r="A4507" s="1">
        <v>45169</v>
      </c>
      <c r="B4507" t="s">
        <v>85</v>
      </c>
      <c r="C4507" t="s">
        <v>49</v>
      </c>
      <c r="D4507" s="8"/>
      <c r="E4507" s="8"/>
      <c r="M4507" t="s">
        <v>478</v>
      </c>
      <c r="N4507" t="str">
        <f>Tabela_tudo[[#This Row],[Médico]]&amp;" ("&amp;Tabela_tudo[[#This Row],[Obs]]&amp;")"</f>
        <v>ELF ()</v>
      </c>
    </row>
    <row r="4508" spans="1:14" x14ac:dyDescent="0.3">
      <c r="A4508" s="1">
        <v>45162</v>
      </c>
      <c r="B4508" t="s">
        <v>12</v>
      </c>
      <c r="C4508" t="s">
        <v>464</v>
      </c>
      <c r="D4508" s="8"/>
      <c r="E4508" s="8"/>
      <c r="M4508" t="s">
        <v>478</v>
      </c>
      <c r="N4508" t="str">
        <f>Tabela_tudo[[#This Row],[Médico]]&amp;" ("&amp;Tabela_tudo[[#This Row],[Obs]]&amp;")"</f>
        <v>EDU ()</v>
      </c>
    </row>
    <row r="4509" spans="1:14" x14ac:dyDescent="0.3">
      <c r="A4509" s="1">
        <v>45180</v>
      </c>
      <c r="B4509" t="s">
        <v>21</v>
      </c>
      <c r="C4509" t="s">
        <v>46</v>
      </c>
      <c r="D4509" s="8"/>
      <c r="E4509" s="8"/>
      <c r="M4509" t="s">
        <v>478</v>
      </c>
      <c r="N4509" t="str">
        <f>Tabela_tudo[[#This Row],[Médico]]&amp;" ("&amp;Tabela_tudo[[#This Row],[Obs]]&amp;")"</f>
        <v>RA ()</v>
      </c>
    </row>
    <row r="4510" spans="1:14" x14ac:dyDescent="0.3">
      <c r="A4510" s="1">
        <v>45163</v>
      </c>
      <c r="B4510" t="s">
        <v>12</v>
      </c>
      <c r="C4510" t="s">
        <v>464</v>
      </c>
      <c r="D4510" s="8"/>
      <c r="E4510" s="8"/>
      <c r="M4510" t="s">
        <v>478</v>
      </c>
      <c r="N4510" t="str">
        <f>Tabela_tudo[[#This Row],[Médico]]&amp;" ("&amp;Tabela_tudo[[#This Row],[Obs]]&amp;")"</f>
        <v>EDU ()</v>
      </c>
    </row>
    <row r="4511" spans="1:14" x14ac:dyDescent="0.3">
      <c r="A4511" s="1">
        <v>45176</v>
      </c>
      <c r="B4511" t="s">
        <v>52</v>
      </c>
      <c r="C4511" t="s">
        <v>45</v>
      </c>
      <c r="D4511" s="8"/>
      <c r="E4511" s="8"/>
      <c r="M4511" t="s">
        <v>478</v>
      </c>
      <c r="N4511" t="str">
        <f>Tabela_tudo[[#This Row],[Médico]]&amp;" ("&amp;Tabela_tudo[[#This Row],[Obs]]&amp;")"</f>
        <v>AEL ()</v>
      </c>
    </row>
    <row r="4512" spans="1:14" x14ac:dyDescent="0.3">
      <c r="A4512" s="1">
        <v>45160</v>
      </c>
      <c r="B4512" t="s">
        <v>12</v>
      </c>
      <c r="C4512" t="s">
        <v>464</v>
      </c>
      <c r="D4512" s="8"/>
      <c r="E4512" s="8"/>
      <c r="M4512" t="s">
        <v>478</v>
      </c>
      <c r="N4512" t="str">
        <f>Tabela_tudo[[#This Row],[Médico]]&amp;" ("&amp;Tabela_tudo[[#This Row],[Obs]]&amp;")"</f>
        <v>EDU ()</v>
      </c>
    </row>
    <row r="4513" spans="1:14" x14ac:dyDescent="0.3">
      <c r="A4513" s="1">
        <v>45176</v>
      </c>
      <c r="B4513" t="s">
        <v>34</v>
      </c>
      <c r="C4513" t="s">
        <v>51</v>
      </c>
      <c r="D4513" s="8"/>
      <c r="E4513" s="8"/>
      <c r="M4513" t="s">
        <v>478</v>
      </c>
      <c r="N4513" t="str">
        <f>Tabela_tudo[[#This Row],[Médico]]&amp;" ("&amp;Tabela_tudo[[#This Row],[Obs]]&amp;")"</f>
        <v>LIP ()</v>
      </c>
    </row>
    <row r="4514" spans="1:14" x14ac:dyDescent="0.3">
      <c r="A4514" s="1">
        <v>45161</v>
      </c>
      <c r="B4514" t="s">
        <v>12</v>
      </c>
      <c r="C4514" t="s">
        <v>464</v>
      </c>
      <c r="D4514" s="8"/>
      <c r="E4514" s="8"/>
      <c r="M4514" t="s">
        <v>478</v>
      </c>
      <c r="N4514" t="str">
        <f>Tabela_tudo[[#This Row],[Médico]]&amp;" ("&amp;Tabela_tudo[[#This Row],[Obs]]&amp;")"</f>
        <v>EDU ()</v>
      </c>
    </row>
    <row r="4515" spans="1:14" x14ac:dyDescent="0.3">
      <c r="A4515" s="1">
        <v>45176</v>
      </c>
      <c r="B4515" t="s">
        <v>85</v>
      </c>
      <c r="C4515" t="s">
        <v>49</v>
      </c>
      <c r="D4515" s="8"/>
      <c r="E4515" s="8"/>
      <c r="M4515" t="s">
        <v>478</v>
      </c>
      <c r="N4515" t="str">
        <f>Tabela_tudo[[#This Row],[Médico]]&amp;" ("&amp;Tabela_tudo[[#This Row],[Obs]]&amp;")"</f>
        <v>ELF ()</v>
      </c>
    </row>
    <row r="4516" spans="1:14" x14ac:dyDescent="0.3">
      <c r="A4516" s="1">
        <v>45155</v>
      </c>
      <c r="B4516" t="s">
        <v>47</v>
      </c>
      <c r="C4516" t="s">
        <v>465</v>
      </c>
      <c r="D4516" s="8"/>
      <c r="E4516" s="8"/>
      <c r="F4516" t="s">
        <v>471</v>
      </c>
      <c r="M4516" t="s">
        <v>478</v>
      </c>
      <c r="N4516" t="str">
        <f>Tabela_tudo[[#This Row],[Médico]]&amp;" ("&amp;Tabela_tudo[[#This Row],[Obs]]&amp;")"</f>
        <v>VIN (JABC)</v>
      </c>
    </row>
    <row r="4517" spans="1:14" x14ac:dyDescent="0.3">
      <c r="A4517" s="1">
        <v>45176</v>
      </c>
      <c r="B4517" t="s">
        <v>32</v>
      </c>
      <c r="C4517" t="s">
        <v>18</v>
      </c>
      <c r="D4517" s="8"/>
      <c r="E4517" s="8"/>
      <c r="M4517" t="s">
        <v>478</v>
      </c>
      <c r="N4517" t="str">
        <f>Tabela_tudo[[#This Row],[Médico]]&amp;" ("&amp;Tabela_tudo[[#This Row],[Obs]]&amp;")"</f>
        <v>JS ()</v>
      </c>
    </row>
    <row r="4518" spans="1:14" x14ac:dyDescent="0.3">
      <c r="A4518" s="1">
        <v>45156</v>
      </c>
      <c r="B4518" t="s">
        <v>47</v>
      </c>
      <c r="C4518" t="s">
        <v>465</v>
      </c>
      <c r="D4518" s="8"/>
      <c r="E4518" s="8"/>
      <c r="F4518" t="s">
        <v>471</v>
      </c>
      <c r="M4518" t="s">
        <v>478</v>
      </c>
      <c r="N4518" t="str">
        <f>Tabela_tudo[[#This Row],[Médico]]&amp;" ("&amp;Tabela_tudo[[#This Row],[Obs]]&amp;")"</f>
        <v>VIN (JABC)</v>
      </c>
    </row>
    <row r="4519" spans="1:14" x14ac:dyDescent="0.3">
      <c r="A4519" s="1">
        <v>45176</v>
      </c>
      <c r="B4519" t="s">
        <v>14</v>
      </c>
      <c r="C4519" t="s">
        <v>46</v>
      </c>
      <c r="D4519" s="8"/>
      <c r="E4519" s="8"/>
      <c r="M4519" t="s">
        <v>478</v>
      </c>
      <c r="N4519" t="str">
        <f>Tabela_tudo[[#This Row],[Médico]]&amp;" ("&amp;Tabela_tudo[[#This Row],[Obs]]&amp;")"</f>
        <v>PW ()</v>
      </c>
    </row>
    <row r="4520" spans="1:14" x14ac:dyDescent="0.3">
      <c r="A4520" s="1">
        <v>45164</v>
      </c>
      <c r="B4520" t="s">
        <v>12</v>
      </c>
      <c r="C4520" t="s">
        <v>464</v>
      </c>
      <c r="D4520" s="8"/>
      <c r="E4520" s="8"/>
      <c r="M4520" t="s">
        <v>478</v>
      </c>
      <c r="N4520" t="str">
        <f>Tabela_tudo[[#This Row],[Médico]]&amp;" ("&amp;Tabela_tudo[[#This Row],[Obs]]&amp;")"</f>
        <v>EDU ()</v>
      </c>
    </row>
    <row r="4521" spans="1:14" x14ac:dyDescent="0.3">
      <c r="A4521" s="1">
        <v>45176</v>
      </c>
      <c r="B4521" t="s">
        <v>75</v>
      </c>
      <c r="C4521" t="s">
        <v>8</v>
      </c>
      <c r="D4521" s="8"/>
      <c r="E4521" s="8"/>
      <c r="M4521" t="s">
        <v>478</v>
      </c>
      <c r="N4521" t="str">
        <f>Tabela_tudo[[#This Row],[Médico]]&amp;" ("&amp;Tabela_tudo[[#This Row],[Obs]]&amp;")"</f>
        <v>KOP ()</v>
      </c>
    </row>
    <row r="4522" spans="1:14" x14ac:dyDescent="0.3">
      <c r="A4522" s="1">
        <v>45165</v>
      </c>
      <c r="B4522" t="s">
        <v>12</v>
      </c>
      <c r="C4522" t="s">
        <v>464</v>
      </c>
      <c r="D4522" s="8"/>
      <c r="E4522" s="8"/>
      <c r="M4522" t="s">
        <v>478</v>
      </c>
      <c r="N4522" t="str">
        <f>Tabela_tudo[[#This Row],[Médico]]&amp;" ("&amp;Tabela_tudo[[#This Row],[Obs]]&amp;")"</f>
        <v>EDU ()</v>
      </c>
    </row>
    <row r="4523" spans="1:14" x14ac:dyDescent="0.3">
      <c r="A4523" s="1">
        <v>45168</v>
      </c>
      <c r="B4523" t="s">
        <v>50</v>
      </c>
      <c r="C4523" t="s">
        <v>13</v>
      </c>
      <c r="D4523" s="8"/>
      <c r="E4523" s="8"/>
      <c r="M4523" t="s">
        <v>478</v>
      </c>
      <c r="N4523" t="str">
        <f>Tabela_tudo[[#This Row],[Médico]]&amp;" ("&amp;Tabela_tudo[[#This Row],[Obs]]&amp;")"</f>
        <v>PJP ()</v>
      </c>
    </row>
    <row r="4524" spans="1:14" x14ac:dyDescent="0.3">
      <c r="A4524" s="1">
        <v>45154</v>
      </c>
      <c r="B4524" t="s">
        <v>12</v>
      </c>
      <c r="C4524" t="s">
        <v>464</v>
      </c>
      <c r="D4524" s="8"/>
      <c r="E4524" s="8"/>
      <c r="M4524" t="s">
        <v>478</v>
      </c>
      <c r="N4524" t="str">
        <f>Tabela_tudo[[#This Row],[Médico]]&amp;" ("&amp;Tabela_tudo[[#This Row],[Obs]]&amp;")"</f>
        <v>EDU ()</v>
      </c>
    </row>
    <row r="4525" spans="1:14" x14ac:dyDescent="0.3">
      <c r="A4525" s="1">
        <v>45170</v>
      </c>
      <c r="B4525" t="s">
        <v>47</v>
      </c>
      <c r="C4525" t="s">
        <v>15</v>
      </c>
      <c r="D4525" s="8"/>
      <c r="E4525" s="8"/>
      <c r="M4525" t="s">
        <v>478</v>
      </c>
      <c r="N4525" t="str">
        <f>Tabela_tudo[[#This Row],[Médico]]&amp;" ("&amp;Tabela_tudo[[#This Row],[Obs]]&amp;")"</f>
        <v>VIN ()</v>
      </c>
    </row>
    <row r="4526" spans="1:14" x14ac:dyDescent="0.3">
      <c r="A4526" s="1">
        <v>45155</v>
      </c>
      <c r="B4526" t="s">
        <v>12</v>
      </c>
      <c r="C4526" t="s">
        <v>464</v>
      </c>
      <c r="D4526" s="8"/>
      <c r="E4526" s="8"/>
      <c r="M4526" t="s">
        <v>478</v>
      </c>
      <c r="N4526" t="str">
        <f>Tabela_tudo[[#This Row],[Médico]]&amp;" ("&amp;Tabela_tudo[[#This Row],[Obs]]&amp;")"</f>
        <v>EDU ()</v>
      </c>
    </row>
    <row r="4527" spans="1:14" x14ac:dyDescent="0.3">
      <c r="A4527" s="1">
        <v>45180</v>
      </c>
      <c r="B4527" t="s">
        <v>32</v>
      </c>
      <c r="C4527" t="s">
        <v>18</v>
      </c>
      <c r="D4527" s="8"/>
      <c r="E4527" s="8"/>
      <c r="M4527" t="s">
        <v>478</v>
      </c>
      <c r="N4527" t="str">
        <f>Tabela_tudo[[#This Row],[Médico]]&amp;" ("&amp;Tabela_tudo[[#This Row],[Obs]]&amp;")"</f>
        <v>JS ()</v>
      </c>
    </row>
    <row r="4528" spans="1:14" x14ac:dyDescent="0.3">
      <c r="A4528" s="1">
        <v>45152</v>
      </c>
      <c r="B4528" t="s">
        <v>12</v>
      </c>
      <c r="C4528" t="s">
        <v>464</v>
      </c>
      <c r="D4528" s="8"/>
      <c r="E4528" s="8"/>
      <c r="M4528" t="s">
        <v>478</v>
      </c>
      <c r="N4528" t="str">
        <f>Tabela_tudo[[#This Row],[Médico]]&amp;" ("&amp;Tabela_tudo[[#This Row],[Obs]]&amp;")"</f>
        <v>EDU ()</v>
      </c>
    </row>
    <row r="4529" spans="1:14" x14ac:dyDescent="0.3">
      <c r="A4529" s="1">
        <v>45170</v>
      </c>
      <c r="B4529" t="s">
        <v>85</v>
      </c>
      <c r="C4529" t="s">
        <v>8</v>
      </c>
      <c r="D4529" s="8"/>
      <c r="E4529" s="8"/>
      <c r="M4529" t="s">
        <v>478</v>
      </c>
      <c r="N4529" t="str">
        <f>Tabela_tudo[[#This Row],[Médico]]&amp;" ("&amp;Tabela_tudo[[#This Row],[Obs]]&amp;")"</f>
        <v>ELF ()</v>
      </c>
    </row>
    <row r="4530" spans="1:14" x14ac:dyDescent="0.3">
      <c r="A4530" s="1">
        <v>45153</v>
      </c>
      <c r="B4530" t="s">
        <v>12</v>
      </c>
      <c r="C4530" t="s">
        <v>464</v>
      </c>
      <c r="D4530" s="8"/>
      <c r="E4530" s="8"/>
      <c r="M4530" t="s">
        <v>478</v>
      </c>
      <c r="N4530" t="str">
        <f>Tabela_tudo[[#This Row],[Médico]]&amp;" ("&amp;Tabela_tudo[[#This Row],[Obs]]&amp;")"</f>
        <v>EDU ()</v>
      </c>
    </row>
    <row r="4531" spans="1:14" x14ac:dyDescent="0.3">
      <c r="A4531" s="1">
        <v>45176</v>
      </c>
      <c r="B4531" t="s">
        <v>142</v>
      </c>
      <c r="C4531" t="s">
        <v>78</v>
      </c>
      <c r="D4531" s="8"/>
      <c r="E4531" s="8"/>
      <c r="M4531" t="s">
        <v>478</v>
      </c>
      <c r="N4531" t="str">
        <f>Tabela_tudo[[#This Row],[Médico]]&amp;" ("&amp;Tabela_tudo[[#This Row],[Obs]]&amp;")"</f>
        <v>VIV ()</v>
      </c>
    </row>
    <row r="4532" spans="1:14" x14ac:dyDescent="0.3">
      <c r="A4532" s="1">
        <v>45158</v>
      </c>
      <c r="B4532" t="s">
        <v>12</v>
      </c>
      <c r="C4532" t="s">
        <v>464</v>
      </c>
      <c r="D4532" s="8"/>
      <c r="E4532" s="8"/>
      <c r="M4532" t="s">
        <v>478</v>
      </c>
      <c r="N4532" t="str">
        <f>Tabela_tudo[[#This Row],[Médico]]&amp;" ("&amp;Tabela_tudo[[#This Row],[Obs]]&amp;")"</f>
        <v>EDU ()</v>
      </c>
    </row>
    <row r="4533" spans="1:14" x14ac:dyDescent="0.3">
      <c r="A4533" s="1">
        <v>45177</v>
      </c>
      <c r="B4533" t="s">
        <v>17</v>
      </c>
      <c r="C4533" t="s">
        <v>51</v>
      </c>
      <c r="D4533" s="8"/>
      <c r="E4533" s="8"/>
      <c r="M4533" t="s">
        <v>478</v>
      </c>
      <c r="N4533" t="str">
        <f>Tabela_tudo[[#This Row],[Médico]]&amp;" ("&amp;Tabela_tudo[[#This Row],[Obs]]&amp;")"</f>
        <v>FAB ()</v>
      </c>
    </row>
    <row r="4534" spans="1:14" x14ac:dyDescent="0.3">
      <c r="A4534" s="1">
        <v>45159</v>
      </c>
      <c r="B4534" t="s">
        <v>12</v>
      </c>
      <c r="C4534" t="s">
        <v>464</v>
      </c>
      <c r="D4534" s="8"/>
      <c r="E4534" s="8"/>
      <c r="M4534" t="s">
        <v>478</v>
      </c>
      <c r="N4534" t="str">
        <f>Tabela_tudo[[#This Row],[Médico]]&amp;" ("&amp;Tabela_tudo[[#This Row],[Obs]]&amp;")"</f>
        <v>EDU ()</v>
      </c>
    </row>
    <row r="4535" spans="1:14" x14ac:dyDescent="0.3">
      <c r="A4535" s="1">
        <v>45177</v>
      </c>
      <c r="B4535" t="s">
        <v>14</v>
      </c>
      <c r="C4535" t="s">
        <v>46</v>
      </c>
      <c r="D4535" s="8"/>
      <c r="E4535" s="8"/>
      <c r="M4535" t="s">
        <v>478</v>
      </c>
      <c r="N4535" t="str">
        <f>Tabela_tudo[[#This Row],[Médico]]&amp;" ("&amp;Tabela_tudo[[#This Row],[Obs]]&amp;")"</f>
        <v>PW ()</v>
      </c>
    </row>
    <row r="4536" spans="1:14" x14ac:dyDescent="0.3">
      <c r="A4536" s="1">
        <v>45156</v>
      </c>
      <c r="B4536" t="s">
        <v>12</v>
      </c>
      <c r="C4536" t="s">
        <v>464</v>
      </c>
      <c r="D4536" s="8"/>
      <c r="E4536" s="8"/>
      <c r="M4536" t="s">
        <v>478</v>
      </c>
      <c r="N4536" t="str">
        <f>Tabela_tudo[[#This Row],[Médico]]&amp;" ("&amp;Tabela_tudo[[#This Row],[Obs]]&amp;")"</f>
        <v>EDU ()</v>
      </c>
    </row>
    <row r="4537" spans="1:14" x14ac:dyDescent="0.3">
      <c r="A4537" s="1">
        <v>45169</v>
      </c>
      <c r="B4537" t="s">
        <v>20</v>
      </c>
      <c r="C4537" t="s">
        <v>30</v>
      </c>
      <c r="D4537" s="8"/>
      <c r="E4537" s="8"/>
      <c r="M4537" t="s">
        <v>478</v>
      </c>
      <c r="N4537" t="str">
        <f>Tabela_tudo[[#This Row],[Médico]]&amp;" ("&amp;Tabela_tudo[[#This Row],[Obs]]&amp;")"</f>
        <v>ROB ()</v>
      </c>
    </row>
    <row r="4538" spans="1:14" x14ac:dyDescent="0.3">
      <c r="A4538" s="1">
        <v>45157</v>
      </c>
      <c r="B4538" t="s">
        <v>12</v>
      </c>
      <c r="C4538" t="s">
        <v>464</v>
      </c>
      <c r="D4538" s="8"/>
      <c r="E4538" s="8"/>
      <c r="M4538" t="s">
        <v>478</v>
      </c>
      <c r="N4538" t="str">
        <f>Tabela_tudo[[#This Row],[Médico]]&amp;" ("&amp;Tabela_tudo[[#This Row],[Obs]]&amp;")"</f>
        <v>EDU ()</v>
      </c>
    </row>
    <row r="4539" spans="1:14" x14ac:dyDescent="0.3">
      <c r="A4539" s="1">
        <v>45177</v>
      </c>
      <c r="B4539" t="s">
        <v>44</v>
      </c>
      <c r="C4539" t="s">
        <v>45</v>
      </c>
      <c r="D4539" s="8"/>
      <c r="E4539" s="8"/>
      <c r="M4539" t="s">
        <v>478</v>
      </c>
      <c r="N4539" t="str">
        <f>Tabela_tudo[[#This Row],[Médico]]&amp;" ("&amp;Tabela_tudo[[#This Row],[Obs]]&amp;")"</f>
        <v>REI ()</v>
      </c>
    </row>
    <row r="4540" spans="1:14" x14ac:dyDescent="0.3">
      <c r="A4540" s="1">
        <v>45216</v>
      </c>
      <c r="B4540" t="s">
        <v>142</v>
      </c>
      <c r="C4540" t="s">
        <v>464</v>
      </c>
      <c r="D4540" s="8"/>
      <c r="E4540" s="8"/>
      <c r="M4540" t="s">
        <v>478</v>
      </c>
      <c r="N4540" t="str">
        <f>Tabela_tudo[[#This Row],[Médico]]&amp;" ("&amp;Tabela_tudo[[#This Row],[Obs]]&amp;")"</f>
        <v>VIV ()</v>
      </c>
    </row>
    <row r="4541" spans="1:14" x14ac:dyDescent="0.3">
      <c r="A4541" s="1">
        <v>45177</v>
      </c>
      <c r="B4541" t="s">
        <v>85</v>
      </c>
      <c r="C4541" t="s">
        <v>49</v>
      </c>
      <c r="D4541" s="8"/>
      <c r="E4541" s="8"/>
      <c r="M4541" t="s">
        <v>478</v>
      </c>
      <c r="N4541" t="str">
        <f>Tabela_tudo[[#This Row],[Médico]]&amp;" ("&amp;Tabela_tudo[[#This Row],[Obs]]&amp;")"</f>
        <v>ELF ()</v>
      </c>
    </row>
    <row r="4542" spans="1:14" x14ac:dyDescent="0.3">
      <c r="A4542" s="1">
        <v>45217</v>
      </c>
      <c r="B4542" t="s">
        <v>142</v>
      </c>
      <c r="C4542" t="s">
        <v>464</v>
      </c>
      <c r="D4542" s="8"/>
      <c r="E4542" s="8"/>
      <c r="M4542" t="s">
        <v>478</v>
      </c>
      <c r="N4542" t="str">
        <f>Tabela_tudo[[#This Row],[Médico]]&amp;" ("&amp;Tabela_tudo[[#This Row],[Obs]]&amp;")"</f>
        <v>VIV ()</v>
      </c>
    </row>
    <row r="4543" spans="1:14" x14ac:dyDescent="0.3">
      <c r="A4543" s="1">
        <v>45171</v>
      </c>
      <c r="B4543" t="s">
        <v>94</v>
      </c>
      <c r="C4543" t="s">
        <v>13</v>
      </c>
      <c r="D4543" s="8"/>
      <c r="E4543" s="8"/>
      <c r="M4543" t="s">
        <v>478</v>
      </c>
      <c r="N4543" t="str">
        <f>Tabela_tudo[[#This Row],[Médico]]&amp;" ("&amp;Tabela_tudo[[#This Row],[Obs]]&amp;")"</f>
        <v>TOT ()</v>
      </c>
    </row>
    <row r="4544" spans="1:14" x14ac:dyDescent="0.3">
      <c r="A4544" s="1">
        <v>45214</v>
      </c>
      <c r="B4544" t="s">
        <v>142</v>
      </c>
      <c r="C4544" t="s">
        <v>464</v>
      </c>
      <c r="D4544" s="8"/>
      <c r="E4544" s="8"/>
      <c r="M4544" t="s">
        <v>478</v>
      </c>
      <c r="N4544" t="str">
        <f>Tabela_tudo[[#This Row],[Médico]]&amp;" ("&amp;Tabela_tudo[[#This Row],[Obs]]&amp;")"</f>
        <v>VIV ()</v>
      </c>
    </row>
    <row r="4545" spans="1:14" x14ac:dyDescent="0.3">
      <c r="A4545" s="1">
        <v>45177</v>
      </c>
      <c r="B4545" t="s">
        <v>94</v>
      </c>
      <c r="C4545" t="s">
        <v>18</v>
      </c>
      <c r="D4545" s="8"/>
      <c r="E4545" s="8"/>
      <c r="M4545" t="s">
        <v>478</v>
      </c>
      <c r="N4545" t="str">
        <f>Tabela_tudo[[#This Row],[Médico]]&amp;" ("&amp;Tabela_tudo[[#This Row],[Obs]]&amp;")"</f>
        <v>TOT ()</v>
      </c>
    </row>
    <row r="4546" spans="1:14" x14ac:dyDescent="0.3">
      <c r="A4546" s="1">
        <v>45215</v>
      </c>
      <c r="B4546" t="s">
        <v>142</v>
      </c>
      <c r="C4546" t="s">
        <v>464</v>
      </c>
      <c r="D4546" s="8"/>
      <c r="E4546" s="8"/>
      <c r="M4546" t="s">
        <v>478</v>
      </c>
      <c r="N4546" t="str">
        <f>Tabela_tudo[[#This Row],[Médico]]&amp;" ("&amp;Tabela_tudo[[#This Row],[Obs]]&amp;")"</f>
        <v>VIV ()</v>
      </c>
    </row>
    <row r="4547" spans="1:14" x14ac:dyDescent="0.3">
      <c r="A4547" s="1">
        <v>45169</v>
      </c>
      <c r="B4547" t="s">
        <v>84</v>
      </c>
      <c r="C4547" t="s">
        <v>13</v>
      </c>
      <c r="D4547" s="8"/>
      <c r="E4547" s="8"/>
      <c r="M4547" t="s">
        <v>478</v>
      </c>
      <c r="N4547" t="str">
        <f>Tabela_tudo[[#This Row],[Médico]]&amp;" ("&amp;Tabela_tudo[[#This Row],[Obs]]&amp;")"</f>
        <v>ANO ()</v>
      </c>
    </row>
    <row r="4548" spans="1:14" x14ac:dyDescent="0.3">
      <c r="A4548" s="1">
        <v>45220</v>
      </c>
      <c r="B4548" t="s">
        <v>142</v>
      </c>
      <c r="C4548" t="s">
        <v>464</v>
      </c>
      <c r="D4548" s="8"/>
      <c r="E4548" s="8"/>
      <c r="M4548" t="s">
        <v>478</v>
      </c>
      <c r="N4548" t="str">
        <f>Tabela_tudo[[#This Row],[Médico]]&amp;" ("&amp;Tabela_tudo[[#This Row],[Obs]]&amp;")"</f>
        <v>VIV ()</v>
      </c>
    </row>
    <row r="4549" spans="1:14" x14ac:dyDescent="0.3">
      <c r="A4549" s="1">
        <v>45193</v>
      </c>
      <c r="B4549" t="s">
        <v>94</v>
      </c>
      <c r="C4549" t="s">
        <v>78</v>
      </c>
      <c r="D4549" s="8"/>
      <c r="E4549" s="8"/>
      <c r="M4549" t="s">
        <v>478</v>
      </c>
      <c r="N4549" t="str">
        <f>Tabela_tudo[[#This Row],[Médico]]&amp;" ("&amp;Tabela_tudo[[#This Row],[Obs]]&amp;")"</f>
        <v>TOT ()</v>
      </c>
    </row>
    <row r="4550" spans="1:14" x14ac:dyDescent="0.3">
      <c r="A4550" s="1">
        <v>45221</v>
      </c>
      <c r="B4550" t="s">
        <v>142</v>
      </c>
      <c r="C4550" t="s">
        <v>464</v>
      </c>
      <c r="D4550" s="8"/>
      <c r="E4550" s="8"/>
      <c r="M4550" t="s">
        <v>478</v>
      </c>
      <c r="N4550" t="str">
        <f>Tabela_tudo[[#This Row],[Médico]]&amp;" ("&amp;Tabela_tudo[[#This Row],[Obs]]&amp;")"</f>
        <v>VIV ()</v>
      </c>
    </row>
    <row r="4551" spans="1:14" x14ac:dyDescent="0.3">
      <c r="A4551" s="1">
        <v>45193</v>
      </c>
      <c r="B4551" t="s">
        <v>142</v>
      </c>
      <c r="C4551" t="s">
        <v>8</v>
      </c>
      <c r="D4551" s="8"/>
      <c r="E4551" s="8"/>
      <c r="M4551" t="s">
        <v>478</v>
      </c>
      <c r="N4551" t="str">
        <f>Tabela_tudo[[#This Row],[Médico]]&amp;" ("&amp;Tabela_tudo[[#This Row],[Obs]]&amp;")"</f>
        <v>VIV ()</v>
      </c>
    </row>
    <row r="4552" spans="1:14" x14ac:dyDescent="0.3">
      <c r="A4552" s="1">
        <v>45218</v>
      </c>
      <c r="B4552" t="s">
        <v>142</v>
      </c>
      <c r="C4552" t="s">
        <v>464</v>
      </c>
      <c r="D4552" s="8"/>
      <c r="E4552" s="8"/>
      <c r="M4552" t="s">
        <v>478</v>
      </c>
      <c r="N4552" t="str">
        <f>Tabela_tudo[[#This Row],[Médico]]&amp;" ("&amp;Tabela_tudo[[#This Row],[Obs]]&amp;")"</f>
        <v>VIV ()</v>
      </c>
    </row>
    <row r="4553" spans="1:14" x14ac:dyDescent="0.3">
      <c r="A4553" s="1">
        <v>45180</v>
      </c>
      <c r="B4553" t="s">
        <v>64</v>
      </c>
      <c r="C4553" t="s">
        <v>43</v>
      </c>
      <c r="D4553" s="8"/>
      <c r="E4553" s="8"/>
      <c r="M4553" t="s">
        <v>478</v>
      </c>
      <c r="N4553" t="str">
        <f>Tabela_tudo[[#This Row],[Médico]]&amp;" ("&amp;Tabela_tudo[[#This Row],[Obs]]&amp;")"</f>
        <v>SAR ()</v>
      </c>
    </row>
    <row r="4554" spans="1:14" x14ac:dyDescent="0.3">
      <c r="A4554" s="1">
        <v>45219</v>
      </c>
      <c r="B4554" t="s">
        <v>142</v>
      </c>
      <c r="C4554" t="s">
        <v>464</v>
      </c>
      <c r="D4554" s="8"/>
      <c r="E4554" s="8"/>
      <c r="M4554" t="s">
        <v>478</v>
      </c>
      <c r="N4554" t="str">
        <f>Tabela_tudo[[#This Row],[Médico]]&amp;" ("&amp;Tabela_tudo[[#This Row],[Obs]]&amp;")"</f>
        <v>VIV ()</v>
      </c>
    </row>
    <row r="4555" spans="1:14" x14ac:dyDescent="0.3">
      <c r="A4555" s="1">
        <v>45169</v>
      </c>
      <c r="B4555" t="s">
        <v>75</v>
      </c>
      <c r="C4555" t="s">
        <v>8</v>
      </c>
      <c r="D4555" s="8"/>
      <c r="E4555" s="8"/>
      <c r="M4555" t="s">
        <v>478</v>
      </c>
      <c r="N4555" t="str">
        <f>Tabela_tudo[[#This Row],[Médico]]&amp;" ("&amp;Tabela_tudo[[#This Row],[Obs]]&amp;")"</f>
        <v>KOP ()</v>
      </c>
    </row>
    <row r="4556" spans="1:14" x14ac:dyDescent="0.3">
      <c r="A4556" s="1">
        <v>45208</v>
      </c>
      <c r="B4556" t="s">
        <v>142</v>
      </c>
      <c r="C4556" t="s">
        <v>464</v>
      </c>
      <c r="D4556" s="8"/>
      <c r="E4556" s="8"/>
      <c r="M4556" t="s">
        <v>478</v>
      </c>
      <c r="N4556" t="str">
        <f>Tabela_tudo[[#This Row],[Médico]]&amp;" ("&amp;Tabela_tudo[[#This Row],[Obs]]&amp;")"</f>
        <v>VIV ()</v>
      </c>
    </row>
    <row r="4557" spans="1:14" x14ac:dyDescent="0.3">
      <c r="A4557" s="1">
        <v>45169</v>
      </c>
      <c r="B4557" t="s">
        <v>94</v>
      </c>
      <c r="C4557" t="s">
        <v>15</v>
      </c>
      <c r="D4557" s="8"/>
      <c r="E4557" s="8"/>
      <c r="M4557" t="s">
        <v>478</v>
      </c>
      <c r="N4557" t="str">
        <f>Tabela_tudo[[#This Row],[Médico]]&amp;" ("&amp;Tabela_tudo[[#This Row],[Obs]]&amp;")"</f>
        <v>TOT ()</v>
      </c>
    </row>
    <row r="4558" spans="1:14" x14ac:dyDescent="0.3">
      <c r="A4558" s="1">
        <v>45209</v>
      </c>
      <c r="B4558" t="s">
        <v>142</v>
      </c>
      <c r="C4558" t="s">
        <v>464</v>
      </c>
      <c r="D4558" s="8"/>
      <c r="E4558" s="8"/>
      <c r="M4558" t="s">
        <v>478</v>
      </c>
      <c r="N4558" t="str">
        <f>Tabela_tudo[[#This Row],[Médico]]&amp;" ("&amp;Tabela_tudo[[#This Row],[Obs]]&amp;")"</f>
        <v>VIV ()</v>
      </c>
    </row>
    <row r="4559" spans="1:14" x14ac:dyDescent="0.3">
      <c r="A4559" s="1">
        <v>45169</v>
      </c>
      <c r="B4559" t="s">
        <v>85</v>
      </c>
      <c r="C4559" t="s">
        <v>30</v>
      </c>
      <c r="D4559" s="8"/>
      <c r="E4559" s="8"/>
      <c r="M4559" t="s">
        <v>478</v>
      </c>
      <c r="N4559" t="str">
        <f>Tabela_tudo[[#This Row],[Médico]]&amp;" ("&amp;Tabela_tudo[[#This Row],[Obs]]&amp;")"</f>
        <v>ELF ()</v>
      </c>
    </row>
    <row r="4560" spans="1:14" x14ac:dyDescent="0.3">
      <c r="A4560" s="1">
        <v>45213</v>
      </c>
      <c r="B4560" t="s">
        <v>29</v>
      </c>
      <c r="C4560" t="s">
        <v>464</v>
      </c>
      <c r="D4560" s="8"/>
      <c r="E4560" s="8"/>
      <c r="M4560" t="s">
        <v>478</v>
      </c>
      <c r="N4560" t="str">
        <f>Tabela_tudo[[#This Row],[Médico]]&amp;" ("&amp;Tabela_tudo[[#This Row],[Obs]]&amp;")"</f>
        <v>JOA ()</v>
      </c>
    </row>
    <row r="4561" spans="1:14" x14ac:dyDescent="0.3">
      <c r="A4561" s="1">
        <v>45170</v>
      </c>
      <c r="B4561" t="s">
        <v>12</v>
      </c>
      <c r="C4561" t="s">
        <v>43</v>
      </c>
      <c r="D4561" s="8"/>
      <c r="E4561" s="8"/>
      <c r="M4561" t="s">
        <v>478</v>
      </c>
      <c r="N4561" t="str">
        <f>Tabela_tudo[[#This Row],[Médico]]&amp;" ("&amp;Tabela_tudo[[#This Row],[Obs]]&amp;")"</f>
        <v>EDU ()</v>
      </c>
    </row>
    <row r="4562" spans="1:14" x14ac:dyDescent="0.3">
      <c r="A4562" s="1">
        <v>45214</v>
      </c>
      <c r="B4562" t="s">
        <v>29</v>
      </c>
      <c r="C4562" t="s">
        <v>464</v>
      </c>
      <c r="D4562" s="8"/>
      <c r="E4562" s="8"/>
      <c r="M4562" t="s">
        <v>478</v>
      </c>
      <c r="N4562" t="str">
        <f>Tabela_tudo[[#This Row],[Médico]]&amp;" ("&amp;Tabela_tudo[[#This Row],[Obs]]&amp;")"</f>
        <v>JOA ()</v>
      </c>
    </row>
    <row r="4563" spans="1:14" x14ac:dyDescent="0.3">
      <c r="A4563" s="1">
        <v>45170</v>
      </c>
      <c r="B4563" t="s">
        <v>52</v>
      </c>
      <c r="C4563" t="s">
        <v>45</v>
      </c>
      <c r="D4563" s="8"/>
      <c r="E4563" s="8"/>
      <c r="M4563" t="s">
        <v>478</v>
      </c>
      <c r="N4563" t="str">
        <f>Tabela_tudo[[#This Row],[Médico]]&amp;" ("&amp;Tabela_tudo[[#This Row],[Obs]]&amp;")"</f>
        <v>AEL ()</v>
      </c>
    </row>
    <row r="4564" spans="1:14" x14ac:dyDescent="0.3">
      <c r="A4564" s="1">
        <v>45212</v>
      </c>
      <c r="B4564" t="s">
        <v>142</v>
      </c>
      <c r="C4564" t="s">
        <v>464</v>
      </c>
      <c r="D4564" s="8"/>
      <c r="E4564" s="8"/>
      <c r="M4564" t="s">
        <v>478</v>
      </c>
      <c r="N4564" t="str">
        <f>Tabela_tudo[[#This Row],[Médico]]&amp;" ("&amp;Tabela_tudo[[#This Row],[Obs]]&amp;")"</f>
        <v>VIV ()</v>
      </c>
    </row>
    <row r="4565" spans="1:14" x14ac:dyDescent="0.3">
      <c r="A4565" s="1">
        <v>45169</v>
      </c>
      <c r="B4565" t="s">
        <v>52</v>
      </c>
      <c r="C4565" t="s">
        <v>45</v>
      </c>
      <c r="D4565" s="8"/>
      <c r="E4565" s="8"/>
      <c r="M4565" t="s">
        <v>478</v>
      </c>
      <c r="N4565" t="str">
        <f>Tabela_tudo[[#This Row],[Médico]]&amp;" ("&amp;Tabela_tudo[[#This Row],[Obs]]&amp;")"</f>
        <v>AEL ()</v>
      </c>
    </row>
    <row r="4566" spans="1:14" x14ac:dyDescent="0.3">
      <c r="A4566" s="1">
        <v>45213</v>
      </c>
      <c r="B4566" t="s">
        <v>142</v>
      </c>
      <c r="C4566" t="s">
        <v>464</v>
      </c>
      <c r="D4566" s="8"/>
      <c r="E4566" s="8"/>
      <c r="M4566" t="s">
        <v>478</v>
      </c>
      <c r="N4566" t="str">
        <f>Tabela_tudo[[#This Row],[Médico]]&amp;" ("&amp;Tabela_tudo[[#This Row],[Obs]]&amp;")"</f>
        <v>VIV ()</v>
      </c>
    </row>
    <row r="4567" spans="1:14" x14ac:dyDescent="0.3">
      <c r="A4567" s="1">
        <v>45169</v>
      </c>
      <c r="B4567" t="s">
        <v>84</v>
      </c>
      <c r="C4567" t="s">
        <v>43</v>
      </c>
      <c r="D4567" s="8"/>
      <c r="E4567" s="8"/>
      <c r="M4567" t="s">
        <v>478</v>
      </c>
      <c r="N4567" t="str">
        <f>Tabela_tudo[[#This Row],[Médico]]&amp;" ("&amp;Tabela_tudo[[#This Row],[Obs]]&amp;")"</f>
        <v>ANO ()</v>
      </c>
    </row>
    <row r="4568" spans="1:14" x14ac:dyDescent="0.3">
      <c r="A4568" s="1">
        <v>45210</v>
      </c>
      <c r="B4568" t="s">
        <v>142</v>
      </c>
      <c r="C4568" t="s">
        <v>464</v>
      </c>
      <c r="D4568" s="8"/>
      <c r="E4568" s="8"/>
      <c r="M4568" t="s">
        <v>478</v>
      </c>
      <c r="N4568" t="str">
        <f>Tabela_tudo[[#This Row],[Médico]]&amp;" ("&amp;Tabela_tudo[[#This Row],[Obs]]&amp;")"</f>
        <v>VIV ()</v>
      </c>
    </row>
    <row r="4569" spans="1:14" x14ac:dyDescent="0.3">
      <c r="A4569" s="1">
        <v>45169</v>
      </c>
      <c r="B4569" t="s">
        <v>64</v>
      </c>
      <c r="C4569" t="s">
        <v>30</v>
      </c>
      <c r="D4569" s="8"/>
      <c r="E4569" s="8"/>
      <c r="M4569" t="s">
        <v>478</v>
      </c>
      <c r="N4569" t="str">
        <f>Tabela_tudo[[#This Row],[Médico]]&amp;" ("&amp;Tabela_tudo[[#This Row],[Obs]]&amp;")"</f>
        <v>SAR ()</v>
      </c>
    </row>
    <row r="4570" spans="1:14" x14ac:dyDescent="0.3">
      <c r="A4570" s="1">
        <v>45211</v>
      </c>
      <c r="B4570" t="s">
        <v>142</v>
      </c>
      <c r="C4570" t="s">
        <v>464</v>
      </c>
      <c r="D4570" s="8"/>
      <c r="E4570" s="8"/>
      <c r="M4570" t="s">
        <v>478</v>
      </c>
      <c r="N4570" t="str">
        <f>Tabela_tudo[[#This Row],[Médico]]&amp;" ("&amp;Tabela_tudo[[#This Row],[Obs]]&amp;")"</f>
        <v>VIV ()</v>
      </c>
    </row>
    <row r="4571" spans="1:14" x14ac:dyDescent="0.3">
      <c r="A4571" s="1">
        <v>45170</v>
      </c>
      <c r="B4571" t="s">
        <v>85</v>
      </c>
      <c r="C4571" t="s">
        <v>49</v>
      </c>
      <c r="D4571" s="8"/>
      <c r="E4571" s="8"/>
      <c r="M4571" t="s">
        <v>478</v>
      </c>
      <c r="N4571" t="str">
        <f>Tabela_tudo[[#This Row],[Médico]]&amp;" ("&amp;Tabela_tudo[[#This Row],[Obs]]&amp;")"</f>
        <v>ELF ()</v>
      </c>
    </row>
    <row r="4572" spans="1:14" x14ac:dyDescent="0.3">
      <c r="A4572" s="1">
        <v>45210</v>
      </c>
      <c r="B4572" t="s">
        <v>73</v>
      </c>
      <c r="C4572" t="s">
        <v>464</v>
      </c>
      <c r="D4572" s="8"/>
      <c r="E4572" s="8"/>
      <c r="M4572" t="s">
        <v>478</v>
      </c>
      <c r="N4572" t="str">
        <f>Tabela_tudo[[#This Row],[Médico]]&amp;" ("&amp;Tabela_tudo[[#This Row],[Obs]]&amp;")"</f>
        <v>RT ()</v>
      </c>
    </row>
    <row r="4573" spans="1:14" x14ac:dyDescent="0.3">
      <c r="A4573" s="1">
        <v>45174</v>
      </c>
      <c r="B4573" t="s">
        <v>47</v>
      </c>
      <c r="C4573" t="s">
        <v>13</v>
      </c>
      <c r="D4573" s="8"/>
      <c r="E4573" s="8"/>
      <c r="M4573" t="s">
        <v>478</v>
      </c>
      <c r="N4573" t="str">
        <f>Tabela_tudo[[#This Row],[Médico]]&amp;" ("&amp;Tabela_tudo[[#This Row],[Obs]]&amp;")"</f>
        <v>VIN ()</v>
      </c>
    </row>
    <row r="4574" spans="1:14" x14ac:dyDescent="0.3">
      <c r="A4574" s="1">
        <v>45211</v>
      </c>
      <c r="B4574" t="s">
        <v>73</v>
      </c>
      <c r="C4574" t="s">
        <v>464</v>
      </c>
      <c r="D4574" s="8"/>
      <c r="E4574" s="8"/>
      <c r="M4574" t="s">
        <v>478</v>
      </c>
      <c r="N4574" t="str">
        <f>Tabela_tudo[[#This Row],[Médico]]&amp;" ("&amp;Tabela_tudo[[#This Row],[Obs]]&amp;")"</f>
        <v>RT ()</v>
      </c>
    </row>
    <row r="4575" spans="1:14" x14ac:dyDescent="0.3">
      <c r="A4575" s="1">
        <v>45170</v>
      </c>
      <c r="B4575" t="s">
        <v>17</v>
      </c>
      <c r="C4575" t="s">
        <v>51</v>
      </c>
      <c r="D4575" s="8"/>
      <c r="E4575" s="8"/>
      <c r="M4575" t="s">
        <v>478</v>
      </c>
      <c r="N4575" t="str">
        <f>Tabela_tudo[[#This Row],[Médico]]&amp;" ("&amp;Tabela_tudo[[#This Row],[Obs]]&amp;")"</f>
        <v>FAB ()</v>
      </c>
    </row>
    <row r="4576" spans="1:14" x14ac:dyDescent="0.3">
      <c r="A4576" s="1">
        <v>45208</v>
      </c>
      <c r="B4576" t="s">
        <v>73</v>
      </c>
      <c r="C4576" t="s">
        <v>464</v>
      </c>
      <c r="D4576" s="8"/>
      <c r="E4576" s="8"/>
      <c r="M4576" t="s">
        <v>478</v>
      </c>
      <c r="N4576" t="str">
        <f>Tabela_tudo[[#This Row],[Médico]]&amp;" ("&amp;Tabela_tudo[[#This Row],[Obs]]&amp;")"</f>
        <v>RT ()</v>
      </c>
    </row>
    <row r="4577" spans="1:14" x14ac:dyDescent="0.3">
      <c r="A4577" s="1">
        <v>45169</v>
      </c>
      <c r="B4577" t="s">
        <v>32</v>
      </c>
      <c r="C4577" t="s">
        <v>30</v>
      </c>
      <c r="D4577" s="8"/>
      <c r="E4577" s="8"/>
      <c r="M4577" t="s">
        <v>478</v>
      </c>
      <c r="N4577" t="str">
        <f>Tabela_tudo[[#This Row],[Médico]]&amp;" ("&amp;Tabela_tudo[[#This Row],[Obs]]&amp;")"</f>
        <v>JS ()</v>
      </c>
    </row>
    <row r="4578" spans="1:14" x14ac:dyDescent="0.3">
      <c r="A4578" s="1">
        <v>45209</v>
      </c>
      <c r="B4578" t="s">
        <v>73</v>
      </c>
      <c r="C4578" t="s">
        <v>464</v>
      </c>
      <c r="D4578" s="8"/>
      <c r="E4578" s="8"/>
      <c r="M4578" t="s">
        <v>478</v>
      </c>
      <c r="N4578" t="str">
        <f>Tabela_tudo[[#This Row],[Médico]]&amp;" ("&amp;Tabela_tudo[[#This Row],[Obs]]&amp;")"</f>
        <v>RT ()</v>
      </c>
    </row>
    <row r="4579" spans="1:14" x14ac:dyDescent="0.3">
      <c r="A4579" s="1">
        <v>45170</v>
      </c>
      <c r="B4579" t="s">
        <v>68</v>
      </c>
      <c r="C4579" t="s">
        <v>46</v>
      </c>
      <c r="D4579" s="8"/>
      <c r="E4579" s="8"/>
      <c r="M4579" t="s">
        <v>478</v>
      </c>
      <c r="N4579" t="str">
        <f>Tabela_tudo[[#This Row],[Médico]]&amp;" ("&amp;Tabela_tudo[[#This Row],[Obs]]&amp;")"</f>
        <v>PED ()</v>
      </c>
    </row>
    <row r="4580" spans="1:14" x14ac:dyDescent="0.3">
      <c r="A4580" s="1">
        <v>45214</v>
      </c>
      <c r="B4580" t="s">
        <v>73</v>
      </c>
      <c r="C4580" t="s">
        <v>464</v>
      </c>
      <c r="D4580" s="8"/>
      <c r="E4580" s="8"/>
      <c r="M4580" t="s">
        <v>478</v>
      </c>
      <c r="N4580" t="str">
        <f>Tabela_tudo[[#This Row],[Médico]]&amp;" ("&amp;Tabela_tudo[[#This Row],[Obs]]&amp;")"</f>
        <v>RT ()</v>
      </c>
    </row>
    <row r="4581" spans="1:14" x14ac:dyDescent="0.3">
      <c r="A4581" s="1">
        <v>45170</v>
      </c>
      <c r="B4581" t="s">
        <v>72</v>
      </c>
      <c r="C4581" t="s">
        <v>18</v>
      </c>
      <c r="D4581" s="8"/>
      <c r="E4581" s="8"/>
      <c r="M4581" t="s">
        <v>478</v>
      </c>
      <c r="N4581" t="str">
        <f>Tabela_tudo[[#This Row],[Médico]]&amp;" ("&amp;Tabela_tudo[[#This Row],[Obs]]&amp;")"</f>
        <v>GRA ()</v>
      </c>
    </row>
    <row r="4582" spans="1:14" x14ac:dyDescent="0.3">
      <c r="A4582" s="1">
        <v>45210</v>
      </c>
      <c r="B4582" t="s">
        <v>47</v>
      </c>
      <c r="C4582" t="s">
        <v>465</v>
      </c>
      <c r="D4582" s="8"/>
      <c r="E4582" s="8"/>
      <c r="F4582" t="s">
        <v>474</v>
      </c>
      <c r="M4582" t="s">
        <v>478</v>
      </c>
      <c r="N4582" t="str">
        <f>Tabela_tudo[[#This Row],[Médico]]&amp;" ("&amp;Tabela_tudo[[#This Row],[Obs]]&amp;")"</f>
        <v>VIN (ASA)</v>
      </c>
    </row>
    <row r="4583" spans="1:14" x14ac:dyDescent="0.3">
      <c r="A4583" s="1">
        <v>45153</v>
      </c>
      <c r="B4583" t="s">
        <v>94</v>
      </c>
      <c r="C4583" t="s">
        <v>13</v>
      </c>
      <c r="D4583" s="8"/>
      <c r="E4583" s="8"/>
      <c r="M4583" t="s">
        <v>478</v>
      </c>
      <c r="N4583" t="str">
        <f>Tabela_tudo[[#This Row],[Médico]]&amp;" ("&amp;Tabela_tudo[[#This Row],[Obs]]&amp;")"</f>
        <v>TOT ()</v>
      </c>
    </row>
    <row r="4584" spans="1:14" x14ac:dyDescent="0.3">
      <c r="A4584" s="1">
        <v>45212</v>
      </c>
      <c r="B4584" t="s">
        <v>73</v>
      </c>
      <c r="C4584" t="s">
        <v>464</v>
      </c>
      <c r="D4584" s="8"/>
      <c r="E4584" s="8"/>
      <c r="M4584" t="s">
        <v>478</v>
      </c>
      <c r="N4584" t="str">
        <f>Tabela_tudo[[#This Row],[Médico]]&amp;" ("&amp;Tabela_tudo[[#This Row],[Obs]]&amp;")"</f>
        <v>RT ()</v>
      </c>
    </row>
    <row r="4585" spans="1:14" x14ac:dyDescent="0.3">
      <c r="A4585" s="1">
        <v>45153</v>
      </c>
      <c r="B4585" t="s">
        <v>50</v>
      </c>
      <c r="C4585" t="s">
        <v>15</v>
      </c>
      <c r="D4585" s="8"/>
      <c r="E4585" s="8"/>
      <c r="M4585" t="s">
        <v>478</v>
      </c>
      <c r="N4585" t="str">
        <f>Tabela_tudo[[#This Row],[Médico]]&amp;" ("&amp;Tabela_tudo[[#This Row],[Obs]]&amp;")"</f>
        <v>PJP ()</v>
      </c>
    </row>
    <row r="4586" spans="1:14" x14ac:dyDescent="0.3">
      <c r="A4586" s="1">
        <v>45213</v>
      </c>
      <c r="B4586" t="s">
        <v>73</v>
      </c>
      <c r="C4586" t="s">
        <v>464</v>
      </c>
      <c r="D4586" s="8"/>
      <c r="E4586" s="8"/>
      <c r="M4586" t="s">
        <v>478</v>
      </c>
      <c r="N4586" t="str">
        <f>Tabela_tudo[[#This Row],[Médico]]&amp;" ("&amp;Tabela_tudo[[#This Row],[Obs]]&amp;")"</f>
        <v>RT ()</v>
      </c>
    </row>
    <row r="4587" spans="1:14" x14ac:dyDescent="0.3">
      <c r="A4587" s="1">
        <v>45153</v>
      </c>
      <c r="B4587" t="s">
        <v>68</v>
      </c>
      <c r="C4587" t="s">
        <v>8</v>
      </c>
      <c r="D4587" s="8"/>
      <c r="E4587" s="8"/>
      <c r="M4587" t="s">
        <v>478</v>
      </c>
      <c r="N4587" t="str">
        <f>Tabela_tudo[[#This Row],[Médico]]&amp;" ("&amp;Tabela_tudo[[#This Row],[Obs]]&amp;")"</f>
        <v>PED ()</v>
      </c>
    </row>
    <row r="4588" spans="1:14" x14ac:dyDescent="0.3">
      <c r="A4588" s="1">
        <v>45224</v>
      </c>
      <c r="B4588" t="s">
        <v>142</v>
      </c>
      <c r="C4588" t="s">
        <v>464</v>
      </c>
      <c r="D4588" s="8"/>
      <c r="E4588" s="8"/>
      <c r="M4588" t="s">
        <v>478</v>
      </c>
      <c r="N4588" t="str">
        <f>Tabela_tudo[[#This Row],[Médico]]&amp;" ("&amp;Tabela_tudo[[#This Row],[Obs]]&amp;")"</f>
        <v>VIV ()</v>
      </c>
    </row>
    <row r="4589" spans="1:14" x14ac:dyDescent="0.3">
      <c r="A4589" s="1">
        <v>45158</v>
      </c>
      <c r="B4589" t="s">
        <v>73</v>
      </c>
      <c r="C4589" t="s">
        <v>13</v>
      </c>
      <c r="D4589" s="8"/>
      <c r="E4589" s="8"/>
      <c r="M4589" t="s">
        <v>478</v>
      </c>
      <c r="N4589" t="str">
        <f>Tabela_tudo[[#This Row],[Médico]]&amp;" ("&amp;Tabela_tudo[[#This Row],[Obs]]&amp;")"</f>
        <v>RT ()</v>
      </c>
    </row>
    <row r="4590" spans="1:14" x14ac:dyDescent="0.3">
      <c r="A4590" s="1">
        <v>45225</v>
      </c>
      <c r="B4590" t="s">
        <v>142</v>
      </c>
      <c r="C4590" t="s">
        <v>464</v>
      </c>
      <c r="D4590" s="8"/>
      <c r="E4590" s="8"/>
      <c r="M4590" t="s">
        <v>478</v>
      </c>
      <c r="N4590" t="str">
        <f>Tabela_tudo[[#This Row],[Médico]]&amp;" ("&amp;Tabela_tudo[[#This Row],[Obs]]&amp;")"</f>
        <v>VIV ()</v>
      </c>
    </row>
    <row r="4591" spans="1:14" x14ac:dyDescent="0.3">
      <c r="A4591" s="1">
        <v>45158</v>
      </c>
      <c r="B4591" t="s">
        <v>84</v>
      </c>
      <c r="C4591" t="s">
        <v>8</v>
      </c>
      <c r="D4591" s="8"/>
      <c r="E4591" s="8"/>
      <c r="M4591" t="s">
        <v>478</v>
      </c>
      <c r="N4591" t="str">
        <f>Tabela_tudo[[#This Row],[Médico]]&amp;" ("&amp;Tabela_tudo[[#This Row],[Obs]]&amp;")"</f>
        <v>ANO ()</v>
      </c>
    </row>
    <row r="4592" spans="1:14" x14ac:dyDescent="0.3">
      <c r="A4592" s="1">
        <v>45222</v>
      </c>
      <c r="B4592" t="s">
        <v>142</v>
      </c>
      <c r="C4592" t="s">
        <v>464</v>
      </c>
      <c r="D4592" s="8"/>
      <c r="E4592" s="8"/>
      <c r="M4592" t="s">
        <v>478</v>
      </c>
      <c r="N4592" t="str">
        <f>Tabela_tudo[[#This Row],[Médico]]&amp;" ("&amp;Tabela_tudo[[#This Row],[Obs]]&amp;")"</f>
        <v>VIV ()</v>
      </c>
    </row>
    <row r="4593" spans="1:14" x14ac:dyDescent="0.3">
      <c r="A4593" s="1">
        <v>45158</v>
      </c>
      <c r="B4593" t="s">
        <v>52</v>
      </c>
      <c r="C4593" t="s">
        <v>78</v>
      </c>
      <c r="D4593" s="8"/>
      <c r="E4593" s="8"/>
      <c r="M4593" t="s">
        <v>478</v>
      </c>
      <c r="N4593" t="str">
        <f>Tabela_tudo[[#This Row],[Médico]]&amp;" ("&amp;Tabela_tudo[[#This Row],[Obs]]&amp;")"</f>
        <v>AEL ()</v>
      </c>
    </row>
    <row r="4594" spans="1:14" x14ac:dyDescent="0.3">
      <c r="A4594" s="1">
        <v>45223</v>
      </c>
      <c r="B4594" t="s">
        <v>142</v>
      </c>
      <c r="C4594" t="s">
        <v>464</v>
      </c>
      <c r="D4594" s="8"/>
      <c r="E4594" s="8"/>
      <c r="M4594" t="s">
        <v>478</v>
      </c>
      <c r="N4594" t="str">
        <f>Tabela_tudo[[#This Row],[Médico]]&amp;" ("&amp;Tabela_tudo[[#This Row],[Obs]]&amp;")"</f>
        <v>VIV ()</v>
      </c>
    </row>
    <row r="4595" spans="1:14" x14ac:dyDescent="0.3">
      <c r="A4595" s="1">
        <v>45153</v>
      </c>
      <c r="B4595" t="s">
        <v>23</v>
      </c>
      <c r="C4595" t="s">
        <v>22</v>
      </c>
      <c r="D4595" s="8">
        <v>0.29166666666666669</v>
      </c>
      <c r="E4595" s="8">
        <v>0.54166666666666663</v>
      </c>
      <c r="M4595" t="s">
        <v>478</v>
      </c>
      <c r="N4595" t="str">
        <f>Tabela_tudo[[#This Row],[Médico]]&amp;" ("&amp;Tabela_tudo[[#This Row],[Obs]]&amp;")"</f>
        <v>BG ()</v>
      </c>
    </row>
    <row r="4596" spans="1:14" x14ac:dyDescent="0.3">
      <c r="A4596" s="1">
        <v>45228</v>
      </c>
      <c r="B4596" t="s">
        <v>142</v>
      </c>
      <c r="C4596" t="s">
        <v>464</v>
      </c>
      <c r="D4596" s="8"/>
      <c r="E4596" s="8"/>
      <c r="M4596" t="s">
        <v>478</v>
      </c>
      <c r="N4596" t="str">
        <f>Tabela_tudo[[#This Row],[Médico]]&amp;" ("&amp;Tabela_tudo[[#This Row],[Obs]]&amp;")"</f>
        <v>VIV ()</v>
      </c>
    </row>
    <row r="4597" spans="1:14" x14ac:dyDescent="0.3">
      <c r="A4597" s="1">
        <v>45153</v>
      </c>
      <c r="B4597" t="s">
        <v>72</v>
      </c>
      <c r="C4597" t="s">
        <v>18</v>
      </c>
      <c r="D4597" s="8"/>
      <c r="E4597" s="8"/>
      <c r="M4597" t="s">
        <v>478</v>
      </c>
      <c r="N4597" t="str">
        <f>Tabela_tudo[[#This Row],[Médico]]&amp;" ("&amp;Tabela_tudo[[#This Row],[Obs]]&amp;")"</f>
        <v>GRA ()</v>
      </c>
    </row>
    <row r="4598" spans="1:14" x14ac:dyDescent="0.3">
      <c r="A4598" s="1">
        <v>45229</v>
      </c>
      <c r="B4598" t="s">
        <v>142</v>
      </c>
      <c r="C4598" t="s">
        <v>464</v>
      </c>
      <c r="D4598" s="8"/>
      <c r="E4598" s="8"/>
      <c r="M4598" t="s">
        <v>478</v>
      </c>
      <c r="N4598" t="str">
        <f>Tabela_tudo[[#This Row],[Médico]]&amp;" ("&amp;Tabela_tudo[[#This Row],[Obs]]&amp;")"</f>
        <v>VIV ()</v>
      </c>
    </row>
    <row r="4599" spans="1:14" x14ac:dyDescent="0.3">
      <c r="A4599" s="1">
        <v>45153</v>
      </c>
      <c r="B4599" t="s">
        <v>85</v>
      </c>
      <c r="C4599" t="s">
        <v>49</v>
      </c>
      <c r="D4599" s="8"/>
      <c r="E4599" s="8"/>
      <c r="M4599" t="s">
        <v>478</v>
      </c>
      <c r="N4599" t="str">
        <f>Tabela_tudo[[#This Row],[Médico]]&amp;" ("&amp;Tabela_tudo[[#This Row],[Obs]]&amp;")"</f>
        <v>ELF ()</v>
      </c>
    </row>
    <row r="4600" spans="1:14" x14ac:dyDescent="0.3">
      <c r="A4600" s="1">
        <v>45226</v>
      </c>
      <c r="B4600" t="s">
        <v>142</v>
      </c>
      <c r="C4600" t="s">
        <v>464</v>
      </c>
      <c r="D4600" s="8"/>
      <c r="E4600" s="8"/>
      <c r="M4600" t="s">
        <v>478</v>
      </c>
      <c r="N4600" t="str">
        <f>Tabela_tudo[[#This Row],[Médico]]&amp;" ("&amp;Tabela_tudo[[#This Row],[Obs]]&amp;")"</f>
        <v>VIV ()</v>
      </c>
    </row>
    <row r="4601" spans="1:14" x14ac:dyDescent="0.3">
      <c r="A4601" s="1">
        <v>45153</v>
      </c>
      <c r="B4601" t="s">
        <v>75</v>
      </c>
      <c r="C4601" t="s">
        <v>51</v>
      </c>
      <c r="D4601" s="8"/>
      <c r="E4601" s="8"/>
      <c r="M4601" t="s">
        <v>478</v>
      </c>
      <c r="N4601" t="str">
        <f>Tabela_tudo[[#This Row],[Médico]]&amp;" ("&amp;Tabela_tudo[[#This Row],[Obs]]&amp;")"</f>
        <v>KOP ()</v>
      </c>
    </row>
    <row r="4602" spans="1:14" x14ac:dyDescent="0.3">
      <c r="A4602" s="1">
        <v>45227</v>
      </c>
      <c r="B4602" t="s">
        <v>142</v>
      </c>
      <c r="C4602" t="s">
        <v>464</v>
      </c>
      <c r="D4602" s="8"/>
      <c r="E4602" s="8"/>
      <c r="M4602" t="s">
        <v>478</v>
      </c>
      <c r="N4602" t="str">
        <f>Tabela_tudo[[#This Row],[Médico]]&amp;" ("&amp;Tabela_tudo[[#This Row],[Obs]]&amp;")"</f>
        <v>VIV ()</v>
      </c>
    </row>
    <row r="4603" spans="1:14" x14ac:dyDescent="0.3">
      <c r="A4603" s="1">
        <v>45153</v>
      </c>
      <c r="B4603" t="s">
        <v>29</v>
      </c>
      <c r="C4603" t="s">
        <v>43</v>
      </c>
      <c r="D4603" s="8"/>
      <c r="E4603" s="8"/>
      <c r="M4603" t="s">
        <v>478</v>
      </c>
      <c r="N4603" t="str">
        <f>Tabela_tudo[[#This Row],[Médico]]&amp;" ("&amp;Tabela_tudo[[#This Row],[Obs]]&amp;")"</f>
        <v>JOA ()</v>
      </c>
    </row>
    <row r="4604" spans="1:14" x14ac:dyDescent="0.3">
      <c r="A4604" s="1">
        <v>45212</v>
      </c>
      <c r="B4604" t="s">
        <v>29</v>
      </c>
      <c r="C4604" t="s">
        <v>464</v>
      </c>
      <c r="D4604" s="8"/>
      <c r="E4604" s="8"/>
      <c r="M4604" t="s">
        <v>478</v>
      </c>
      <c r="N4604" t="str">
        <f>Tabela_tudo[[#This Row],[Médico]]&amp;" ("&amp;Tabela_tudo[[#This Row],[Obs]]&amp;")"</f>
        <v>JOA ()</v>
      </c>
    </row>
    <row r="4605" spans="1:14" x14ac:dyDescent="0.3">
      <c r="A4605" s="1">
        <v>45153</v>
      </c>
      <c r="B4605" t="s">
        <v>23</v>
      </c>
      <c r="C4605" t="s">
        <v>45</v>
      </c>
      <c r="D4605" s="8"/>
      <c r="E4605" s="8"/>
      <c r="M4605" t="s">
        <v>478</v>
      </c>
      <c r="N4605" t="str">
        <f>Tabela_tudo[[#This Row],[Médico]]&amp;" ("&amp;Tabela_tudo[[#This Row],[Obs]]&amp;")"</f>
        <v>BG ()</v>
      </c>
    </row>
    <row r="4606" spans="1:14" x14ac:dyDescent="0.3">
      <c r="A4606" s="1">
        <v>45211</v>
      </c>
      <c r="B4606" t="s">
        <v>52</v>
      </c>
      <c r="C4606" t="s">
        <v>464</v>
      </c>
      <c r="D4606" s="8"/>
      <c r="E4606" s="8"/>
      <c r="M4606" t="s">
        <v>478</v>
      </c>
      <c r="N4606" t="str">
        <f>Tabela_tudo[[#This Row],[Médico]]&amp;" ("&amp;Tabela_tudo[[#This Row],[Obs]]&amp;")"</f>
        <v>AEL ()</v>
      </c>
    </row>
    <row r="4607" spans="1:14" x14ac:dyDescent="0.3">
      <c r="A4607" s="1">
        <v>45153</v>
      </c>
      <c r="B4607" t="s">
        <v>16</v>
      </c>
      <c r="C4607" t="s">
        <v>46</v>
      </c>
      <c r="D4607" s="8"/>
      <c r="E4607" s="8"/>
      <c r="M4607" t="s">
        <v>478</v>
      </c>
      <c r="N4607" t="str">
        <f>Tabela_tudo[[#This Row],[Médico]]&amp;" ("&amp;Tabela_tudo[[#This Row],[Obs]]&amp;")"</f>
        <v>PP ()</v>
      </c>
    </row>
    <row r="4608" spans="1:14" x14ac:dyDescent="0.3">
      <c r="A4608" s="1">
        <v>45212</v>
      </c>
      <c r="B4608" t="s">
        <v>52</v>
      </c>
      <c r="C4608" t="s">
        <v>464</v>
      </c>
      <c r="D4608" s="8"/>
      <c r="E4608" s="8"/>
      <c r="M4608" t="s">
        <v>478</v>
      </c>
      <c r="N4608" t="str">
        <f>Tabela_tudo[[#This Row],[Médico]]&amp;" ("&amp;Tabela_tudo[[#This Row],[Obs]]&amp;")"</f>
        <v>AEL ()</v>
      </c>
    </row>
    <row r="4609" spans="1:14" x14ac:dyDescent="0.3">
      <c r="A4609" s="1">
        <v>45148</v>
      </c>
      <c r="B4609" t="s">
        <v>34</v>
      </c>
      <c r="C4609" t="s">
        <v>51</v>
      </c>
      <c r="D4609" s="8"/>
      <c r="E4609" s="8"/>
      <c r="M4609" t="s">
        <v>478</v>
      </c>
      <c r="N4609" t="str">
        <f>Tabela_tudo[[#This Row],[Médico]]&amp;" ("&amp;Tabela_tudo[[#This Row],[Obs]]&amp;")"</f>
        <v>LIP ()</v>
      </c>
    </row>
    <row r="4610" spans="1:14" x14ac:dyDescent="0.3">
      <c r="A4610" s="1">
        <v>45209</v>
      </c>
      <c r="B4610" t="s">
        <v>52</v>
      </c>
      <c r="C4610" t="s">
        <v>464</v>
      </c>
      <c r="D4610" s="8"/>
      <c r="E4610" s="8"/>
      <c r="M4610" t="s">
        <v>478</v>
      </c>
      <c r="N4610" t="str">
        <f>Tabela_tudo[[#This Row],[Médico]]&amp;" ("&amp;Tabela_tudo[[#This Row],[Obs]]&amp;")"</f>
        <v>AEL ()</v>
      </c>
    </row>
    <row r="4611" spans="1:14" x14ac:dyDescent="0.3">
      <c r="A4611" s="1">
        <v>45149</v>
      </c>
      <c r="B4611" t="s">
        <v>84</v>
      </c>
      <c r="C4611" t="s">
        <v>13</v>
      </c>
      <c r="D4611" s="8"/>
      <c r="E4611" s="8"/>
      <c r="M4611" t="s">
        <v>478</v>
      </c>
      <c r="N4611" t="str">
        <f>Tabela_tudo[[#This Row],[Médico]]&amp;" ("&amp;Tabela_tudo[[#This Row],[Obs]]&amp;")"</f>
        <v>ANO ()</v>
      </c>
    </row>
    <row r="4612" spans="1:14" x14ac:dyDescent="0.3">
      <c r="A4612" s="1">
        <v>45210</v>
      </c>
      <c r="B4612" t="s">
        <v>52</v>
      </c>
      <c r="C4612" t="s">
        <v>464</v>
      </c>
      <c r="D4612" s="8"/>
      <c r="E4612" s="8"/>
      <c r="M4612" t="s">
        <v>478</v>
      </c>
      <c r="N4612" t="str">
        <f>Tabela_tudo[[#This Row],[Médico]]&amp;" ("&amp;Tabela_tudo[[#This Row],[Obs]]&amp;")"</f>
        <v>AEL ()</v>
      </c>
    </row>
    <row r="4613" spans="1:14" x14ac:dyDescent="0.3">
      <c r="A4613" s="1">
        <v>45149</v>
      </c>
      <c r="B4613" t="s">
        <v>75</v>
      </c>
      <c r="C4613" t="s">
        <v>15</v>
      </c>
      <c r="D4613" s="8"/>
      <c r="E4613" s="8"/>
      <c r="M4613" t="s">
        <v>478</v>
      </c>
      <c r="N4613" t="str">
        <f>Tabela_tudo[[#This Row],[Médico]]&amp;" ("&amp;Tabela_tudo[[#This Row],[Obs]]&amp;")"</f>
        <v>KOP ()</v>
      </c>
    </row>
    <row r="4614" spans="1:14" x14ac:dyDescent="0.3">
      <c r="A4614" s="1">
        <v>45201</v>
      </c>
      <c r="B4614" t="s">
        <v>75</v>
      </c>
      <c r="C4614" t="s">
        <v>464</v>
      </c>
      <c r="D4614" s="8"/>
      <c r="E4614" s="8"/>
      <c r="M4614" t="s">
        <v>478</v>
      </c>
      <c r="N4614" t="str">
        <f>Tabela_tudo[[#This Row],[Médico]]&amp;" ("&amp;Tabela_tudo[[#This Row],[Obs]]&amp;")"</f>
        <v>KOP ()</v>
      </c>
    </row>
    <row r="4615" spans="1:14" x14ac:dyDescent="0.3">
      <c r="A4615" s="1">
        <v>45148</v>
      </c>
      <c r="B4615" t="s">
        <v>14</v>
      </c>
      <c r="C4615" t="s">
        <v>46</v>
      </c>
      <c r="D4615" s="8"/>
      <c r="E4615" s="8"/>
      <c r="M4615" t="s">
        <v>478</v>
      </c>
      <c r="N4615" t="str">
        <f>Tabela_tudo[[#This Row],[Médico]]&amp;" ("&amp;Tabela_tudo[[#This Row],[Obs]]&amp;")"</f>
        <v>PW ()</v>
      </c>
    </row>
    <row r="4616" spans="1:14" x14ac:dyDescent="0.3">
      <c r="A4616" s="1">
        <v>45202</v>
      </c>
      <c r="B4616" t="s">
        <v>75</v>
      </c>
      <c r="C4616" t="s">
        <v>464</v>
      </c>
      <c r="D4616" s="8"/>
      <c r="E4616" s="8"/>
      <c r="M4616" t="s">
        <v>478</v>
      </c>
      <c r="N4616" t="str">
        <f>Tabela_tudo[[#This Row],[Médico]]&amp;" ("&amp;Tabela_tudo[[#This Row],[Obs]]&amp;")"</f>
        <v>KOP ()</v>
      </c>
    </row>
    <row r="4617" spans="1:14" x14ac:dyDescent="0.3">
      <c r="A4617" s="1">
        <v>45148</v>
      </c>
      <c r="B4617" t="s">
        <v>32</v>
      </c>
      <c r="C4617" t="s">
        <v>18</v>
      </c>
      <c r="D4617" s="8"/>
      <c r="E4617" s="8"/>
      <c r="M4617" t="s">
        <v>478</v>
      </c>
      <c r="N4617" t="str">
        <f>Tabela_tudo[[#This Row],[Médico]]&amp;" ("&amp;Tabela_tudo[[#This Row],[Obs]]&amp;")"</f>
        <v>JS ()</v>
      </c>
    </row>
    <row r="4618" spans="1:14" x14ac:dyDescent="0.3">
      <c r="A4618" s="1">
        <v>45213</v>
      </c>
      <c r="B4618" t="s">
        <v>52</v>
      </c>
      <c r="C4618" t="s">
        <v>464</v>
      </c>
      <c r="D4618" s="8"/>
      <c r="E4618" s="8"/>
      <c r="M4618" t="s">
        <v>478</v>
      </c>
      <c r="N4618" t="str">
        <f>Tabela_tudo[[#This Row],[Médico]]&amp;" ("&amp;Tabela_tudo[[#This Row],[Obs]]&amp;")"</f>
        <v>AEL ()</v>
      </c>
    </row>
    <row r="4619" spans="1:14" x14ac:dyDescent="0.3">
      <c r="A4619" s="1">
        <v>45148</v>
      </c>
      <c r="B4619" t="s">
        <v>71</v>
      </c>
      <c r="C4619" t="s">
        <v>49</v>
      </c>
      <c r="D4619" s="8"/>
      <c r="E4619" s="8"/>
      <c r="M4619" t="s">
        <v>478</v>
      </c>
      <c r="N4619" t="str">
        <f>Tabela_tudo[[#This Row],[Médico]]&amp;" ("&amp;Tabela_tudo[[#This Row],[Obs]]&amp;")"</f>
        <v>BRU ()</v>
      </c>
    </row>
    <row r="4620" spans="1:14" x14ac:dyDescent="0.3">
      <c r="A4620" s="1">
        <v>45214</v>
      </c>
      <c r="B4620" t="s">
        <v>52</v>
      </c>
      <c r="C4620" t="s">
        <v>464</v>
      </c>
      <c r="D4620" s="8"/>
      <c r="E4620" s="8"/>
      <c r="M4620" t="s">
        <v>478</v>
      </c>
      <c r="N4620" t="str">
        <f>Tabela_tudo[[#This Row],[Médico]]&amp;" ("&amp;Tabela_tudo[[#This Row],[Obs]]&amp;")"</f>
        <v>AEL ()</v>
      </c>
    </row>
    <row r="4621" spans="1:14" x14ac:dyDescent="0.3">
      <c r="A4621" s="1">
        <v>45149</v>
      </c>
      <c r="B4621" t="s">
        <v>72</v>
      </c>
      <c r="C4621" t="s">
        <v>8</v>
      </c>
      <c r="D4621" s="8"/>
      <c r="E4621" s="8"/>
      <c r="M4621" t="s">
        <v>478</v>
      </c>
      <c r="N4621" t="str">
        <f>Tabela_tudo[[#This Row],[Médico]]&amp;" ("&amp;Tabela_tudo[[#This Row],[Obs]]&amp;")"</f>
        <v>GRA ()</v>
      </c>
    </row>
    <row r="4622" spans="1:14" x14ac:dyDescent="0.3">
      <c r="A4622" s="1">
        <v>45203</v>
      </c>
      <c r="B4622" t="s">
        <v>52</v>
      </c>
      <c r="C4622" t="s">
        <v>464</v>
      </c>
      <c r="D4622" s="8"/>
      <c r="E4622" s="8"/>
      <c r="M4622" t="s">
        <v>478</v>
      </c>
      <c r="N4622" t="str">
        <f>Tabela_tudo[[#This Row],[Médico]]&amp;" ("&amp;Tabela_tudo[[#This Row],[Obs]]&amp;")"</f>
        <v>AEL ()</v>
      </c>
    </row>
    <row r="4623" spans="1:14" x14ac:dyDescent="0.3">
      <c r="A4623" s="1">
        <v>45149</v>
      </c>
      <c r="B4623" t="s">
        <v>94</v>
      </c>
      <c r="C4623" t="s">
        <v>18</v>
      </c>
      <c r="D4623" s="8"/>
      <c r="E4623" s="8"/>
      <c r="M4623" t="s">
        <v>478</v>
      </c>
      <c r="N4623" t="str">
        <f>Tabela_tudo[[#This Row],[Médico]]&amp;" ("&amp;Tabela_tudo[[#This Row],[Obs]]&amp;")"</f>
        <v>TOT ()</v>
      </c>
    </row>
    <row r="4624" spans="1:14" x14ac:dyDescent="0.3">
      <c r="A4624" s="1">
        <v>45204</v>
      </c>
      <c r="B4624" t="s">
        <v>52</v>
      </c>
      <c r="C4624" t="s">
        <v>464</v>
      </c>
      <c r="D4624" s="8"/>
      <c r="E4624" s="8"/>
      <c r="M4624" t="s">
        <v>478</v>
      </c>
      <c r="N4624" t="str">
        <f>Tabela_tudo[[#This Row],[Médico]]&amp;" ("&amp;Tabela_tudo[[#This Row],[Obs]]&amp;")"</f>
        <v>AEL ()</v>
      </c>
    </row>
    <row r="4625" spans="1:14" x14ac:dyDescent="0.3">
      <c r="A4625" s="1">
        <v>45149</v>
      </c>
      <c r="B4625" t="s">
        <v>71</v>
      </c>
      <c r="C4625" t="s">
        <v>49</v>
      </c>
      <c r="D4625" s="8"/>
      <c r="E4625" s="8"/>
      <c r="M4625" t="s">
        <v>478</v>
      </c>
      <c r="N4625" t="str">
        <f>Tabela_tudo[[#This Row],[Médico]]&amp;" ("&amp;Tabela_tudo[[#This Row],[Obs]]&amp;")"</f>
        <v>BRU ()</v>
      </c>
    </row>
    <row r="4626" spans="1:14" x14ac:dyDescent="0.3">
      <c r="A4626" s="1">
        <v>45201</v>
      </c>
      <c r="B4626" t="s">
        <v>52</v>
      </c>
      <c r="C4626" t="s">
        <v>464</v>
      </c>
      <c r="D4626" s="8"/>
      <c r="E4626" s="8"/>
      <c r="M4626" t="s">
        <v>478</v>
      </c>
      <c r="N4626" t="str">
        <f>Tabela_tudo[[#This Row],[Médico]]&amp;" ("&amp;Tabela_tudo[[#This Row],[Obs]]&amp;")"</f>
        <v>AEL ()</v>
      </c>
    </row>
    <row r="4627" spans="1:14" x14ac:dyDescent="0.3">
      <c r="A4627" s="1">
        <v>45149</v>
      </c>
      <c r="B4627" t="s">
        <v>17</v>
      </c>
      <c r="C4627" t="s">
        <v>51</v>
      </c>
      <c r="D4627" s="8"/>
      <c r="E4627" s="8"/>
      <c r="M4627" t="s">
        <v>478</v>
      </c>
      <c r="N4627" t="str">
        <f>Tabela_tudo[[#This Row],[Médico]]&amp;" ("&amp;Tabela_tudo[[#This Row],[Obs]]&amp;")"</f>
        <v>FAB ()</v>
      </c>
    </row>
    <row r="4628" spans="1:14" x14ac:dyDescent="0.3">
      <c r="A4628" s="1">
        <v>45202</v>
      </c>
      <c r="B4628" t="s">
        <v>52</v>
      </c>
      <c r="C4628" t="s">
        <v>464</v>
      </c>
      <c r="D4628" s="8"/>
      <c r="E4628" s="8"/>
      <c r="M4628" t="s">
        <v>478</v>
      </c>
      <c r="N4628" t="str">
        <f>Tabela_tudo[[#This Row],[Médico]]&amp;" ("&amp;Tabela_tudo[[#This Row],[Obs]]&amp;")"</f>
        <v>AEL ()</v>
      </c>
    </row>
    <row r="4629" spans="1:14" x14ac:dyDescent="0.3">
      <c r="A4629" s="1">
        <v>45149</v>
      </c>
      <c r="B4629" t="s">
        <v>33</v>
      </c>
      <c r="C4629" t="s">
        <v>43</v>
      </c>
      <c r="D4629" s="8"/>
      <c r="E4629" s="8"/>
      <c r="M4629" t="s">
        <v>478</v>
      </c>
      <c r="N4629" t="str">
        <f>Tabela_tudo[[#This Row],[Médico]]&amp;" ("&amp;Tabela_tudo[[#This Row],[Obs]]&amp;")"</f>
        <v>DIF ()</v>
      </c>
    </row>
    <row r="4630" spans="1:14" x14ac:dyDescent="0.3">
      <c r="A4630" s="1">
        <v>45207</v>
      </c>
      <c r="B4630" t="s">
        <v>52</v>
      </c>
      <c r="C4630" t="s">
        <v>464</v>
      </c>
      <c r="D4630" s="8"/>
      <c r="E4630" s="8"/>
      <c r="M4630" t="s">
        <v>478</v>
      </c>
      <c r="N4630" t="str">
        <f>Tabela_tudo[[#This Row],[Médico]]&amp;" ("&amp;Tabela_tudo[[#This Row],[Obs]]&amp;")"</f>
        <v>AEL ()</v>
      </c>
    </row>
    <row r="4631" spans="1:14" x14ac:dyDescent="0.3">
      <c r="A4631" s="1">
        <v>45149</v>
      </c>
      <c r="B4631" t="s">
        <v>44</v>
      </c>
      <c r="C4631" t="s">
        <v>45</v>
      </c>
      <c r="D4631" s="8"/>
      <c r="E4631" s="8"/>
      <c r="M4631" t="s">
        <v>478</v>
      </c>
      <c r="N4631" t="str">
        <f>Tabela_tudo[[#This Row],[Médico]]&amp;" ("&amp;Tabela_tudo[[#This Row],[Obs]]&amp;")"</f>
        <v>REI ()</v>
      </c>
    </row>
    <row r="4632" spans="1:14" x14ac:dyDescent="0.3">
      <c r="A4632" s="1">
        <v>45208</v>
      </c>
      <c r="B4632" t="s">
        <v>52</v>
      </c>
      <c r="C4632" t="s">
        <v>464</v>
      </c>
      <c r="D4632" s="8"/>
      <c r="E4632" s="8"/>
      <c r="M4632" t="s">
        <v>478</v>
      </c>
      <c r="N4632" t="str">
        <f>Tabela_tudo[[#This Row],[Médico]]&amp;" ("&amp;Tabela_tudo[[#This Row],[Obs]]&amp;")"</f>
        <v>AEL ()</v>
      </c>
    </row>
    <row r="4633" spans="1:14" x14ac:dyDescent="0.3">
      <c r="A4633" s="1">
        <v>45149</v>
      </c>
      <c r="B4633" t="s">
        <v>14</v>
      </c>
      <c r="C4633" t="s">
        <v>46</v>
      </c>
      <c r="D4633" s="8"/>
      <c r="E4633" s="8"/>
      <c r="M4633" t="s">
        <v>478</v>
      </c>
      <c r="N4633" t="str">
        <f>Tabela_tudo[[#This Row],[Médico]]&amp;" ("&amp;Tabela_tudo[[#This Row],[Obs]]&amp;")"</f>
        <v>PW ()</v>
      </c>
    </row>
    <row r="4634" spans="1:14" x14ac:dyDescent="0.3">
      <c r="A4634" s="1">
        <v>45205</v>
      </c>
      <c r="B4634" t="s">
        <v>52</v>
      </c>
      <c r="C4634" t="s">
        <v>464</v>
      </c>
      <c r="D4634" s="8"/>
      <c r="E4634" s="8"/>
      <c r="M4634" t="s">
        <v>478</v>
      </c>
      <c r="N4634" t="str">
        <f>Tabela_tudo[[#This Row],[Médico]]&amp;" ("&amp;Tabela_tudo[[#This Row],[Obs]]&amp;")"</f>
        <v>AEL ()</v>
      </c>
    </row>
    <row r="4635" spans="1:14" x14ac:dyDescent="0.3">
      <c r="A4635" s="1">
        <v>45153</v>
      </c>
      <c r="B4635" t="s">
        <v>48</v>
      </c>
      <c r="C4635" t="s">
        <v>124</v>
      </c>
      <c r="D4635" s="8">
        <v>0.83333333333333337</v>
      </c>
      <c r="E4635" s="8">
        <v>0.91666666666666663</v>
      </c>
      <c r="F4635" t="s">
        <v>323</v>
      </c>
      <c r="K4635" t="s">
        <v>565</v>
      </c>
      <c r="M4635" t="s">
        <v>478</v>
      </c>
      <c r="N4635" t="str">
        <f>Tabela_tudo[[#This Row],[Médico]]&amp;" ("&amp;Tabela_tudo[[#This Row],[Obs]]&amp;")"</f>
        <v>MAF (MAF - ANTIBIOTICOPROFILAXIA E BOA PRÁTICAS NO BLOCO - CONV: DRA STEPHANIE SCALCO )</v>
      </c>
    </row>
    <row r="4636" spans="1:14" x14ac:dyDescent="0.3">
      <c r="A4636" s="1">
        <v>45206</v>
      </c>
      <c r="B4636" t="s">
        <v>52</v>
      </c>
      <c r="C4636" t="s">
        <v>464</v>
      </c>
      <c r="D4636" s="8"/>
      <c r="E4636" s="8"/>
      <c r="M4636" t="s">
        <v>478</v>
      </c>
      <c r="N4636" t="str">
        <f>Tabela_tudo[[#This Row],[Médico]]&amp;" ("&amp;Tabela_tudo[[#This Row],[Obs]]&amp;")"</f>
        <v>AEL ()</v>
      </c>
    </row>
    <row r="4637" spans="1:14" x14ac:dyDescent="0.3">
      <c r="A4637" s="1">
        <v>45155</v>
      </c>
      <c r="B4637" t="s">
        <v>14</v>
      </c>
      <c r="C4637" t="s">
        <v>46</v>
      </c>
      <c r="D4637" s="8"/>
      <c r="E4637" s="8"/>
      <c r="M4637" t="s">
        <v>478</v>
      </c>
      <c r="N4637" t="str">
        <f>Tabela_tudo[[#This Row],[Médico]]&amp;" ("&amp;Tabela_tudo[[#This Row],[Obs]]&amp;")"</f>
        <v>PW ()</v>
      </c>
    </row>
    <row r="4638" spans="1:14" x14ac:dyDescent="0.3">
      <c r="A4638" s="1">
        <v>45206</v>
      </c>
      <c r="B4638" t="s">
        <v>7</v>
      </c>
      <c r="C4638" t="s">
        <v>464</v>
      </c>
      <c r="D4638" s="8"/>
      <c r="E4638" s="8"/>
      <c r="M4638" t="s">
        <v>478</v>
      </c>
      <c r="N4638" t="str">
        <f>Tabela_tudo[[#This Row],[Médico]]&amp;" ("&amp;Tabela_tudo[[#This Row],[Obs]]&amp;")"</f>
        <v>ARI ()</v>
      </c>
    </row>
    <row r="4639" spans="1:14" x14ac:dyDescent="0.3">
      <c r="A4639" s="1">
        <v>45155</v>
      </c>
      <c r="B4639" t="s">
        <v>63</v>
      </c>
      <c r="C4639" t="s">
        <v>18</v>
      </c>
      <c r="D4639" s="8"/>
      <c r="E4639" s="8"/>
      <c r="M4639" t="s">
        <v>478</v>
      </c>
      <c r="N4639" t="str">
        <f>Tabela_tudo[[#This Row],[Médico]]&amp;" ("&amp;Tabela_tudo[[#This Row],[Obs]]&amp;")"</f>
        <v>FQ ()</v>
      </c>
    </row>
    <row r="4640" spans="1:14" x14ac:dyDescent="0.3">
      <c r="A4640" s="1">
        <v>45207</v>
      </c>
      <c r="B4640" t="s">
        <v>7</v>
      </c>
      <c r="C4640" t="s">
        <v>464</v>
      </c>
      <c r="D4640" s="8"/>
      <c r="E4640" s="8"/>
      <c r="M4640" t="s">
        <v>478</v>
      </c>
      <c r="N4640" t="str">
        <f>Tabela_tudo[[#This Row],[Médico]]&amp;" ("&amp;Tabela_tudo[[#This Row],[Obs]]&amp;")"</f>
        <v>ARI ()</v>
      </c>
    </row>
    <row r="4641" spans="1:14" x14ac:dyDescent="0.3">
      <c r="A4641" s="1">
        <v>45155</v>
      </c>
      <c r="B4641" t="s">
        <v>85</v>
      </c>
      <c r="C4641" t="s">
        <v>49</v>
      </c>
      <c r="D4641" s="8"/>
      <c r="E4641" s="8"/>
      <c r="M4641" t="s">
        <v>478</v>
      </c>
      <c r="N4641" t="str">
        <f>Tabela_tudo[[#This Row],[Médico]]&amp;" ("&amp;Tabela_tudo[[#This Row],[Obs]]&amp;")"</f>
        <v>ELF ()</v>
      </c>
    </row>
    <row r="4642" spans="1:14" x14ac:dyDescent="0.3">
      <c r="A4642" s="1">
        <v>45204</v>
      </c>
      <c r="B4642" t="s">
        <v>7</v>
      </c>
      <c r="C4642" t="s">
        <v>464</v>
      </c>
      <c r="D4642" s="8"/>
      <c r="E4642" s="8"/>
      <c r="M4642" t="s">
        <v>478</v>
      </c>
      <c r="N4642" t="str">
        <f>Tabela_tudo[[#This Row],[Médico]]&amp;" ("&amp;Tabela_tudo[[#This Row],[Obs]]&amp;")"</f>
        <v>ARI ()</v>
      </c>
    </row>
    <row r="4643" spans="1:14" x14ac:dyDescent="0.3">
      <c r="A4643" s="1">
        <v>45155</v>
      </c>
      <c r="B4643" t="s">
        <v>37</v>
      </c>
      <c r="C4643" t="s">
        <v>8</v>
      </c>
      <c r="D4643" s="8"/>
      <c r="E4643" s="8"/>
      <c r="M4643" t="s">
        <v>478</v>
      </c>
      <c r="N4643" t="str">
        <f>Tabela_tudo[[#This Row],[Médico]]&amp;" ("&amp;Tabela_tudo[[#This Row],[Obs]]&amp;")"</f>
        <v>EBB ()</v>
      </c>
    </row>
    <row r="4644" spans="1:14" x14ac:dyDescent="0.3">
      <c r="A4644" s="1">
        <v>45205</v>
      </c>
      <c r="B4644" t="s">
        <v>7</v>
      </c>
      <c r="C4644" t="s">
        <v>464</v>
      </c>
      <c r="D4644" s="8"/>
      <c r="E4644" s="8"/>
      <c r="M4644" t="s">
        <v>478</v>
      </c>
      <c r="N4644" t="str">
        <f>Tabela_tudo[[#This Row],[Médico]]&amp;" ("&amp;Tabela_tudo[[#This Row],[Obs]]&amp;")"</f>
        <v>ARI ()</v>
      </c>
    </row>
    <row r="4645" spans="1:14" x14ac:dyDescent="0.3">
      <c r="A4645" s="1">
        <v>45155</v>
      </c>
      <c r="B4645" t="s">
        <v>29</v>
      </c>
      <c r="C4645" t="s">
        <v>43</v>
      </c>
      <c r="D4645" s="8"/>
      <c r="E4645" s="8"/>
      <c r="M4645" t="s">
        <v>478</v>
      </c>
      <c r="N4645" t="str">
        <f>Tabela_tudo[[#This Row],[Médico]]&amp;" ("&amp;Tabela_tudo[[#This Row],[Obs]]&amp;")"</f>
        <v>JOA ()</v>
      </c>
    </row>
    <row r="4646" spans="1:14" x14ac:dyDescent="0.3">
      <c r="A4646" s="1">
        <v>45210</v>
      </c>
      <c r="B4646" t="s">
        <v>29</v>
      </c>
      <c r="C4646" t="s">
        <v>464</v>
      </c>
      <c r="D4646" s="8"/>
      <c r="E4646" s="8"/>
      <c r="M4646" t="s">
        <v>478</v>
      </c>
      <c r="N4646" t="str">
        <f>Tabela_tudo[[#This Row],[Médico]]&amp;" ("&amp;Tabela_tudo[[#This Row],[Obs]]&amp;")"</f>
        <v>JOA ()</v>
      </c>
    </row>
    <row r="4647" spans="1:14" x14ac:dyDescent="0.3">
      <c r="A4647" s="1">
        <v>45155</v>
      </c>
      <c r="B4647" t="s">
        <v>52</v>
      </c>
      <c r="C4647" t="s">
        <v>45</v>
      </c>
      <c r="D4647" s="8"/>
      <c r="E4647" s="8"/>
      <c r="M4647" t="s">
        <v>478</v>
      </c>
      <c r="N4647" t="str">
        <f>Tabela_tudo[[#This Row],[Médico]]&amp;" ("&amp;Tabela_tudo[[#This Row],[Obs]]&amp;")"</f>
        <v>AEL ()</v>
      </c>
    </row>
    <row r="4648" spans="1:14" x14ac:dyDescent="0.3">
      <c r="A4648" s="1">
        <v>45211</v>
      </c>
      <c r="B4648" t="s">
        <v>29</v>
      </c>
      <c r="C4648" t="s">
        <v>464</v>
      </c>
      <c r="D4648" s="8"/>
      <c r="E4648" s="8"/>
      <c r="M4648" t="s">
        <v>478</v>
      </c>
      <c r="N4648" t="str">
        <f>Tabela_tudo[[#This Row],[Médico]]&amp;" ("&amp;Tabela_tudo[[#This Row],[Obs]]&amp;")"</f>
        <v>JOA ()</v>
      </c>
    </row>
    <row r="4649" spans="1:14" x14ac:dyDescent="0.3">
      <c r="A4649" s="1">
        <v>45155</v>
      </c>
      <c r="B4649" t="s">
        <v>34</v>
      </c>
      <c r="C4649" t="s">
        <v>51</v>
      </c>
      <c r="D4649" s="8"/>
      <c r="E4649" s="8"/>
      <c r="M4649" t="s">
        <v>478</v>
      </c>
      <c r="N4649" t="str">
        <f>Tabela_tudo[[#This Row],[Médico]]&amp;" ("&amp;Tabela_tudo[[#This Row],[Obs]]&amp;")"</f>
        <v>LIP ()</v>
      </c>
    </row>
    <row r="4650" spans="1:14" x14ac:dyDescent="0.3">
      <c r="A4650" s="1">
        <v>45208</v>
      </c>
      <c r="B4650" t="s">
        <v>29</v>
      </c>
      <c r="C4650" t="s">
        <v>464</v>
      </c>
      <c r="D4650" s="8"/>
      <c r="E4650" s="8"/>
      <c r="M4650" t="s">
        <v>478</v>
      </c>
      <c r="N4650" t="str">
        <f>Tabela_tudo[[#This Row],[Médico]]&amp;" ("&amp;Tabela_tudo[[#This Row],[Obs]]&amp;")"</f>
        <v>JOA ()</v>
      </c>
    </row>
    <row r="4651" spans="1:14" x14ac:dyDescent="0.3">
      <c r="A4651" s="1">
        <v>45159</v>
      </c>
      <c r="B4651" t="s">
        <v>142</v>
      </c>
      <c r="C4651" t="s">
        <v>8</v>
      </c>
      <c r="D4651" s="8"/>
      <c r="E4651" s="8"/>
      <c r="M4651" t="s">
        <v>478</v>
      </c>
      <c r="N4651" t="str">
        <f>Tabela_tudo[[#This Row],[Médico]]&amp;" ("&amp;Tabela_tudo[[#This Row],[Obs]]&amp;")"</f>
        <v>VIV ()</v>
      </c>
    </row>
    <row r="4652" spans="1:14" x14ac:dyDescent="0.3">
      <c r="A4652" s="1">
        <v>45209</v>
      </c>
      <c r="B4652" t="s">
        <v>29</v>
      </c>
      <c r="C4652" t="s">
        <v>464</v>
      </c>
      <c r="D4652" s="8"/>
      <c r="E4652" s="8"/>
      <c r="M4652" t="s">
        <v>478</v>
      </c>
      <c r="N4652" t="str">
        <f>Tabela_tudo[[#This Row],[Médico]]&amp;" ("&amp;Tabela_tudo[[#This Row],[Obs]]&amp;")"</f>
        <v>JOA ()</v>
      </c>
    </row>
    <row r="4653" spans="1:14" x14ac:dyDescent="0.3">
      <c r="A4653" s="1">
        <v>45159</v>
      </c>
      <c r="B4653" t="s">
        <v>33</v>
      </c>
      <c r="C4653" t="s">
        <v>43</v>
      </c>
      <c r="D4653" s="8"/>
      <c r="E4653" s="8"/>
      <c r="M4653" t="s">
        <v>478</v>
      </c>
      <c r="N4653" t="str">
        <f>Tabela_tudo[[#This Row],[Médico]]&amp;" ("&amp;Tabela_tudo[[#This Row],[Obs]]&amp;")"</f>
        <v>DIF ()</v>
      </c>
    </row>
    <row r="4654" spans="1:14" x14ac:dyDescent="0.3">
      <c r="A4654" s="1">
        <v>45205</v>
      </c>
      <c r="B4654" t="s">
        <v>75</v>
      </c>
      <c r="C4654" t="s">
        <v>464</v>
      </c>
      <c r="D4654" s="8"/>
      <c r="E4654" s="8"/>
      <c r="M4654" t="s">
        <v>478</v>
      </c>
      <c r="N4654" t="str">
        <f>Tabela_tudo[[#This Row],[Médico]]&amp;" ("&amp;Tabela_tudo[[#This Row],[Obs]]&amp;")"</f>
        <v>KOP ()</v>
      </c>
    </row>
    <row r="4655" spans="1:14" x14ac:dyDescent="0.3">
      <c r="A4655" s="1">
        <v>45159</v>
      </c>
      <c r="B4655" t="s">
        <v>44</v>
      </c>
      <c r="C4655" t="s">
        <v>45</v>
      </c>
      <c r="D4655" s="8"/>
      <c r="E4655" s="8"/>
      <c r="M4655" t="s">
        <v>478</v>
      </c>
      <c r="N4655" t="str">
        <f>Tabela_tudo[[#This Row],[Médico]]&amp;" ("&amp;Tabela_tudo[[#This Row],[Obs]]&amp;")"</f>
        <v>REI ()</v>
      </c>
    </row>
    <row r="4656" spans="1:14" x14ac:dyDescent="0.3">
      <c r="A4656" s="1">
        <v>45206</v>
      </c>
      <c r="B4656" t="s">
        <v>75</v>
      </c>
      <c r="C4656" t="s">
        <v>464</v>
      </c>
      <c r="D4656" s="8"/>
      <c r="E4656" s="8"/>
      <c r="M4656" t="s">
        <v>478</v>
      </c>
      <c r="N4656" t="str">
        <f>Tabela_tudo[[#This Row],[Médico]]&amp;" ("&amp;Tabela_tudo[[#This Row],[Obs]]&amp;")"</f>
        <v>KOP ()</v>
      </c>
    </row>
    <row r="4657" spans="1:14" x14ac:dyDescent="0.3">
      <c r="A4657" s="1">
        <v>45155</v>
      </c>
      <c r="B4657" t="s">
        <v>64</v>
      </c>
      <c r="C4657" t="s">
        <v>30</v>
      </c>
      <c r="D4657" s="8"/>
      <c r="E4657" s="8"/>
      <c r="M4657" t="s">
        <v>478</v>
      </c>
      <c r="N4657" t="str">
        <f>Tabela_tudo[[#This Row],[Médico]]&amp;" ("&amp;Tabela_tudo[[#This Row],[Obs]]&amp;")"</f>
        <v>SAR ()</v>
      </c>
    </row>
    <row r="4658" spans="1:14" x14ac:dyDescent="0.3">
      <c r="A4658" s="1">
        <v>45203</v>
      </c>
      <c r="B4658" t="s">
        <v>75</v>
      </c>
      <c r="C4658" t="s">
        <v>464</v>
      </c>
      <c r="D4658" s="8"/>
      <c r="E4658" s="8"/>
      <c r="M4658" t="s">
        <v>478</v>
      </c>
      <c r="N4658" t="str">
        <f>Tabela_tudo[[#This Row],[Médico]]&amp;" ("&amp;Tabela_tudo[[#This Row],[Obs]]&amp;")"</f>
        <v>KOP ()</v>
      </c>
    </row>
    <row r="4659" spans="1:14" x14ac:dyDescent="0.3">
      <c r="A4659" s="1">
        <v>45159</v>
      </c>
      <c r="B4659" t="s">
        <v>32</v>
      </c>
      <c r="C4659" t="s">
        <v>13</v>
      </c>
      <c r="D4659" s="8"/>
      <c r="E4659" s="8"/>
      <c r="M4659" t="s">
        <v>478</v>
      </c>
      <c r="N4659" t="str">
        <f>Tabela_tudo[[#This Row],[Médico]]&amp;" ("&amp;Tabela_tudo[[#This Row],[Obs]]&amp;")"</f>
        <v>JS ()</v>
      </c>
    </row>
    <row r="4660" spans="1:14" x14ac:dyDescent="0.3">
      <c r="A4660" s="1">
        <v>45204</v>
      </c>
      <c r="B4660" t="s">
        <v>75</v>
      </c>
      <c r="C4660" t="s">
        <v>464</v>
      </c>
      <c r="D4660" s="8"/>
      <c r="E4660" s="8"/>
      <c r="M4660" t="s">
        <v>478</v>
      </c>
      <c r="N4660" t="str">
        <f>Tabela_tudo[[#This Row],[Médico]]&amp;" ("&amp;Tabela_tudo[[#This Row],[Obs]]&amp;")"</f>
        <v>KOP ()</v>
      </c>
    </row>
    <row r="4661" spans="1:14" x14ac:dyDescent="0.3">
      <c r="A4661" s="1">
        <v>45159</v>
      </c>
      <c r="B4661" t="s">
        <v>29</v>
      </c>
      <c r="C4661" t="s">
        <v>15</v>
      </c>
      <c r="D4661" s="8"/>
      <c r="E4661" s="8"/>
      <c r="M4661" t="s">
        <v>478</v>
      </c>
      <c r="N4661" t="str">
        <f>Tabela_tudo[[#This Row],[Médico]]&amp;" ("&amp;Tabela_tudo[[#This Row],[Obs]]&amp;")"</f>
        <v>JOA ()</v>
      </c>
    </row>
    <row r="4662" spans="1:14" x14ac:dyDescent="0.3">
      <c r="A4662" s="1">
        <v>45202</v>
      </c>
      <c r="B4662" t="s">
        <v>7</v>
      </c>
      <c r="C4662" t="s">
        <v>464</v>
      </c>
      <c r="D4662" s="8"/>
      <c r="E4662" s="8"/>
      <c r="M4662" t="s">
        <v>478</v>
      </c>
      <c r="N4662" t="str">
        <f>Tabela_tudo[[#This Row],[Médico]]&amp;" ("&amp;Tabela_tudo[[#This Row],[Obs]]&amp;")"</f>
        <v>ARI ()</v>
      </c>
    </row>
    <row r="4663" spans="1:14" x14ac:dyDescent="0.3">
      <c r="A4663" s="1">
        <v>45154</v>
      </c>
      <c r="B4663" t="s">
        <v>29</v>
      </c>
      <c r="C4663" t="s">
        <v>8</v>
      </c>
      <c r="D4663" s="8"/>
      <c r="E4663" s="8"/>
      <c r="M4663" t="s">
        <v>478</v>
      </c>
      <c r="N4663" t="str">
        <f>Tabela_tudo[[#This Row],[Médico]]&amp;" ("&amp;Tabela_tudo[[#This Row],[Obs]]&amp;")"</f>
        <v>JOA ()</v>
      </c>
    </row>
    <row r="4664" spans="1:14" x14ac:dyDescent="0.3">
      <c r="A4664" s="1">
        <v>45203</v>
      </c>
      <c r="B4664" t="s">
        <v>7</v>
      </c>
      <c r="C4664" t="s">
        <v>464</v>
      </c>
      <c r="D4664" s="8"/>
      <c r="E4664" s="8"/>
      <c r="M4664" t="s">
        <v>478</v>
      </c>
      <c r="N4664" t="str">
        <f>Tabela_tudo[[#This Row],[Médico]]&amp;" ("&amp;Tabela_tudo[[#This Row],[Obs]]&amp;")"</f>
        <v>ARI ()</v>
      </c>
    </row>
    <row r="4665" spans="1:14" x14ac:dyDescent="0.3">
      <c r="A4665" s="1">
        <v>45154</v>
      </c>
      <c r="B4665" t="s">
        <v>66</v>
      </c>
      <c r="C4665" t="s">
        <v>45</v>
      </c>
      <c r="D4665" s="8"/>
      <c r="E4665" s="8"/>
      <c r="M4665" t="s">
        <v>478</v>
      </c>
      <c r="N4665" t="str">
        <f>Tabela_tudo[[#This Row],[Médico]]&amp;" ("&amp;Tabela_tudo[[#This Row],[Obs]]&amp;")"</f>
        <v>MOZ ()</v>
      </c>
    </row>
    <row r="4666" spans="1:14" x14ac:dyDescent="0.3">
      <c r="A4666" s="1">
        <v>45207</v>
      </c>
      <c r="B4666" t="s">
        <v>75</v>
      </c>
      <c r="C4666" t="s">
        <v>464</v>
      </c>
      <c r="D4666" s="8"/>
      <c r="E4666" s="8"/>
      <c r="M4666" t="s">
        <v>478</v>
      </c>
      <c r="N4666" t="str">
        <f>Tabela_tudo[[#This Row],[Médico]]&amp;" ("&amp;Tabela_tudo[[#This Row],[Obs]]&amp;")"</f>
        <v>KOP ()</v>
      </c>
    </row>
    <row r="4667" spans="1:14" x14ac:dyDescent="0.3">
      <c r="A4667" s="1">
        <v>45154</v>
      </c>
      <c r="B4667" t="s">
        <v>68</v>
      </c>
      <c r="C4667" t="s">
        <v>46</v>
      </c>
      <c r="D4667" s="8"/>
      <c r="E4667" s="8"/>
      <c r="M4667" t="s">
        <v>478</v>
      </c>
      <c r="N4667" t="str">
        <f>Tabela_tudo[[#This Row],[Médico]]&amp;" ("&amp;Tabela_tudo[[#This Row],[Obs]]&amp;")"</f>
        <v>PED ()</v>
      </c>
    </row>
    <row r="4668" spans="1:14" x14ac:dyDescent="0.3">
      <c r="A4668" s="1">
        <v>45201</v>
      </c>
      <c r="B4668" t="s">
        <v>7</v>
      </c>
      <c r="C4668" t="s">
        <v>464</v>
      </c>
      <c r="D4668" s="8"/>
      <c r="E4668" s="8"/>
      <c r="M4668" t="s">
        <v>478</v>
      </c>
      <c r="N4668" t="str">
        <f>Tabela_tudo[[#This Row],[Médico]]&amp;" ("&amp;Tabela_tudo[[#This Row],[Obs]]&amp;")"</f>
        <v>ARI ()</v>
      </c>
    </row>
    <row r="4669" spans="1:14" x14ac:dyDescent="0.3">
      <c r="A4669" s="1">
        <v>45153</v>
      </c>
      <c r="B4669" t="s">
        <v>32</v>
      </c>
      <c r="C4669" t="s">
        <v>30</v>
      </c>
      <c r="D4669" s="8"/>
      <c r="E4669" s="8"/>
      <c r="M4669" t="s">
        <v>478</v>
      </c>
      <c r="N4669" t="str">
        <f>Tabela_tudo[[#This Row],[Médico]]&amp;" ("&amp;Tabela_tudo[[#This Row],[Obs]]&amp;")"</f>
        <v>JS ()</v>
      </c>
    </row>
    <row r="4670" spans="1:14" x14ac:dyDescent="0.3">
      <c r="A4670" s="1">
        <v>45121</v>
      </c>
      <c r="B4670" t="s">
        <v>50</v>
      </c>
      <c r="C4670" t="s">
        <v>464</v>
      </c>
      <c r="D4670" s="8"/>
      <c r="E4670" s="8"/>
      <c r="M4670" t="s">
        <v>478</v>
      </c>
      <c r="N4670" t="str">
        <f>Tabela_tudo[[#This Row],[Médico]]&amp;" ("&amp;Tabela_tudo[[#This Row],[Obs]]&amp;")"</f>
        <v>PJP ()</v>
      </c>
    </row>
    <row r="4671" spans="1:14" x14ac:dyDescent="0.3">
      <c r="A4671" s="1">
        <v>45154</v>
      </c>
      <c r="B4671" t="s">
        <v>64</v>
      </c>
      <c r="C4671" t="s">
        <v>13</v>
      </c>
      <c r="D4671" s="8"/>
      <c r="E4671" s="8"/>
      <c r="M4671" t="s">
        <v>478</v>
      </c>
      <c r="N4671" t="str">
        <f>Tabela_tudo[[#This Row],[Médico]]&amp;" ("&amp;Tabela_tudo[[#This Row],[Obs]]&amp;")"</f>
        <v>SAR ()</v>
      </c>
    </row>
    <row r="4672" spans="1:14" x14ac:dyDescent="0.3">
      <c r="A4672" s="1">
        <v>45122</v>
      </c>
      <c r="B4672" t="s">
        <v>50</v>
      </c>
      <c r="C4672" t="s">
        <v>464</v>
      </c>
      <c r="D4672" s="8"/>
      <c r="E4672" s="8"/>
      <c r="M4672" t="s">
        <v>478</v>
      </c>
      <c r="N4672" t="str">
        <f>Tabela_tudo[[#This Row],[Médico]]&amp;" ("&amp;Tabela_tudo[[#This Row],[Obs]]&amp;")"</f>
        <v>PJP ()</v>
      </c>
    </row>
    <row r="4673" spans="1:14" x14ac:dyDescent="0.3">
      <c r="A4673" s="1">
        <v>45154</v>
      </c>
      <c r="B4673" t="s">
        <v>142</v>
      </c>
      <c r="C4673" t="s">
        <v>15</v>
      </c>
      <c r="D4673" s="8"/>
      <c r="E4673" s="8"/>
      <c r="M4673" t="s">
        <v>478</v>
      </c>
      <c r="N4673" t="str">
        <f>Tabela_tudo[[#This Row],[Médico]]&amp;" ("&amp;Tabela_tudo[[#This Row],[Obs]]&amp;")"</f>
        <v>VIV ()</v>
      </c>
    </row>
    <row r="4674" spans="1:14" x14ac:dyDescent="0.3">
      <c r="A4674" s="1">
        <v>45119</v>
      </c>
      <c r="B4674" t="s">
        <v>50</v>
      </c>
      <c r="C4674" t="s">
        <v>464</v>
      </c>
      <c r="D4674" s="8"/>
      <c r="E4674" s="8"/>
      <c r="M4674" t="s">
        <v>478</v>
      </c>
      <c r="N4674" t="str">
        <f>Tabela_tudo[[#This Row],[Médico]]&amp;" ("&amp;Tabela_tudo[[#This Row],[Obs]]&amp;")"</f>
        <v>PJP ()</v>
      </c>
    </row>
    <row r="4675" spans="1:14" x14ac:dyDescent="0.3">
      <c r="A4675" s="1">
        <v>45154</v>
      </c>
      <c r="B4675" t="s">
        <v>94</v>
      </c>
      <c r="C4675" t="s">
        <v>18</v>
      </c>
      <c r="D4675" s="8"/>
      <c r="E4675" s="8"/>
      <c r="M4675" t="s">
        <v>478</v>
      </c>
      <c r="N4675" t="str">
        <f>Tabela_tudo[[#This Row],[Médico]]&amp;" ("&amp;Tabela_tudo[[#This Row],[Obs]]&amp;")"</f>
        <v>TOT ()</v>
      </c>
    </row>
    <row r="4676" spans="1:14" x14ac:dyDescent="0.3">
      <c r="A4676" s="1">
        <v>45120</v>
      </c>
      <c r="B4676" t="s">
        <v>50</v>
      </c>
      <c r="C4676" t="s">
        <v>464</v>
      </c>
      <c r="D4676" s="8"/>
      <c r="E4676" s="8"/>
      <c r="M4676" t="s">
        <v>478</v>
      </c>
      <c r="N4676" t="str">
        <f>Tabela_tudo[[#This Row],[Médico]]&amp;" ("&amp;Tabela_tudo[[#This Row],[Obs]]&amp;")"</f>
        <v>PJP ()</v>
      </c>
    </row>
    <row r="4677" spans="1:14" x14ac:dyDescent="0.3">
      <c r="A4677" s="1">
        <v>45154</v>
      </c>
      <c r="B4677" t="s">
        <v>37</v>
      </c>
      <c r="C4677" t="s">
        <v>43</v>
      </c>
      <c r="D4677" s="8"/>
      <c r="E4677" s="8"/>
      <c r="M4677" t="s">
        <v>478</v>
      </c>
      <c r="N4677" t="str">
        <f>Tabela_tudo[[#This Row],[Médico]]&amp;" ("&amp;Tabela_tudo[[#This Row],[Obs]]&amp;")"</f>
        <v>EBB ()</v>
      </c>
    </row>
    <row r="4678" spans="1:14" x14ac:dyDescent="0.3">
      <c r="A4678" s="1">
        <v>45111</v>
      </c>
      <c r="B4678" t="s">
        <v>52</v>
      </c>
      <c r="C4678" t="s">
        <v>465</v>
      </c>
      <c r="D4678" s="8"/>
      <c r="E4678" s="8"/>
      <c r="F4678" t="s">
        <v>469</v>
      </c>
      <c r="M4678" t="s">
        <v>478</v>
      </c>
      <c r="N4678" t="str">
        <f>Tabela_tudo[[#This Row],[Médico]]&amp;" ("&amp;Tabela_tudo[[#This Row],[Obs]]&amp;")"</f>
        <v>AEL (PROVA TSA)</v>
      </c>
    </row>
    <row r="4679" spans="1:14" x14ac:dyDescent="0.3">
      <c r="A4679" s="1">
        <v>45155</v>
      </c>
      <c r="B4679" t="s">
        <v>52</v>
      </c>
      <c r="C4679" t="s">
        <v>13</v>
      </c>
      <c r="D4679" s="8"/>
      <c r="E4679" s="8"/>
      <c r="M4679" t="s">
        <v>478</v>
      </c>
      <c r="N4679" t="str">
        <f>Tabela_tudo[[#This Row],[Médico]]&amp;" ("&amp;Tabela_tudo[[#This Row],[Obs]]&amp;")"</f>
        <v>AEL ()</v>
      </c>
    </row>
    <row r="4680" spans="1:14" x14ac:dyDescent="0.3">
      <c r="A4680" s="1">
        <v>45121</v>
      </c>
      <c r="B4680" t="s">
        <v>85</v>
      </c>
      <c r="C4680" t="s">
        <v>464</v>
      </c>
      <c r="D4680" s="8"/>
      <c r="E4680" s="8"/>
      <c r="M4680" t="s">
        <v>478</v>
      </c>
      <c r="N4680" t="str">
        <f>Tabela_tudo[[#This Row],[Médico]]&amp;" ("&amp;Tabela_tudo[[#This Row],[Obs]]&amp;")"</f>
        <v>ELF ()</v>
      </c>
    </row>
    <row r="4681" spans="1:14" x14ac:dyDescent="0.3">
      <c r="A4681" s="1">
        <v>45155</v>
      </c>
      <c r="B4681" t="s">
        <v>84</v>
      </c>
      <c r="C4681" t="s">
        <v>15</v>
      </c>
      <c r="D4681" s="8"/>
      <c r="E4681" s="8"/>
      <c r="M4681" t="s">
        <v>478</v>
      </c>
      <c r="N4681" t="str">
        <f>Tabela_tudo[[#This Row],[Médico]]&amp;" ("&amp;Tabela_tudo[[#This Row],[Obs]]&amp;")"</f>
        <v>ANO ()</v>
      </c>
    </row>
    <row r="4682" spans="1:14" x14ac:dyDescent="0.3">
      <c r="A4682" s="1">
        <v>45123</v>
      </c>
      <c r="B4682" t="s">
        <v>50</v>
      </c>
      <c r="C4682" t="s">
        <v>464</v>
      </c>
      <c r="D4682" s="8"/>
      <c r="E4682" s="8"/>
      <c r="M4682" t="s">
        <v>478</v>
      </c>
      <c r="N4682" t="str">
        <f>Tabela_tudo[[#This Row],[Médico]]&amp;" ("&amp;Tabela_tudo[[#This Row],[Obs]]&amp;")"</f>
        <v>PJP ()</v>
      </c>
    </row>
    <row r="4683" spans="1:14" x14ac:dyDescent="0.3">
      <c r="A4683" s="1">
        <v>45154</v>
      </c>
      <c r="B4683" t="s">
        <v>85</v>
      </c>
      <c r="C4683" t="s">
        <v>49</v>
      </c>
      <c r="D4683" s="8"/>
      <c r="E4683" s="8"/>
      <c r="M4683" t="s">
        <v>478</v>
      </c>
      <c r="N4683" t="str">
        <f>Tabela_tudo[[#This Row],[Médico]]&amp;" ("&amp;Tabela_tudo[[#This Row],[Obs]]&amp;")"</f>
        <v>ELF ()</v>
      </c>
    </row>
    <row r="4684" spans="1:14" x14ac:dyDescent="0.3">
      <c r="A4684" s="1">
        <v>45111</v>
      </c>
      <c r="B4684" t="s">
        <v>71</v>
      </c>
      <c r="C4684" t="s">
        <v>465</v>
      </c>
      <c r="D4684" s="8"/>
      <c r="E4684" s="8"/>
      <c r="F4684" t="s">
        <v>469</v>
      </c>
      <c r="M4684" t="s">
        <v>478</v>
      </c>
      <c r="N4684" t="str">
        <f>Tabela_tudo[[#This Row],[Médico]]&amp;" ("&amp;Tabela_tudo[[#This Row],[Obs]]&amp;")"</f>
        <v>BRU (PROVA TSA)</v>
      </c>
    </row>
    <row r="4685" spans="1:14" x14ac:dyDescent="0.3">
      <c r="A4685" s="1">
        <v>45154</v>
      </c>
      <c r="B4685" t="s">
        <v>73</v>
      </c>
      <c r="C4685" t="s">
        <v>51</v>
      </c>
      <c r="D4685" s="8"/>
      <c r="E4685" s="8"/>
      <c r="M4685" t="s">
        <v>478</v>
      </c>
      <c r="N4685" t="str">
        <f>Tabela_tudo[[#This Row],[Médico]]&amp;" ("&amp;Tabela_tudo[[#This Row],[Obs]]&amp;")"</f>
        <v>RT ()</v>
      </c>
    </row>
    <row r="4686" spans="1:14" x14ac:dyDescent="0.3">
      <c r="A4686" s="1">
        <v>45113</v>
      </c>
      <c r="B4686" t="s">
        <v>50</v>
      </c>
      <c r="C4686" t="s">
        <v>464</v>
      </c>
      <c r="D4686" s="8"/>
      <c r="E4686" s="8"/>
      <c r="M4686" t="s">
        <v>478</v>
      </c>
      <c r="N4686" t="str">
        <f>Tabela_tudo[[#This Row],[Médico]]&amp;" ("&amp;Tabela_tudo[[#This Row],[Obs]]&amp;")"</f>
        <v>PJP ()</v>
      </c>
    </row>
    <row r="4687" spans="1:14" x14ac:dyDescent="0.3">
      <c r="A4687" s="1">
        <v>45154</v>
      </c>
      <c r="B4687" t="s">
        <v>84</v>
      </c>
      <c r="C4687" t="s">
        <v>30</v>
      </c>
      <c r="D4687" s="8"/>
      <c r="E4687" s="8"/>
      <c r="M4687" t="s">
        <v>478</v>
      </c>
      <c r="N4687" t="str">
        <f>Tabela_tudo[[#This Row],[Médico]]&amp;" ("&amp;Tabela_tudo[[#This Row],[Obs]]&amp;")"</f>
        <v>ANO ()</v>
      </c>
    </row>
    <row r="4688" spans="1:14" x14ac:dyDescent="0.3">
      <c r="A4688" s="1">
        <v>45114</v>
      </c>
      <c r="B4688" t="s">
        <v>50</v>
      </c>
      <c r="C4688" t="s">
        <v>464</v>
      </c>
      <c r="D4688" s="8"/>
      <c r="E4688" s="8"/>
      <c r="M4688" t="s">
        <v>478</v>
      </c>
      <c r="N4688" t="str">
        <f>Tabela_tudo[[#This Row],[Médico]]&amp;" ("&amp;Tabela_tudo[[#This Row],[Obs]]&amp;")"</f>
        <v>PJP ()</v>
      </c>
    </row>
    <row r="4689" spans="1:14" x14ac:dyDescent="0.3">
      <c r="A4689" s="1">
        <v>45148</v>
      </c>
      <c r="B4689" t="s">
        <v>52</v>
      </c>
      <c r="C4689" t="s">
        <v>45</v>
      </c>
      <c r="D4689" s="8"/>
      <c r="E4689" s="8"/>
      <c r="M4689" t="s">
        <v>478</v>
      </c>
      <c r="N4689" t="str">
        <f>Tabela_tudo[[#This Row],[Médico]]&amp;" ("&amp;Tabela_tudo[[#This Row],[Obs]]&amp;")"</f>
        <v>AEL ()</v>
      </c>
    </row>
    <row r="4690" spans="1:14" x14ac:dyDescent="0.3">
      <c r="A4690" s="1">
        <v>45111</v>
      </c>
      <c r="B4690" t="s">
        <v>50</v>
      </c>
      <c r="C4690" t="s">
        <v>464</v>
      </c>
      <c r="D4690" s="8"/>
      <c r="E4690" s="8"/>
      <c r="M4690" t="s">
        <v>478</v>
      </c>
      <c r="N4690" t="str">
        <f>Tabela_tudo[[#This Row],[Médico]]&amp;" ("&amp;Tabela_tudo[[#This Row],[Obs]]&amp;")"</f>
        <v>PJP ()</v>
      </c>
    </row>
    <row r="4691" spans="1:14" x14ac:dyDescent="0.3">
      <c r="A4691" s="1">
        <v>45145</v>
      </c>
      <c r="B4691" t="s">
        <v>72</v>
      </c>
      <c r="C4691" t="s">
        <v>18</v>
      </c>
      <c r="D4691" s="8"/>
      <c r="E4691" s="8"/>
      <c r="M4691" t="s">
        <v>478</v>
      </c>
      <c r="N4691" t="str">
        <f>Tabela_tudo[[#This Row],[Médico]]&amp;" ("&amp;Tabela_tudo[[#This Row],[Obs]]&amp;")"</f>
        <v>GRA ()</v>
      </c>
    </row>
    <row r="4692" spans="1:14" x14ac:dyDescent="0.3">
      <c r="A4692" s="1">
        <v>45112</v>
      </c>
      <c r="B4692" t="s">
        <v>50</v>
      </c>
      <c r="C4692" t="s">
        <v>464</v>
      </c>
      <c r="D4692" s="8"/>
      <c r="E4692" s="8"/>
      <c r="M4692" t="s">
        <v>478</v>
      </c>
      <c r="N4692" t="str">
        <f>Tabela_tudo[[#This Row],[Médico]]&amp;" ("&amp;Tabela_tudo[[#This Row],[Obs]]&amp;")"</f>
        <v>PJP ()</v>
      </c>
    </row>
    <row r="4693" spans="1:14" x14ac:dyDescent="0.3">
      <c r="A4693" s="1">
        <v>45145</v>
      </c>
      <c r="B4693" t="s">
        <v>71</v>
      </c>
      <c r="C4693" t="s">
        <v>49</v>
      </c>
      <c r="D4693" s="8"/>
      <c r="E4693" s="8"/>
      <c r="M4693" t="s">
        <v>478</v>
      </c>
      <c r="N4693" t="str">
        <f>Tabela_tudo[[#This Row],[Médico]]&amp;" ("&amp;Tabela_tudo[[#This Row],[Obs]]&amp;")"</f>
        <v>BRU ()</v>
      </c>
    </row>
    <row r="4694" spans="1:14" x14ac:dyDescent="0.3">
      <c r="A4694" s="1">
        <v>45117</v>
      </c>
      <c r="B4694" t="s">
        <v>50</v>
      </c>
      <c r="C4694" t="s">
        <v>464</v>
      </c>
      <c r="D4694" s="8"/>
      <c r="E4694" s="8"/>
      <c r="M4694" t="s">
        <v>478</v>
      </c>
      <c r="N4694" t="str">
        <f>Tabela_tudo[[#This Row],[Médico]]&amp;" ("&amp;Tabela_tudo[[#This Row],[Obs]]&amp;")"</f>
        <v>PJP ()</v>
      </c>
    </row>
    <row r="4695" spans="1:14" x14ac:dyDescent="0.3">
      <c r="A4695" s="1">
        <v>45145</v>
      </c>
      <c r="B4695" t="s">
        <v>50</v>
      </c>
      <c r="C4695" t="s">
        <v>51</v>
      </c>
      <c r="D4695" s="8"/>
      <c r="E4695" s="8"/>
      <c r="M4695" t="s">
        <v>478</v>
      </c>
      <c r="N4695" t="str">
        <f>Tabela_tudo[[#This Row],[Médico]]&amp;" ("&amp;Tabela_tudo[[#This Row],[Obs]]&amp;")"</f>
        <v>PJP ()</v>
      </c>
    </row>
    <row r="4696" spans="1:14" x14ac:dyDescent="0.3">
      <c r="A4696" s="1">
        <v>45118</v>
      </c>
      <c r="B4696" t="s">
        <v>50</v>
      </c>
      <c r="C4696" t="s">
        <v>464</v>
      </c>
      <c r="D4696" s="8"/>
      <c r="E4696" s="8"/>
      <c r="M4696" t="s">
        <v>478</v>
      </c>
      <c r="N4696" t="str">
        <f>Tabela_tudo[[#This Row],[Médico]]&amp;" ("&amp;Tabela_tudo[[#This Row],[Obs]]&amp;")"</f>
        <v>PJP ()</v>
      </c>
    </row>
    <row r="4697" spans="1:14" x14ac:dyDescent="0.3">
      <c r="A4697" s="1">
        <v>45145</v>
      </c>
      <c r="B4697" t="s">
        <v>142</v>
      </c>
      <c r="C4697" t="s">
        <v>43</v>
      </c>
      <c r="D4697" s="8"/>
      <c r="E4697" s="8"/>
      <c r="M4697" t="s">
        <v>478</v>
      </c>
      <c r="N4697" t="str">
        <f>Tabela_tudo[[#This Row],[Médico]]&amp;" ("&amp;Tabela_tudo[[#This Row],[Obs]]&amp;")"</f>
        <v>VIV ()</v>
      </c>
    </row>
    <row r="4698" spans="1:14" x14ac:dyDescent="0.3">
      <c r="A4698" s="1">
        <v>45115</v>
      </c>
      <c r="B4698" t="s">
        <v>50</v>
      </c>
      <c r="C4698" t="s">
        <v>464</v>
      </c>
      <c r="D4698" s="8"/>
      <c r="E4698" s="8"/>
      <c r="M4698" t="s">
        <v>478</v>
      </c>
      <c r="N4698" t="str">
        <f>Tabela_tudo[[#This Row],[Médico]]&amp;" ("&amp;Tabela_tudo[[#This Row],[Obs]]&amp;")"</f>
        <v>PJP ()</v>
      </c>
    </row>
    <row r="4699" spans="1:14" x14ac:dyDescent="0.3">
      <c r="A4699" s="1">
        <v>45145</v>
      </c>
      <c r="B4699" t="s">
        <v>44</v>
      </c>
      <c r="C4699" t="s">
        <v>45</v>
      </c>
      <c r="D4699" s="8"/>
      <c r="E4699" s="8"/>
      <c r="M4699" t="s">
        <v>478</v>
      </c>
      <c r="N4699" t="str">
        <f>Tabela_tudo[[#This Row],[Médico]]&amp;" ("&amp;Tabela_tudo[[#This Row],[Obs]]&amp;")"</f>
        <v>REI ()</v>
      </c>
    </row>
    <row r="4700" spans="1:14" x14ac:dyDescent="0.3">
      <c r="A4700" s="1">
        <v>45116</v>
      </c>
      <c r="B4700" t="s">
        <v>50</v>
      </c>
      <c r="C4700" t="s">
        <v>464</v>
      </c>
      <c r="D4700" s="8"/>
      <c r="E4700" s="8"/>
      <c r="M4700" t="s">
        <v>478</v>
      </c>
      <c r="N4700" t="str">
        <f>Tabela_tudo[[#This Row],[Médico]]&amp;" ("&amp;Tabela_tudo[[#This Row],[Obs]]&amp;")"</f>
        <v>PJP ()</v>
      </c>
    </row>
    <row r="4701" spans="1:14" x14ac:dyDescent="0.3">
      <c r="A4701" s="1">
        <v>45145</v>
      </c>
      <c r="B4701" t="s">
        <v>21</v>
      </c>
      <c r="C4701" t="s">
        <v>46</v>
      </c>
      <c r="D4701" s="8"/>
      <c r="E4701" s="8"/>
      <c r="M4701" t="s">
        <v>478</v>
      </c>
      <c r="N4701" t="str">
        <f>Tabela_tudo[[#This Row],[Médico]]&amp;" ("&amp;Tabela_tudo[[#This Row],[Obs]]&amp;")"</f>
        <v>RA ()</v>
      </c>
    </row>
    <row r="4702" spans="1:14" x14ac:dyDescent="0.3">
      <c r="A4702" s="1">
        <v>45123</v>
      </c>
      <c r="B4702" t="s">
        <v>23</v>
      </c>
      <c r="C4702" t="s">
        <v>465</v>
      </c>
      <c r="D4702" s="8"/>
      <c r="E4702" s="8"/>
      <c r="F4702" t="s">
        <v>470</v>
      </c>
      <c r="M4702" t="s">
        <v>478</v>
      </c>
      <c r="N4702" t="str">
        <f>Tabela_tudo[[#This Row],[Médico]]&amp;" ("&amp;Tabela_tudo[[#This Row],[Obs]]&amp;")"</f>
        <v>BG (SIAPBM - CARTAGENA)</v>
      </c>
    </row>
    <row r="4703" spans="1:14" x14ac:dyDescent="0.3">
      <c r="A4703" s="1">
        <v>45164</v>
      </c>
      <c r="B4703" t="s">
        <v>29</v>
      </c>
      <c r="C4703" t="s">
        <v>13</v>
      </c>
      <c r="D4703" s="8"/>
      <c r="E4703" s="8"/>
      <c r="M4703" t="s">
        <v>478</v>
      </c>
      <c r="N4703" t="str">
        <f>Tabela_tudo[[#This Row],[Médico]]&amp;" ("&amp;Tabela_tudo[[#This Row],[Obs]]&amp;")"</f>
        <v>JOA ()</v>
      </c>
    </row>
    <row r="4704" spans="1:14" x14ac:dyDescent="0.3">
      <c r="A4704" s="1">
        <v>45124</v>
      </c>
      <c r="B4704" t="s">
        <v>23</v>
      </c>
      <c r="C4704" t="s">
        <v>465</v>
      </c>
      <c r="D4704" s="8"/>
      <c r="E4704" s="8"/>
      <c r="F4704" t="s">
        <v>470</v>
      </c>
      <c r="M4704" t="s">
        <v>478</v>
      </c>
      <c r="N4704" t="str">
        <f>Tabela_tudo[[#This Row],[Médico]]&amp;" ("&amp;Tabela_tudo[[#This Row],[Obs]]&amp;")"</f>
        <v>BG (SIAPBM - CARTAGENA)</v>
      </c>
    </row>
    <row r="4705" spans="1:14" x14ac:dyDescent="0.3">
      <c r="A4705" s="1">
        <v>45165</v>
      </c>
      <c r="B4705" t="s">
        <v>29</v>
      </c>
      <c r="C4705" t="s">
        <v>8</v>
      </c>
      <c r="D4705" s="8"/>
      <c r="E4705" s="8"/>
      <c r="M4705" t="s">
        <v>478</v>
      </c>
      <c r="N4705" t="str">
        <f>Tabela_tudo[[#This Row],[Médico]]&amp;" ("&amp;Tabela_tudo[[#This Row],[Obs]]&amp;")"</f>
        <v>JOA ()</v>
      </c>
    </row>
    <row r="4706" spans="1:14" x14ac:dyDescent="0.3">
      <c r="A4706" s="1">
        <v>45130</v>
      </c>
      <c r="B4706" t="s">
        <v>85</v>
      </c>
      <c r="C4706" t="s">
        <v>464</v>
      </c>
      <c r="D4706" s="8"/>
      <c r="E4706" s="8"/>
      <c r="M4706" t="s">
        <v>478</v>
      </c>
      <c r="N4706" t="str">
        <f>Tabela_tudo[[#This Row],[Médico]]&amp;" ("&amp;Tabela_tudo[[#This Row],[Obs]]&amp;")"</f>
        <v>ELF ()</v>
      </c>
    </row>
    <row r="4707" spans="1:14" x14ac:dyDescent="0.3">
      <c r="A4707" s="1">
        <v>45165</v>
      </c>
      <c r="B4707" t="s">
        <v>37</v>
      </c>
      <c r="C4707" t="s">
        <v>78</v>
      </c>
      <c r="D4707" s="8"/>
      <c r="E4707" s="8"/>
      <c r="M4707" t="s">
        <v>478</v>
      </c>
      <c r="N4707" t="str">
        <f>Tabela_tudo[[#This Row],[Médico]]&amp;" ("&amp;Tabela_tudo[[#This Row],[Obs]]&amp;")"</f>
        <v>EBB ()</v>
      </c>
    </row>
    <row r="4708" spans="1:14" x14ac:dyDescent="0.3">
      <c r="A4708" s="1">
        <v>45122</v>
      </c>
      <c r="B4708" t="s">
        <v>23</v>
      </c>
      <c r="C4708" t="s">
        <v>465</v>
      </c>
      <c r="D4708" s="8"/>
      <c r="E4708" s="8"/>
      <c r="F4708" t="s">
        <v>470</v>
      </c>
      <c r="M4708" t="s">
        <v>478</v>
      </c>
      <c r="N4708" t="str">
        <f>Tabela_tudo[[#This Row],[Médico]]&amp;" ("&amp;Tabela_tudo[[#This Row],[Obs]]&amp;")"</f>
        <v>BG (SIAPBM - CARTAGENA)</v>
      </c>
    </row>
    <row r="4709" spans="1:14" x14ac:dyDescent="0.3">
      <c r="A4709" s="1">
        <v>45146</v>
      </c>
      <c r="B4709" t="s">
        <v>44</v>
      </c>
      <c r="C4709" t="s">
        <v>13</v>
      </c>
      <c r="D4709" s="8"/>
      <c r="E4709" s="8"/>
      <c r="M4709" t="s">
        <v>478</v>
      </c>
      <c r="N4709" t="str">
        <f>Tabela_tudo[[#This Row],[Médico]]&amp;" ("&amp;Tabela_tudo[[#This Row],[Obs]]&amp;")"</f>
        <v>REI ()</v>
      </c>
    </row>
    <row r="4710" spans="1:14" x14ac:dyDescent="0.3">
      <c r="A4710" s="1">
        <v>45122</v>
      </c>
      <c r="B4710" t="s">
        <v>47</v>
      </c>
      <c r="C4710" t="s">
        <v>465</v>
      </c>
      <c r="D4710" s="8"/>
      <c r="E4710" s="8"/>
      <c r="F4710" t="s">
        <v>470</v>
      </c>
      <c r="M4710" t="s">
        <v>478</v>
      </c>
      <c r="N4710" t="str">
        <f>Tabela_tudo[[#This Row],[Médico]]&amp;" ("&amp;Tabela_tudo[[#This Row],[Obs]]&amp;")"</f>
        <v>VIN (SIAPBM - CARTAGENA)</v>
      </c>
    </row>
    <row r="4711" spans="1:14" x14ac:dyDescent="0.3">
      <c r="A4711" s="1">
        <v>45164</v>
      </c>
      <c r="B4711" t="s">
        <v>37</v>
      </c>
      <c r="C4711" t="s">
        <v>8</v>
      </c>
      <c r="D4711" s="8"/>
      <c r="E4711" s="8"/>
      <c r="M4711" t="s">
        <v>478</v>
      </c>
      <c r="N4711" t="str">
        <f>Tabela_tudo[[#This Row],[Médico]]&amp;" ("&amp;Tabela_tudo[[#This Row],[Obs]]&amp;")"</f>
        <v>EBB ()</v>
      </c>
    </row>
    <row r="4712" spans="1:14" x14ac:dyDescent="0.3">
      <c r="A4712" s="1">
        <v>45123</v>
      </c>
      <c r="B4712" t="s">
        <v>47</v>
      </c>
      <c r="C4712" t="s">
        <v>465</v>
      </c>
      <c r="D4712" s="8"/>
      <c r="E4712" s="8"/>
      <c r="F4712" t="s">
        <v>470</v>
      </c>
      <c r="M4712" t="s">
        <v>478</v>
      </c>
      <c r="N4712" t="str">
        <f>Tabela_tudo[[#This Row],[Médico]]&amp;" ("&amp;Tabela_tudo[[#This Row],[Obs]]&amp;")"</f>
        <v>VIN (SIAPBM - CARTAGENA)</v>
      </c>
    </row>
    <row r="4713" spans="1:14" x14ac:dyDescent="0.3">
      <c r="A4713" s="1">
        <v>45164</v>
      </c>
      <c r="B4713" t="s">
        <v>66</v>
      </c>
      <c r="C4713" t="s">
        <v>78</v>
      </c>
      <c r="D4713" s="8"/>
      <c r="E4713" s="8"/>
      <c r="M4713" t="s">
        <v>478</v>
      </c>
      <c r="N4713" t="str">
        <f>Tabela_tudo[[#This Row],[Médico]]&amp;" ("&amp;Tabela_tudo[[#This Row],[Obs]]&amp;")"</f>
        <v>MOZ ()</v>
      </c>
    </row>
    <row r="4714" spans="1:14" x14ac:dyDescent="0.3">
      <c r="A4714" s="1">
        <v>45125</v>
      </c>
      <c r="B4714" t="s">
        <v>23</v>
      </c>
      <c r="C4714" t="s">
        <v>465</v>
      </c>
      <c r="D4714" s="8"/>
      <c r="E4714" s="8"/>
      <c r="F4714" t="s">
        <v>470</v>
      </c>
      <c r="M4714" t="s">
        <v>478</v>
      </c>
      <c r="N4714" t="str">
        <f>Tabela_tudo[[#This Row],[Médico]]&amp;" ("&amp;Tabela_tudo[[#This Row],[Obs]]&amp;")"</f>
        <v>BG (SIAPBM - CARTAGENA)</v>
      </c>
    </row>
    <row r="4715" spans="1:14" x14ac:dyDescent="0.3">
      <c r="A4715" s="1">
        <v>45165</v>
      </c>
      <c r="B4715" t="s">
        <v>66</v>
      </c>
      <c r="C4715" t="s">
        <v>13</v>
      </c>
      <c r="D4715" s="8"/>
      <c r="E4715" s="8"/>
      <c r="M4715" t="s">
        <v>478</v>
      </c>
      <c r="N4715" t="str">
        <f>Tabela_tudo[[#This Row],[Médico]]&amp;" ("&amp;Tabela_tudo[[#This Row],[Obs]]&amp;")"</f>
        <v>MOZ ()</v>
      </c>
    </row>
    <row r="4716" spans="1:14" x14ac:dyDescent="0.3">
      <c r="A4716" s="1">
        <v>45126</v>
      </c>
      <c r="B4716" t="s">
        <v>23</v>
      </c>
      <c r="C4716" t="s">
        <v>465</v>
      </c>
      <c r="D4716" s="8"/>
      <c r="E4716" s="8"/>
      <c r="F4716" t="s">
        <v>470</v>
      </c>
      <c r="M4716" t="s">
        <v>478</v>
      </c>
      <c r="N4716" t="str">
        <f>Tabela_tudo[[#This Row],[Médico]]&amp;" ("&amp;Tabela_tudo[[#This Row],[Obs]]&amp;")"</f>
        <v>BG (SIAPBM - CARTAGENA)</v>
      </c>
    </row>
    <row r="4717" spans="1:14" x14ac:dyDescent="0.3">
      <c r="A4717" s="1">
        <v>45150</v>
      </c>
      <c r="B4717" t="s">
        <v>34</v>
      </c>
      <c r="C4717" t="s">
        <v>78</v>
      </c>
      <c r="D4717" s="8"/>
      <c r="E4717" s="8"/>
      <c r="M4717" t="s">
        <v>478</v>
      </c>
      <c r="N4717" t="str">
        <f>Tabela_tudo[[#This Row],[Médico]]&amp;" ("&amp;Tabela_tudo[[#This Row],[Obs]]&amp;")"</f>
        <v>LIP ()</v>
      </c>
    </row>
    <row r="4718" spans="1:14" x14ac:dyDescent="0.3">
      <c r="A4718" s="1">
        <v>45124</v>
      </c>
      <c r="B4718" t="s">
        <v>85</v>
      </c>
      <c r="C4718" t="s">
        <v>464</v>
      </c>
      <c r="D4718" s="8"/>
      <c r="E4718" s="8"/>
      <c r="M4718" t="s">
        <v>478</v>
      </c>
      <c r="N4718" t="str">
        <f>Tabela_tudo[[#This Row],[Médico]]&amp;" ("&amp;Tabela_tudo[[#This Row],[Obs]]&amp;")"</f>
        <v>ELF ()</v>
      </c>
    </row>
    <row r="4719" spans="1:14" x14ac:dyDescent="0.3">
      <c r="A4719" s="1">
        <v>45151</v>
      </c>
      <c r="B4719" t="s">
        <v>34</v>
      </c>
      <c r="C4719" t="s">
        <v>13</v>
      </c>
      <c r="D4719" s="8"/>
      <c r="E4719" s="8"/>
      <c r="M4719" t="s">
        <v>478</v>
      </c>
      <c r="N4719" t="str">
        <f>Tabela_tudo[[#This Row],[Médico]]&amp;" ("&amp;Tabela_tudo[[#This Row],[Obs]]&amp;")"</f>
        <v>LIP ()</v>
      </c>
    </row>
    <row r="4720" spans="1:14" x14ac:dyDescent="0.3">
      <c r="A4720" s="1">
        <v>45125</v>
      </c>
      <c r="B4720" t="s">
        <v>85</v>
      </c>
      <c r="C4720" t="s">
        <v>464</v>
      </c>
      <c r="D4720" s="8"/>
      <c r="E4720" s="8"/>
      <c r="M4720" t="s">
        <v>478</v>
      </c>
      <c r="N4720" t="str">
        <f>Tabela_tudo[[#This Row],[Médico]]&amp;" ("&amp;Tabela_tudo[[#This Row],[Obs]]&amp;")"</f>
        <v>ELF ()</v>
      </c>
    </row>
    <row r="4721" spans="1:14" x14ac:dyDescent="0.3">
      <c r="A4721" s="1">
        <v>45151</v>
      </c>
      <c r="B4721" t="s">
        <v>64</v>
      </c>
      <c r="C4721" t="s">
        <v>8</v>
      </c>
      <c r="D4721" s="8"/>
      <c r="E4721" s="8"/>
      <c r="M4721" t="s">
        <v>478</v>
      </c>
      <c r="N4721" t="str">
        <f>Tabela_tudo[[#This Row],[Médico]]&amp;" ("&amp;Tabela_tudo[[#This Row],[Obs]]&amp;")"</f>
        <v>SAR ()</v>
      </c>
    </row>
    <row r="4722" spans="1:14" x14ac:dyDescent="0.3">
      <c r="A4722" s="1">
        <v>45122</v>
      </c>
      <c r="B4722" t="s">
        <v>85</v>
      </c>
      <c r="C4722" t="s">
        <v>464</v>
      </c>
      <c r="D4722" s="8"/>
      <c r="E4722" s="8"/>
      <c r="M4722" t="s">
        <v>478</v>
      </c>
      <c r="N4722" t="str">
        <f>Tabela_tudo[[#This Row],[Médico]]&amp;" ("&amp;Tabela_tudo[[#This Row],[Obs]]&amp;")"</f>
        <v>ELF ()</v>
      </c>
    </row>
    <row r="4723" spans="1:14" x14ac:dyDescent="0.3">
      <c r="A4723" s="1">
        <v>45141</v>
      </c>
      <c r="B4723" t="s">
        <v>33</v>
      </c>
      <c r="C4723" t="s">
        <v>30</v>
      </c>
      <c r="D4723" s="8"/>
      <c r="E4723" s="8"/>
      <c r="M4723" t="s">
        <v>478</v>
      </c>
      <c r="N4723" t="str">
        <f>Tabela_tudo[[#This Row],[Médico]]&amp;" ("&amp;Tabela_tudo[[#This Row],[Obs]]&amp;")"</f>
        <v>DIF ()</v>
      </c>
    </row>
    <row r="4724" spans="1:14" x14ac:dyDescent="0.3">
      <c r="A4724" s="1">
        <v>45123</v>
      </c>
      <c r="B4724" t="s">
        <v>85</v>
      </c>
      <c r="C4724" t="s">
        <v>464</v>
      </c>
      <c r="D4724" s="8"/>
      <c r="E4724" s="8"/>
      <c r="M4724" t="s">
        <v>478</v>
      </c>
      <c r="N4724" t="str">
        <f>Tabela_tudo[[#This Row],[Médico]]&amp;" ("&amp;Tabela_tudo[[#This Row],[Obs]]&amp;")"</f>
        <v>ELF ()</v>
      </c>
    </row>
    <row r="4725" spans="1:14" x14ac:dyDescent="0.3">
      <c r="A4725" s="1">
        <v>45150</v>
      </c>
      <c r="B4725" t="s">
        <v>64</v>
      </c>
      <c r="C4725" t="s">
        <v>13</v>
      </c>
      <c r="D4725" s="8"/>
      <c r="E4725" s="8"/>
      <c r="M4725" t="s">
        <v>478</v>
      </c>
      <c r="N4725" t="str">
        <f>Tabela_tudo[[#This Row],[Médico]]&amp;" ("&amp;Tabela_tudo[[#This Row],[Obs]]&amp;")"</f>
        <v>SAR ()</v>
      </c>
    </row>
    <row r="4726" spans="1:14" x14ac:dyDescent="0.3">
      <c r="A4726" s="1">
        <v>45128</v>
      </c>
      <c r="B4726" t="s">
        <v>85</v>
      </c>
      <c r="C4726" t="s">
        <v>464</v>
      </c>
      <c r="D4726" s="8"/>
      <c r="E4726" s="8"/>
      <c r="M4726" t="s">
        <v>478</v>
      </c>
      <c r="N4726" t="str">
        <f>Tabela_tudo[[#This Row],[Médico]]&amp;" ("&amp;Tabela_tudo[[#This Row],[Obs]]&amp;")"</f>
        <v>ELF ()</v>
      </c>
    </row>
    <row r="4727" spans="1:14" x14ac:dyDescent="0.3">
      <c r="A4727" s="1">
        <v>45150</v>
      </c>
      <c r="B4727" t="s">
        <v>29</v>
      </c>
      <c r="C4727" t="s">
        <v>8</v>
      </c>
      <c r="D4727" s="8"/>
      <c r="E4727" s="8"/>
      <c r="M4727" t="s">
        <v>478</v>
      </c>
      <c r="N4727" t="str">
        <f>Tabela_tudo[[#This Row],[Médico]]&amp;" ("&amp;Tabela_tudo[[#This Row],[Obs]]&amp;")"</f>
        <v>JOA ()</v>
      </c>
    </row>
    <row r="4728" spans="1:14" x14ac:dyDescent="0.3">
      <c r="A4728" s="1">
        <v>45129</v>
      </c>
      <c r="B4728" t="s">
        <v>85</v>
      </c>
      <c r="C4728" t="s">
        <v>464</v>
      </c>
      <c r="D4728" s="8"/>
      <c r="E4728" s="8"/>
      <c r="M4728" t="s">
        <v>478</v>
      </c>
      <c r="N4728" t="str">
        <f>Tabela_tudo[[#This Row],[Médico]]&amp;" ("&amp;Tabela_tudo[[#This Row],[Obs]]&amp;")"</f>
        <v>ELF ()</v>
      </c>
    </row>
    <row r="4729" spans="1:14" x14ac:dyDescent="0.3">
      <c r="A4729" s="1">
        <v>45151</v>
      </c>
      <c r="B4729" t="s">
        <v>29</v>
      </c>
      <c r="C4729" t="s">
        <v>78</v>
      </c>
      <c r="D4729" s="8"/>
      <c r="E4729" s="8"/>
      <c r="M4729" t="s">
        <v>478</v>
      </c>
      <c r="N4729" t="str">
        <f>Tabela_tudo[[#This Row],[Médico]]&amp;" ("&amp;Tabela_tudo[[#This Row],[Obs]]&amp;")"</f>
        <v>JOA ()</v>
      </c>
    </row>
    <row r="4730" spans="1:14" x14ac:dyDescent="0.3">
      <c r="A4730" s="1">
        <v>45126</v>
      </c>
      <c r="B4730" t="s">
        <v>85</v>
      </c>
      <c r="C4730" t="s">
        <v>464</v>
      </c>
      <c r="D4730" s="8"/>
      <c r="E4730" s="8"/>
      <c r="M4730" t="s">
        <v>478</v>
      </c>
      <c r="N4730" t="str">
        <f>Tabela_tudo[[#This Row],[Médico]]&amp;" ("&amp;Tabela_tudo[[#This Row],[Obs]]&amp;")"</f>
        <v>ELF ()</v>
      </c>
    </row>
    <row r="4731" spans="1:14" x14ac:dyDescent="0.3">
      <c r="A4731" s="1">
        <v>45145</v>
      </c>
      <c r="B4731" t="s">
        <v>64</v>
      </c>
      <c r="C4731" t="s">
        <v>13</v>
      </c>
      <c r="D4731" s="8"/>
      <c r="E4731" s="8"/>
      <c r="M4731" t="s">
        <v>478</v>
      </c>
      <c r="N4731" t="str">
        <f>Tabela_tudo[[#This Row],[Médico]]&amp;" ("&amp;Tabela_tudo[[#This Row],[Obs]]&amp;")"</f>
        <v>SAR ()</v>
      </c>
    </row>
    <row r="4732" spans="1:14" x14ac:dyDescent="0.3">
      <c r="A4732" s="1">
        <v>45127</v>
      </c>
      <c r="B4732" t="s">
        <v>85</v>
      </c>
      <c r="C4732" t="s">
        <v>464</v>
      </c>
      <c r="D4732" s="8"/>
      <c r="E4732" s="8"/>
      <c r="M4732" t="s">
        <v>478</v>
      </c>
      <c r="N4732" t="str">
        <f>Tabela_tudo[[#This Row],[Médico]]&amp;" ("&amp;Tabela_tudo[[#This Row],[Obs]]&amp;")"</f>
        <v>ELF ()</v>
      </c>
    </row>
    <row r="4733" spans="1:14" x14ac:dyDescent="0.3">
      <c r="A4733" s="1">
        <v>45145</v>
      </c>
      <c r="B4733" t="s">
        <v>32</v>
      </c>
      <c r="C4733" t="s">
        <v>15</v>
      </c>
      <c r="D4733" s="8"/>
      <c r="E4733" s="8"/>
      <c r="M4733" t="s">
        <v>478</v>
      </c>
      <c r="N4733" t="str">
        <f>Tabela_tudo[[#This Row],[Médico]]&amp;" ("&amp;Tabela_tudo[[#This Row],[Obs]]&amp;")"</f>
        <v>JS ()</v>
      </c>
    </row>
    <row r="4734" spans="1:14" x14ac:dyDescent="0.3">
      <c r="A4734" s="1">
        <v>45110</v>
      </c>
      <c r="B4734" t="s">
        <v>50</v>
      </c>
      <c r="C4734" t="s">
        <v>464</v>
      </c>
      <c r="D4734" s="8"/>
      <c r="E4734" s="8"/>
      <c r="M4734" t="s">
        <v>478</v>
      </c>
      <c r="N4734" t="str">
        <f>Tabela_tudo[[#This Row],[Médico]]&amp;" ("&amp;Tabela_tudo[[#This Row],[Obs]]&amp;")"</f>
        <v>PJP ()</v>
      </c>
    </row>
    <row r="4735" spans="1:14" x14ac:dyDescent="0.3">
      <c r="A4735" s="1">
        <v>45145</v>
      </c>
      <c r="B4735" t="s">
        <v>47</v>
      </c>
      <c r="C4735" t="s">
        <v>8</v>
      </c>
      <c r="D4735" s="8"/>
      <c r="E4735" s="8"/>
      <c r="M4735" t="s">
        <v>478</v>
      </c>
      <c r="N4735" t="str">
        <f>Tabela_tudo[[#This Row],[Médico]]&amp;" ("&amp;Tabela_tudo[[#This Row],[Obs]]&amp;")"</f>
        <v>VIN ()</v>
      </c>
    </row>
    <row r="4736" spans="1:14" x14ac:dyDescent="0.3">
      <c r="A4736" s="1">
        <v>45096</v>
      </c>
      <c r="B4736" t="s">
        <v>32</v>
      </c>
      <c r="C4736" t="s">
        <v>464</v>
      </c>
      <c r="D4736" s="8"/>
      <c r="E4736" s="8"/>
      <c r="M4736" t="s">
        <v>478</v>
      </c>
      <c r="N4736" t="str">
        <f>Tabela_tudo[[#This Row],[Médico]]&amp;" ("&amp;Tabela_tudo[[#This Row],[Obs]]&amp;")"</f>
        <v>JS ()</v>
      </c>
    </row>
    <row r="4737" spans="1:14" x14ac:dyDescent="0.3">
      <c r="A4737" s="1">
        <v>45143</v>
      </c>
      <c r="B4737" t="s">
        <v>12</v>
      </c>
      <c r="C4737" t="s">
        <v>13</v>
      </c>
      <c r="D4737" s="8"/>
      <c r="E4737" s="8"/>
      <c r="M4737" t="s">
        <v>478</v>
      </c>
      <c r="N4737" t="str">
        <f>Tabela_tudo[[#This Row],[Médico]]&amp;" ("&amp;Tabela_tudo[[#This Row],[Obs]]&amp;")"</f>
        <v>EDU ()</v>
      </c>
    </row>
    <row r="4738" spans="1:14" x14ac:dyDescent="0.3">
      <c r="A4738" s="1">
        <v>45097</v>
      </c>
      <c r="B4738" t="s">
        <v>32</v>
      </c>
      <c r="C4738" t="s">
        <v>464</v>
      </c>
      <c r="D4738" s="8"/>
      <c r="E4738" s="8"/>
      <c r="M4738" t="s">
        <v>478</v>
      </c>
      <c r="N4738" t="str">
        <f>Tabela_tudo[[#This Row],[Médico]]&amp;" ("&amp;Tabela_tudo[[#This Row],[Obs]]&amp;")"</f>
        <v>JS ()</v>
      </c>
    </row>
    <row r="4739" spans="1:14" x14ac:dyDescent="0.3">
      <c r="A4739" s="1">
        <v>45143</v>
      </c>
      <c r="B4739" t="s">
        <v>44</v>
      </c>
      <c r="C4739" t="s">
        <v>8</v>
      </c>
      <c r="D4739" s="8"/>
      <c r="E4739" s="8"/>
      <c r="M4739" t="s">
        <v>478</v>
      </c>
      <c r="N4739" t="str">
        <f>Tabela_tudo[[#This Row],[Médico]]&amp;" ("&amp;Tabela_tudo[[#This Row],[Obs]]&amp;")"</f>
        <v>REI ()</v>
      </c>
    </row>
    <row r="4740" spans="1:14" x14ac:dyDescent="0.3">
      <c r="A4740" s="1">
        <v>45099</v>
      </c>
      <c r="B4740" t="s">
        <v>44</v>
      </c>
      <c r="C4740" t="s">
        <v>464</v>
      </c>
      <c r="D4740" s="8"/>
      <c r="E4740" s="8"/>
      <c r="M4740" t="s">
        <v>478</v>
      </c>
      <c r="N4740" t="str">
        <f>Tabela_tudo[[#This Row],[Médico]]&amp;" ("&amp;Tabela_tudo[[#This Row],[Obs]]&amp;")"</f>
        <v>REI ()</v>
      </c>
    </row>
    <row r="4741" spans="1:14" x14ac:dyDescent="0.3">
      <c r="A4741" s="1">
        <v>45143</v>
      </c>
      <c r="B4741" t="s">
        <v>17</v>
      </c>
      <c r="C4741" t="s">
        <v>78</v>
      </c>
      <c r="D4741" s="8"/>
      <c r="E4741" s="8"/>
      <c r="M4741" t="s">
        <v>478</v>
      </c>
      <c r="N4741" t="str">
        <f>Tabela_tudo[[#This Row],[Médico]]&amp;" ("&amp;Tabela_tudo[[#This Row],[Obs]]&amp;")"</f>
        <v>FAB ()</v>
      </c>
    </row>
    <row r="4742" spans="1:14" x14ac:dyDescent="0.3">
      <c r="A4742" s="1">
        <v>45100</v>
      </c>
      <c r="B4742" t="s">
        <v>44</v>
      </c>
      <c r="C4742" t="s">
        <v>464</v>
      </c>
      <c r="D4742" s="8"/>
      <c r="E4742" s="8"/>
      <c r="M4742" t="s">
        <v>478</v>
      </c>
      <c r="N4742" t="str">
        <f>Tabela_tudo[[#This Row],[Médico]]&amp;" ("&amp;Tabela_tudo[[#This Row],[Obs]]&amp;")"</f>
        <v>REI ()</v>
      </c>
    </row>
    <row r="4743" spans="1:14" x14ac:dyDescent="0.3">
      <c r="A4743" s="1">
        <v>45146</v>
      </c>
      <c r="B4743" t="s">
        <v>52</v>
      </c>
      <c r="C4743" t="s">
        <v>15</v>
      </c>
      <c r="D4743" s="8"/>
      <c r="E4743" s="8"/>
      <c r="M4743" t="s">
        <v>478</v>
      </c>
      <c r="N4743" t="str">
        <f>Tabela_tudo[[#This Row],[Médico]]&amp;" ("&amp;Tabela_tudo[[#This Row],[Obs]]&amp;")"</f>
        <v>AEL ()</v>
      </c>
    </row>
    <row r="4744" spans="1:14" x14ac:dyDescent="0.3">
      <c r="A4744" s="1">
        <v>45100</v>
      </c>
      <c r="B4744" t="s">
        <v>32</v>
      </c>
      <c r="C4744" t="s">
        <v>464</v>
      </c>
      <c r="D4744" s="8"/>
      <c r="E4744" s="8"/>
      <c r="M4744" t="s">
        <v>478</v>
      </c>
      <c r="N4744" t="str">
        <f>Tabela_tudo[[#This Row],[Médico]]&amp;" ("&amp;Tabela_tudo[[#This Row],[Obs]]&amp;")"</f>
        <v>JS ()</v>
      </c>
    </row>
    <row r="4745" spans="1:14" x14ac:dyDescent="0.3">
      <c r="A4745" s="1">
        <v>45147</v>
      </c>
      <c r="B4745" t="s">
        <v>71</v>
      </c>
      <c r="C4745" t="s">
        <v>49</v>
      </c>
      <c r="D4745" s="8"/>
      <c r="E4745" s="8"/>
      <c r="M4745" t="s">
        <v>478</v>
      </c>
      <c r="N4745" t="str">
        <f>Tabela_tudo[[#This Row],[Médico]]&amp;" ("&amp;Tabela_tudo[[#This Row],[Obs]]&amp;")"</f>
        <v>BRU ()</v>
      </c>
    </row>
    <row r="4746" spans="1:14" x14ac:dyDescent="0.3">
      <c r="A4746" s="1">
        <v>45097</v>
      </c>
      <c r="B4746" t="s">
        <v>23</v>
      </c>
      <c r="C4746" t="s">
        <v>466</v>
      </c>
      <c r="D4746" s="8"/>
      <c r="E4746" s="8"/>
      <c r="M4746" t="s">
        <v>478</v>
      </c>
      <c r="N4746" t="str">
        <f>Tabela_tudo[[#This Row],[Médico]]&amp;" ("&amp;Tabela_tudo[[#This Row],[Obs]]&amp;")"</f>
        <v>BG ()</v>
      </c>
    </row>
    <row r="4747" spans="1:14" x14ac:dyDescent="0.3">
      <c r="A4747" s="1">
        <v>45147</v>
      </c>
      <c r="B4747" t="s">
        <v>73</v>
      </c>
      <c r="C4747" t="s">
        <v>51</v>
      </c>
      <c r="D4747" s="8"/>
      <c r="E4747" s="8"/>
      <c r="M4747" t="s">
        <v>478</v>
      </c>
      <c r="N4747" t="str">
        <f>Tabela_tudo[[#This Row],[Médico]]&amp;" ("&amp;Tabela_tudo[[#This Row],[Obs]]&amp;")"</f>
        <v>RT ()</v>
      </c>
    </row>
    <row r="4748" spans="1:14" x14ac:dyDescent="0.3">
      <c r="A4748" s="1">
        <v>45098</v>
      </c>
      <c r="B4748" t="s">
        <v>32</v>
      </c>
      <c r="C4748" t="s">
        <v>464</v>
      </c>
      <c r="D4748" s="8"/>
      <c r="E4748" s="8"/>
      <c r="M4748" t="s">
        <v>478</v>
      </c>
      <c r="N4748" t="str">
        <f>Tabela_tudo[[#This Row],[Médico]]&amp;" ("&amp;Tabela_tudo[[#This Row],[Obs]]&amp;")"</f>
        <v>JS ()</v>
      </c>
    </row>
    <row r="4749" spans="1:14" x14ac:dyDescent="0.3">
      <c r="A4749" s="1">
        <v>45147</v>
      </c>
      <c r="B4749" t="s">
        <v>12</v>
      </c>
      <c r="C4749" t="s">
        <v>22</v>
      </c>
      <c r="D4749" s="8">
        <v>0.33333333333333331</v>
      </c>
      <c r="E4749" s="8">
        <v>0.5</v>
      </c>
      <c r="F4749" t="s">
        <v>308</v>
      </c>
      <c r="M4749" t="s">
        <v>478</v>
      </c>
      <c r="N4749" t="str">
        <f>Tabela_tudo[[#This Row],[Médico]]&amp;" ("&amp;Tabela_tudo[[#This Row],[Obs]]&amp;")"</f>
        <v>EDU (IRPF)</v>
      </c>
    </row>
    <row r="4750" spans="1:14" x14ac:dyDescent="0.3">
      <c r="A4750" s="1">
        <v>45099</v>
      </c>
      <c r="B4750" t="s">
        <v>32</v>
      </c>
      <c r="C4750" t="s">
        <v>464</v>
      </c>
      <c r="D4750" s="8"/>
      <c r="E4750" s="8"/>
      <c r="M4750" t="s">
        <v>478</v>
      </c>
      <c r="N4750" t="str">
        <f>Tabela_tudo[[#This Row],[Médico]]&amp;" ("&amp;Tabela_tudo[[#This Row],[Obs]]&amp;")"</f>
        <v>JS ()</v>
      </c>
    </row>
    <row r="4751" spans="1:14" x14ac:dyDescent="0.3">
      <c r="A4751" s="1">
        <v>45147</v>
      </c>
      <c r="B4751" t="s">
        <v>66</v>
      </c>
      <c r="C4751" t="s">
        <v>45</v>
      </c>
      <c r="D4751" s="8"/>
      <c r="E4751" s="8"/>
      <c r="M4751" t="s">
        <v>478</v>
      </c>
      <c r="N4751" t="str">
        <f>Tabela_tudo[[#This Row],[Médico]]&amp;" ("&amp;Tabela_tudo[[#This Row],[Obs]]&amp;")"</f>
        <v>MOZ ()</v>
      </c>
    </row>
    <row r="4752" spans="1:14" x14ac:dyDescent="0.3">
      <c r="A4752" s="1">
        <v>45105</v>
      </c>
      <c r="B4752" t="s">
        <v>68</v>
      </c>
      <c r="C4752" t="s">
        <v>464</v>
      </c>
      <c r="D4752" s="8"/>
      <c r="E4752" s="8"/>
      <c r="M4752" t="s">
        <v>478</v>
      </c>
      <c r="N4752" t="str">
        <f>Tabela_tudo[[#This Row],[Médico]]&amp;" ("&amp;Tabela_tudo[[#This Row],[Obs]]&amp;")"</f>
        <v>PED ()</v>
      </c>
    </row>
    <row r="4753" spans="1:14" x14ac:dyDescent="0.3">
      <c r="A4753" s="1">
        <v>45147</v>
      </c>
      <c r="B4753" t="s">
        <v>68</v>
      </c>
      <c r="C4753" t="s">
        <v>46</v>
      </c>
      <c r="D4753" s="8"/>
      <c r="E4753" s="8"/>
      <c r="F4753" t="s">
        <v>306</v>
      </c>
      <c r="M4753" t="s">
        <v>478</v>
      </c>
      <c r="N4753" t="str">
        <f>Tabela_tudo[[#This Row],[Médico]]&amp;" ("&amp;Tabela_tudo[[#This Row],[Obs]]&amp;")"</f>
        <v>PED (FÉRIAS - AVISAR O ESCALADOR)</v>
      </c>
    </row>
    <row r="4754" spans="1:14" x14ac:dyDescent="0.3">
      <c r="A4754" s="1">
        <v>45106</v>
      </c>
      <c r="B4754" t="s">
        <v>68</v>
      </c>
      <c r="C4754" t="s">
        <v>464</v>
      </c>
      <c r="D4754" s="8"/>
      <c r="E4754" s="8"/>
      <c r="M4754" t="s">
        <v>478</v>
      </c>
      <c r="N4754" t="str">
        <f>Tabela_tudo[[#This Row],[Médico]]&amp;" ("&amp;Tabela_tudo[[#This Row],[Obs]]&amp;")"</f>
        <v>PED ()</v>
      </c>
    </row>
    <row r="4755" spans="1:14" x14ac:dyDescent="0.3">
      <c r="A4755" s="1">
        <v>45147</v>
      </c>
      <c r="B4755" t="s">
        <v>63</v>
      </c>
      <c r="C4755" t="s">
        <v>18</v>
      </c>
      <c r="D4755" s="8"/>
      <c r="E4755" s="8"/>
      <c r="F4755" t="s">
        <v>306</v>
      </c>
      <c r="M4755" t="s">
        <v>478</v>
      </c>
      <c r="N4755" t="str">
        <f>Tabela_tudo[[#This Row],[Médico]]&amp;" ("&amp;Tabela_tudo[[#This Row],[Obs]]&amp;")"</f>
        <v>FQ (FÉRIAS - AVISAR O ESCALADOR)</v>
      </c>
    </row>
    <row r="4756" spans="1:14" x14ac:dyDescent="0.3">
      <c r="A4756" s="1">
        <v>45103</v>
      </c>
      <c r="B4756" t="s">
        <v>68</v>
      </c>
      <c r="C4756" t="s">
        <v>464</v>
      </c>
      <c r="D4756" s="8"/>
      <c r="E4756" s="8"/>
      <c r="M4756" t="s">
        <v>478</v>
      </c>
      <c r="N4756" t="str">
        <f>Tabela_tudo[[#This Row],[Médico]]&amp;" ("&amp;Tabela_tudo[[#This Row],[Obs]]&amp;")"</f>
        <v>PED ()</v>
      </c>
    </row>
    <row r="4757" spans="1:14" x14ac:dyDescent="0.3">
      <c r="A4757" s="1">
        <v>45157</v>
      </c>
      <c r="B4757" t="s">
        <v>84</v>
      </c>
      <c r="C4757" t="s">
        <v>13</v>
      </c>
      <c r="D4757" s="8"/>
      <c r="E4757" s="8"/>
      <c r="M4757" t="s">
        <v>478</v>
      </c>
      <c r="N4757" t="str">
        <f>Tabela_tudo[[#This Row],[Médico]]&amp;" ("&amp;Tabela_tudo[[#This Row],[Obs]]&amp;")"</f>
        <v>ANO ()</v>
      </c>
    </row>
    <row r="4758" spans="1:14" x14ac:dyDescent="0.3">
      <c r="A4758" s="1">
        <v>45104</v>
      </c>
      <c r="B4758" t="s">
        <v>68</v>
      </c>
      <c r="C4758" t="s">
        <v>464</v>
      </c>
      <c r="D4758" s="8"/>
      <c r="E4758" s="8"/>
      <c r="M4758" t="s">
        <v>478</v>
      </c>
      <c r="N4758" t="str">
        <f>Tabela_tudo[[#This Row],[Médico]]&amp;" ("&amp;Tabela_tudo[[#This Row],[Obs]]&amp;")"</f>
        <v>PED ()</v>
      </c>
    </row>
    <row r="4759" spans="1:14" x14ac:dyDescent="0.3">
      <c r="A4759" s="1">
        <v>45148</v>
      </c>
      <c r="B4759" t="s">
        <v>73</v>
      </c>
      <c r="C4759" t="s">
        <v>15</v>
      </c>
      <c r="D4759" s="8"/>
      <c r="E4759" s="8"/>
      <c r="M4759" t="s">
        <v>478</v>
      </c>
      <c r="N4759" t="str">
        <f>Tabela_tudo[[#This Row],[Médico]]&amp;" ("&amp;Tabela_tudo[[#This Row],[Obs]]&amp;")"</f>
        <v>RT ()</v>
      </c>
    </row>
    <row r="4760" spans="1:14" x14ac:dyDescent="0.3">
      <c r="A4760" s="1">
        <v>45097</v>
      </c>
      <c r="B4760" t="s">
        <v>44</v>
      </c>
      <c r="C4760" t="s">
        <v>464</v>
      </c>
      <c r="D4760" s="8"/>
      <c r="E4760" s="8"/>
      <c r="M4760" t="s">
        <v>478</v>
      </c>
      <c r="N4760" t="str">
        <f>Tabela_tudo[[#This Row],[Médico]]&amp;" ("&amp;Tabela_tudo[[#This Row],[Obs]]&amp;")"</f>
        <v>REI ()</v>
      </c>
    </row>
    <row r="4761" spans="1:14" x14ac:dyDescent="0.3">
      <c r="A4761" s="1">
        <v>45148</v>
      </c>
      <c r="B4761" t="s">
        <v>34</v>
      </c>
      <c r="C4761" t="s">
        <v>8</v>
      </c>
      <c r="D4761" s="8"/>
      <c r="E4761" s="8"/>
      <c r="M4761" t="s">
        <v>478</v>
      </c>
      <c r="N4761" t="str">
        <f>Tabela_tudo[[#This Row],[Médico]]&amp;" ("&amp;Tabela_tudo[[#This Row],[Obs]]&amp;")"</f>
        <v>LIP ()</v>
      </c>
    </row>
    <row r="4762" spans="1:14" x14ac:dyDescent="0.3">
      <c r="A4762" s="1">
        <v>45098</v>
      </c>
      <c r="B4762" t="s">
        <v>44</v>
      </c>
      <c r="C4762" t="s">
        <v>464</v>
      </c>
      <c r="D4762" s="8"/>
      <c r="E4762" s="8"/>
      <c r="M4762" t="s">
        <v>478</v>
      </c>
      <c r="N4762" t="str">
        <f>Tabela_tudo[[#This Row],[Médico]]&amp;" ("&amp;Tabela_tudo[[#This Row],[Obs]]&amp;")"</f>
        <v>REI ()</v>
      </c>
    </row>
    <row r="4763" spans="1:14" x14ac:dyDescent="0.3">
      <c r="A4763" s="1">
        <v>45148</v>
      </c>
      <c r="B4763" t="s">
        <v>37</v>
      </c>
      <c r="C4763" t="s">
        <v>43</v>
      </c>
      <c r="D4763" s="8"/>
      <c r="E4763" s="8"/>
      <c r="M4763" t="s">
        <v>478</v>
      </c>
      <c r="N4763" t="str">
        <f>Tabela_tudo[[#This Row],[Médico]]&amp;" ("&amp;Tabela_tudo[[#This Row],[Obs]]&amp;")"</f>
        <v>EBB ()</v>
      </c>
    </row>
    <row r="4764" spans="1:14" x14ac:dyDescent="0.3">
      <c r="A4764" s="1">
        <v>45107</v>
      </c>
      <c r="B4764" t="s">
        <v>68</v>
      </c>
      <c r="C4764" t="s">
        <v>464</v>
      </c>
      <c r="D4764" s="8"/>
      <c r="E4764" s="8"/>
      <c r="M4764" t="s">
        <v>478</v>
      </c>
      <c r="N4764" t="str">
        <f>Tabela_tudo[[#This Row],[Médico]]&amp;" ("&amp;Tabela_tudo[[#This Row],[Obs]]&amp;")"</f>
        <v>PED ()</v>
      </c>
    </row>
    <row r="4765" spans="1:14" x14ac:dyDescent="0.3">
      <c r="A4765" s="1">
        <v>45157</v>
      </c>
      <c r="B4765" t="s">
        <v>52</v>
      </c>
      <c r="C4765" t="s">
        <v>8</v>
      </c>
      <c r="D4765" s="8"/>
      <c r="E4765" s="8"/>
      <c r="M4765" t="s">
        <v>478</v>
      </c>
      <c r="N4765" t="str">
        <f>Tabela_tudo[[#This Row],[Médico]]&amp;" ("&amp;Tabela_tudo[[#This Row],[Obs]]&amp;")"</f>
        <v>AEL ()</v>
      </c>
    </row>
    <row r="4766" spans="1:14" x14ac:dyDescent="0.3">
      <c r="A4766" s="1">
        <v>45096</v>
      </c>
      <c r="B4766" t="s">
        <v>44</v>
      </c>
      <c r="C4766" t="s">
        <v>464</v>
      </c>
      <c r="D4766" s="8"/>
      <c r="E4766" s="8"/>
      <c r="M4766" t="s">
        <v>478</v>
      </c>
      <c r="N4766" t="str">
        <f>Tabela_tudo[[#This Row],[Médico]]&amp;" ("&amp;Tabela_tudo[[#This Row],[Obs]]&amp;")"</f>
        <v>REI ()</v>
      </c>
    </row>
    <row r="4767" spans="1:14" x14ac:dyDescent="0.3">
      <c r="A4767" s="1">
        <v>45157</v>
      </c>
      <c r="B4767" t="s">
        <v>73</v>
      </c>
      <c r="C4767" t="s">
        <v>78</v>
      </c>
      <c r="D4767" s="8"/>
      <c r="E4767" s="8"/>
      <c r="M4767" t="s">
        <v>478</v>
      </c>
      <c r="N4767" t="str">
        <f>Tabela_tudo[[#This Row],[Médico]]&amp;" ("&amp;Tabela_tudo[[#This Row],[Obs]]&amp;")"</f>
        <v>RT ()</v>
      </c>
    </row>
    <row r="4768" spans="1:14" x14ac:dyDescent="0.3">
      <c r="A4768" s="1">
        <v>45113</v>
      </c>
      <c r="B4768" t="s">
        <v>34</v>
      </c>
      <c r="C4768" t="s">
        <v>464</v>
      </c>
      <c r="D4768" s="8"/>
      <c r="E4768" s="8"/>
      <c r="M4768" t="s">
        <v>478</v>
      </c>
      <c r="N4768" t="str">
        <f>Tabela_tudo[[#This Row],[Médico]]&amp;" ("&amp;Tabela_tudo[[#This Row],[Obs]]&amp;")"</f>
        <v>LIP ()</v>
      </c>
    </row>
    <row r="4769" spans="1:14" x14ac:dyDescent="0.3">
      <c r="A4769" s="1">
        <v>45148</v>
      </c>
      <c r="B4769" t="s">
        <v>71</v>
      </c>
      <c r="C4769" t="s">
        <v>13</v>
      </c>
      <c r="D4769" s="8"/>
      <c r="E4769" s="8"/>
      <c r="M4769" t="s">
        <v>478</v>
      </c>
      <c r="N4769" t="str">
        <f>Tabela_tudo[[#This Row],[Médico]]&amp;" ("&amp;Tabela_tudo[[#This Row],[Obs]]&amp;")"</f>
        <v>BRU ()</v>
      </c>
    </row>
    <row r="4770" spans="1:14" x14ac:dyDescent="0.3">
      <c r="A4770" s="1">
        <v>45114</v>
      </c>
      <c r="B4770" t="s">
        <v>34</v>
      </c>
      <c r="C4770" t="s">
        <v>464</v>
      </c>
      <c r="D4770" s="8"/>
      <c r="E4770" s="8"/>
      <c r="M4770" t="s">
        <v>478</v>
      </c>
      <c r="N4770" t="str">
        <f>Tabela_tudo[[#This Row],[Médico]]&amp;" ("&amp;Tabela_tudo[[#This Row],[Obs]]&amp;")"</f>
        <v>LIP ()</v>
      </c>
    </row>
    <row r="4771" spans="1:14" x14ac:dyDescent="0.3">
      <c r="A4771" s="1">
        <v>45146</v>
      </c>
      <c r="B4771" t="s">
        <v>16</v>
      </c>
      <c r="C4771" t="s">
        <v>46</v>
      </c>
      <c r="D4771" s="8"/>
      <c r="E4771" s="8"/>
      <c r="M4771" t="s">
        <v>478</v>
      </c>
      <c r="N4771" t="str">
        <f>Tabela_tudo[[#This Row],[Médico]]&amp;" ("&amp;Tabela_tudo[[#This Row],[Obs]]&amp;")"</f>
        <v>PP ()</v>
      </c>
    </row>
    <row r="4772" spans="1:14" x14ac:dyDescent="0.3">
      <c r="A4772" s="1">
        <v>45111</v>
      </c>
      <c r="B4772" t="s">
        <v>34</v>
      </c>
      <c r="C4772" t="s">
        <v>464</v>
      </c>
      <c r="D4772" s="8"/>
      <c r="E4772" s="8"/>
      <c r="M4772" t="s">
        <v>478</v>
      </c>
      <c r="N4772" t="str">
        <f>Tabela_tudo[[#This Row],[Médico]]&amp;" ("&amp;Tabela_tudo[[#This Row],[Obs]]&amp;")"</f>
        <v>LIP ()</v>
      </c>
    </row>
    <row r="4773" spans="1:14" x14ac:dyDescent="0.3">
      <c r="A4773" s="1">
        <v>45146</v>
      </c>
      <c r="B4773" t="s">
        <v>47</v>
      </c>
      <c r="C4773" t="s">
        <v>18</v>
      </c>
      <c r="D4773" s="8"/>
      <c r="E4773" s="8"/>
      <c r="M4773" t="s">
        <v>478</v>
      </c>
      <c r="N4773" t="str">
        <f>Tabela_tudo[[#This Row],[Médico]]&amp;" ("&amp;Tabela_tudo[[#This Row],[Obs]]&amp;")"</f>
        <v>VIN ()</v>
      </c>
    </row>
    <row r="4774" spans="1:14" x14ac:dyDescent="0.3">
      <c r="A4774" s="1">
        <v>45112</v>
      </c>
      <c r="B4774" t="s">
        <v>34</v>
      </c>
      <c r="C4774" t="s">
        <v>464</v>
      </c>
      <c r="D4774" s="8"/>
      <c r="E4774" s="8"/>
      <c r="M4774" t="s">
        <v>478</v>
      </c>
      <c r="N4774" t="str">
        <f>Tabela_tudo[[#This Row],[Médico]]&amp;" ("&amp;Tabela_tudo[[#This Row],[Obs]]&amp;")"</f>
        <v>LIP ()</v>
      </c>
    </row>
    <row r="4775" spans="1:14" x14ac:dyDescent="0.3">
      <c r="A4775" s="1">
        <v>45146</v>
      </c>
      <c r="B4775" t="s">
        <v>71</v>
      </c>
      <c r="C4775" t="s">
        <v>49</v>
      </c>
      <c r="D4775" s="8"/>
      <c r="E4775" s="8"/>
      <c r="M4775" t="s">
        <v>478</v>
      </c>
      <c r="N4775" t="str">
        <f>Tabela_tudo[[#This Row],[Médico]]&amp;" ("&amp;Tabela_tudo[[#This Row],[Obs]]&amp;")"</f>
        <v>BRU ()</v>
      </c>
    </row>
    <row r="4776" spans="1:14" x14ac:dyDescent="0.3">
      <c r="A4776" s="1">
        <v>45108</v>
      </c>
      <c r="B4776" t="s">
        <v>50</v>
      </c>
      <c r="C4776" t="s">
        <v>464</v>
      </c>
      <c r="D4776" s="8"/>
      <c r="E4776" s="8"/>
      <c r="M4776" t="s">
        <v>478</v>
      </c>
      <c r="N4776" t="str">
        <f>Tabela_tudo[[#This Row],[Médico]]&amp;" ("&amp;Tabela_tudo[[#This Row],[Obs]]&amp;")"</f>
        <v>PJP ()</v>
      </c>
    </row>
    <row r="4777" spans="1:14" x14ac:dyDescent="0.3">
      <c r="A4777" s="1">
        <v>45146</v>
      </c>
      <c r="B4777" t="s">
        <v>73</v>
      </c>
      <c r="C4777" t="s">
        <v>8</v>
      </c>
      <c r="D4777" s="8"/>
      <c r="E4777" s="8"/>
      <c r="M4777" t="s">
        <v>478</v>
      </c>
      <c r="N4777" t="str">
        <f>Tabela_tudo[[#This Row],[Médico]]&amp;" ("&amp;Tabela_tudo[[#This Row],[Obs]]&amp;")"</f>
        <v>RT ()</v>
      </c>
    </row>
    <row r="4778" spans="1:14" x14ac:dyDescent="0.3">
      <c r="A4778" s="1">
        <v>45109</v>
      </c>
      <c r="B4778" t="s">
        <v>50</v>
      </c>
      <c r="C4778" t="s">
        <v>464</v>
      </c>
      <c r="D4778" s="8"/>
      <c r="E4778" s="8"/>
      <c r="M4778" t="s">
        <v>478</v>
      </c>
      <c r="N4778" t="str">
        <f>Tabela_tudo[[#This Row],[Médico]]&amp;" ("&amp;Tabela_tudo[[#This Row],[Obs]]&amp;")"</f>
        <v>PJP ()</v>
      </c>
    </row>
    <row r="4779" spans="1:14" x14ac:dyDescent="0.3">
      <c r="A4779" s="1">
        <v>45146</v>
      </c>
      <c r="B4779" t="s">
        <v>29</v>
      </c>
      <c r="C4779" t="s">
        <v>43</v>
      </c>
      <c r="D4779" s="8"/>
      <c r="E4779" s="8"/>
      <c r="M4779" t="s">
        <v>478</v>
      </c>
      <c r="N4779" t="str">
        <f>Tabela_tudo[[#This Row],[Médico]]&amp;" ("&amp;Tabela_tudo[[#This Row],[Obs]]&amp;")"</f>
        <v>JOA ()</v>
      </c>
    </row>
    <row r="4780" spans="1:14" x14ac:dyDescent="0.3">
      <c r="A4780" s="1">
        <v>45115</v>
      </c>
      <c r="B4780" t="s">
        <v>34</v>
      </c>
      <c r="C4780" t="s">
        <v>464</v>
      </c>
      <c r="D4780" s="8"/>
      <c r="E4780" s="8"/>
      <c r="M4780" t="s">
        <v>478</v>
      </c>
      <c r="N4780" t="str">
        <f>Tabela_tudo[[#This Row],[Médico]]&amp;" ("&amp;Tabela_tudo[[#This Row],[Obs]]&amp;")"</f>
        <v>LIP ()</v>
      </c>
    </row>
    <row r="4781" spans="1:14" x14ac:dyDescent="0.3">
      <c r="A4781" s="1">
        <v>45146</v>
      </c>
      <c r="B4781" t="s">
        <v>23</v>
      </c>
      <c r="C4781" t="s">
        <v>45</v>
      </c>
      <c r="D4781" s="8"/>
      <c r="E4781" s="8"/>
      <c r="M4781" t="s">
        <v>478</v>
      </c>
      <c r="N4781" t="str">
        <f>Tabela_tudo[[#This Row],[Médico]]&amp;" ("&amp;Tabela_tudo[[#This Row],[Obs]]&amp;")"</f>
        <v>BG ()</v>
      </c>
    </row>
    <row r="4782" spans="1:14" x14ac:dyDescent="0.3">
      <c r="A4782" s="1">
        <v>45116</v>
      </c>
      <c r="B4782" t="s">
        <v>34</v>
      </c>
      <c r="C4782" t="s">
        <v>464</v>
      </c>
      <c r="D4782" s="8"/>
      <c r="E4782" s="8"/>
      <c r="M4782" t="s">
        <v>478</v>
      </c>
      <c r="N4782" t="str">
        <f>Tabela_tudo[[#This Row],[Médico]]&amp;" ("&amp;Tabela_tudo[[#This Row],[Obs]]&amp;")"</f>
        <v>LIP ()</v>
      </c>
    </row>
    <row r="4783" spans="1:14" x14ac:dyDescent="0.3">
      <c r="A4783" s="1">
        <v>45146</v>
      </c>
      <c r="B4783" t="s">
        <v>75</v>
      </c>
      <c r="C4783" t="s">
        <v>51</v>
      </c>
      <c r="D4783" s="8"/>
      <c r="E4783" s="8"/>
      <c r="M4783" t="s">
        <v>478</v>
      </c>
      <c r="N4783" t="str">
        <f>Tabela_tudo[[#This Row],[Médico]]&amp;" ("&amp;Tabela_tudo[[#This Row],[Obs]]&amp;")"</f>
        <v>KOP ()</v>
      </c>
    </row>
    <row r="4784" spans="1:14" x14ac:dyDescent="0.3">
      <c r="A4784" s="1">
        <v>45105</v>
      </c>
      <c r="B4784" t="s">
        <v>34</v>
      </c>
      <c r="C4784" t="s">
        <v>464</v>
      </c>
      <c r="D4784" s="8"/>
      <c r="E4784" s="8"/>
      <c r="M4784" t="s">
        <v>478</v>
      </c>
      <c r="N4784" t="str">
        <f>Tabela_tudo[[#This Row],[Médico]]&amp;" ("&amp;Tabela_tudo[[#This Row],[Obs]]&amp;")"</f>
        <v>LIP ()</v>
      </c>
    </row>
    <row r="4785" spans="1:14" x14ac:dyDescent="0.3">
      <c r="A4785" s="1">
        <v>45147</v>
      </c>
      <c r="B4785" t="s">
        <v>33</v>
      </c>
      <c r="C4785" t="s">
        <v>15</v>
      </c>
      <c r="D4785" s="8"/>
      <c r="E4785" s="8"/>
      <c r="M4785" t="s">
        <v>478</v>
      </c>
      <c r="N4785" t="str">
        <f>Tabela_tudo[[#This Row],[Médico]]&amp;" ("&amp;Tabela_tudo[[#This Row],[Obs]]&amp;")"</f>
        <v>DIF ()</v>
      </c>
    </row>
    <row r="4786" spans="1:14" x14ac:dyDescent="0.3">
      <c r="A4786" s="1">
        <v>45106</v>
      </c>
      <c r="B4786" t="s">
        <v>34</v>
      </c>
      <c r="C4786" t="s">
        <v>464</v>
      </c>
      <c r="D4786" s="8"/>
      <c r="E4786" s="8"/>
      <c r="M4786" t="s">
        <v>478</v>
      </c>
      <c r="N4786" t="str">
        <f>Tabela_tudo[[#This Row],[Médico]]&amp;" ("&amp;Tabela_tudo[[#This Row],[Obs]]&amp;")"</f>
        <v>LIP ()</v>
      </c>
    </row>
    <row r="4787" spans="1:14" x14ac:dyDescent="0.3">
      <c r="A4787" s="1">
        <v>45147</v>
      </c>
      <c r="B4787" t="s">
        <v>94</v>
      </c>
      <c r="C4787" t="s">
        <v>8</v>
      </c>
      <c r="D4787" s="8"/>
      <c r="E4787" s="8"/>
      <c r="M4787" t="s">
        <v>478</v>
      </c>
      <c r="N4787" t="str">
        <f>Tabela_tudo[[#This Row],[Médico]]&amp;" ("&amp;Tabela_tudo[[#This Row],[Obs]]&amp;")"</f>
        <v>TOT ()</v>
      </c>
    </row>
    <row r="4788" spans="1:14" x14ac:dyDescent="0.3">
      <c r="A4788" s="1">
        <v>45103</v>
      </c>
      <c r="B4788" t="s">
        <v>34</v>
      </c>
      <c r="C4788" t="s">
        <v>464</v>
      </c>
      <c r="D4788" s="8"/>
      <c r="E4788" s="8"/>
      <c r="M4788" t="s">
        <v>478</v>
      </c>
      <c r="N4788" t="str">
        <f>Tabela_tudo[[#This Row],[Médico]]&amp;" ("&amp;Tabela_tudo[[#This Row],[Obs]]&amp;")"</f>
        <v>LIP ()</v>
      </c>
    </row>
    <row r="4789" spans="1:14" x14ac:dyDescent="0.3">
      <c r="A4789" s="1">
        <v>45147</v>
      </c>
      <c r="B4789" t="s">
        <v>12</v>
      </c>
      <c r="C4789" t="s">
        <v>43</v>
      </c>
      <c r="D4789" s="8"/>
      <c r="E4789" s="8"/>
      <c r="M4789" t="s">
        <v>478</v>
      </c>
      <c r="N4789" t="str">
        <f>Tabela_tudo[[#This Row],[Médico]]&amp;" ("&amp;Tabela_tudo[[#This Row],[Obs]]&amp;")"</f>
        <v>EDU ()</v>
      </c>
    </row>
    <row r="4790" spans="1:14" x14ac:dyDescent="0.3">
      <c r="A4790" s="1">
        <v>45104</v>
      </c>
      <c r="B4790" t="s">
        <v>34</v>
      </c>
      <c r="C4790" t="s">
        <v>464</v>
      </c>
      <c r="D4790" s="8"/>
      <c r="E4790" s="8"/>
      <c r="M4790" t="s">
        <v>478</v>
      </c>
      <c r="N4790" t="str">
        <f>Tabela_tudo[[#This Row],[Médico]]&amp;" ("&amp;Tabela_tudo[[#This Row],[Obs]]&amp;")"</f>
        <v>LIP ()</v>
      </c>
    </row>
    <row r="4791" spans="1:14" x14ac:dyDescent="0.3">
      <c r="A4791" s="1">
        <v>45146</v>
      </c>
      <c r="B4791" t="s">
        <v>33</v>
      </c>
      <c r="C4791" t="s">
        <v>124</v>
      </c>
      <c r="D4791" s="8">
        <v>0.83333333333333337</v>
      </c>
      <c r="E4791" s="8">
        <v>0.91666666666666663</v>
      </c>
      <c r="F4791" t="s">
        <v>299</v>
      </c>
      <c r="K4791" t="s">
        <v>565</v>
      </c>
      <c r="M4791" t="s">
        <v>478</v>
      </c>
      <c r="N4791" t="str">
        <f>Tabela_tudo[[#This Row],[Médico]]&amp;" ("&amp;Tabela_tudo[[#This Row],[Obs]]&amp;")"</f>
        <v>DIF (AVALIAÇÃO VENTRICULAR E VOLEMIA - HÍBRIDA)</v>
      </c>
    </row>
    <row r="4792" spans="1:14" x14ac:dyDescent="0.3">
      <c r="A4792" s="1">
        <v>45109</v>
      </c>
      <c r="B4792" t="s">
        <v>34</v>
      </c>
      <c r="C4792" t="s">
        <v>464</v>
      </c>
      <c r="D4792" s="8"/>
      <c r="E4792" s="8"/>
      <c r="M4792" t="s">
        <v>478</v>
      </c>
      <c r="N4792" t="str">
        <f>Tabela_tudo[[#This Row],[Médico]]&amp;" ("&amp;Tabela_tudo[[#This Row],[Obs]]&amp;")"</f>
        <v>LIP ()</v>
      </c>
    </row>
    <row r="4793" spans="1:14" x14ac:dyDescent="0.3">
      <c r="A4793" s="1">
        <v>45146</v>
      </c>
      <c r="B4793" t="s">
        <v>23</v>
      </c>
      <c r="C4793" t="s">
        <v>22</v>
      </c>
      <c r="D4793" s="8">
        <v>0.33333333333333331</v>
      </c>
      <c r="E4793" s="8">
        <v>0.54166666666666663</v>
      </c>
      <c r="M4793" t="s">
        <v>478</v>
      </c>
      <c r="N4793" t="str">
        <f>Tabela_tudo[[#This Row],[Médico]]&amp;" ("&amp;Tabela_tudo[[#This Row],[Obs]]&amp;")"</f>
        <v>BG ()</v>
      </c>
    </row>
    <row r="4794" spans="1:14" x14ac:dyDescent="0.3">
      <c r="A4794" s="1">
        <v>45110</v>
      </c>
      <c r="B4794" t="s">
        <v>34</v>
      </c>
      <c r="C4794" t="s">
        <v>464</v>
      </c>
      <c r="D4794" s="8"/>
      <c r="E4794" s="8"/>
      <c r="M4794" t="s">
        <v>478</v>
      </c>
      <c r="N4794" t="str">
        <f>Tabela_tudo[[#This Row],[Médico]]&amp;" ("&amp;Tabela_tudo[[#This Row],[Obs]]&amp;")"</f>
        <v>LIP ()</v>
      </c>
    </row>
    <row r="4795" spans="1:14" x14ac:dyDescent="0.3">
      <c r="A4795" s="1">
        <v>45147</v>
      </c>
      <c r="B4795" t="s">
        <v>85</v>
      </c>
      <c r="C4795" t="s">
        <v>13</v>
      </c>
      <c r="D4795" s="8"/>
      <c r="E4795" s="8"/>
      <c r="M4795" t="s">
        <v>478</v>
      </c>
      <c r="N4795" t="str">
        <f>Tabela_tudo[[#This Row],[Médico]]&amp;" ("&amp;Tabela_tudo[[#This Row],[Obs]]&amp;")"</f>
        <v>ELF ()</v>
      </c>
    </row>
    <row r="4796" spans="1:14" x14ac:dyDescent="0.3">
      <c r="A4796" s="1">
        <v>45107</v>
      </c>
      <c r="B4796" t="s">
        <v>34</v>
      </c>
      <c r="C4796" t="s">
        <v>464</v>
      </c>
      <c r="D4796" s="8"/>
      <c r="E4796" s="8"/>
      <c r="M4796" t="s">
        <v>478</v>
      </c>
      <c r="N4796" t="str">
        <f>Tabela_tudo[[#This Row],[Médico]]&amp;" ("&amp;Tabela_tudo[[#This Row],[Obs]]&amp;")"</f>
        <v>LIP ()</v>
      </c>
    </row>
    <row r="4797" spans="1:14" x14ac:dyDescent="0.3">
      <c r="A4797" s="1">
        <v>45163</v>
      </c>
      <c r="B4797" t="s">
        <v>17</v>
      </c>
      <c r="C4797" t="s">
        <v>51</v>
      </c>
      <c r="D4797" s="8"/>
      <c r="E4797" s="8"/>
      <c r="M4797" t="s">
        <v>478</v>
      </c>
      <c r="N4797" t="str">
        <f>Tabela_tudo[[#This Row],[Médico]]&amp;" ("&amp;Tabela_tudo[[#This Row],[Obs]]&amp;")"</f>
        <v>FAB ()</v>
      </c>
    </row>
    <row r="4798" spans="1:14" x14ac:dyDescent="0.3">
      <c r="A4798" s="1">
        <v>45108</v>
      </c>
      <c r="B4798" t="s">
        <v>34</v>
      </c>
      <c r="C4798" t="s">
        <v>464</v>
      </c>
      <c r="D4798" s="8"/>
      <c r="E4798" s="8"/>
      <c r="M4798" t="s">
        <v>478</v>
      </c>
      <c r="N4798" t="str">
        <f>Tabela_tudo[[#This Row],[Médico]]&amp;" ("&amp;Tabela_tudo[[#This Row],[Obs]]&amp;")"</f>
        <v>LIP ()</v>
      </c>
    </row>
    <row r="4799" spans="1:14" x14ac:dyDescent="0.3">
      <c r="A4799" s="1">
        <v>45163</v>
      </c>
      <c r="B4799" t="s">
        <v>32</v>
      </c>
      <c r="C4799" t="s">
        <v>30</v>
      </c>
      <c r="D4799" s="8"/>
      <c r="E4799" s="8"/>
      <c r="M4799" t="s">
        <v>478</v>
      </c>
      <c r="N4799" t="str">
        <f>Tabela_tudo[[#This Row],[Médico]]&amp;" ("&amp;Tabela_tudo[[#This Row],[Obs]]&amp;")"</f>
        <v>JS ()</v>
      </c>
    </row>
    <row r="4800" spans="1:14" x14ac:dyDescent="0.3">
      <c r="A4800" s="1">
        <v>45145</v>
      </c>
      <c r="B4800" t="s">
        <v>283</v>
      </c>
      <c r="C4800" t="s">
        <v>464</v>
      </c>
      <c r="D4800" s="8"/>
      <c r="E4800" s="8"/>
      <c r="M4800" t="s">
        <v>478</v>
      </c>
      <c r="N4800" t="str">
        <f>Tabela_tudo[[#This Row],[Médico]]&amp;" ("&amp;Tabela_tudo[[#This Row],[Obs]]&amp;")"</f>
        <v>JU ()</v>
      </c>
    </row>
    <row r="4801" spans="1:14" x14ac:dyDescent="0.3">
      <c r="A4801" s="1">
        <v>45163</v>
      </c>
      <c r="B4801" t="s">
        <v>71</v>
      </c>
      <c r="C4801" t="s">
        <v>30</v>
      </c>
      <c r="D4801" s="8"/>
      <c r="E4801" s="8"/>
      <c r="M4801" t="s">
        <v>478</v>
      </c>
      <c r="N4801" t="str">
        <f>Tabela_tudo[[#This Row],[Médico]]&amp;" ("&amp;Tabela_tudo[[#This Row],[Obs]]&amp;")"</f>
        <v>BRU ()</v>
      </c>
    </row>
    <row r="4802" spans="1:14" x14ac:dyDescent="0.3">
      <c r="A4802" s="1">
        <v>45146</v>
      </c>
      <c r="B4802" t="s">
        <v>283</v>
      </c>
      <c r="C4802" t="s">
        <v>464</v>
      </c>
      <c r="D4802" s="8"/>
      <c r="E4802" s="8"/>
      <c r="M4802" t="s">
        <v>478</v>
      </c>
      <c r="N4802" t="str">
        <f>Tabela_tudo[[#This Row],[Médico]]&amp;" ("&amp;Tabela_tudo[[#This Row],[Obs]]&amp;")"</f>
        <v>JU ()</v>
      </c>
    </row>
    <row r="4803" spans="1:14" x14ac:dyDescent="0.3">
      <c r="A4803" s="1">
        <v>45163</v>
      </c>
      <c r="B4803" t="s">
        <v>16</v>
      </c>
      <c r="C4803" t="s">
        <v>46</v>
      </c>
      <c r="D4803" s="8"/>
      <c r="E4803" s="8"/>
      <c r="M4803" t="s">
        <v>478</v>
      </c>
      <c r="N4803" t="str">
        <f>Tabela_tudo[[#This Row],[Médico]]&amp;" ("&amp;Tabela_tudo[[#This Row],[Obs]]&amp;")"</f>
        <v>PP ()</v>
      </c>
    </row>
    <row r="4804" spans="1:14" x14ac:dyDescent="0.3">
      <c r="A4804" s="1">
        <v>45143</v>
      </c>
      <c r="B4804" t="s">
        <v>283</v>
      </c>
      <c r="C4804" t="s">
        <v>464</v>
      </c>
      <c r="D4804" s="8"/>
      <c r="E4804" s="8"/>
      <c r="M4804" t="s">
        <v>478</v>
      </c>
      <c r="N4804" t="str">
        <f>Tabela_tudo[[#This Row],[Médico]]&amp;" ("&amp;Tabela_tudo[[#This Row],[Obs]]&amp;")"</f>
        <v>JU ()</v>
      </c>
    </row>
    <row r="4805" spans="1:14" x14ac:dyDescent="0.3">
      <c r="A4805" s="1">
        <v>45163</v>
      </c>
      <c r="B4805" t="s">
        <v>63</v>
      </c>
      <c r="C4805" t="s">
        <v>18</v>
      </c>
      <c r="D4805" s="8"/>
      <c r="E4805" s="8"/>
      <c r="M4805" t="s">
        <v>478</v>
      </c>
      <c r="N4805" t="str">
        <f>Tabela_tudo[[#This Row],[Médico]]&amp;" ("&amp;Tabela_tudo[[#This Row],[Obs]]&amp;")"</f>
        <v>FQ ()</v>
      </c>
    </row>
    <row r="4806" spans="1:14" x14ac:dyDescent="0.3">
      <c r="A4806" s="1">
        <v>45144</v>
      </c>
      <c r="B4806" t="s">
        <v>283</v>
      </c>
      <c r="C4806" t="s">
        <v>464</v>
      </c>
      <c r="D4806" s="8"/>
      <c r="E4806" s="8"/>
      <c r="M4806" t="s">
        <v>478</v>
      </c>
      <c r="N4806" t="str">
        <f>Tabela_tudo[[#This Row],[Médico]]&amp;" ("&amp;Tabela_tudo[[#This Row],[Obs]]&amp;")"</f>
        <v>JU ()</v>
      </c>
    </row>
    <row r="4807" spans="1:14" x14ac:dyDescent="0.3">
      <c r="A4807" s="1">
        <v>45163</v>
      </c>
      <c r="B4807" t="s">
        <v>71</v>
      </c>
      <c r="C4807" t="s">
        <v>49</v>
      </c>
      <c r="D4807" s="8"/>
      <c r="E4807" s="8"/>
      <c r="M4807" t="s">
        <v>478</v>
      </c>
      <c r="N4807" t="str">
        <f>Tabela_tudo[[#This Row],[Médico]]&amp;" ("&amp;Tabela_tudo[[#This Row],[Obs]]&amp;")"</f>
        <v>BRU ()</v>
      </c>
    </row>
    <row r="4808" spans="1:14" x14ac:dyDescent="0.3">
      <c r="A4808" s="1">
        <v>45149</v>
      </c>
      <c r="B4808" t="s">
        <v>283</v>
      </c>
      <c r="C4808" t="s">
        <v>464</v>
      </c>
      <c r="D4808" s="8"/>
      <c r="E4808" s="8"/>
      <c r="M4808" t="s">
        <v>478</v>
      </c>
      <c r="N4808" t="str">
        <f>Tabela_tudo[[#This Row],[Médico]]&amp;" ("&amp;Tabela_tudo[[#This Row],[Obs]]&amp;")"</f>
        <v>JU ()</v>
      </c>
    </row>
    <row r="4809" spans="1:14" x14ac:dyDescent="0.3">
      <c r="A4809" s="1">
        <v>45163</v>
      </c>
      <c r="B4809" t="s">
        <v>33</v>
      </c>
      <c r="C4809" t="s">
        <v>30</v>
      </c>
      <c r="D4809" s="8"/>
      <c r="E4809" s="8"/>
      <c r="M4809" t="s">
        <v>478</v>
      </c>
      <c r="N4809" t="str">
        <f>Tabela_tudo[[#This Row],[Médico]]&amp;" ("&amp;Tabela_tudo[[#This Row],[Obs]]&amp;")"</f>
        <v>DIF ()</v>
      </c>
    </row>
    <row r="4810" spans="1:14" x14ac:dyDescent="0.3">
      <c r="A4810" s="1">
        <v>45150</v>
      </c>
      <c r="B4810" t="s">
        <v>283</v>
      </c>
      <c r="C4810" t="s">
        <v>464</v>
      </c>
      <c r="D4810" s="8"/>
      <c r="E4810" s="8"/>
      <c r="M4810" t="s">
        <v>478</v>
      </c>
      <c r="N4810" t="str">
        <f>Tabela_tudo[[#This Row],[Médico]]&amp;" ("&amp;Tabela_tudo[[#This Row],[Obs]]&amp;")"</f>
        <v>JU ()</v>
      </c>
    </row>
    <row r="4811" spans="1:14" x14ac:dyDescent="0.3">
      <c r="A4811" s="1">
        <v>45179</v>
      </c>
      <c r="B4811" t="s">
        <v>85</v>
      </c>
      <c r="C4811" t="s">
        <v>78</v>
      </c>
      <c r="D4811" s="8"/>
      <c r="E4811" s="8"/>
      <c r="M4811" t="s">
        <v>478</v>
      </c>
      <c r="N4811" t="str">
        <f>Tabela_tudo[[#This Row],[Médico]]&amp;" ("&amp;Tabela_tudo[[#This Row],[Obs]]&amp;")"</f>
        <v>ELF ()</v>
      </c>
    </row>
    <row r="4812" spans="1:14" x14ac:dyDescent="0.3">
      <c r="A4812" s="1">
        <v>45147</v>
      </c>
      <c r="B4812" t="s">
        <v>283</v>
      </c>
      <c r="C4812" t="s">
        <v>464</v>
      </c>
      <c r="D4812" s="8"/>
      <c r="E4812" s="8"/>
      <c r="M4812" t="s">
        <v>478</v>
      </c>
      <c r="N4812" t="str">
        <f>Tabela_tudo[[#This Row],[Médico]]&amp;" ("&amp;Tabela_tudo[[#This Row],[Obs]]&amp;")"</f>
        <v>JU ()</v>
      </c>
    </row>
    <row r="4813" spans="1:14" x14ac:dyDescent="0.3">
      <c r="A4813" s="1">
        <v>45166</v>
      </c>
      <c r="B4813" t="s">
        <v>85</v>
      </c>
      <c r="C4813" t="s">
        <v>13</v>
      </c>
      <c r="D4813" s="8"/>
      <c r="E4813" s="8"/>
      <c r="M4813" t="s">
        <v>478</v>
      </c>
      <c r="N4813" t="str">
        <f>Tabela_tudo[[#This Row],[Médico]]&amp;" ("&amp;Tabela_tudo[[#This Row],[Obs]]&amp;")"</f>
        <v>ELF ()</v>
      </c>
    </row>
    <row r="4814" spans="1:14" x14ac:dyDescent="0.3">
      <c r="A4814" s="1">
        <v>45148</v>
      </c>
      <c r="B4814" t="s">
        <v>283</v>
      </c>
      <c r="C4814" t="s">
        <v>464</v>
      </c>
      <c r="D4814" s="8"/>
      <c r="E4814" s="8"/>
      <c r="M4814" t="s">
        <v>478</v>
      </c>
      <c r="N4814" t="str">
        <f>Tabela_tudo[[#This Row],[Médico]]&amp;" ("&amp;Tabela_tudo[[#This Row],[Obs]]&amp;")"</f>
        <v>JU ()</v>
      </c>
    </row>
    <row r="4815" spans="1:14" x14ac:dyDescent="0.3">
      <c r="A4815" s="1">
        <v>45166</v>
      </c>
      <c r="B4815" t="s">
        <v>32</v>
      </c>
      <c r="C4815" t="s">
        <v>15</v>
      </c>
      <c r="D4815" s="8"/>
      <c r="E4815" s="8"/>
      <c r="M4815" t="s">
        <v>478</v>
      </c>
      <c r="N4815" t="str">
        <f>Tabela_tudo[[#This Row],[Médico]]&amp;" ("&amp;Tabela_tudo[[#This Row],[Obs]]&amp;")"</f>
        <v>JS ()</v>
      </c>
    </row>
    <row r="4816" spans="1:14" x14ac:dyDescent="0.3">
      <c r="A4816" s="1">
        <v>45135</v>
      </c>
      <c r="B4816" t="s">
        <v>64</v>
      </c>
      <c r="C4816" t="s">
        <v>464</v>
      </c>
      <c r="D4816" s="8"/>
      <c r="E4816" s="8"/>
      <c r="M4816" t="s">
        <v>478</v>
      </c>
      <c r="N4816" t="str">
        <f>Tabela_tudo[[#This Row],[Médico]]&amp;" ("&amp;Tabela_tudo[[#This Row],[Obs]]&amp;")"</f>
        <v>SAR ()</v>
      </c>
    </row>
    <row r="4817" spans="1:14" x14ac:dyDescent="0.3">
      <c r="A4817" s="1">
        <v>45163</v>
      </c>
      <c r="B4817" t="s">
        <v>20</v>
      </c>
      <c r="D4817" s="8">
        <v>0.29166666666666669</v>
      </c>
      <c r="E4817" s="8">
        <v>0.79166666666666663</v>
      </c>
      <c r="F4817" t="s">
        <v>358</v>
      </c>
      <c r="M4817" t="s">
        <v>478</v>
      </c>
      <c r="N4817" t="str">
        <f>Tabela_tudo[[#This Row],[Médico]]&amp;" ("&amp;Tabela_tudo[[#This Row],[Obs]]&amp;")"</f>
        <v>ROB (TRABALHA PARA BG)</v>
      </c>
    </row>
    <row r="4818" spans="1:14" x14ac:dyDescent="0.3">
      <c r="A4818" s="1">
        <v>45138</v>
      </c>
      <c r="B4818" t="s">
        <v>283</v>
      </c>
      <c r="C4818" t="s">
        <v>464</v>
      </c>
      <c r="D4818" s="8"/>
      <c r="E4818" s="8"/>
      <c r="M4818" t="s">
        <v>478</v>
      </c>
      <c r="N4818" t="str">
        <f>Tabela_tudo[[#This Row],[Médico]]&amp;" ("&amp;Tabela_tudo[[#This Row],[Obs]]&amp;")"</f>
        <v>JU ()</v>
      </c>
    </row>
    <row r="4819" spans="1:14" x14ac:dyDescent="0.3">
      <c r="A4819" s="1">
        <v>45179</v>
      </c>
      <c r="B4819" t="s">
        <v>73</v>
      </c>
      <c r="C4819" t="s">
        <v>13</v>
      </c>
      <c r="D4819" s="8"/>
      <c r="E4819" s="8"/>
      <c r="M4819" t="s">
        <v>478</v>
      </c>
      <c r="N4819" t="str">
        <f>Tabela_tudo[[#This Row],[Médico]]&amp;" ("&amp;Tabela_tudo[[#This Row],[Obs]]&amp;")"</f>
        <v>RT ()</v>
      </c>
    </row>
    <row r="4820" spans="1:14" x14ac:dyDescent="0.3">
      <c r="A4820" s="1">
        <v>45133</v>
      </c>
      <c r="B4820" t="s">
        <v>64</v>
      </c>
      <c r="C4820" t="s">
        <v>464</v>
      </c>
      <c r="D4820" s="8"/>
      <c r="E4820" s="8"/>
      <c r="M4820" t="s">
        <v>478</v>
      </c>
      <c r="N4820" t="str">
        <f>Tabela_tudo[[#This Row],[Médico]]&amp;" ("&amp;Tabela_tudo[[#This Row],[Obs]]&amp;")"</f>
        <v>SAR ()</v>
      </c>
    </row>
    <row r="4821" spans="1:14" x14ac:dyDescent="0.3">
      <c r="A4821" s="1">
        <v>45179</v>
      </c>
      <c r="B4821" t="s">
        <v>63</v>
      </c>
      <c r="C4821" t="s">
        <v>8</v>
      </c>
      <c r="D4821" s="8"/>
      <c r="E4821" s="8"/>
      <c r="M4821" t="s">
        <v>478</v>
      </c>
      <c r="N4821" t="str">
        <f>Tabela_tudo[[#This Row],[Médico]]&amp;" ("&amp;Tabela_tudo[[#This Row],[Obs]]&amp;")"</f>
        <v>FQ ()</v>
      </c>
    </row>
    <row r="4822" spans="1:14" x14ac:dyDescent="0.3">
      <c r="A4822" s="1">
        <v>45134</v>
      </c>
      <c r="B4822" t="s">
        <v>64</v>
      </c>
      <c r="C4822" t="s">
        <v>464</v>
      </c>
      <c r="D4822" s="8"/>
      <c r="E4822" s="8"/>
      <c r="M4822" t="s">
        <v>478</v>
      </c>
      <c r="N4822" t="str">
        <f>Tabela_tudo[[#This Row],[Médico]]&amp;" ("&amp;Tabela_tudo[[#This Row],[Obs]]&amp;")"</f>
        <v>SAR ()</v>
      </c>
    </row>
    <row r="4823" spans="1:14" x14ac:dyDescent="0.3">
      <c r="A4823" s="1">
        <v>45162</v>
      </c>
      <c r="B4823" t="s">
        <v>71</v>
      </c>
      <c r="C4823" t="s">
        <v>49</v>
      </c>
      <c r="D4823" s="8"/>
      <c r="E4823" s="8"/>
      <c r="M4823" t="s">
        <v>478</v>
      </c>
      <c r="N4823" t="str">
        <f>Tabela_tudo[[#This Row],[Médico]]&amp;" ("&amp;Tabela_tudo[[#This Row],[Obs]]&amp;")"</f>
        <v>BRU ()</v>
      </c>
    </row>
    <row r="4824" spans="1:14" x14ac:dyDescent="0.3">
      <c r="A4824" s="1">
        <v>45141</v>
      </c>
      <c r="B4824" t="s">
        <v>283</v>
      </c>
      <c r="C4824" t="s">
        <v>464</v>
      </c>
      <c r="D4824" s="8"/>
      <c r="E4824" s="8"/>
      <c r="M4824" t="s">
        <v>478</v>
      </c>
      <c r="N4824" t="str">
        <f>Tabela_tudo[[#This Row],[Médico]]&amp;" ("&amp;Tabela_tudo[[#This Row],[Obs]]&amp;")"</f>
        <v>JU ()</v>
      </c>
    </row>
    <row r="4825" spans="1:14" x14ac:dyDescent="0.3">
      <c r="A4825" s="1">
        <v>45162</v>
      </c>
      <c r="B4825" t="s">
        <v>34</v>
      </c>
      <c r="C4825" t="s">
        <v>51</v>
      </c>
      <c r="D4825" s="8"/>
      <c r="E4825" s="8"/>
      <c r="M4825" t="s">
        <v>478</v>
      </c>
      <c r="N4825" t="str">
        <f>Tabela_tudo[[#This Row],[Médico]]&amp;" ("&amp;Tabela_tudo[[#This Row],[Obs]]&amp;")"</f>
        <v>LIP ()</v>
      </c>
    </row>
    <row r="4826" spans="1:14" x14ac:dyDescent="0.3">
      <c r="A4826" s="1">
        <v>45142</v>
      </c>
      <c r="B4826" t="s">
        <v>283</v>
      </c>
      <c r="C4826" t="s">
        <v>464</v>
      </c>
      <c r="D4826" s="8"/>
      <c r="E4826" s="8"/>
      <c r="M4826" t="s">
        <v>478</v>
      </c>
      <c r="N4826" t="str">
        <f>Tabela_tudo[[#This Row],[Médico]]&amp;" ("&amp;Tabela_tudo[[#This Row],[Obs]]&amp;")"</f>
        <v>JU ()</v>
      </c>
    </row>
    <row r="4827" spans="1:14" x14ac:dyDescent="0.3">
      <c r="A4827" s="1">
        <v>45162</v>
      </c>
      <c r="B4827" t="s">
        <v>23</v>
      </c>
      <c r="C4827" t="s">
        <v>30</v>
      </c>
      <c r="D4827" s="8"/>
      <c r="E4827" s="8"/>
      <c r="M4827" t="s">
        <v>478</v>
      </c>
      <c r="N4827" t="str">
        <f>Tabela_tudo[[#This Row],[Médico]]&amp;" ("&amp;Tabela_tudo[[#This Row],[Obs]]&amp;")"</f>
        <v>BG ()</v>
      </c>
    </row>
    <row r="4828" spans="1:14" x14ac:dyDescent="0.3">
      <c r="A4828" s="1">
        <v>45139</v>
      </c>
      <c r="B4828" t="s">
        <v>283</v>
      </c>
      <c r="C4828" t="s">
        <v>464</v>
      </c>
      <c r="D4828" s="8"/>
      <c r="E4828" s="8"/>
      <c r="M4828" t="s">
        <v>478</v>
      </c>
      <c r="N4828" t="str">
        <f>Tabela_tudo[[#This Row],[Médico]]&amp;" ("&amp;Tabela_tudo[[#This Row],[Obs]]&amp;")"</f>
        <v>JU ()</v>
      </c>
    </row>
    <row r="4829" spans="1:14" x14ac:dyDescent="0.3">
      <c r="A4829" s="1">
        <v>45162</v>
      </c>
      <c r="B4829" t="s">
        <v>52</v>
      </c>
      <c r="C4829" t="s">
        <v>45</v>
      </c>
      <c r="D4829" s="8"/>
      <c r="E4829" s="8"/>
      <c r="M4829" t="s">
        <v>478</v>
      </c>
      <c r="N4829" t="str">
        <f>Tabela_tudo[[#This Row],[Médico]]&amp;" ("&amp;Tabela_tudo[[#This Row],[Obs]]&amp;")"</f>
        <v>AEL ()</v>
      </c>
    </row>
    <row r="4830" spans="1:14" x14ac:dyDescent="0.3">
      <c r="A4830" s="1">
        <v>45140</v>
      </c>
      <c r="B4830" t="s">
        <v>283</v>
      </c>
      <c r="C4830" t="s">
        <v>464</v>
      </c>
      <c r="D4830" s="8"/>
      <c r="E4830" s="8"/>
      <c r="M4830" t="s">
        <v>478</v>
      </c>
      <c r="N4830" t="str">
        <f>Tabela_tudo[[#This Row],[Médico]]&amp;" ("&amp;Tabela_tudo[[#This Row],[Obs]]&amp;")"</f>
        <v>JU ()</v>
      </c>
    </row>
    <row r="4831" spans="1:14" x14ac:dyDescent="0.3">
      <c r="A4831" s="1">
        <v>45162</v>
      </c>
      <c r="B4831" t="s">
        <v>14</v>
      </c>
      <c r="C4831" t="s">
        <v>46</v>
      </c>
      <c r="D4831" s="8"/>
      <c r="E4831" s="8"/>
      <c r="M4831" t="s">
        <v>478</v>
      </c>
      <c r="N4831" t="str">
        <f>Tabela_tudo[[#This Row],[Médico]]&amp;" ("&amp;Tabela_tudo[[#This Row],[Obs]]&amp;")"</f>
        <v>PW ()</v>
      </c>
    </row>
    <row r="4832" spans="1:14" x14ac:dyDescent="0.3">
      <c r="A4832" s="1">
        <v>45154</v>
      </c>
      <c r="B4832" t="s">
        <v>48</v>
      </c>
      <c r="C4832" t="s">
        <v>464</v>
      </c>
      <c r="D4832" s="8"/>
      <c r="E4832" s="8"/>
      <c r="M4832" t="s">
        <v>478</v>
      </c>
      <c r="N4832" t="str">
        <f>Tabela_tudo[[#This Row],[Médico]]&amp;" ("&amp;Tabela_tudo[[#This Row],[Obs]]&amp;")"</f>
        <v>MAF ()</v>
      </c>
    </row>
    <row r="4833" spans="1:14" x14ac:dyDescent="0.3">
      <c r="A4833" s="1">
        <v>45162</v>
      </c>
      <c r="B4833" t="s">
        <v>32</v>
      </c>
      <c r="C4833" t="s">
        <v>18</v>
      </c>
      <c r="D4833" s="8"/>
      <c r="E4833" s="8"/>
      <c r="M4833" t="s">
        <v>478</v>
      </c>
      <c r="N4833" t="str">
        <f>Tabela_tudo[[#This Row],[Médico]]&amp;" ("&amp;Tabela_tudo[[#This Row],[Obs]]&amp;")"</f>
        <v>JS ()</v>
      </c>
    </row>
    <row r="4834" spans="1:14" x14ac:dyDescent="0.3">
      <c r="A4834" s="1">
        <v>45155</v>
      </c>
      <c r="B4834" t="s">
        <v>48</v>
      </c>
      <c r="C4834" t="s">
        <v>464</v>
      </c>
      <c r="D4834" s="8"/>
      <c r="E4834" s="8"/>
      <c r="M4834" t="s">
        <v>478</v>
      </c>
      <c r="N4834" t="str">
        <f>Tabela_tudo[[#This Row],[Médico]]&amp;" ("&amp;Tabela_tudo[[#This Row],[Obs]]&amp;")"</f>
        <v>MAF ()</v>
      </c>
    </row>
    <row r="4835" spans="1:14" x14ac:dyDescent="0.3">
      <c r="A4835" s="1">
        <v>45162</v>
      </c>
      <c r="B4835" t="s">
        <v>32</v>
      </c>
      <c r="C4835" t="s">
        <v>30</v>
      </c>
      <c r="D4835" s="8"/>
      <c r="E4835" s="8"/>
      <c r="M4835" t="s">
        <v>478</v>
      </c>
      <c r="N4835" t="str">
        <f>Tabela_tudo[[#This Row],[Médico]]&amp;" ("&amp;Tabela_tudo[[#This Row],[Obs]]&amp;")"</f>
        <v>JS ()</v>
      </c>
    </row>
    <row r="4836" spans="1:14" x14ac:dyDescent="0.3">
      <c r="A4836" s="1">
        <v>45152</v>
      </c>
      <c r="B4836" t="s">
        <v>48</v>
      </c>
      <c r="C4836" t="s">
        <v>464</v>
      </c>
      <c r="D4836" s="8"/>
      <c r="E4836" s="8"/>
      <c r="M4836" t="s">
        <v>478</v>
      </c>
      <c r="N4836" t="str">
        <f>Tabela_tudo[[#This Row],[Médico]]&amp;" ("&amp;Tabela_tudo[[#This Row],[Obs]]&amp;")"</f>
        <v>MAF ()</v>
      </c>
    </row>
    <row r="4837" spans="1:14" x14ac:dyDescent="0.3">
      <c r="A4837" s="1">
        <v>45163</v>
      </c>
      <c r="B4837" t="s">
        <v>72</v>
      </c>
      <c r="C4837" t="s">
        <v>8</v>
      </c>
      <c r="D4837" s="8"/>
      <c r="E4837" s="8"/>
      <c r="M4837" t="s">
        <v>478</v>
      </c>
      <c r="N4837" t="str">
        <f>Tabela_tudo[[#This Row],[Médico]]&amp;" ("&amp;Tabela_tudo[[#This Row],[Obs]]&amp;")"</f>
        <v>GRA ()</v>
      </c>
    </row>
    <row r="4838" spans="1:14" x14ac:dyDescent="0.3">
      <c r="A4838" s="1">
        <v>45153</v>
      </c>
      <c r="B4838" t="s">
        <v>48</v>
      </c>
      <c r="C4838" t="s">
        <v>464</v>
      </c>
      <c r="D4838" s="8"/>
      <c r="E4838" s="8"/>
      <c r="M4838" t="s">
        <v>478</v>
      </c>
      <c r="N4838" t="str">
        <f>Tabela_tudo[[#This Row],[Médico]]&amp;" ("&amp;Tabela_tudo[[#This Row],[Obs]]&amp;")"</f>
        <v>MAF ()</v>
      </c>
    </row>
    <row r="4839" spans="1:14" x14ac:dyDescent="0.3">
      <c r="A4839" s="1">
        <v>45163</v>
      </c>
      <c r="B4839" t="s">
        <v>29</v>
      </c>
      <c r="C4839" t="s">
        <v>43</v>
      </c>
      <c r="D4839" s="8"/>
      <c r="E4839" s="8"/>
      <c r="M4839" t="s">
        <v>478</v>
      </c>
      <c r="N4839" t="str">
        <f>Tabela_tudo[[#This Row],[Médico]]&amp;" ("&amp;Tabela_tudo[[#This Row],[Obs]]&amp;")"</f>
        <v>JOA ()</v>
      </c>
    </row>
    <row r="4840" spans="1:14" x14ac:dyDescent="0.3">
      <c r="A4840" s="1">
        <v>45158</v>
      </c>
      <c r="B4840" t="s">
        <v>48</v>
      </c>
      <c r="C4840" t="s">
        <v>464</v>
      </c>
      <c r="D4840" s="8"/>
      <c r="E4840" s="8"/>
      <c r="M4840" t="s">
        <v>478</v>
      </c>
      <c r="N4840" t="str">
        <f>Tabela_tudo[[#This Row],[Médico]]&amp;" ("&amp;Tabela_tudo[[#This Row],[Obs]]&amp;")"</f>
        <v>MAF ()</v>
      </c>
    </row>
    <row r="4841" spans="1:14" x14ac:dyDescent="0.3">
      <c r="A4841" s="1">
        <v>45163</v>
      </c>
      <c r="B4841" t="s">
        <v>66</v>
      </c>
      <c r="C4841" t="s">
        <v>45</v>
      </c>
      <c r="D4841" s="8"/>
      <c r="E4841" s="8"/>
      <c r="M4841" t="s">
        <v>478</v>
      </c>
      <c r="N4841" t="str">
        <f>Tabela_tudo[[#This Row],[Médico]]&amp;" ("&amp;Tabela_tudo[[#This Row],[Obs]]&amp;")"</f>
        <v>MOZ ()</v>
      </c>
    </row>
    <row r="4842" spans="1:14" x14ac:dyDescent="0.3">
      <c r="A4842" s="1">
        <v>45145</v>
      </c>
      <c r="B4842" t="s">
        <v>68</v>
      </c>
      <c r="C4842" t="s">
        <v>464</v>
      </c>
      <c r="D4842" s="8"/>
      <c r="E4842" s="8"/>
      <c r="M4842" t="s">
        <v>478</v>
      </c>
      <c r="N4842" t="str">
        <f>Tabela_tudo[[#This Row],[Médico]]&amp;" ("&amp;Tabela_tudo[[#This Row],[Obs]]&amp;")"</f>
        <v>PED ()</v>
      </c>
    </row>
    <row r="4843" spans="1:14" x14ac:dyDescent="0.3">
      <c r="A4843" s="1">
        <v>45162</v>
      </c>
      <c r="B4843" t="s">
        <v>71</v>
      </c>
      <c r="C4843" t="s">
        <v>30</v>
      </c>
      <c r="D4843" s="8"/>
      <c r="E4843" s="8"/>
      <c r="M4843" t="s">
        <v>478</v>
      </c>
      <c r="N4843" t="str">
        <f>Tabela_tudo[[#This Row],[Médico]]&amp;" ("&amp;Tabela_tudo[[#This Row],[Obs]]&amp;")"</f>
        <v>BRU ()</v>
      </c>
    </row>
    <row r="4844" spans="1:14" x14ac:dyDescent="0.3">
      <c r="A4844" s="1">
        <v>45156</v>
      </c>
      <c r="B4844" t="s">
        <v>48</v>
      </c>
      <c r="C4844" t="s">
        <v>464</v>
      </c>
      <c r="D4844" s="8"/>
      <c r="E4844" s="8"/>
      <c r="M4844" t="s">
        <v>478</v>
      </c>
      <c r="N4844" t="str">
        <f>Tabela_tudo[[#This Row],[Médico]]&amp;" ("&amp;Tabela_tudo[[#This Row],[Obs]]&amp;")"</f>
        <v>MAF ()</v>
      </c>
    </row>
    <row r="4845" spans="1:14" x14ac:dyDescent="0.3">
      <c r="A4845" s="1">
        <v>45163</v>
      </c>
      <c r="B4845" t="s">
        <v>47</v>
      </c>
      <c r="C4845" t="s">
        <v>13</v>
      </c>
      <c r="D4845" s="8"/>
      <c r="E4845" s="8"/>
      <c r="M4845" t="s">
        <v>478</v>
      </c>
      <c r="N4845" t="str">
        <f>Tabela_tudo[[#This Row],[Médico]]&amp;" ("&amp;Tabela_tudo[[#This Row],[Obs]]&amp;")"</f>
        <v>VIN ()</v>
      </c>
    </row>
    <row r="4846" spans="1:14" x14ac:dyDescent="0.3">
      <c r="A4846" s="1">
        <v>45157</v>
      </c>
      <c r="B4846" t="s">
        <v>48</v>
      </c>
      <c r="C4846" t="s">
        <v>464</v>
      </c>
      <c r="D4846" s="8"/>
      <c r="E4846" s="8"/>
      <c r="M4846" t="s">
        <v>478</v>
      </c>
      <c r="N4846" t="str">
        <f>Tabela_tudo[[#This Row],[Médico]]&amp;" ("&amp;Tabela_tudo[[#This Row],[Obs]]&amp;")"</f>
        <v>MAF ()</v>
      </c>
    </row>
    <row r="4847" spans="1:14" x14ac:dyDescent="0.3">
      <c r="A4847" s="1">
        <v>45163</v>
      </c>
      <c r="B4847" t="s">
        <v>34</v>
      </c>
      <c r="C4847" t="s">
        <v>15</v>
      </c>
      <c r="D4847" s="8"/>
      <c r="E4847" s="8"/>
      <c r="M4847" t="s">
        <v>478</v>
      </c>
      <c r="N4847" t="str">
        <f>Tabela_tudo[[#This Row],[Médico]]&amp;" ("&amp;Tabela_tudo[[#This Row],[Obs]]&amp;")"</f>
        <v>LIP ()</v>
      </c>
    </row>
    <row r="4848" spans="1:14" x14ac:dyDescent="0.3">
      <c r="A4848" s="1">
        <v>45146</v>
      </c>
      <c r="B4848" t="s">
        <v>48</v>
      </c>
      <c r="C4848" t="s">
        <v>464</v>
      </c>
      <c r="D4848" s="8"/>
      <c r="E4848" s="8"/>
      <c r="M4848" t="s">
        <v>478</v>
      </c>
      <c r="N4848" t="str">
        <f>Tabela_tudo[[#This Row],[Médico]]&amp;" ("&amp;Tabela_tudo[[#This Row],[Obs]]&amp;")"</f>
        <v>MAF ()</v>
      </c>
    </row>
    <row r="4849" spans="1:14" x14ac:dyDescent="0.3">
      <c r="A4849" s="1">
        <v>45166</v>
      </c>
      <c r="B4849" t="s">
        <v>63</v>
      </c>
      <c r="C4849" t="s">
        <v>8</v>
      </c>
      <c r="D4849" s="8"/>
      <c r="E4849" s="8"/>
      <c r="M4849" t="s">
        <v>478</v>
      </c>
      <c r="N4849" t="str">
        <f>Tabela_tudo[[#This Row],[Médico]]&amp;" ("&amp;Tabela_tudo[[#This Row],[Obs]]&amp;")"</f>
        <v>FQ ()</v>
      </c>
    </row>
    <row r="4850" spans="1:14" x14ac:dyDescent="0.3">
      <c r="A4850" s="1">
        <v>45147</v>
      </c>
      <c r="B4850" t="s">
        <v>48</v>
      </c>
      <c r="C4850" t="s">
        <v>464</v>
      </c>
      <c r="D4850" s="8"/>
      <c r="E4850" s="8"/>
      <c r="M4850" t="s">
        <v>478</v>
      </c>
      <c r="N4850" t="str">
        <f>Tabela_tudo[[#This Row],[Médico]]&amp;" ("&amp;Tabela_tudo[[#This Row],[Obs]]&amp;")"</f>
        <v>MAF ()</v>
      </c>
    </row>
    <row r="4851" spans="1:14" x14ac:dyDescent="0.3">
      <c r="A4851" s="1">
        <v>45167</v>
      </c>
      <c r="B4851" t="s">
        <v>16</v>
      </c>
      <c r="C4851" t="s">
        <v>46</v>
      </c>
      <c r="D4851" s="8"/>
      <c r="E4851" s="8"/>
      <c r="M4851" t="s">
        <v>478</v>
      </c>
      <c r="N4851" t="str">
        <f>Tabela_tudo[[#This Row],[Médico]]&amp;" ("&amp;Tabela_tudo[[#This Row],[Obs]]&amp;")"</f>
        <v>PP ()</v>
      </c>
    </row>
    <row r="4852" spans="1:14" x14ac:dyDescent="0.3">
      <c r="A4852" s="1">
        <v>45151</v>
      </c>
      <c r="B4852" t="s">
        <v>283</v>
      </c>
      <c r="C4852" t="s">
        <v>464</v>
      </c>
      <c r="D4852" s="8"/>
      <c r="E4852" s="8"/>
      <c r="M4852" t="s">
        <v>478</v>
      </c>
      <c r="N4852" t="str">
        <f>Tabela_tudo[[#This Row],[Médico]]&amp;" ("&amp;Tabela_tudo[[#This Row],[Obs]]&amp;")"</f>
        <v>JU ()</v>
      </c>
    </row>
    <row r="4853" spans="1:14" x14ac:dyDescent="0.3">
      <c r="A4853" s="1">
        <v>45167</v>
      </c>
      <c r="B4853" t="s">
        <v>63</v>
      </c>
      <c r="C4853" t="s">
        <v>18</v>
      </c>
      <c r="D4853" s="8"/>
      <c r="E4853" s="8"/>
      <c r="M4853" t="s">
        <v>478</v>
      </c>
      <c r="N4853" t="str">
        <f>Tabela_tudo[[#This Row],[Médico]]&amp;" ("&amp;Tabela_tudo[[#This Row],[Obs]]&amp;")"</f>
        <v>FQ ()</v>
      </c>
    </row>
    <row r="4854" spans="1:14" x14ac:dyDescent="0.3">
      <c r="A4854" s="1">
        <v>45145</v>
      </c>
      <c r="B4854" t="s">
        <v>48</v>
      </c>
      <c r="C4854" t="s">
        <v>464</v>
      </c>
      <c r="D4854" s="8"/>
      <c r="E4854" s="8"/>
      <c r="M4854" t="s">
        <v>478</v>
      </c>
      <c r="N4854" t="str">
        <f>Tabela_tudo[[#This Row],[Médico]]&amp;" ("&amp;Tabela_tudo[[#This Row],[Obs]]&amp;")"</f>
        <v>MAF ()</v>
      </c>
    </row>
    <row r="4855" spans="1:14" x14ac:dyDescent="0.3">
      <c r="A4855" s="1">
        <v>45167</v>
      </c>
      <c r="B4855" t="s">
        <v>48</v>
      </c>
      <c r="C4855" t="s">
        <v>49</v>
      </c>
      <c r="D4855" s="8"/>
      <c r="E4855" s="8"/>
      <c r="M4855" t="s">
        <v>478</v>
      </c>
      <c r="N4855" t="str">
        <f>Tabela_tudo[[#This Row],[Médico]]&amp;" ("&amp;Tabela_tudo[[#This Row],[Obs]]&amp;")"</f>
        <v>MAF ()</v>
      </c>
    </row>
    <row r="4856" spans="1:14" x14ac:dyDescent="0.3">
      <c r="A4856" s="1">
        <v>45150</v>
      </c>
      <c r="B4856" t="s">
        <v>48</v>
      </c>
      <c r="C4856" t="s">
        <v>464</v>
      </c>
      <c r="D4856" s="8"/>
      <c r="E4856" s="8"/>
      <c r="M4856" t="s">
        <v>478</v>
      </c>
      <c r="N4856" t="str">
        <f>Tabela_tudo[[#This Row],[Médico]]&amp;" ("&amp;Tabela_tudo[[#This Row],[Obs]]&amp;")"</f>
        <v>MAF ()</v>
      </c>
    </row>
    <row r="4857" spans="1:14" x14ac:dyDescent="0.3">
      <c r="A4857" s="1">
        <v>45167</v>
      </c>
      <c r="B4857" t="s">
        <v>94</v>
      </c>
      <c r="C4857" t="s">
        <v>8</v>
      </c>
      <c r="D4857" s="8"/>
      <c r="E4857" s="8"/>
      <c r="M4857" t="s">
        <v>478</v>
      </c>
      <c r="N4857" t="str">
        <f>Tabela_tudo[[#This Row],[Médico]]&amp;" ("&amp;Tabela_tudo[[#This Row],[Obs]]&amp;")"</f>
        <v>TOT ()</v>
      </c>
    </row>
    <row r="4858" spans="1:14" x14ac:dyDescent="0.3">
      <c r="A4858" s="1">
        <v>45151</v>
      </c>
      <c r="B4858" t="s">
        <v>48</v>
      </c>
      <c r="C4858" t="s">
        <v>464</v>
      </c>
      <c r="D4858" s="8"/>
      <c r="E4858" s="8"/>
      <c r="M4858" t="s">
        <v>478</v>
      </c>
      <c r="N4858" t="str">
        <f>Tabela_tudo[[#This Row],[Médico]]&amp;" ("&amp;Tabela_tudo[[#This Row],[Obs]]&amp;")"</f>
        <v>MAF ()</v>
      </c>
    </row>
    <row r="4859" spans="1:14" x14ac:dyDescent="0.3">
      <c r="A4859" s="1">
        <v>45167</v>
      </c>
      <c r="B4859" t="s">
        <v>33</v>
      </c>
      <c r="C4859" t="s">
        <v>43</v>
      </c>
      <c r="D4859" s="8"/>
      <c r="E4859" s="8"/>
      <c r="M4859" t="s">
        <v>478</v>
      </c>
      <c r="N4859" t="str">
        <f>Tabela_tudo[[#This Row],[Médico]]&amp;" ("&amp;Tabela_tudo[[#This Row],[Obs]]&amp;")"</f>
        <v>DIF ()</v>
      </c>
    </row>
    <row r="4860" spans="1:14" x14ac:dyDescent="0.3">
      <c r="A4860" s="1">
        <v>45148</v>
      </c>
      <c r="B4860" t="s">
        <v>48</v>
      </c>
      <c r="C4860" t="s">
        <v>464</v>
      </c>
      <c r="D4860" s="8"/>
      <c r="E4860" s="8"/>
      <c r="M4860" t="s">
        <v>478</v>
      </c>
      <c r="N4860" t="str">
        <f>Tabela_tudo[[#This Row],[Médico]]&amp;" ("&amp;Tabela_tudo[[#This Row],[Obs]]&amp;")"</f>
        <v>MAF ()</v>
      </c>
    </row>
    <row r="4861" spans="1:14" x14ac:dyDescent="0.3">
      <c r="A4861" s="1">
        <v>45167</v>
      </c>
      <c r="B4861" t="s">
        <v>23</v>
      </c>
      <c r="C4861" t="s">
        <v>45</v>
      </c>
      <c r="D4861" s="8"/>
      <c r="E4861" s="8"/>
      <c r="M4861" t="s">
        <v>478</v>
      </c>
      <c r="N4861" t="str">
        <f>Tabela_tudo[[#This Row],[Médico]]&amp;" ("&amp;Tabela_tudo[[#This Row],[Obs]]&amp;")"</f>
        <v>BG ()</v>
      </c>
    </row>
    <row r="4862" spans="1:14" x14ac:dyDescent="0.3">
      <c r="A4862" s="1">
        <v>45149</v>
      </c>
      <c r="B4862" t="s">
        <v>48</v>
      </c>
      <c r="C4862" t="s">
        <v>464</v>
      </c>
      <c r="D4862" s="8"/>
      <c r="E4862" s="8"/>
      <c r="M4862" t="s">
        <v>478</v>
      </c>
      <c r="N4862" t="str">
        <f>Tabela_tudo[[#This Row],[Médico]]&amp;" ("&amp;Tabela_tudo[[#This Row],[Obs]]&amp;")"</f>
        <v>MAF ()</v>
      </c>
    </row>
    <row r="4863" spans="1:14" x14ac:dyDescent="0.3">
      <c r="A4863" s="1">
        <v>45167</v>
      </c>
      <c r="B4863" t="s">
        <v>75</v>
      </c>
      <c r="C4863" t="s">
        <v>51</v>
      </c>
      <c r="D4863" s="8"/>
      <c r="E4863" s="8"/>
      <c r="M4863" t="s">
        <v>478</v>
      </c>
      <c r="N4863" t="str">
        <f>Tabela_tudo[[#This Row],[Médico]]&amp;" ("&amp;Tabela_tudo[[#This Row],[Obs]]&amp;")"</f>
        <v>KOP ()</v>
      </c>
    </row>
    <row r="4864" spans="1:14" x14ac:dyDescent="0.3">
      <c r="A4864" s="1">
        <v>45132</v>
      </c>
      <c r="B4864" t="s">
        <v>64</v>
      </c>
      <c r="C4864" t="s">
        <v>464</v>
      </c>
      <c r="D4864" s="8"/>
      <c r="E4864" s="8"/>
      <c r="M4864" t="s">
        <v>478</v>
      </c>
      <c r="N4864" t="str">
        <f>Tabela_tudo[[#This Row],[Médico]]&amp;" ("&amp;Tabela_tudo[[#This Row],[Obs]]&amp;")"</f>
        <v>SAR ()</v>
      </c>
    </row>
    <row r="4865" spans="1:14" x14ac:dyDescent="0.3">
      <c r="A4865" s="1">
        <v>45167</v>
      </c>
      <c r="B4865" t="s">
        <v>23</v>
      </c>
      <c r="C4865" t="s">
        <v>30</v>
      </c>
      <c r="D4865" s="8"/>
      <c r="E4865" s="8"/>
      <c r="M4865" t="s">
        <v>478</v>
      </c>
      <c r="N4865" t="str">
        <f>Tabela_tudo[[#This Row],[Médico]]&amp;" ("&amp;Tabela_tudo[[#This Row],[Obs]]&amp;")"</f>
        <v>BG ()</v>
      </c>
    </row>
    <row r="4866" spans="1:14" x14ac:dyDescent="0.3">
      <c r="A4866" s="1">
        <v>45134</v>
      </c>
      <c r="B4866" t="s">
        <v>37</v>
      </c>
      <c r="C4866" t="s">
        <v>464</v>
      </c>
      <c r="D4866" s="8"/>
      <c r="E4866" s="8"/>
      <c r="M4866" t="s">
        <v>478</v>
      </c>
      <c r="N4866" t="str">
        <f>Tabela_tudo[[#This Row],[Médico]]&amp;" ("&amp;Tabela_tudo[[#This Row],[Obs]]&amp;")"</f>
        <v>EBB ()</v>
      </c>
    </row>
    <row r="4867" spans="1:14" x14ac:dyDescent="0.3">
      <c r="A4867" s="1">
        <v>45167</v>
      </c>
      <c r="B4867" t="s">
        <v>23</v>
      </c>
      <c r="D4867" s="8">
        <v>0.29166666666666669</v>
      </c>
      <c r="E4867" s="8">
        <v>0.79166666666666663</v>
      </c>
      <c r="F4867" t="s">
        <v>379</v>
      </c>
      <c r="M4867" t="s">
        <v>478</v>
      </c>
      <c r="N4867" t="str">
        <f>Tabela_tudo[[#This Row],[Médico]]&amp;" ("&amp;Tabela_tudo[[#This Row],[Obs]]&amp;")"</f>
        <v>BG (BG TRABALHA PARA ROB)</v>
      </c>
    </row>
    <row r="4868" spans="1:14" x14ac:dyDescent="0.3">
      <c r="A4868" s="1">
        <v>45135</v>
      </c>
      <c r="B4868" t="s">
        <v>37</v>
      </c>
      <c r="C4868" t="s">
        <v>464</v>
      </c>
      <c r="D4868" s="8"/>
      <c r="E4868" s="8"/>
      <c r="M4868" t="s">
        <v>478</v>
      </c>
      <c r="N4868" t="str">
        <f>Tabela_tudo[[#This Row],[Médico]]&amp;" ("&amp;Tabela_tudo[[#This Row],[Obs]]&amp;")"</f>
        <v>EBB ()</v>
      </c>
    </row>
    <row r="4869" spans="1:14" x14ac:dyDescent="0.3">
      <c r="A4869" s="1">
        <v>45167</v>
      </c>
      <c r="B4869" t="s">
        <v>23</v>
      </c>
      <c r="D4869" s="8">
        <v>0.54166666666666663</v>
      </c>
      <c r="E4869" s="8">
        <v>0.79166666666666663</v>
      </c>
      <c r="F4869" t="s">
        <v>380</v>
      </c>
      <c r="M4869" t="s">
        <v>478</v>
      </c>
      <c r="N4869" t="str">
        <f>Tabela_tudo[[#This Row],[Médico]]&amp;" ("&amp;Tabela_tudo[[#This Row],[Obs]]&amp;")"</f>
        <v>BG (BG ADMINISTRAÇÃO TARDE)</v>
      </c>
    </row>
    <row r="4870" spans="1:14" x14ac:dyDescent="0.3">
      <c r="A4870" s="1">
        <v>45132</v>
      </c>
      <c r="B4870" t="s">
        <v>37</v>
      </c>
      <c r="C4870" t="s">
        <v>464</v>
      </c>
      <c r="D4870" s="8"/>
      <c r="E4870" s="8"/>
      <c r="M4870" t="s">
        <v>478</v>
      </c>
      <c r="N4870" t="str">
        <f>Tabela_tudo[[#This Row],[Médico]]&amp;" ("&amp;Tabela_tudo[[#This Row],[Obs]]&amp;")"</f>
        <v>EBB ()</v>
      </c>
    </row>
    <row r="4871" spans="1:14" x14ac:dyDescent="0.3">
      <c r="A4871" s="1">
        <v>45167</v>
      </c>
      <c r="B4871" t="s">
        <v>23</v>
      </c>
      <c r="C4871" t="s">
        <v>22</v>
      </c>
      <c r="D4871" s="8">
        <v>0.54166666666666663</v>
      </c>
      <c r="E4871" s="8">
        <v>0.79166666666666663</v>
      </c>
      <c r="F4871" t="s">
        <v>375</v>
      </c>
      <c r="M4871" t="s">
        <v>478</v>
      </c>
      <c r="N4871" t="str">
        <f>Tabela_tudo[[#This Row],[Médico]]&amp;" ("&amp;Tabela_tudo[[#This Row],[Obs]]&amp;")"</f>
        <v>BG (TARDE)</v>
      </c>
    </row>
    <row r="4872" spans="1:14" x14ac:dyDescent="0.3">
      <c r="A4872" s="1">
        <v>45133</v>
      </c>
      <c r="B4872" t="s">
        <v>37</v>
      </c>
      <c r="C4872" t="s">
        <v>464</v>
      </c>
      <c r="D4872" s="8"/>
      <c r="E4872" s="8"/>
      <c r="M4872" t="s">
        <v>478</v>
      </c>
      <c r="N4872" t="str">
        <f>Tabela_tudo[[#This Row],[Médico]]&amp;" ("&amp;Tabela_tudo[[#This Row],[Obs]]&amp;")"</f>
        <v>EBB ()</v>
      </c>
    </row>
    <row r="4873" spans="1:14" x14ac:dyDescent="0.3">
      <c r="A4873" s="1">
        <v>45167</v>
      </c>
      <c r="B4873" t="s">
        <v>68</v>
      </c>
      <c r="C4873" t="s">
        <v>30</v>
      </c>
      <c r="D4873" s="8"/>
      <c r="E4873" s="8"/>
      <c r="M4873" t="s">
        <v>478</v>
      </c>
      <c r="N4873" t="str">
        <f>Tabela_tudo[[#This Row],[Médico]]&amp;" ("&amp;Tabela_tudo[[#This Row],[Obs]]&amp;")"</f>
        <v>PED ()</v>
      </c>
    </row>
    <row r="4874" spans="1:14" x14ac:dyDescent="0.3">
      <c r="A4874" s="1">
        <v>45126</v>
      </c>
      <c r="B4874" t="s">
        <v>12</v>
      </c>
      <c r="C4874" t="s">
        <v>464</v>
      </c>
      <c r="D4874" s="8"/>
      <c r="E4874" s="8"/>
      <c r="M4874" t="s">
        <v>478</v>
      </c>
      <c r="N4874" t="str">
        <f>Tabela_tudo[[#This Row],[Médico]]&amp;" ("&amp;Tabela_tudo[[#This Row],[Obs]]&amp;")"</f>
        <v>EDU ()</v>
      </c>
    </row>
    <row r="4875" spans="1:14" x14ac:dyDescent="0.3">
      <c r="A4875" s="1">
        <v>45167</v>
      </c>
      <c r="B4875" t="s">
        <v>50</v>
      </c>
      <c r="C4875" t="s">
        <v>30</v>
      </c>
      <c r="D4875" s="8"/>
      <c r="E4875" s="8"/>
      <c r="M4875" t="s">
        <v>478</v>
      </c>
      <c r="N4875" t="str">
        <f>Tabela_tudo[[#This Row],[Médico]]&amp;" ("&amp;Tabela_tudo[[#This Row],[Obs]]&amp;")"</f>
        <v>PJP ()</v>
      </c>
    </row>
    <row r="4876" spans="1:14" x14ac:dyDescent="0.3">
      <c r="A4876" s="1">
        <v>45127</v>
      </c>
      <c r="B4876" t="s">
        <v>12</v>
      </c>
      <c r="C4876" t="s">
        <v>464</v>
      </c>
      <c r="D4876" s="8"/>
      <c r="E4876" s="8"/>
      <c r="M4876" t="s">
        <v>478</v>
      </c>
      <c r="N4876" t="str">
        <f>Tabela_tudo[[#This Row],[Médico]]&amp;" ("&amp;Tabela_tudo[[#This Row],[Obs]]&amp;")"</f>
        <v>EDU ()</v>
      </c>
    </row>
    <row r="4877" spans="1:14" x14ac:dyDescent="0.3">
      <c r="A4877" s="1">
        <v>45166</v>
      </c>
      <c r="B4877" t="s">
        <v>32</v>
      </c>
      <c r="C4877" t="s">
        <v>18</v>
      </c>
      <c r="D4877" s="8"/>
      <c r="E4877" s="8"/>
      <c r="M4877" t="s">
        <v>478</v>
      </c>
      <c r="N4877" t="str">
        <f>Tabela_tudo[[#This Row],[Médico]]&amp;" ("&amp;Tabela_tudo[[#This Row],[Obs]]&amp;")"</f>
        <v>JS ()</v>
      </c>
    </row>
    <row r="4878" spans="1:14" x14ac:dyDescent="0.3">
      <c r="A4878" s="1">
        <v>45124</v>
      </c>
      <c r="B4878" t="s">
        <v>12</v>
      </c>
      <c r="C4878" t="s">
        <v>464</v>
      </c>
      <c r="D4878" s="8"/>
      <c r="E4878" s="8"/>
      <c r="M4878" t="s">
        <v>478</v>
      </c>
      <c r="N4878" t="str">
        <f>Tabela_tudo[[#This Row],[Médico]]&amp;" ("&amp;Tabela_tudo[[#This Row],[Obs]]&amp;")"</f>
        <v>EDU ()</v>
      </c>
    </row>
    <row r="4879" spans="1:14" x14ac:dyDescent="0.3">
      <c r="A4879" s="1">
        <v>45166</v>
      </c>
      <c r="B4879" t="s">
        <v>48</v>
      </c>
      <c r="C4879" t="s">
        <v>49</v>
      </c>
      <c r="D4879" s="8"/>
      <c r="E4879" s="8"/>
      <c r="M4879" t="s">
        <v>478</v>
      </c>
      <c r="N4879" t="str">
        <f>Tabela_tudo[[#This Row],[Médico]]&amp;" ("&amp;Tabela_tudo[[#This Row],[Obs]]&amp;")"</f>
        <v>MAF ()</v>
      </c>
    </row>
    <row r="4880" spans="1:14" x14ac:dyDescent="0.3">
      <c r="A4880" s="1">
        <v>45125</v>
      </c>
      <c r="B4880" t="s">
        <v>12</v>
      </c>
      <c r="C4880" t="s">
        <v>464</v>
      </c>
      <c r="D4880" s="8"/>
      <c r="E4880" s="8"/>
      <c r="M4880" t="s">
        <v>478</v>
      </c>
      <c r="N4880" t="str">
        <f>Tabela_tudo[[#This Row],[Médico]]&amp;" ("&amp;Tabela_tudo[[#This Row],[Obs]]&amp;")"</f>
        <v>EDU ()</v>
      </c>
    </row>
    <row r="4881" spans="1:14" x14ac:dyDescent="0.3">
      <c r="A4881" s="1">
        <v>45166</v>
      </c>
      <c r="B4881" t="s">
        <v>50</v>
      </c>
      <c r="C4881" t="s">
        <v>51</v>
      </c>
      <c r="D4881" s="8"/>
      <c r="E4881" s="8"/>
      <c r="M4881" t="s">
        <v>478</v>
      </c>
      <c r="N4881" t="str">
        <f>Tabela_tudo[[#This Row],[Médico]]&amp;" ("&amp;Tabela_tudo[[#This Row],[Obs]]&amp;")"</f>
        <v>PJP ()</v>
      </c>
    </row>
    <row r="4882" spans="1:14" x14ac:dyDescent="0.3">
      <c r="A4882" s="1">
        <v>45126</v>
      </c>
      <c r="B4882" t="s">
        <v>37</v>
      </c>
      <c r="C4882" t="s">
        <v>464</v>
      </c>
      <c r="D4882" s="8"/>
      <c r="E4882" s="8"/>
      <c r="M4882" t="s">
        <v>478</v>
      </c>
      <c r="N4882" t="str">
        <f>Tabela_tudo[[#This Row],[Médico]]&amp;" ("&amp;Tabela_tudo[[#This Row],[Obs]]&amp;")"</f>
        <v>EBB ()</v>
      </c>
    </row>
    <row r="4883" spans="1:14" x14ac:dyDescent="0.3">
      <c r="A4883" s="1">
        <v>45166</v>
      </c>
      <c r="B4883" t="s">
        <v>37</v>
      </c>
      <c r="C4883" t="s">
        <v>43</v>
      </c>
      <c r="D4883" s="8"/>
      <c r="E4883" s="8"/>
      <c r="M4883" t="s">
        <v>478</v>
      </c>
      <c r="N4883" t="str">
        <f>Tabela_tudo[[#This Row],[Médico]]&amp;" ("&amp;Tabela_tudo[[#This Row],[Obs]]&amp;")"</f>
        <v>EBB ()</v>
      </c>
    </row>
    <row r="4884" spans="1:14" x14ac:dyDescent="0.3">
      <c r="A4884" s="1">
        <v>45127</v>
      </c>
      <c r="B4884" t="s">
        <v>37</v>
      </c>
      <c r="C4884" t="s">
        <v>464</v>
      </c>
      <c r="D4884" s="8"/>
      <c r="E4884" s="8"/>
      <c r="M4884" t="s">
        <v>478</v>
      </c>
      <c r="N4884" t="str">
        <f>Tabela_tudo[[#This Row],[Médico]]&amp;" ("&amp;Tabela_tudo[[#This Row],[Obs]]&amp;")"</f>
        <v>EBB ()</v>
      </c>
    </row>
    <row r="4885" spans="1:14" x14ac:dyDescent="0.3">
      <c r="A4885" s="1">
        <v>45166</v>
      </c>
      <c r="B4885" t="s">
        <v>44</v>
      </c>
      <c r="C4885" t="s">
        <v>45</v>
      </c>
      <c r="D4885" s="8"/>
      <c r="E4885" s="8"/>
      <c r="M4885" t="s">
        <v>478</v>
      </c>
      <c r="N4885" t="str">
        <f>Tabela_tudo[[#This Row],[Médico]]&amp;" ("&amp;Tabela_tudo[[#This Row],[Obs]]&amp;")"</f>
        <v>REI ()</v>
      </c>
    </row>
    <row r="4886" spans="1:14" x14ac:dyDescent="0.3">
      <c r="A4886" s="1">
        <v>45124</v>
      </c>
      <c r="B4886" t="s">
        <v>37</v>
      </c>
      <c r="C4886" t="s">
        <v>464</v>
      </c>
      <c r="D4886" s="8"/>
      <c r="E4886" s="8"/>
      <c r="M4886" t="s">
        <v>478</v>
      </c>
      <c r="N4886" t="str">
        <f>Tabela_tudo[[#This Row],[Médico]]&amp;" ("&amp;Tabela_tudo[[#This Row],[Obs]]&amp;")"</f>
        <v>EBB ()</v>
      </c>
    </row>
    <row r="4887" spans="1:14" x14ac:dyDescent="0.3">
      <c r="A4887" s="1">
        <v>45166</v>
      </c>
      <c r="B4887" t="s">
        <v>21</v>
      </c>
      <c r="C4887" t="s">
        <v>46</v>
      </c>
      <c r="D4887" s="8"/>
      <c r="E4887" s="8"/>
      <c r="M4887" t="s">
        <v>478</v>
      </c>
      <c r="N4887" t="str">
        <f>Tabela_tudo[[#This Row],[Médico]]&amp;" ("&amp;Tabela_tudo[[#This Row],[Obs]]&amp;")"</f>
        <v>RA ()</v>
      </c>
    </row>
    <row r="4888" spans="1:14" x14ac:dyDescent="0.3">
      <c r="A4888" s="1">
        <v>45125</v>
      </c>
      <c r="B4888" t="s">
        <v>37</v>
      </c>
      <c r="C4888" t="s">
        <v>464</v>
      </c>
      <c r="D4888" s="8"/>
      <c r="E4888" s="8"/>
      <c r="M4888" t="s">
        <v>478</v>
      </c>
      <c r="N4888" t="str">
        <f>Tabela_tudo[[#This Row],[Médico]]&amp;" ("&amp;Tabela_tudo[[#This Row],[Obs]]&amp;")"</f>
        <v>EBB ()</v>
      </c>
    </row>
    <row r="4889" spans="1:14" x14ac:dyDescent="0.3">
      <c r="A4889" s="1">
        <v>45166</v>
      </c>
      <c r="B4889" t="s">
        <v>17</v>
      </c>
      <c r="C4889" t="s">
        <v>30</v>
      </c>
      <c r="D4889" s="8"/>
      <c r="E4889" s="8"/>
      <c r="M4889" t="s">
        <v>478</v>
      </c>
      <c r="N4889" t="str">
        <f>Tabela_tudo[[#This Row],[Médico]]&amp;" ("&amp;Tabela_tudo[[#This Row],[Obs]]&amp;")"</f>
        <v>FAB ()</v>
      </c>
    </row>
    <row r="4890" spans="1:14" x14ac:dyDescent="0.3">
      <c r="A4890" s="1">
        <v>45130</v>
      </c>
      <c r="B4890" t="s">
        <v>37</v>
      </c>
      <c r="C4890" t="s">
        <v>464</v>
      </c>
      <c r="D4890" s="8"/>
      <c r="E4890" s="8"/>
      <c r="M4890" t="s">
        <v>478</v>
      </c>
      <c r="N4890" t="str">
        <f>Tabela_tudo[[#This Row],[Médico]]&amp;" ("&amp;Tabela_tudo[[#This Row],[Obs]]&amp;")"</f>
        <v>EBB ()</v>
      </c>
    </row>
    <row r="4891" spans="1:14" x14ac:dyDescent="0.3">
      <c r="A4891" s="1">
        <v>45172</v>
      </c>
      <c r="B4891" t="s">
        <v>17</v>
      </c>
      <c r="C4891" t="s">
        <v>78</v>
      </c>
      <c r="D4891" s="8"/>
      <c r="E4891" s="8"/>
      <c r="M4891" t="s">
        <v>478</v>
      </c>
      <c r="N4891" t="str">
        <f>Tabela_tudo[[#This Row],[Médico]]&amp;" ("&amp;Tabela_tudo[[#This Row],[Obs]]&amp;")"</f>
        <v>FAB ()</v>
      </c>
    </row>
    <row r="4892" spans="1:14" x14ac:dyDescent="0.3">
      <c r="A4892" s="1">
        <v>45131</v>
      </c>
      <c r="B4892" t="s">
        <v>37</v>
      </c>
      <c r="C4892" t="s">
        <v>464</v>
      </c>
      <c r="D4892" s="8"/>
      <c r="E4892" s="8"/>
      <c r="M4892" t="s">
        <v>478</v>
      </c>
      <c r="N4892" t="str">
        <f>Tabela_tudo[[#This Row],[Médico]]&amp;" ("&amp;Tabela_tudo[[#This Row],[Obs]]&amp;")"</f>
        <v>EBB ()</v>
      </c>
    </row>
    <row r="4893" spans="1:14" x14ac:dyDescent="0.3">
      <c r="A4893" s="1">
        <v>45167</v>
      </c>
      <c r="B4893" t="s">
        <v>142</v>
      </c>
      <c r="C4893" t="s">
        <v>13</v>
      </c>
      <c r="D4893" s="8"/>
      <c r="E4893" s="8"/>
      <c r="M4893" t="s">
        <v>478</v>
      </c>
      <c r="N4893" t="str">
        <f>Tabela_tudo[[#This Row],[Médico]]&amp;" ("&amp;Tabela_tudo[[#This Row],[Obs]]&amp;")"</f>
        <v>VIV ()</v>
      </c>
    </row>
    <row r="4894" spans="1:14" x14ac:dyDescent="0.3">
      <c r="A4894" s="1">
        <v>45128</v>
      </c>
      <c r="B4894" t="s">
        <v>37</v>
      </c>
      <c r="C4894" t="s">
        <v>464</v>
      </c>
      <c r="D4894" s="8"/>
      <c r="E4894" s="8"/>
      <c r="M4894" t="s">
        <v>478</v>
      </c>
      <c r="N4894" t="str">
        <f>Tabela_tudo[[#This Row],[Médico]]&amp;" ("&amp;Tabela_tudo[[#This Row],[Obs]]&amp;")"</f>
        <v>EBB ()</v>
      </c>
    </row>
    <row r="4895" spans="1:14" x14ac:dyDescent="0.3">
      <c r="A4895" s="1">
        <v>45167</v>
      </c>
      <c r="B4895" t="s">
        <v>44</v>
      </c>
      <c r="C4895" t="s">
        <v>15</v>
      </c>
      <c r="D4895" s="8"/>
      <c r="E4895" s="8"/>
      <c r="M4895" t="s">
        <v>478</v>
      </c>
      <c r="N4895" t="str">
        <f>Tabela_tudo[[#This Row],[Médico]]&amp;" ("&amp;Tabela_tudo[[#This Row],[Obs]]&amp;")"</f>
        <v>REI ()</v>
      </c>
    </row>
    <row r="4896" spans="1:14" x14ac:dyDescent="0.3">
      <c r="A4896" s="1">
        <v>45129</v>
      </c>
      <c r="B4896" t="s">
        <v>37</v>
      </c>
      <c r="C4896" t="s">
        <v>464</v>
      </c>
      <c r="D4896" s="8"/>
      <c r="E4896" s="8"/>
      <c r="M4896" t="s">
        <v>478</v>
      </c>
      <c r="N4896" t="str">
        <f>Tabela_tudo[[#This Row],[Médico]]&amp;" ("&amp;Tabela_tudo[[#This Row],[Obs]]&amp;")"</f>
        <v>EBB ()</v>
      </c>
    </row>
    <row r="4897" spans="1:14" x14ac:dyDescent="0.3">
      <c r="A4897" s="1">
        <v>45166</v>
      </c>
      <c r="B4897" t="s">
        <v>50</v>
      </c>
      <c r="C4897" t="s">
        <v>30</v>
      </c>
      <c r="D4897" s="8"/>
      <c r="E4897" s="8"/>
      <c r="M4897" t="s">
        <v>478</v>
      </c>
      <c r="N4897" t="str">
        <f>Tabela_tudo[[#This Row],[Médico]]&amp;" ("&amp;Tabela_tudo[[#This Row],[Obs]]&amp;")"</f>
        <v>PJP ()</v>
      </c>
    </row>
    <row r="4898" spans="1:14" x14ac:dyDescent="0.3">
      <c r="A4898" s="1">
        <v>45131</v>
      </c>
      <c r="B4898" t="s">
        <v>84</v>
      </c>
      <c r="C4898" t="s">
        <v>464</v>
      </c>
      <c r="D4898" s="8"/>
      <c r="E4898" s="8"/>
      <c r="M4898" t="s">
        <v>478</v>
      </c>
      <c r="N4898" t="str">
        <f>Tabela_tudo[[#This Row],[Médico]]&amp;" ("&amp;Tabela_tudo[[#This Row],[Obs]]&amp;")"</f>
        <v>ANO ()</v>
      </c>
    </row>
    <row r="4899" spans="1:14" x14ac:dyDescent="0.3">
      <c r="A4899" s="1">
        <v>45172</v>
      </c>
      <c r="B4899" t="s">
        <v>72</v>
      </c>
      <c r="C4899" t="s">
        <v>13</v>
      </c>
      <c r="D4899" s="8"/>
      <c r="E4899" s="8"/>
      <c r="M4899" t="s">
        <v>478</v>
      </c>
      <c r="N4899" t="str">
        <f>Tabela_tudo[[#This Row],[Médico]]&amp;" ("&amp;Tabela_tudo[[#This Row],[Obs]]&amp;")"</f>
        <v>GRA ()</v>
      </c>
    </row>
    <row r="4900" spans="1:14" x14ac:dyDescent="0.3">
      <c r="A4900" s="1">
        <v>45132</v>
      </c>
      <c r="B4900" t="s">
        <v>84</v>
      </c>
      <c r="C4900" t="s">
        <v>464</v>
      </c>
      <c r="D4900" s="8"/>
      <c r="E4900" s="8"/>
      <c r="M4900" t="s">
        <v>478</v>
      </c>
      <c r="N4900" t="str">
        <f>Tabela_tudo[[#This Row],[Médico]]&amp;" ("&amp;Tabela_tudo[[#This Row],[Obs]]&amp;")"</f>
        <v>ANO ()</v>
      </c>
    </row>
    <row r="4901" spans="1:14" x14ac:dyDescent="0.3">
      <c r="A4901" s="1">
        <v>45172</v>
      </c>
      <c r="B4901" t="s">
        <v>94</v>
      </c>
      <c r="C4901" t="s">
        <v>8</v>
      </c>
      <c r="D4901" s="8"/>
      <c r="E4901" s="8"/>
      <c r="M4901" t="s">
        <v>478</v>
      </c>
      <c r="N4901" t="str">
        <f>Tabela_tudo[[#This Row],[Médico]]&amp;" ("&amp;Tabela_tudo[[#This Row],[Obs]]&amp;")"</f>
        <v>TOT ()</v>
      </c>
    </row>
    <row r="4902" spans="1:14" x14ac:dyDescent="0.3">
      <c r="A4902" s="1">
        <v>45136</v>
      </c>
      <c r="B4902" t="s">
        <v>32</v>
      </c>
      <c r="C4902" t="s">
        <v>464</v>
      </c>
      <c r="D4902" s="8"/>
      <c r="E4902" s="8"/>
      <c r="M4902" t="s">
        <v>478</v>
      </c>
      <c r="N4902" t="str">
        <f>Tabela_tudo[[#This Row],[Médico]]&amp;" ("&amp;Tabela_tudo[[#This Row],[Obs]]&amp;")"</f>
        <v>JS ()</v>
      </c>
    </row>
    <row r="4903" spans="1:14" x14ac:dyDescent="0.3">
      <c r="A4903" s="1">
        <v>45162</v>
      </c>
      <c r="B4903" t="s">
        <v>84</v>
      </c>
      <c r="C4903" t="s">
        <v>43</v>
      </c>
      <c r="D4903" s="8"/>
      <c r="E4903" s="8"/>
      <c r="M4903" t="s">
        <v>478</v>
      </c>
      <c r="N4903" t="str">
        <f>Tabela_tudo[[#This Row],[Médico]]&amp;" ("&amp;Tabela_tudo[[#This Row],[Obs]]&amp;")"</f>
        <v>ANO ()</v>
      </c>
    </row>
    <row r="4904" spans="1:14" x14ac:dyDescent="0.3">
      <c r="A4904" s="1">
        <v>45137</v>
      </c>
      <c r="B4904" t="s">
        <v>32</v>
      </c>
      <c r="C4904" t="s">
        <v>464</v>
      </c>
      <c r="D4904" s="8"/>
      <c r="E4904" s="8"/>
      <c r="M4904" t="s">
        <v>478</v>
      </c>
      <c r="N4904" t="str">
        <f>Tabela_tudo[[#This Row],[Médico]]&amp;" ("&amp;Tabela_tudo[[#This Row],[Obs]]&amp;")"</f>
        <v>JS ()</v>
      </c>
    </row>
    <row r="4905" spans="1:14" x14ac:dyDescent="0.3">
      <c r="A4905" s="1">
        <v>45152</v>
      </c>
      <c r="B4905" t="s">
        <v>33</v>
      </c>
      <c r="C4905" t="s">
        <v>30</v>
      </c>
      <c r="D4905" s="8"/>
      <c r="E4905" s="8"/>
      <c r="M4905" t="s">
        <v>478</v>
      </c>
      <c r="N4905" t="str">
        <f>Tabela_tudo[[#This Row],[Médico]]&amp;" ("&amp;Tabela_tudo[[#This Row],[Obs]]&amp;")"</f>
        <v>DIF ()</v>
      </c>
    </row>
    <row r="4906" spans="1:14" x14ac:dyDescent="0.3">
      <c r="A4906" s="1">
        <v>45135</v>
      </c>
      <c r="B4906" t="s">
        <v>84</v>
      </c>
      <c r="C4906" t="s">
        <v>464</v>
      </c>
      <c r="D4906" s="8"/>
      <c r="E4906" s="8"/>
      <c r="M4906" t="s">
        <v>478</v>
      </c>
      <c r="N4906" t="str">
        <f>Tabela_tudo[[#This Row],[Médico]]&amp;" ("&amp;Tabela_tudo[[#This Row],[Obs]]&amp;")"</f>
        <v>ANO ()</v>
      </c>
    </row>
    <row r="4907" spans="1:14" x14ac:dyDescent="0.3">
      <c r="A4907" s="1">
        <v>45156</v>
      </c>
      <c r="B4907" t="s">
        <v>34</v>
      </c>
      <c r="C4907" t="s">
        <v>13</v>
      </c>
      <c r="D4907" s="8"/>
      <c r="E4907" s="8"/>
      <c r="M4907" t="s">
        <v>478</v>
      </c>
      <c r="N4907" t="str">
        <f>Tabela_tudo[[#This Row],[Médico]]&amp;" ("&amp;Tabela_tudo[[#This Row],[Obs]]&amp;")"</f>
        <v>LIP ()</v>
      </c>
    </row>
    <row r="4908" spans="1:14" x14ac:dyDescent="0.3">
      <c r="A4908" s="1">
        <v>45131</v>
      </c>
      <c r="B4908" t="s">
        <v>64</v>
      </c>
      <c r="C4908" t="s">
        <v>464</v>
      </c>
      <c r="D4908" s="8"/>
      <c r="E4908" s="8"/>
      <c r="M4908" t="s">
        <v>478</v>
      </c>
      <c r="N4908" t="str">
        <f>Tabela_tudo[[#This Row],[Médico]]&amp;" ("&amp;Tabela_tudo[[#This Row],[Obs]]&amp;")"</f>
        <v>SAR ()</v>
      </c>
    </row>
    <row r="4909" spans="1:14" x14ac:dyDescent="0.3">
      <c r="A4909" s="1">
        <v>45156</v>
      </c>
      <c r="B4909" t="s">
        <v>33</v>
      </c>
      <c r="C4909" t="s">
        <v>15</v>
      </c>
      <c r="D4909" s="8"/>
      <c r="E4909" s="8"/>
      <c r="M4909" t="s">
        <v>478</v>
      </c>
      <c r="N4909" t="str">
        <f>Tabela_tudo[[#This Row],[Médico]]&amp;" ("&amp;Tabela_tudo[[#This Row],[Obs]]&amp;")"</f>
        <v>DIF ()</v>
      </c>
    </row>
    <row r="4910" spans="1:14" x14ac:dyDescent="0.3">
      <c r="A4910" s="1">
        <v>45133</v>
      </c>
      <c r="B4910" t="s">
        <v>84</v>
      </c>
      <c r="C4910" t="s">
        <v>464</v>
      </c>
      <c r="D4910" s="8"/>
      <c r="E4910" s="8"/>
      <c r="M4910" t="s">
        <v>478</v>
      </c>
      <c r="N4910" t="str">
        <f>Tabela_tudo[[#This Row],[Médico]]&amp;" ("&amp;Tabela_tudo[[#This Row],[Obs]]&amp;")"</f>
        <v>ANO ()</v>
      </c>
    </row>
    <row r="4911" spans="1:14" x14ac:dyDescent="0.3">
      <c r="A4911" s="1">
        <v>45152</v>
      </c>
      <c r="B4911" t="s">
        <v>32</v>
      </c>
      <c r="C4911" t="s">
        <v>18</v>
      </c>
      <c r="D4911" s="8"/>
      <c r="E4911" s="8"/>
      <c r="M4911" t="s">
        <v>478</v>
      </c>
      <c r="N4911" t="str">
        <f>Tabela_tudo[[#This Row],[Médico]]&amp;" ("&amp;Tabela_tudo[[#This Row],[Obs]]&amp;")"</f>
        <v>JS ()</v>
      </c>
    </row>
    <row r="4912" spans="1:14" x14ac:dyDescent="0.3">
      <c r="A4912" s="1">
        <v>45134</v>
      </c>
      <c r="B4912" t="s">
        <v>84</v>
      </c>
      <c r="C4912" t="s">
        <v>464</v>
      </c>
      <c r="D4912" s="8"/>
      <c r="E4912" s="8"/>
      <c r="M4912" t="s">
        <v>478</v>
      </c>
      <c r="N4912" t="str">
        <f>Tabela_tudo[[#This Row],[Médico]]&amp;" ("&amp;Tabela_tudo[[#This Row],[Obs]]&amp;")"</f>
        <v>ANO ()</v>
      </c>
    </row>
    <row r="4913" spans="1:14" x14ac:dyDescent="0.3">
      <c r="A4913" s="1">
        <v>45152</v>
      </c>
      <c r="B4913" t="s">
        <v>85</v>
      </c>
      <c r="C4913" t="s">
        <v>49</v>
      </c>
      <c r="D4913" s="8"/>
      <c r="E4913" s="8"/>
      <c r="M4913" t="s">
        <v>478</v>
      </c>
      <c r="N4913" t="str">
        <f>Tabela_tudo[[#This Row],[Médico]]&amp;" ("&amp;Tabela_tudo[[#This Row],[Obs]]&amp;")"</f>
        <v>ELF ()</v>
      </c>
    </row>
    <row r="4914" spans="1:14" x14ac:dyDescent="0.3">
      <c r="A4914" s="1">
        <v>45130</v>
      </c>
      <c r="B4914" t="s">
        <v>12</v>
      </c>
      <c r="C4914" t="s">
        <v>464</v>
      </c>
      <c r="D4914" s="8"/>
      <c r="E4914" s="8"/>
      <c r="M4914" t="s">
        <v>478</v>
      </c>
      <c r="N4914" t="str">
        <f>Tabela_tudo[[#This Row],[Médico]]&amp;" ("&amp;Tabela_tudo[[#This Row],[Obs]]&amp;")"</f>
        <v>EDU ()</v>
      </c>
    </row>
    <row r="4915" spans="1:14" x14ac:dyDescent="0.3">
      <c r="A4915" s="1">
        <v>45152</v>
      </c>
      <c r="B4915" t="s">
        <v>50</v>
      </c>
      <c r="C4915" t="s">
        <v>51</v>
      </c>
      <c r="D4915" s="8"/>
      <c r="E4915" s="8"/>
      <c r="M4915" t="s">
        <v>478</v>
      </c>
      <c r="N4915" t="str">
        <f>Tabela_tudo[[#This Row],[Médico]]&amp;" ("&amp;Tabela_tudo[[#This Row],[Obs]]&amp;")"</f>
        <v>PJP ()</v>
      </c>
    </row>
    <row r="4916" spans="1:14" x14ac:dyDescent="0.3">
      <c r="A4916" s="1">
        <v>45131</v>
      </c>
      <c r="B4916" t="s">
        <v>32</v>
      </c>
      <c r="C4916" t="s">
        <v>464</v>
      </c>
      <c r="D4916" s="8"/>
      <c r="E4916" s="8"/>
      <c r="M4916" t="s">
        <v>478</v>
      </c>
      <c r="N4916" t="str">
        <f>Tabela_tudo[[#This Row],[Médico]]&amp;" ("&amp;Tabela_tudo[[#This Row],[Obs]]&amp;")"</f>
        <v>JS ()</v>
      </c>
    </row>
    <row r="4917" spans="1:14" x14ac:dyDescent="0.3">
      <c r="A4917" s="1">
        <v>45156</v>
      </c>
      <c r="B4917" t="s">
        <v>68</v>
      </c>
      <c r="C4917" t="s">
        <v>8</v>
      </c>
      <c r="D4917" s="8"/>
      <c r="E4917" s="8"/>
      <c r="M4917" t="s">
        <v>478</v>
      </c>
      <c r="N4917" t="str">
        <f>Tabela_tudo[[#This Row],[Médico]]&amp;" ("&amp;Tabela_tudo[[#This Row],[Obs]]&amp;")"</f>
        <v>PED ()</v>
      </c>
    </row>
    <row r="4918" spans="1:14" x14ac:dyDescent="0.3">
      <c r="A4918" s="1">
        <v>45128</v>
      </c>
      <c r="B4918" t="s">
        <v>12</v>
      </c>
      <c r="C4918" t="s">
        <v>464</v>
      </c>
      <c r="D4918" s="8"/>
      <c r="E4918" s="8"/>
      <c r="M4918" t="s">
        <v>478</v>
      </c>
      <c r="N4918" t="str">
        <f>Tabela_tudo[[#This Row],[Médico]]&amp;" ("&amp;Tabela_tudo[[#This Row],[Obs]]&amp;")"</f>
        <v>EDU ()</v>
      </c>
    </row>
    <row r="4919" spans="1:14" x14ac:dyDescent="0.3">
      <c r="A4919" s="1">
        <v>45156</v>
      </c>
      <c r="B4919" t="s">
        <v>47</v>
      </c>
      <c r="C4919" t="s">
        <v>18</v>
      </c>
      <c r="D4919" s="8"/>
      <c r="E4919" s="8"/>
      <c r="M4919" t="s">
        <v>478</v>
      </c>
      <c r="N4919" t="str">
        <f>Tabela_tudo[[#This Row],[Médico]]&amp;" ("&amp;Tabela_tudo[[#This Row],[Obs]]&amp;")"</f>
        <v>VIN ()</v>
      </c>
    </row>
    <row r="4920" spans="1:14" x14ac:dyDescent="0.3">
      <c r="A4920" s="1">
        <v>45129</v>
      </c>
      <c r="B4920" t="s">
        <v>12</v>
      </c>
      <c r="C4920" t="s">
        <v>464</v>
      </c>
      <c r="D4920" s="8"/>
      <c r="E4920" s="8"/>
      <c r="M4920" t="s">
        <v>478</v>
      </c>
      <c r="N4920" t="str">
        <f>Tabela_tudo[[#This Row],[Médico]]&amp;" ("&amp;Tabela_tudo[[#This Row],[Obs]]&amp;")"</f>
        <v>EDU ()</v>
      </c>
    </row>
    <row r="4921" spans="1:14" x14ac:dyDescent="0.3">
      <c r="A4921" s="1">
        <v>45156</v>
      </c>
      <c r="B4921" t="s">
        <v>85</v>
      </c>
      <c r="C4921" t="s">
        <v>49</v>
      </c>
      <c r="D4921" s="8"/>
      <c r="E4921" s="8"/>
      <c r="M4921" t="s">
        <v>478</v>
      </c>
      <c r="N4921" t="str">
        <f>Tabela_tudo[[#This Row],[Médico]]&amp;" ("&amp;Tabela_tudo[[#This Row],[Obs]]&amp;")"</f>
        <v>ELF ()</v>
      </c>
    </row>
    <row r="4922" spans="1:14" x14ac:dyDescent="0.3">
      <c r="A4922" s="1">
        <v>45134</v>
      </c>
      <c r="B4922" t="s">
        <v>32</v>
      </c>
      <c r="C4922" t="s">
        <v>464</v>
      </c>
      <c r="D4922" s="8"/>
      <c r="E4922" s="8"/>
      <c r="M4922" t="s">
        <v>478</v>
      </c>
      <c r="N4922" t="str">
        <f>Tabela_tudo[[#This Row],[Médico]]&amp;" ("&amp;Tabela_tudo[[#This Row],[Obs]]&amp;")"</f>
        <v>JS ()</v>
      </c>
    </row>
    <row r="4923" spans="1:14" x14ac:dyDescent="0.3">
      <c r="A4923" s="1">
        <v>45156</v>
      </c>
      <c r="B4923" t="s">
        <v>17</v>
      </c>
      <c r="C4923" t="s">
        <v>51</v>
      </c>
      <c r="D4923" s="8"/>
      <c r="E4923" s="8"/>
      <c r="M4923" t="s">
        <v>478</v>
      </c>
      <c r="N4923" t="str">
        <f>Tabela_tudo[[#This Row],[Médico]]&amp;" ("&amp;Tabela_tudo[[#This Row],[Obs]]&amp;")"</f>
        <v>FAB ()</v>
      </c>
    </row>
    <row r="4924" spans="1:14" x14ac:dyDescent="0.3">
      <c r="A4924" s="1">
        <v>45135</v>
      </c>
      <c r="B4924" t="s">
        <v>32</v>
      </c>
      <c r="C4924" t="s">
        <v>464</v>
      </c>
      <c r="D4924" s="8"/>
      <c r="E4924" s="8"/>
      <c r="M4924" t="s">
        <v>478</v>
      </c>
      <c r="N4924" t="str">
        <f>Tabela_tudo[[#This Row],[Médico]]&amp;" ("&amp;Tabela_tudo[[#This Row],[Obs]]&amp;")"</f>
        <v>JS ()</v>
      </c>
    </row>
    <row r="4925" spans="1:14" x14ac:dyDescent="0.3">
      <c r="A4925" s="1">
        <v>45156</v>
      </c>
      <c r="B4925" t="s">
        <v>37</v>
      </c>
      <c r="C4925" t="s">
        <v>43</v>
      </c>
      <c r="D4925" s="8"/>
      <c r="E4925" s="8"/>
      <c r="M4925" t="s">
        <v>478</v>
      </c>
      <c r="N4925" t="str">
        <f>Tabela_tudo[[#This Row],[Médico]]&amp;" ("&amp;Tabela_tudo[[#This Row],[Obs]]&amp;")"</f>
        <v>EBB ()</v>
      </c>
    </row>
    <row r="4926" spans="1:14" x14ac:dyDescent="0.3">
      <c r="A4926" s="1">
        <v>45132</v>
      </c>
      <c r="B4926" t="s">
        <v>32</v>
      </c>
      <c r="C4926" t="s">
        <v>464</v>
      </c>
      <c r="D4926" s="8"/>
      <c r="E4926" s="8"/>
      <c r="M4926" t="s">
        <v>478</v>
      </c>
      <c r="N4926" t="str">
        <f>Tabela_tudo[[#This Row],[Médico]]&amp;" ("&amp;Tabela_tudo[[#This Row],[Obs]]&amp;")"</f>
        <v>JS ()</v>
      </c>
    </row>
    <row r="4927" spans="1:14" x14ac:dyDescent="0.3">
      <c r="A4927" s="1">
        <v>45156</v>
      </c>
      <c r="B4927" t="s">
        <v>23</v>
      </c>
      <c r="C4927" t="s">
        <v>45</v>
      </c>
      <c r="D4927" s="8"/>
      <c r="E4927" s="8"/>
      <c r="M4927" t="s">
        <v>478</v>
      </c>
      <c r="N4927" t="str">
        <f>Tabela_tudo[[#This Row],[Médico]]&amp;" ("&amp;Tabela_tudo[[#This Row],[Obs]]&amp;")"</f>
        <v>BG ()</v>
      </c>
    </row>
    <row r="4928" spans="1:14" x14ac:dyDescent="0.3">
      <c r="A4928" s="1">
        <v>45133</v>
      </c>
      <c r="B4928" t="s">
        <v>32</v>
      </c>
      <c r="C4928" t="s">
        <v>464</v>
      </c>
      <c r="D4928" s="8"/>
      <c r="E4928" s="8"/>
      <c r="M4928" t="s">
        <v>478</v>
      </c>
      <c r="N4928" t="str">
        <f>Tabela_tudo[[#This Row],[Médico]]&amp;" ("&amp;Tabela_tudo[[#This Row],[Obs]]&amp;")"</f>
        <v>JS ()</v>
      </c>
    </row>
    <row r="4929" spans="1:14" x14ac:dyDescent="0.3">
      <c r="A4929" s="1">
        <v>45156</v>
      </c>
      <c r="B4929" t="s">
        <v>21</v>
      </c>
      <c r="C4929" t="s">
        <v>46</v>
      </c>
      <c r="D4929" s="8"/>
      <c r="E4929" s="8"/>
      <c r="M4929" t="s">
        <v>478</v>
      </c>
      <c r="N4929" t="str">
        <f>Tabela_tudo[[#This Row],[Médico]]&amp;" ("&amp;Tabela_tudo[[#This Row],[Obs]]&amp;")"</f>
        <v>RA ()</v>
      </c>
    </row>
    <row r="4930" spans="1:14" x14ac:dyDescent="0.3">
      <c r="A4930" s="1">
        <v>45190</v>
      </c>
      <c r="B4930" t="s">
        <v>34</v>
      </c>
      <c r="C4930" t="s">
        <v>466</v>
      </c>
      <c r="D4930" s="8"/>
      <c r="E4930" s="8"/>
      <c r="F4930" t="s">
        <v>483</v>
      </c>
      <c r="M4930" t="s">
        <v>478</v>
      </c>
      <c r="N4930" t="str">
        <f>Tabela_tudo[[#This Row],[Médico]]&amp;" ("&amp;Tabela_tudo[[#This Row],[Obs]]&amp;")"</f>
        <v>LIP (SAVA)</v>
      </c>
    </row>
    <row r="4931" spans="1:14" x14ac:dyDescent="0.3">
      <c r="A4931" s="1">
        <v>45159</v>
      </c>
      <c r="B4931" t="s">
        <v>50</v>
      </c>
      <c r="C4931" t="s">
        <v>51</v>
      </c>
      <c r="D4931" s="8"/>
      <c r="E4931" s="8"/>
      <c r="M4931" t="s">
        <v>478</v>
      </c>
      <c r="N4931" t="str">
        <f>Tabela_tudo[[#This Row],[Médico]]&amp;" ("&amp;Tabela_tudo[[#This Row],[Obs]]&amp;")"</f>
        <v>PJP ()</v>
      </c>
    </row>
    <row r="4932" spans="1:14" x14ac:dyDescent="0.3">
      <c r="A4932" s="1">
        <v>45189</v>
      </c>
      <c r="B4932" t="s">
        <v>66</v>
      </c>
      <c r="C4932" t="s">
        <v>466</v>
      </c>
      <c r="D4932" s="8"/>
      <c r="E4932" s="8"/>
      <c r="F4932" t="s">
        <v>483</v>
      </c>
      <c r="M4932" t="s">
        <v>478</v>
      </c>
      <c r="N4932" t="str">
        <f>Tabela_tudo[[#This Row],[Médico]]&amp;" ("&amp;Tabela_tudo[[#This Row],[Obs]]&amp;")"</f>
        <v>MOZ (SAVA)</v>
      </c>
    </row>
    <row r="4933" spans="1:14" x14ac:dyDescent="0.3">
      <c r="A4933" s="1">
        <v>45159</v>
      </c>
      <c r="B4933" t="s">
        <v>72</v>
      </c>
      <c r="C4933" t="s">
        <v>30</v>
      </c>
      <c r="D4933" s="8"/>
      <c r="E4933" s="8"/>
      <c r="M4933" t="s">
        <v>478</v>
      </c>
      <c r="N4933" t="str">
        <f>Tabela_tudo[[#This Row],[Médico]]&amp;" ("&amp;Tabela_tudo[[#This Row],[Obs]]&amp;")"</f>
        <v>GRA ()</v>
      </c>
    </row>
    <row r="4934" spans="1:14" x14ac:dyDescent="0.3">
      <c r="A4934" s="1">
        <v>45190</v>
      </c>
      <c r="B4934" t="s">
        <v>32</v>
      </c>
      <c r="C4934" t="s">
        <v>466</v>
      </c>
      <c r="D4934" s="8"/>
      <c r="E4934" s="8"/>
      <c r="F4934" t="s">
        <v>483</v>
      </c>
      <c r="M4934" t="s">
        <v>478</v>
      </c>
      <c r="N4934" t="str">
        <f>Tabela_tudo[[#This Row],[Médico]]&amp;" ("&amp;Tabela_tudo[[#This Row],[Obs]]&amp;")"</f>
        <v>JS (SAVA)</v>
      </c>
    </row>
    <row r="4935" spans="1:14" x14ac:dyDescent="0.3">
      <c r="A4935" s="1">
        <v>45159</v>
      </c>
      <c r="B4935" t="s">
        <v>37</v>
      </c>
      <c r="C4935" t="s">
        <v>30</v>
      </c>
      <c r="D4935" s="8"/>
      <c r="E4935" s="8"/>
      <c r="M4935" t="s">
        <v>478</v>
      </c>
      <c r="N4935" t="str">
        <f>Tabela_tudo[[#This Row],[Médico]]&amp;" ("&amp;Tabela_tudo[[#This Row],[Obs]]&amp;")"</f>
        <v>EBB ()</v>
      </c>
    </row>
    <row r="4936" spans="1:14" x14ac:dyDescent="0.3">
      <c r="A4936" s="1">
        <v>45189</v>
      </c>
      <c r="B4936" t="s">
        <v>34</v>
      </c>
      <c r="C4936" t="s">
        <v>466</v>
      </c>
      <c r="D4936" s="8"/>
      <c r="E4936" s="8"/>
      <c r="F4936" t="s">
        <v>483</v>
      </c>
      <c r="M4936" t="s">
        <v>478</v>
      </c>
      <c r="N4936" t="str">
        <f>Tabela_tudo[[#This Row],[Médico]]&amp;" ("&amp;Tabela_tudo[[#This Row],[Obs]]&amp;")"</f>
        <v>LIP (SAVA)</v>
      </c>
    </row>
    <row r="4937" spans="1:14" x14ac:dyDescent="0.3">
      <c r="A4937" s="1">
        <v>45159</v>
      </c>
      <c r="B4937" t="s">
        <v>21</v>
      </c>
      <c r="C4937" t="s">
        <v>46</v>
      </c>
      <c r="D4937" s="8"/>
      <c r="E4937" s="8"/>
      <c r="M4937" t="s">
        <v>478</v>
      </c>
      <c r="N4937" t="str">
        <f>Tabela_tudo[[#This Row],[Médico]]&amp;" ("&amp;Tabela_tudo[[#This Row],[Obs]]&amp;")"</f>
        <v>RA ()</v>
      </c>
    </row>
    <row r="4938" spans="1:14" x14ac:dyDescent="0.3">
      <c r="A4938" s="1">
        <v>45205</v>
      </c>
      <c r="B4938" t="s">
        <v>47</v>
      </c>
      <c r="C4938" t="s">
        <v>465</v>
      </c>
      <c r="D4938" s="8"/>
      <c r="E4938" s="8"/>
      <c r="F4938" t="s">
        <v>465</v>
      </c>
      <c r="M4938" t="s">
        <v>478</v>
      </c>
      <c r="N4938" t="str">
        <f>Tabela_tudo[[#This Row],[Médico]]&amp;" ("&amp;Tabela_tudo[[#This Row],[Obs]]&amp;")"</f>
        <v>VIN (CONGRESSO)</v>
      </c>
    </row>
    <row r="4939" spans="1:14" x14ac:dyDescent="0.3">
      <c r="A4939" s="1">
        <v>45159</v>
      </c>
      <c r="B4939" t="s">
        <v>47</v>
      </c>
      <c r="C4939" t="s">
        <v>18</v>
      </c>
      <c r="D4939" s="8"/>
      <c r="E4939" s="8"/>
      <c r="M4939" t="s">
        <v>478</v>
      </c>
      <c r="N4939" t="str">
        <f>Tabela_tudo[[#This Row],[Médico]]&amp;" ("&amp;Tabela_tudo[[#This Row],[Obs]]&amp;")"</f>
        <v>VIN ()</v>
      </c>
    </row>
    <row r="4940" spans="1:14" x14ac:dyDescent="0.3">
      <c r="A4940" s="1">
        <v>45189</v>
      </c>
      <c r="B4940" t="s">
        <v>283</v>
      </c>
      <c r="C4940" t="s">
        <v>466</v>
      </c>
      <c r="D4940" s="8"/>
      <c r="E4940" s="8"/>
      <c r="F4940" t="s">
        <v>483</v>
      </c>
      <c r="M4940" t="s">
        <v>478</v>
      </c>
      <c r="N4940" t="str">
        <f>Tabela_tudo[[#This Row],[Médico]]&amp;" ("&amp;Tabela_tudo[[#This Row],[Obs]]&amp;")"</f>
        <v>JU (SAVA)</v>
      </c>
    </row>
    <row r="4941" spans="1:14" x14ac:dyDescent="0.3">
      <c r="A4941" s="1">
        <v>45159</v>
      </c>
      <c r="B4941" t="s">
        <v>71</v>
      </c>
      <c r="C4941" t="s">
        <v>49</v>
      </c>
      <c r="D4941" s="8"/>
      <c r="E4941" s="8"/>
      <c r="M4941" t="s">
        <v>478</v>
      </c>
      <c r="N4941" t="str">
        <f>Tabela_tudo[[#This Row],[Médico]]&amp;" ("&amp;Tabela_tudo[[#This Row],[Obs]]&amp;")"</f>
        <v>BRU ()</v>
      </c>
    </row>
    <row r="4942" spans="1:14" x14ac:dyDescent="0.3">
      <c r="A4942" s="1">
        <v>45190</v>
      </c>
      <c r="B4942" t="s">
        <v>66</v>
      </c>
      <c r="C4942" t="s">
        <v>466</v>
      </c>
      <c r="D4942" s="8"/>
      <c r="E4942" s="8"/>
      <c r="F4942" t="s">
        <v>483</v>
      </c>
      <c r="M4942" t="s">
        <v>478</v>
      </c>
      <c r="N4942" t="str">
        <f>Tabela_tudo[[#This Row],[Médico]]&amp;" ("&amp;Tabela_tudo[[#This Row],[Obs]]&amp;")"</f>
        <v>MOZ (SAVA)</v>
      </c>
    </row>
    <row r="4943" spans="1:14" x14ac:dyDescent="0.3">
      <c r="A4943" s="1">
        <v>45152</v>
      </c>
      <c r="B4943" t="s">
        <v>52</v>
      </c>
      <c r="C4943" t="s">
        <v>13</v>
      </c>
      <c r="D4943" s="8"/>
      <c r="E4943" s="8"/>
      <c r="M4943" t="s">
        <v>478</v>
      </c>
      <c r="N4943" t="str">
        <f>Tabela_tudo[[#This Row],[Médico]]&amp;" ("&amp;Tabela_tudo[[#This Row],[Obs]]&amp;")"</f>
        <v>AEL ()</v>
      </c>
    </row>
    <row r="4944" spans="1:14" x14ac:dyDescent="0.3">
      <c r="A4944" s="1">
        <v>45265</v>
      </c>
      <c r="B4944" t="s">
        <v>63</v>
      </c>
      <c r="C4944" t="s">
        <v>465</v>
      </c>
      <c r="D4944" s="8"/>
      <c r="E4944" s="8"/>
      <c r="F4944" t="s">
        <v>469</v>
      </c>
      <c r="M4944" t="s">
        <v>478</v>
      </c>
      <c r="N4944" t="str">
        <f>Tabela_tudo[[#This Row],[Médico]]&amp;" ("&amp;Tabela_tudo[[#This Row],[Obs]]&amp;")"</f>
        <v>FQ (PROVA TSA)</v>
      </c>
    </row>
    <row r="4945" spans="1:14" x14ac:dyDescent="0.3">
      <c r="A4945" s="1">
        <v>45152</v>
      </c>
      <c r="B4945" t="s">
        <v>84</v>
      </c>
      <c r="C4945" t="s">
        <v>43</v>
      </c>
      <c r="D4945" s="8"/>
      <c r="E4945" s="8"/>
      <c r="M4945" t="s">
        <v>478</v>
      </c>
      <c r="N4945" t="str">
        <f>Tabela_tudo[[#This Row],[Médico]]&amp;" ("&amp;Tabela_tudo[[#This Row],[Obs]]&amp;")"</f>
        <v>ANO ()</v>
      </c>
    </row>
    <row r="4946" spans="1:14" x14ac:dyDescent="0.3">
      <c r="A4946" s="1">
        <v>45259</v>
      </c>
      <c r="B4946" t="s">
        <v>63</v>
      </c>
      <c r="C4946" t="s">
        <v>464</v>
      </c>
      <c r="D4946" s="8"/>
      <c r="E4946" s="8"/>
      <c r="F4946" t="s">
        <v>464</v>
      </c>
      <c r="M4946" t="s">
        <v>478</v>
      </c>
      <c r="N4946" t="str">
        <f>Tabela_tudo[[#This Row],[Médico]]&amp;" ("&amp;Tabela_tudo[[#This Row],[Obs]]&amp;")"</f>
        <v>FQ (FÉRIAS)</v>
      </c>
    </row>
    <row r="4947" spans="1:14" x14ac:dyDescent="0.3">
      <c r="A4947" s="1">
        <v>45152</v>
      </c>
      <c r="B4947" t="s">
        <v>44</v>
      </c>
      <c r="C4947" t="s">
        <v>45</v>
      </c>
      <c r="D4947" s="8"/>
      <c r="E4947" s="8"/>
      <c r="M4947" t="s">
        <v>478</v>
      </c>
      <c r="N4947" t="str">
        <f>Tabela_tudo[[#This Row],[Médico]]&amp;" ("&amp;Tabela_tudo[[#This Row],[Obs]]&amp;")"</f>
        <v>REI ()</v>
      </c>
    </row>
    <row r="4948" spans="1:14" x14ac:dyDescent="0.3">
      <c r="A4948" s="1">
        <v>45260</v>
      </c>
      <c r="B4948" t="s">
        <v>63</v>
      </c>
      <c r="C4948" t="s">
        <v>464</v>
      </c>
      <c r="D4948" s="8"/>
      <c r="E4948" s="8"/>
      <c r="F4948" t="s">
        <v>464</v>
      </c>
      <c r="M4948" t="s">
        <v>478</v>
      </c>
      <c r="N4948" t="str">
        <f>Tabela_tudo[[#This Row],[Médico]]&amp;" ("&amp;Tabela_tudo[[#This Row],[Obs]]&amp;")"</f>
        <v>FQ (FÉRIAS)</v>
      </c>
    </row>
    <row r="4949" spans="1:14" x14ac:dyDescent="0.3">
      <c r="A4949" s="1">
        <v>45152</v>
      </c>
      <c r="B4949" t="s">
        <v>21</v>
      </c>
      <c r="C4949" t="s">
        <v>46</v>
      </c>
      <c r="D4949" s="8"/>
      <c r="E4949" s="8"/>
      <c r="M4949" t="s">
        <v>478</v>
      </c>
      <c r="N4949" t="str">
        <f>Tabela_tudo[[#This Row],[Médico]]&amp;" ("&amp;Tabela_tudo[[#This Row],[Obs]]&amp;")"</f>
        <v>RA ()</v>
      </c>
    </row>
    <row r="4950" spans="1:14" x14ac:dyDescent="0.3">
      <c r="A4950" s="1">
        <v>45257</v>
      </c>
      <c r="B4950" t="s">
        <v>63</v>
      </c>
      <c r="C4950" t="s">
        <v>464</v>
      </c>
      <c r="D4950" s="8"/>
      <c r="E4950" s="8"/>
      <c r="F4950" t="s">
        <v>464</v>
      </c>
      <c r="M4950" t="s">
        <v>478</v>
      </c>
      <c r="N4950" t="str">
        <f>Tabela_tudo[[#This Row],[Médico]]&amp;" ("&amp;Tabela_tudo[[#This Row],[Obs]]&amp;")"</f>
        <v>FQ (FÉRIAS)</v>
      </c>
    </row>
    <row r="4951" spans="1:14" x14ac:dyDescent="0.3">
      <c r="A4951" s="1">
        <v>45152</v>
      </c>
      <c r="B4951" t="s">
        <v>37</v>
      </c>
      <c r="C4951" t="s">
        <v>15</v>
      </c>
      <c r="D4951" s="8"/>
      <c r="E4951" s="8"/>
      <c r="M4951" t="s">
        <v>478</v>
      </c>
      <c r="N4951" t="str">
        <f>Tabela_tudo[[#This Row],[Médico]]&amp;" ("&amp;Tabela_tudo[[#This Row],[Obs]]&amp;")"</f>
        <v>EBB ()</v>
      </c>
    </row>
    <row r="4952" spans="1:14" x14ac:dyDescent="0.3">
      <c r="A4952" s="1">
        <v>45258</v>
      </c>
      <c r="B4952" t="s">
        <v>63</v>
      </c>
      <c r="C4952" t="s">
        <v>464</v>
      </c>
      <c r="D4952" s="8"/>
      <c r="E4952" s="8"/>
      <c r="F4952" t="s">
        <v>464</v>
      </c>
      <c r="M4952" t="s">
        <v>478</v>
      </c>
      <c r="N4952" t="str">
        <f>Tabela_tudo[[#This Row],[Médico]]&amp;" ("&amp;Tabela_tudo[[#This Row],[Obs]]&amp;")"</f>
        <v>FQ (FÉRIAS)</v>
      </c>
    </row>
    <row r="4953" spans="1:14" x14ac:dyDescent="0.3">
      <c r="A4953" s="1">
        <v>45152</v>
      </c>
      <c r="B4953" t="s">
        <v>73</v>
      </c>
      <c r="C4953" t="s">
        <v>8</v>
      </c>
      <c r="D4953" s="8"/>
      <c r="E4953" s="8"/>
      <c r="M4953" t="s">
        <v>478</v>
      </c>
      <c r="N4953" t="str">
        <f>Tabela_tudo[[#This Row],[Médico]]&amp;" ("&amp;Tabela_tudo[[#This Row],[Obs]]&amp;")"</f>
        <v>RT ()</v>
      </c>
    </row>
    <row r="4954" spans="1:14" x14ac:dyDescent="0.3">
      <c r="A4954" s="1">
        <v>45263</v>
      </c>
      <c r="B4954" t="s">
        <v>63</v>
      </c>
      <c r="C4954" t="s">
        <v>464</v>
      </c>
      <c r="D4954" s="8"/>
      <c r="E4954" s="8"/>
      <c r="F4954" t="s">
        <v>464</v>
      </c>
      <c r="M4954" t="s">
        <v>478</v>
      </c>
      <c r="N4954" t="str">
        <f>Tabela_tudo[[#This Row],[Médico]]&amp;" ("&amp;Tabela_tudo[[#This Row],[Obs]]&amp;")"</f>
        <v>FQ (FÉRIAS)</v>
      </c>
    </row>
    <row r="4955" spans="1:14" x14ac:dyDescent="0.3">
      <c r="A4955" s="1">
        <v>45152</v>
      </c>
      <c r="B4955" t="s">
        <v>50</v>
      </c>
      <c r="C4955" t="s">
        <v>30</v>
      </c>
      <c r="D4955" s="8"/>
      <c r="E4955" s="8"/>
      <c r="M4955" t="s">
        <v>478</v>
      </c>
      <c r="N4955" t="str">
        <f>Tabela_tudo[[#This Row],[Médico]]&amp;" ("&amp;Tabela_tudo[[#This Row],[Obs]]&amp;")"</f>
        <v>PJP ()</v>
      </c>
    </row>
    <row r="4956" spans="1:14" x14ac:dyDescent="0.3">
      <c r="A4956" s="1">
        <v>45189</v>
      </c>
      <c r="B4956" t="s">
        <v>32</v>
      </c>
      <c r="C4956" t="s">
        <v>466</v>
      </c>
      <c r="D4956" s="8"/>
      <c r="E4956" s="8"/>
      <c r="F4956" t="s">
        <v>483</v>
      </c>
      <c r="M4956" t="s">
        <v>478</v>
      </c>
      <c r="N4956" t="str">
        <f>Tabela_tudo[[#This Row],[Médico]]&amp;" ("&amp;Tabela_tudo[[#This Row],[Obs]]&amp;")"</f>
        <v>JS (SAVA)</v>
      </c>
    </row>
    <row r="4957" spans="1:14" x14ac:dyDescent="0.3">
      <c r="A4957" s="1">
        <v>45156</v>
      </c>
      <c r="B4957" t="s">
        <v>16</v>
      </c>
      <c r="C4957" t="s">
        <v>30</v>
      </c>
      <c r="D4957" s="8"/>
      <c r="E4957" s="8"/>
      <c r="M4957" t="s">
        <v>478</v>
      </c>
      <c r="N4957" t="str">
        <f>Tabela_tudo[[#This Row],[Médico]]&amp;" ("&amp;Tabela_tudo[[#This Row],[Obs]]&amp;")"</f>
        <v>PP ()</v>
      </c>
    </row>
    <row r="4958" spans="1:14" x14ac:dyDescent="0.3">
      <c r="A4958" s="1">
        <v>45261</v>
      </c>
      <c r="B4958" t="s">
        <v>63</v>
      </c>
      <c r="C4958" t="s">
        <v>464</v>
      </c>
      <c r="D4958" s="8"/>
      <c r="E4958" s="8"/>
      <c r="F4958" t="s">
        <v>464</v>
      </c>
      <c r="M4958" t="s">
        <v>478</v>
      </c>
      <c r="N4958" t="str">
        <f>Tabela_tudo[[#This Row],[Médico]]&amp;" ("&amp;Tabela_tudo[[#This Row],[Obs]]&amp;")"</f>
        <v>FQ (FÉRIAS)</v>
      </c>
    </row>
    <row r="4959" spans="1:14" x14ac:dyDescent="0.3">
      <c r="A4959" s="1">
        <v>45161</v>
      </c>
      <c r="B4959" t="s">
        <v>66</v>
      </c>
      <c r="C4959" t="s">
        <v>45</v>
      </c>
      <c r="D4959" s="8"/>
      <c r="E4959" s="8"/>
      <c r="M4959" t="s">
        <v>478</v>
      </c>
      <c r="N4959" t="str">
        <f>Tabela_tudo[[#This Row],[Médico]]&amp;" ("&amp;Tabela_tudo[[#This Row],[Obs]]&amp;")"</f>
        <v>MOZ ()</v>
      </c>
    </row>
    <row r="4960" spans="1:14" x14ac:dyDescent="0.3">
      <c r="A4960" s="1">
        <v>45262</v>
      </c>
      <c r="B4960" t="s">
        <v>63</v>
      </c>
      <c r="C4960" t="s">
        <v>464</v>
      </c>
      <c r="D4960" s="8"/>
      <c r="E4960" s="8"/>
      <c r="F4960" t="s">
        <v>464</v>
      </c>
      <c r="M4960" t="s">
        <v>478</v>
      </c>
      <c r="N4960" t="str">
        <f>Tabela_tudo[[#This Row],[Médico]]&amp;" ("&amp;Tabela_tudo[[#This Row],[Obs]]&amp;")"</f>
        <v>FQ (FÉRIAS)</v>
      </c>
    </row>
    <row r="4961" spans="1:14" x14ac:dyDescent="0.3">
      <c r="A4961" s="1">
        <v>45161</v>
      </c>
      <c r="B4961" t="s">
        <v>68</v>
      </c>
      <c r="C4961" t="s">
        <v>46</v>
      </c>
      <c r="D4961" s="8"/>
      <c r="E4961" s="8"/>
      <c r="M4961" t="s">
        <v>478</v>
      </c>
      <c r="N4961" t="str">
        <f>Tabela_tudo[[#This Row],[Médico]]&amp;" ("&amp;Tabela_tudo[[#This Row],[Obs]]&amp;")"</f>
        <v>PED ()</v>
      </c>
    </row>
    <row r="4962" spans="1:14" x14ac:dyDescent="0.3">
      <c r="A4962" s="1">
        <v>45240</v>
      </c>
      <c r="B4962" t="s">
        <v>50</v>
      </c>
      <c r="C4962" t="s">
        <v>464</v>
      </c>
      <c r="D4962" s="8"/>
      <c r="E4962" s="8"/>
      <c r="M4962" t="s">
        <v>478</v>
      </c>
      <c r="N4962" t="str">
        <f>Tabela_tudo[[#This Row],[Médico]]&amp;" ("&amp;Tabela_tudo[[#This Row],[Obs]]&amp;")"</f>
        <v>PJP ()</v>
      </c>
    </row>
    <row r="4963" spans="1:14" x14ac:dyDescent="0.3">
      <c r="A4963" s="1">
        <v>45161</v>
      </c>
      <c r="B4963" t="s">
        <v>72</v>
      </c>
      <c r="C4963" t="s">
        <v>18</v>
      </c>
      <c r="D4963" s="8"/>
      <c r="E4963" s="8"/>
      <c r="M4963" t="s">
        <v>478</v>
      </c>
      <c r="N4963" t="str">
        <f>Tabela_tudo[[#This Row],[Médico]]&amp;" ("&amp;Tabela_tudo[[#This Row],[Obs]]&amp;")"</f>
        <v>GRA ()</v>
      </c>
    </row>
    <row r="4964" spans="1:14" x14ac:dyDescent="0.3">
      <c r="A4964" s="1">
        <v>45241</v>
      </c>
      <c r="B4964" t="s">
        <v>50</v>
      </c>
      <c r="C4964" t="s">
        <v>464</v>
      </c>
      <c r="D4964" s="8"/>
      <c r="E4964" s="8"/>
      <c r="M4964" t="s">
        <v>478</v>
      </c>
      <c r="N4964" t="str">
        <f>Tabela_tudo[[#This Row],[Médico]]&amp;" ("&amp;Tabela_tudo[[#This Row],[Obs]]&amp;")"</f>
        <v>PJP ()</v>
      </c>
    </row>
    <row r="4965" spans="1:14" x14ac:dyDescent="0.3">
      <c r="A4965" s="1">
        <v>45161</v>
      </c>
      <c r="B4965" t="s">
        <v>64</v>
      </c>
      <c r="C4965" t="s">
        <v>15</v>
      </c>
      <c r="D4965" s="8"/>
      <c r="E4965" s="8"/>
      <c r="M4965" t="s">
        <v>478</v>
      </c>
      <c r="N4965" t="str">
        <f>Tabela_tudo[[#This Row],[Médico]]&amp;" ("&amp;Tabela_tudo[[#This Row],[Obs]]&amp;")"</f>
        <v>SAR ()</v>
      </c>
    </row>
    <row r="4966" spans="1:14" x14ac:dyDescent="0.3">
      <c r="A4966" s="1">
        <v>45238</v>
      </c>
      <c r="B4966" t="s">
        <v>50</v>
      </c>
      <c r="C4966" t="s">
        <v>464</v>
      </c>
      <c r="D4966" s="8"/>
      <c r="E4966" s="8"/>
      <c r="M4966" t="s">
        <v>478</v>
      </c>
      <c r="N4966" t="str">
        <f>Tabela_tudo[[#This Row],[Médico]]&amp;" ("&amp;Tabela_tudo[[#This Row],[Obs]]&amp;")"</f>
        <v>PJP ()</v>
      </c>
    </row>
    <row r="4967" spans="1:14" x14ac:dyDescent="0.3">
      <c r="A4967" s="1">
        <v>45161</v>
      </c>
      <c r="B4967" t="s">
        <v>52</v>
      </c>
      <c r="C4967" t="s">
        <v>8</v>
      </c>
      <c r="D4967" s="8"/>
      <c r="E4967" s="8"/>
      <c r="M4967" t="s">
        <v>478</v>
      </c>
      <c r="N4967" t="str">
        <f>Tabela_tudo[[#This Row],[Médico]]&amp;" ("&amp;Tabela_tudo[[#This Row],[Obs]]&amp;")"</f>
        <v>AEL ()</v>
      </c>
    </row>
    <row r="4968" spans="1:14" x14ac:dyDescent="0.3">
      <c r="A4968" s="1">
        <v>45239</v>
      </c>
      <c r="B4968" t="s">
        <v>50</v>
      </c>
      <c r="C4968" t="s">
        <v>464</v>
      </c>
      <c r="D4968" s="8"/>
      <c r="E4968" s="8"/>
      <c r="M4968" t="s">
        <v>478</v>
      </c>
      <c r="N4968" t="str">
        <f>Tabela_tudo[[#This Row],[Médico]]&amp;" ("&amp;Tabela_tudo[[#This Row],[Obs]]&amp;")"</f>
        <v>PJP ()</v>
      </c>
    </row>
    <row r="4969" spans="1:14" x14ac:dyDescent="0.3">
      <c r="A4969" s="1">
        <v>45161</v>
      </c>
      <c r="B4969" t="s">
        <v>84</v>
      </c>
      <c r="C4969" t="s">
        <v>43</v>
      </c>
      <c r="D4969" s="8"/>
      <c r="E4969" s="8"/>
      <c r="M4969" t="s">
        <v>478</v>
      </c>
      <c r="N4969" t="str">
        <f>Tabela_tudo[[#This Row],[Médico]]&amp;" ("&amp;Tabela_tudo[[#This Row],[Obs]]&amp;")"</f>
        <v>ANO ()</v>
      </c>
    </row>
    <row r="4970" spans="1:14" x14ac:dyDescent="0.3">
      <c r="A4970" s="1">
        <v>45266</v>
      </c>
      <c r="B4970" t="s">
        <v>68</v>
      </c>
      <c r="C4970" t="s">
        <v>464</v>
      </c>
      <c r="D4970" s="8"/>
      <c r="E4970" s="8"/>
      <c r="M4970" t="s">
        <v>478</v>
      </c>
      <c r="N4970" t="str">
        <f>Tabela_tudo[[#This Row],[Médico]]&amp;" ("&amp;Tabela_tudo[[#This Row],[Obs]]&amp;")"</f>
        <v>PED ()</v>
      </c>
    </row>
    <row r="4971" spans="1:14" x14ac:dyDescent="0.3">
      <c r="A4971" s="1">
        <v>45161</v>
      </c>
      <c r="B4971" t="s">
        <v>71</v>
      </c>
      <c r="C4971" t="s">
        <v>49</v>
      </c>
      <c r="D4971" s="8"/>
      <c r="E4971" s="8"/>
      <c r="M4971" t="s">
        <v>478</v>
      </c>
      <c r="N4971" t="str">
        <f>Tabela_tudo[[#This Row],[Médico]]&amp;" ("&amp;Tabela_tudo[[#This Row],[Obs]]&amp;")"</f>
        <v>BRU ()</v>
      </c>
    </row>
    <row r="4972" spans="1:14" x14ac:dyDescent="0.3">
      <c r="A4972" s="1">
        <v>45267</v>
      </c>
      <c r="B4972" t="s">
        <v>68</v>
      </c>
      <c r="C4972" t="s">
        <v>464</v>
      </c>
      <c r="D4972" s="8"/>
      <c r="E4972" s="8"/>
      <c r="M4972" t="s">
        <v>478</v>
      </c>
      <c r="N4972" t="str">
        <f>Tabela_tudo[[#This Row],[Médico]]&amp;" ("&amp;Tabela_tudo[[#This Row],[Obs]]&amp;")"</f>
        <v>PED ()</v>
      </c>
    </row>
    <row r="4973" spans="1:14" x14ac:dyDescent="0.3">
      <c r="A4973" s="1">
        <v>45162</v>
      </c>
      <c r="B4973" t="s">
        <v>73</v>
      </c>
      <c r="C4973" t="s">
        <v>13</v>
      </c>
      <c r="D4973" s="8"/>
      <c r="E4973" s="8"/>
      <c r="M4973" t="s">
        <v>478</v>
      </c>
      <c r="N4973" t="str">
        <f>Tabela_tudo[[#This Row],[Médico]]&amp;" ("&amp;Tabela_tudo[[#This Row],[Obs]]&amp;")"</f>
        <v>RT ()</v>
      </c>
    </row>
    <row r="4974" spans="1:14" x14ac:dyDescent="0.3">
      <c r="A4974" s="1">
        <v>45264</v>
      </c>
      <c r="B4974" t="s">
        <v>68</v>
      </c>
      <c r="C4974" t="s">
        <v>464</v>
      </c>
      <c r="D4974" s="8"/>
      <c r="E4974" s="8"/>
      <c r="M4974" t="s">
        <v>478</v>
      </c>
      <c r="N4974" t="str">
        <f>Tabela_tudo[[#This Row],[Médico]]&amp;" ("&amp;Tabela_tudo[[#This Row],[Obs]]&amp;")"</f>
        <v>PED ()</v>
      </c>
    </row>
    <row r="4975" spans="1:14" x14ac:dyDescent="0.3">
      <c r="A4975" s="1">
        <v>45162</v>
      </c>
      <c r="B4975" t="s">
        <v>63</v>
      </c>
      <c r="C4975" t="s">
        <v>15</v>
      </c>
      <c r="D4975" s="8"/>
      <c r="E4975" s="8"/>
      <c r="M4975" t="s">
        <v>478</v>
      </c>
      <c r="N4975" t="str">
        <f>Tabela_tudo[[#This Row],[Médico]]&amp;" ("&amp;Tabela_tudo[[#This Row],[Obs]]&amp;")"</f>
        <v>FQ ()</v>
      </c>
    </row>
    <row r="4976" spans="1:14" x14ac:dyDescent="0.3">
      <c r="A4976" s="1">
        <v>45265</v>
      </c>
      <c r="B4976" t="s">
        <v>68</v>
      </c>
      <c r="C4976" t="s">
        <v>464</v>
      </c>
      <c r="D4976" s="8"/>
      <c r="E4976" s="8"/>
      <c r="M4976" t="s">
        <v>478</v>
      </c>
      <c r="N4976" t="str">
        <f>Tabela_tudo[[#This Row],[Médico]]&amp;" ("&amp;Tabela_tudo[[#This Row],[Obs]]&amp;")"</f>
        <v>PED ()</v>
      </c>
    </row>
    <row r="4977" spans="1:14" x14ac:dyDescent="0.3">
      <c r="A4977" s="1">
        <v>45162</v>
      </c>
      <c r="B4977" t="s">
        <v>29</v>
      </c>
      <c r="C4977" t="s">
        <v>8</v>
      </c>
      <c r="D4977" s="8"/>
      <c r="E4977" s="8"/>
      <c r="M4977" t="s">
        <v>478</v>
      </c>
      <c r="N4977" t="str">
        <f>Tabela_tudo[[#This Row],[Médico]]&amp;" ("&amp;Tabela_tudo[[#This Row],[Obs]]&amp;")"</f>
        <v>JOA ()</v>
      </c>
    </row>
    <row r="4978" spans="1:14" x14ac:dyDescent="0.3">
      <c r="A4978" s="1">
        <v>45163</v>
      </c>
      <c r="B4978" t="s">
        <v>14</v>
      </c>
      <c r="C4978" t="s">
        <v>484</v>
      </c>
      <c r="D4978" s="8"/>
      <c r="E4978" s="8"/>
      <c r="M4978" t="s">
        <v>478</v>
      </c>
      <c r="N4978" t="str">
        <f>Tabela_tudo[[#This Row],[Médico]]&amp;" ("&amp;Tabela_tudo[[#This Row],[Obs]]&amp;")"</f>
        <v>PW ()</v>
      </c>
    </row>
    <row r="4979" spans="1:14" x14ac:dyDescent="0.3">
      <c r="A4979" s="1">
        <v>45161</v>
      </c>
      <c r="B4979" t="s">
        <v>73</v>
      </c>
      <c r="C4979" t="s">
        <v>51</v>
      </c>
      <c r="D4979" s="8"/>
      <c r="E4979" s="8"/>
      <c r="M4979" t="s">
        <v>478</v>
      </c>
      <c r="N4979" t="str">
        <f>Tabela_tudo[[#This Row],[Médico]]&amp;" ("&amp;Tabela_tudo[[#This Row],[Obs]]&amp;")"</f>
        <v>RT ()</v>
      </c>
    </row>
    <row r="4980" spans="1:14" x14ac:dyDescent="0.3">
      <c r="A4980" s="1">
        <v>45257</v>
      </c>
      <c r="B4980" t="s">
        <v>23</v>
      </c>
      <c r="C4980" t="s">
        <v>465</v>
      </c>
      <c r="D4980" s="8"/>
      <c r="E4980" s="8"/>
      <c r="F4980" t="s">
        <v>485</v>
      </c>
      <c r="M4980" t="s">
        <v>478</v>
      </c>
      <c r="N4980" t="str">
        <f>Tabela_tudo[[#This Row],[Médico]]&amp;" ("&amp;Tabela_tudo[[#This Row],[Obs]]&amp;")"</f>
        <v>BG (HSM+)</v>
      </c>
    </row>
    <row r="4981" spans="1:14" x14ac:dyDescent="0.3">
      <c r="A4981" s="1">
        <v>45161</v>
      </c>
      <c r="B4981" t="s">
        <v>71</v>
      </c>
      <c r="C4981" t="s">
        <v>30</v>
      </c>
      <c r="D4981" s="8"/>
      <c r="E4981" s="8"/>
      <c r="M4981" t="s">
        <v>478</v>
      </c>
      <c r="N4981" t="str">
        <f>Tabela_tudo[[#This Row],[Médico]]&amp;" ("&amp;Tabela_tudo[[#This Row],[Obs]]&amp;")"</f>
        <v>BRU ()</v>
      </c>
    </row>
    <row r="4982" spans="1:14" x14ac:dyDescent="0.3">
      <c r="A4982" s="1">
        <v>45190</v>
      </c>
      <c r="B4982" t="s">
        <v>283</v>
      </c>
      <c r="C4982" t="s">
        <v>466</v>
      </c>
      <c r="D4982" s="8"/>
      <c r="E4982" s="8"/>
      <c r="F4982" t="s">
        <v>483</v>
      </c>
      <c r="M4982" t="s">
        <v>478</v>
      </c>
      <c r="N4982" t="str">
        <f>Tabela_tudo[[#This Row],[Médico]]&amp;" ("&amp;Tabela_tudo[[#This Row],[Obs]]&amp;")"</f>
        <v>JU (SAVA)</v>
      </c>
    </row>
    <row r="4983" spans="1:14" x14ac:dyDescent="0.3">
      <c r="A4983" s="1">
        <v>45161</v>
      </c>
      <c r="B4983" t="s">
        <v>84</v>
      </c>
      <c r="C4983" t="s">
        <v>30</v>
      </c>
      <c r="D4983" s="8"/>
      <c r="E4983" s="8"/>
      <c r="M4983" t="s">
        <v>478</v>
      </c>
      <c r="N4983" t="str">
        <f>Tabela_tudo[[#This Row],[Médico]]&amp;" ("&amp;Tabela_tudo[[#This Row],[Obs]]&amp;")"</f>
        <v>ANO ()</v>
      </c>
    </row>
    <row r="4984" spans="1:14" x14ac:dyDescent="0.3">
      <c r="A4984" s="1">
        <v>45162</v>
      </c>
      <c r="B4984" t="s">
        <v>14</v>
      </c>
      <c r="C4984" t="s">
        <v>484</v>
      </c>
      <c r="D4984" s="8"/>
      <c r="E4984" s="8"/>
      <c r="M4984" t="s">
        <v>478</v>
      </c>
      <c r="N4984" t="str">
        <f>Tabela_tudo[[#This Row],[Médico]]&amp;" ("&amp;Tabela_tudo[[#This Row],[Obs]]&amp;")"</f>
        <v>PW ()</v>
      </c>
    </row>
    <row r="4985" spans="1:14" x14ac:dyDescent="0.3">
      <c r="A4985" s="1">
        <v>45160</v>
      </c>
      <c r="B4985" t="s">
        <v>33</v>
      </c>
      <c r="C4985" t="s">
        <v>8</v>
      </c>
      <c r="D4985" s="8"/>
      <c r="E4985" s="8"/>
      <c r="M4985" t="s">
        <v>478</v>
      </c>
      <c r="N4985" t="str">
        <f>Tabela_tudo[[#This Row],[Médico]]&amp;" ("&amp;Tabela_tudo[[#This Row],[Obs]]&amp;")"</f>
        <v>DIF ()</v>
      </c>
    </row>
    <row r="4986" spans="1:14" x14ac:dyDescent="0.3">
      <c r="A4986" s="1">
        <v>45236</v>
      </c>
      <c r="B4986" t="s">
        <v>50</v>
      </c>
      <c r="C4986" t="s">
        <v>464</v>
      </c>
      <c r="D4986" s="8"/>
      <c r="E4986" s="8"/>
      <c r="M4986" t="s">
        <v>478</v>
      </c>
      <c r="N4986" t="str">
        <f>Tabela_tudo[[#This Row],[Médico]]&amp;" ("&amp;Tabela_tudo[[#This Row],[Obs]]&amp;")"</f>
        <v>PJP ()</v>
      </c>
    </row>
    <row r="4987" spans="1:14" x14ac:dyDescent="0.3">
      <c r="A4987" s="1">
        <v>45160</v>
      </c>
      <c r="B4987" t="s">
        <v>64</v>
      </c>
      <c r="C4987" t="s">
        <v>43</v>
      </c>
      <c r="D4987" s="8"/>
      <c r="E4987" s="8"/>
      <c r="M4987" t="s">
        <v>478</v>
      </c>
      <c r="N4987" t="str">
        <f>Tabela_tudo[[#This Row],[Médico]]&amp;" ("&amp;Tabela_tudo[[#This Row],[Obs]]&amp;")"</f>
        <v>SAR ()</v>
      </c>
    </row>
    <row r="4988" spans="1:14" x14ac:dyDescent="0.3">
      <c r="A4988" s="1">
        <v>45237</v>
      </c>
      <c r="B4988" t="s">
        <v>50</v>
      </c>
      <c r="C4988" t="s">
        <v>464</v>
      </c>
      <c r="D4988" s="8"/>
      <c r="E4988" s="8"/>
      <c r="M4988" t="s">
        <v>478</v>
      </c>
      <c r="N4988" t="str">
        <f>Tabela_tudo[[#This Row],[Médico]]&amp;" ("&amp;Tabela_tudo[[#This Row],[Obs]]&amp;")"</f>
        <v>PJP ()</v>
      </c>
    </row>
    <row r="4989" spans="1:14" x14ac:dyDescent="0.3">
      <c r="A4989" s="1">
        <v>45160</v>
      </c>
      <c r="B4989" t="s">
        <v>23</v>
      </c>
      <c r="C4989" t="s">
        <v>45</v>
      </c>
      <c r="D4989" s="8"/>
      <c r="E4989" s="8"/>
      <c r="M4989" t="s">
        <v>478</v>
      </c>
      <c r="N4989" t="str">
        <f>Tabela_tudo[[#This Row],[Médico]]&amp;" ("&amp;Tabela_tudo[[#This Row],[Obs]]&amp;")"</f>
        <v>BG ()</v>
      </c>
    </row>
    <row r="4990" spans="1:14" x14ac:dyDescent="0.3">
      <c r="A4990" s="1">
        <v>45258</v>
      </c>
      <c r="B4990" t="s">
        <v>23</v>
      </c>
      <c r="C4990" t="s">
        <v>465</v>
      </c>
      <c r="D4990" s="8"/>
      <c r="E4990" s="8"/>
      <c r="F4990" t="s">
        <v>485</v>
      </c>
      <c r="M4990" t="s">
        <v>478</v>
      </c>
      <c r="N4990" t="str">
        <f>Tabela_tudo[[#This Row],[Médico]]&amp;" ("&amp;Tabela_tudo[[#This Row],[Obs]]&amp;")"</f>
        <v>BG (HSM+)</v>
      </c>
    </row>
    <row r="4991" spans="1:14" x14ac:dyDescent="0.3">
      <c r="A4991" s="1">
        <v>45156</v>
      </c>
      <c r="B4991" t="s">
        <v>64</v>
      </c>
      <c r="C4991" t="s">
        <v>30</v>
      </c>
      <c r="D4991" s="8"/>
      <c r="E4991" s="8"/>
      <c r="M4991" t="s">
        <v>478</v>
      </c>
      <c r="N4991" t="str">
        <f>Tabela_tudo[[#This Row],[Médico]]&amp;" ("&amp;Tabela_tudo[[#This Row],[Obs]]&amp;")"</f>
        <v>SAR ()</v>
      </c>
    </row>
    <row r="4992" spans="1:14" x14ac:dyDescent="0.3">
      <c r="A4992" s="1">
        <v>45259</v>
      </c>
      <c r="B4992" t="s">
        <v>23</v>
      </c>
      <c r="C4992" t="s">
        <v>465</v>
      </c>
      <c r="D4992" s="8"/>
      <c r="E4992" s="8"/>
      <c r="F4992" t="s">
        <v>485</v>
      </c>
      <c r="M4992" t="s">
        <v>478</v>
      </c>
      <c r="N4992" t="str">
        <f>Tabela_tudo[[#This Row],[Médico]]&amp;" ("&amp;Tabela_tudo[[#This Row],[Obs]]&amp;")"</f>
        <v>BG (HSM+)</v>
      </c>
    </row>
    <row r="4993" spans="1:14" x14ac:dyDescent="0.3">
      <c r="A4993" s="1">
        <v>45160</v>
      </c>
      <c r="B4993" t="s">
        <v>48</v>
      </c>
      <c r="C4993" t="s">
        <v>13</v>
      </c>
      <c r="D4993" s="8"/>
      <c r="E4993" s="8"/>
      <c r="M4993" t="s">
        <v>478</v>
      </c>
      <c r="N4993" t="str">
        <f>Tabela_tudo[[#This Row],[Médico]]&amp;" ("&amp;Tabela_tudo[[#This Row],[Obs]]&amp;")"</f>
        <v>MAF ()</v>
      </c>
    </row>
    <row r="4994" spans="1:14" x14ac:dyDescent="0.3">
      <c r="A4994" s="1">
        <v>45256</v>
      </c>
      <c r="B4994" t="s">
        <v>63</v>
      </c>
      <c r="C4994" t="s">
        <v>464</v>
      </c>
      <c r="D4994" s="8"/>
      <c r="E4994" s="8"/>
      <c r="F4994" t="s">
        <v>464</v>
      </c>
      <c r="M4994" t="s">
        <v>478</v>
      </c>
      <c r="N4994" t="str">
        <f>Tabela_tudo[[#This Row],[Médico]]&amp;" ("&amp;Tabela_tudo[[#This Row],[Obs]]&amp;")"</f>
        <v>FQ (FÉRIAS)</v>
      </c>
    </row>
    <row r="4995" spans="1:14" x14ac:dyDescent="0.3">
      <c r="A4995" s="1">
        <v>45160</v>
      </c>
      <c r="B4995" t="s">
        <v>85</v>
      </c>
      <c r="C4995" t="s">
        <v>15</v>
      </c>
      <c r="D4995" s="8"/>
      <c r="E4995" s="8"/>
      <c r="M4995" t="s">
        <v>478</v>
      </c>
      <c r="N4995" t="str">
        <f>Tabela_tudo[[#This Row],[Médico]]&amp;" ("&amp;Tabela_tudo[[#This Row],[Obs]]&amp;")"</f>
        <v>ELF ()</v>
      </c>
    </row>
    <row r="4996" spans="1:14" x14ac:dyDescent="0.3">
      <c r="A4996" s="1">
        <v>45256</v>
      </c>
      <c r="B4996" t="s">
        <v>25</v>
      </c>
      <c r="C4996" t="s">
        <v>464</v>
      </c>
      <c r="D4996" s="8"/>
      <c r="E4996" s="8"/>
      <c r="M4996" t="s">
        <v>478</v>
      </c>
      <c r="N4996" t="str">
        <f>Tabela_tudo[[#This Row],[Médico]]&amp;" ("&amp;Tabela_tudo[[#This Row],[Obs]]&amp;")"</f>
        <v>HEN ()</v>
      </c>
    </row>
    <row r="4997" spans="1:14" x14ac:dyDescent="0.3">
      <c r="A4997" s="1">
        <v>45160</v>
      </c>
      <c r="B4997" t="s">
        <v>16</v>
      </c>
      <c r="C4997" t="s">
        <v>46</v>
      </c>
      <c r="D4997" s="8"/>
      <c r="E4997" s="8"/>
      <c r="M4997" t="s">
        <v>478</v>
      </c>
      <c r="N4997" t="str">
        <f>Tabela_tudo[[#This Row],[Médico]]&amp;" ("&amp;Tabela_tudo[[#This Row],[Obs]]&amp;")"</f>
        <v>PP ()</v>
      </c>
    </row>
    <row r="4998" spans="1:14" x14ac:dyDescent="0.3">
      <c r="A4998" s="1">
        <v>45250</v>
      </c>
      <c r="B4998" t="s">
        <v>34</v>
      </c>
      <c r="C4998" t="s">
        <v>464</v>
      </c>
      <c r="D4998" s="8"/>
      <c r="E4998" s="8"/>
      <c r="M4998" t="s">
        <v>478</v>
      </c>
      <c r="N4998" t="str">
        <f>Tabela_tudo[[#This Row],[Médico]]&amp;" ("&amp;Tabela_tudo[[#This Row],[Obs]]&amp;")"</f>
        <v>LIP ()</v>
      </c>
    </row>
    <row r="4999" spans="1:14" x14ac:dyDescent="0.3">
      <c r="A4999" s="1">
        <v>45160</v>
      </c>
      <c r="B4999" t="s">
        <v>32</v>
      </c>
      <c r="C4999" t="s">
        <v>30</v>
      </c>
      <c r="D4999" s="8"/>
      <c r="E4999" s="8"/>
      <c r="M4999" t="s">
        <v>478</v>
      </c>
      <c r="N4999" t="str">
        <f>Tabela_tudo[[#This Row],[Médico]]&amp;" ("&amp;Tabela_tudo[[#This Row],[Obs]]&amp;")"</f>
        <v>JS ()</v>
      </c>
    </row>
    <row r="5000" spans="1:14" x14ac:dyDescent="0.3">
      <c r="A5000" s="1">
        <v>45254</v>
      </c>
      <c r="B5000" t="s">
        <v>25</v>
      </c>
      <c r="C5000" t="s">
        <v>464</v>
      </c>
      <c r="D5000" s="8"/>
      <c r="E5000" s="8"/>
      <c r="M5000" t="s">
        <v>478</v>
      </c>
      <c r="N5000" t="str">
        <f>Tabela_tudo[[#This Row],[Médico]]&amp;" ("&amp;Tabela_tudo[[#This Row],[Obs]]&amp;")"</f>
        <v>HEN ()</v>
      </c>
    </row>
    <row r="5001" spans="1:14" x14ac:dyDescent="0.3">
      <c r="A5001" s="1">
        <v>45160</v>
      </c>
      <c r="B5001" t="s">
        <v>23</v>
      </c>
      <c r="C5001" t="s">
        <v>22</v>
      </c>
      <c r="D5001" s="8">
        <v>0.54166666666666663</v>
      </c>
      <c r="E5001" s="8">
        <v>0.79166666666666663</v>
      </c>
      <c r="M5001" t="s">
        <v>478</v>
      </c>
      <c r="N5001" t="str">
        <f>Tabela_tudo[[#This Row],[Médico]]&amp;" ("&amp;Tabela_tudo[[#This Row],[Obs]]&amp;")"</f>
        <v>BG ()</v>
      </c>
    </row>
    <row r="5002" spans="1:14" x14ac:dyDescent="0.3">
      <c r="A5002" s="1">
        <v>45255</v>
      </c>
      <c r="B5002" t="s">
        <v>25</v>
      </c>
      <c r="C5002" t="s">
        <v>464</v>
      </c>
      <c r="D5002" s="8"/>
      <c r="E5002" s="8"/>
      <c r="M5002" t="s">
        <v>478</v>
      </c>
      <c r="N5002" t="str">
        <f>Tabela_tudo[[#This Row],[Médico]]&amp;" ("&amp;Tabela_tudo[[#This Row],[Obs]]&amp;")"</f>
        <v>HEN ()</v>
      </c>
    </row>
    <row r="5003" spans="1:14" x14ac:dyDescent="0.3">
      <c r="A5003" s="1">
        <v>45161</v>
      </c>
      <c r="B5003" t="s">
        <v>75</v>
      </c>
      <c r="C5003" t="s">
        <v>13</v>
      </c>
      <c r="D5003" s="8"/>
      <c r="E5003" s="8"/>
      <c r="M5003" t="s">
        <v>478</v>
      </c>
      <c r="N5003" t="str">
        <f>Tabela_tudo[[#This Row],[Médico]]&amp;" ("&amp;Tabela_tudo[[#This Row],[Obs]]&amp;")"</f>
        <v>KOP ()</v>
      </c>
    </row>
    <row r="5004" spans="1:14" x14ac:dyDescent="0.3">
      <c r="A5004" s="1">
        <v>45253</v>
      </c>
      <c r="B5004" t="s">
        <v>34</v>
      </c>
      <c r="C5004" t="s">
        <v>464</v>
      </c>
      <c r="D5004" s="8"/>
      <c r="E5004" s="8"/>
      <c r="M5004" t="s">
        <v>478</v>
      </c>
      <c r="N5004" t="str">
        <f>Tabela_tudo[[#This Row],[Médico]]&amp;" ("&amp;Tabela_tudo[[#This Row],[Obs]]&amp;")"</f>
        <v>LIP ()</v>
      </c>
    </row>
    <row r="5005" spans="1:14" x14ac:dyDescent="0.3">
      <c r="A5005" s="1">
        <v>45160</v>
      </c>
      <c r="B5005" t="s">
        <v>94</v>
      </c>
      <c r="C5005" t="s">
        <v>18</v>
      </c>
      <c r="D5005" s="8"/>
      <c r="E5005" s="8"/>
      <c r="M5005" t="s">
        <v>478</v>
      </c>
      <c r="N5005" t="str">
        <f>Tabela_tudo[[#This Row],[Médico]]&amp;" ("&amp;Tabela_tudo[[#This Row],[Obs]]&amp;")"</f>
        <v>TOT ()</v>
      </c>
    </row>
    <row r="5006" spans="1:14" x14ac:dyDescent="0.3">
      <c r="A5006" s="1">
        <v>45254</v>
      </c>
      <c r="B5006" t="s">
        <v>34</v>
      </c>
      <c r="C5006" t="s">
        <v>464</v>
      </c>
      <c r="D5006" s="8"/>
      <c r="E5006" s="8"/>
      <c r="M5006" t="s">
        <v>478</v>
      </c>
      <c r="N5006" t="str">
        <f>Tabela_tudo[[#This Row],[Médico]]&amp;" ("&amp;Tabela_tudo[[#This Row],[Obs]]&amp;")"</f>
        <v>LIP ()</v>
      </c>
    </row>
    <row r="5007" spans="1:14" x14ac:dyDescent="0.3">
      <c r="A5007" s="1">
        <v>45160</v>
      </c>
      <c r="B5007" t="s">
        <v>71</v>
      </c>
      <c r="C5007" t="s">
        <v>49</v>
      </c>
      <c r="D5007" s="8"/>
      <c r="E5007" s="8"/>
      <c r="M5007" t="s">
        <v>478</v>
      </c>
      <c r="N5007" t="str">
        <f>Tabela_tudo[[#This Row],[Médico]]&amp;" ("&amp;Tabela_tudo[[#This Row],[Obs]]&amp;")"</f>
        <v>BRU ()</v>
      </c>
    </row>
    <row r="5008" spans="1:14" x14ac:dyDescent="0.3">
      <c r="A5008" s="1">
        <v>45251</v>
      </c>
      <c r="B5008" t="s">
        <v>34</v>
      </c>
      <c r="C5008" t="s">
        <v>464</v>
      </c>
      <c r="D5008" s="8"/>
      <c r="E5008" s="8"/>
      <c r="M5008" t="s">
        <v>478</v>
      </c>
      <c r="N5008" t="str">
        <f>Tabela_tudo[[#This Row],[Médico]]&amp;" ("&amp;Tabela_tudo[[#This Row],[Obs]]&amp;")"</f>
        <v>LIP ()</v>
      </c>
    </row>
    <row r="5009" spans="1:14" x14ac:dyDescent="0.3">
      <c r="A5009" s="1">
        <v>45160</v>
      </c>
      <c r="B5009" t="s">
        <v>75</v>
      </c>
      <c r="C5009" t="s">
        <v>51</v>
      </c>
      <c r="D5009" s="8"/>
      <c r="E5009" s="8"/>
      <c r="M5009" t="s">
        <v>478</v>
      </c>
      <c r="N5009" t="str">
        <f>Tabela_tudo[[#This Row],[Médico]]&amp;" ("&amp;Tabela_tudo[[#This Row],[Obs]]&amp;")"</f>
        <v>KOP ()</v>
      </c>
    </row>
    <row r="5010" spans="1:14" x14ac:dyDescent="0.3">
      <c r="A5010" s="1">
        <v>45252</v>
      </c>
      <c r="B5010" t="s">
        <v>34</v>
      </c>
      <c r="C5010" t="s">
        <v>464</v>
      </c>
      <c r="D5010" s="8"/>
      <c r="E5010" s="8"/>
      <c r="M5010" t="s">
        <v>478</v>
      </c>
      <c r="N5010" t="str">
        <f>Tabela_tudo[[#This Row],[Médico]]&amp;" ("&amp;Tabela_tudo[[#This Row],[Obs]]&amp;")"</f>
        <v>LIP ()</v>
      </c>
    </row>
    <row r="5011" spans="1:14" x14ac:dyDescent="0.3">
      <c r="A5011" s="1">
        <v>45219</v>
      </c>
      <c r="B5011" t="s">
        <v>64</v>
      </c>
      <c r="C5011" t="s">
        <v>43</v>
      </c>
      <c r="D5011" s="8"/>
      <c r="E5011" s="8"/>
      <c r="M5011" t="s">
        <v>478</v>
      </c>
      <c r="N5011" t="str">
        <f>Tabela_tudo[[#This Row],[Médico]]&amp;" ("&amp;Tabela_tudo[[#This Row],[Obs]]&amp;")"</f>
        <v>SAR ()</v>
      </c>
    </row>
    <row r="5012" spans="1:14" x14ac:dyDescent="0.3">
      <c r="A5012" s="1">
        <v>45248</v>
      </c>
      <c r="B5012" t="s">
        <v>25</v>
      </c>
      <c r="C5012" t="s">
        <v>464</v>
      </c>
      <c r="D5012" s="8"/>
      <c r="E5012" s="8"/>
      <c r="M5012" t="s">
        <v>478</v>
      </c>
      <c r="N5012" t="str">
        <f>Tabela_tudo[[#This Row],[Médico]]&amp;" ("&amp;Tabela_tudo[[#This Row],[Obs]]&amp;")"</f>
        <v>HEN ()</v>
      </c>
    </row>
    <row r="5013" spans="1:14" x14ac:dyDescent="0.3">
      <c r="A5013" s="1">
        <v>45219</v>
      </c>
      <c r="B5013" t="s">
        <v>47</v>
      </c>
      <c r="C5013" t="s">
        <v>8</v>
      </c>
      <c r="D5013" s="8"/>
      <c r="E5013" s="8"/>
      <c r="M5013" t="s">
        <v>478</v>
      </c>
      <c r="N5013" t="str">
        <f>Tabela_tudo[[#This Row],[Médico]]&amp;" ("&amp;Tabela_tudo[[#This Row],[Obs]]&amp;")"</f>
        <v>VIN ()</v>
      </c>
    </row>
    <row r="5014" spans="1:14" x14ac:dyDescent="0.3">
      <c r="A5014" s="1">
        <v>45249</v>
      </c>
      <c r="B5014" t="s">
        <v>25</v>
      </c>
      <c r="C5014" t="s">
        <v>464</v>
      </c>
      <c r="D5014" s="8"/>
      <c r="E5014" s="8"/>
      <c r="M5014" t="s">
        <v>478</v>
      </c>
      <c r="N5014" t="str">
        <f>Tabela_tudo[[#This Row],[Médico]]&amp;" ("&amp;Tabela_tudo[[#This Row],[Obs]]&amp;")"</f>
        <v>HEN ()</v>
      </c>
    </row>
    <row r="5015" spans="1:14" x14ac:dyDescent="0.3">
      <c r="A5015" s="1">
        <v>45219</v>
      </c>
      <c r="B5015" t="s">
        <v>16</v>
      </c>
      <c r="C5015" t="s">
        <v>46</v>
      </c>
      <c r="D5015" s="8"/>
      <c r="E5015" s="8"/>
      <c r="M5015" t="s">
        <v>478</v>
      </c>
      <c r="N5015" t="str">
        <f>Tabela_tudo[[#This Row],[Médico]]&amp;" ("&amp;Tabela_tudo[[#This Row],[Obs]]&amp;")"</f>
        <v>PP ()</v>
      </c>
    </row>
    <row r="5016" spans="1:14" x14ac:dyDescent="0.3">
      <c r="A5016" s="1">
        <v>45246</v>
      </c>
      <c r="B5016" t="s">
        <v>25</v>
      </c>
      <c r="C5016" t="s">
        <v>464</v>
      </c>
      <c r="D5016" s="8"/>
      <c r="E5016" s="8"/>
      <c r="M5016" t="s">
        <v>478</v>
      </c>
      <c r="N5016" t="str">
        <f>Tabela_tudo[[#This Row],[Médico]]&amp;" ("&amp;Tabela_tudo[[#This Row],[Obs]]&amp;")"</f>
        <v>HEN ()</v>
      </c>
    </row>
    <row r="5017" spans="1:14" x14ac:dyDescent="0.3">
      <c r="A5017" s="1">
        <v>45219</v>
      </c>
      <c r="B5017" t="s">
        <v>52</v>
      </c>
      <c r="C5017" t="s">
        <v>45</v>
      </c>
      <c r="D5017" s="8"/>
      <c r="E5017" s="8"/>
      <c r="M5017" t="s">
        <v>478</v>
      </c>
      <c r="N5017" t="str">
        <f>Tabela_tudo[[#This Row],[Médico]]&amp;" ("&amp;Tabela_tudo[[#This Row],[Obs]]&amp;")"</f>
        <v>AEL ()</v>
      </c>
    </row>
    <row r="5018" spans="1:14" x14ac:dyDescent="0.3">
      <c r="A5018" s="1">
        <v>45247</v>
      </c>
      <c r="B5018" t="s">
        <v>25</v>
      </c>
      <c r="C5018" t="s">
        <v>464</v>
      </c>
      <c r="D5018" s="8"/>
      <c r="E5018" s="8"/>
      <c r="M5018" t="s">
        <v>478</v>
      </c>
      <c r="N5018" t="str">
        <f>Tabela_tudo[[#This Row],[Médico]]&amp;" ("&amp;Tabela_tudo[[#This Row],[Obs]]&amp;")"</f>
        <v>HEN ()</v>
      </c>
    </row>
    <row r="5019" spans="1:14" x14ac:dyDescent="0.3">
      <c r="A5019" s="1">
        <v>45218</v>
      </c>
      <c r="B5019" t="s">
        <v>12</v>
      </c>
      <c r="C5019" t="s">
        <v>22</v>
      </c>
      <c r="D5019" s="8">
        <v>0.29166666666666669</v>
      </c>
      <c r="E5019" s="8">
        <v>0.5</v>
      </c>
      <c r="M5019" t="s">
        <v>478</v>
      </c>
      <c r="N5019" t="str">
        <f>Tabela_tudo[[#This Row],[Médico]]&amp;" ("&amp;Tabela_tudo[[#This Row],[Obs]]&amp;")"</f>
        <v>EDU ()</v>
      </c>
    </row>
    <row r="5020" spans="1:14" x14ac:dyDescent="0.3">
      <c r="A5020" s="1">
        <v>45252</v>
      </c>
      <c r="B5020" t="s">
        <v>25</v>
      </c>
      <c r="C5020" t="s">
        <v>464</v>
      </c>
      <c r="D5020" s="8"/>
      <c r="E5020" s="8"/>
      <c r="M5020" t="s">
        <v>478</v>
      </c>
      <c r="N5020" t="str">
        <f>Tabela_tudo[[#This Row],[Médico]]&amp;" ("&amp;Tabela_tudo[[#This Row],[Obs]]&amp;")"</f>
        <v>HEN ()</v>
      </c>
    </row>
    <row r="5021" spans="1:14" x14ac:dyDescent="0.3">
      <c r="A5021" s="1">
        <v>45218</v>
      </c>
      <c r="B5021" t="s">
        <v>34</v>
      </c>
      <c r="C5021" t="s">
        <v>51</v>
      </c>
      <c r="D5021" s="8"/>
      <c r="E5021" s="8"/>
      <c r="M5021" t="s">
        <v>478</v>
      </c>
      <c r="N5021" t="str">
        <f>Tabela_tudo[[#This Row],[Médico]]&amp;" ("&amp;Tabela_tudo[[#This Row],[Obs]]&amp;")"</f>
        <v>LIP ()</v>
      </c>
    </row>
    <row r="5022" spans="1:14" x14ac:dyDescent="0.3">
      <c r="A5022" s="1">
        <v>45253</v>
      </c>
      <c r="B5022" t="s">
        <v>25</v>
      </c>
      <c r="C5022" t="s">
        <v>464</v>
      </c>
      <c r="D5022" s="8"/>
      <c r="E5022" s="8"/>
      <c r="M5022" t="s">
        <v>478</v>
      </c>
      <c r="N5022" t="str">
        <f>Tabela_tudo[[#This Row],[Médico]]&amp;" ("&amp;Tabela_tudo[[#This Row],[Obs]]&amp;")"</f>
        <v>HEN ()</v>
      </c>
    </row>
    <row r="5023" spans="1:14" x14ac:dyDescent="0.3">
      <c r="A5023" s="1">
        <v>45219</v>
      </c>
      <c r="B5023" t="s">
        <v>84</v>
      </c>
      <c r="C5023" t="s">
        <v>15</v>
      </c>
      <c r="D5023" s="8"/>
      <c r="E5023" s="8"/>
      <c r="M5023" t="s">
        <v>478</v>
      </c>
      <c r="N5023" t="str">
        <f>Tabela_tudo[[#This Row],[Médico]]&amp;" ("&amp;Tabela_tudo[[#This Row],[Obs]]&amp;")"</f>
        <v>ANO ()</v>
      </c>
    </row>
    <row r="5024" spans="1:14" x14ac:dyDescent="0.3">
      <c r="A5024" s="1">
        <v>45250</v>
      </c>
      <c r="B5024" t="s">
        <v>25</v>
      </c>
      <c r="C5024" t="s">
        <v>464</v>
      </c>
      <c r="D5024" s="8"/>
      <c r="E5024" s="8"/>
      <c r="M5024" t="s">
        <v>478</v>
      </c>
      <c r="N5024" t="str">
        <f>Tabela_tudo[[#This Row],[Médico]]&amp;" ("&amp;Tabela_tudo[[#This Row],[Obs]]&amp;")"</f>
        <v>HEN ()</v>
      </c>
    </row>
    <row r="5025" spans="1:14" x14ac:dyDescent="0.3">
      <c r="A5025" s="1">
        <v>45219</v>
      </c>
      <c r="B5025" t="s">
        <v>33</v>
      </c>
      <c r="C5025" t="s">
        <v>13</v>
      </c>
      <c r="D5025" s="8"/>
      <c r="E5025" s="8"/>
      <c r="M5025" t="s">
        <v>478</v>
      </c>
      <c r="N5025" t="str">
        <f>Tabela_tudo[[#This Row],[Médico]]&amp;" ("&amp;Tabela_tudo[[#This Row],[Obs]]&amp;")"</f>
        <v>DIF ()</v>
      </c>
    </row>
    <row r="5026" spans="1:14" x14ac:dyDescent="0.3">
      <c r="A5026" s="1">
        <v>45251</v>
      </c>
      <c r="B5026" t="s">
        <v>25</v>
      </c>
      <c r="C5026" t="s">
        <v>464</v>
      </c>
      <c r="D5026" s="8"/>
      <c r="E5026" s="8"/>
      <c r="M5026" t="s">
        <v>478</v>
      </c>
      <c r="N5026" t="str">
        <f>Tabela_tudo[[#This Row],[Médico]]&amp;" ("&amp;Tabela_tudo[[#This Row],[Obs]]&amp;")"</f>
        <v>HEN ()</v>
      </c>
    </row>
    <row r="5027" spans="1:14" x14ac:dyDescent="0.3">
      <c r="A5027" s="1">
        <v>45222</v>
      </c>
      <c r="B5027" t="s">
        <v>47</v>
      </c>
      <c r="C5027" t="s">
        <v>8</v>
      </c>
      <c r="D5027" s="8"/>
      <c r="E5027" s="8"/>
      <c r="M5027" t="s">
        <v>478</v>
      </c>
      <c r="N5027" t="str">
        <f>Tabela_tudo[[#This Row],[Médico]]&amp;" ("&amp;Tabela_tudo[[#This Row],[Obs]]&amp;")"</f>
        <v>VIN ()</v>
      </c>
    </row>
    <row r="5028" spans="1:14" x14ac:dyDescent="0.3">
      <c r="A5028" s="1">
        <v>45250</v>
      </c>
      <c r="B5028" t="s">
        <v>63</v>
      </c>
      <c r="C5028" t="s">
        <v>464</v>
      </c>
      <c r="D5028" s="8"/>
      <c r="E5028" s="8"/>
      <c r="F5028" t="s">
        <v>464</v>
      </c>
      <c r="M5028" t="s">
        <v>478</v>
      </c>
      <c r="N5028" t="str">
        <f>Tabela_tudo[[#This Row],[Médico]]&amp;" ("&amp;Tabela_tudo[[#This Row],[Obs]]&amp;")"</f>
        <v>FQ (FÉRIAS)</v>
      </c>
    </row>
    <row r="5029" spans="1:14" x14ac:dyDescent="0.3">
      <c r="A5029" s="1">
        <v>45222</v>
      </c>
      <c r="B5029" t="s">
        <v>52</v>
      </c>
      <c r="C5029" t="s">
        <v>15</v>
      </c>
      <c r="D5029" s="8"/>
      <c r="E5029" s="8"/>
      <c r="M5029" t="s">
        <v>478</v>
      </c>
      <c r="N5029" t="str">
        <f>Tabela_tudo[[#This Row],[Médico]]&amp;" ("&amp;Tabela_tudo[[#This Row],[Obs]]&amp;")"</f>
        <v>AEL ()</v>
      </c>
    </row>
    <row r="5030" spans="1:14" x14ac:dyDescent="0.3">
      <c r="A5030" s="1">
        <v>45251</v>
      </c>
      <c r="B5030" t="s">
        <v>63</v>
      </c>
      <c r="C5030" t="s">
        <v>464</v>
      </c>
      <c r="D5030" s="8"/>
      <c r="E5030" s="8"/>
      <c r="F5030" t="s">
        <v>464</v>
      </c>
      <c r="M5030" t="s">
        <v>478</v>
      </c>
      <c r="N5030" t="str">
        <f>Tabela_tudo[[#This Row],[Médico]]&amp;" ("&amp;Tabela_tudo[[#This Row],[Obs]]&amp;")"</f>
        <v>FQ (FÉRIAS)</v>
      </c>
    </row>
    <row r="5031" spans="1:14" x14ac:dyDescent="0.3">
      <c r="A5031" s="1">
        <v>45222</v>
      </c>
      <c r="B5031" t="s">
        <v>44</v>
      </c>
      <c r="C5031" t="s">
        <v>45</v>
      </c>
      <c r="D5031" s="8"/>
      <c r="E5031" s="8"/>
      <c r="M5031" t="s">
        <v>478</v>
      </c>
      <c r="N5031" t="str">
        <f>Tabela_tudo[[#This Row],[Médico]]&amp;" ("&amp;Tabela_tudo[[#This Row],[Obs]]&amp;")"</f>
        <v>REI ()</v>
      </c>
    </row>
    <row r="5032" spans="1:14" x14ac:dyDescent="0.3">
      <c r="A5032" s="1">
        <v>45263</v>
      </c>
      <c r="B5032" t="s">
        <v>34</v>
      </c>
      <c r="C5032" t="s">
        <v>464</v>
      </c>
      <c r="D5032" s="8"/>
      <c r="E5032" s="8"/>
      <c r="M5032" t="s">
        <v>478</v>
      </c>
      <c r="N5032" t="str">
        <f>Tabela_tudo[[#This Row],[Médico]]&amp;" ("&amp;Tabela_tudo[[#This Row],[Obs]]&amp;")"</f>
        <v>LIP ()</v>
      </c>
    </row>
    <row r="5033" spans="1:14" x14ac:dyDescent="0.3">
      <c r="A5033" s="1">
        <v>45222</v>
      </c>
      <c r="B5033" t="s">
        <v>84</v>
      </c>
      <c r="C5033" t="s">
        <v>43</v>
      </c>
      <c r="D5033" s="8"/>
      <c r="E5033" s="8"/>
      <c r="M5033" t="s">
        <v>478</v>
      </c>
      <c r="N5033" t="str">
        <f>Tabela_tudo[[#This Row],[Médico]]&amp;" ("&amp;Tabela_tudo[[#This Row],[Obs]]&amp;")"</f>
        <v>ANO ()</v>
      </c>
    </row>
    <row r="5034" spans="1:14" x14ac:dyDescent="0.3">
      <c r="A5034" s="1">
        <v>45261</v>
      </c>
      <c r="B5034" t="s">
        <v>66</v>
      </c>
      <c r="C5034" t="s">
        <v>466</v>
      </c>
      <c r="D5034" s="8"/>
      <c r="E5034" s="8"/>
      <c r="F5034" t="s">
        <v>482</v>
      </c>
      <c r="M5034" t="s">
        <v>478</v>
      </c>
      <c r="N5034" t="str">
        <f>Tabela_tudo[[#This Row],[Médico]]&amp;" ("&amp;Tabela_tudo[[#This Row],[Obs]]&amp;")"</f>
        <v>MOZ (AULA EM CURITIBA)</v>
      </c>
    </row>
    <row r="5035" spans="1:14" x14ac:dyDescent="0.3">
      <c r="A5035" s="1">
        <v>45219</v>
      </c>
      <c r="B5035" t="s">
        <v>85</v>
      </c>
      <c r="C5035" t="s">
        <v>49</v>
      </c>
      <c r="D5035" s="8"/>
      <c r="E5035" s="8"/>
      <c r="M5035" t="s">
        <v>478</v>
      </c>
      <c r="N5035" t="str">
        <f>Tabela_tudo[[#This Row],[Médico]]&amp;" ("&amp;Tabela_tudo[[#This Row],[Obs]]&amp;")"</f>
        <v>ELF ()</v>
      </c>
    </row>
    <row r="5036" spans="1:14" x14ac:dyDescent="0.3">
      <c r="A5036" s="1">
        <v>45254</v>
      </c>
      <c r="B5036" t="s">
        <v>63</v>
      </c>
      <c r="C5036" t="s">
        <v>464</v>
      </c>
      <c r="D5036" s="8"/>
      <c r="E5036" s="8"/>
      <c r="F5036" t="s">
        <v>464</v>
      </c>
      <c r="M5036" t="s">
        <v>478</v>
      </c>
      <c r="N5036" t="str">
        <f>Tabela_tudo[[#This Row],[Médico]]&amp;" ("&amp;Tabela_tudo[[#This Row],[Obs]]&amp;")"</f>
        <v>FQ (FÉRIAS)</v>
      </c>
    </row>
    <row r="5037" spans="1:14" x14ac:dyDescent="0.3">
      <c r="A5037" s="1">
        <v>45219</v>
      </c>
      <c r="B5037" t="s">
        <v>63</v>
      </c>
      <c r="C5037" t="s">
        <v>18</v>
      </c>
      <c r="D5037" s="8"/>
      <c r="E5037" s="8"/>
      <c r="M5037" t="s">
        <v>478</v>
      </c>
      <c r="N5037" t="str">
        <f>Tabela_tudo[[#This Row],[Médico]]&amp;" ("&amp;Tabela_tudo[[#This Row],[Obs]]&amp;")"</f>
        <v>FQ ()</v>
      </c>
    </row>
    <row r="5038" spans="1:14" x14ac:dyDescent="0.3">
      <c r="A5038" s="1">
        <v>45255</v>
      </c>
      <c r="B5038" t="s">
        <v>63</v>
      </c>
      <c r="C5038" t="s">
        <v>464</v>
      </c>
      <c r="D5038" s="8"/>
      <c r="E5038" s="8"/>
      <c r="F5038" t="s">
        <v>464</v>
      </c>
      <c r="M5038" t="s">
        <v>478</v>
      </c>
      <c r="N5038" t="str">
        <f>Tabela_tudo[[#This Row],[Médico]]&amp;" ("&amp;Tabela_tudo[[#This Row],[Obs]]&amp;")"</f>
        <v>FQ (FÉRIAS)</v>
      </c>
    </row>
    <row r="5039" spans="1:14" x14ac:dyDescent="0.3">
      <c r="A5039" s="1">
        <v>45222</v>
      </c>
      <c r="B5039" t="s">
        <v>72</v>
      </c>
      <c r="C5039" t="s">
        <v>13</v>
      </c>
      <c r="D5039" s="8"/>
      <c r="E5039" s="8"/>
      <c r="M5039" t="s">
        <v>478</v>
      </c>
      <c r="N5039" t="str">
        <f>Tabela_tudo[[#This Row],[Médico]]&amp;" ("&amp;Tabela_tudo[[#This Row],[Obs]]&amp;")"</f>
        <v>GRA ()</v>
      </c>
    </row>
    <row r="5040" spans="1:14" x14ac:dyDescent="0.3">
      <c r="A5040" s="1">
        <v>45252</v>
      </c>
      <c r="B5040" t="s">
        <v>63</v>
      </c>
      <c r="C5040" t="s">
        <v>464</v>
      </c>
      <c r="D5040" s="8"/>
      <c r="E5040" s="8"/>
      <c r="F5040" t="s">
        <v>464</v>
      </c>
      <c r="M5040" t="s">
        <v>478</v>
      </c>
      <c r="N5040" t="str">
        <f>Tabela_tudo[[#This Row],[Médico]]&amp;" ("&amp;Tabela_tudo[[#This Row],[Obs]]&amp;")"</f>
        <v>FQ (FÉRIAS)</v>
      </c>
    </row>
    <row r="5041" spans="1:14" x14ac:dyDescent="0.3">
      <c r="A5041" s="1">
        <v>45219</v>
      </c>
      <c r="B5041" t="s">
        <v>17</v>
      </c>
      <c r="C5041" t="s">
        <v>51</v>
      </c>
      <c r="D5041" s="8"/>
      <c r="E5041" s="8"/>
      <c r="M5041" t="s">
        <v>478</v>
      </c>
      <c r="N5041" t="str">
        <f>Tabela_tudo[[#This Row],[Médico]]&amp;" ("&amp;Tabela_tudo[[#This Row],[Obs]]&amp;")"</f>
        <v>FAB ()</v>
      </c>
    </row>
    <row r="5042" spans="1:14" x14ac:dyDescent="0.3">
      <c r="A5042" s="1">
        <v>45253</v>
      </c>
      <c r="B5042" t="s">
        <v>63</v>
      </c>
      <c r="C5042" t="s">
        <v>464</v>
      </c>
      <c r="D5042" s="8"/>
      <c r="E5042" s="8"/>
      <c r="F5042" t="s">
        <v>464</v>
      </c>
      <c r="M5042" t="s">
        <v>478</v>
      </c>
      <c r="N5042" t="str">
        <f>Tabela_tudo[[#This Row],[Médico]]&amp;" ("&amp;Tabela_tudo[[#This Row],[Obs]]&amp;")"</f>
        <v>FQ (FÉRIAS)</v>
      </c>
    </row>
    <row r="5043" spans="1:14" x14ac:dyDescent="0.3">
      <c r="A5043" s="1">
        <v>45218</v>
      </c>
      <c r="B5043" t="s">
        <v>85</v>
      </c>
      <c r="C5043" t="s">
        <v>49</v>
      </c>
      <c r="D5043" s="8"/>
      <c r="E5043" s="8"/>
      <c r="M5043" t="s">
        <v>478</v>
      </c>
      <c r="N5043" t="str">
        <f>Tabela_tudo[[#This Row],[Médico]]&amp;" ("&amp;Tabela_tudo[[#This Row],[Obs]]&amp;")"</f>
        <v>ELF ()</v>
      </c>
    </row>
    <row r="5044" spans="1:14" x14ac:dyDescent="0.3">
      <c r="A5044" s="1">
        <v>45257</v>
      </c>
      <c r="B5044" t="s">
        <v>34</v>
      </c>
      <c r="C5044" t="s">
        <v>464</v>
      </c>
      <c r="D5044" s="8"/>
      <c r="E5044" s="8"/>
      <c r="M5044" t="s">
        <v>478</v>
      </c>
      <c r="N5044" t="str">
        <f>Tabela_tudo[[#This Row],[Médico]]&amp;" ("&amp;Tabela_tudo[[#This Row],[Obs]]&amp;")"</f>
        <v>LIP ()</v>
      </c>
    </row>
    <row r="5045" spans="1:14" x14ac:dyDescent="0.3">
      <c r="A5045" s="1">
        <v>45217</v>
      </c>
      <c r="B5045" t="s">
        <v>68</v>
      </c>
      <c r="C5045" t="s">
        <v>46</v>
      </c>
      <c r="D5045" s="8"/>
      <c r="E5045" s="8"/>
      <c r="M5045" t="s">
        <v>478</v>
      </c>
      <c r="N5045" t="str">
        <f>Tabela_tudo[[#This Row],[Médico]]&amp;" ("&amp;Tabela_tudo[[#This Row],[Obs]]&amp;")"</f>
        <v>PED ()</v>
      </c>
    </row>
    <row r="5046" spans="1:14" x14ac:dyDescent="0.3">
      <c r="A5046" s="1">
        <v>45258</v>
      </c>
      <c r="B5046" t="s">
        <v>34</v>
      </c>
      <c r="C5046" t="s">
        <v>464</v>
      </c>
      <c r="D5046" s="8"/>
      <c r="E5046" s="8"/>
      <c r="M5046" t="s">
        <v>478</v>
      </c>
      <c r="N5046" t="str">
        <f>Tabela_tudo[[#This Row],[Médico]]&amp;" ("&amp;Tabela_tudo[[#This Row],[Obs]]&amp;")"</f>
        <v>LIP ()</v>
      </c>
    </row>
    <row r="5047" spans="1:14" x14ac:dyDescent="0.3">
      <c r="A5047" s="1">
        <v>45217</v>
      </c>
      <c r="B5047" t="s">
        <v>66</v>
      </c>
      <c r="C5047" t="s">
        <v>45</v>
      </c>
      <c r="D5047" s="8"/>
      <c r="E5047" s="8"/>
      <c r="M5047" t="s">
        <v>478</v>
      </c>
      <c r="N5047" t="str">
        <f>Tabela_tudo[[#This Row],[Médico]]&amp;" ("&amp;Tabela_tudo[[#This Row],[Obs]]&amp;")"</f>
        <v>MOZ ()</v>
      </c>
    </row>
    <row r="5048" spans="1:14" x14ac:dyDescent="0.3">
      <c r="A5048" s="1">
        <v>45255</v>
      </c>
      <c r="B5048" t="s">
        <v>34</v>
      </c>
      <c r="C5048" t="s">
        <v>464</v>
      </c>
      <c r="D5048" s="8"/>
      <c r="E5048" s="8"/>
      <c r="M5048" t="s">
        <v>478</v>
      </c>
      <c r="N5048" t="str">
        <f>Tabela_tudo[[#This Row],[Médico]]&amp;" ("&amp;Tabela_tudo[[#This Row],[Obs]]&amp;")"</f>
        <v>LIP ()</v>
      </c>
    </row>
    <row r="5049" spans="1:14" x14ac:dyDescent="0.3">
      <c r="A5049" s="1">
        <v>45217</v>
      </c>
      <c r="B5049" t="s">
        <v>85</v>
      </c>
      <c r="C5049" t="s">
        <v>49</v>
      </c>
      <c r="D5049" s="8"/>
      <c r="E5049" s="8"/>
      <c r="M5049" t="s">
        <v>478</v>
      </c>
      <c r="N5049" t="str">
        <f>Tabela_tudo[[#This Row],[Médico]]&amp;" ("&amp;Tabela_tudo[[#This Row],[Obs]]&amp;")"</f>
        <v>ELF ()</v>
      </c>
    </row>
    <row r="5050" spans="1:14" x14ac:dyDescent="0.3">
      <c r="A5050" s="1">
        <v>45256</v>
      </c>
      <c r="B5050" t="s">
        <v>34</v>
      </c>
      <c r="C5050" t="s">
        <v>464</v>
      </c>
      <c r="D5050" s="8"/>
      <c r="E5050" s="8"/>
      <c r="M5050" t="s">
        <v>478</v>
      </c>
      <c r="N5050" t="str">
        <f>Tabela_tudo[[#This Row],[Médico]]&amp;" ("&amp;Tabela_tudo[[#This Row],[Obs]]&amp;")"</f>
        <v>LIP ()</v>
      </c>
    </row>
    <row r="5051" spans="1:14" x14ac:dyDescent="0.3">
      <c r="A5051" s="1">
        <v>45217</v>
      </c>
      <c r="B5051" t="s">
        <v>72</v>
      </c>
      <c r="C5051" t="s">
        <v>18</v>
      </c>
      <c r="D5051" s="8"/>
      <c r="E5051" s="8"/>
      <c r="M5051" t="s">
        <v>478</v>
      </c>
      <c r="N5051" t="str">
        <f>Tabela_tudo[[#This Row],[Médico]]&amp;" ("&amp;Tabela_tudo[[#This Row],[Obs]]&amp;")"</f>
        <v>GRA ()</v>
      </c>
    </row>
    <row r="5052" spans="1:14" x14ac:dyDescent="0.3">
      <c r="A5052" s="1">
        <v>45261</v>
      </c>
      <c r="B5052" t="s">
        <v>34</v>
      </c>
      <c r="C5052" t="s">
        <v>464</v>
      </c>
      <c r="D5052" s="8"/>
      <c r="E5052" s="8"/>
      <c r="M5052" t="s">
        <v>478</v>
      </c>
      <c r="N5052" t="str">
        <f>Tabela_tudo[[#This Row],[Médico]]&amp;" ("&amp;Tabela_tudo[[#This Row],[Obs]]&amp;")"</f>
        <v>LIP ()</v>
      </c>
    </row>
    <row r="5053" spans="1:14" x14ac:dyDescent="0.3">
      <c r="A5053" s="1">
        <v>45217</v>
      </c>
      <c r="B5053" t="s">
        <v>75</v>
      </c>
      <c r="C5053" t="s">
        <v>15</v>
      </c>
      <c r="D5053" s="8"/>
      <c r="E5053" s="8"/>
      <c r="M5053" t="s">
        <v>478</v>
      </c>
      <c r="N5053" t="str">
        <f>Tabela_tudo[[#This Row],[Médico]]&amp;" ("&amp;Tabela_tudo[[#This Row],[Obs]]&amp;")"</f>
        <v>KOP ()</v>
      </c>
    </row>
    <row r="5054" spans="1:14" x14ac:dyDescent="0.3">
      <c r="A5054" s="1">
        <v>45262</v>
      </c>
      <c r="B5054" t="s">
        <v>34</v>
      </c>
      <c r="C5054" t="s">
        <v>464</v>
      </c>
      <c r="D5054" s="8"/>
      <c r="E5054" s="8"/>
      <c r="M5054" t="s">
        <v>478</v>
      </c>
      <c r="N5054" t="str">
        <f>Tabela_tudo[[#This Row],[Médico]]&amp;" ("&amp;Tabela_tudo[[#This Row],[Obs]]&amp;")"</f>
        <v>LIP ()</v>
      </c>
    </row>
    <row r="5055" spans="1:14" x14ac:dyDescent="0.3">
      <c r="A5055" s="1">
        <v>45217</v>
      </c>
      <c r="B5055" t="s">
        <v>94</v>
      </c>
      <c r="C5055" t="s">
        <v>13</v>
      </c>
      <c r="D5055" s="8"/>
      <c r="E5055" s="8"/>
      <c r="M5055" t="s">
        <v>478</v>
      </c>
      <c r="N5055" t="str">
        <f>Tabela_tudo[[#This Row],[Médico]]&amp;" ("&amp;Tabela_tudo[[#This Row],[Obs]]&amp;")"</f>
        <v>TOT ()</v>
      </c>
    </row>
    <row r="5056" spans="1:14" x14ac:dyDescent="0.3">
      <c r="A5056" s="1">
        <v>45259</v>
      </c>
      <c r="B5056" t="s">
        <v>34</v>
      </c>
      <c r="C5056" t="s">
        <v>464</v>
      </c>
      <c r="D5056" s="8"/>
      <c r="E5056" s="8"/>
      <c r="M5056" t="s">
        <v>478</v>
      </c>
      <c r="N5056" t="str">
        <f>Tabela_tudo[[#This Row],[Médico]]&amp;" ("&amp;Tabela_tudo[[#This Row],[Obs]]&amp;")"</f>
        <v>LIP ()</v>
      </c>
    </row>
    <row r="5057" spans="1:14" x14ac:dyDescent="0.3">
      <c r="A5057" s="1">
        <v>45217</v>
      </c>
      <c r="B5057" t="s">
        <v>12</v>
      </c>
      <c r="C5057" t="s">
        <v>43</v>
      </c>
      <c r="D5057" s="8"/>
      <c r="E5057" s="8"/>
      <c r="M5057" t="s">
        <v>478</v>
      </c>
      <c r="N5057" t="str">
        <f>Tabela_tudo[[#This Row],[Médico]]&amp;" ("&amp;Tabela_tudo[[#This Row],[Obs]]&amp;")"</f>
        <v>EDU ()</v>
      </c>
    </row>
    <row r="5058" spans="1:14" x14ac:dyDescent="0.3">
      <c r="A5058" s="1">
        <v>45260</v>
      </c>
      <c r="B5058" t="s">
        <v>34</v>
      </c>
      <c r="C5058" t="s">
        <v>464</v>
      </c>
      <c r="D5058" s="8"/>
      <c r="E5058" s="8"/>
      <c r="M5058" t="s">
        <v>478</v>
      </c>
      <c r="N5058" t="str">
        <f>Tabela_tudo[[#This Row],[Médico]]&amp;" ("&amp;Tabela_tudo[[#This Row],[Obs]]&amp;")"</f>
        <v>LIP ()</v>
      </c>
    </row>
    <row r="5059" spans="1:14" x14ac:dyDescent="0.3">
      <c r="A5059" s="1">
        <v>45217</v>
      </c>
      <c r="B5059" t="s">
        <v>50</v>
      </c>
      <c r="C5059" t="s">
        <v>8</v>
      </c>
      <c r="D5059" s="8"/>
      <c r="E5059" s="8"/>
      <c r="M5059" t="s">
        <v>478</v>
      </c>
      <c r="N5059" t="str">
        <f>Tabela_tudo[[#This Row],[Médico]]&amp;" ("&amp;Tabela_tudo[[#This Row],[Obs]]&amp;")"</f>
        <v>PJP ()</v>
      </c>
    </row>
    <row r="5060" spans="1:14" x14ac:dyDescent="0.3">
      <c r="A5060" s="1">
        <v>45264</v>
      </c>
      <c r="B5060" t="s">
        <v>12</v>
      </c>
      <c r="C5060" t="s">
        <v>464</v>
      </c>
      <c r="D5060" s="8"/>
      <c r="E5060" s="8"/>
      <c r="M5060" t="s">
        <v>478</v>
      </c>
      <c r="N5060" t="str">
        <f>Tabela_tudo[[#This Row],[Médico]]&amp;" ("&amp;Tabela_tudo[[#This Row],[Obs]]&amp;")"</f>
        <v>EDU ()</v>
      </c>
    </row>
    <row r="5061" spans="1:14" x14ac:dyDescent="0.3">
      <c r="A5061" s="1">
        <v>45218</v>
      </c>
      <c r="B5061" t="s">
        <v>52</v>
      </c>
      <c r="C5061" t="s">
        <v>45</v>
      </c>
      <c r="D5061" s="8"/>
      <c r="E5061" s="8"/>
      <c r="M5061" t="s">
        <v>478</v>
      </c>
      <c r="N5061" t="str">
        <f>Tabela_tudo[[#This Row],[Médico]]&amp;" ("&amp;Tabela_tudo[[#This Row],[Obs]]&amp;")"</f>
        <v>AEL ()</v>
      </c>
    </row>
    <row r="5062" spans="1:14" x14ac:dyDescent="0.3">
      <c r="A5062" s="1">
        <v>45265</v>
      </c>
      <c r="B5062" t="s">
        <v>12</v>
      </c>
      <c r="C5062" t="s">
        <v>464</v>
      </c>
      <c r="D5062" s="8"/>
      <c r="E5062" s="8"/>
      <c r="M5062" t="s">
        <v>478</v>
      </c>
      <c r="N5062" t="str">
        <f>Tabela_tudo[[#This Row],[Médico]]&amp;" ("&amp;Tabela_tudo[[#This Row],[Obs]]&amp;")"</f>
        <v>EDU ()</v>
      </c>
    </row>
    <row r="5063" spans="1:14" x14ac:dyDescent="0.3">
      <c r="A5063" s="1">
        <v>45218</v>
      </c>
      <c r="B5063" t="s">
        <v>33</v>
      </c>
      <c r="C5063" t="s">
        <v>43</v>
      </c>
      <c r="D5063" s="8"/>
      <c r="E5063" s="8"/>
      <c r="M5063" t="s">
        <v>478</v>
      </c>
      <c r="N5063" t="str">
        <f>Tabela_tudo[[#This Row],[Médico]]&amp;" ("&amp;Tabela_tudo[[#This Row],[Obs]]&amp;")"</f>
        <v>DIF ()</v>
      </c>
    </row>
    <row r="5064" spans="1:14" x14ac:dyDescent="0.3">
      <c r="A5064" s="1">
        <v>45192</v>
      </c>
      <c r="B5064" t="s">
        <v>47</v>
      </c>
      <c r="C5064" t="s">
        <v>465</v>
      </c>
      <c r="D5064" s="8"/>
      <c r="E5064" s="8"/>
      <c r="F5064" t="s">
        <v>486</v>
      </c>
      <c r="M5064" t="s">
        <v>478</v>
      </c>
      <c r="N5064" t="str">
        <f>Tabela_tudo[[#This Row],[Médico]]&amp;" ("&amp;Tabela_tudo[[#This Row],[Obs]]&amp;")"</f>
        <v>VIN (JARGS)</v>
      </c>
    </row>
    <row r="5065" spans="1:14" x14ac:dyDescent="0.3">
      <c r="A5065" s="1">
        <v>45218</v>
      </c>
      <c r="B5065" t="s">
        <v>32</v>
      </c>
      <c r="C5065" t="s">
        <v>18</v>
      </c>
      <c r="D5065" s="8"/>
      <c r="E5065" s="8"/>
      <c r="M5065" t="s">
        <v>478</v>
      </c>
      <c r="N5065" t="str">
        <f>Tabela_tudo[[#This Row],[Médico]]&amp;" ("&amp;Tabela_tudo[[#This Row],[Obs]]&amp;")"</f>
        <v>JS ()</v>
      </c>
    </row>
    <row r="5066" spans="1:14" x14ac:dyDescent="0.3">
      <c r="A5066" s="1">
        <v>45218</v>
      </c>
      <c r="B5066" t="s">
        <v>23</v>
      </c>
      <c r="C5066" t="s">
        <v>465</v>
      </c>
      <c r="D5066" s="8"/>
      <c r="E5066" s="8"/>
      <c r="F5066" t="s">
        <v>637</v>
      </c>
      <c r="M5066" t="s">
        <v>478</v>
      </c>
      <c r="N5066" t="str">
        <f>Tabela_tudo[[#This Row],[Médico]]&amp;" ("&amp;Tabela_tudo[[#This Row],[Obs]]&amp;")"</f>
        <v>BG (AULA NA USP)</v>
      </c>
    </row>
    <row r="5067" spans="1:14" x14ac:dyDescent="0.3">
      <c r="A5067" s="1">
        <v>45218</v>
      </c>
      <c r="B5067" t="s">
        <v>14</v>
      </c>
      <c r="C5067" t="s">
        <v>46</v>
      </c>
      <c r="D5067" s="8"/>
      <c r="E5067" s="8"/>
      <c r="M5067" t="s">
        <v>478</v>
      </c>
      <c r="N5067" t="str">
        <f>Tabela_tudo[[#This Row],[Médico]]&amp;" ("&amp;Tabela_tudo[[#This Row],[Obs]]&amp;")"</f>
        <v>PW ()</v>
      </c>
    </row>
    <row r="5068" spans="1:14" x14ac:dyDescent="0.3">
      <c r="A5068" s="1">
        <v>45268</v>
      </c>
      <c r="B5068" t="s">
        <v>12</v>
      </c>
      <c r="C5068" t="s">
        <v>464</v>
      </c>
      <c r="D5068" s="8"/>
      <c r="E5068" s="8"/>
      <c r="M5068" t="s">
        <v>478</v>
      </c>
      <c r="N5068" t="str">
        <f>Tabela_tudo[[#This Row],[Médico]]&amp;" ("&amp;Tabela_tudo[[#This Row],[Obs]]&amp;")"</f>
        <v>EDU ()</v>
      </c>
    </row>
    <row r="5069" spans="1:14" x14ac:dyDescent="0.3">
      <c r="A5069" s="1">
        <v>45218</v>
      </c>
      <c r="B5069" t="s">
        <v>64</v>
      </c>
      <c r="C5069" t="s">
        <v>13</v>
      </c>
      <c r="D5069" s="8"/>
      <c r="E5069" s="8"/>
      <c r="M5069" t="s">
        <v>478</v>
      </c>
      <c r="N5069" t="str">
        <f>Tabela_tudo[[#This Row],[Médico]]&amp;" ("&amp;Tabela_tudo[[#This Row],[Obs]]&amp;")"</f>
        <v>SAR ()</v>
      </c>
    </row>
    <row r="5070" spans="1:14" x14ac:dyDescent="0.3">
      <c r="A5070" s="1">
        <v>45269</v>
      </c>
      <c r="B5070" t="s">
        <v>12</v>
      </c>
      <c r="C5070" t="s">
        <v>464</v>
      </c>
      <c r="D5070" s="8"/>
      <c r="E5070" s="8"/>
      <c r="M5070" t="s">
        <v>478</v>
      </c>
      <c r="N5070" t="str">
        <f>Tabela_tudo[[#This Row],[Médico]]&amp;" ("&amp;Tabela_tudo[[#This Row],[Obs]]&amp;")"</f>
        <v>EDU ()</v>
      </c>
    </row>
    <row r="5071" spans="1:14" x14ac:dyDescent="0.3">
      <c r="A5071" s="1">
        <v>45217</v>
      </c>
      <c r="B5071" t="s">
        <v>73</v>
      </c>
      <c r="C5071" t="s">
        <v>51</v>
      </c>
      <c r="D5071" s="8"/>
      <c r="E5071" s="8"/>
      <c r="M5071" t="s">
        <v>478</v>
      </c>
      <c r="N5071" t="str">
        <f>Tabela_tudo[[#This Row],[Médico]]&amp;" ("&amp;Tabela_tudo[[#This Row],[Obs]]&amp;")"</f>
        <v>RT ()</v>
      </c>
    </row>
    <row r="5072" spans="1:14" x14ac:dyDescent="0.3">
      <c r="A5072" s="1">
        <v>45266</v>
      </c>
      <c r="B5072" t="s">
        <v>12</v>
      </c>
      <c r="C5072" t="s">
        <v>464</v>
      </c>
      <c r="D5072" s="8"/>
      <c r="E5072" s="8"/>
      <c r="M5072" t="s">
        <v>478</v>
      </c>
      <c r="N5072" t="str">
        <f>Tabela_tudo[[#This Row],[Médico]]&amp;" ("&amp;Tabela_tudo[[#This Row],[Obs]]&amp;")"</f>
        <v>EDU ()</v>
      </c>
    </row>
    <row r="5073" spans="1:14" x14ac:dyDescent="0.3">
      <c r="A5073" s="1">
        <v>45218</v>
      </c>
      <c r="B5073" t="s">
        <v>84</v>
      </c>
      <c r="C5073" t="s">
        <v>8</v>
      </c>
      <c r="D5073" s="8"/>
      <c r="E5073" s="8"/>
      <c r="M5073" t="s">
        <v>478</v>
      </c>
      <c r="N5073" t="str">
        <f>Tabela_tudo[[#This Row],[Médico]]&amp;" ("&amp;Tabela_tudo[[#This Row],[Obs]]&amp;")"</f>
        <v>ANO ()</v>
      </c>
    </row>
    <row r="5074" spans="1:14" x14ac:dyDescent="0.3">
      <c r="A5074" s="1">
        <v>45267</v>
      </c>
      <c r="B5074" t="s">
        <v>12</v>
      </c>
      <c r="C5074" t="s">
        <v>464</v>
      </c>
      <c r="D5074" s="8"/>
      <c r="E5074" s="8"/>
      <c r="M5074" t="s">
        <v>478</v>
      </c>
      <c r="N5074" t="str">
        <f>Tabela_tudo[[#This Row],[Médico]]&amp;" ("&amp;Tabela_tudo[[#This Row],[Obs]]&amp;")"</f>
        <v>EDU ()</v>
      </c>
    </row>
    <row r="5075" spans="1:14" x14ac:dyDescent="0.3">
      <c r="A5075" s="1">
        <v>45218</v>
      </c>
      <c r="B5075" t="s">
        <v>73</v>
      </c>
      <c r="C5075" t="s">
        <v>15</v>
      </c>
      <c r="D5075" s="8"/>
      <c r="E5075" s="8"/>
      <c r="M5075" t="s">
        <v>478</v>
      </c>
      <c r="N5075" t="str">
        <f>Tabela_tudo[[#This Row],[Médico]]&amp;" ("&amp;Tabela_tudo[[#This Row],[Obs]]&amp;")"</f>
        <v>RT ()</v>
      </c>
    </row>
    <row r="5076" spans="1:14" x14ac:dyDescent="0.3">
      <c r="A5076" s="1">
        <v>45191</v>
      </c>
      <c r="B5076" t="s">
        <v>66</v>
      </c>
      <c r="C5076" t="s">
        <v>465</v>
      </c>
      <c r="D5076" s="8"/>
      <c r="E5076" s="8"/>
      <c r="F5076" t="s">
        <v>486</v>
      </c>
      <c r="M5076" t="s">
        <v>478</v>
      </c>
      <c r="N5076" t="str">
        <f>Tabela_tudo[[#This Row],[Médico]]&amp;" ("&amp;Tabela_tudo[[#This Row],[Obs]]&amp;")"</f>
        <v>MOZ (JARGS)</v>
      </c>
    </row>
    <row r="5077" spans="1:14" x14ac:dyDescent="0.3">
      <c r="A5077" s="1">
        <v>45222</v>
      </c>
      <c r="B5077" t="s">
        <v>21</v>
      </c>
      <c r="C5077" t="s">
        <v>46</v>
      </c>
      <c r="D5077" s="8"/>
      <c r="E5077" s="8"/>
      <c r="M5077" t="s">
        <v>478</v>
      </c>
      <c r="N5077" t="str">
        <f>Tabela_tudo[[#This Row],[Médico]]&amp;" ("&amp;Tabela_tudo[[#This Row],[Obs]]&amp;")"</f>
        <v>RA ()</v>
      </c>
    </row>
    <row r="5078" spans="1:14" x14ac:dyDescent="0.3">
      <c r="A5078" s="1">
        <v>45192</v>
      </c>
      <c r="B5078" t="s">
        <v>50</v>
      </c>
      <c r="C5078" t="s">
        <v>465</v>
      </c>
      <c r="D5078" s="8"/>
      <c r="E5078" s="8"/>
      <c r="F5078" t="s">
        <v>486</v>
      </c>
      <c r="M5078" t="s">
        <v>478</v>
      </c>
      <c r="N5078" t="str">
        <f>Tabela_tudo[[#This Row],[Médico]]&amp;" ("&amp;Tabela_tudo[[#This Row],[Obs]]&amp;")"</f>
        <v>PJP (JARGS)</v>
      </c>
    </row>
    <row r="5079" spans="1:14" x14ac:dyDescent="0.3">
      <c r="A5079" s="1">
        <v>45230</v>
      </c>
      <c r="B5079" t="s">
        <v>75</v>
      </c>
      <c r="C5079" t="s">
        <v>30</v>
      </c>
      <c r="D5079" s="8"/>
      <c r="E5079" s="8"/>
      <c r="M5079" t="s">
        <v>478</v>
      </c>
      <c r="N5079" t="str">
        <f>Tabela_tudo[[#This Row],[Médico]]&amp;" ("&amp;Tabela_tudo[[#This Row],[Obs]]&amp;")"</f>
        <v>KOP ()</v>
      </c>
    </row>
    <row r="5080" spans="1:14" x14ac:dyDescent="0.3">
      <c r="A5080" s="1">
        <v>45191</v>
      </c>
      <c r="B5080" t="s">
        <v>33</v>
      </c>
      <c r="C5080" t="s">
        <v>465</v>
      </c>
      <c r="D5080" s="8"/>
      <c r="E5080" s="8"/>
      <c r="F5080" t="s">
        <v>486</v>
      </c>
      <c r="M5080" t="s">
        <v>478</v>
      </c>
      <c r="N5080" t="str">
        <f>Tabela_tudo[[#This Row],[Médico]]&amp;" ("&amp;Tabela_tudo[[#This Row],[Obs]]&amp;")"</f>
        <v>DIF (JARGS)</v>
      </c>
    </row>
    <row r="5081" spans="1:14" x14ac:dyDescent="0.3">
      <c r="A5081" s="1">
        <v>45230</v>
      </c>
      <c r="B5081" t="s">
        <v>75</v>
      </c>
      <c r="C5081" t="s">
        <v>51</v>
      </c>
      <c r="D5081" s="8"/>
      <c r="E5081" s="8"/>
      <c r="M5081" t="s">
        <v>478</v>
      </c>
      <c r="N5081" t="str">
        <f>Tabela_tudo[[#This Row],[Médico]]&amp;" ("&amp;Tabela_tudo[[#This Row],[Obs]]&amp;")"</f>
        <v>KOP ()</v>
      </c>
    </row>
    <row r="5082" spans="1:14" x14ac:dyDescent="0.3">
      <c r="A5082" s="1">
        <v>45192</v>
      </c>
      <c r="B5082" t="s">
        <v>33</v>
      </c>
      <c r="C5082" t="s">
        <v>465</v>
      </c>
      <c r="D5082" s="8"/>
      <c r="E5082" s="8"/>
      <c r="F5082" t="s">
        <v>486</v>
      </c>
      <c r="M5082" t="s">
        <v>478</v>
      </c>
      <c r="N5082" t="str">
        <f>Tabela_tudo[[#This Row],[Médico]]&amp;" ("&amp;Tabela_tudo[[#This Row],[Obs]]&amp;")"</f>
        <v>DIF (JARGS)</v>
      </c>
    </row>
    <row r="5083" spans="1:14" x14ac:dyDescent="0.3">
      <c r="A5083" s="1">
        <v>45230</v>
      </c>
      <c r="B5083" t="s">
        <v>50</v>
      </c>
      <c r="C5083" t="s">
        <v>124</v>
      </c>
      <c r="D5083" s="8">
        <v>0.83333333333333337</v>
      </c>
      <c r="E5083" s="8">
        <v>0.91666666666666663</v>
      </c>
      <c r="F5083" t="s">
        <v>695</v>
      </c>
      <c r="K5083" t="s">
        <v>565</v>
      </c>
      <c r="M5083" t="s">
        <v>478</v>
      </c>
      <c r="N5083" t="str">
        <f>Tabela_tudo[[#This Row],[Médico]]&amp;" ("&amp;Tabela_tudo[[#This Row],[Obs]]&amp;")"</f>
        <v>PJP (PALESTRA DEBORA: CRIOANALGESIA )</v>
      </c>
    </row>
    <row r="5084" spans="1:14" x14ac:dyDescent="0.3">
      <c r="A5084" s="1">
        <v>45192</v>
      </c>
      <c r="B5084" t="s">
        <v>23</v>
      </c>
      <c r="C5084" t="s">
        <v>465</v>
      </c>
      <c r="D5084" s="8"/>
      <c r="E5084" s="8"/>
      <c r="F5084" t="s">
        <v>486</v>
      </c>
      <c r="M5084" t="s">
        <v>478</v>
      </c>
      <c r="N5084" t="str">
        <f>Tabela_tudo[[#This Row],[Médico]]&amp;" ("&amp;Tabela_tudo[[#This Row],[Obs]]&amp;")"</f>
        <v>BG (JARGS)</v>
      </c>
    </row>
    <row r="5085" spans="1:14" x14ac:dyDescent="0.3">
      <c r="A5085" s="1">
        <v>45230</v>
      </c>
      <c r="B5085" t="s">
        <v>37</v>
      </c>
      <c r="C5085" t="s">
        <v>30</v>
      </c>
      <c r="D5085" s="8"/>
      <c r="E5085" s="8"/>
      <c r="M5085" t="s">
        <v>478</v>
      </c>
      <c r="N5085" t="str">
        <f>Tabela_tudo[[#This Row],[Médico]]&amp;" ("&amp;Tabela_tudo[[#This Row],[Obs]]&amp;")"</f>
        <v>EBB ()</v>
      </c>
    </row>
    <row r="5086" spans="1:14" x14ac:dyDescent="0.3">
      <c r="A5086" s="1">
        <v>45192</v>
      </c>
      <c r="B5086" t="s">
        <v>34</v>
      </c>
      <c r="C5086" t="s">
        <v>465</v>
      </c>
      <c r="D5086" s="8"/>
      <c r="E5086" s="8"/>
      <c r="F5086" t="s">
        <v>486</v>
      </c>
      <c r="M5086" t="s">
        <v>478</v>
      </c>
      <c r="N5086" t="str">
        <f>Tabela_tudo[[#This Row],[Médico]]&amp;" ("&amp;Tabela_tudo[[#This Row],[Obs]]&amp;")"</f>
        <v>LIP (JARGS)</v>
      </c>
    </row>
    <row r="5087" spans="1:14" x14ac:dyDescent="0.3">
      <c r="A5087" s="1">
        <v>45230</v>
      </c>
      <c r="B5087" t="s">
        <v>16</v>
      </c>
      <c r="C5087" t="s">
        <v>46</v>
      </c>
      <c r="D5087" s="8"/>
      <c r="E5087" s="8"/>
      <c r="M5087" t="s">
        <v>478</v>
      </c>
      <c r="N5087" t="str">
        <f>Tabela_tudo[[#This Row],[Médico]]&amp;" ("&amp;Tabela_tudo[[#This Row],[Obs]]&amp;")"</f>
        <v>PP ()</v>
      </c>
    </row>
    <row r="5088" spans="1:14" x14ac:dyDescent="0.3">
      <c r="A5088" s="1">
        <v>45192</v>
      </c>
      <c r="B5088" t="s">
        <v>84</v>
      </c>
      <c r="C5088" t="s">
        <v>465</v>
      </c>
      <c r="D5088" s="8"/>
      <c r="E5088" s="8"/>
      <c r="F5088" t="s">
        <v>486</v>
      </c>
      <c r="M5088" t="s">
        <v>478</v>
      </c>
      <c r="N5088" t="str">
        <f>Tabela_tudo[[#This Row],[Médico]]&amp;" ("&amp;Tabela_tudo[[#This Row],[Obs]]&amp;")"</f>
        <v>ANO (JARGS)</v>
      </c>
    </row>
    <row r="5089" spans="1:14" x14ac:dyDescent="0.3">
      <c r="A5089" s="1">
        <v>45230</v>
      </c>
      <c r="B5089" t="s">
        <v>23</v>
      </c>
      <c r="C5089" t="s">
        <v>45</v>
      </c>
      <c r="D5089" s="8"/>
      <c r="E5089" s="8"/>
      <c r="M5089" t="s">
        <v>478</v>
      </c>
      <c r="N5089" t="str">
        <f>Tabela_tudo[[#This Row],[Médico]]&amp;" ("&amp;Tabela_tudo[[#This Row],[Obs]]&amp;")"</f>
        <v>BG ()</v>
      </c>
    </row>
    <row r="5090" spans="1:14" x14ac:dyDescent="0.3">
      <c r="A5090" s="1">
        <v>45192</v>
      </c>
      <c r="B5090" t="s">
        <v>73</v>
      </c>
      <c r="C5090" t="s">
        <v>465</v>
      </c>
      <c r="D5090" s="8"/>
      <c r="E5090" s="8"/>
      <c r="F5090" t="s">
        <v>486</v>
      </c>
      <c r="M5090" t="s">
        <v>478</v>
      </c>
      <c r="N5090" t="str">
        <f>Tabela_tudo[[#This Row],[Médico]]&amp;" ("&amp;Tabela_tudo[[#This Row],[Obs]]&amp;")"</f>
        <v>RT (JARGS)</v>
      </c>
    </row>
    <row r="5091" spans="1:14" x14ac:dyDescent="0.3">
      <c r="A5091" s="1">
        <v>45230</v>
      </c>
      <c r="B5091" t="s">
        <v>48</v>
      </c>
      <c r="C5091" t="s">
        <v>49</v>
      </c>
      <c r="D5091" s="8"/>
      <c r="E5091" s="8"/>
      <c r="M5091" t="s">
        <v>478</v>
      </c>
      <c r="N5091" t="str">
        <f>Tabela_tudo[[#This Row],[Médico]]&amp;" ("&amp;Tabela_tudo[[#This Row],[Obs]]&amp;")"</f>
        <v>MAF ()</v>
      </c>
    </row>
    <row r="5092" spans="1:14" x14ac:dyDescent="0.3">
      <c r="A5092" s="1">
        <v>45237</v>
      </c>
      <c r="B5092" t="s">
        <v>17</v>
      </c>
      <c r="C5092" t="s">
        <v>464</v>
      </c>
      <c r="D5092" s="8"/>
      <c r="E5092" s="8"/>
      <c r="M5092" t="s">
        <v>478</v>
      </c>
      <c r="N5092" t="str">
        <f>Tabela_tudo[[#This Row],[Médico]]&amp;" ("&amp;Tabela_tudo[[#This Row],[Obs]]&amp;")"</f>
        <v>FAB ()</v>
      </c>
    </row>
    <row r="5093" spans="1:14" x14ac:dyDescent="0.3">
      <c r="A5093" s="1">
        <v>45230</v>
      </c>
      <c r="B5093" t="s">
        <v>47</v>
      </c>
      <c r="C5093" t="s">
        <v>18</v>
      </c>
      <c r="D5093" s="8"/>
      <c r="E5093" s="8"/>
      <c r="M5093" t="s">
        <v>478</v>
      </c>
      <c r="N5093" t="str">
        <f>Tabela_tudo[[#This Row],[Médico]]&amp;" ("&amp;Tabela_tudo[[#This Row],[Obs]]&amp;")"</f>
        <v>VIN ()</v>
      </c>
    </row>
    <row r="5094" spans="1:14" x14ac:dyDescent="0.3">
      <c r="A5094" s="1">
        <v>45238</v>
      </c>
      <c r="B5094" t="s">
        <v>17</v>
      </c>
      <c r="C5094" t="s">
        <v>464</v>
      </c>
      <c r="D5094" s="8"/>
      <c r="E5094" s="8"/>
      <c r="M5094" t="s">
        <v>478</v>
      </c>
      <c r="N5094" t="str">
        <f>Tabela_tudo[[#This Row],[Médico]]&amp;" ("&amp;Tabela_tudo[[#This Row],[Obs]]&amp;")"</f>
        <v>FAB ()</v>
      </c>
    </row>
    <row r="5095" spans="1:14" x14ac:dyDescent="0.3">
      <c r="A5095" s="1">
        <v>45229</v>
      </c>
      <c r="B5095" t="s">
        <v>21</v>
      </c>
      <c r="C5095" t="s">
        <v>46</v>
      </c>
      <c r="D5095" s="8"/>
      <c r="E5095" s="8"/>
      <c r="M5095" t="s">
        <v>478</v>
      </c>
      <c r="N5095" t="str">
        <f>Tabela_tudo[[#This Row],[Médico]]&amp;" ("&amp;Tabela_tudo[[#This Row],[Obs]]&amp;")"</f>
        <v>RA ()</v>
      </c>
    </row>
    <row r="5096" spans="1:14" x14ac:dyDescent="0.3">
      <c r="A5096" s="1">
        <v>45233</v>
      </c>
      <c r="B5096" t="s">
        <v>47</v>
      </c>
      <c r="C5096" t="s">
        <v>464</v>
      </c>
      <c r="D5096" s="8"/>
      <c r="E5096" s="8"/>
      <c r="M5096" t="s">
        <v>478</v>
      </c>
      <c r="N5096" t="str">
        <f>Tabela_tudo[[#This Row],[Médico]]&amp;" ("&amp;Tabela_tudo[[#This Row],[Obs]]&amp;")"</f>
        <v>VIN ()</v>
      </c>
    </row>
    <row r="5097" spans="1:14" x14ac:dyDescent="0.3">
      <c r="A5097" s="1">
        <v>45229</v>
      </c>
      <c r="B5097" t="s">
        <v>44</v>
      </c>
      <c r="C5097" t="s">
        <v>45</v>
      </c>
      <c r="D5097" s="8"/>
      <c r="E5097" s="8"/>
      <c r="M5097" t="s">
        <v>478</v>
      </c>
      <c r="N5097" t="str">
        <f>Tabela_tudo[[#This Row],[Médico]]&amp;" ("&amp;Tabela_tudo[[#This Row],[Obs]]&amp;")"</f>
        <v>REI ()</v>
      </c>
    </row>
    <row r="5098" spans="1:14" x14ac:dyDescent="0.3">
      <c r="A5098" s="1">
        <v>45236</v>
      </c>
      <c r="B5098" t="s">
        <v>17</v>
      </c>
      <c r="C5098" t="s">
        <v>464</v>
      </c>
      <c r="D5098" s="8"/>
      <c r="E5098" s="8"/>
      <c r="M5098" t="s">
        <v>478</v>
      </c>
      <c r="N5098" t="str">
        <f>Tabela_tudo[[#This Row],[Médico]]&amp;" ("&amp;Tabela_tudo[[#This Row],[Obs]]&amp;")"</f>
        <v>FAB ()</v>
      </c>
    </row>
    <row r="5099" spans="1:14" x14ac:dyDescent="0.3">
      <c r="A5099" s="1">
        <v>45229</v>
      </c>
      <c r="B5099" t="s">
        <v>48</v>
      </c>
      <c r="C5099" t="s">
        <v>49</v>
      </c>
      <c r="D5099" s="8"/>
      <c r="E5099" s="8"/>
      <c r="M5099" t="s">
        <v>478</v>
      </c>
      <c r="N5099" t="str">
        <f>Tabela_tudo[[#This Row],[Médico]]&amp;" ("&amp;Tabela_tudo[[#This Row],[Obs]]&amp;")"</f>
        <v>MAF ()</v>
      </c>
    </row>
    <row r="5100" spans="1:14" x14ac:dyDescent="0.3">
      <c r="A5100" s="1">
        <v>45241</v>
      </c>
      <c r="B5100" t="s">
        <v>17</v>
      </c>
      <c r="C5100" t="s">
        <v>464</v>
      </c>
      <c r="D5100" s="8"/>
      <c r="E5100" s="8"/>
      <c r="M5100" t="s">
        <v>478</v>
      </c>
      <c r="N5100" t="str">
        <f>Tabela_tudo[[#This Row],[Médico]]&amp;" ("&amp;Tabela_tudo[[#This Row],[Obs]]&amp;")"</f>
        <v>FAB ()</v>
      </c>
    </row>
    <row r="5101" spans="1:14" x14ac:dyDescent="0.3">
      <c r="A5101" s="1">
        <v>45229</v>
      </c>
      <c r="B5101" t="s">
        <v>72</v>
      </c>
      <c r="C5101" t="s">
        <v>18</v>
      </c>
      <c r="D5101" s="8"/>
      <c r="E5101" s="8"/>
      <c r="M5101" t="s">
        <v>478</v>
      </c>
      <c r="N5101" t="str">
        <f>Tabela_tudo[[#This Row],[Médico]]&amp;" ("&amp;Tabela_tudo[[#This Row],[Obs]]&amp;")"</f>
        <v>GRA ()</v>
      </c>
    </row>
    <row r="5102" spans="1:14" x14ac:dyDescent="0.3">
      <c r="A5102" s="1">
        <v>45242</v>
      </c>
      <c r="B5102" t="s">
        <v>17</v>
      </c>
      <c r="C5102" t="s">
        <v>464</v>
      </c>
      <c r="D5102" s="8"/>
      <c r="E5102" s="8"/>
      <c r="M5102" t="s">
        <v>478</v>
      </c>
      <c r="N5102" t="str">
        <f>Tabela_tudo[[#This Row],[Médico]]&amp;" ("&amp;Tabela_tudo[[#This Row],[Obs]]&amp;")"</f>
        <v>FAB ()</v>
      </c>
    </row>
    <row r="5103" spans="1:14" x14ac:dyDescent="0.3">
      <c r="A5103" s="1">
        <v>45229</v>
      </c>
      <c r="B5103" t="s">
        <v>33</v>
      </c>
      <c r="C5103" t="s">
        <v>15</v>
      </c>
      <c r="D5103" s="8"/>
      <c r="E5103" s="8"/>
      <c r="M5103" t="s">
        <v>478</v>
      </c>
      <c r="N5103" t="str">
        <f>Tabela_tudo[[#This Row],[Médico]]&amp;" ("&amp;Tabela_tudo[[#This Row],[Obs]]&amp;")"</f>
        <v>DIF ()</v>
      </c>
    </row>
    <row r="5104" spans="1:14" x14ac:dyDescent="0.3">
      <c r="A5104" s="1">
        <v>45239</v>
      </c>
      <c r="B5104" t="s">
        <v>17</v>
      </c>
      <c r="C5104" t="s">
        <v>464</v>
      </c>
      <c r="D5104" s="8"/>
      <c r="E5104" s="8"/>
      <c r="M5104" t="s">
        <v>478</v>
      </c>
      <c r="N5104" t="str">
        <f>Tabela_tudo[[#This Row],[Médico]]&amp;" ("&amp;Tabela_tudo[[#This Row],[Obs]]&amp;")"</f>
        <v>FAB ()</v>
      </c>
    </row>
    <row r="5105" spans="1:14" x14ac:dyDescent="0.3">
      <c r="A5105" s="1">
        <v>45229</v>
      </c>
      <c r="B5105" t="s">
        <v>32</v>
      </c>
      <c r="C5105" t="s">
        <v>13</v>
      </c>
      <c r="D5105" s="8"/>
      <c r="E5105" s="8"/>
      <c r="M5105" t="s">
        <v>478</v>
      </c>
      <c r="N5105" t="str">
        <f>Tabela_tudo[[#This Row],[Médico]]&amp;" ("&amp;Tabela_tudo[[#This Row],[Obs]]&amp;")"</f>
        <v>JS ()</v>
      </c>
    </row>
    <row r="5106" spans="1:14" x14ac:dyDescent="0.3">
      <c r="A5106" s="1">
        <v>45240</v>
      </c>
      <c r="B5106" t="s">
        <v>17</v>
      </c>
      <c r="C5106" t="s">
        <v>464</v>
      </c>
      <c r="D5106" s="8"/>
      <c r="E5106" s="8"/>
      <c r="M5106" t="s">
        <v>478</v>
      </c>
      <c r="N5106" t="str">
        <f>Tabela_tudo[[#This Row],[Médico]]&amp;" ("&amp;Tabela_tudo[[#This Row],[Obs]]&amp;")"</f>
        <v>FAB ()</v>
      </c>
    </row>
    <row r="5107" spans="1:14" x14ac:dyDescent="0.3">
      <c r="A5107" s="1">
        <v>45229</v>
      </c>
      <c r="B5107" t="s">
        <v>64</v>
      </c>
      <c r="C5107" t="s">
        <v>43</v>
      </c>
      <c r="D5107" s="8"/>
      <c r="E5107" s="8"/>
      <c r="M5107" t="s">
        <v>478</v>
      </c>
      <c r="N5107" t="str">
        <f>Tabela_tudo[[#This Row],[Médico]]&amp;" ("&amp;Tabela_tudo[[#This Row],[Obs]]&amp;")"</f>
        <v>SAR ()</v>
      </c>
    </row>
    <row r="5108" spans="1:14" x14ac:dyDescent="0.3">
      <c r="A5108" s="1">
        <v>45221</v>
      </c>
      <c r="B5108" t="s">
        <v>34</v>
      </c>
      <c r="C5108" t="s">
        <v>465</v>
      </c>
      <c r="D5108" s="8"/>
      <c r="E5108" s="8"/>
      <c r="F5108" t="s">
        <v>684</v>
      </c>
      <c r="M5108" t="s">
        <v>478</v>
      </c>
      <c r="N5108" t="str">
        <f>Tabela_tudo[[#This Row],[Médico]]&amp;" ("&amp;Tabela_tudo[[#This Row],[Obs]]&amp;")"</f>
        <v>LIP (STARTUP WEEKEND HEALTH - FLORIPA)</v>
      </c>
    </row>
    <row r="5109" spans="1:14" x14ac:dyDescent="0.3">
      <c r="A5109" s="1">
        <v>45229</v>
      </c>
      <c r="B5109" t="s">
        <v>73</v>
      </c>
      <c r="C5109" t="s">
        <v>8</v>
      </c>
      <c r="D5109" s="8"/>
      <c r="E5109" s="8"/>
      <c r="M5109" t="s">
        <v>478</v>
      </c>
      <c r="N5109" t="str">
        <f>Tabela_tudo[[#This Row],[Médico]]&amp;" ("&amp;Tabela_tudo[[#This Row],[Obs]]&amp;")"</f>
        <v>RT ()</v>
      </c>
    </row>
    <row r="5110" spans="1:14" x14ac:dyDescent="0.3">
      <c r="A5110" s="1">
        <v>45222</v>
      </c>
      <c r="B5110" t="s">
        <v>34</v>
      </c>
      <c r="C5110" t="s">
        <v>465</v>
      </c>
      <c r="D5110" s="8"/>
      <c r="E5110" s="8"/>
      <c r="F5110" t="s">
        <v>684</v>
      </c>
      <c r="M5110" t="s">
        <v>478</v>
      </c>
      <c r="N5110" t="str">
        <f>Tabela_tudo[[#This Row],[Médico]]&amp;" ("&amp;Tabela_tudo[[#This Row],[Obs]]&amp;")"</f>
        <v>LIP (STARTUP WEEKEND HEALTH - FLORIPA)</v>
      </c>
    </row>
    <row r="5111" spans="1:14" x14ac:dyDescent="0.3">
      <c r="A5111" s="1">
        <v>45230</v>
      </c>
      <c r="B5111" t="s">
        <v>12</v>
      </c>
      <c r="C5111" t="s">
        <v>43</v>
      </c>
      <c r="D5111" s="8"/>
      <c r="E5111" s="8"/>
      <c r="M5111" t="s">
        <v>478</v>
      </c>
      <c r="N5111" t="str">
        <f>Tabela_tudo[[#This Row],[Médico]]&amp;" ("&amp;Tabela_tudo[[#This Row],[Obs]]&amp;")"</f>
        <v>EDU ()</v>
      </c>
    </row>
    <row r="5112" spans="1:14" x14ac:dyDescent="0.3">
      <c r="A5112" s="1">
        <v>45219</v>
      </c>
      <c r="B5112" t="s">
        <v>34</v>
      </c>
      <c r="C5112" t="s">
        <v>465</v>
      </c>
      <c r="D5112" s="8"/>
      <c r="E5112" s="8"/>
      <c r="F5112" t="s">
        <v>684</v>
      </c>
      <c r="M5112" t="s">
        <v>478</v>
      </c>
      <c r="N5112" t="str">
        <f>Tabela_tudo[[#This Row],[Médico]]&amp;" ("&amp;Tabela_tudo[[#This Row],[Obs]]&amp;")"</f>
        <v>LIP (STARTUP WEEKEND HEALTH - FLORIPA)</v>
      </c>
    </row>
    <row r="5113" spans="1:14" x14ac:dyDescent="0.3">
      <c r="A5113" s="1">
        <v>45224</v>
      </c>
      <c r="B5113" t="s">
        <v>64</v>
      </c>
      <c r="C5113" t="s">
        <v>8</v>
      </c>
      <c r="D5113" s="8"/>
      <c r="E5113" s="8"/>
      <c r="M5113" t="s">
        <v>478</v>
      </c>
      <c r="N5113" t="str">
        <f>Tabela_tudo[[#This Row],[Médico]]&amp;" ("&amp;Tabela_tudo[[#This Row],[Obs]]&amp;")"</f>
        <v>SAR ()</v>
      </c>
    </row>
    <row r="5114" spans="1:14" x14ac:dyDescent="0.3">
      <c r="A5114" s="1">
        <v>45220</v>
      </c>
      <c r="B5114" t="s">
        <v>34</v>
      </c>
      <c r="C5114" t="s">
        <v>465</v>
      </c>
      <c r="D5114" s="8"/>
      <c r="E5114" s="8"/>
      <c r="F5114" t="s">
        <v>684</v>
      </c>
      <c r="M5114" t="s">
        <v>478</v>
      </c>
      <c r="N5114" t="str">
        <f>Tabela_tudo[[#This Row],[Médico]]&amp;" ("&amp;Tabela_tudo[[#This Row],[Obs]]&amp;")"</f>
        <v>LIP (STARTUP WEEKEND HEALTH - FLORIPA)</v>
      </c>
    </row>
    <row r="5115" spans="1:14" x14ac:dyDescent="0.3">
      <c r="A5115" s="1">
        <v>45224</v>
      </c>
      <c r="B5115" t="s">
        <v>68</v>
      </c>
      <c r="C5115" t="s">
        <v>15</v>
      </c>
      <c r="D5115" s="8"/>
      <c r="E5115" s="8"/>
      <c r="M5115" t="s">
        <v>478</v>
      </c>
      <c r="N5115" t="str">
        <f>Tabela_tudo[[#This Row],[Médico]]&amp;" ("&amp;Tabela_tudo[[#This Row],[Obs]]&amp;")"</f>
        <v>PED ()</v>
      </c>
    </row>
    <row r="5116" spans="1:14" x14ac:dyDescent="0.3">
      <c r="A5116" s="1">
        <v>45231</v>
      </c>
      <c r="B5116" t="s">
        <v>47</v>
      </c>
      <c r="C5116" t="s">
        <v>464</v>
      </c>
      <c r="D5116" s="8"/>
      <c r="E5116" s="8"/>
      <c r="M5116" t="s">
        <v>478</v>
      </c>
      <c r="N5116" t="str">
        <f>Tabela_tudo[[#This Row],[Médico]]&amp;" ("&amp;Tabela_tudo[[#This Row],[Obs]]&amp;")"</f>
        <v>VIN ()</v>
      </c>
    </row>
    <row r="5117" spans="1:14" x14ac:dyDescent="0.3">
      <c r="A5117" s="1">
        <v>45224</v>
      </c>
      <c r="B5117" t="s">
        <v>29</v>
      </c>
      <c r="C5117" t="s">
        <v>43</v>
      </c>
      <c r="D5117" s="8"/>
      <c r="E5117" s="8"/>
      <c r="M5117" t="s">
        <v>478</v>
      </c>
      <c r="N5117" t="str">
        <f>Tabela_tudo[[#This Row],[Médico]]&amp;" ("&amp;Tabela_tudo[[#This Row],[Obs]]&amp;")"</f>
        <v>JOA ()</v>
      </c>
    </row>
    <row r="5118" spans="1:14" x14ac:dyDescent="0.3">
      <c r="A5118" s="1">
        <v>45232</v>
      </c>
      <c r="B5118" t="s">
        <v>47</v>
      </c>
      <c r="C5118" t="s">
        <v>464</v>
      </c>
      <c r="D5118" s="8"/>
      <c r="E5118" s="8"/>
      <c r="M5118" t="s">
        <v>478</v>
      </c>
      <c r="N5118" t="str">
        <f>Tabela_tudo[[#This Row],[Médico]]&amp;" ("&amp;Tabela_tudo[[#This Row],[Obs]]&amp;")"</f>
        <v>VIN ()</v>
      </c>
    </row>
    <row r="5119" spans="1:14" x14ac:dyDescent="0.3">
      <c r="A5119" s="1">
        <v>45224</v>
      </c>
      <c r="B5119" t="s">
        <v>20</v>
      </c>
      <c r="C5119" t="s">
        <v>30</v>
      </c>
      <c r="D5119" s="8"/>
      <c r="E5119" s="8"/>
      <c r="M5119" t="s">
        <v>478</v>
      </c>
      <c r="N5119" t="str">
        <f>Tabela_tudo[[#This Row],[Médico]]&amp;" ("&amp;Tabela_tudo[[#This Row],[Obs]]&amp;")"</f>
        <v>ROB ()</v>
      </c>
    </row>
    <row r="5120" spans="1:14" x14ac:dyDescent="0.3">
      <c r="A5120" s="1">
        <v>45229</v>
      </c>
      <c r="B5120" t="s">
        <v>47</v>
      </c>
      <c r="C5120" t="s">
        <v>464</v>
      </c>
      <c r="D5120" s="8"/>
      <c r="E5120" s="8"/>
      <c r="M5120" t="s">
        <v>478</v>
      </c>
      <c r="N5120" t="str">
        <f>Tabela_tudo[[#This Row],[Médico]]&amp;" ("&amp;Tabela_tudo[[#This Row],[Obs]]&amp;")"</f>
        <v>VIN ()</v>
      </c>
    </row>
    <row r="5121" spans="1:14" x14ac:dyDescent="0.3">
      <c r="A5121" s="1">
        <v>45222</v>
      </c>
      <c r="B5121" t="s">
        <v>71</v>
      </c>
      <c r="C5121" t="s">
        <v>49</v>
      </c>
      <c r="D5121" s="8"/>
      <c r="E5121" s="8"/>
      <c r="M5121" t="s">
        <v>478</v>
      </c>
      <c r="N5121" t="str">
        <f>Tabela_tudo[[#This Row],[Médico]]&amp;" ("&amp;Tabela_tudo[[#This Row],[Obs]]&amp;")"</f>
        <v>BRU ()</v>
      </c>
    </row>
    <row r="5122" spans="1:14" x14ac:dyDescent="0.3">
      <c r="A5122" s="1">
        <v>45230</v>
      </c>
      <c r="B5122" t="s">
        <v>47</v>
      </c>
      <c r="C5122" t="s">
        <v>464</v>
      </c>
      <c r="D5122" s="8"/>
      <c r="E5122" s="8"/>
      <c r="M5122" t="s">
        <v>478</v>
      </c>
      <c r="N5122" t="str">
        <f>Tabela_tudo[[#This Row],[Médico]]&amp;" ("&amp;Tabela_tudo[[#This Row],[Obs]]&amp;")"</f>
        <v>VIN ()</v>
      </c>
    </row>
    <row r="5123" spans="1:14" x14ac:dyDescent="0.3">
      <c r="A5123" s="1">
        <v>45222</v>
      </c>
      <c r="B5123" t="s">
        <v>32</v>
      </c>
      <c r="C5123" t="s">
        <v>18</v>
      </c>
      <c r="D5123" s="8"/>
      <c r="E5123" s="8"/>
      <c r="M5123" t="s">
        <v>478</v>
      </c>
      <c r="N5123" t="str">
        <f>Tabela_tudo[[#This Row],[Médico]]&amp;" ("&amp;Tabela_tudo[[#This Row],[Obs]]&amp;")"</f>
        <v>JS ()</v>
      </c>
    </row>
    <row r="5124" spans="1:14" x14ac:dyDescent="0.3">
      <c r="A5124" s="1">
        <v>45192</v>
      </c>
      <c r="B5124" t="s">
        <v>14</v>
      </c>
      <c r="C5124" t="s">
        <v>465</v>
      </c>
      <c r="D5124" s="8"/>
      <c r="E5124" s="8"/>
      <c r="F5124" t="s">
        <v>486</v>
      </c>
      <c r="M5124" t="s">
        <v>478</v>
      </c>
      <c r="N5124" t="str">
        <f>Tabela_tudo[[#This Row],[Médico]]&amp;" ("&amp;Tabela_tudo[[#This Row],[Obs]]&amp;")"</f>
        <v>PW (JARGS)</v>
      </c>
    </row>
    <row r="5125" spans="1:14" x14ac:dyDescent="0.3">
      <c r="A5125" s="1">
        <v>45224</v>
      </c>
      <c r="B5125" t="s">
        <v>33</v>
      </c>
      <c r="C5125" t="s">
        <v>13</v>
      </c>
      <c r="D5125" s="8"/>
      <c r="E5125" s="8"/>
      <c r="M5125" t="s">
        <v>478</v>
      </c>
      <c r="N5125" t="str">
        <f>Tabela_tudo[[#This Row],[Médico]]&amp;" ("&amp;Tabela_tudo[[#This Row],[Obs]]&amp;")"</f>
        <v>DIF ()</v>
      </c>
    </row>
    <row r="5126" spans="1:14" x14ac:dyDescent="0.3">
      <c r="A5126" s="1">
        <v>45176</v>
      </c>
      <c r="B5126" t="s">
        <v>7</v>
      </c>
      <c r="C5126" t="s">
        <v>465</v>
      </c>
      <c r="D5126" s="8"/>
      <c r="E5126" s="8"/>
      <c r="F5126" t="s">
        <v>472</v>
      </c>
      <c r="M5126" t="s">
        <v>478</v>
      </c>
      <c r="N5126" t="str">
        <f>Tabela_tudo[[#This Row],[Médico]]&amp;" ("&amp;Tabela_tudo[[#This Row],[Obs]]&amp;")"</f>
        <v>ARI (CLASA)</v>
      </c>
    </row>
    <row r="5127" spans="1:14" x14ac:dyDescent="0.3">
      <c r="A5127" s="1">
        <v>45222</v>
      </c>
      <c r="B5127" t="s">
        <v>50</v>
      </c>
      <c r="C5127" t="s">
        <v>51</v>
      </c>
      <c r="D5127" s="8"/>
      <c r="E5127" s="8"/>
      <c r="M5127" t="s">
        <v>478</v>
      </c>
      <c r="N5127" t="str">
        <f>Tabela_tudo[[#This Row],[Médico]]&amp;" ("&amp;Tabela_tudo[[#This Row],[Obs]]&amp;")"</f>
        <v>PJP ()</v>
      </c>
    </row>
    <row r="5128" spans="1:14" x14ac:dyDescent="0.3">
      <c r="A5128" s="1">
        <v>45177</v>
      </c>
      <c r="B5128" t="s">
        <v>7</v>
      </c>
      <c r="C5128" t="s">
        <v>465</v>
      </c>
      <c r="D5128" s="8"/>
      <c r="E5128" s="8"/>
      <c r="F5128" t="s">
        <v>472</v>
      </c>
      <c r="M5128" t="s">
        <v>478</v>
      </c>
      <c r="N5128" t="str">
        <f>Tabela_tudo[[#This Row],[Médico]]&amp;" ("&amp;Tabela_tudo[[#This Row],[Obs]]&amp;")"</f>
        <v>ARI (CLASA)</v>
      </c>
    </row>
    <row r="5129" spans="1:14" x14ac:dyDescent="0.3">
      <c r="A5129" s="1">
        <v>45230</v>
      </c>
      <c r="B5129" t="s">
        <v>68</v>
      </c>
      <c r="C5129" t="s">
        <v>13</v>
      </c>
      <c r="D5129" s="8"/>
      <c r="E5129" s="8"/>
      <c r="M5129" t="s">
        <v>478</v>
      </c>
      <c r="N5129" t="str">
        <f>Tabela_tudo[[#This Row],[Médico]]&amp;" ("&amp;Tabela_tudo[[#This Row],[Obs]]&amp;")"</f>
        <v>PED ()</v>
      </c>
    </row>
    <row r="5130" spans="1:14" x14ac:dyDescent="0.3">
      <c r="A5130" s="1">
        <v>45178</v>
      </c>
      <c r="B5130" t="s">
        <v>94</v>
      </c>
      <c r="C5130" t="s">
        <v>465</v>
      </c>
      <c r="D5130" s="8"/>
      <c r="E5130" s="8"/>
      <c r="F5130" t="s">
        <v>472</v>
      </c>
      <c r="M5130" t="s">
        <v>478</v>
      </c>
      <c r="N5130" t="str">
        <f>Tabela_tudo[[#This Row],[Médico]]&amp;" ("&amp;Tabela_tudo[[#This Row],[Obs]]&amp;")"</f>
        <v>TOT (CLASA)</v>
      </c>
    </row>
    <row r="5131" spans="1:14" x14ac:dyDescent="0.3">
      <c r="A5131" s="1">
        <v>45224</v>
      </c>
      <c r="B5131" t="s">
        <v>73</v>
      </c>
      <c r="C5131" t="s">
        <v>51</v>
      </c>
      <c r="D5131" s="8"/>
      <c r="E5131" s="8"/>
      <c r="M5131" t="s">
        <v>478</v>
      </c>
      <c r="N5131" t="str">
        <f>Tabela_tudo[[#This Row],[Médico]]&amp;" ("&amp;Tabela_tudo[[#This Row],[Obs]]&amp;")"</f>
        <v>RT ()</v>
      </c>
    </row>
    <row r="5132" spans="1:14" x14ac:dyDescent="0.3">
      <c r="A5132" s="1">
        <v>45179</v>
      </c>
      <c r="B5132" t="s">
        <v>94</v>
      </c>
      <c r="C5132" t="s">
        <v>465</v>
      </c>
      <c r="D5132" s="8"/>
      <c r="E5132" s="8"/>
      <c r="F5132" t="s">
        <v>472</v>
      </c>
      <c r="M5132" t="s">
        <v>478</v>
      </c>
      <c r="N5132" t="str">
        <f>Tabela_tudo[[#This Row],[Médico]]&amp;" ("&amp;Tabela_tudo[[#This Row],[Obs]]&amp;")"</f>
        <v>TOT (CLASA)</v>
      </c>
    </row>
    <row r="5133" spans="1:14" x14ac:dyDescent="0.3">
      <c r="A5133" s="1">
        <v>45230</v>
      </c>
      <c r="B5133" t="s">
        <v>34</v>
      </c>
      <c r="C5133" t="s">
        <v>8</v>
      </c>
      <c r="D5133" s="8"/>
      <c r="E5133" s="8"/>
      <c r="M5133" t="s">
        <v>478</v>
      </c>
      <c r="N5133" t="str">
        <f>Tabela_tudo[[#This Row],[Médico]]&amp;" ("&amp;Tabela_tudo[[#This Row],[Obs]]&amp;")"</f>
        <v>LIP ()</v>
      </c>
    </row>
    <row r="5134" spans="1:14" x14ac:dyDescent="0.3">
      <c r="A5134" s="1">
        <v>45176</v>
      </c>
      <c r="B5134" t="s">
        <v>23</v>
      </c>
      <c r="C5134" t="s">
        <v>465</v>
      </c>
      <c r="D5134" s="8"/>
      <c r="E5134" s="8"/>
      <c r="F5134" t="s">
        <v>472</v>
      </c>
      <c r="M5134" t="s">
        <v>478</v>
      </c>
      <c r="N5134" t="str">
        <f>Tabela_tudo[[#This Row],[Médico]]&amp;" ("&amp;Tabela_tudo[[#This Row],[Obs]]&amp;")"</f>
        <v>BG (CLASA)</v>
      </c>
    </row>
    <row r="5135" spans="1:14" x14ac:dyDescent="0.3">
      <c r="A5135" s="1">
        <v>45230</v>
      </c>
      <c r="B5135" t="s">
        <v>142</v>
      </c>
      <c r="C5135" t="s">
        <v>15</v>
      </c>
      <c r="D5135" s="8"/>
      <c r="E5135" s="8"/>
      <c r="M5135" t="s">
        <v>478</v>
      </c>
      <c r="N5135" t="str">
        <f>Tabela_tudo[[#This Row],[Médico]]&amp;" ("&amp;Tabela_tudo[[#This Row],[Obs]]&amp;")"</f>
        <v>VIV ()</v>
      </c>
    </row>
    <row r="5136" spans="1:14" x14ac:dyDescent="0.3">
      <c r="A5136" s="1">
        <v>45177</v>
      </c>
      <c r="B5136" t="s">
        <v>23</v>
      </c>
      <c r="C5136" t="s">
        <v>465</v>
      </c>
      <c r="D5136" s="8"/>
      <c r="E5136" s="8"/>
      <c r="F5136" t="s">
        <v>472</v>
      </c>
      <c r="M5136" t="s">
        <v>478</v>
      </c>
      <c r="N5136" t="str">
        <f>Tabela_tudo[[#This Row],[Médico]]&amp;" ("&amp;Tabela_tudo[[#This Row],[Obs]]&amp;")"</f>
        <v>BG (CLASA)</v>
      </c>
    </row>
    <row r="5137" spans="1:14" x14ac:dyDescent="0.3">
      <c r="A5137" s="1">
        <v>45224</v>
      </c>
      <c r="B5137" t="s">
        <v>68</v>
      </c>
      <c r="C5137" t="s">
        <v>46</v>
      </c>
      <c r="D5137" s="8"/>
      <c r="E5137" s="8"/>
      <c r="M5137" t="s">
        <v>478</v>
      </c>
      <c r="N5137" t="str">
        <f>Tabela_tudo[[#This Row],[Médico]]&amp;" ("&amp;Tabela_tudo[[#This Row],[Obs]]&amp;")"</f>
        <v>PED ()</v>
      </c>
    </row>
    <row r="5138" spans="1:14" x14ac:dyDescent="0.3">
      <c r="A5138" s="1">
        <v>45178</v>
      </c>
      <c r="B5138" t="s">
        <v>7</v>
      </c>
      <c r="C5138" t="s">
        <v>465</v>
      </c>
      <c r="D5138" s="8"/>
      <c r="E5138" s="8"/>
      <c r="F5138" t="s">
        <v>472</v>
      </c>
      <c r="M5138" t="s">
        <v>478</v>
      </c>
      <c r="N5138" t="str">
        <f>Tabela_tudo[[#This Row],[Médico]]&amp;" ("&amp;Tabela_tudo[[#This Row],[Obs]]&amp;")"</f>
        <v>ARI (CLASA)</v>
      </c>
    </row>
    <row r="5139" spans="1:14" x14ac:dyDescent="0.3">
      <c r="A5139" s="1">
        <v>45224</v>
      </c>
      <c r="B5139" t="s">
        <v>66</v>
      </c>
      <c r="C5139" t="s">
        <v>45</v>
      </c>
      <c r="D5139" s="8"/>
      <c r="E5139" s="8"/>
      <c r="M5139" t="s">
        <v>478</v>
      </c>
      <c r="N5139" t="str">
        <f>Tabela_tudo[[#This Row],[Médico]]&amp;" ("&amp;Tabela_tudo[[#This Row],[Obs]]&amp;")"</f>
        <v>MOZ ()</v>
      </c>
    </row>
    <row r="5140" spans="1:14" x14ac:dyDescent="0.3">
      <c r="A5140" s="1">
        <v>45179</v>
      </c>
      <c r="B5140" t="s">
        <v>7</v>
      </c>
      <c r="C5140" t="s">
        <v>465</v>
      </c>
      <c r="D5140" s="8"/>
      <c r="E5140" s="8"/>
      <c r="F5140" t="s">
        <v>472</v>
      </c>
      <c r="M5140" t="s">
        <v>478</v>
      </c>
      <c r="N5140" t="str">
        <f>Tabela_tudo[[#This Row],[Médico]]&amp;" ("&amp;Tabela_tudo[[#This Row],[Obs]]&amp;")"</f>
        <v>ARI (CLASA)</v>
      </c>
    </row>
    <row r="5141" spans="1:14" x14ac:dyDescent="0.3">
      <c r="A5141" s="1">
        <v>45224</v>
      </c>
      <c r="B5141" t="s">
        <v>71</v>
      </c>
      <c r="C5141" t="s">
        <v>49</v>
      </c>
      <c r="D5141" s="8"/>
      <c r="E5141" s="8"/>
      <c r="M5141" t="s">
        <v>478</v>
      </c>
      <c r="N5141" t="str">
        <f>Tabela_tudo[[#This Row],[Médico]]&amp;" ("&amp;Tabela_tudo[[#This Row],[Obs]]&amp;")"</f>
        <v>BRU ()</v>
      </c>
    </row>
    <row r="5142" spans="1:14" x14ac:dyDescent="0.3">
      <c r="A5142" s="1">
        <v>45176</v>
      </c>
      <c r="B5142" t="s">
        <v>66</v>
      </c>
      <c r="C5142" t="s">
        <v>465</v>
      </c>
      <c r="D5142" s="8"/>
      <c r="E5142" s="8"/>
      <c r="F5142" t="s">
        <v>472</v>
      </c>
      <c r="M5142" t="s">
        <v>478</v>
      </c>
      <c r="N5142" t="str">
        <f>Tabela_tudo[[#This Row],[Médico]]&amp;" ("&amp;Tabela_tudo[[#This Row],[Obs]]&amp;")"</f>
        <v>MOZ (CLASA)</v>
      </c>
    </row>
    <row r="5143" spans="1:14" x14ac:dyDescent="0.3">
      <c r="A5143" s="1">
        <v>45224</v>
      </c>
      <c r="B5143" t="s">
        <v>47</v>
      </c>
      <c r="C5143" t="s">
        <v>18</v>
      </c>
      <c r="D5143" s="8"/>
      <c r="E5143" s="8"/>
      <c r="M5143" t="s">
        <v>478</v>
      </c>
      <c r="N5143" t="str">
        <f>Tabela_tudo[[#This Row],[Médico]]&amp;" ("&amp;Tabela_tudo[[#This Row],[Obs]]&amp;")"</f>
        <v>VIN ()</v>
      </c>
    </row>
    <row r="5144" spans="1:14" x14ac:dyDescent="0.3">
      <c r="A5144" s="1">
        <v>45177</v>
      </c>
      <c r="B5144" t="s">
        <v>66</v>
      </c>
      <c r="C5144" t="s">
        <v>465</v>
      </c>
      <c r="D5144" s="8"/>
      <c r="E5144" s="8"/>
      <c r="F5144" t="s">
        <v>472</v>
      </c>
      <c r="M5144" t="s">
        <v>478</v>
      </c>
      <c r="N5144" t="str">
        <f>Tabela_tudo[[#This Row],[Médico]]&amp;" ("&amp;Tabela_tudo[[#This Row],[Obs]]&amp;")"</f>
        <v>MOZ (CLASA)</v>
      </c>
    </row>
    <row r="5145" spans="1:14" x14ac:dyDescent="0.3">
      <c r="A5145" s="1">
        <v>45216</v>
      </c>
      <c r="B5145" t="s">
        <v>23</v>
      </c>
      <c r="C5145" t="s">
        <v>124</v>
      </c>
      <c r="D5145" s="8">
        <v>0.79166666666666663</v>
      </c>
      <c r="E5145" s="8">
        <v>0.91666666666666663</v>
      </c>
      <c r="F5145" t="s">
        <v>708</v>
      </c>
      <c r="K5145" t="s">
        <v>565</v>
      </c>
      <c r="M5145" t="s">
        <v>478</v>
      </c>
      <c r="N5145" t="str">
        <f>Tabela_tudo[[#This Row],[Médico]]&amp;" ("&amp;Tabela_tudo[[#This Row],[Obs]]&amp;")"</f>
        <v>BG (PRESENCIAL NO HED - CENARIO NA AREA DA SAUDE)</v>
      </c>
    </row>
    <row r="5146" spans="1:14" x14ac:dyDescent="0.3">
      <c r="A5146" s="1">
        <v>45268</v>
      </c>
      <c r="B5146" t="s">
        <v>68</v>
      </c>
      <c r="C5146" t="s">
        <v>464</v>
      </c>
      <c r="D5146" s="8"/>
      <c r="E5146" s="8"/>
      <c r="M5146" t="s">
        <v>478</v>
      </c>
      <c r="N5146" t="str">
        <f>Tabela_tudo[[#This Row],[Médico]]&amp;" ("&amp;Tabela_tudo[[#This Row],[Obs]]&amp;")"</f>
        <v>PED ()</v>
      </c>
    </row>
    <row r="5147" spans="1:14" x14ac:dyDescent="0.3">
      <c r="A5147" s="1">
        <v>45223</v>
      </c>
      <c r="B5147" t="s">
        <v>33</v>
      </c>
      <c r="C5147" t="s">
        <v>124</v>
      </c>
      <c r="D5147" s="8">
        <v>0.79166666666666663</v>
      </c>
      <c r="E5147" s="8">
        <v>0.91666666666666663</v>
      </c>
      <c r="F5147" t="s">
        <v>700</v>
      </c>
      <c r="K5147" t="s">
        <v>565</v>
      </c>
      <c r="M5147" t="s">
        <v>478</v>
      </c>
      <c r="N5147" t="str">
        <f>Tabela_tudo[[#This Row],[Médico]]&amp;" ("&amp;Tabela_tudo[[#This Row],[Obs]]&amp;")"</f>
        <v>DIF (TRATAMENTO DA ANEMIA NO PRE OPERATORIO)</v>
      </c>
    </row>
    <row r="5148" spans="1:14" x14ac:dyDescent="0.3">
      <c r="A5148" s="1">
        <v>45269</v>
      </c>
      <c r="B5148" t="s">
        <v>68</v>
      </c>
      <c r="C5148" t="s">
        <v>464</v>
      </c>
      <c r="D5148" s="8"/>
      <c r="E5148" s="8"/>
      <c r="M5148" t="s">
        <v>478</v>
      </c>
      <c r="N5148" t="str">
        <f>Tabela_tudo[[#This Row],[Médico]]&amp;" ("&amp;Tabela_tudo[[#This Row],[Obs]]&amp;")"</f>
        <v>PED ()</v>
      </c>
    </row>
    <row r="5149" spans="1:14" x14ac:dyDescent="0.3">
      <c r="A5149" s="1">
        <v>45223</v>
      </c>
      <c r="B5149" t="s">
        <v>75</v>
      </c>
      <c r="C5149" t="s">
        <v>51</v>
      </c>
      <c r="D5149" s="8"/>
      <c r="E5149" s="8"/>
      <c r="M5149" t="s">
        <v>478</v>
      </c>
      <c r="N5149" t="str">
        <f>Tabela_tudo[[#This Row],[Médico]]&amp;" ("&amp;Tabela_tudo[[#This Row],[Obs]]&amp;")"</f>
        <v>KOP ()</v>
      </c>
    </row>
    <row r="5150" spans="1:14" x14ac:dyDescent="0.3">
      <c r="A5150" s="1">
        <v>45176</v>
      </c>
      <c r="B5150" t="s">
        <v>94</v>
      </c>
      <c r="C5150" t="s">
        <v>465</v>
      </c>
      <c r="D5150" s="8"/>
      <c r="E5150" s="8"/>
      <c r="F5150" t="s">
        <v>472</v>
      </c>
      <c r="M5150" t="s">
        <v>478</v>
      </c>
      <c r="N5150" t="str">
        <f>Tabela_tudo[[#This Row],[Médico]]&amp;" ("&amp;Tabela_tudo[[#This Row],[Obs]]&amp;")"</f>
        <v>TOT (CLASA)</v>
      </c>
    </row>
    <row r="5151" spans="1:14" x14ac:dyDescent="0.3">
      <c r="A5151" s="1">
        <v>45205</v>
      </c>
      <c r="B5151" t="s">
        <v>33</v>
      </c>
      <c r="C5151" t="s">
        <v>15</v>
      </c>
      <c r="D5151" s="8"/>
      <c r="E5151" s="8"/>
      <c r="M5151" t="s">
        <v>478</v>
      </c>
      <c r="N5151" t="str">
        <f>Tabela_tudo[[#This Row],[Médico]]&amp;" ("&amp;Tabela_tudo[[#This Row],[Obs]]&amp;")"</f>
        <v>DIF ()</v>
      </c>
    </row>
    <row r="5152" spans="1:14" x14ac:dyDescent="0.3">
      <c r="A5152" s="1">
        <v>45177</v>
      </c>
      <c r="B5152" t="s">
        <v>94</v>
      </c>
      <c r="C5152" t="s">
        <v>465</v>
      </c>
      <c r="D5152" s="8"/>
      <c r="E5152" s="8"/>
      <c r="F5152" t="s">
        <v>472</v>
      </c>
      <c r="M5152" t="s">
        <v>478</v>
      </c>
      <c r="N5152" t="str">
        <f>Tabela_tudo[[#This Row],[Médico]]&amp;" ("&amp;Tabela_tudo[[#This Row],[Obs]]&amp;")"</f>
        <v>TOT (CLASA)</v>
      </c>
    </row>
    <row r="5153" spans="1:14" x14ac:dyDescent="0.3">
      <c r="A5153" s="1">
        <v>45205</v>
      </c>
      <c r="B5153" t="s">
        <v>34</v>
      </c>
      <c r="C5153" t="s">
        <v>13</v>
      </c>
      <c r="D5153" s="8"/>
      <c r="E5153" s="8"/>
      <c r="M5153" t="s">
        <v>478</v>
      </c>
      <c r="N5153" t="str">
        <f>Tabela_tudo[[#This Row],[Médico]]&amp;" ("&amp;Tabela_tudo[[#This Row],[Obs]]&amp;")"</f>
        <v>LIP ()</v>
      </c>
    </row>
    <row r="5154" spans="1:14" x14ac:dyDescent="0.3">
      <c r="A5154" s="1">
        <v>45178</v>
      </c>
      <c r="B5154" t="s">
        <v>66</v>
      </c>
      <c r="C5154" t="s">
        <v>465</v>
      </c>
      <c r="D5154" s="8"/>
      <c r="E5154" s="8"/>
      <c r="F5154" t="s">
        <v>472</v>
      </c>
      <c r="M5154" t="s">
        <v>478</v>
      </c>
      <c r="N5154" t="str">
        <f>Tabela_tudo[[#This Row],[Médico]]&amp;" ("&amp;Tabela_tudo[[#This Row],[Obs]]&amp;")"</f>
        <v>MOZ (CLASA)</v>
      </c>
    </row>
    <row r="5155" spans="1:14" x14ac:dyDescent="0.3">
      <c r="A5155" s="1">
        <v>45223</v>
      </c>
      <c r="B5155" t="s">
        <v>16</v>
      </c>
      <c r="C5155" t="s">
        <v>46</v>
      </c>
      <c r="D5155" s="8"/>
      <c r="E5155" s="8"/>
      <c r="M5155" t="s">
        <v>478</v>
      </c>
      <c r="N5155" t="str">
        <f>Tabela_tudo[[#This Row],[Médico]]&amp;" ("&amp;Tabela_tudo[[#This Row],[Obs]]&amp;")"</f>
        <v>PP ()</v>
      </c>
    </row>
    <row r="5156" spans="1:14" x14ac:dyDescent="0.3">
      <c r="A5156" s="1">
        <v>45179</v>
      </c>
      <c r="B5156" t="s">
        <v>66</v>
      </c>
      <c r="C5156" t="s">
        <v>465</v>
      </c>
      <c r="D5156" s="8"/>
      <c r="E5156" s="8"/>
      <c r="F5156" t="s">
        <v>472</v>
      </c>
      <c r="M5156" t="s">
        <v>478</v>
      </c>
      <c r="N5156" t="str">
        <f>Tabela_tudo[[#This Row],[Médico]]&amp;" ("&amp;Tabela_tudo[[#This Row],[Obs]]&amp;")"</f>
        <v>MOZ (CLASA)</v>
      </c>
    </row>
    <row r="5157" spans="1:14" x14ac:dyDescent="0.3">
      <c r="A5157" s="1">
        <v>45223</v>
      </c>
      <c r="B5157" t="s">
        <v>23</v>
      </c>
      <c r="C5157" t="s">
        <v>45</v>
      </c>
      <c r="D5157" s="8"/>
      <c r="E5157" s="8"/>
      <c r="M5157" t="s">
        <v>478</v>
      </c>
      <c r="N5157" t="str">
        <f>Tabela_tudo[[#This Row],[Médico]]&amp;" ("&amp;Tabela_tudo[[#This Row],[Obs]]&amp;")"</f>
        <v>BG ()</v>
      </c>
    </row>
    <row r="5158" spans="1:14" x14ac:dyDescent="0.3">
      <c r="A5158" s="1">
        <v>45192</v>
      </c>
      <c r="B5158" t="s">
        <v>32</v>
      </c>
      <c r="C5158" t="s">
        <v>465</v>
      </c>
      <c r="D5158" s="8"/>
      <c r="E5158" s="8"/>
      <c r="F5158" t="s">
        <v>486</v>
      </c>
      <c r="M5158" t="s">
        <v>478</v>
      </c>
      <c r="N5158" t="str">
        <f>Tabela_tudo[[#This Row],[Médico]]&amp;" ("&amp;Tabela_tudo[[#This Row],[Obs]]&amp;")"</f>
        <v>JS (JARGS)</v>
      </c>
    </row>
    <row r="5159" spans="1:14" x14ac:dyDescent="0.3">
      <c r="A5159" s="1">
        <v>45223</v>
      </c>
      <c r="B5159" t="s">
        <v>71</v>
      </c>
      <c r="C5159" t="s">
        <v>49</v>
      </c>
      <c r="D5159" s="8"/>
      <c r="E5159" s="8"/>
      <c r="M5159" t="s">
        <v>478</v>
      </c>
      <c r="N5159" t="str">
        <f>Tabela_tudo[[#This Row],[Médico]]&amp;" ("&amp;Tabela_tudo[[#This Row],[Obs]]&amp;")"</f>
        <v>BRU ()</v>
      </c>
    </row>
    <row r="5160" spans="1:14" x14ac:dyDescent="0.3">
      <c r="A5160" s="1">
        <v>45191</v>
      </c>
      <c r="B5160" t="s">
        <v>75</v>
      </c>
      <c r="C5160" t="s">
        <v>465</v>
      </c>
      <c r="D5160" s="8"/>
      <c r="E5160" s="8"/>
      <c r="F5160" t="s">
        <v>486</v>
      </c>
      <c r="M5160" t="s">
        <v>478</v>
      </c>
      <c r="N5160" t="str">
        <f>Tabela_tudo[[#This Row],[Médico]]&amp;" ("&amp;Tabela_tudo[[#This Row],[Obs]]&amp;")"</f>
        <v>KOP (JARGS)</v>
      </c>
    </row>
    <row r="5161" spans="1:14" x14ac:dyDescent="0.3">
      <c r="A5161" s="1">
        <v>45223</v>
      </c>
      <c r="B5161" t="s">
        <v>63</v>
      </c>
      <c r="C5161" t="s">
        <v>18</v>
      </c>
      <c r="D5161" s="8"/>
      <c r="E5161" s="8"/>
      <c r="M5161" t="s">
        <v>478</v>
      </c>
      <c r="N5161" t="str">
        <f>Tabela_tudo[[#This Row],[Médico]]&amp;" ("&amp;Tabela_tudo[[#This Row],[Obs]]&amp;")"</f>
        <v>FQ ()</v>
      </c>
    </row>
    <row r="5162" spans="1:14" x14ac:dyDescent="0.3">
      <c r="A5162" s="1">
        <v>45191</v>
      </c>
      <c r="B5162" t="s">
        <v>12</v>
      </c>
      <c r="C5162" t="s">
        <v>465</v>
      </c>
      <c r="D5162" s="8"/>
      <c r="E5162" s="8"/>
      <c r="F5162" t="s">
        <v>486</v>
      </c>
      <c r="M5162" t="s">
        <v>478</v>
      </c>
      <c r="N5162" t="str">
        <f>Tabela_tudo[[#This Row],[Médico]]&amp;" ("&amp;Tabela_tudo[[#This Row],[Obs]]&amp;")"</f>
        <v>EDU (JARGS)</v>
      </c>
    </row>
    <row r="5163" spans="1:14" x14ac:dyDescent="0.3">
      <c r="A5163" s="1">
        <v>45205</v>
      </c>
      <c r="B5163" t="s">
        <v>71</v>
      </c>
      <c r="C5163" t="s">
        <v>49</v>
      </c>
      <c r="D5163" s="8"/>
      <c r="E5163" s="8"/>
      <c r="M5163" t="s">
        <v>478</v>
      </c>
      <c r="N5163" t="str">
        <f>Tabela_tudo[[#This Row],[Médico]]&amp;" ("&amp;Tabela_tudo[[#This Row],[Obs]]&amp;")"</f>
        <v>BRU ()</v>
      </c>
    </row>
    <row r="5164" spans="1:14" x14ac:dyDescent="0.3">
      <c r="A5164" s="1">
        <v>45191</v>
      </c>
      <c r="B5164" t="s">
        <v>32</v>
      </c>
      <c r="C5164" t="s">
        <v>465</v>
      </c>
      <c r="D5164" s="8"/>
      <c r="E5164" s="8"/>
      <c r="F5164" t="s">
        <v>486</v>
      </c>
      <c r="M5164" t="s">
        <v>478</v>
      </c>
      <c r="N5164" t="str">
        <f>Tabela_tudo[[#This Row],[Médico]]&amp;" ("&amp;Tabela_tudo[[#This Row],[Obs]]&amp;")"</f>
        <v>JS (JARGS)</v>
      </c>
    </row>
    <row r="5165" spans="1:14" x14ac:dyDescent="0.3">
      <c r="A5165" s="1">
        <v>45205</v>
      </c>
      <c r="B5165" t="s">
        <v>94</v>
      </c>
      <c r="C5165" t="s">
        <v>18</v>
      </c>
      <c r="D5165" s="8"/>
      <c r="E5165" s="8"/>
      <c r="M5165" t="s">
        <v>478</v>
      </c>
      <c r="N5165" t="str">
        <f>Tabela_tudo[[#This Row],[Médico]]&amp;" ("&amp;Tabela_tudo[[#This Row],[Obs]]&amp;")"</f>
        <v>TOT ()</v>
      </c>
    </row>
    <row r="5166" spans="1:14" x14ac:dyDescent="0.3">
      <c r="A5166" s="1">
        <v>45192</v>
      </c>
      <c r="B5166" t="s">
        <v>16</v>
      </c>
      <c r="C5166" t="s">
        <v>465</v>
      </c>
      <c r="D5166" s="8"/>
      <c r="E5166" s="8"/>
      <c r="F5166" t="s">
        <v>486</v>
      </c>
      <c r="M5166" t="s">
        <v>478</v>
      </c>
      <c r="N5166" t="str">
        <f>Tabela_tudo[[#This Row],[Médico]]&amp;" ("&amp;Tabela_tudo[[#This Row],[Obs]]&amp;")"</f>
        <v>PP (JARGS)</v>
      </c>
    </row>
    <row r="5167" spans="1:14" x14ac:dyDescent="0.3">
      <c r="A5167" s="1">
        <v>45208</v>
      </c>
      <c r="B5167" t="s">
        <v>48</v>
      </c>
      <c r="C5167" t="s">
        <v>13</v>
      </c>
      <c r="D5167" s="8"/>
      <c r="E5167" s="8"/>
      <c r="M5167" t="s">
        <v>478</v>
      </c>
      <c r="N5167" t="str">
        <f>Tabela_tudo[[#This Row],[Médico]]&amp;" ("&amp;Tabela_tudo[[#This Row],[Obs]]&amp;")"</f>
        <v>MAF ()</v>
      </c>
    </row>
    <row r="5168" spans="1:14" x14ac:dyDescent="0.3">
      <c r="A5168" s="1">
        <v>45191</v>
      </c>
      <c r="B5168" t="s">
        <v>14</v>
      </c>
      <c r="C5168" t="s">
        <v>465</v>
      </c>
      <c r="D5168" s="8"/>
      <c r="E5168" s="8"/>
      <c r="F5168" t="s">
        <v>486</v>
      </c>
      <c r="M5168" t="s">
        <v>478</v>
      </c>
      <c r="N5168" t="str">
        <f>Tabela_tudo[[#This Row],[Médico]]&amp;" ("&amp;Tabela_tudo[[#This Row],[Obs]]&amp;")"</f>
        <v>PW (JARGS)</v>
      </c>
    </row>
    <row r="5169" spans="1:14" x14ac:dyDescent="0.3">
      <c r="A5169" s="1">
        <v>45205</v>
      </c>
      <c r="B5169" t="s">
        <v>17</v>
      </c>
      <c r="C5169" t="s">
        <v>51</v>
      </c>
      <c r="D5169" s="8"/>
      <c r="E5169" s="8"/>
      <c r="M5169" t="s">
        <v>478</v>
      </c>
      <c r="N5169" t="str">
        <f>Tabela_tudo[[#This Row],[Médico]]&amp;" ("&amp;Tabela_tudo[[#This Row],[Obs]]&amp;")"</f>
        <v>FAB ()</v>
      </c>
    </row>
    <row r="5170" spans="1:14" x14ac:dyDescent="0.3">
      <c r="A5170" s="1">
        <v>45192</v>
      </c>
      <c r="B5170" t="s">
        <v>75</v>
      </c>
      <c r="C5170" t="s">
        <v>465</v>
      </c>
      <c r="D5170" s="8"/>
      <c r="E5170" s="8"/>
      <c r="F5170" t="s">
        <v>486</v>
      </c>
      <c r="M5170" t="s">
        <v>478</v>
      </c>
      <c r="N5170" t="str">
        <f>Tabela_tudo[[#This Row],[Médico]]&amp;" ("&amp;Tabela_tudo[[#This Row],[Obs]]&amp;")"</f>
        <v>KOP (JARGS)</v>
      </c>
    </row>
    <row r="5171" spans="1:14" x14ac:dyDescent="0.3">
      <c r="A5171" s="1">
        <v>45205</v>
      </c>
      <c r="B5171" t="s">
        <v>84</v>
      </c>
      <c r="C5171" t="s">
        <v>43</v>
      </c>
      <c r="D5171" s="8"/>
      <c r="E5171" s="8"/>
      <c r="M5171" t="s">
        <v>478</v>
      </c>
      <c r="N5171" t="str">
        <f>Tabela_tudo[[#This Row],[Médico]]&amp;" ("&amp;Tabela_tudo[[#This Row],[Obs]]&amp;")"</f>
        <v>ANO ()</v>
      </c>
    </row>
    <row r="5172" spans="1:14" x14ac:dyDescent="0.3">
      <c r="A5172" s="1">
        <v>45191</v>
      </c>
      <c r="B5172" t="s">
        <v>16</v>
      </c>
      <c r="C5172" t="s">
        <v>465</v>
      </c>
      <c r="D5172" s="8"/>
      <c r="E5172" s="8"/>
      <c r="F5172" t="s">
        <v>486</v>
      </c>
      <c r="M5172" t="s">
        <v>478</v>
      </c>
      <c r="N5172" t="str">
        <f>Tabela_tudo[[#This Row],[Médico]]&amp;" ("&amp;Tabela_tudo[[#This Row],[Obs]]&amp;")"</f>
        <v>PP (JARGS)</v>
      </c>
    </row>
    <row r="5173" spans="1:14" x14ac:dyDescent="0.3">
      <c r="A5173" s="1">
        <v>45205</v>
      </c>
      <c r="B5173" t="s">
        <v>63</v>
      </c>
      <c r="C5173" t="s">
        <v>8</v>
      </c>
      <c r="D5173" s="8"/>
      <c r="E5173" s="8"/>
      <c r="M5173" t="s">
        <v>478</v>
      </c>
      <c r="N5173" t="str">
        <f>Tabela_tudo[[#This Row],[Médico]]&amp;" ("&amp;Tabela_tudo[[#This Row],[Obs]]&amp;")"</f>
        <v>FQ ()</v>
      </c>
    </row>
    <row r="5174" spans="1:14" x14ac:dyDescent="0.3">
      <c r="A5174" s="1">
        <v>45176</v>
      </c>
      <c r="B5174" t="s">
        <v>50</v>
      </c>
      <c r="C5174" t="s">
        <v>465</v>
      </c>
      <c r="D5174" s="8"/>
      <c r="E5174" s="8"/>
      <c r="F5174" t="s">
        <v>472</v>
      </c>
      <c r="M5174" t="s">
        <v>478</v>
      </c>
      <c r="N5174" t="str">
        <f>Tabela_tudo[[#This Row],[Médico]]&amp;" ("&amp;Tabela_tudo[[#This Row],[Obs]]&amp;")"</f>
        <v>PJP (CLASA)</v>
      </c>
    </row>
    <row r="5175" spans="1:14" x14ac:dyDescent="0.3">
      <c r="A5175" s="1">
        <v>45205</v>
      </c>
      <c r="B5175" t="s">
        <v>14</v>
      </c>
      <c r="C5175" t="s">
        <v>46</v>
      </c>
      <c r="D5175" s="8"/>
      <c r="E5175" s="8"/>
      <c r="M5175" t="s">
        <v>478</v>
      </c>
      <c r="N5175" t="str">
        <f>Tabela_tudo[[#This Row],[Médico]]&amp;" ("&amp;Tabela_tudo[[#This Row],[Obs]]&amp;")"</f>
        <v>PW ()</v>
      </c>
    </row>
    <row r="5176" spans="1:14" x14ac:dyDescent="0.3">
      <c r="A5176" s="1">
        <v>45177</v>
      </c>
      <c r="B5176" t="s">
        <v>50</v>
      </c>
      <c r="C5176" t="s">
        <v>465</v>
      </c>
      <c r="D5176" s="8"/>
      <c r="E5176" s="8"/>
      <c r="F5176" t="s">
        <v>472</v>
      </c>
      <c r="M5176" t="s">
        <v>478</v>
      </c>
      <c r="N5176" t="str">
        <f>Tabela_tudo[[#This Row],[Médico]]&amp;" ("&amp;Tabela_tudo[[#This Row],[Obs]]&amp;")"</f>
        <v>PJP (CLASA)</v>
      </c>
    </row>
    <row r="5177" spans="1:14" x14ac:dyDescent="0.3">
      <c r="A5177" s="1">
        <v>45205</v>
      </c>
      <c r="B5177" t="s">
        <v>44</v>
      </c>
      <c r="C5177" t="s">
        <v>45</v>
      </c>
      <c r="D5177" s="8"/>
      <c r="E5177" s="8"/>
      <c r="M5177" t="s">
        <v>478</v>
      </c>
      <c r="N5177" t="str">
        <f>Tabela_tudo[[#This Row],[Médico]]&amp;" ("&amp;Tabela_tudo[[#This Row],[Obs]]&amp;")"</f>
        <v>REI ()</v>
      </c>
    </row>
    <row r="5178" spans="1:14" x14ac:dyDescent="0.3">
      <c r="A5178" s="1">
        <v>45178</v>
      </c>
      <c r="B5178" t="s">
        <v>23</v>
      </c>
      <c r="C5178" t="s">
        <v>465</v>
      </c>
      <c r="D5178" s="8"/>
      <c r="E5178" s="8"/>
      <c r="F5178" t="s">
        <v>472</v>
      </c>
      <c r="M5178" t="s">
        <v>478</v>
      </c>
      <c r="N5178" t="str">
        <f>Tabela_tudo[[#This Row],[Médico]]&amp;" ("&amp;Tabela_tudo[[#This Row],[Obs]]&amp;")"</f>
        <v>BG (CLASA)</v>
      </c>
    </row>
    <row r="5179" spans="1:14" x14ac:dyDescent="0.3">
      <c r="A5179" s="1">
        <v>45223</v>
      </c>
      <c r="B5179" t="s">
        <v>37</v>
      </c>
      <c r="C5179" t="s">
        <v>43</v>
      </c>
      <c r="D5179" s="8"/>
      <c r="E5179" s="8"/>
      <c r="M5179" t="s">
        <v>478</v>
      </c>
      <c r="N5179" t="str">
        <f>Tabela_tudo[[#This Row],[Médico]]&amp;" ("&amp;Tabela_tudo[[#This Row],[Obs]]&amp;")"</f>
        <v>EBB ()</v>
      </c>
    </row>
    <row r="5180" spans="1:14" x14ac:dyDescent="0.3">
      <c r="A5180" s="1">
        <v>45179</v>
      </c>
      <c r="B5180" t="s">
        <v>23</v>
      </c>
      <c r="C5180" t="s">
        <v>465</v>
      </c>
      <c r="D5180" s="8"/>
      <c r="E5180" s="8"/>
      <c r="F5180" t="s">
        <v>472</v>
      </c>
      <c r="M5180" t="s">
        <v>478</v>
      </c>
      <c r="N5180" t="str">
        <f>Tabela_tudo[[#This Row],[Médico]]&amp;" ("&amp;Tabela_tudo[[#This Row],[Obs]]&amp;")"</f>
        <v>BG (CLASA)</v>
      </c>
    </row>
    <row r="5181" spans="1:14" x14ac:dyDescent="0.3">
      <c r="A5181" s="1">
        <v>45228</v>
      </c>
      <c r="B5181" t="s">
        <v>48</v>
      </c>
      <c r="C5181" t="s">
        <v>13</v>
      </c>
      <c r="D5181" s="8"/>
      <c r="E5181" s="8"/>
      <c r="M5181" t="s">
        <v>478</v>
      </c>
      <c r="N5181" t="str">
        <f>Tabela_tudo[[#This Row],[Médico]]&amp;" ("&amp;Tabela_tudo[[#This Row],[Obs]]&amp;")"</f>
        <v>MAF ()</v>
      </c>
    </row>
    <row r="5182" spans="1:14" x14ac:dyDescent="0.3">
      <c r="A5182" s="1">
        <v>45187</v>
      </c>
      <c r="B5182" t="s">
        <v>47</v>
      </c>
      <c r="C5182" t="s">
        <v>465</v>
      </c>
      <c r="D5182" s="8"/>
      <c r="E5182" s="8"/>
      <c r="F5182" t="s">
        <v>618</v>
      </c>
      <c r="M5182" t="s">
        <v>478</v>
      </c>
      <c r="N5182" t="str">
        <f>Tabela_tudo[[#This Row],[Médico]]&amp;" ("&amp;Tabela_tudo[[#This Row],[Obs]]&amp;")"</f>
        <v>VIN (SBA)</v>
      </c>
    </row>
    <row r="5183" spans="1:14" x14ac:dyDescent="0.3">
      <c r="A5183" s="1">
        <v>45220</v>
      </c>
      <c r="B5183" t="s">
        <v>73</v>
      </c>
      <c r="C5183" t="s">
        <v>78</v>
      </c>
      <c r="D5183" s="8"/>
      <c r="E5183" s="8"/>
      <c r="M5183" t="s">
        <v>478</v>
      </c>
      <c r="N5183" t="str">
        <f>Tabela_tudo[[#This Row],[Médico]]&amp;" ("&amp;Tabela_tudo[[#This Row],[Obs]]&amp;")"</f>
        <v>RT ()</v>
      </c>
    </row>
    <row r="5184" spans="1:14" x14ac:dyDescent="0.3">
      <c r="A5184" s="1">
        <v>45204</v>
      </c>
      <c r="B5184" t="s">
        <v>47</v>
      </c>
      <c r="C5184" t="s">
        <v>465</v>
      </c>
      <c r="D5184" s="8"/>
      <c r="E5184" s="8"/>
      <c r="F5184" t="s">
        <v>465</v>
      </c>
      <c r="M5184" t="s">
        <v>478</v>
      </c>
      <c r="N5184" t="str">
        <f>Tabela_tudo[[#This Row],[Médico]]&amp;" ("&amp;Tabela_tudo[[#This Row],[Obs]]&amp;")"</f>
        <v>VIN (CONGRESSO)</v>
      </c>
    </row>
    <row r="5185" spans="1:14" x14ac:dyDescent="0.3">
      <c r="A5185" s="1">
        <v>45228</v>
      </c>
      <c r="B5185" t="s">
        <v>21</v>
      </c>
      <c r="C5185" t="s">
        <v>78</v>
      </c>
      <c r="D5185" s="8"/>
      <c r="E5185" s="8"/>
      <c r="M5185" t="s">
        <v>478</v>
      </c>
      <c r="N5185" t="str">
        <f>Tabela_tudo[[#This Row],[Médico]]&amp;" ("&amp;Tabela_tudo[[#This Row],[Obs]]&amp;")"</f>
        <v>RA ()</v>
      </c>
    </row>
    <row r="5186" spans="1:14" x14ac:dyDescent="0.3">
      <c r="A5186" s="1">
        <v>45178</v>
      </c>
      <c r="B5186" t="s">
        <v>50</v>
      </c>
      <c r="C5186" t="s">
        <v>465</v>
      </c>
      <c r="D5186" s="8"/>
      <c r="E5186" s="8"/>
      <c r="F5186" t="s">
        <v>472</v>
      </c>
      <c r="M5186" t="s">
        <v>478</v>
      </c>
      <c r="N5186" t="str">
        <f>Tabela_tudo[[#This Row],[Médico]]&amp;" ("&amp;Tabela_tudo[[#This Row],[Obs]]&amp;")"</f>
        <v>PJP (CLASA)</v>
      </c>
    </row>
    <row r="5187" spans="1:14" x14ac:dyDescent="0.3">
      <c r="A5187" s="1">
        <v>45228</v>
      </c>
      <c r="B5187" t="s">
        <v>66</v>
      </c>
      <c r="C5187" t="s">
        <v>8</v>
      </c>
      <c r="D5187" s="8"/>
      <c r="E5187" s="8"/>
      <c r="M5187" t="s">
        <v>478</v>
      </c>
      <c r="N5187" t="str">
        <f>Tabela_tudo[[#This Row],[Médico]]&amp;" ("&amp;Tabela_tudo[[#This Row],[Obs]]&amp;")"</f>
        <v>MOZ ()</v>
      </c>
    </row>
    <row r="5188" spans="1:14" x14ac:dyDescent="0.3">
      <c r="A5188" s="1">
        <v>45179</v>
      </c>
      <c r="B5188" t="s">
        <v>50</v>
      </c>
      <c r="C5188" t="s">
        <v>465</v>
      </c>
      <c r="D5188" s="8"/>
      <c r="E5188" s="8"/>
      <c r="F5188" t="s">
        <v>472</v>
      </c>
      <c r="M5188" t="s">
        <v>478</v>
      </c>
      <c r="N5188" t="str">
        <f>Tabela_tudo[[#This Row],[Médico]]&amp;" ("&amp;Tabela_tudo[[#This Row],[Obs]]&amp;")"</f>
        <v>PJP (CLASA)</v>
      </c>
    </row>
    <row r="5189" spans="1:14" x14ac:dyDescent="0.3">
      <c r="A5189" s="1">
        <v>45221</v>
      </c>
      <c r="B5189" t="s">
        <v>85</v>
      </c>
      <c r="C5189" t="s">
        <v>78</v>
      </c>
      <c r="D5189" s="8"/>
      <c r="E5189" s="8"/>
      <c r="M5189" t="s">
        <v>478</v>
      </c>
      <c r="N5189" t="str">
        <f>Tabela_tudo[[#This Row],[Médico]]&amp;" ("&amp;Tabela_tudo[[#This Row],[Obs]]&amp;")"</f>
        <v>ELF ()</v>
      </c>
    </row>
    <row r="5190" spans="1:14" x14ac:dyDescent="0.3">
      <c r="A5190" s="1">
        <v>45264</v>
      </c>
      <c r="B5190" t="s">
        <v>71</v>
      </c>
      <c r="C5190" t="s">
        <v>464</v>
      </c>
      <c r="D5190" s="8"/>
      <c r="E5190" s="8"/>
      <c r="M5190" t="s">
        <v>478</v>
      </c>
      <c r="N5190" t="str">
        <f>Tabela_tudo[[#This Row],[Médico]]&amp;" ("&amp;Tabela_tudo[[#This Row],[Obs]]&amp;")"</f>
        <v>BRU ()</v>
      </c>
    </row>
    <row r="5191" spans="1:14" x14ac:dyDescent="0.3">
      <c r="A5191" s="1">
        <v>45221</v>
      </c>
      <c r="B5191" t="s">
        <v>68</v>
      </c>
      <c r="C5191" t="s">
        <v>8</v>
      </c>
      <c r="D5191" s="8"/>
      <c r="E5191" s="8"/>
      <c r="M5191" t="s">
        <v>478</v>
      </c>
      <c r="N5191" t="str">
        <f>Tabela_tudo[[#This Row],[Médico]]&amp;" ("&amp;Tabela_tudo[[#This Row],[Obs]]&amp;")"</f>
        <v>PED ()</v>
      </c>
    </row>
    <row r="5192" spans="1:14" x14ac:dyDescent="0.3">
      <c r="A5192" s="1">
        <v>45265</v>
      </c>
      <c r="B5192" t="s">
        <v>71</v>
      </c>
      <c r="C5192" t="s">
        <v>464</v>
      </c>
      <c r="D5192" s="8"/>
      <c r="E5192" s="8"/>
      <c r="M5192" t="s">
        <v>478</v>
      </c>
      <c r="N5192" t="str">
        <f>Tabela_tudo[[#This Row],[Médico]]&amp;" ("&amp;Tabela_tudo[[#This Row],[Obs]]&amp;")"</f>
        <v>BRU ()</v>
      </c>
    </row>
    <row r="5193" spans="1:14" x14ac:dyDescent="0.3">
      <c r="A5193" s="1">
        <v>45220</v>
      </c>
      <c r="B5193" t="s">
        <v>85</v>
      </c>
      <c r="C5193" t="s">
        <v>8</v>
      </c>
      <c r="D5193" s="8"/>
      <c r="E5193" s="8"/>
      <c r="M5193" t="s">
        <v>478</v>
      </c>
      <c r="N5193" t="str">
        <f>Tabela_tudo[[#This Row],[Médico]]&amp;" ("&amp;Tabela_tudo[[#This Row],[Obs]]&amp;")"</f>
        <v>ELF ()</v>
      </c>
    </row>
    <row r="5194" spans="1:14" x14ac:dyDescent="0.3">
      <c r="A5194" s="1">
        <v>45262</v>
      </c>
      <c r="B5194" t="s">
        <v>71</v>
      </c>
      <c r="C5194" t="s">
        <v>464</v>
      </c>
      <c r="D5194" s="8"/>
      <c r="E5194" s="8"/>
      <c r="M5194" t="s">
        <v>478</v>
      </c>
      <c r="N5194" t="str">
        <f>Tabela_tudo[[#This Row],[Médico]]&amp;" ("&amp;Tabela_tudo[[#This Row],[Obs]]&amp;")"</f>
        <v>BRU ()</v>
      </c>
    </row>
    <row r="5195" spans="1:14" x14ac:dyDescent="0.3">
      <c r="A5195" s="1">
        <v>45220</v>
      </c>
      <c r="B5195" t="s">
        <v>68</v>
      </c>
      <c r="C5195" t="s">
        <v>13</v>
      </c>
      <c r="D5195" s="8"/>
      <c r="E5195" s="8"/>
      <c r="M5195" t="s">
        <v>478</v>
      </c>
      <c r="N5195" t="str">
        <f>Tabela_tudo[[#This Row],[Médico]]&amp;" ("&amp;Tabela_tudo[[#This Row],[Obs]]&amp;")"</f>
        <v>PED ()</v>
      </c>
    </row>
    <row r="5196" spans="1:14" x14ac:dyDescent="0.3">
      <c r="A5196" s="1">
        <v>45263</v>
      </c>
      <c r="B5196" t="s">
        <v>71</v>
      </c>
      <c r="C5196" t="s">
        <v>464</v>
      </c>
      <c r="D5196" s="8"/>
      <c r="E5196" s="8"/>
      <c r="M5196" t="s">
        <v>478</v>
      </c>
      <c r="N5196" t="str">
        <f>Tabela_tudo[[#This Row],[Médico]]&amp;" ("&amp;Tabela_tudo[[#This Row],[Obs]]&amp;")"</f>
        <v>BRU ()</v>
      </c>
    </row>
    <row r="5197" spans="1:14" x14ac:dyDescent="0.3">
      <c r="A5197" s="1">
        <v>45223</v>
      </c>
      <c r="B5197" t="s">
        <v>48</v>
      </c>
      <c r="C5197" t="s">
        <v>8</v>
      </c>
      <c r="D5197" s="8"/>
      <c r="E5197" s="8"/>
      <c r="M5197" t="s">
        <v>478</v>
      </c>
      <c r="N5197" t="str">
        <f>Tabela_tudo[[#This Row],[Médico]]&amp;" ("&amp;Tabela_tudo[[#This Row],[Obs]]&amp;")"</f>
        <v>MAF ()</v>
      </c>
    </row>
    <row r="5198" spans="1:14" x14ac:dyDescent="0.3">
      <c r="A5198" s="1">
        <v>45268</v>
      </c>
      <c r="B5198" t="s">
        <v>71</v>
      </c>
      <c r="C5198" t="s">
        <v>464</v>
      </c>
      <c r="D5198" s="8"/>
      <c r="E5198" s="8"/>
      <c r="M5198" t="s">
        <v>478</v>
      </c>
      <c r="N5198" t="str">
        <f>Tabela_tudo[[#This Row],[Médico]]&amp;" ("&amp;Tabela_tudo[[#This Row],[Obs]]&amp;")"</f>
        <v>BRU ()</v>
      </c>
    </row>
    <row r="5199" spans="1:14" x14ac:dyDescent="0.3">
      <c r="A5199" s="1">
        <v>45223</v>
      </c>
      <c r="B5199" t="s">
        <v>71</v>
      </c>
      <c r="C5199" t="s">
        <v>15</v>
      </c>
      <c r="D5199" s="8"/>
      <c r="E5199" s="8"/>
      <c r="M5199" t="s">
        <v>478</v>
      </c>
      <c r="N5199" t="str">
        <f>Tabela_tudo[[#This Row],[Médico]]&amp;" ("&amp;Tabela_tudo[[#This Row],[Obs]]&amp;")"</f>
        <v>BRU ()</v>
      </c>
    </row>
    <row r="5200" spans="1:14" x14ac:dyDescent="0.3">
      <c r="A5200" s="1">
        <v>45269</v>
      </c>
      <c r="B5200" t="s">
        <v>71</v>
      </c>
      <c r="C5200" t="s">
        <v>464</v>
      </c>
      <c r="D5200" s="8"/>
      <c r="E5200" s="8"/>
      <c r="M5200" t="s">
        <v>478</v>
      </c>
      <c r="N5200" t="str">
        <f>Tabela_tudo[[#This Row],[Médico]]&amp;" ("&amp;Tabela_tudo[[#This Row],[Obs]]&amp;")"</f>
        <v>BRU ()</v>
      </c>
    </row>
    <row r="5201" spans="1:14" x14ac:dyDescent="0.3">
      <c r="A5201" s="1">
        <v>45223</v>
      </c>
      <c r="B5201" t="s">
        <v>23</v>
      </c>
      <c r="C5201" t="s">
        <v>22</v>
      </c>
      <c r="D5201" s="8">
        <v>0.54166666666666663</v>
      </c>
      <c r="E5201" s="8">
        <v>0.79166666666666663</v>
      </c>
      <c r="M5201" t="s">
        <v>478</v>
      </c>
      <c r="N5201" t="str">
        <f>Tabela_tudo[[#This Row],[Médico]]&amp;" ("&amp;Tabela_tudo[[#This Row],[Obs]]&amp;")"</f>
        <v>BG ()</v>
      </c>
    </row>
    <row r="5202" spans="1:14" x14ac:dyDescent="0.3">
      <c r="A5202" s="1">
        <v>45266</v>
      </c>
      <c r="B5202" t="s">
        <v>71</v>
      </c>
      <c r="C5202" t="s">
        <v>464</v>
      </c>
      <c r="D5202" s="8"/>
      <c r="E5202" s="8"/>
      <c r="M5202" t="s">
        <v>478</v>
      </c>
      <c r="N5202" t="str">
        <f>Tabela_tudo[[#This Row],[Médico]]&amp;" ("&amp;Tabela_tudo[[#This Row],[Obs]]&amp;")"</f>
        <v>BRU ()</v>
      </c>
    </row>
    <row r="5203" spans="1:14" x14ac:dyDescent="0.3">
      <c r="A5203" s="1">
        <v>45223</v>
      </c>
      <c r="B5203" t="s">
        <v>17</v>
      </c>
      <c r="C5203" t="s">
        <v>30</v>
      </c>
      <c r="D5203" s="8"/>
      <c r="E5203" s="8"/>
      <c r="M5203" t="s">
        <v>478</v>
      </c>
      <c r="N5203" t="str">
        <f>Tabela_tudo[[#This Row],[Médico]]&amp;" ("&amp;Tabela_tudo[[#This Row],[Obs]]&amp;")"</f>
        <v>FAB ()</v>
      </c>
    </row>
    <row r="5204" spans="1:14" x14ac:dyDescent="0.3">
      <c r="A5204" s="1">
        <v>45267</v>
      </c>
      <c r="B5204" t="s">
        <v>71</v>
      </c>
      <c r="C5204" t="s">
        <v>464</v>
      </c>
      <c r="D5204" s="8"/>
      <c r="E5204" s="8"/>
      <c r="M5204" t="s">
        <v>478</v>
      </c>
      <c r="N5204" t="str">
        <f>Tabela_tudo[[#This Row],[Médico]]&amp;" ("&amp;Tabela_tudo[[#This Row],[Obs]]&amp;")"</f>
        <v>BRU ()</v>
      </c>
    </row>
    <row r="5205" spans="1:14" x14ac:dyDescent="0.3">
      <c r="A5205" s="1">
        <v>45227</v>
      </c>
      <c r="B5205" t="s">
        <v>21</v>
      </c>
      <c r="C5205" t="s">
        <v>8</v>
      </c>
      <c r="D5205" s="8"/>
      <c r="E5205" s="8"/>
      <c r="M5205" t="s">
        <v>478</v>
      </c>
      <c r="N5205" t="str">
        <f>Tabela_tudo[[#This Row],[Médico]]&amp;" ("&amp;Tabela_tudo[[#This Row],[Obs]]&amp;")"</f>
        <v>RA ()</v>
      </c>
    </row>
    <row r="5206" spans="1:14" x14ac:dyDescent="0.3">
      <c r="A5206" s="1">
        <v>45245</v>
      </c>
      <c r="B5206" t="s">
        <v>47</v>
      </c>
      <c r="C5206" t="s">
        <v>465</v>
      </c>
      <c r="D5206" s="8"/>
      <c r="E5206" s="8"/>
      <c r="F5206" t="s">
        <v>475</v>
      </c>
      <c r="M5206" t="s">
        <v>478</v>
      </c>
      <c r="N5206" t="str">
        <f>Tabela_tudo[[#This Row],[Médico]]&amp;" ("&amp;Tabela_tudo[[#This Row],[Obs]]&amp;")"</f>
        <v>VIN (CBA)</v>
      </c>
    </row>
    <row r="5207" spans="1:14" x14ac:dyDescent="0.3">
      <c r="A5207" s="1">
        <v>45227</v>
      </c>
      <c r="B5207" t="s">
        <v>66</v>
      </c>
      <c r="C5207" t="s">
        <v>13</v>
      </c>
      <c r="D5207" s="8"/>
      <c r="E5207" s="8"/>
      <c r="M5207" t="s">
        <v>478</v>
      </c>
      <c r="N5207" t="str">
        <f>Tabela_tudo[[#This Row],[Médico]]&amp;" ("&amp;Tabela_tudo[[#This Row],[Obs]]&amp;")"</f>
        <v>MOZ ()</v>
      </c>
    </row>
    <row r="5208" spans="1:14" x14ac:dyDescent="0.3">
      <c r="A5208" s="1">
        <v>45257</v>
      </c>
      <c r="B5208" t="s">
        <v>71</v>
      </c>
      <c r="C5208" t="s">
        <v>464</v>
      </c>
      <c r="D5208" s="8"/>
      <c r="E5208" s="8"/>
      <c r="M5208" t="s">
        <v>478</v>
      </c>
      <c r="N5208" t="str">
        <f>Tabela_tudo[[#This Row],[Médico]]&amp;" ("&amp;Tabela_tudo[[#This Row],[Obs]]&amp;")"</f>
        <v>BRU ()</v>
      </c>
    </row>
    <row r="5209" spans="1:14" x14ac:dyDescent="0.3">
      <c r="A5209" s="1">
        <v>45223</v>
      </c>
      <c r="B5209" t="s">
        <v>37</v>
      </c>
      <c r="C5209" t="s">
        <v>13</v>
      </c>
      <c r="D5209" s="8"/>
      <c r="E5209" s="8"/>
      <c r="M5209" t="s">
        <v>478</v>
      </c>
      <c r="N5209" t="str">
        <f>Tabela_tudo[[#This Row],[Médico]]&amp;" ("&amp;Tabela_tudo[[#This Row],[Obs]]&amp;")"</f>
        <v>EBB ()</v>
      </c>
    </row>
    <row r="5210" spans="1:14" x14ac:dyDescent="0.3">
      <c r="A5210" s="1">
        <v>45243</v>
      </c>
      <c r="B5210" t="s">
        <v>47</v>
      </c>
      <c r="C5210" t="s">
        <v>465</v>
      </c>
      <c r="D5210" s="8"/>
      <c r="E5210" s="8"/>
      <c r="F5210" t="s">
        <v>475</v>
      </c>
      <c r="M5210" t="s">
        <v>478</v>
      </c>
      <c r="N5210" t="str">
        <f>Tabela_tudo[[#This Row],[Médico]]&amp;" ("&amp;Tabela_tudo[[#This Row],[Obs]]&amp;")"</f>
        <v>VIN (CBA)</v>
      </c>
    </row>
    <row r="5211" spans="1:14" x14ac:dyDescent="0.3">
      <c r="A5211" s="1">
        <v>45227</v>
      </c>
      <c r="B5211" t="s">
        <v>48</v>
      </c>
      <c r="C5211" t="s">
        <v>78</v>
      </c>
      <c r="D5211" s="8"/>
      <c r="E5211" s="8"/>
      <c r="M5211" t="s">
        <v>478</v>
      </c>
      <c r="N5211" t="str">
        <f>Tabela_tudo[[#This Row],[Médico]]&amp;" ("&amp;Tabela_tudo[[#This Row],[Obs]]&amp;")"</f>
        <v>MAF ()</v>
      </c>
    </row>
    <row r="5212" spans="1:14" x14ac:dyDescent="0.3">
      <c r="A5212" s="1">
        <v>45244</v>
      </c>
      <c r="B5212" t="s">
        <v>47</v>
      </c>
      <c r="C5212" t="s">
        <v>465</v>
      </c>
      <c r="D5212" s="8"/>
      <c r="E5212" s="8"/>
      <c r="F5212" t="s">
        <v>475</v>
      </c>
      <c r="M5212" t="s">
        <v>478</v>
      </c>
      <c r="N5212" t="str">
        <f>Tabela_tudo[[#This Row],[Médico]]&amp;" ("&amp;Tabela_tudo[[#This Row],[Obs]]&amp;")"</f>
        <v>VIN (CBA)</v>
      </c>
    </row>
    <row r="5213" spans="1:14" x14ac:dyDescent="0.3">
      <c r="A5213" s="1">
        <v>45208</v>
      </c>
      <c r="B5213" t="s">
        <v>47</v>
      </c>
      <c r="C5213" t="s">
        <v>15</v>
      </c>
      <c r="D5213" s="8"/>
      <c r="E5213" s="8"/>
      <c r="M5213" t="s">
        <v>478</v>
      </c>
      <c r="N5213" t="str">
        <f>Tabela_tudo[[#This Row],[Médico]]&amp;" ("&amp;Tabela_tudo[[#This Row],[Obs]]&amp;")"</f>
        <v>VIN ()</v>
      </c>
    </row>
    <row r="5214" spans="1:14" x14ac:dyDescent="0.3">
      <c r="A5214" s="1">
        <v>45260</v>
      </c>
      <c r="B5214" t="s">
        <v>71</v>
      </c>
      <c r="C5214" t="s">
        <v>464</v>
      </c>
      <c r="D5214" s="8"/>
      <c r="E5214" s="8"/>
      <c r="M5214" t="s">
        <v>478</v>
      </c>
      <c r="N5214" t="str">
        <f>Tabela_tudo[[#This Row],[Médico]]&amp;" ("&amp;Tabela_tudo[[#This Row],[Obs]]&amp;")"</f>
        <v>BRU ()</v>
      </c>
    </row>
    <row r="5215" spans="1:14" x14ac:dyDescent="0.3">
      <c r="A5215" s="1">
        <v>45214</v>
      </c>
      <c r="B5215" t="s">
        <v>32</v>
      </c>
      <c r="C5215" t="s">
        <v>8</v>
      </c>
      <c r="D5215" s="8"/>
      <c r="E5215" s="8"/>
      <c r="M5215" t="s">
        <v>478</v>
      </c>
      <c r="N5215" t="str">
        <f>Tabela_tudo[[#This Row],[Médico]]&amp;" ("&amp;Tabela_tudo[[#This Row],[Obs]]&amp;")"</f>
        <v>JS ()</v>
      </c>
    </row>
    <row r="5216" spans="1:14" x14ac:dyDescent="0.3">
      <c r="A5216" s="1">
        <v>45261</v>
      </c>
      <c r="B5216" t="s">
        <v>71</v>
      </c>
      <c r="C5216" t="s">
        <v>464</v>
      </c>
      <c r="D5216" s="8"/>
      <c r="E5216" s="8"/>
      <c r="M5216" t="s">
        <v>478</v>
      </c>
      <c r="N5216" t="str">
        <f>Tabela_tudo[[#This Row],[Médico]]&amp;" ("&amp;Tabela_tudo[[#This Row],[Obs]]&amp;")"</f>
        <v>BRU ()</v>
      </c>
    </row>
    <row r="5217" spans="1:14" x14ac:dyDescent="0.3">
      <c r="A5217" s="1">
        <v>45214</v>
      </c>
      <c r="B5217" t="s">
        <v>34</v>
      </c>
      <c r="C5217" t="s">
        <v>13</v>
      </c>
      <c r="D5217" s="8"/>
      <c r="E5217" s="8"/>
      <c r="M5217" t="s">
        <v>478</v>
      </c>
      <c r="N5217" t="str">
        <f>Tabela_tudo[[#This Row],[Médico]]&amp;" ("&amp;Tabela_tudo[[#This Row],[Obs]]&amp;")"</f>
        <v>LIP ()</v>
      </c>
    </row>
    <row r="5218" spans="1:14" x14ac:dyDescent="0.3">
      <c r="A5218" s="1">
        <v>45258</v>
      </c>
      <c r="B5218" t="s">
        <v>71</v>
      </c>
      <c r="C5218" t="s">
        <v>464</v>
      </c>
      <c r="D5218" s="8"/>
      <c r="E5218" s="8"/>
      <c r="M5218" t="s">
        <v>478</v>
      </c>
      <c r="N5218" t="str">
        <f>Tabela_tudo[[#This Row],[Médico]]&amp;" ("&amp;Tabela_tudo[[#This Row],[Obs]]&amp;")"</f>
        <v>BRU ()</v>
      </c>
    </row>
    <row r="5219" spans="1:14" x14ac:dyDescent="0.3">
      <c r="A5219" s="1">
        <v>45216</v>
      </c>
      <c r="B5219" t="s">
        <v>68</v>
      </c>
      <c r="C5219" t="s">
        <v>13</v>
      </c>
      <c r="D5219" s="8"/>
      <c r="E5219" s="8"/>
      <c r="M5219" t="s">
        <v>478</v>
      </c>
      <c r="N5219" t="str">
        <f>Tabela_tudo[[#This Row],[Médico]]&amp;" ("&amp;Tabela_tudo[[#This Row],[Obs]]&amp;")"</f>
        <v>PED ()</v>
      </c>
    </row>
    <row r="5220" spans="1:14" x14ac:dyDescent="0.3">
      <c r="A5220" s="1">
        <v>45259</v>
      </c>
      <c r="B5220" t="s">
        <v>71</v>
      </c>
      <c r="C5220" t="s">
        <v>464</v>
      </c>
      <c r="D5220" s="8"/>
      <c r="E5220" s="8"/>
      <c r="M5220" t="s">
        <v>478</v>
      </c>
      <c r="N5220" t="str">
        <f>Tabela_tudo[[#This Row],[Médico]]&amp;" ("&amp;Tabela_tudo[[#This Row],[Obs]]&amp;")"</f>
        <v>BRU ()</v>
      </c>
    </row>
    <row r="5221" spans="1:14" x14ac:dyDescent="0.3">
      <c r="A5221" s="1">
        <v>45214</v>
      </c>
      <c r="B5221" t="s">
        <v>33</v>
      </c>
      <c r="C5221" t="s">
        <v>78</v>
      </c>
      <c r="D5221" s="8"/>
      <c r="E5221" s="8"/>
      <c r="M5221" t="s">
        <v>478</v>
      </c>
      <c r="N5221" t="str">
        <f>Tabela_tudo[[#This Row],[Médico]]&amp;" ("&amp;Tabela_tudo[[#This Row],[Obs]]&amp;")"</f>
        <v>DIF ()</v>
      </c>
    </row>
    <row r="5222" spans="1:14" x14ac:dyDescent="0.3">
      <c r="A5222" s="1">
        <v>45251</v>
      </c>
      <c r="B5222" t="s">
        <v>72</v>
      </c>
      <c r="C5222" t="s">
        <v>464</v>
      </c>
      <c r="D5222" s="8"/>
      <c r="E5222" s="8"/>
      <c r="M5222" t="s">
        <v>478</v>
      </c>
      <c r="N5222" t="str">
        <f>Tabela_tudo[[#This Row],[Médico]]&amp;" ("&amp;Tabela_tudo[[#This Row],[Obs]]&amp;")"</f>
        <v>GRA ()</v>
      </c>
    </row>
    <row r="5223" spans="1:14" x14ac:dyDescent="0.3">
      <c r="A5223" s="1">
        <v>45213</v>
      </c>
      <c r="B5223" t="s">
        <v>32</v>
      </c>
      <c r="C5223" t="s">
        <v>13</v>
      </c>
      <c r="D5223" s="8"/>
      <c r="E5223" s="8"/>
      <c r="M5223" t="s">
        <v>478</v>
      </c>
      <c r="N5223" t="str">
        <f>Tabela_tudo[[#This Row],[Médico]]&amp;" ("&amp;Tabela_tudo[[#This Row],[Obs]]&amp;")"</f>
        <v>JS ()</v>
      </c>
    </row>
    <row r="5224" spans="1:14" x14ac:dyDescent="0.3">
      <c r="A5224" s="1">
        <v>45252</v>
      </c>
      <c r="B5224" t="s">
        <v>72</v>
      </c>
      <c r="C5224" t="s">
        <v>464</v>
      </c>
      <c r="D5224" s="8"/>
      <c r="E5224" s="8"/>
      <c r="M5224" t="s">
        <v>478</v>
      </c>
      <c r="N5224" t="str">
        <f>Tabela_tudo[[#This Row],[Médico]]&amp;" ("&amp;Tabela_tudo[[#This Row],[Obs]]&amp;")"</f>
        <v>GRA ()</v>
      </c>
    </row>
    <row r="5225" spans="1:14" x14ac:dyDescent="0.3">
      <c r="A5225" s="1">
        <v>45209</v>
      </c>
      <c r="B5225" t="s">
        <v>32</v>
      </c>
      <c r="C5225" t="s">
        <v>124</v>
      </c>
      <c r="D5225" s="8">
        <v>0.83333333333333337</v>
      </c>
      <c r="E5225" s="8">
        <v>0.91666666666666663</v>
      </c>
      <c r="F5225" t="s">
        <v>707</v>
      </c>
      <c r="K5225" t="s">
        <v>565</v>
      </c>
      <c r="M5225" t="s">
        <v>478</v>
      </c>
      <c r="N5225" t="str">
        <f>Tabela_tudo[[#This Row],[Médico]]&amp;" ("&amp;Tabela_tudo[[#This Row],[Obs]]&amp;")"</f>
        <v>JS (PARADA CARDIACA EM ANESTESIA)</v>
      </c>
    </row>
    <row r="5226" spans="1:14" x14ac:dyDescent="0.3">
      <c r="A5226" s="1">
        <v>45084</v>
      </c>
      <c r="B5226" t="s">
        <v>47</v>
      </c>
      <c r="C5226" t="s">
        <v>465</v>
      </c>
      <c r="D5226" s="8"/>
      <c r="E5226" s="8"/>
      <c r="F5226" t="s">
        <v>467</v>
      </c>
      <c r="M5226" t="s">
        <v>478</v>
      </c>
      <c r="N5226" t="str">
        <f>Tabela_tudo[[#This Row],[Médico]]&amp;" ("&amp;Tabela_tudo[[#This Row],[Obs]]&amp;")"</f>
        <v>VIN (ESAIC)</v>
      </c>
    </row>
    <row r="5227" spans="1:14" x14ac:dyDescent="0.3">
      <c r="A5227" s="1">
        <v>45213</v>
      </c>
      <c r="B5227" t="s">
        <v>34</v>
      </c>
      <c r="C5227" t="s">
        <v>78</v>
      </c>
      <c r="D5227" s="8"/>
      <c r="E5227" s="8"/>
      <c r="M5227" t="s">
        <v>478</v>
      </c>
      <c r="N5227" t="str">
        <f>Tabela_tudo[[#This Row],[Médico]]&amp;" ("&amp;Tabela_tudo[[#This Row],[Obs]]&amp;")"</f>
        <v>LIP ()</v>
      </c>
    </row>
    <row r="5228" spans="1:14" x14ac:dyDescent="0.3">
      <c r="A5228" s="1">
        <v>45250</v>
      </c>
      <c r="B5228" t="s">
        <v>72</v>
      </c>
      <c r="C5228" t="s">
        <v>464</v>
      </c>
      <c r="D5228" s="8"/>
      <c r="E5228" s="8"/>
      <c r="M5228" t="s">
        <v>478</v>
      </c>
      <c r="N5228" t="str">
        <f>Tabela_tudo[[#This Row],[Médico]]&amp;" ("&amp;Tabela_tudo[[#This Row],[Obs]]&amp;")"</f>
        <v>GRA ()</v>
      </c>
    </row>
    <row r="5229" spans="1:14" x14ac:dyDescent="0.3">
      <c r="A5229" s="1">
        <v>45213</v>
      </c>
      <c r="B5229" t="s">
        <v>33</v>
      </c>
      <c r="C5229" t="s">
        <v>8</v>
      </c>
      <c r="D5229" s="8"/>
      <c r="E5229" s="8"/>
      <c r="M5229" t="s">
        <v>478</v>
      </c>
      <c r="N5229" t="str">
        <f>Tabela_tudo[[#This Row],[Médico]]&amp;" ("&amp;Tabela_tudo[[#This Row],[Obs]]&amp;")"</f>
        <v>DIF ()</v>
      </c>
    </row>
    <row r="5230" spans="1:14" x14ac:dyDescent="0.3">
      <c r="A5230" s="1">
        <v>45255</v>
      </c>
      <c r="B5230" t="s">
        <v>72</v>
      </c>
      <c r="C5230" t="s">
        <v>464</v>
      </c>
      <c r="D5230" s="8"/>
      <c r="E5230" s="8"/>
      <c r="M5230" t="s">
        <v>478</v>
      </c>
      <c r="N5230" t="str">
        <f>Tabela_tudo[[#This Row],[Médico]]&amp;" ("&amp;Tabela_tudo[[#This Row],[Obs]]&amp;")"</f>
        <v>GRA ()</v>
      </c>
    </row>
    <row r="5231" spans="1:14" x14ac:dyDescent="0.3">
      <c r="A5231" s="1">
        <v>45216</v>
      </c>
      <c r="B5231" t="s">
        <v>94</v>
      </c>
      <c r="C5231" t="s">
        <v>18</v>
      </c>
      <c r="D5231" s="8"/>
      <c r="E5231" s="8"/>
      <c r="M5231" t="s">
        <v>478</v>
      </c>
      <c r="N5231" t="str">
        <f>Tabela_tudo[[#This Row],[Médico]]&amp;" ("&amp;Tabela_tudo[[#This Row],[Obs]]&amp;")"</f>
        <v>TOT ()</v>
      </c>
    </row>
    <row r="5232" spans="1:14" x14ac:dyDescent="0.3">
      <c r="A5232" s="1">
        <v>45256</v>
      </c>
      <c r="B5232" t="s">
        <v>72</v>
      </c>
      <c r="C5232" t="s">
        <v>464</v>
      </c>
      <c r="D5232" s="8"/>
      <c r="E5232" s="8"/>
      <c r="M5232" t="s">
        <v>478</v>
      </c>
      <c r="N5232" t="str">
        <f>Tabela_tudo[[#This Row],[Médico]]&amp;" ("&amp;Tabela_tudo[[#This Row],[Obs]]&amp;")"</f>
        <v>GRA ()</v>
      </c>
    </row>
    <row r="5233" spans="1:14" x14ac:dyDescent="0.3">
      <c r="A5233" s="1">
        <v>45216</v>
      </c>
      <c r="B5233" t="s">
        <v>16</v>
      </c>
      <c r="C5233" t="s">
        <v>46</v>
      </c>
      <c r="D5233" s="8"/>
      <c r="E5233" s="8"/>
      <c r="M5233" t="s">
        <v>478</v>
      </c>
      <c r="N5233" t="str">
        <f>Tabela_tudo[[#This Row],[Médico]]&amp;" ("&amp;Tabela_tudo[[#This Row],[Obs]]&amp;")"</f>
        <v>PP ()</v>
      </c>
    </row>
    <row r="5234" spans="1:14" x14ac:dyDescent="0.3">
      <c r="A5234" s="1">
        <v>45253</v>
      </c>
      <c r="B5234" t="s">
        <v>72</v>
      </c>
      <c r="C5234" t="s">
        <v>464</v>
      </c>
      <c r="D5234" s="8"/>
      <c r="E5234" s="8"/>
      <c r="M5234" t="s">
        <v>478</v>
      </c>
      <c r="N5234" t="str">
        <f>Tabela_tudo[[#This Row],[Médico]]&amp;" ("&amp;Tabela_tudo[[#This Row],[Obs]]&amp;")"</f>
        <v>GRA ()</v>
      </c>
    </row>
    <row r="5235" spans="1:14" x14ac:dyDescent="0.3">
      <c r="A5235" s="1">
        <v>45216</v>
      </c>
      <c r="B5235" t="s">
        <v>75</v>
      </c>
      <c r="C5235" t="s">
        <v>51</v>
      </c>
      <c r="D5235" s="8"/>
      <c r="E5235" s="8"/>
      <c r="M5235" t="s">
        <v>478</v>
      </c>
      <c r="N5235" t="str">
        <f>Tabela_tudo[[#This Row],[Médico]]&amp;" ("&amp;Tabela_tudo[[#This Row],[Obs]]&amp;")"</f>
        <v>KOP ()</v>
      </c>
    </row>
    <row r="5236" spans="1:14" x14ac:dyDescent="0.3">
      <c r="A5236" s="1">
        <v>45254</v>
      </c>
      <c r="B5236" t="s">
        <v>72</v>
      </c>
      <c r="C5236" t="s">
        <v>464</v>
      </c>
      <c r="D5236" s="8"/>
      <c r="E5236" s="8"/>
      <c r="M5236" t="s">
        <v>478</v>
      </c>
      <c r="N5236" t="str">
        <f>Tabela_tudo[[#This Row],[Médico]]&amp;" ("&amp;Tabela_tudo[[#This Row],[Obs]]&amp;")"</f>
        <v>GRA ()</v>
      </c>
    </row>
    <row r="5237" spans="1:14" x14ac:dyDescent="0.3">
      <c r="A5237" s="1">
        <v>45216</v>
      </c>
      <c r="B5237" t="s">
        <v>85</v>
      </c>
      <c r="C5237" t="s">
        <v>49</v>
      </c>
      <c r="D5237" s="8"/>
      <c r="E5237" s="8"/>
      <c r="M5237" t="s">
        <v>478</v>
      </c>
      <c r="N5237" t="str">
        <f>Tabela_tudo[[#This Row],[Médico]]&amp;" ("&amp;Tabela_tudo[[#This Row],[Obs]]&amp;")"</f>
        <v>ELF ()</v>
      </c>
    </row>
    <row r="5238" spans="1:14" x14ac:dyDescent="0.3">
      <c r="A5238" s="1">
        <v>45272</v>
      </c>
      <c r="B5238" t="s">
        <v>71</v>
      </c>
      <c r="C5238" t="s">
        <v>464</v>
      </c>
      <c r="D5238" s="8"/>
      <c r="E5238" s="8"/>
      <c r="M5238" t="s">
        <v>478</v>
      </c>
      <c r="N5238" t="str">
        <f>Tabela_tudo[[#This Row],[Médico]]&amp;" ("&amp;Tabela_tudo[[#This Row],[Obs]]&amp;")"</f>
        <v>BRU ()</v>
      </c>
    </row>
    <row r="5239" spans="1:14" x14ac:dyDescent="0.3">
      <c r="A5239" s="1">
        <v>45216</v>
      </c>
      <c r="B5239" t="s">
        <v>29</v>
      </c>
      <c r="C5239" t="s">
        <v>8</v>
      </c>
      <c r="D5239" s="8"/>
      <c r="E5239" s="8"/>
      <c r="M5239" t="s">
        <v>478</v>
      </c>
      <c r="N5239" t="str">
        <f>Tabela_tudo[[#This Row],[Médico]]&amp;" ("&amp;Tabela_tudo[[#This Row],[Obs]]&amp;")"</f>
        <v>JOA ()</v>
      </c>
    </row>
    <row r="5240" spans="1:14" x14ac:dyDescent="0.3">
      <c r="A5240" s="1">
        <v>45273</v>
      </c>
      <c r="B5240" t="s">
        <v>71</v>
      </c>
      <c r="C5240" t="s">
        <v>464</v>
      </c>
      <c r="D5240" s="8"/>
      <c r="E5240" s="8"/>
      <c r="M5240" t="s">
        <v>478</v>
      </c>
      <c r="N5240" t="str">
        <f>Tabela_tudo[[#This Row],[Médico]]&amp;" ("&amp;Tabela_tudo[[#This Row],[Obs]]&amp;")"</f>
        <v>BRU ()</v>
      </c>
    </row>
    <row r="5241" spans="1:14" x14ac:dyDescent="0.3">
      <c r="A5241" s="1">
        <v>45216</v>
      </c>
      <c r="B5241" t="s">
        <v>33</v>
      </c>
      <c r="C5241" t="s">
        <v>15</v>
      </c>
      <c r="D5241" s="8"/>
      <c r="E5241" s="8"/>
      <c r="M5241" t="s">
        <v>478</v>
      </c>
      <c r="N5241" t="str">
        <f>Tabela_tudo[[#This Row],[Médico]]&amp;" ("&amp;Tabela_tudo[[#This Row],[Obs]]&amp;")"</f>
        <v>DIF ()</v>
      </c>
    </row>
    <row r="5242" spans="1:14" x14ac:dyDescent="0.3">
      <c r="A5242" s="1">
        <v>45270</v>
      </c>
      <c r="B5242" t="s">
        <v>71</v>
      </c>
      <c r="C5242" t="s">
        <v>464</v>
      </c>
      <c r="D5242" s="8"/>
      <c r="E5242" s="8"/>
      <c r="M5242" t="s">
        <v>478</v>
      </c>
      <c r="N5242" t="str">
        <f>Tabela_tudo[[#This Row],[Médico]]&amp;" ("&amp;Tabela_tudo[[#This Row],[Obs]]&amp;")"</f>
        <v>BRU ()</v>
      </c>
    </row>
    <row r="5243" spans="1:14" x14ac:dyDescent="0.3">
      <c r="A5243" s="1">
        <v>45216</v>
      </c>
      <c r="B5243" t="s">
        <v>23</v>
      </c>
      <c r="C5243" t="s">
        <v>45</v>
      </c>
      <c r="D5243" s="8"/>
      <c r="E5243" s="8"/>
      <c r="M5243" t="s">
        <v>478</v>
      </c>
      <c r="N5243" t="str">
        <f>Tabela_tudo[[#This Row],[Médico]]&amp;" ("&amp;Tabela_tudo[[#This Row],[Obs]]&amp;")"</f>
        <v>BG ()</v>
      </c>
    </row>
    <row r="5244" spans="1:14" x14ac:dyDescent="0.3">
      <c r="A5244" s="1">
        <v>45271</v>
      </c>
      <c r="B5244" t="s">
        <v>71</v>
      </c>
      <c r="C5244" t="s">
        <v>464</v>
      </c>
      <c r="D5244" s="8"/>
      <c r="E5244" s="8"/>
      <c r="M5244" t="s">
        <v>478</v>
      </c>
      <c r="N5244" t="str">
        <f>Tabela_tudo[[#This Row],[Médico]]&amp;" ("&amp;Tabela_tudo[[#This Row],[Obs]]&amp;")"</f>
        <v>BRU ()</v>
      </c>
    </row>
    <row r="5245" spans="1:14" x14ac:dyDescent="0.3">
      <c r="A5245" s="1">
        <v>45216</v>
      </c>
      <c r="B5245" t="s">
        <v>29</v>
      </c>
      <c r="C5245" t="s">
        <v>43</v>
      </c>
      <c r="D5245" s="8"/>
      <c r="E5245" s="8"/>
      <c r="M5245" t="s">
        <v>478</v>
      </c>
      <c r="N5245" t="str">
        <f>Tabela_tudo[[#This Row],[Médico]]&amp;" ("&amp;Tabela_tudo[[#This Row],[Obs]]&amp;")"</f>
        <v>JOA ()</v>
      </c>
    </row>
    <row r="5246" spans="1:14" x14ac:dyDescent="0.3">
      <c r="A5246" s="1">
        <v>45082</v>
      </c>
      <c r="B5246" t="s">
        <v>47</v>
      </c>
      <c r="C5246" t="s">
        <v>465</v>
      </c>
      <c r="D5246" s="8"/>
      <c r="E5246" s="8"/>
      <c r="F5246" t="s">
        <v>467</v>
      </c>
      <c r="M5246" t="s">
        <v>478</v>
      </c>
      <c r="N5246" t="str">
        <f>Tabela_tudo[[#This Row],[Médico]]&amp;" ("&amp;Tabela_tudo[[#This Row],[Obs]]&amp;")"</f>
        <v>VIN (ESAIC)</v>
      </c>
    </row>
    <row r="5247" spans="1:14" x14ac:dyDescent="0.3">
      <c r="A5247" s="1">
        <v>45209</v>
      </c>
      <c r="B5247" t="s">
        <v>23</v>
      </c>
      <c r="C5247" t="s">
        <v>22</v>
      </c>
      <c r="D5247" s="8">
        <v>0.54166666666666663</v>
      </c>
      <c r="E5247" s="8">
        <v>0.79166666666666663</v>
      </c>
      <c r="F5247" t="s">
        <v>682</v>
      </c>
      <c r="M5247" t="s">
        <v>478</v>
      </c>
      <c r="N5247" t="str">
        <f>Tabela_tudo[[#This Row],[Médico]]&amp;" ("&amp;Tabela_tudo[[#This Row],[Obs]]&amp;")"</f>
        <v>BG (ADM A TARDE)</v>
      </c>
    </row>
    <row r="5248" spans="1:14" x14ac:dyDescent="0.3">
      <c r="A5248" s="1">
        <v>45083</v>
      </c>
      <c r="B5248" t="s">
        <v>47</v>
      </c>
      <c r="C5248" t="s">
        <v>465</v>
      </c>
      <c r="D5248" s="8"/>
      <c r="E5248" s="8"/>
      <c r="F5248" t="s">
        <v>467</v>
      </c>
      <c r="M5248" t="s">
        <v>478</v>
      </c>
      <c r="N5248" t="str">
        <f>Tabela_tudo[[#This Row],[Médico]]&amp;" ("&amp;Tabela_tudo[[#This Row],[Obs]]&amp;")"</f>
        <v>VIN (ESAIC)</v>
      </c>
    </row>
    <row r="5249" spans="1:14" x14ac:dyDescent="0.3">
      <c r="A5249" s="1">
        <v>45208</v>
      </c>
      <c r="B5249" t="s">
        <v>48</v>
      </c>
      <c r="C5249" t="s">
        <v>49</v>
      </c>
      <c r="D5249" s="8"/>
      <c r="E5249" s="8"/>
      <c r="M5249" t="s">
        <v>478</v>
      </c>
      <c r="N5249" t="str">
        <f>Tabela_tudo[[#This Row],[Médico]]&amp;" ("&amp;Tabela_tudo[[#This Row],[Obs]]&amp;")"</f>
        <v>MAF ()</v>
      </c>
    </row>
    <row r="5250" spans="1:14" x14ac:dyDescent="0.3">
      <c r="A5250" s="1">
        <v>45274</v>
      </c>
      <c r="B5250" t="s">
        <v>71</v>
      </c>
      <c r="C5250" t="s">
        <v>464</v>
      </c>
      <c r="D5250" s="8"/>
      <c r="E5250" s="8"/>
      <c r="M5250" t="s">
        <v>478</v>
      </c>
      <c r="N5250" t="str">
        <f>Tabela_tudo[[#This Row],[Médico]]&amp;" ("&amp;Tabela_tudo[[#This Row],[Obs]]&amp;")"</f>
        <v>BRU ()</v>
      </c>
    </row>
    <row r="5251" spans="1:14" x14ac:dyDescent="0.3">
      <c r="A5251" s="1">
        <v>45208</v>
      </c>
      <c r="B5251" t="s">
        <v>32</v>
      </c>
      <c r="C5251" t="s">
        <v>18</v>
      </c>
      <c r="D5251" s="8"/>
      <c r="E5251" s="8"/>
      <c r="M5251" t="s">
        <v>478</v>
      </c>
      <c r="N5251" t="str">
        <f>Tabela_tudo[[#This Row],[Médico]]&amp;" ("&amp;Tabela_tudo[[#This Row],[Obs]]&amp;")"</f>
        <v>JS ()</v>
      </c>
    </row>
    <row r="5252" spans="1:14" x14ac:dyDescent="0.3">
      <c r="A5252" s="1">
        <v>45275</v>
      </c>
      <c r="B5252" t="s">
        <v>71</v>
      </c>
      <c r="C5252" t="s">
        <v>464</v>
      </c>
      <c r="D5252" s="8"/>
      <c r="E5252" s="8"/>
      <c r="M5252" t="s">
        <v>478</v>
      </c>
      <c r="N5252" t="str">
        <f>Tabela_tudo[[#This Row],[Médico]]&amp;" ("&amp;Tabela_tudo[[#This Row],[Obs]]&amp;")"</f>
        <v>BRU ()</v>
      </c>
    </row>
    <row r="5253" spans="1:14" x14ac:dyDescent="0.3">
      <c r="A5253" s="1">
        <v>45209</v>
      </c>
      <c r="B5253" t="s">
        <v>63</v>
      </c>
      <c r="C5253" t="s">
        <v>13</v>
      </c>
      <c r="D5253" s="8"/>
      <c r="E5253" s="8"/>
      <c r="M5253" t="s">
        <v>478</v>
      </c>
      <c r="N5253" t="str">
        <f>Tabela_tudo[[#This Row],[Médico]]&amp;" ("&amp;Tabela_tudo[[#This Row],[Obs]]&amp;")"</f>
        <v>FQ ()</v>
      </c>
    </row>
    <row r="5254" spans="1:14" x14ac:dyDescent="0.3">
      <c r="A5254" s="1">
        <v>45242</v>
      </c>
      <c r="B5254" t="s">
        <v>47</v>
      </c>
      <c r="C5254" t="s">
        <v>465</v>
      </c>
      <c r="D5254" s="8"/>
      <c r="E5254" s="8"/>
      <c r="F5254" t="s">
        <v>475</v>
      </c>
      <c r="M5254" t="s">
        <v>478</v>
      </c>
      <c r="N5254" t="str">
        <f>Tabela_tudo[[#This Row],[Médico]]&amp;" ("&amp;Tabela_tudo[[#This Row],[Obs]]&amp;")"</f>
        <v>VIN (CBA)</v>
      </c>
    </row>
    <row r="5255" spans="1:14" x14ac:dyDescent="0.3">
      <c r="A5255" s="1">
        <v>45208</v>
      </c>
      <c r="B5255" t="s">
        <v>50</v>
      </c>
      <c r="C5255" t="s">
        <v>51</v>
      </c>
      <c r="D5255" s="8"/>
      <c r="E5255" s="8"/>
      <c r="M5255" t="s">
        <v>478</v>
      </c>
      <c r="N5255" t="str">
        <f>Tabela_tudo[[#This Row],[Médico]]&amp;" ("&amp;Tabela_tudo[[#This Row],[Obs]]&amp;")"</f>
        <v>PJP ()</v>
      </c>
    </row>
    <row r="5256" spans="1:14" x14ac:dyDescent="0.3">
      <c r="A5256" s="1">
        <v>45219</v>
      </c>
      <c r="B5256" t="s">
        <v>44</v>
      </c>
      <c r="C5256" t="s">
        <v>464</v>
      </c>
      <c r="D5256" s="8"/>
      <c r="E5256" s="8"/>
      <c r="M5256" t="s">
        <v>478</v>
      </c>
      <c r="N5256" t="str">
        <f>Tabela_tudo[[#This Row],[Médico]]&amp;" ("&amp;Tabela_tudo[[#This Row],[Obs]]&amp;")"</f>
        <v>REI ()</v>
      </c>
    </row>
    <row r="5257" spans="1:14" x14ac:dyDescent="0.3">
      <c r="A5257" s="1">
        <v>45208</v>
      </c>
      <c r="B5257" t="s">
        <v>37</v>
      </c>
      <c r="C5257" t="s">
        <v>43</v>
      </c>
      <c r="D5257" s="8"/>
      <c r="E5257" s="8"/>
      <c r="M5257" t="s">
        <v>478</v>
      </c>
      <c r="N5257" t="str">
        <f>Tabela_tudo[[#This Row],[Médico]]&amp;" ("&amp;Tabela_tudo[[#This Row],[Obs]]&amp;")"</f>
        <v>EBB ()</v>
      </c>
    </row>
    <row r="5258" spans="1:14" x14ac:dyDescent="0.3">
      <c r="A5258" s="1">
        <v>45220</v>
      </c>
      <c r="B5258" t="s">
        <v>44</v>
      </c>
      <c r="C5258" t="s">
        <v>464</v>
      </c>
      <c r="D5258" s="8"/>
      <c r="E5258" s="8"/>
      <c r="M5258" t="s">
        <v>478</v>
      </c>
      <c r="N5258" t="str">
        <f>Tabela_tudo[[#This Row],[Médico]]&amp;" ("&amp;Tabela_tudo[[#This Row],[Obs]]&amp;")"</f>
        <v>REI ()</v>
      </c>
    </row>
    <row r="5259" spans="1:14" x14ac:dyDescent="0.3">
      <c r="A5259" s="1">
        <v>45208</v>
      </c>
      <c r="B5259" t="s">
        <v>44</v>
      </c>
      <c r="C5259" t="s">
        <v>8</v>
      </c>
      <c r="D5259" s="8"/>
      <c r="E5259" s="8"/>
      <c r="M5259" t="s">
        <v>478</v>
      </c>
      <c r="N5259" t="str">
        <f>Tabela_tudo[[#This Row],[Médico]]&amp;" ("&amp;Tabela_tudo[[#This Row],[Obs]]&amp;")"</f>
        <v>REI ()</v>
      </c>
    </row>
    <row r="5260" spans="1:14" x14ac:dyDescent="0.3">
      <c r="A5260" s="1">
        <v>45217</v>
      </c>
      <c r="B5260" t="s">
        <v>44</v>
      </c>
      <c r="C5260" t="s">
        <v>464</v>
      </c>
      <c r="D5260" s="8"/>
      <c r="E5260" s="8"/>
      <c r="M5260" t="s">
        <v>478</v>
      </c>
      <c r="N5260" t="str">
        <f>Tabela_tudo[[#This Row],[Médico]]&amp;" ("&amp;Tabela_tudo[[#This Row],[Obs]]&amp;")"</f>
        <v>REI ()</v>
      </c>
    </row>
    <row r="5261" spans="1:14" x14ac:dyDescent="0.3">
      <c r="A5261" s="1">
        <v>45208</v>
      </c>
      <c r="B5261" t="s">
        <v>21</v>
      </c>
      <c r="C5261" t="s">
        <v>46</v>
      </c>
      <c r="D5261" s="8"/>
      <c r="E5261" s="8"/>
      <c r="M5261" t="s">
        <v>478</v>
      </c>
      <c r="N5261" t="str">
        <f>Tabela_tudo[[#This Row],[Médico]]&amp;" ("&amp;Tabela_tudo[[#This Row],[Obs]]&amp;")"</f>
        <v>RA ()</v>
      </c>
    </row>
    <row r="5262" spans="1:14" x14ac:dyDescent="0.3">
      <c r="A5262" s="1">
        <v>45218</v>
      </c>
      <c r="B5262" t="s">
        <v>44</v>
      </c>
      <c r="C5262" t="s">
        <v>464</v>
      </c>
      <c r="D5262" s="8"/>
      <c r="E5262" s="8"/>
      <c r="M5262" t="s">
        <v>478</v>
      </c>
      <c r="N5262" t="str">
        <f>Tabela_tudo[[#This Row],[Médico]]&amp;" ("&amp;Tabela_tudo[[#This Row],[Obs]]&amp;")"</f>
        <v>REI ()</v>
      </c>
    </row>
    <row r="5263" spans="1:14" x14ac:dyDescent="0.3">
      <c r="A5263" s="1">
        <v>45208</v>
      </c>
      <c r="B5263" t="s">
        <v>44</v>
      </c>
      <c r="C5263" t="s">
        <v>45</v>
      </c>
      <c r="D5263" s="8"/>
      <c r="E5263" s="8"/>
      <c r="M5263" t="s">
        <v>478</v>
      </c>
      <c r="N5263" t="str">
        <f>Tabela_tudo[[#This Row],[Médico]]&amp;" ("&amp;Tabela_tudo[[#This Row],[Obs]]&amp;")"</f>
        <v>REI ()</v>
      </c>
    </row>
    <row r="5264" spans="1:14" x14ac:dyDescent="0.3">
      <c r="A5264" s="1">
        <v>45223</v>
      </c>
      <c r="B5264" t="s">
        <v>44</v>
      </c>
      <c r="C5264" t="s">
        <v>464</v>
      </c>
      <c r="D5264" s="8"/>
      <c r="E5264" s="8"/>
      <c r="M5264" t="s">
        <v>478</v>
      </c>
      <c r="N5264" t="str">
        <f>Tabela_tudo[[#This Row],[Médico]]&amp;" ("&amp;Tabela_tudo[[#This Row],[Obs]]&amp;")"</f>
        <v>REI ()</v>
      </c>
    </row>
    <row r="5265" spans="1:14" x14ac:dyDescent="0.3">
      <c r="A5265" s="1">
        <v>45209</v>
      </c>
      <c r="B5265" t="s">
        <v>72</v>
      </c>
      <c r="C5265" t="s">
        <v>18</v>
      </c>
      <c r="D5265" s="8"/>
      <c r="E5265" s="8"/>
      <c r="M5265" t="s">
        <v>478</v>
      </c>
      <c r="N5265" t="str">
        <f>Tabela_tudo[[#This Row],[Médico]]&amp;" ("&amp;Tabela_tudo[[#This Row],[Obs]]&amp;")"</f>
        <v>GRA ()</v>
      </c>
    </row>
    <row r="5266" spans="1:14" x14ac:dyDescent="0.3">
      <c r="A5266" s="1">
        <v>45224</v>
      </c>
      <c r="B5266" t="s">
        <v>44</v>
      </c>
      <c r="C5266" t="s">
        <v>464</v>
      </c>
      <c r="D5266" s="8"/>
      <c r="E5266" s="8"/>
      <c r="M5266" t="s">
        <v>478</v>
      </c>
      <c r="N5266" t="str">
        <f>Tabela_tudo[[#This Row],[Médico]]&amp;" ("&amp;Tabela_tudo[[#This Row],[Obs]]&amp;")"</f>
        <v>REI ()</v>
      </c>
    </row>
    <row r="5267" spans="1:14" x14ac:dyDescent="0.3">
      <c r="A5267" s="1">
        <v>45209</v>
      </c>
      <c r="B5267" t="s">
        <v>16</v>
      </c>
      <c r="C5267" t="s">
        <v>46</v>
      </c>
      <c r="D5267" s="8"/>
      <c r="E5267" s="8"/>
      <c r="M5267" t="s">
        <v>478</v>
      </c>
      <c r="N5267" t="str">
        <f>Tabela_tudo[[#This Row],[Médico]]&amp;" ("&amp;Tabela_tudo[[#This Row],[Obs]]&amp;")"</f>
        <v>PP ()</v>
      </c>
    </row>
    <row r="5268" spans="1:14" x14ac:dyDescent="0.3">
      <c r="A5268" s="1">
        <v>45221</v>
      </c>
      <c r="B5268" t="s">
        <v>44</v>
      </c>
      <c r="C5268" t="s">
        <v>464</v>
      </c>
      <c r="D5268" s="8"/>
      <c r="E5268" s="8"/>
      <c r="M5268" t="s">
        <v>478</v>
      </c>
      <c r="N5268" t="str">
        <f>Tabela_tudo[[#This Row],[Médico]]&amp;" ("&amp;Tabela_tudo[[#This Row],[Obs]]&amp;")"</f>
        <v>REI ()</v>
      </c>
    </row>
    <row r="5269" spans="1:14" x14ac:dyDescent="0.3">
      <c r="A5269" s="1">
        <v>45209</v>
      </c>
      <c r="B5269" t="s">
        <v>75</v>
      </c>
      <c r="C5269" t="s">
        <v>51</v>
      </c>
      <c r="D5269" s="8"/>
      <c r="E5269" s="8"/>
      <c r="M5269" t="s">
        <v>478</v>
      </c>
      <c r="N5269" t="str">
        <f>Tabela_tudo[[#This Row],[Médico]]&amp;" ("&amp;Tabela_tudo[[#This Row],[Obs]]&amp;")"</f>
        <v>KOP ()</v>
      </c>
    </row>
    <row r="5270" spans="1:14" x14ac:dyDescent="0.3">
      <c r="A5270" s="1">
        <v>45222</v>
      </c>
      <c r="B5270" t="s">
        <v>44</v>
      </c>
      <c r="C5270" t="s">
        <v>464</v>
      </c>
      <c r="D5270" s="8"/>
      <c r="E5270" s="8"/>
      <c r="M5270" t="s">
        <v>478</v>
      </c>
      <c r="N5270" t="str">
        <f>Tabela_tudo[[#This Row],[Médico]]&amp;" ("&amp;Tabela_tudo[[#This Row],[Obs]]&amp;")"</f>
        <v>REI ()</v>
      </c>
    </row>
    <row r="5271" spans="1:14" x14ac:dyDescent="0.3">
      <c r="A5271" s="1">
        <v>45209</v>
      </c>
      <c r="B5271" t="s">
        <v>48</v>
      </c>
      <c r="C5271" t="s">
        <v>49</v>
      </c>
      <c r="D5271" s="8"/>
      <c r="E5271" s="8"/>
      <c r="M5271" t="s">
        <v>478</v>
      </c>
      <c r="N5271" t="str">
        <f>Tabela_tudo[[#This Row],[Médico]]&amp;" ("&amp;Tabela_tudo[[#This Row],[Obs]]&amp;")"</f>
        <v>MAF ()</v>
      </c>
    </row>
    <row r="5272" spans="1:14" x14ac:dyDescent="0.3">
      <c r="A5272" s="1">
        <v>45213</v>
      </c>
      <c r="B5272" t="s">
        <v>47</v>
      </c>
      <c r="C5272" t="s">
        <v>465</v>
      </c>
      <c r="D5272" s="8"/>
      <c r="E5272" s="8"/>
      <c r="F5272" t="s">
        <v>474</v>
      </c>
      <c r="M5272" t="s">
        <v>478</v>
      </c>
      <c r="N5272" t="str">
        <f>Tabela_tudo[[#This Row],[Médico]]&amp;" ("&amp;Tabela_tudo[[#This Row],[Obs]]&amp;")"</f>
        <v>VIN (ASA)</v>
      </c>
    </row>
    <row r="5273" spans="1:14" x14ac:dyDescent="0.3">
      <c r="A5273" s="1">
        <v>45209</v>
      </c>
      <c r="B5273" t="s">
        <v>37</v>
      </c>
      <c r="C5273" t="s">
        <v>8</v>
      </c>
      <c r="D5273" s="8"/>
      <c r="E5273" s="8"/>
      <c r="M5273" t="s">
        <v>478</v>
      </c>
      <c r="N5273" t="str">
        <f>Tabela_tudo[[#This Row],[Médico]]&amp;" ("&amp;Tabela_tudo[[#This Row],[Obs]]&amp;")"</f>
        <v>EBB ()</v>
      </c>
    </row>
    <row r="5274" spans="1:14" x14ac:dyDescent="0.3">
      <c r="A5274" s="1">
        <v>45214</v>
      </c>
      <c r="B5274" t="s">
        <v>47</v>
      </c>
      <c r="C5274" t="s">
        <v>465</v>
      </c>
      <c r="D5274" s="8"/>
      <c r="E5274" s="8"/>
      <c r="F5274" t="s">
        <v>474</v>
      </c>
      <c r="M5274" t="s">
        <v>478</v>
      </c>
      <c r="N5274" t="str">
        <f>Tabela_tudo[[#This Row],[Médico]]&amp;" ("&amp;Tabela_tudo[[#This Row],[Obs]]&amp;")"</f>
        <v>VIN (ASA)</v>
      </c>
    </row>
    <row r="5275" spans="1:14" x14ac:dyDescent="0.3">
      <c r="A5275" s="1">
        <v>45209</v>
      </c>
      <c r="B5275" t="s">
        <v>85</v>
      </c>
      <c r="C5275" t="s">
        <v>15</v>
      </c>
      <c r="D5275" s="8"/>
      <c r="E5275" s="8"/>
      <c r="M5275" t="s">
        <v>478</v>
      </c>
      <c r="N5275" t="str">
        <f>Tabela_tudo[[#This Row],[Médico]]&amp;" ("&amp;Tabela_tudo[[#This Row],[Obs]]&amp;")"</f>
        <v>ELF ()</v>
      </c>
    </row>
    <row r="5276" spans="1:14" x14ac:dyDescent="0.3">
      <c r="A5276" s="1">
        <v>45211</v>
      </c>
      <c r="B5276" t="s">
        <v>47</v>
      </c>
      <c r="C5276" t="s">
        <v>465</v>
      </c>
      <c r="D5276" s="8"/>
      <c r="E5276" s="8"/>
      <c r="F5276" t="s">
        <v>474</v>
      </c>
      <c r="M5276" t="s">
        <v>478</v>
      </c>
      <c r="N5276" t="str">
        <f>Tabela_tudo[[#This Row],[Médico]]&amp;" ("&amp;Tabela_tudo[[#This Row],[Obs]]&amp;")"</f>
        <v>VIN (ASA)</v>
      </c>
    </row>
    <row r="5277" spans="1:14" x14ac:dyDescent="0.3">
      <c r="A5277" s="1">
        <v>45209</v>
      </c>
      <c r="B5277" t="s">
        <v>23</v>
      </c>
      <c r="C5277" t="s">
        <v>45</v>
      </c>
      <c r="D5277" s="8"/>
      <c r="E5277" s="8"/>
      <c r="M5277" t="s">
        <v>478</v>
      </c>
      <c r="N5277" t="str">
        <f>Tabela_tudo[[#This Row],[Médico]]&amp;" ("&amp;Tabela_tudo[[#This Row],[Obs]]&amp;")"</f>
        <v>BG ()</v>
      </c>
    </row>
    <row r="5278" spans="1:14" x14ac:dyDescent="0.3">
      <c r="A5278" s="1">
        <v>45212</v>
      </c>
      <c r="B5278" t="s">
        <v>47</v>
      </c>
      <c r="C5278" t="s">
        <v>465</v>
      </c>
      <c r="D5278" s="8"/>
      <c r="E5278" s="8"/>
      <c r="F5278" t="s">
        <v>474</v>
      </c>
      <c r="M5278" t="s">
        <v>478</v>
      </c>
      <c r="N5278" t="str">
        <f>Tabela_tudo[[#This Row],[Médico]]&amp;" ("&amp;Tabela_tudo[[#This Row],[Obs]]&amp;")"</f>
        <v>VIN (ASA)</v>
      </c>
    </row>
    <row r="5279" spans="1:14" x14ac:dyDescent="0.3">
      <c r="A5279" s="1">
        <v>45209</v>
      </c>
      <c r="B5279" t="s">
        <v>33</v>
      </c>
      <c r="C5279" t="s">
        <v>43</v>
      </c>
      <c r="D5279" s="8"/>
      <c r="E5279" s="8"/>
      <c r="M5279" t="s">
        <v>478</v>
      </c>
      <c r="N5279" t="str">
        <f>Tabela_tudo[[#This Row],[Médico]]&amp;" ("&amp;Tabela_tudo[[#This Row],[Obs]]&amp;")"</f>
        <v>DIF ()</v>
      </c>
    </row>
    <row r="5280" spans="1:14" x14ac:dyDescent="0.3">
      <c r="A5280" s="1">
        <v>45217</v>
      </c>
      <c r="B5280" t="s">
        <v>47</v>
      </c>
      <c r="C5280" t="s">
        <v>465</v>
      </c>
      <c r="D5280" s="8"/>
      <c r="E5280" s="8"/>
      <c r="F5280" t="s">
        <v>474</v>
      </c>
      <c r="M5280" t="s">
        <v>478</v>
      </c>
      <c r="N5280" t="str">
        <f>Tabela_tudo[[#This Row],[Médico]]&amp;" ("&amp;Tabela_tudo[[#This Row],[Obs]]&amp;")"</f>
        <v>VIN (ASA)</v>
      </c>
    </row>
    <row r="5281" spans="1:14" x14ac:dyDescent="0.3">
      <c r="A5281" s="1">
        <v>45255</v>
      </c>
      <c r="B5281" t="s">
        <v>75</v>
      </c>
      <c r="C5281" t="s">
        <v>13</v>
      </c>
      <c r="D5281" s="8"/>
      <c r="E5281" s="8"/>
      <c r="M5281" t="s">
        <v>478</v>
      </c>
      <c r="N5281" t="str">
        <f>Tabela_tudo[[#This Row],[Médico]]&amp;" ("&amp;Tabela_tudo[[#This Row],[Obs]]&amp;")"</f>
        <v>KOP ()</v>
      </c>
    </row>
    <row r="5282" spans="1:14" x14ac:dyDescent="0.3">
      <c r="A5282" s="1">
        <v>45216</v>
      </c>
      <c r="B5282" t="s">
        <v>44</v>
      </c>
      <c r="C5282" t="s">
        <v>464</v>
      </c>
      <c r="D5282" s="8"/>
      <c r="E5282" s="8"/>
      <c r="M5282" t="s">
        <v>478</v>
      </c>
      <c r="N5282" t="str">
        <f>Tabela_tudo[[#This Row],[Médico]]&amp;" ("&amp;Tabela_tudo[[#This Row],[Obs]]&amp;")"</f>
        <v>REI ()</v>
      </c>
    </row>
    <row r="5283" spans="1:14" x14ac:dyDescent="0.3">
      <c r="A5283" s="1">
        <v>45254</v>
      </c>
      <c r="B5283" t="s">
        <v>37</v>
      </c>
      <c r="C5283" t="s">
        <v>8</v>
      </c>
      <c r="D5283" s="8"/>
      <c r="E5283" s="8"/>
      <c r="M5283" t="s">
        <v>478</v>
      </c>
      <c r="N5283" t="str">
        <f>Tabela_tudo[[#This Row],[Médico]]&amp;" ("&amp;Tabela_tudo[[#This Row],[Obs]]&amp;")"</f>
        <v>EBB ()</v>
      </c>
    </row>
    <row r="5284" spans="1:14" x14ac:dyDescent="0.3">
      <c r="A5284" s="1">
        <v>45215</v>
      </c>
      <c r="B5284" t="s">
        <v>47</v>
      </c>
      <c r="C5284" t="s">
        <v>465</v>
      </c>
      <c r="D5284" s="8"/>
      <c r="E5284" s="8"/>
      <c r="F5284" t="s">
        <v>474</v>
      </c>
      <c r="M5284" t="s">
        <v>478</v>
      </c>
      <c r="N5284" t="str">
        <f>Tabela_tudo[[#This Row],[Médico]]&amp;" ("&amp;Tabela_tudo[[#This Row],[Obs]]&amp;")"</f>
        <v>VIN (ASA)</v>
      </c>
    </row>
    <row r="5285" spans="1:14" x14ac:dyDescent="0.3">
      <c r="A5285" s="1">
        <v>45255</v>
      </c>
      <c r="B5285" t="s">
        <v>44</v>
      </c>
      <c r="C5285" t="s">
        <v>78</v>
      </c>
      <c r="D5285" s="8"/>
      <c r="E5285" s="8"/>
      <c r="M5285" t="s">
        <v>478</v>
      </c>
      <c r="N5285" t="str">
        <f>Tabela_tudo[[#This Row],[Médico]]&amp;" ("&amp;Tabela_tudo[[#This Row],[Obs]]&amp;")"</f>
        <v>REI ()</v>
      </c>
    </row>
    <row r="5286" spans="1:14" x14ac:dyDescent="0.3">
      <c r="A5286" s="1">
        <v>45216</v>
      </c>
      <c r="B5286" t="s">
        <v>47</v>
      </c>
      <c r="C5286" t="s">
        <v>465</v>
      </c>
      <c r="D5286" s="8"/>
      <c r="E5286" s="8"/>
      <c r="F5286" t="s">
        <v>474</v>
      </c>
      <c r="M5286" t="s">
        <v>478</v>
      </c>
      <c r="N5286" t="str">
        <f>Tabela_tudo[[#This Row],[Médico]]&amp;" ("&amp;Tabela_tudo[[#This Row],[Obs]]&amp;")"</f>
        <v>VIN (ASA)</v>
      </c>
    </row>
    <row r="5287" spans="1:14" x14ac:dyDescent="0.3">
      <c r="A5287" s="1">
        <v>45255</v>
      </c>
      <c r="B5287" t="s">
        <v>94</v>
      </c>
      <c r="C5287" t="s">
        <v>8</v>
      </c>
      <c r="D5287" s="8"/>
      <c r="E5287" s="8"/>
      <c r="M5287" t="s">
        <v>478</v>
      </c>
      <c r="N5287" t="str">
        <f>Tabela_tudo[[#This Row],[Médico]]&amp;" ("&amp;Tabela_tudo[[#This Row],[Obs]]&amp;")"</f>
        <v>TOT ()</v>
      </c>
    </row>
    <row r="5288" spans="1:14" x14ac:dyDescent="0.3">
      <c r="A5288" s="1">
        <v>45225</v>
      </c>
      <c r="B5288" t="s">
        <v>94</v>
      </c>
      <c r="C5288" t="s">
        <v>464</v>
      </c>
      <c r="D5288" s="8"/>
      <c r="E5288" s="8"/>
      <c r="M5288" t="s">
        <v>478</v>
      </c>
      <c r="N5288" t="str">
        <f>Tabela_tudo[[#This Row],[Médico]]&amp;" ("&amp;Tabela_tudo[[#This Row],[Obs]]&amp;")"</f>
        <v>TOT ()</v>
      </c>
    </row>
    <row r="5289" spans="1:14" x14ac:dyDescent="0.3">
      <c r="A5289" s="1">
        <v>45253</v>
      </c>
      <c r="B5289" t="s">
        <v>71</v>
      </c>
      <c r="C5289" t="s">
        <v>8</v>
      </c>
      <c r="D5289" s="8"/>
      <c r="E5289" s="8"/>
      <c r="M5289" t="s">
        <v>478</v>
      </c>
      <c r="N5289" t="str">
        <f>Tabela_tudo[[#This Row],[Médico]]&amp;" ("&amp;Tabela_tudo[[#This Row],[Obs]]&amp;")"</f>
        <v>BRU ()</v>
      </c>
    </row>
    <row r="5290" spans="1:14" x14ac:dyDescent="0.3">
      <c r="A5290" s="1">
        <v>45226</v>
      </c>
      <c r="B5290" t="s">
        <v>94</v>
      </c>
      <c r="C5290" t="s">
        <v>464</v>
      </c>
      <c r="D5290" s="8"/>
      <c r="E5290" s="8"/>
      <c r="M5290" t="s">
        <v>478</v>
      </c>
      <c r="N5290" t="str">
        <f>Tabela_tudo[[#This Row],[Médico]]&amp;" ("&amp;Tabela_tudo[[#This Row],[Obs]]&amp;")"</f>
        <v>TOT ()</v>
      </c>
    </row>
    <row r="5291" spans="1:14" x14ac:dyDescent="0.3">
      <c r="A5291" s="1">
        <v>45253</v>
      </c>
      <c r="B5291" t="s">
        <v>85</v>
      </c>
      <c r="C5291" t="s">
        <v>15</v>
      </c>
      <c r="D5291" s="8"/>
      <c r="E5291" s="8"/>
      <c r="M5291" t="s">
        <v>478</v>
      </c>
      <c r="N5291" t="str">
        <f>Tabela_tudo[[#This Row],[Médico]]&amp;" ("&amp;Tabela_tudo[[#This Row],[Obs]]&amp;")"</f>
        <v>ELF ()</v>
      </c>
    </row>
    <row r="5292" spans="1:14" x14ac:dyDescent="0.3">
      <c r="A5292" s="1">
        <v>45223</v>
      </c>
      <c r="B5292" t="s">
        <v>94</v>
      </c>
      <c r="C5292" t="s">
        <v>464</v>
      </c>
      <c r="D5292" s="8"/>
      <c r="E5292" s="8"/>
      <c r="M5292" t="s">
        <v>478</v>
      </c>
      <c r="N5292" t="str">
        <f>Tabela_tudo[[#This Row],[Médico]]&amp;" ("&amp;Tabela_tudo[[#This Row],[Obs]]&amp;")"</f>
        <v>TOT ()</v>
      </c>
    </row>
    <row r="5293" spans="1:14" x14ac:dyDescent="0.3">
      <c r="A5293" s="1">
        <v>45254</v>
      </c>
      <c r="B5293" t="s">
        <v>85</v>
      </c>
      <c r="C5293" t="s">
        <v>15</v>
      </c>
      <c r="D5293" s="8"/>
      <c r="E5293" s="8"/>
      <c r="M5293" t="s">
        <v>478</v>
      </c>
      <c r="N5293" t="str">
        <f>Tabela_tudo[[#This Row],[Médico]]&amp;" ("&amp;Tabela_tudo[[#This Row],[Obs]]&amp;")"</f>
        <v>ELF ()</v>
      </c>
    </row>
    <row r="5294" spans="1:14" x14ac:dyDescent="0.3">
      <c r="A5294" s="1">
        <v>45224</v>
      </c>
      <c r="B5294" t="s">
        <v>94</v>
      </c>
      <c r="C5294" t="s">
        <v>464</v>
      </c>
      <c r="D5294" s="8"/>
      <c r="E5294" s="8"/>
      <c r="M5294" t="s">
        <v>478</v>
      </c>
      <c r="N5294" t="str">
        <f>Tabela_tudo[[#This Row],[Médico]]&amp;" ("&amp;Tabela_tudo[[#This Row],[Obs]]&amp;")"</f>
        <v>TOT ()</v>
      </c>
    </row>
    <row r="5295" spans="1:14" x14ac:dyDescent="0.3">
      <c r="A5295" s="1">
        <v>45254</v>
      </c>
      <c r="B5295" t="s">
        <v>66</v>
      </c>
      <c r="C5295" t="s">
        <v>13</v>
      </c>
      <c r="D5295" s="8"/>
      <c r="E5295" s="8"/>
      <c r="M5295" t="s">
        <v>478</v>
      </c>
      <c r="N5295" t="str">
        <f>Tabela_tudo[[#This Row],[Médico]]&amp;" ("&amp;Tabela_tudo[[#This Row],[Obs]]&amp;")"</f>
        <v>MOZ ()</v>
      </c>
    </row>
    <row r="5296" spans="1:14" x14ac:dyDescent="0.3">
      <c r="A5296" s="1">
        <v>45240</v>
      </c>
      <c r="B5296" t="s">
        <v>47</v>
      </c>
      <c r="C5296" t="s">
        <v>465</v>
      </c>
      <c r="D5296" s="8"/>
      <c r="E5296" s="8"/>
      <c r="F5296" t="s">
        <v>475</v>
      </c>
      <c r="M5296" t="s">
        <v>478</v>
      </c>
      <c r="N5296" t="str">
        <f>Tabela_tudo[[#This Row],[Médico]]&amp;" ("&amp;Tabela_tudo[[#This Row],[Obs]]&amp;")"</f>
        <v>VIN (CBA)</v>
      </c>
    </row>
    <row r="5297" spans="1:14" x14ac:dyDescent="0.3">
      <c r="A5297" s="1">
        <v>45257</v>
      </c>
      <c r="B5297" t="s">
        <v>32</v>
      </c>
      <c r="C5297" t="s">
        <v>8</v>
      </c>
      <c r="D5297" s="8"/>
      <c r="E5297" s="8"/>
      <c r="M5297" t="s">
        <v>478</v>
      </c>
      <c r="N5297" t="str">
        <f>Tabela_tudo[[#This Row],[Médico]]&amp;" ("&amp;Tabela_tudo[[#This Row],[Obs]]&amp;")"</f>
        <v>JS ()</v>
      </c>
    </row>
    <row r="5298" spans="1:14" x14ac:dyDescent="0.3">
      <c r="A5298" s="1">
        <v>45241</v>
      </c>
      <c r="B5298" t="s">
        <v>47</v>
      </c>
      <c r="C5298" t="s">
        <v>465</v>
      </c>
      <c r="D5298" s="8"/>
      <c r="E5298" s="8"/>
      <c r="F5298" t="s">
        <v>475</v>
      </c>
      <c r="M5298" t="s">
        <v>478</v>
      </c>
      <c r="N5298" t="str">
        <f>Tabela_tudo[[#This Row],[Médico]]&amp;" ("&amp;Tabela_tudo[[#This Row],[Obs]]&amp;")"</f>
        <v>VIN (CBA)</v>
      </c>
    </row>
    <row r="5299" spans="1:14" x14ac:dyDescent="0.3">
      <c r="A5299" s="1">
        <v>45257</v>
      </c>
      <c r="B5299" t="s">
        <v>48</v>
      </c>
      <c r="C5299" t="s">
        <v>15</v>
      </c>
      <c r="D5299" s="8"/>
      <c r="E5299" s="8"/>
      <c r="M5299" t="s">
        <v>478</v>
      </c>
      <c r="N5299" t="str">
        <f>Tabela_tudo[[#This Row],[Médico]]&amp;" ("&amp;Tabela_tudo[[#This Row],[Obs]]&amp;")"</f>
        <v>MAF ()</v>
      </c>
    </row>
    <row r="5300" spans="1:14" x14ac:dyDescent="0.3">
      <c r="A5300" s="1">
        <v>45238</v>
      </c>
      <c r="B5300" t="s">
        <v>47</v>
      </c>
      <c r="C5300" t="s">
        <v>465</v>
      </c>
      <c r="D5300" s="8"/>
      <c r="E5300" s="8"/>
      <c r="F5300" t="s">
        <v>475</v>
      </c>
      <c r="M5300" t="s">
        <v>478</v>
      </c>
      <c r="N5300" t="str">
        <f>Tabela_tudo[[#This Row],[Médico]]&amp;" ("&amp;Tabela_tudo[[#This Row],[Obs]]&amp;")"</f>
        <v>VIN (CBA)</v>
      </c>
    </row>
    <row r="5301" spans="1:14" x14ac:dyDescent="0.3">
      <c r="A5301" s="1">
        <v>45258</v>
      </c>
      <c r="B5301" t="s">
        <v>37</v>
      </c>
      <c r="C5301" t="s">
        <v>15</v>
      </c>
      <c r="D5301" s="8"/>
      <c r="E5301" s="8"/>
      <c r="M5301" t="s">
        <v>478</v>
      </c>
      <c r="N5301" t="str">
        <f>Tabela_tudo[[#This Row],[Médico]]&amp;" ("&amp;Tabela_tudo[[#This Row],[Obs]]&amp;")"</f>
        <v>EBB ()</v>
      </c>
    </row>
    <row r="5302" spans="1:14" x14ac:dyDescent="0.3">
      <c r="A5302" s="1">
        <v>45239</v>
      </c>
      <c r="B5302" t="s">
        <v>47</v>
      </c>
      <c r="C5302" t="s">
        <v>465</v>
      </c>
      <c r="D5302" s="8"/>
      <c r="E5302" s="8"/>
      <c r="F5302" t="s">
        <v>475</v>
      </c>
      <c r="M5302" t="s">
        <v>478</v>
      </c>
      <c r="N5302" t="str">
        <f>Tabela_tudo[[#This Row],[Médico]]&amp;" ("&amp;Tabela_tudo[[#This Row],[Obs]]&amp;")"</f>
        <v>VIN (CBA)</v>
      </c>
    </row>
    <row r="5303" spans="1:14" x14ac:dyDescent="0.3">
      <c r="A5303" s="1">
        <v>45258</v>
      </c>
      <c r="B5303" t="s">
        <v>75</v>
      </c>
      <c r="C5303" t="s">
        <v>13</v>
      </c>
      <c r="D5303" s="8"/>
      <c r="E5303" s="8"/>
      <c r="M5303" t="s">
        <v>478</v>
      </c>
      <c r="N5303" t="str">
        <f>Tabela_tudo[[#This Row],[Médico]]&amp;" ("&amp;Tabela_tudo[[#This Row],[Obs]]&amp;")"</f>
        <v>KOP ()</v>
      </c>
    </row>
    <row r="5304" spans="1:14" x14ac:dyDescent="0.3">
      <c r="A5304" s="1">
        <v>45227</v>
      </c>
      <c r="B5304" t="s">
        <v>44</v>
      </c>
      <c r="C5304" t="s">
        <v>464</v>
      </c>
      <c r="D5304" s="8"/>
      <c r="E5304" s="8"/>
      <c r="M5304" t="s">
        <v>478</v>
      </c>
      <c r="N5304" t="str">
        <f>Tabela_tudo[[#This Row],[Médico]]&amp;" ("&amp;Tabela_tudo[[#This Row],[Obs]]&amp;")"</f>
        <v>REI ()</v>
      </c>
    </row>
    <row r="5305" spans="1:14" x14ac:dyDescent="0.3">
      <c r="A5305" s="1">
        <v>45256</v>
      </c>
      <c r="B5305" t="s">
        <v>75</v>
      </c>
      <c r="C5305" t="s">
        <v>8</v>
      </c>
      <c r="D5305" s="8"/>
      <c r="E5305" s="8"/>
      <c r="M5305" t="s">
        <v>478</v>
      </c>
      <c r="N5305" t="str">
        <f>Tabela_tudo[[#This Row],[Médico]]&amp;" ("&amp;Tabela_tudo[[#This Row],[Obs]]&amp;")"</f>
        <v>KOP ()</v>
      </c>
    </row>
    <row r="5306" spans="1:14" x14ac:dyDescent="0.3">
      <c r="A5306" s="1">
        <v>45228</v>
      </c>
      <c r="B5306" t="s">
        <v>44</v>
      </c>
      <c r="C5306" t="s">
        <v>464</v>
      </c>
      <c r="D5306" s="8"/>
      <c r="E5306" s="8"/>
      <c r="M5306" t="s">
        <v>478</v>
      </c>
      <c r="N5306" t="str">
        <f>Tabela_tudo[[#This Row],[Médico]]&amp;" ("&amp;Tabela_tudo[[#This Row],[Obs]]&amp;")"</f>
        <v>REI ()</v>
      </c>
    </row>
    <row r="5307" spans="1:14" x14ac:dyDescent="0.3">
      <c r="A5307" s="1">
        <v>45256</v>
      </c>
      <c r="B5307" t="s">
        <v>44</v>
      </c>
      <c r="C5307" t="s">
        <v>13</v>
      </c>
      <c r="D5307" s="8"/>
      <c r="E5307" s="8"/>
      <c r="M5307" t="s">
        <v>478</v>
      </c>
      <c r="N5307" t="str">
        <f>Tabela_tudo[[#This Row],[Médico]]&amp;" ("&amp;Tabela_tudo[[#This Row],[Obs]]&amp;")"</f>
        <v>REI ()</v>
      </c>
    </row>
    <row r="5308" spans="1:14" x14ac:dyDescent="0.3">
      <c r="A5308" s="1">
        <v>45225</v>
      </c>
      <c r="B5308" t="s">
        <v>44</v>
      </c>
      <c r="C5308" t="s">
        <v>464</v>
      </c>
      <c r="D5308" s="8"/>
      <c r="E5308" s="8"/>
      <c r="M5308" t="s">
        <v>478</v>
      </c>
      <c r="N5308" t="str">
        <f>Tabela_tudo[[#This Row],[Médico]]&amp;" ("&amp;Tabela_tudo[[#This Row],[Obs]]&amp;")"</f>
        <v>REI ()</v>
      </c>
    </row>
    <row r="5309" spans="1:14" x14ac:dyDescent="0.3">
      <c r="A5309" s="1">
        <v>45257</v>
      </c>
      <c r="B5309" t="s">
        <v>52</v>
      </c>
      <c r="C5309" t="s">
        <v>13</v>
      </c>
      <c r="D5309" s="8"/>
      <c r="E5309" s="8"/>
      <c r="M5309" t="s">
        <v>478</v>
      </c>
      <c r="N5309" t="str">
        <f>Tabela_tudo[[#This Row],[Médico]]&amp;" ("&amp;Tabela_tudo[[#This Row],[Obs]]&amp;")"</f>
        <v>AEL ()</v>
      </c>
    </row>
    <row r="5310" spans="1:14" x14ac:dyDescent="0.3">
      <c r="A5310" s="1">
        <v>45226</v>
      </c>
      <c r="B5310" t="s">
        <v>44</v>
      </c>
      <c r="C5310" t="s">
        <v>464</v>
      </c>
      <c r="D5310" s="8"/>
      <c r="E5310" s="8"/>
      <c r="M5310" t="s">
        <v>478</v>
      </c>
      <c r="N5310" t="str">
        <f>Tabela_tudo[[#This Row],[Médico]]&amp;" ("&amp;Tabela_tudo[[#This Row],[Obs]]&amp;")"</f>
        <v>REI ()</v>
      </c>
    </row>
    <row r="5311" spans="1:14" x14ac:dyDescent="0.3">
      <c r="A5311" s="1">
        <v>45256</v>
      </c>
      <c r="B5311" t="s">
        <v>94</v>
      </c>
      <c r="C5311" t="s">
        <v>78</v>
      </c>
      <c r="D5311" s="8"/>
      <c r="E5311" s="8"/>
      <c r="M5311" t="s">
        <v>478</v>
      </c>
      <c r="N5311" t="str">
        <f>Tabela_tudo[[#This Row],[Médico]]&amp;" ("&amp;Tabela_tudo[[#This Row],[Obs]]&amp;")"</f>
        <v>TOT ()</v>
      </c>
    </row>
    <row r="5312" spans="1:14" x14ac:dyDescent="0.3">
      <c r="A5312" s="1">
        <v>45231</v>
      </c>
      <c r="B5312" t="s">
        <v>44</v>
      </c>
      <c r="C5312" t="s">
        <v>464</v>
      </c>
      <c r="D5312" s="8"/>
      <c r="E5312" s="8"/>
      <c r="M5312" t="s">
        <v>478</v>
      </c>
      <c r="N5312" t="str">
        <f>Tabela_tudo[[#This Row],[Médico]]&amp;" ("&amp;Tabela_tudo[[#This Row],[Obs]]&amp;")"</f>
        <v>REI ()</v>
      </c>
    </row>
    <row r="5313" spans="1:14" x14ac:dyDescent="0.3">
      <c r="A5313" s="1">
        <v>45253</v>
      </c>
      <c r="B5313" t="s">
        <v>142</v>
      </c>
      <c r="C5313" t="s">
        <v>13</v>
      </c>
      <c r="D5313" s="8"/>
      <c r="E5313" s="8"/>
      <c r="M5313" t="s">
        <v>478</v>
      </c>
      <c r="N5313" t="str">
        <f>Tabela_tudo[[#This Row],[Médico]]&amp;" ("&amp;Tabela_tudo[[#This Row],[Obs]]&amp;")"</f>
        <v>VIV ()</v>
      </c>
    </row>
    <row r="5314" spans="1:14" x14ac:dyDescent="0.3">
      <c r="A5314" s="1">
        <v>45222</v>
      </c>
      <c r="B5314" t="s">
        <v>94</v>
      </c>
      <c r="C5314" t="s">
        <v>464</v>
      </c>
      <c r="D5314" s="8"/>
      <c r="E5314" s="8"/>
      <c r="M5314" t="s">
        <v>478</v>
      </c>
      <c r="N5314" t="str">
        <f>Tabela_tudo[[#This Row],[Médico]]&amp;" ("&amp;Tabela_tudo[[#This Row],[Obs]]&amp;")"</f>
        <v>TOT ()</v>
      </c>
    </row>
    <row r="5315" spans="1:14" x14ac:dyDescent="0.3">
      <c r="A5315" s="1">
        <v>45249</v>
      </c>
      <c r="B5315" t="s">
        <v>32</v>
      </c>
      <c r="C5315" t="s">
        <v>8</v>
      </c>
      <c r="D5315" s="8"/>
      <c r="E5315" s="8"/>
      <c r="M5315" t="s">
        <v>478</v>
      </c>
      <c r="N5315" t="str">
        <f>Tabela_tudo[[#This Row],[Médico]]&amp;" ("&amp;Tabela_tudo[[#This Row],[Obs]]&amp;")"</f>
        <v>JS ()</v>
      </c>
    </row>
    <row r="5316" spans="1:14" x14ac:dyDescent="0.3">
      <c r="A5316" s="1">
        <v>45229</v>
      </c>
      <c r="B5316" t="s">
        <v>44</v>
      </c>
      <c r="C5316" t="s">
        <v>464</v>
      </c>
      <c r="D5316" s="8"/>
      <c r="E5316" s="8"/>
      <c r="M5316" t="s">
        <v>478</v>
      </c>
      <c r="N5316" t="str">
        <f>Tabela_tudo[[#This Row],[Médico]]&amp;" ("&amp;Tabela_tudo[[#This Row],[Obs]]&amp;")"</f>
        <v>REI ()</v>
      </c>
    </row>
    <row r="5317" spans="1:14" x14ac:dyDescent="0.3">
      <c r="A5317" s="1">
        <v>45249</v>
      </c>
      <c r="B5317" t="s">
        <v>52</v>
      </c>
      <c r="C5317" t="s">
        <v>13</v>
      </c>
      <c r="D5317" s="8"/>
      <c r="E5317" s="8"/>
      <c r="M5317" t="s">
        <v>478</v>
      </c>
      <c r="N5317" t="str">
        <f>Tabela_tudo[[#This Row],[Médico]]&amp;" ("&amp;Tabela_tudo[[#This Row],[Obs]]&amp;")"</f>
        <v>AEL ()</v>
      </c>
    </row>
    <row r="5318" spans="1:14" x14ac:dyDescent="0.3">
      <c r="A5318" s="1">
        <v>45230</v>
      </c>
      <c r="B5318" t="s">
        <v>44</v>
      </c>
      <c r="C5318" t="s">
        <v>464</v>
      </c>
      <c r="D5318" s="8"/>
      <c r="E5318" s="8"/>
      <c r="M5318" t="s">
        <v>478</v>
      </c>
      <c r="N5318" t="str">
        <f>Tabela_tudo[[#This Row],[Médico]]&amp;" ("&amp;Tabela_tudo[[#This Row],[Obs]]&amp;")"</f>
        <v>REI ()</v>
      </c>
    </row>
    <row r="5319" spans="1:14" x14ac:dyDescent="0.3">
      <c r="A5319" s="1">
        <v>45250</v>
      </c>
      <c r="B5319" t="s">
        <v>85</v>
      </c>
      <c r="C5319" t="s">
        <v>13</v>
      </c>
      <c r="D5319" s="8"/>
      <c r="E5319" s="8"/>
      <c r="M5319" t="s">
        <v>478</v>
      </c>
      <c r="N5319" t="str">
        <f>Tabela_tudo[[#This Row],[Médico]]&amp;" ("&amp;Tabela_tudo[[#This Row],[Obs]]&amp;")"</f>
        <v>ELF ()</v>
      </c>
    </row>
    <row r="5320" spans="1:14" x14ac:dyDescent="0.3">
      <c r="A5320" s="1">
        <v>45144</v>
      </c>
      <c r="B5320" t="s">
        <v>14</v>
      </c>
      <c r="C5320" t="s">
        <v>464</v>
      </c>
      <c r="D5320" s="8"/>
      <c r="E5320" s="8"/>
      <c r="M5320" t="s">
        <v>478</v>
      </c>
      <c r="N5320" t="str">
        <f>Tabela_tudo[[#This Row],[Médico]]&amp;" ("&amp;Tabela_tudo[[#This Row],[Obs]]&amp;")"</f>
        <v>PW ()</v>
      </c>
    </row>
    <row r="5321" spans="1:14" x14ac:dyDescent="0.3">
      <c r="A5321" s="1">
        <v>45249</v>
      </c>
      <c r="B5321" t="s">
        <v>12</v>
      </c>
      <c r="C5321" t="s">
        <v>78</v>
      </c>
      <c r="D5321" s="8"/>
      <c r="E5321" s="8"/>
      <c r="M5321" t="s">
        <v>478</v>
      </c>
      <c r="N5321" t="str">
        <f>Tabela_tudo[[#This Row],[Médico]]&amp;" ("&amp;Tabela_tudo[[#This Row],[Obs]]&amp;")"</f>
        <v>EDU ()</v>
      </c>
    </row>
    <row r="5322" spans="1:14" x14ac:dyDescent="0.3">
      <c r="A5322" s="1">
        <v>45265</v>
      </c>
      <c r="B5322" t="s">
        <v>94</v>
      </c>
      <c r="C5322" t="s">
        <v>465</v>
      </c>
      <c r="D5322" s="8"/>
      <c r="E5322" s="8"/>
      <c r="F5322" t="s">
        <v>469</v>
      </c>
      <c r="M5322" t="s">
        <v>478</v>
      </c>
      <c r="N5322" t="str">
        <f>Tabela_tudo[[#This Row],[Médico]]&amp;" ("&amp;Tabela_tudo[[#This Row],[Obs]]&amp;")"</f>
        <v>TOT (PROVA TSA)</v>
      </c>
    </row>
    <row r="5323" spans="1:14" x14ac:dyDescent="0.3">
      <c r="A5323" s="1">
        <v>45248</v>
      </c>
      <c r="B5323" t="s">
        <v>12</v>
      </c>
      <c r="C5323" t="s">
        <v>13</v>
      </c>
      <c r="D5323" s="8"/>
      <c r="E5323" s="8"/>
      <c r="M5323" t="s">
        <v>478</v>
      </c>
      <c r="N5323" t="str">
        <f>Tabela_tudo[[#This Row],[Médico]]&amp;" ("&amp;Tabela_tudo[[#This Row],[Obs]]&amp;")"</f>
        <v>EDU ()</v>
      </c>
    </row>
    <row r="5324" spans="1:14" x14ac:dyDescent="0.3">
      <c r="A5324" s="1">
        <v>45142</v>
      </c>
      <c r="B5324" t="s">
        <v>14</v>
      </c>
      <c r="C5324" t="s">
        <v>464</v>
      </c>
      <c r="D5324" s="8"/>
      <c r="E5324" s="8"/>
      <c r="M5324" t="s">
        <v>478</v>
      </c>
      <c r="N5324" t="str">
        <f>Tabela_tudo[[#This Row],[Médico]]&amp;" ("&amp;Tabela_tudo[[#This Row],[Obs]]&amp;")"</f>
        <v>PW ()</v>
      </c>
    </row>
    <row r="5325" spans="1:14" x14ac:dyDescent="0.3">
      <c r="A5325" s="1">
        <v>45245</v>
      </c>
      <c r="B5325" t="s">
        <v>94</v>
      </c>
      <c r="C5325" t="s">
        <v>78</v>
      </c>
      <c r="D5325" s="8"/>
      <c r="E5325" s="8"/>
      <c r="M5325" t="s">
        <v>478</v>
      </c>
      <c r="N5325" t="str">
        <f>Tabela_tudo[[#This Row],[Médico]]&amp;" ("&amp;Tabela_tudo[[#This Row],[Obs]]&amp;")"</f>
        <v>TOT ()</v>
      </c>
    </row>
    <row r="5326" spans="1:14" x14ac:dyDescent="0.3">
      <c r="A5326" s="1">
        <v>45143</v>
      </c>
      <c r="B5326" t="s">
        <v>14</v>
      </c>
      <c r="C5326" t="s">
        <v>464</v>
      </c>
      <c r="D5326" s="8"/>
      <c r="E5326" s="8"/>
      <c r="M5326" t="s">
        <v>478</v>
      </c>
      <c r="N5326" t="str">
        <f>Tabela_tudo[[#This Row],[Médico]]&amp;" ("&amp;Tabela_tudo[[#This Row],[Obs]]&amp;")"</f>
        <v>PW ()</v>
      </c>
    </row>
    <row r="5327" spans="1:14" x14ac:dyDescent="0.3">
      <c r="A5327" s="1">
        <v>45248</v>
      </c>
      <c r="B5327" t="s">
        <v>52</v>
      </c>
      <c r="C5327" t="s">
        <v>78</v>
      </c>
      <c r="D5327" s="8"/>
      <c r="E5327" s="8"/>
      <c r="M5327" t="s">
        <v>478</v>
      </c>
      <c r="N5327" t="str">
        <f>Tabela_tudo[[#This Row],[Médico]]&amp;" ("&amp;Tabela_tudo[[#This Row],[Obs]]&amp;")"</f>
        <v>AEL ()</v>
      </c>
    </row>
    <row r="5328" spans="1:14" x14ac:dyDescent="0.3">
      <c r="A5328" s="1">
        <v>45203</v>
      </c>
      <c r="B5328" t="s">
        <v>17</v>
      </c>
      <c r="C5328" t="s">
        <v>464</v>
      </c>
      <c r="D5328" s="8"/>
      <c r="E5328" s="8"/>
      <c r="M5328" t="s">
        <v>478</v>
      </c>
      <c r="N5328" t="str">
        <f>Tabela_tudo[[#This Row],[Médico]]&amp;" ("&amp;Tabela_tudo[[#This Row],[Obs]]&amp;")"</f>
        <v>FAB ()</v>
      </c>
    </row>
    <row r="5329" spans="1:14" x14ac:dyDescent="0.3">
      <c r="A5329" s="1">
        <v>45248</v>
      </c>
      <c r="B5329" t="s">
        <v>50</v>
      </c>
      <c r="C5329" t="s">
        <v>8</v>
      </c>
      <c r="D5329" s="8"/>
      <c r="E5329" s="8"/>
      <c r="M5329" t="s">
        <v>478</v>
      </c>
      <c r="N5329" t="str">
        <f>Tabela_tudo[[#This Row],[Médico]]&amp;" ("&amp;Tabela_tudo[[#This Row],[Obs]]&amp;")"</f>
        <v>PJP ()</v>
      </c>
    </row>
    <row r="5330" spans="1:14" x14ac:dyDescent="0.3">
      <c r="A5330" s="1">
        <v>45204</v>
      </c>
      <c r="B5330" t="s">
        <v>17</v>
      </c>
      <c r="C5330" t="s">
        <v>464</v>
      </c>
      <c r="D5330" s="8"/>
      <c r="E5330" s="8"/>
      <c r="M5330" t="s">
        <v>478</v>
      </c>
      <c r="N5330" t="str">
        <f>Tabela_tudo[[#This Row],[Médico]]&amp;" ("&amp;Tabela_tudo[[#This Row],[Obs]]&amp;")"</f>
        <v>FAB ()</v>
      </c>
    </row>
    <row r="5331" spans="1:14" x14ac:dyDescent="0.3">
      <c r="A5331" s="1">
        <v>45252</v>
      </c>
      <c r="B5331" t="s">
        <v>73</v>
      </c>
      <c r="C5331" t="s">
        <v>13</v>
      </c>
      <c r="D5331" s="8"/>
      <c r="E5331" s="8"/>
      <c r="M5331" t="s">
        <v>478</v>
      </c>
      <c r="N5331" t="str">
        <f>Tabela_tudo[[#This Row],[Médico]]&amp;" ("&amp;Tabela_tudo[[#This Row],[Obs]]&amp;")"</f>
        <v>RT ()</v>
      </c>
    </row>
    <row r="5332" spans="1:14" x14ac:dyDescent="0.3">
      <c r="A5332" s="1">
        <v>45201</v>
      </c>
      <c r="B5332" t="s">
        <v>17</v>
      </c>
      <c r="C5332" t="s">
        <v>464</v>
      </c>
      <c r="D5332" s="8"/>
      <c r="E5332" s="8"/>
      <c r="M5332" t="s">
        <v>478</v>
      </c>
      <c r="N5332" t="str">
        <f>Tabela_tudo[[#This Row],[Médico]]&amp;" ("&amp;Tabela_tudo[[#This Row],[Obs]]&amp;")"</f>
        <v>FAB ()</v>
      </c>
    </row>
    <row r="5333" spans="1:14" x14ac:dyDescent="0.3">
      <c r="A5333" s="1">
        <v>45251</v>
      </c>
      <c r="B5333" t="s">
        <v>71</v>
      </c>
      <c r="C5333" t="s">
        <v>8</v>
      </c>
      <c r="D5333" s="8"/>
      <c r="E5333" s="8"/>
      <c r="M5333" t="s">
        <v>478</v>
      </c>
      <c r="N5333" t="str">
        <f>Tabela_tudo[[#This Row],[Médico]]&amp;" ("&amp;Tabela_tudo[[#This Row],[Obs]]&amp;")"</f>
        <v>BRU ()</v>
      </c>
    </row>
    <row r="5334" spans="1:14" x14ac:dyDescent="0.3">
      <c r="A5334" s="1">
        <v>45202</v>
      </c>
      <c r="B5334" t="s">
        <v>17</v>
      </c>
      <c r="C5334" t="s">
        <v>464</v>
      </c>
      <c r="D5334" s="8"/>
      <c r="E5334" s="8"/>
      <c r="M5334" t="s">
        <v>478</v>
      </c>
      <c r="N5334" t="str">
        <f>Tabela_tudo[[#This Row],[Médico]]&amp;" ("&amp;Tabela_tudo[[#This Row],[Obs]]&amp;")"</f>
        <v>FAB ()</v>
      </c>
    </row>
    <row r="5335" spans="1:14" x14ac:dyDescent="0.3">
      <c r="A5335" s="1">
        <v>45252</v>
      </c>
      <c r="B5335" t="s">
        <v>64</v>
      </c>
      <c r="C5335" t="s">
        <v>8</v>
      </c>
      <c r="D5335" s="8"/>
      <c r="E5335" s="8"/>
      <c r="M5335" t="s">
        <v>478</v>
      </c>
      <c r="N5335" t="str">
        <f>Tabela_tudo[[#This Row],[Médico]]&amp;" ("&amp;Tabela_tudo[[#This Row],[Obs]]&amp;")"</f>
        <v>SAR ()</v>
      </c>
    </row>
    <row r="5336" spans="1:14" x14ac:dyDescent="0.3">
      <c r="A5336" s="1">
        <v>45122</v>
      </c>
      <c r="B5336" t="s">
        <v>73</v>
      </c>
      <c r="C5336" t="s">
        <v>464</v>
      </c>
      <c r="D5336" s="8"/>
      <c r="E5336" s="8"/>
      <c r="M5336" t="s">
        <v>478</v>
      </c>
      <c r="N5336" t="str">
        <f>Tabela_tudo[[#This Row],[Médico]]&amp;" ("&amp;Tabela_tudo[[#This Row],[Obs]]&amp;")"</f>
        <v>RT ()</v>
      </c>
    </row>
    <row r="5337" spans="1:14" x14ac:dyDescent="0.3">
      <c r="A5337" s="1">
        <v>45252</v>
      </c>
      <c r="B5337" t="s">
        <v>47</v>
      </c>
      <c r="C5337" t="s">
        <v>15</v>
      </c>
      <c r="D5337" s="8"/>
      <c r="E5337" s="8"/>
      <c r="M5337" t="s">
        <v>478</v>
      </c>
      <c r="N5337" t="str">
        <f>Tabela_tudo[[#This Row],[Médico]]&amp;" ("&amp;Tabela_tudo[[#This Row],[Obs]]&amp;")"</f>
        <v>VIN ()</v>
      </c>
    </row>
    <row r="5338" spans="1:14" x14ac:dyDescent="0.3">
      <c r="A5338" s="1">
        <v>45123</v>
      </c>
      <c r="B5338" t="s">
        <v>73</v>
      </c>
      <c r="C5338" t="s">
        <v>464</v>
      </c>
      <c r="D5338" s="8"/>
      <c r="E5338" s="8"/>
      <c r="M5338" t="s">
        <v>478</v>
      </c>
      <c r="N5338" t="str">
        <f>Tabela_tudo[[#This Row],[Médico]]&amp;" ("&amp;Tabela_tudo[[#This Row],[Obs]]&amp;")"</f>
        <v>RT ()</v>
      </c>
    </row>
    <row r="5339" spans="1:14" x14ac:dyDescent="0.3">
      <c r="A5339" s="1">
        <v>45250</v>
      </c>
      <c r="B5339" t="s">
        <v>142</v>
      </c>
      <c r="C5339" t="s">
        <v>8</v>
      </c>
      <c r="D5339" s="8"/>
      <c r="E5339" s="8"/>
      <c r="M5339" t="s">
        <v>478</v>
      </c>
      <c r="N5339" t="str">
        <f>Tabela_tudo[[#This Row],[Médico]]&amp;" ("&amp;Tabela_tudo[[#This Row],[Obs]]&amp;")"</f>
        <v>VIV ()</v>
      </c>
    </row>
    <row r="5340" spans="1:14" x14ac:dyDescent="0.3">
      <c r="A5340" s="1">
        <v>45120</v>
      </c>
      <c r="B5340" t="s">
        <v>73</v>
      </c>
      <c r="C5340" t="s">
        <v>464</v>
      </c>
      <c r="D5340" s="8"/>
      <c r="E5340" s="8"/>
      <c r="M5340" t="s">
        <v>478</v>
      </c>
      <c r="N5340" t="str">
        <f>Tabela_tudo[[#This Row],[Médico]]&amp;" ("&amp;Tabela_tudo[[#This Row],[Obs]]&amp;")"</f>
        <v>RT ()</v>
      </c>
    </row>
    <row r="5341" spans="1:14" x14ac:dyDescent="0.3">
      <c r="A5341" s="1">
        <v>45250</v>
      </c>
      <c r="B5341" t="s">
        <v>32</v>
      </c>
      <c r="C5341" t="s">
        <v>15</v>
      </c>
      <c r="D5341" s="8"/>
      <c r="E5341" s="8"/>
      <c r="M5341" t="s">
        <v>478</v>
      </c>
      <c r="N5341" t="str">
        <f>Tabela_tudo[[#This Row],[Médico]]&amp;" ("&amp;Tabela_tudo[[#This Row],[Obs]]&amp;")"</f>
        <v>JS ()</v>
      </c>
    </row>
    <row r="5342" spans="1:14" x14ac:dyDescent="0.3">
      <c r="A5342" s="1">
        <v>45121</v>
      </c>
      <c r="B5342" t="s">
        <v>73</v>
      </c>
      <c r="C5342" t="s">
        <v>464</v>
      </c>
      <c r="D5342" s="8"/>
      <c r="E5342" s="8"/>
      <c r="M5342" t="s">
        <v>478</v>
      </c>
      <c r="N5342" t="str">
        <f>Tabela_tudo[[#This Row],[Médico]]&amp;" ("&amp;Tabela_tudo[[#This Row],[Obs]]&amp;")"</f>
        <v>RT ()</v>
      </c>
    </row>
    <row r="5343" spans="1:14" x14ac:dyDescent="0.3">
      <c r="A5343" s="1">
        <v>45251</v>
      </c>
      <c r="B5343" t="s">
        <v>44</v>
      </c>
      <c r="C5343" t="s">
        <v>15</v>
      </c>
      <c r="D5343" s="8"/>
      <c r="E5343" s="8"/>
      <c r="M5343" t="s">
        <v>478</v>
      </c>
      <c r="N5343" t="str">
        <f>Tabela_tudo[[#This Row],[Médico]]&amp;" ("&amp;Tabela_tudo[[#This Row],[Obs]]&amp;")"</f>
        <v>REI ()</v>
      </c>
    </row>
    <row r="5344" spans="1:14" x14ac:dyDescent="0.3">
      <c r="A5344" s="1">
        <v>45140</v>
      </c>
      <c r="B5344" t="s">
        <v>14</v>
      </c>
      <c r="C5344" t="s">
        <v>464</v>
      </c>
      <c r="D5344" s="8"/>
      <c r="E5344" s="8"/>
      <c r="M5344" t="s">
        <v>478</v>
      </c>
      <c r="N5344" t="str">
        <f>Tabela_tudo[[#This Row],[Médico]]&amp;" ("&amp;Tabela_tudo[[#This Row],[Obs]]&amp;")"</f>
        <v>PW ()</v>
      </c>
    </row>
    <row r="5345" spans="1:14" x14ac:dyDescent="0.3">
      <c r="A5345" s="1">
        <v>45251</v>
      </c>
      <c r="B5345" t="s">
        <v>94</v>
      </c>
      <c r="C5345" t="s">
        <v>13</v>
      </c>
      <c r="D5345" s="8"/>
      <c r="E5345" s="8"/>
      <c r="M5345" t="s">
        <v>478</v>
      </c>
      <c r="N5345" t="str">
        <f>Tabela_tudo[[#This Row],[Médico]]&amp;" ("&amp;Tabela_tudo[[#This Row],[Obs]]&amp;")"</f>
        <v>TOT ()</v>
      </c>
    </row>
    <row r="5346" spans="1:14" x14ac:dyDescent="0.3">
      <c r="A5346" s="1">
        <v>45141</v>
      </c>
      <c r="B5346" t="s">
        <v>14</v>
      </c>
      <c r="C5346" t="s">
        <v>464</v>
      </c>
      <c r="D5346" s="8"/>
      <c r="E5346" s="8"/>
      <c r="M5346" t="s">
        <v>478</v>
      </c>
      <c r="N5346" t="str">
        <f>Tabela_tudo[[#This Row],[Médico]]&amp;" ("&amp;Tabela_tudo[[#This Row],[Obs]]&amp;")"</f>
        <v>PW ()</v>
      </c>
    </row>
    <row r="5347" spans="1:14" x14ac:dyDescent="0.3">
      <c r="A5347" s="1">
        <v>45258</v>
      </c>
      <c r="B5347" t="s">
        <v>68</v>
      </c>
      <c r="C5347" t="s">
        <v>8</v>
      </c>
      <c r="D5347" s="8"/>
      <c r="E5347" s="8"/>
      <c r="M5347" t="s">
        <v>478</v>
      </c>
      <c r="N5347" t="str">
        <f>Tabela_tudo[[#This Row],[Médico]]&amp;" ("&amp;Tabela_tudo[[#This Row],[Obs]]&amp;")"</f>
        <v>PED ()</v>
      </c>
    </row>
    <row r="5348" spans="1:14" x14ac:dyDescent="0.3">
      <c r="A5348" s="1">
        <v>45138</v>
      </c>
      <c r="B5348" t="s">
        <v>14</v>
      </c>
      <c r="C5348" t="s">
        <v>464</v>
      </c>
      <c r="D5348" s="8"/>
      <c r="E5348" s="8"/>
      <c r="M5348" t="s">
        <v>478</v>
      </c>
      <c r="N5348" t="str">
        <f>Tabela_tudo[[#This Row],[Médico]]&amp;" ("&amp;Tabela_tudo[[#This Row],[Obs]]&amp;")"</f>
        <v>PW ()</v>
      </c>
    </row>
    <row r="5349" spans="1:14" x14ac:dyDescent="0.3">
      <c r="A5349" s="1">
        <v>45226</v>
      </c>
      <c r="B5349" t="s">
        <v>72</v>
      </c>
      <c r="C5349" t="s">
        <v>18</v>
      </c>
      <c r="D5349" s="8"/>
      <c r="E5349" s="8"/>
      <c r="M5349" t="s">
        <v>478</v>
      </c>
      <c r="N5349" t="str">
        <f>Tabela_tudo[[#This Row],[Médico]]&amp;" ("&amp;Tabela_tudo[[#This Row],[Obs]]&amp;")"</f>
        <v>GRA ()</v>
      </c>
    </row>
    <row r="5350" spans="1:14" x14ac:dyDescent="0.3">
      <c r="A5350" s="1">
        <v>45139</v>
      </c>
      <c r="B5350" t="s">
        <v>14</v>
      </c>
      <c r="C5350" t="s">
        <v>464</v>
      </c>
      <c r="D5350" s="8"/>
      <c r="E5350" s="8"/>
      <c r="M5350" t="s">
        <v>478</v>
      </c>
      <c r="N5350" t="str">
        <f>Tabela_tudo[[#This Row],[Médico]]&amp;" ("&amp;Tabela_tudo[[#This Row],[Obs]]&amp;")"</f>
        <v>PW ()</v>
      </c>
    </row>
    <row r="5351" spans="1:14" x14ac:dyDescent="0.3">
      <c r="A5351" s="1">
        <v>45226</v>
      </c>
      <c r="B5351" t="s">
        <v>68</v>
      </c>
      <c r="C5351" t="s">
        <v>46</v>
      </c>
      <c r="D5351" s="8"/>
      <c r="E5351" s="8"/>
      <c r="M5351" t="s">
        <v>478</v>
      </c>
      <c r="N5351" t="str">
        <f>Tabela_tudo[[#This Row],[Médico]]&amp;" ("&amp;Tabela_tudo[[#This Row],[Obs]]&amp;")"</f>
        <v>PED ()</v>
      </c>
    </row>
    <row r="5352" spans="1:14" x14ac:dyDescent="0.3">
      <c r="A5352" s="1">
        <v>45225</v>
      </c>
      <c r="B5352" t="s">
        <v>34</v>
      </c>
      <c r="C5352" t="s">
        <v>465</v>
      </c>
      <c r="D5352" s="8"/>
      <c r="E5352" s="8"/>
      <c r="F5352" t="s">
        <v>480</v>
      </c>
      <c r="M5352" t="s">
        <v>478</v>
      </c>
      <c r="N5352" t="str">
        <f>Tabela_tudo[[#This Row],[Médico]]&amp;" ("&amp;Tabela_tudo[[#This Row],[Obs]]&amp;")"</f>
        <v>LIP (XI SINGEP-CIK)</v>
      </c>
    </row>
    <row r="5353" spans="1:14" x14ac:dyDescent="0.3">
      <c r="A5353" s="1">
        <v>45226</v>
      </c>
      <c r="B5353" t="s">
        <v>17</v>
      </c>
      <c r="C5353" t="s">
        <v>51</v>
      </c>
      <c r="D5353" s="8"/>
      <c r="E5353" s="8"/>
      <c r="M5353" t="s">
        <v>478</v>
      </c>
      <c r="N5353" t="str">
        <f>Tabela_tudo[[#This Row],[Médico]]&amp;" ("&amp;Tabela_tudo[[#This Row],[Obs]]&amp;")"</f>
        <v>FAB ()</v>
      </c>
    </row>
    <row r="5354" spans="1:14" x14ac:dyDescent="0.3">
      <c r="A5354" s="1">
        <v>45226</v>
      </c>
      <c r="B5354" t="s">
        <v>34</v>
      </c>
      <c r="C5354" t="s">
        <v>465</v>
      </c>
      <c r="D5354" s="8"/>
      <c r="E5354" s="8"/>
      <c r="F5354" t="s">
        <v>480</v>
      </c>
      <c r="M5354" t="s">
        <v>478</v>
      </c>
      <c r="N5354" t="str">
        <f>Tabela_tudo[[#This Row],[Médico]]&amp;" ("&amp;Tabela_tudo[[#This Row],[Obs]]&amp;")"</f>
        <v>LIP (XI SINGEP-CIK)</v>
      </c>
    </row>
    <row r="5355" spans="1:14" x14ac:dyDescent="0.3">
      <c r="A5355" s="1">
        <v>45226</v>
      </c>
      <c r="B5355" t="s">
        <v>71</v>
      </c>
      <c r="C5355" t="s">
        <v>49</v>
      </c>
      <c r="D5355" s="8"/>
      <c r="E5355" s="8"/>
      <c r="M5355" t="s">
        <v>478</v>
      </c>
      <c r="N5355" t="str">
        <f>Tabela_tudo[[#This Row],[Médico]]&amp;" ("&amp;Tabela_tudo[[#This Row],[Obs]]&amp;")"</f>
        <v>BRU ()</v>
      </c>
    </row>
    <row r="5356" spans="1:14" x14ac:dyDescent="0.3">
      <c r="A5356" s="1">
        <v>45220</v>
      </c>
      <c r="B5356" t="s">
        <v>66</v>
      </c>
      <c r="C5356" t="s">
        <v>464</v>
      </c>
      <c r="D5356" s="8"/>
      <c r="E5356" s="8"/>
      <c r="M5356" t="s">
        <v>478</v>
      </c>
      <c r="N5356" t="str">
        <f>Tabela_tudo[[#This Row],[Médico]]&amp;" ("&amp;Tabela_tudo[[#This Row],[Obs]]&amp;")"</f>
        <v>MOZ ()</v>
      </c>
    </row>
    <row r="5357" spans="1:14" x14ac:dyDescent="0.3">
      <c r="A5357" s="1">
        <v>45226</v>
      </c>
      <c r="B5357" t="s">
        <v>72</v>
      </c>
      <c r="C5357" t="s">
        <v>8</v>
      </c>
      <c r="D5357" s="8"/>
      <c r="E5357" s="8"/>
      <c r="M5357" t="s">
        <v>478</v>
      </c>
      <c r="N5357" t="str">
        <f>Tabela_tudo[[#This Row],[Médico]]&amp;" ("&amp;Tabela_tudo[[#This Row],[Obs]]&amp;")"</f>
        <v>GRA ()</v>
      </c>
    </row>
    <row r="5358" spans="1:14" x14ac:dyDescent="0.3">
      <c r="A5358" s="1">
        <v>45221</v>
      </c>
      <c r="B5358" t="s">
        <v>66</v>
      </c>
      <c r="C5358" t="s">
        <v>464</v>
      </c>
      <c r="D5358" s="8"/>
      <c r="E5358" s="8"/>
      <c r="M5358" t="s">
        <v>478</v>
      </c>
      <c r="N5358" t="str">
        <f>Tabela_tudo[[#This Row],[Médico]]&amp;" ("&amp;Tabela_tudo[[#This Row],[Obs]]&amp;")"</f>
        <v>MOZ ()</v>
      </c>
    </row>
    <row r="5359" spans="1:14" x14ac:dyDescent="0.3">
      <c r="A5359" s="1">
        <v>45226</v>
      </c>
      <c r="B5359" t="s">
        <v>63</v>
      </c>
      <c r="C5359" t="s">
        <v>15</v>
      </c>
      <c r="D5359" s="8"/>
      <c r="E5359" s="8"/>
      <c r="M5359" t="s">
        <v>478</v>
      </c>
      <c r="N5359" t="str">
        <f>Tabela_tudo[[#This Row],[Médico]]&amp;" ("&amp;Tabela_tudo[[#This Row],[Obs]]&amp;")"</f>
        <v>FQ ()</v>
      </c>
    </row>
    <row r="5360" spans="1:14" x14ac:dyDescent="0.3">
      <c r="A5360" s="1">
        <v>45244</v>
      </c>
      <c r="B5360" t="s">
        <v>25</v>
      </c>
      <c r="C5360" t="s">
        <v>464</v>
      </c>
      <c r="D5360" s="8"/>
      <c r="E5360" s="8"/>
      <c r="M5360" t="s">
        <v>478</v>
      </c>
      <c r="N5360" t="str">
        <f>Tabela_tudo[[#This Row],[Médico]]&amp;" ("&amp;Tabela_tudo[[#This Row],[Obs]]&amp;")"</f>
        <v>HEN ()</v>
      </c>
    </row>
    <row r="5361" spans="1:14" x14ac:dyDescent="0.3">
      <c r="A5361" s="1">
        <v>45226</v>
      </c>
      <c r="B5361" t="s">
        <v>52</v>
      </c>
      <c r="C5361" t="s">
        <v>45</v>
      </c>
      <c r="D5361" s="8"/>
      <c r="E5361" s="8"/>
      <c r="M5361" t="s">
        <v>478</v>
      </c>
      <c r="N5361" t="str">
        <f>Tabela_tudo[[#This Row],[Médico]]&amp;" ("&amp;Tabela_tudo[[#This Row],[Obs]]&amp;")"</f>
        <v>AEL ()</v>
      </c>
    </row>
    <row r="5362" spans="1:14" x14ac:dyDescent="0.3">
      <c r="A5362" s="1">
        <v>45245</v>
      </c>
      <c r="B5362" t="s">
        <v>25</v>
      </c>
      <c r="C5362" t="s">
        <v>464</v>
      </c>
      <c r="D5362" s="8"/>
      <c r="E5362" s="8"/>
      <c r="M5362" t="s">
        <v>478</v>
      </c>
      <c r="N5362" t="str">
        <f>Tabela_tudo[[#This Row],[Médico]]&amp;" ("&amp;Tabela_tudo[[#This Row],[Obs]]&amp;")"</f>
        <v>HEN ()</v>
      </c>
    </row>
    <row r="5363" spans="1:14" x14ac:dyDescent="0.3">
      <c r="A5363" s="1">
        <v>45226</v>
      </c>
      <c r="B5363" t="s">
        <v>12</v>
      </c>
      <c r="C5363" t="s">
        <v>43</v>
      </c>
      <c r="D5363" s="8"/>
      <c r="E5363" s="8"/>
      <c r="M5363" t="s">
        <v>478</v>
      </c>
      <c r="N5363" t="str">
        <f>Tabela_tudo[[#This Row],[Médico]]&amp;" ("&amp;Tabela_tudo[[#This Row],[Obs]]&amp;")"</f>
        <v>EDU ()</v>
      </c>
    </row>
    <row r="5364" spans="1:14" x14ac:dyDescent="0.3">
      <c r="A5364" s="1">
        <v>45227</v>
      </c>
      <c r="B5364" t="s">
        <v>34</v>
      </c>
      <c r="C5364" t="s">
        <v>465</v>
      </c>
      <c r="D5364" s="8"/>
      <c r="E5364" s="8"/>
      <c r="F5364" t="s">
        <v>480</v>
      </c>
      <c r="M5364" t="s">
        <v>478</v>
      </c>
      <c r="N5364" t="str">
        <f>Tabela_tudo[[#This Row],[Médico]]&amp;" ("&amp;Tabela_tudo[[#This Row],[Obs]]&amp;")"</f>
        <v>LIP (XI SINGEP-CIK)</v>
      </c>
    </row>
    <row r="5365" spans="1:14" x14ac:dyDescent="0.3">
      <c r="A5365" s="1">
        <v>45246</v>
      </c>
      <c r="B5365" t="s">
        <v>75</v>
      </c>
      <c r="C5365" t="s">
        <v>15</v>
      </c>
      <c r="D5365" s="8"/>
      <c r="E5365" s="8"/>
      <c r="M5365" t="s">
        <v>478</v>
      </c>
      <c r="N5365" t="str">
        <f>Tabela_tudo[[#This Row],[Médico]]&amp;" ("&amp;Tabela_tudo[[#This Row],[Obs]]&amp;")"</f>
        <v>KOP ()</v>
      </c>
    </row>
    <row r="5366" spans="1:14" x14ac:dyDescent="0.3">
      <c r="A5366" s="1">
        <v>45243</v>
      </c>
      <c r="B5366" t="s">
        <v>25</v>
      </c>
      <c r="C5366" t="s">
        <v>464</v>
      </c>
      <c r="D5366" s="8"/>
      <c r="E5366" s="8"/>
      <c r="M5366" t="s">
        <v>478</v>
      </c>
      <c r="N5366" t="str">
        <f>Tabela_tudo[[#This Row],[Médico]]&amp;" ("&amp;Tabela_tudo[[#This Row],[Obs]]&amp;")"</f>
        <v>HEN ()</v>
      </c>
    </row>
    <row r="5367" spans="1:14" x14ac:dyDescent="0.3">
      <c r="A5367" s="1">
        <v>45246</v>
      </c>
      <c r="B5367" t="s">
        <v>71</v>
      </c>
      <c r="C5367" t="s">
        <v>13</v>
      </c>
      <c r="D5367" s="8"/>
      <c r="E5367" s="8"/>
      <c r="M5367" t="s">
        <v>478</v>
      </c>
      <c r="N5367" t="str">
        <f>Tabela_tudo[[#This Row],[Médico]]&amp;" ("&amp;Tabela_tudo[[#This Row],[Obs]]&amp;")"</f>
        <v>BRU ()</v>
      </c>
    </row>
    <row r="5368" spans="1:14" x14ac:dyDescent="0.3">
      <c r="A5368" s="1">
        <v>45207</v>
      </c>
      <c r="B5368" t="s">
        <v>17</v>
      </c>
      <c r="C5368" t="s">
        <v>464</v>
      </c>
      <c r="D5368" s="8"/>
      <c r="E5368" s="8"/>
      <c r="M5368" t="s">
        <v>478</v>
      </c>
      <c r="N5368" t="str">
        <f>Tabela_tudo[[#This Row],[Médico]]&amp;" ("&amp;Tabela_tudo[[#This Row],[Obs]]&amp;")"</f>
        <v>FAB ()</v>
      </c>
    </row>
    <row r="5369" spans="1:14" x14ac:dyDescent="0.3">
      <c r="A5369" s="1">
        <v>45246</v>
      </c>
      <c r="B5369" t="s">
        <v>23</v>
      </c>
      <c r="C5369" t="s">
        <v>22</v>
      </c>
      <c r="D5369" s="8"/>
      <c r="E5369" s="8"/>
      <c r="F5369" t="s">
        <v>678</v>
      </c>
      <c r="M5369" t="s">
        <v>478</v>
      </c>
      <c r="N5369" t="str">
        <f>Tabela_tudo[[#This Row],[Médico]]&amp;" ("&amp;Tabela_tudo[[#This Row],[Obs]]&amp;")"</f>
        <v>BG (MANHÃ)</v>
      </c>
    </row>
    <row r="5370" spans="1:14" x14ac:dyDescent="0.3">
      <c r="A5370" s="1">
        <v>45215</v>
      </c>
      <c r="B5370" t="s">
        <v>66</v>
      </c>
      <c r="C5370" t="s">
        <v>464</v>
      </c>
      <c r="D5370" s="8"/>
      <c r="E5370" s="8"/>
      <c r="M5370" t="s">
        <v>478</v>
      </c>
      <c r="N5370" t="str">
        <f>Tabela_tudo[[#This Row],[Médico]]&amp;" ("&amp;Tabela_tudo[[#This Row],[Obs]]&amp;")"</f>
        <v>MOZ ()</v>
      </c>
    </row>
    <row r="5371" spans="1:14" x14ac:dyDescent="0.3">
      <c r="A5371" s="1">
        <v>45246</v>
      </c>
      <c r="B5371" t="s">
        <v>52</v>
      </c>
      <c r="C5371" t="s">
        <v>8</v>
      </c>
      <c r="D5371" s="8"/>
      <c r="E5371" s="8"/>
      <c r="M5371" t="s">
        <v>478</v>
      </c>
      <c r="N5371" t="str">
        <f>Tabela_tudo[[#This Row],[Médico]]&amp;" ("&amp;Tabela_tudo[[#This Row],[Obs]]&amp;")"</f>
        <v>AEL ()</v>
      </c>
    </row>
    <row r="5372" spans="1:14" x14ac:dyDescent="0.3">
      <c r="A5372" s="1">
        <v>45205</v>
      </c>
      <c r="B5372" t="s">
        <v>17</v>
      </c>
      <c r="C5372" t="s">
        <v>464</v>
      </c>
      <c r="D5372" s="8"/>
      <c r="E5372" s="8"/>
      <c r="M5372" t="s">
        <v>478</v>
      </c>
      <c r="N5372" t="str">
        <f>Tabela_tudo[[#This Row],[Médico]]&amp;" ("&amp;Tabela_tudo[[#This Row],[Obs]]&amp;")"</f>
        <v>FAB ()</v>
      </c>
    </row>
    <row r="5373" spans="1:14" x14ac:dyDescent="0.3">
      <c r="A5373" s="1">
        <v>45247</v>
      </c>
      <c r="B5373" t="s">
        <v>142</v>
      </c>
      <c r="C5373" t="s">
        <v>13</v>
      </c>
      <c r="D5373" s="8"/>
      <c r="E5373" s="8"/>
      <c r="M5373" t="s">
        <v>478</v>
      </c>
      <c r="N5373" t="str">
        <f>Tabela_tudo[[#This Row],[Médico]]&amp;" ("&amp;Tabela_tudo[[#This Row],[Obs]]&amp;")"</f>
        <v>VIV ()</v>
      </c>
    </row>
    <row r="5374" spans="1:14" x14ac:dyDescent="0.3">
      <c r="A5374" s="1">
        <v>45206</v>
      </c>
      <c r="B5374" t="s">
        <v>17</v>
      </c>
      <c r="C5374" t="s">
        <v>464</v>
      </c>
      <c r="D5374" s="8"/>
      <c r="E5374" s="8"/>
      <c r="M5374" t="s">
        <v>478</v>
      </c>
      <c r="N5374" t="str">
        <f>Tabela_tudo[[#This Row],[Médico]]&amp;" ("&amp;Tabela_tudo[[#This Row],[Obs]]&amp;")"</f>
        <v>FAB ()</v>
      </c>
    </row>
    <row r="5375" spans="1:14" x14ac:dyDescent="0.3">
      <c r="A5375" s="1">
        <v>45226</v>
      </c>
      <c r="B5375" t="s">
        <v>12</v>
      </c>
      <c r="C5375" t="s">
        <v>22</v>
      </c>
      <c r="D5375" s="8"/>
      <c r="E5375" s="8"/>
      <c r="F5375" t="s">
        <v>678</v>
      </c>
      <c r="M5375" t="s">
        <v>478</v>
      </c>
      <c r="N5375" t="str">
        <f>Tabela_tudo[[#This Row],[Médico]]&amp;" ("&amp;Tabela_tudo[[#This Row],[Obs]]&amp;")"</f>
        <v>EDU (MANHÃ)</v>
      </c>
    </row>
    <row r="5376" spans="1:14" x14ac:dyDescent="0.3">
      <c r="A5376" s="1">
        <v>45218</v>
      </c>
      <c r="B5376" t="s">
        <v>66</v>
      </c>
      <c r="C5376" t="s">
        <v>464</v>
      </c>
      <c r="D5376" s="8"/>
      <c r="E5376" s="8"/>
      <c r="M5376" t="s">
        <v>478</v>
      </c>
      <c r="N5376" t="str">
        <f>Tabela_tudo[[#This Row],[Médico]]&amp;" ("&amp;Tabela_tudo[[#This Row],[Obs]]&amp;")"</f>
        <v>MOZ ()</v>
      </c>
    </row>
    <row r="5377" spans="1:14" x14ac:dyDescent="0.3">
      <c r="A5377" s="1">
        <v>45247</v>
      </c>
      <c r="B5377" t="s">
        <v>33</v>
      </c>
      <c r="C5377" t="s">
        <v>8</v>
      </c>
      <c r="D5377" s="8"/>
      <c r="E5377" s="8"/>
      <c r="M5377" t="s">
        <v>478</v>
      </c>
      <c r="N5377" t="str">
        <f>Tabela_tudo[[#This Row],[Médico]]&amp;" ("&amp;Tabela_tudo[[#This Row],[Obs]]&amp;")"</f>
        <v>DIF ()</v>
      </c>
    </row>
    <row r="5378" spans="1:14" x14ac:dyDescent="0.3">
      <c r="A5378" s="1">
        <v>45219</v>
      </c>
      <c r="B5378" t="s">
        <v>66</v>
      </c>
      <c r="C5378" t="s">
        <v>464</v>
      </c>
      <c r="D5378" s="8"/>
      <c r="E5378" s="8"/>
      <c r="M5378" t="s">
        <v>478</v>
      </c>
      <c r="N5378" t="str">
        <f>Tabela_tudo[[#This Row],[Médico]]&amp;" ("&amp;Tabela_tudo[[#This Row],[Obs]]&amp;")"</f>
        <v>MOZ ()</v>
      </c>
    </row>
    <row r="5379" spans="1:14" x14ac:dyDescent="0.3">
      <c r="A5379" s="1">
        <v>45247</v>
      </c>
      <c r="B5379" t="s">
        <v>48</v>
      </c>
      <c r="C5379" t="s">
        <v>15</v>
      </c>
      <c r="D5379" s="8"/>
      <c r="E5379" s="8"/>
      <c r="M5379" t="s">
        <v>478</v>
      </c>
      <c r="N5379" t="str">
        <f>Tabela_tudo[[#This Row],[Médico]]&amp;" ("&amp;Tabela_tudo[[#This Row],[Obs]]&amp;")"</f>
        <v>MAF ()</v>
      </c>
    </row>
    <row r="5380" spans="1:14" x14ac:dyDescent="0.3">
      <c r="A5380" s="1">
        <v>45216</v>
      </c>
      <c r="B5380" t="s">
        <v>66</v>
      </c>
      <c r="C5380" t="s">
        <v>464</v>
      </c>
      <c r="D5380" s="8"/>
      <c r="E5380" s="8"/>
      <c r="M5380" t="s">
        <v>478</v>
      </c>
      <c r="N5380" t="str">
        <f>Tabela_tudo[[#This Row],[Médico]]&amp;" ("&amp;Tabela_tudo[[#This Row],[Obs]]&amp;")"</f>
        <v>MOZ ()</v>
      </c>
    </row>
    <row r="5381" spans="1:14" x14ac:dyDescent="0.3">
      <c r="A5381" s="1">
        <v>45226</v>
      </c>
      <c r="B5381" t="s">
        <v>85</v>
      </c>
      <c r="C5381" t="s">
        <v>13</v>
      </c>
      <c r="D5381" s="8"/>
      <c r="E5381" s="8"/>
      <c r="M5381" t="s">
        <v>478</v>
      </c>
      <c r="N5381" t="str">
        <f>Tabela_tudo[[#This Row],[Médico]]&amp;" ("&amp;Tabela_tudo[[#This Row],[Obs]]&amp;")"</f>
        <v>ELF ()</v>
      </c>
    </row>
    <row r="5382" spans="1:14" x14ac:dyDescent="0.3">
      <c r="A5382" s="1">
        <v>45217</v>
      </c>
      <c r="B5382" t="s">
        <v>66</v>
      </c>
      <c r="C5382" t="s">
        <v>464</v>
      </c>
      <c r="D5382" s="8"/>
      <c r="E5382" s="8"/>
      <c r="M5382" t="s">
        <v>478</v>
      </c>
      <c r="N5382" t="str">
        <f>Tabela_tudo[[#This Row],[Médico]]&amp;" ("&amp;Tabela_tudo[[#This Row],[Obs]]&amp;")"</f>
        <v>MOZ ()</v>
      </c>
    </row>
    <row r="5383" spans="1:14" x14ac:dyDescent="0.3">
      <c r="A5383" s="1">
        <v>45260</v>
      </c>
      <c r="B5383" t="s">
        <v>37</v>
      </c>
      <c r="C5383" t="s">
        <v>8</v>
      </c>
      <c r="D5383" s="8"/>
      <c r="E5383" s="8"/>
      <c r="M5383" t="s">
        <v>478</v>
      </c>
      <c r="N5383" t="str">
        <f>Tabela_tudo[[#This Row],[Médico]]&amp;" ("&amp;Tabela_tudo[[#This Row],[Obs]]&amp;")"</f>
        <v>EBB ()</v>
      </c>
    </row>
    <row r="5384" spans="1:14" x14ac:dyDescent="0.3">
      <c r="A5384" s="1">
        <v>45119</v>
      </c>
      <c r="B5384" t="s">
        <v>73</v>
      </c>
      <c r="C5384" t="s">
        <v>464</v>
      </c>
      <c r="D5384" s="8"/>
      <c r="E5384" s="8"/>
      <c r="M5384" t="s">
        <v>478</v>
      </c>
      <c r="N5384" t="str">
        <f>Tabela_tudo[[#This Row],[Médico]]&amp;" ("&amp;Tabela_tudo[[#This Row],[Obs]]&amp;")"</f>
        <v>RT ()</v>
      </c>
    </row>
    <row r="5385" spans="1:14" x14ac:dyDescent="0.3">
      <c r="A5385" s="1">
        <v>45260</v>
      </c>
      <c r="B5385" t="s">
        <v>84</v>
      </c>
      <c r="C5385" t="s">
        <v>15</v>
      </c>
      <c r="D5385" s="8"/>
      <c r="E5385" s="8"/>
      <c r="M5385" t="s">
        <v>478</v>
      </c>
      <c r="N5385" t="str">
        <f>Tabela_tudo[[#This Row],[Médico]]&amp;" ("&amp;Tabela_tudo[[#This Row],[Obs]]&amp;")"</f>
        <v>ANO ()</v>
      </c>
    </row>
    <row r="5386" spans="1:14" x14ac:dyDescent="0.3">
      <c r="A5386" s="1">
        <v>45267</v>
      </c>
      <c r="B5386" t="s">
        <v>72</v>
      </c>
      <c r="C5386" t="s">
        <v>464</v>
      </c>
      <c r="D5386" s="8"/>
      <c r="E5386" s="8"/>
      <c r="M5386" t="s">
        <v>478</v>
      </c>
      <c r="N5386" t="str">
        <f>Tabela_tudo[[#This Row],[Médico]]&amp;" ("&amp;Tabela_tudo[[#This Row],[Obs]]&amp;")"</f>
        <v>GRA ()</v>
      </c>
    </row>
    <row r="5387" spans="1:14" x14ac:dyDescent="0.3">
      <c r="A5387" s="1">
        <v>45225</v>
      </c>
      <c r="B5387" t="s">
        <v>29</v>
      </c>
      <c r="C5387" t="s">
        <v>15</v>
      </c>
      <c r="D5387" s="8"/>
      <c r="E5387" s="8"/>
      <c r="M5387" t="s">
        <v>478</v>
      </c>
      <c r="N5387" t="str">
        <f>Tabela_tudo[[#This Row],[Médico]]&amp;" ("&amp;Tabela_tudo[[#This Row],[Obs]]&amp;")"</f>
        <v>JOA ()</v>
      </c>
    </row>
    <row r="5388" spans="1:14" x14ac:dyDescent="0.3">
      <c r="A5388" s="1">
        <v>45268</v>
      </c>
      <c r="B5388" t="s">
        <v>72</v>
      </c>
      <c r="C5388" t="s">
        <v>464</v>
      </c>
      <c r="D5388" s="8"/>
      <c r="E5388" s="8"/>
      <c r="M5388" t="s">
        <v>478</v>
      </c>
      <c r="N5388" t="str">
        <f>Tabela_tudo[[#This Row],[Médico]]&amp;" ("&amp;Tabela_tudo[[#This Row],[Obs]]&amp;")"</f>
        <v>GRA ()</v>
      </c>
    </row>
    <row r="5389" spans="1:14" x14ac:dyDescent="0.3">
      <c r="A5389" s="1">
        <v>45225</v>
      </c>
      <c r="B5389" t="s">
        <v>66</v>
      </c>
      <c r="C5389" t="s">
        <v>13</v>
      </c>
      <c r="D5389" s="8"/>
      <c r="E5389" s="8"/>
      <c r="M5389" t="s">
        <v>478</v>
      </c>
      <c r="N5389" t="str">
        <f>Tabela_tudo[[#This Row],[Médico]]&amp;" ("&amp;Tabela_tudo[[#This Row],[Obs]]&amp;")"</f>
        <v>MOZ ()</v>
      </c>
    </row>
    <row r="5390" spans="1:14" x14ac:dyDescent="0.3">
      <c r="A5390" s="1">
        <v>45265</v>
      </c>
      <c r="B5390" t="s">
        <v>72</v>
      </c>
      <c r="C5390" t="s">
        <v>464</v>
      </c>
      <c r="D5390" s="8"/>
      <c r="E5390" s="8"/>
      <c r="M5390" t="s">
        <v>478</v>
      </c>
      <c r="N5390" t="str">
        <f>Tabela_tudo[[#This Row],[Médico]]&amp;" ("&amp;Tabela_tudo[[#This Row],[Obs]]&amp;")"</f>
        <v>GRA ()</v>
      </c>
    </row>
    <row r="5391" spans="1:14" x14ac:dyDescent="0.3">
      <c r="A5391" s="1">
        <v>45259</v>
      </c>
      <c r="B5391" t="s">
        <v>64</v>
      </c>
      <c r="C5391" t="s">
        <v>15</v>
      </c>
      <c r="D5391" s="8"/>
      <c r="E5391" s="8"/>
      <c r="M5391" t="s">
        <v>478</v>
      </c>
      <c r="N5391" t="str">
        <f>Tabela_tudo[[#This Row],[Médico]]&amp;" ("&amp;Tabela_tudo[[#This Row],[Obs]]&amp;")"</f>
        <v>SAR ()</v>
      </c>
    </row>
    <row r="5392" spans="1:14" x14ac:dyDescent="0.3">
      <c r="A5392" s="1">
        <v>45266</v>
      </c>
      <c r="B5392" t="s">
        <v>72</v>
      </c>
      <c r="C5392" t="s">
        <v>464</v>
      </c>
      <c r="D5392" s="8"/>
      <c r="E5392" s="8"/>
      <c r="M5392" t="s">
        <v>478</v>
      </c>
      <c r="N5392" t="str">
        <f>Tabela_tudo[[#This Row],[Médico]]&amp;" ("&amp;Tabela_tudo[[#This Row],[Obs]]&amp;")"</f>
        <v>GRA ()</v>
      </c>
    </row>
    <row r="5393" spans="1:14" x14ac:dyDescent="0.3">
      <c r="A5393" s="1">
        <v>45259</v>
      </c>
      <c r="B5393" t="s">
        <v>44</v>
      </c>
      <c r="C5393" t="s">
        <v>13</v>
      </c>
      <c r="D5393" s="8"/>
      <c r="E5393" s="8"/>
      <c r="M5393" t="s">
        <v>478</v>
      </c>
      <c r="N5393" t="str">
        <f>Tabela_tudo[[#This Row],[Médico]]&amp;" ("&amp;Tabela_tudo[[#This Row],[Obs]]&amp;")"</f>
        <v>REI ()</v>
      </c>
    </row>
    <row r="5394" spans="1:14" x14ac:dyDescent="0.3">
      <c r="A5394" s="1">
        <v>45117</v>
      </c>
      <c r="B5394" t="s">
        <v>20</v>
      </c>
      <c r="C5394" t="s">
        <v>464</v>
      </c>
      <c r="D5394" s="8"/>
      <c r="E5394" s="8"/>
      <c r="M5394" t="s">
        <v>478</v>
      </c>
      <c r="N5394" t="str">
        <f>Tabela_tudo[[#This Row],[Médico]]&amp;" ("&amp;Tabela_tudo[[#This Row],[Obs]]&amp;")"</f>
        <v>ROB ()</v>
      </c>
    </row>
    <row r="5395" spans="1:14" x14ac:dyDescent="0.3">
      <c r="A5395" s="1">
        <v>45260</v>
      </c>
      <c r="B5395" t="s">
        <v>33</v>
      </c>
      <c r="C5395" t="s">
        <v>13</v>
      </c>
      <c r="D5395" s="8"/>
      <c r="E5395" s="8"/>
      <c r="M5395" t="s">
        <v>478</v>
      </c>
      <c r="N5395" t="str">
        <f>Tabela_tudo[[#This Row],[Médico]]&amp;" ("&amp;Tabela_tudo[[#This Row],[Obs]]&amp;")"</f>
        <v>DIF ()</v>
      </c>
    </row>
    <row r="5396" spans="1:14" x14ac:dyDescent="0.3">
      <c r="A5396" s="1">
        <v>45118</v>
      </c>
      <c r="B5396" t="s">
        <v>20</v>
      </c>
      <c r="C5396" t="s">
        <v>464</v>
      </c>
      <c r="D5396" s="8"/>
      <c r="E5396" s="8"/>
      <c r="M5396" t="s">
        <v>478</v>
      </c>
      <c r="N5396" t="str">
        <f>Tabela_tudo[[#This Row],[Médico]]&amp;" ("&amp;Tabela_tudo[[#This Row],[Obs]]&amp;")"</f>
        <v>ROB ()</v>
      </c>
    </row>
    <row r="5397" spans="1:14" x14ac:dyDescent="0.3">
      <c r="A5397" s="1">
        <v>45259</v>
      </c>
      <c r="B5397" t="s">
        <v>94</v>
      </c>
      <c r="C5397" t="s">
        <v>8</v>
      </c>
      <c r="D5397" s="8"/>
      <c r="E5397" s="8"/>
      <c r="M5397" t="s">
        <v>478</v>
      </c>
      <c r="N5397" t="str">
        <f>Tabela_tudo[[#This Row],[Médico]]&amp;" ("&amp;Tabela_tudo[[#This Row],[Obs]]&amp;")"</f>
        <v>TOT ()</v>
      </c>
    </row>
    <row r="5398" spans="1:14" x14ac:dyDescent="0.3">
      <c r="A5398" s="1">
        <v>45269</v>
      </c>
      <c r="B5398" t="s">
        <v>72</v>
      </c>
      <c r="C5398" t="s">
        <v>464</v>
      </c>
      <c r="D5398" s="8"/>
      <c r="E5398" s="8"/>
      <c r="M5398" t="s">
        <v>478</v>
      </c>
      <c r="N5398" t="str">
        <f>Tabela_tudo[[#This Row],[Médico]]&amp;" ("&amp;Tabela_tudo[[#This Row],[Obs]]&amp;")"</f>
        <v>GRA ()</v>
      </c>
    </row>
    <row r="5399" spans="1:14" x14ac:dyDescent="0.3">
      <c r="A5399" s="1">
        <v>45225</v>
      </c>
      <c r="B5399" t="s">
        <v>71</v>
      </c>
      <c r="C5399" t="s">
        <v>49</v>
      </c>
      <c r="D5399" s="8"/>
      <c r="E5399" s="8"/>
      <c r="M5399" t="s">
        <v>478</v>
      </c>
      <c r="N5399" t="str">
        <f>Tabela_tudo[[#This Row],[Médico]]&amp;" ("&amp;Tabela_tudo[[#This Row],[Obs]]&amp;")"</f>
        <v>BRU ()</v>
      </c>
    </row>
    <row r="5400" spans="1:14" x14ac:dyDescent="0.3">
      <c r="A5400" s="1">
        <v>45270</v>
      </c>
      <c r="B5400" t="s">
        <v>72</v>
      </c>
      <c r="C5400" t="s">
        <v>464</v>
      </c>
      <c r="D5400" s="8"/>
      <c r="E5400" s="8"/>
      <c r="M5400" t="s">
        <v>478</v>
      </c>
      <c r="N5400" t="str">
        <f>Tabela_tudo[[#This Row],[Médico]]&amp;" ("&amp;Tabela_tudo[[#This Row],[Obs]]&amp;")"</f>
        <v>GRA ()</v>
      </c>
    </row>
    <row r="5401" spans="1:14" x14ac:dyDescent="0.3">
      <c r="A5401" s="1">
        <v>45225</v>
      </c>
      <c r="B5401" t="s">
        <v>94</v>
      </c>
      <c r="C5401" t="s">
        <v>18</v>
      </c>
      <c r="D5401" s="8"/>
      <c r="E5401" s="8"/>
      <c r="M5401" t="s">
        <v>478</v>
      </c>
      <c r="N5401" t="str">
        <f>Tabela_tudo[[#This Row],[Médico]]&amp;" ("&amp;Tabela_tudo[[#This Row],[Obs]]&amp;")"</f>
        <v>TOT ()</v>
      </c>
    </row>
    <row r="5402" spans="1:14" x14ac:dyDescent="0.3">
      <c r="A5402" s="1">
        <v>45259</v>
      </c>
      <c r="B5402" t="s">
        <v>72</v>
      </c>
      <c r="C5402" t="s">
        <v>464</v>
      </c>
      <c r="D5402" s="8"/>
      <c r="E5402" s="8"/>
      <c r="M5402" t="s">
        <v>478</v>
      </c>
      <c r="N5402" t="str">
        <f>Tabela_tudo[[#This Row],[Médico]]&amp;" ("&amp;Tabela_tudo[[#This Row],[Obs]]&amp;")"</f>
        <v>GRA ()</v>
      </c>
    </row>
    <row r="5403" spans="1:14" x14ac:dyDescent="0.3">
      <c r="A5403" s="1">
        <v>45225</v>
      </c>
      <c r="B5403" t="s">
        <v>20</v>
      </c>
      <c r="C5403" t="s">
        <v>30</v>
      </c>
      <c r="D5403" s="8"/>
      <c r="E5403" s="8"/>
      <c r="M5403" t="s">
        <v>478</v>
      </c>
      <c r="N5403" t="str">
        <f>Tabela_tudo[[#This Row],[Médico]]&amp;" ("&amp;Tabela_tudo[[#This Row],[Obs]]&amp;")"</f>
        <v>ROB ()</v>
      </c>
    </row>
    <row r="5404" spans="1:14" x14ac:dyDescent="0.3">
      <c r="A5404" s="1">
        <v>45260</v>
      </c>
      <c r="B5404" t="s">
        <v>72</v>
      </c>
      <c r="C5404" t="s">
        <v>464</v>
      </c>
      <c r="D5404" s="8"/>
      <c r="E5404" s="8"/>
      <c r="M5404" t="s">
        <v>478</v>
      </c>
      <c r="N5404" t="str">
        <f>Tabela_tudo[[#This Row],[Médico]]&amp;" ("&amp;Tabela_tudo[[#This Row],[Obs]]&amp;")"</f>
        <v>GRA ()</v>
      </c>
    </row>
    <row r="5405" spans="1:14" x14ac:dyDescent="0.3">
      <c r="A5405" s="1">
        <v>45225</v>
      </c>
      <c r="B5405" t="s">
        <v>34</v>
      </c>
      <c r="C5405" t="s">
        <v>51</v>
      </c>
      <c r="D5405" s="8"/>
      <c r="E5405" s="8"/>
      <c r="M5405" t="s">
        <v>478</v>
      </c>
      <c r="N5405" t="str">
        <f>Tabela_tudo[[#This Row],[Médico]]&amp;" ("&amp;Tabela_tudo[[#This Row],[Obs]]&amp;")"</f>
        <v>LIP ()</v>
      </c>
    </row>
    <row r="5406" spans="1:14" x14ac:dyDescent="0.3">
      <c r="A5406" s="1">
        <v>45257</v>
      </c>
      <c r="B5406" t="s">
        <v>72</v>
      </c>
      <c r="C5406" t="s">
        <v>464</v>
      </c>
      <c r="D5406" s="8"/>
      <c r="E5406" s="8"/>
      <c r="M5406" t="s">
        <v>478</v>
      </c>
      <c r="N5406" t="str">
        <f>Tabela_tudo[[#This Row],[Médico]]&amp;" ("&amp;Tabela_tudo[[#This Row],[Obs]]&amp;")"</f>
        <v>GRA ()</v>
      </c>
    </row>
    <row r="5407" spans="1:14" x14ac:dyDescent="0.3">
      <c r="A5407" s="1">
        <v>45225</v>
      </c>
      <c r="B5407" t="s">
        <v>33</v>
      </c>
      <c r="C5407" t="s">
        <v>43</v>
      </c>
      <c r="D5407" s="8"/>
      <c r="E5407" s="8"/>
      <c r="M5407" t="s">
        <v>478</v>
      </c>
      <c r="N5407" t="str">
        <f>Tabela_tudo[[#This Row],[Médico]]&amp;" ("&amp;Tabela_tudo[[#This Row],[Obs]]&amp;")"</f>
        <v>DIF ()</v>
      </c>
    </row>
    <row r="5408" spans="1:14" x14ac:dyDescent="0.3">
      <c r="A5408" s="1">
        <v>45258</v>
      </c>
      <c r="B5408" t="s">
        <v>72</v>
      </c>
      <c r="C5408" t="s">
        <v>464</v>
      </c>
      <c r="D5408" s="8"/>
      <c r="E5408" s="8"/>
      <c r="M5408" t="s">
        <v>478</v>
      </c>
      <c r="N5408" t="str">
        <f>Tabela_tudo[[#This Row],[Médico]]&amp;" ("&amp;Tabela_tudo[[#This Row],[Obs]]&amp;")"</f>
        <v>GRA ()</v>
      </c>
    </row>
    <row r="5409" spans="1:14" x14ac:dyDescent="0.3">
      <c r="A5409" s="1">
        <v>45225</v>
      </c>
      <c r="B5409" t="s">
        <v>84</v>
      </c>
      <c r="C5409" t="s">
        <v>8</v>
      </c>
      <c r="D5409" s="8"/>
      <c r="E5409" s="8"/>
      <c r="M5409" t="s">
        <v>478</v>
      </c>
      <c r="N5409" t="str">
        <f>Tabela_tudo[[#This Row],[Médico]]&amp;" ("&amp;Tabela_tudo[[#This Row],[Obs]]&amp;")"</f>
        <v>ANO ()</v>
      </c>
    </row>
    <row r="5410" spans="1:14" x14ac:dyDescent="0.3">
      <c r="A5410" s="1">
        <v>45263</v>
      </c>
      <c r="B5410" t="s">
        <v>72</v>
      </c>
      <c r="C5410" t="s">
        <v>464</v>
      </c>
      <c r="D5410" s="8"/>
      <c r="E5410" s="8"/>
      <c r="M5410" t="s">
        <v>478</v>
      </c>
      <c r="N5410" t="str">
        <f>Tabela_tudo[[#This Row],[Médico]]&amp;" ("&amp;Tabela_tudo[[#This Row],[Obs]]&amp;")"</f>
        <v>GRA ()</v>
      </c>
    </row>
    <row r="5411" spans="1:14" x14ac:dyDescent="0.3">
      <c r="A5411" s="1">
        <v>45225</v>
      </c>
      <c r="B5411" t="s">
        <v>14</v>
      </c>
      <c r="C5411" t="s">
        <v>46</v>
      </c>
      <c r="D5411" s="8"/>
      <c r="E5411" s="8"/>
      <c r="M5411" t="s">
        <v>478</v>
      </c>
      <c r="N5411" t="str">
        <f>Tabela_tudo[[#This Row],[Médico]]&amp;" ("&amp;Tabela_tudo[[#This Row],[Obs]]&amp;")"</f>
        <v>PW ()</v>
      </c>
    </row>
    <row r="5412" spans="1:14" x14ac:dyDescent="0.3">
      <c r="A5412" s="1">
        <v>45264</v>
      </c>
      <c r="B5412" t="s">
        <v>72</v>
      </c>
      <c r="C5412" t="s">
        <v>464</v>
      </c>
      <c r="D5412" s="8"/>
      <c r="E5412" s="8"/>
      <c r="M5412" t="s">
        <v>478</v>
      </c>
      <c r="N5412" t="str">
        <f>Tabela_tudo[[#This Row],[Médico]]&amp;" ("&amp;Tabela_tudo[[#This Row],[Obs]]&amp;")"</f>
        <v>GRA ()</v>
      </c>
    </row>
    <row r="5413" spans="1:14" x14ac:dyDescent="0.3">
      <c r="A5413" s="1">
        <v>45225</v>
      </c>
      <c r="B5413" t="s">
        <v>52</v>
      </c>
      <c r="C5413" t="s">
        <v>45</v>
      </c>
      <c r="D5413" s="8"/>
      <c r="E5413" s="8"/>
      <c r="M5413" t="s">
        <v>478</v>
      </c>
      <c r="N5413" t="str">
        <f>Tabela_tudo[[#This Row],[Médico]]&amp;" ("&amp;Tabela_tudo[[#This Row],[Obs]]&amp;")"</f>
        <v>AEL ()</v>
      </c>
    </row>
    <row r="5414" spans="1:14" x14ac:dyDescent="0.3">
      <c r="A5414" s="1">
        <v>45261</v>
      </c>
      <c r="B5414" t="s">
        <v>72</v>
      </c>
      <c r="C5414" t="s">
        <v>464</v>
      </c>
      <c r="D5414" s="8"/>
      <c r="E5414" s="8"/>
      <c r="M5414" t="s">
        <v>478</v>
      </c>
      <c r="N5414" t="str">
        <f>Tabela_tudo[[#This Row],[Médico]]&amp;" ("&amp;Tabela_tudo[[#This Row],[Obs]]&amp;")"</f>
        <v>GRA ()</v>
      </c>
    </row>
    <row r="5415" spans="1:14" x14ac:dyDescent="0.3">
      <c r="A5415" s="1">
        <v>45245</v>
      </c>
      <c r="B5415" t="s">
        <v>37</v>
      </c>
      <c r="C5415" t="s">
        <v>8</v>
      </c>
      <c r="D5415" s="8"/>
      <c r="E5415" s="8"/>
      <c r="M5415" t="s">
        <v>478</v>
      </c>
      <c r="N5415" t="str">
        <f>Tabela_tudo[[#This Row],[Médico]]&amp;" ("&amp;Tabela_tudo[[#This Row],[Obs]]&amp;")"</f>
        <v>EBB ()</v>
      </c>
    </row>
    <row r="5416" spans="1:14" x14ac:dyDescent="0.3">
      <c r="A5416" s="1">
        <v>45262</v>
      </c>
      <c r="B5416" t="s">
        <v>72</v>
      </c>
      <c r="C5416" t="s">
        <v>464</v>
      </c>
      <c r="D5416" s="8"/>
      <c r="E5416" s="8"/>
      <c r="M5416" t="s">
        <v>478</v>
      </c>
      <c r="N5416" t="str">
        <f>Tabela_tudo[[#This Row],[Médico]]&amp;" ("&amp;Tabela_tudo[[#This Row],[Obs]]&amp;")"</f>
        <v>GRA ()</v>
      </c>
    </row>
    <row r="5417" spans="1:14" x14ac:dyDescent="0.3">
      <c r="A5417" s="1">
        <v>45233</v>
      </c>
      <c r="B5417" t="s">
        <v>68</v>
      </c>
      <c r="C5417" t="s">
        <v>30</v>
      </c>
      <c r="D5417" s="8"/>
      <c r="E5417" s="8"/>
      <c r="M5417" t="s">
        <v>478</v>
      </c>
      <c r="N5417" t="str">
        <f>Tabela_tudo[[#This Row],[Médico]]&amp;" ("&amp;Tabela_tudo[[#This Row],[Obs]]&amp;")"</f>
        <v>PED ()</v>
      </c>
    </row>
    <row r="5418" spans="1:14" x14ac:dyDescent="0.3">
      <c r="A5418" s="1">
        <v>45127</v>
      </c>
      <c r="B5418" t="s">
        <v>47</v>
      </c>
      <c r="C5418" t="s">
        <v>464</v>
      </c>
      <c r="D5418" s="8"/>
      <c r="E5418" s="8"/>
      <c r="M5418" t="s">
        <v>478</v>
      </c>
      <c r="N5418" t="str">
        <f>Tabela_tudo[[#This Row],[Médico]]&amp;" ("&amp;Tabela_tudo[[#This Row],[Obs]]&amp;")"</f>
        <v>VIN ()</v>
      </c>
    </row>
    <row r="5419" spans="1:14" x14ac:dyDescent="0.3">
      <c r="A5419" s="1">
        <v>45233</v>
      </c>
      <c r="B5419" t="s">
        <v>29</v>
      </c>
      <c r="C5419" t="s">
        <v>8</v>
      </c>
      <c r="D5419" s="8"/>
      <c r="E5419" s="8"/>
      <c r="M5419" t="s">
        <v>478</v>
      </c>
      <c r="N5419" t="str">
        <f>Tabela_tudo[[#This Row],[Médico]]&amp;" ("&amp;Tabela_tudo[[#This Row],[Obs]]&amp;")"</f>
        <v>JOA ()</v>
      </c>
    </row>
    <row r="5420" spans="1:14" x14ac:dyDescent="0.3">
      <c r="A5420" s="1">
        <v>45128</v>
      </c>
      <c r="B5420" t="s">
        <v>47</v>
      </c>
      <c r="C5420" t="s">
        <v>464</v>
      </c>
      <c r="D5420" s="8"/>
      <c r="E5420" s="8"/>
      <c r="M5420" t="s">
        <v>478</v>
      </c>
      <c r="N5420" t="str">
        <f>Tabela_tudo[[#This Row],[Médico]]&amp;" ("&amp;Tabela_tudo[[#This Row],[Obs]]&amp;")"</f>
        <v>VIN ()</v>
      </c>
    </row>
    <row r="5421" spans="1:14" x14ac:dyDescent="0.3">
      <c r="A5421" s="1">
        <v>45233</v>
      </c>
      <c r="B5421" t="s">
        <v>14</v>
      </c>
      <c r="C5421" t="s">
        <v>46</v>
      </c>
      <c r="D5421" s="8"/>
      <c r="E5421" s="8"/>
      <c r="M5421" t="s">
        <v>478</v>
      </c>
      <c r="N5421" t="str">
        <f>Tabela_tudo[[#This Row],[Médico]]&amp;" ("&amp;Tabela_tudo[[#This Row],[Obs]]&amp;")"</f>
        <v>PW ()</v>
      </c>
    </row>
    <row r="5422" spans="1:14" x14ac:dyDescent="0.3">
      <c r="A5422" s="1">
        <v>45125</v>
      </c>
      <c r="B5422" t="s">
        <v>47</v>
      </c>
      <c r="C5422" t="s">
        <v>464</v>
      </c>
      <c r="D5422" s="8"/>
      <c r="E5422" s="8"/>
      <c r="M5422" t="s">
        <v>478</v>
      </c>
      <c r="N5422" t="str">
        <f>Tabela_tudo[[#This Row],[Médico]]&amp;" ("&amp;Tabela_tudo[[#This Row],[Obs]]&amp;")"</f>
        <v>VIN ()</v>
      </c>
    </row>
    <row r="5423" spans="1:14" x14ac:dyDescent="0.3">
      <c r="A5423" s="1">
        <v>45233</v>
      </c>
      <c r="B5423" t="s">
        <v>44</v>
      </c>
      <c r="C5423" t="s">
        <v>45</v>
      </c>
      <c r="D5423" s="8"/>
      <c r="E5423" s="8"/>
      <c r="M5423" t="s">
        <v>478</v>
      </c>
      <c r="N5423" t="str">
        <f>Tabela_tudo[[#This Row],[Médico]]&amp;" ("&amp;Tabela_tudo[[#This Row],[Obs]]&amp;")"</f>
        <v>REI ()</v>
      </c>
    </row>
    <row r="5424" spans="1:14" x14ac:dyDescent="0.3">
      <c r="A5424" s="1">
        <v>45126</v>
      </c>
      <c r="B5424" t="s">
        <v>47</v>
      </c>
      <c r="C5424" t="s">
        <v>464</v>
      </c>
      <c r="D5424" s="8"/>
      <c r="E5424" s="8"/>
      <c r="M5424" t="s">
        <v>478</v>
      </c>
      <c r="N5424" t="str">
        <f>Tabela_tudo[[#This Row],[Médico]]&amp;" ("&amp;Tabela_tudo[[#This Row],[Obs]]&amp;")"</f>
        <v>VIN ()</v>
      </c>
    </row>
    <row r="5425" spans="1:14" x14ac:dyDescent="0.3">
      <c r="A5425" s="1">
        <v>45232</v>
      </c>
      <c r="B5425" t="s">
        <v>34</v>
      </c>
      <c r="C5425" t="s">
        <v>51</v>
      </c>
      <c r="D5425" s="8"/>
      <c r="E5425" s="8"/>
      <c r="M5425" t="s">
        <v>478</v>
      </c>
      <c r="N5425" t="str">
        <f>Tabela_tudo[[#This Row],[Médico]]&amp;" ("&amp;Tabela_tudo[[#This Row],[Obs]]&amp;")"</f>
        <v>LIP ()</v>
      </c>
    </row>
    <row r="5426" spans="1:14" x14ac:dyDescent="0.3">
      <c r="A5426" s="1">
        <v>45117</v>
      </c>
      <c r="B5426" t="s">
        <v>73</v>
      </c>
      <c r="C5426" t="s">
        <v>464</v>
      </c>
      <c r="D5426" s="8"/>
      <c r="E5426" s="8"/>
      <c r="M5426" t="s">
        <v>478</v>
      </c>
      <c r="N5426" t="str">
        <f>Tabela_tudo[[#This Row],[Médico]]&amp;" ("&amp;Tabela_tudo[[#This Row],[Obs]]&amp;")"</f>
        <v>RT ()</v>
      </c>
    </row>
    <row r="5427" spans="1:14" x14ac:dyDescent="0.3">
      <c r="A5427" s="1">
        <v>45232</v>
      </c>
      <c r="B5427" t="s">
        <v>48</v>
      </c>
      <c r="C5427" t="s">
        <v>49</v>
      </c>
      <c r="D5427" s="8"/>
      <c r="E5427" s="8"/>
      <c r="M5427" t="s">
        <v>478</v>
      </c>
      <c r="N5427" t="str">
        <f>Tabela_tudo[[#This Row],[Médico]]&amp;" ("&amp;Tabela_tudo[[#This Row],[Obs]]&amp;")"</f>
        <v>MAF ()</v>
      </c>
    </row>
    <row r="5428" spans="1:14" x14ac:dyDescent="0.3">
      <c r="A5428" s="1">
        <v>45118</v>
      </c>
      <c r="B5428" t="s">
        <v>73</v>
      </c>
      <c r="C5428" t="s">
        <v>464</v>
      </c>
      <c r="D5428" s="8"/>
      <c r="E5428" s="8"/>
      <c r="M5428" t="s">
        <v>478</v>
      </c>
      <c r="N5428" t="str">
        <f>Tabela_tudo[[#This Row],[Médico]]&amp;" ("&amp;Tabela_tudo[[#This Row],[Obs]]&amp;")"</f>
        <v>RT ()</v>
      </c>
    </row>
    <row r="5429" spans="1:14" x14ac:dyDescent="0.3">
      <c r="A5429" s="1">
        <v>45233</v>
      </c>
      <c r="B5429" t="s">
        <v>34</v>
      </c>
      <c r="C5429" t="s">
        <v>15</v>
      </c>
      <c r="D5429" s="8"/>
      <c r="E5429" s="8"/>
      <c r="M5429" t="s">
        <v>478</v>
      </c>
      <c r="N5429" t="str">
        <f>Tabela_tudo[[#This Row],[Médico]]&amp;" ("&amp;Tabela_tudo[[#This Row],[Obs]]&amp;")"</f>
        <v>LIP ()</v>
      </c>
    </row>
    <row r="5430" spans="1:14" x14ac:dyDescent="0.3">
      <c r="A5430" s="1">
        <v>45129</v>
      </c>
      <c r="B5430" t="s">
        <v>47</v>
      </c>
      <c r="C5430" t="s">
        <v>464</v>
      </c>
      <c r="D5430" s="8"/>
      <c r="E5430" s="8"/>
      <c r="M5430" t="s">
        <v>478</v>
      </c>
      <c r="N5430" t="str">
        <f>Tabela_tudo[[#This Row],[Médico]]&amp;" ("&amp;Tabela_tudo[[#This Row],[Obs]]&amp;")"</f>
        <v>VIN ()</v>
      </c>
    </row>
    <row r="5431" spans="1:14" x14ac:dyDescent="0.3">
      <c r="A5431" s="1">
        <v>45233</v>
      </c>
      <c r="B5431" t="s">
        <v>73</v>
      </c>
      <c r="C5431" t="s">
        <v>13</v>
      </c>
      <c r="D5431" s="8"/>
      <c r="E5431" s="8"/>
      <c r="M5431" t="s">
        <v>478</v>
      </c>
      <c r="N5431" t="str">
        <f>Tabela_tudo[[#This Row],[Médico]]&amp;" ("&amp;Tabela_tudo[[#This Row],[Obs]]&amp;")"</f>
        <v>RT ()</v>
      </c>
    </row>
    <row r="5432" spans="1:14" x14ac:dyDescent="0.3">
      <c r="A5432" s="1">
        <v>45130</v>
      </c>
      <c r="B5432" t="s">
        <v>47</v>
      </c>
      <c r="C5432" t="s">
        <v>464</v>
      </c>
      <c r="D5432" s="8"/>
      <c r="E5432" s="8"/>
      <c r="M5432" t="s">
        <v>478</v>
      </c>
      <c r="N5432" t="str">
        <f>Tabela_tudo[[#This Row],[Médico]]&amp;" ("&amp;Tabela_tudo[[#This Row],[Obs]]&amp;")"</f>
        <v>VIN ()</v>
      </c>
    </row>
    <row r="5433" spans="1:14" x14ac:dyDescent="0.3">
      <c r="A5433" s="1">
        <v>45234</v>
      </c>
      <c r="B5433" t="s">
        <v>32</v>
      </c>
      <c r="C5433" t="s">
        <v>78</v>
      </c>
      <c r="D5433" s="8"/>
      <c r="E5433" s="8"/>
      <c r="M5433" t="s">
        <v>478</v>
      </c>
      <c r="N5433" t="str">
        <f>Tabela_tudo[[#This Row],[Médico]]&amp;" ("&amp;Tabela_tudo[[#This Row],[Obs]]&amp;")"</f>
        <v>JS ()</v>
      </c>
    </row>
    <row r="5434" spans="1:14" x14ac:dyDescent="0.3">
      <c r="A5434" s="1">
        <v>45121</v>
      </c>
      <c r="B5434" t="s">
        <v>20</v>
      </c>
      <c r="C5434" t="s">
        <v>464</v>
      </c>
      <c r="D5434" s="8"/>
      <c r="E5434" s="8"/>
      <c r="M5434" t="s">
        <v>478</v>
      </c>
      <c r="N5434" t="str">
        <f>Tabela_tudo[[#This Row],[Médico]]&amp;" ("&amp;Tabela_tudo[[#This Row],[Obs]]&amp;")"</f>
        <v>ROB ()</v>
      </c>
    </row>
    <row r="5435" spans="1:14" x14ac:dyDescent="0.3">
      <c r="A5435" s="1">
        <v>45234</v>
      </c>
      <c r="B5435" t="s">
        <v>37</v>
      </c>
      <c r="C5435" t="s">
        <v>8</v>
      </c>
      <c r="D5435" s="8"/>
      <c r="E5435" s="8"/>
      <c r="M5435" t="s">
        <v>478</v>
      </c>
      <c r="N5435" t="str">
        <f>Tabela_tudo[[#This Row],[Médico]]&amp;" ("&amp;Tabela_tudo[[#This Row],[Obs]]&amp;")"</f>
        <v>EBB ()</v>
      </c>
    </row>
    <row r="5436" spans="1:14" x14ac:dyDescent="0.3">
      <c r="A5436" s="1">
        <v>45122</v>
      </c>
      <c r="B5436" t="s">
        <v>20</v>
      </c>
      <c r="C5436" t="s">
        <v>464</v>
      </c>
      <c r="D5436" s="8"/>
      <c r="E5436" s="8"/>
      <c r="M5436" t="s">
        <v>478</v>
      </c>
      <c r="N5436" t="str">
        <f>Tabela_tudo[[#This Row],[Médico]]&amp;" ("&amp;Tabela_tudo[[#This Row],[Obs]]&amp;")"</f>
        <v>ROB ()</v>
      </c>
    </row>
    <row r="5437" spans="1:14" x14ac:dyDescent="0.3">
      <c r="A5437" s="1">
        <v>45235</v>
      </c>
      <c r="B5437" t="s">
        <v>71</v>
      </c>
      <c r="C5437" t="s">
        <v>8</v>
      </c>
      <c r="D5437" s="8"/>
      <c r="E5437" s="8"/>
      <c r="M5437" t="s">
        <v>478</v>
      </c>
      <c r="N5437" t="str">
        <f>Tabela_tudo[[#This Row],[Médico]]&amp;" ("&amp;Tabela_tudo[[#This Row],[Obs]]&amp;")"</f>
        <v>BRU ()</v>
      </c>
    </row>
    <row r="5438" spans="1:14" x14ac:dyDescent="0.3">
      <c r="A5438" s="1">
        <v>45119</v>
      </c>
      <c r="B5438" t="s">
        <v>20</v>
      </c>
      <c r="C5438" t="s">
        <v>464</v>
      </c>
      <c r="D5438" s="8"/>
      <c r="E5438" s="8"/>
      <c r="M5438" t="s">
        <v>478</v>
      </c>
      <c r="N5438" t="str">
        <f>Tabela_tudo[[#This Row],[Médico]]&amp;" ("&amp;Tabela_tudo[[#This Row],[Obs]]&amp;")"</f>
        <v>ROB ()</v>
      </c>
    </row>
    <row r="5439" spans="1:14" x14ac:dyDescent="0.3">
      <c r="A5439" s="1">
        <v>45235</v>
      </c>
      <c r="B5439" t="s">
        <v>32</v>
      </c>
      <c r="C5439" t="s">
        <v>13</v>
      </c>
      <c r="D5439" s="8"/>
      <c r="E5439" s="8"/>
      <c r="M5439" t="s">
        <v>478</v>
      </c>
      <c r="N5439" t="str">
        <f>Tabela_tudo[[#This Row],[Médico]]&amp;" ("&amp;Tabela_tudo[[#This Row],[Obs]]&amp;")"</f>
        <v>JS ()</v>
      </c>
    </row>
    <row r="5440" spans="1:14" x14ac:dyDescent="0.3">
      <c r="A5440" s="1">
        <v>45120</v>
      </c>
      <c r="B5440" t="s">
        <v>20</v>
      </c>
      <c r="C5440" t="s">
        <v>464</v>
      </c>
      <c r="D5440" s="8"/>
      <c r="E5440" s="8"/>
      <c r="M5440" t="s">
        <v>478</v>
      </c>
      <c r="N5440" t="str">
        <f>Tabela_tudo[[#This Row],[Médico]]&amp;" ("&amp;Tabela_tudo[[#This Row],[Obs]]&amp;")"</f>
        <v>ROB ()</v>
      </c>
    </row>
    <row r="5441" spans="1:14" x14ac:dyDescent="0.3">
      <c r="A5441" s="1">
        <v>45233</v>
      </c>
      <c r="B5441" t="s">
        <v>48</v>
      </c>
      <c r="C5441" t="s">
        <v>49</v>
      </c>
      <c r="D5441" s="8"/>
      <c r="E5441" s="8"/>
      <c r="M5441" t="s">
        <v>478</v>
      </c>
      <c r="N5441" t="str">
        <f>Tabela_tudo[[#This Row],[Médico]]&amp;" ("&amp;Tabela_tudo[[#This Row],[Obs]]&amp;")"</f>
        <v>MAF ()</v>
      </c>
    </row>
    <row r="5442" spans="1:14" x14ac:dyDescent="0.3">
      <c r="A5442" s="1">
        <v>45199</v>
      </c>
      <c r="B5442" t="s">
        <v>47</v>
      </c>
      <c r="C5442" t="s">
        <v>465</v>
      </c>
      <c r="D5442" s="8"/>
      <c r="E5442" s="8"/>
      <c r="F5442" t="s">
        <v>476</v>
      </c>
      <c r="M5442" t="s">
        <v>478</v>
      </c>
      <c r="N5442" t="str">
        <f>Tabela_tudo[[#This Row],[Médico]]&amp;" ("&amp;Tabela_tudo[[#This Row],[Obs]]&amp;")"</f>
        <v>VIN (SBA - RJ)</v>
      </c>
    </row>
    <row r="5443" spans="1:14" x14ac:dyDescent="0.3">
      <c r="A5443" s="1">
        <v>45233</v>
      </c>
      <c r="B5443" t="s">
        <v>94</v>
      </c>
      <c r="C5443" t="s">
        <v>18</v>
      </c>
      <c r="D5443" s="8"/>
      <c r="E5443" s="8"/>
      <c r="M5443" t="s">
        <v>478</v>
      </c>
      <c r="N5443" t="str">
        <f>Tabela_tudo[[#This Row],[Médico]]&amp;" ("&amp;Tabela_tudo[[#This Row],[Obs]]&amp;")"</f>
        <v>TOT ()</v>
      </c>
    </row>
    <row r="5444" spans="1:14" x14ac:dyDescent="0.3">
      <c r="A5444" s="1">
        <v>45124</v>
      </c>
      <c r="B5444" t="s">
        <v>47</v>
      </c>
      <c r="C5444" t="s">
        <v>464</v>
      </c>
      <c r="D5444" s="8"/>
      <c r="E5444" s="8"/>
      <c r="M5444" t="s">
        <v>478</v>
      </c>
      <c r="N5444" t="str">
        <f>Tabela_tudo[[#This Row],[Médico]]&amp;" ("&amp;Tabela_tudo[[#This Row],[Obs]]&amp;")"</f>
        <v>VIN ()</v>
      </c>
    </row>
    <row r="5445" spans="1:14" x14ac:dyDescent="0.3">
      <c r="A5445" s="1">
        <v>45234</v>
      </c>
      <c r="B5445" t="s">
        <v>71</v>
      </c>
      <c r="C5445" t="s">
        <v>13</v>
      </c>
      <c r="D5445" s="8"/>
      <c r="E5445" s="8"/>
      <c r="M5445" t="s">
        <v>478</v>
      </c>
      <c r="N5445" t="str">
        <f>Tabela_tudo[[#This Row],[Médico]]&amp;" ("&amp;Tabela_tudo[[#This Row],[Obs]]&amp;")"</f>
        <v>BRU ()</v>
      </c>
    </row>
    <row r="5446" spans="1:14" x14ac:dyDescent="0.3">
      <c r="A5446" s="1">
        <v>45123</v>
      </c>
      <c r="B5446" t="s">
        <v>20</v>
      </c>
      <c r="C5446" t="s">
        <v>464</v>
      </c>
      <c r="D5446" s="8"/>
      <c r="E5446" s="8"/>
      <c r="M5446" t="s">
        <v>478</v>
      </c>
      <c r="N5446" t="str">
        <f>Tabela_tudo[[#This Row],[Médico]]&amp;" ("&amp;Tabela_tudo[[#This Row],[Obs]]&amp;")"</f>
        <v>ROB ()</v>
      </c>
    </row>
    <row r="5447" spans="1:14" x14ac:dyDescent="0.3">
      <c r="A5447" s="1">
        <v>45233</v>
      </c>
      <c r="B5447" t="s">
        <v>17</v>
      </c>
      <c r="C5447" t="s">
        <v>51</v>
      </c>
      <c r="D5447" s="8"/>
      <c r="E5447" s="8"/>
      <c r="M5447" t="s">
        <v>478</v>
      </c>
      <c r="N5447" t="str">
        <f>Tabela_tudo[[#This Row],[Médico]]&amp;" ("&amp;Tabela_tudo[[#This Row],[Obs]]&amp;")"</f>
        <v>FAB ()</v>
      </c>
    </row>
    <row r="5448" spans="1:14" x14ac:dyDescent="0.3">
      <c r="A5448" s="1">
        <v>45199</v>
      </c>
      <c r="B5448" t="s">
        <v>23</v>
      </c>
      <c r="C5448" t="s">
        <v>465</v>
      </c>
      <c r="D5448" s="8"/>
      <c r="E5448" s="8"/>
      <c r="F5448" t="s">
        <v>476</v>
      </c>
      <c r="M5448" t="s">
        <v>478</v>
      </c>
      <c r="N5448" t="str">
        <f>Tabela_tudo[[#This Row],[Médico]]&amp;" ("&amp;Tabela_tudo[[#This Row],[Obs]]&amp;")"</f>
        <v>BG (SBA - RJ)</v>
      </c>
    </row>
    <row r="5449" spans="1:14" x14ac:dyDescent="0.3">
      <c r="A5449" s="1">
        <v>45232</v>
      </c>
      <c r="B5449" t="s">
        <v>32</v>
      </c>
      <c r="C5449" t="s">
        <v>18</v>
      </c>
      <c r="D5449" s="8"/>
      <c r="E5449" s="8"/>
      <c r="M5449" t="s">
        <v>478</v>
      </c>
      <c r="N5449" t="str">
        <f>Tabela_tudo[[#This Row],[Médico]]&amp;" ("&amp;Tabela_tudo[[#This Row],[Obs]]&amp;")"</f>
        <v>JS ()</v>
      </c>
    </row>
    <row r="5450" spans="1:14" x14ac:dyDescent="0.3">
      <c r="A5450" s="1">
        <v>45102</v>
      </c>
      <c r="B5450" t="s">
        <v>68</v>
      </c>
      <c r="C5450" t="s">
        <v>464</v>
      </c>
      <c r="D5450" s="8"/>
      <c r="E5450" s="8"/>
      <c r="M5450" t="s">
        <v>478</v>
      </c>
      <c r="N5450" t="str">
        <f>Tabela_tudo[[#This Row],[Médico]]&amp;" ("&amp;Tabela_tudo[[#This Row],[Obs]]&amp;")"</f>
        <v>PED ()</v>
      </c>
    </row>
    <row r="5451" spans="1:14" x14ac:dyDescent="0.3">
      <c r="A5451" s="1">
        <v>45231</v>
      </c>
      <c r="B5451" t="s">
        <v>50</v>
      </c>
      <c r="C5451" t="s">
        <v>30</v>
      </c>
      <c r="D5451" s="8"/>
      <c r="E5451" s="8"/>
      <c r="M5451" t="s">
        <v>478</v>
      </c>
      <c r="N5451" t="str">
        <f>Tabela_tudo[[#This Row],[Médico]]&amp;" ("&amp;Tabela_tudo[[#This Row],[Obs]]&amp;")"</f>
        <v>PJP ()</v>
      </c>
    </row>
    <row r="5452" spans="1:14" x14ac:dyDescent="0.3">
      <c r="A5452" s="1">
        <v>44970</v>
      </c>
      <c r="B5452" t="s">
        <v>44</v>
      </c>
      <c r="C5452" t="s">
        <v>464</v>
      </c>
      <c r="D5452" s="8"/>
      <c r="E5452" s="8"/>
      <c r="M5452" t="s">
        <v>478</v>
      </c>
      <c r="N5452" t="str">
        <f>Tabela_tudo[[#This Row],[Médico]]&amp;" ("&amp;Tabela_tudo[[#This Row],[Obs]]&amp;")"</f>
        <v>REI ()</v>
      </c>
    </row>
    <row r="5453" spans="1:14" x14ac:dyDescent="0.3">
      <c r="A5453" s="1">
        <v>45231</v>
      </c>
      <c r="B5453" t="s">
        <v>94</v>
      </c>
      <c r="C5453" t="s">
        <v>8</v>
      </c>
      <c r="D5453" s="8"/>
      <c r="E5453" s="8"/>
      <c r="M5453" t="s">
        <v>478</v>
      </c>
      <c r="N5453" t="str">
        <f>Tabela_tudo[[#This Row],[Médico]]&amp;" ("&amp;Tabela_tudo[[#This Row],[Obs]]&amp;")"</f>
        <v>TOT ()</v>
      </c>
    </row>
    <row r="5454" spans="1:14" x14ac:dyDescent="0.3">
      <c r="A5454" s="1">
        <v>44971</v>
      </c>
      <c r="B5454" t="s">
        <v>44</v>
      </c>
      <c r="C5454" t="s">
        <v>464</v>
      </c>
      <c r="D5454" s="8"/>
      <c r="E5454" s="8"/>
      <c r="M5454" t="s">
        <v>478</v>
      </c>
      <c r="N5454" t="str">
        <f>Tabela_tudo[[#This Row],[Médico]]&amp;" ("&amp;Tabela_tudo[[#This Row],[Obs]]&amp;")"</f>
        <v>REI ()</v>
      </c>
    </row>
    <row r="5455" spans="1:14" x14ac:dyDescent="0.3">
      <c r="A5455" s="1">
        <v>45231</v>
      </c>
      <c r="B5455" t="s">
        <v>68</v>
      </c>
      <c r="C5455" t="s">
        <v>46</v>
      </c>
      <c r="D5455" s="8"/>
      <c r="E5455" s="8"/>
      <c r="M5455" t="s">
        <v>478</v>
      </c>
      <c r="N5455" t="str">
        <f>Tabela_tudo[[#This Row],[Médico]]&amp;" ("&amp;Tabela_tudo[[#This Row],[Obs]]&amp;")"</f>
        <v>PED ()</v>
      </c>
    </row>
    <row r="5456" spans="1:14" x14ac:dyDescent="0.3">
      <c r="A5456" s="1">
        <v>44973</v>
      </c>
      <c r="B5456" t="s">
        <v>25</v>
      </c>
      <c r="C5456" t="s">
        <v>464</v>
      </c>
      <c r="D5456" s="8"/>
      <c r="E5456" s="8"/>
      <c r="M5456" t="s">
        <v>478</v>
      </c>
      <c r="N5456" t="str">
        <f>Tabela_tudo[[#This Row],[Médico]]&amp;" ("&amp;Tabela_tudo[[#This Row],[Obs]]&amp;")"</f>
        <v>HEN ()</v>
      </c>
    </row>
    <row r="5457" spans="1:14" x14ac:dyDescent="0.3">
      <c r="A5457" s="1">
        <v>45231</v>
      </c>
      <c r="B5457" t="s">
        <v>66</v>
      </c>
      <c r="C5457" t="s">
        <v>45</v>
      </c>
      <c r="D5457" s="8"/>
      <c r="E5457" s="8"/>
      <c r="M5457" t="s">
        <v>478</v>
      </c>
      <c r="N5457" t="str">
        <f>Tabela_tudo[[#This Row],[Médico]]&amp;" ("&amp;Tabela_tudo[[#This Row],[Obs]]&amp;")"</f>
        <v>MOZ ()</v>
      </c>
    </row>
    <row r="5458" spans="1:14" x14ac:dyDescent="0.3">
      <c r="A5458" s="1">
        <v>44974</v>
      </c>
      <c r="B5458" t="s">
        <v>25</v>
      </c>
      <c r="C5458" t="s">
        <v>464</v>
      </c>
      <c r="D5458" s="8"/>
      <c r="E5458" s="8"/>
      <c r="M5458" t="s">
        <v>478</v>
      </c>
      <c r="N5458" t="str">
        <f>Tabela_tudo[[#This Row],[Médico]]&amp;" ("&amp;Tabela_tudo[[#This Row],[Obs]]&amp;")"</f>
        <v>HEN ()</v>
      </c>
    </row>
    <row r="5459" spans="1:14" x14ac:dyDescent="0.3">
      <c r="A5459" s="1">
        <v>45229</v>
      </c>
      <c r="B5459" t="s">
        <v>75</v>
      </c>
      <c r="C5459" t="s">
        <v>30</v>
      </c>
      <c r="D5459" s="8"/>
      <c r="E5459" s="8"/>
      <c r="M5459" t="s">
        <v>478</v>
      </c>
      <c r="N5459" t="str">
        <f>Tabela_tudo[[#This Row],[Médico]]&amp;" ("&amp;Tabela_tudo[[#This Row],[Obs]]&amp;")"</f>
        <v>KOP ()</v>
      </c>
    </row>
    <row r="5460" spans="1:14" x14ac:dyDescent="0.3">
      <c r="A5460" s="1">
        <v>44974</v>
      </c>
      <c r="B5460" t="s">
        <v>44</v>
      </c>
      <c r="C5460" t="s">
        <v>464</v>
      </c>
      <c r="D5460" s="8"/>
      <c r="E5460" s="8"/>
      <c r="M5460" t="s">
        <v>478</v>
      </c>
      <c r="N5460" t="str">
        <f>Tabela_tudo[[#This Row],[Médico]]&amp;" ("&amp;Tabela_tudo[[#This Row],[Obs]]&amp;")"</f>
        <v>REI ()</v>
      </c>
    </row>
    <row r="5461" spans="1:14" x14ac:dyDescent="0.3">
      <c r="A5461" s="1">
        <v>45229</v>
      </c>
      <c r="B5461" t="s">
        <v>50</v>
      </c>
      <c r="C5461" t="s">
        <v>51</v>
      </c>
      <c r="D5461" s="8"/>
      <c r="E5461" s="8"/>
      <c r="M5461" t="s">
        <v>478</v>
      </c>
      <c r="N5461" t="str">
        <f>Tabela_tudo[[#This Row],[Médico]]&amp;" ("&amp;Tabela_tudo[[#This Row],[Obs]]&amp;")"</f>
        <v>PJP ()</v>
      </c>
    </row>
    <row r="5462" spans="1:14" x14ac:dyDescent="0.3">
      <c r="A5462" s="1">
        <v>44975</v>
      </c>
      <c r="B5462" t="s">
        <v>44</v>
      </c>
      <c r="C5462" t="s">
        <v>464</v>
      </c>
      <c r="D5462" s="8"/>
      <c r="E5462" s="8"/>
      <c r="M5462" t="s">
        <v>478</v>
      </c>
      <c r="N5462" t="str">
        <f>Tabela_tudo[[#This Row],[Médico]]&amp;" ("&amp;Tabela_tudo[[#This Row],[Obs]]&amp;")"</f>
        <v>REI ()</v>
      </c>
    </row>
    <row r="5463" spans="1:14" x14ac:dyDescent="0.3">
      <c r="A5463" s="1">
        <v>45231</v>
      </c>
      <c r="B5463" t="s">
        <v>34</v>
      </c>
      <c r="C5463" t="s">
        <v>15</v>
      </c>
      <c r="D5463" s="8"/>
      <c r="E5463" s="8"/>
      <c r="M5463" t="s">
        <v>478</v>
      </c>
      <c r="N5463" t="str">
        <f>Tabela_tudo[[#This Row],[Médico]]&amp;" ("&amp;Tabela_tudo[[#This Row],[Obs]]&amp;")"</f>
        <v>LIP ()</v>
      </c>
    </row>
    <row r="5464" spans="1:14" x14ac:dyDescent="0.3">
      <c r="A5464" s="1">
        <v>44972</v>
      </c>
      <c r="B5464" t="s">
        <v>44</v>
      </c>
      <c r="C5464" t="s">
        <v>464</v>
      </c>
      <c r="D5464" s="8"/>
      <c r="E5464" s="8"/>
      <c r="M5464" t="s">
        <v>478</v>
      </c>
      <c r="N5464" t="str">
        <f>Tabela_tudo[[#This Row],[Médico]]&amp;" ("&amp;Tabela_tudo[[#This Row],[Obs]]&amp;")"</f>
        <v>REI ()</v>
      </c>
    </row>
    <row r="5465" spans="1:14" x14ac:dyDescent="0.3">
      <c r="A5465" s="1">
        <v>45231</v>
      </c>
      <c r="B5465" t="s">
        <v>64</v>
      </c>
      <c r="C5465" t="s">
        <v>13</v>
      </c>
      <c r="D5465" s="8"/>
      <c r="E5465" s="8"/>
      <c r="M5465" t="s">
        <v>478</v>
      </c>
      <c r="N5465" t="str">
        <f>Tabela_tudo[[#This Row],[Médico]]&amp;" ("&amp;Tabela_tudo[[#This Row],[Obs]]&amp;")"</f>
        <v>SAR ()</v>
      </c>
    </row>
    <row r="5466" spans="1:14" x14ac:dyDescent="0.3">
      <c r="A5466" s="1">
        <v>44973</v>
      </c>
      <c r="B5466" t="s">
        <v>44</v>
      </c>
      <c r="C5466" t="s">
        <v>464</v>
      </c>
      <c r="D5466" s="8"/>
      <c r="E5466" s="8"/>
      <c r="M5466" t="s">
        <v>478</v>
      </c>
      <c r="N5466" t="str">
        <f>Tabela_tudo[[#This Row],[Médico]]&amp;" ("&amp;Tabela_tudo[[#This Row],[Obs]]&amp;")"</f>
        <v>REI ()</v>
      </c>
    </row>
    <row r="5467" spans="1:14" x14ac:dyDescent="0.3">
      <c r="A5467" s="1">
        <v>45232</v>
      </c>
      <c r="B5467" t="s">
        <v>64</v>
      </c>
      <c r="C5467" t="s">
        <v>78</v>
      </c>
      <c r="D5467" s="8"/>
      <c r="E5467" s="8"/>
      <c r="M5467" t="s">
        <v>478</v>
      </c>
      <c r="N5467" t="str">
        <f>Tabela_tudo[[#This Row],[Médico]]&amp;" ("&amp;Tabela_tudo[[#This Row],[Obs]]&amp;")"</f>
        <v>SAR ()</v>
      </c>
    </row>
    <row r="5468" spans="1:14" x14ac:dyDescent="0.3">
      <c r="A5468" s="1">
        <v>44972</v>
      </c>
      <c r="B5468" t="s">
        <v>23</v>
      </c>
      <c r="C5468" t="s">
        <v>464</v>
      </c>
      <c r="D5468" s="8"/>
      <c r="E5468" s="8"/>
      <c r="M5468" t="s">
        <v>478</v>
      </c>
      <c r="N5468" t="str">
        <f>Tabela_tudo[[#This Row],[Médico]]&amp;" ("&amp;Tabela_tudo[[#This Row],[Obs]]&amp;")"</f>
        <v>BG ()</v>
      </c>
    </row>
    <row r="5469" spans="1:14" x14ac:dyDescent="0.3">
      <c r="A5469" s="1">
        <v>45232</v>
      </c>
      <c r="B5469" t="s">
        <v>33</v>
      </c>
      <c r="C5469" t="s">
        <v>8</v>
      </c>
      <c r="D5469" s="8"/>
      <c r="E5469" s="8"/>
      <c r="M5469" t="s">
        <v>478</v>
      </c>
      <c r="N5469" t="str">
        <f>Tabela_tudo[[#This Row],[Médico]]&amp;" ("&amp;Tabela_tudo[[#This Row],[Obs]]&amp;")"</f>
        <v>DIF ()</v>
      </c>
    </row>
    <row r="5470" spans="1:14" x14ac:dyDescent="0.3">
      <c r="A5470" s="1">
        <v>44973</v>
      </c>
      <c r="B5470" t="s">
        <v>23</v>
      </c>
      <c r="C5470" t="s">
        <v>464</v>
      </c>
      <c r="D5470" s="8"/>
      <c r="E5470" s="8"/>
      <c r="M5470" t="s">
        <v>478</v>
      </c>
      <c r="N5470" t="str">
        <f>Tabela_tudo[[#This Row],[Médico]]&amp;" ("&amp;Tabela_tudo[[#This Row],[Obs]]&amp;")"</f>
        <v>BG ()</v>
      </c>
    </row>
    <row r="5471" spans="1:14" x14ac:dyDescent="0.3">
      <c r="A5471" s="1">
        <v>45232</v>
      </c>
      <c r="B5471" t="s">
        <v>14</v>
      </c>
      <c r="C5471" t="s">
        <v>46</v>
      </c>
      <c r="D5471" s="8"/>
      <c r="E5471" s="8"/>
      <c r="M5471" t="s">
        <v>478</v>
      </c>
      <c r="N5471" t="str">
        <f>Tabela_tudo[[#This Row],[Médico]]&amp;" ("&amp;Tabela_tudo[[#This Row],[Obs]]&amp;")"</f>
        <v>PW ()</v>
      </c>
    </row>
    <row r="5472" spans="1:14" x14ac:dyDescent="0.3">
      <c r="A5472" s="1">
        <v>44970</v>
      </c>
      <c r="B5472" t="s">
        <v>23</v>
      </c>
      <c r="C5472" t="s">
        <v>464</v>
      </c>
      <c r="D5472" s="8"/>
      <c r="E5472" s="8"/>
      <c r="M5472" t="s">
        <v>478</v>
      </c>
      <c r="N5472" t="str">
        <f>Tabela_tudo[[#This Row],[Médico]]&amp;" ("&amp;Tabela_tudo[[#This Row],[Obs]]&amp;")"</f>
        <v>BG ()</v>
      </c>
    </row>
    <row r="5473" spans="1:14" x14ac:dyDescent="0.3">
      <c r="A5473" s="1">
        <v>45232</v>
      </c>
      <c r="B5473" t="s">
        <v>52</v>
      </c>
      <c r="C5473" t="s">
        <v>45</v>
      </c>
      <c r="D5473" s="8"/>
      <c r="E5473" s="8"/>
      <c r="M5473" t="s">
        <v>478</v>
      </c>
      <c r="N5473" t="str">
        <f>Tabela_tudo[[#This Row],[Médico]]&amp;" ("&amp;Tabela_tudo[[#This Row],[Obs]]&amp;")"</f>
        <v>AEL ()</v>
      </c>
    </row>
    <row r="5474" spans="1:14" x14ac:dyDescent="0.3">
      <c r="A5474" s="1">
        <v>44971</v>
      </c>
      <c r="B5474" t="s">
        <v>23</v>
      </c>
      <c r="C5474" t="s">
        <v>464</v>
      </c>
      <c r="D5474" s="8"/>
      <c r="E5474" s="8"/>
      <c r="M5474" t="s">
        <v>478</v>
      </c>
      <c r="N5474" t="str">
        <f>Tabela_tudo[[#This Row],[Médico]]&amp;" ("&amp;Tabela_tudo[[#This Row],[Obs]]&amp;")"</f>
        <v>BG ()</v>
      </c>
    </row>
    <row r="5475" spans="1:14" x14ac:dyDescent="0.3">
      <c r="A5475" s="1">
        <v>45231</v>
      </c>
      <c r="B5475" t="s">
        <v>48</v>
      </c>
      <c r="C5475" t="s">
        <v>49</v>
      </c>
      <c r="D5475" s="8"/>
      <c r="E5475" s="8"/>
      <c r="M5475" t="s">
        <v>478</v>
      </c>
      <c r="N5475" t="str">
        <f>Tabela_tudo[[#This Row],[Médico]]&amp;" ("&amp;Tabela_tudo[[#This Row],[Obs]]&amp;")"</f>
        <v>MAF ()</v>
      </c>
    </row>
    <row r="5476" spans="1:14" x14ac:dyDescent="0.3">
      <c r="A5476" s="1">
        <v>44971</v>
      </c>
      <c r="B5476" t="s">
        <v>25</v>
      </c>
      <c r="C5476" t="s">
        <v>464</v>
      </c>
      <c r="D5476" s="8"/>
      <c r="E5476" s="8"/>
      <c r="M5476" t="s">
        <v>478</v>
      </c>
      <c r="N5476" t="str">
        <f>Tabela_tudo[[#This Row],[Médico]]&amp;" ("&amp;Tabela_tudo[[#This Row],[Obs]]&amp;")"</f>
        <v>HEN ()</v>
      </c>
    </row>
    <row r="5477" spans="1:14" x14ac:dyDescent="0.3">
      <c r="A5477" s="1">
        <v>45231</v>
      </c>
      <c r="B5477" t="s">
        <v>63</v>
      </c>
      <c r="C5477" t="s">
        <v>18</v>
      </c>
      <c r="D5477" s="8"/>
      <c r="E5477" s="8"/>
      <c r="M5477" t="s">
        <v>478</v>
      </c>
      <c r="N5477" t="str">
        <f>Tabela_tudo[[#This Row],[Médico]]&amp;" ("&amp;Tabela_tudo[[#This Row],[Obs]]&amp;")"</f>
        <v>FQ ()</v>
      </c>
    </row>
    <row r="5478" spans="1:14" x14ac:dyDescent="0.3">
      <c r="A5478" s="1">
        <v>44972</v>
      </c>
      <c r="B5478" t="s">
        <v>25</v>
      </c>
      <c r="C5478" t="s">
        <v>464</v>
      </c>
      <c r="D5478" s="8"/>
      <c r="E5478" s="8"/>
      <c r="M5478" t="s">
        <v>478</v>
      </c>
      <c r="N5478" t="str">
        <f>Tabela_tudo[[#This Row],[Médico]]&amp;" ("&amp;Tabela_tudo[[#This Row],[Obs]]&amp;")"</f>
        <v>HEN ()</v>
      </c>
    </row>
    <row r="5479" spans="1:14" x14ac:dyDescent="0.3">
      <c r="A5479" s="1">
        <v>45232</v>
      </c>
      <c r="B5479" t="s">
        <v>84</v>
      </c>
      <c r="C5479" t="s">
        <v>13</v>
      </c>
      <c r="D5479" s="8"/>
      <c r="E5479" s="8"/>
      <c r="M5479" t="s">
        <v>478</v>
      </c>
      <c r="N5479" t="str">
        <f>Tabela_tudo[[#This Row],[Médico]]&amp;" ("&amp;Tabela_tudo[[#This Row],[Obs]]&amp;")"</f>
        <v>ANO ()</v>
      </c>
    </row>
    <row r="5480" spans="1:14" x14ac:dyDescent="0.3">
      <c r="A5480" s="1">
        <v>44974</v>
      </c>
      <c r="B5480" t="s">
        <v>23</v>
      </c>
      <c r="C5480" t="s">
        <v>464</v>
      </c>
      <c r="D5480" s="8"/>
      <c r="E5480" s="8"/>
      <c r="M5480" t="s">
        <v>478</v>
      </c>
      <c r="N5480" t="str">
        <f>Tabela_tudo[[#This Row],[Médico]]&amp;" ("&amp;Tabela_tudo[[#This Row],[Obs]]&amp;")"</f>
        <v>BG ()</v>
      </c>
    </row>
    <row r="5481" spans="1:14" x14ac:dyDescent="0.3">
      <c r="A5481" s="1">
        <v>45231</v>
      </c>
      <c r="B5481" t="s">
        <v>73</v>
      </c>
      <c r="C5481" t="s">
        <v>51</v>
      </c>
      <c r="D5481" s="8"/>
      <c r="E5481" s="8"/>
      <c r="M5481" t="s">
        <v>478</v>
      </c>
      <c r="N5481" t="str">
        <f>Tabela_tudo[[#This Row],[Médico]]&amp;" ("&amp;Tabela_tudo[[#This Row],[Obs]]&amp;")"</f>
        <v>RT ()</v>
      </c>
    </row>
    <row r="5482" spans="1:14" x14ac:dyDescent="0.3">
      <c r="A5482" s="1">
        <v>44970</v>
      </c>
      <c r="B5482" t="s">
        <v>25</v>
      </c>
      <c r="C5482" t="s">
        <v>464</v>
      </c>
      <c r="D5482" s="8"/>
      <c r="E5482" s="8"/>
      <c r="M5482" t="s">
        <v>478</v>
      </c>
      <c r="N5482" t="str">
        <f>Tabela_tudo[[#This Row],[Médico]]&amp;" ("&amp;Tabela_tudo[[#This Row],[Obs]]&amp;")"</f>
        <v>HEN ()</v>
      </c>
    </row>
    <row r="5483" spans="1:14" x14ac:dyDescent="0.3">
      <c r="A5483" s="1">
        <v>45235</v>
      </c>
      <c r="B5483" t="s">
        <v>37</v>
      </c>
      <c r="C5483" t="s">
        <v>78</v>
      </c>
      <c r="D5483" s="8"/>
      <c r="E5483" s="8"/>
      <c r="M5483" t="s">
        <v>478</v>
      </c>
      <c r="N5483" t="str">
        <f>Tabela_tudo[[#This Row],[Médico]]&amp;" ("&amp;Tabela_tudo[[#This Row],[Obs]]&amp;")"</f>
        <v>EBB ()</v>
      </c>
    </row>
    <row r="5484" spans="1:14" x14ac:dyDescent="0.3">
      <c r="A5484" s="1">
        <v>44974</v>
      </c>
      <c r="B5484" t="s">
        <v>14</v>
      </c>
      <c r="C5484" t="s">
        <v>464</v>
      </c>
      <c r="D5484" s="8"/>
      <c r="E5484" s="8"/>
      <c r="M5484" t="s">
        <v>478</v>
      </c>
      <c r="N5484" t="str">
        <f>Tabela_tudo[[#This Row],[Médico]]&amp;" ("&amp;Tabela_tudo[[#This Row],[Obs]]&amp;")"</f>
        <v>PW ()</v>
      </c>
    </row>
    <row r="5485" spans="1:14" x14ac:dyDescent="0.3">
      <c r="A5485" s="1">
        <v>45241</v>
      </c>
      <c r="B5485" t="s">
        <v>73</v>
      </c>
      <c r="C5485" t="s">
        <v>78</v>
      </c>
      <c r="D5485" s="8"/>
      <c r="E5485" s="8"/>
      <c r="M5485" t="s">
        <v>478</v>
      </c>
      <c r="N5485" t="str">
        <f>Tabela_tudo[[#This Row],[Médico]]&amp;" ("&amp;Tabela_tudo[[#This Row],[Obs]]&amp;")"</f>
        <v>RT ()</v>
      </c>
    </row>
    <row r="5486" spans="1:14" x14ac:dyDescent="0.3">
      <c r="A5486" s="1">
        <v>44977</v>
      </c>
      <c r="B5486" t="s">
        <v>7</v>
      </c>
      <c r="C5486" t="s">
        <v>464</v>
      </c>
      <c r="D5486" s="8"/>
      <c r="E5486" s="8"/>
      <c r="M5486" t="s">
        <v>478</v>
      </c>
      <c r="N5486" t="str">
        <f>Tabela_tudo[[#This Row],[Médico]]&amp;" ("&amp;Tabela_tudo[[#This Row],[Obs]]&amp;")"</f>
        <v>ARI ()</v>
      </c>
    </row>
    <row r="5487" spans="1:14" x14ac:dyDescent="0.3">
      <c r="A5487" s="1">
        <v>45241</v>
      </c>
      <c r="B5487" t="s">
        <v>48</v>
      </c>
      <c r="C5487" t="s">
        <v>8</v>
      </c>
      <c r="D5487" s="8"/>
      <c r="E5487" s="8"/>
      <c r="M5487" t="s">
        <v>478</v>
      </c>
      <c r="N5487" t="str">
        <f>Tabela_tudo[[#This Row],[Médico]]&amp;" ("&amp;Tabela_tudo[[#This Row],[Obs]]&amp;")"</f>
        <v>MAF ()</v>
      </c>
    </row>
    <row r="5488" spans="1:14" x14ac:dyDescent="0.3">
      <c r="A5488" s="1">
        <v>44972</v>
      </c>
      <c r="B5488" t="s">
        <v>14</v>
      </c>
      <c r="C5488" t="s">
        <v>464</v>
      </c>
      <c r="D5488" s="8"/>
      <c r="E5488" s="8"/>
      <c r="M5488" t="s">
        <v>478</v>
      </c>
      <c r="N5488" t="str">
        <f>Tabela_tudo[[#This Row],[Médico]]&amp;" ("&amp;Tabela_tudo[[#This Row],[Obs]]&amp;")"</f>
        <v>PW ()</v>
      </c>
    </row>
    <row r="5489" spans="1:14" x14ac:dyDescent="0.3">
      <c r="A5489" s="1">
        <v>45242</v>
      </c>
      <c r="B5489" t="s">
        <v>68</v>
      </c>
      <c r="C5489" t="s">
        <v>8</v>
      </c>
      <c r="D5489" s="8"/>
      <c r="E5489" s="8"/>
      <c r="M5489" t="s">
        <v>478</v>
      </c>
      <c r="N5489" t="str">
        <f>Tabela_tudo[[#This Row],[Médico]]&amp;" ("&amp;Tabela_tudo[[#This Row],[Obs]]&amp;")"</f>
        <v>PED ()</v>
      </c>
    </row>
    <row r="5490" spans="1:14" x14ac:dyDescent="0.3">
      <c r="A5490" s="1">
        <v>44973</v>
      </c>
      <c r="B5490" t="s">
        <v>14</v>
      </c>
      <c r="C5490" t="s">
        <v>464</v>
      </c>
      <c r="D5490" s="8"/>
      <c r="E5490" s="8"/>
      <c r="M5490" t="s">
        <v>478</v>
      </c>
      <c r="N5490" t="str">
        <f>Tabela_tudo[[#This Row],[Médico]]&amp;" ("&amp;Tabela_tudo[[#This Row],[Obs]]&amp;")"</f>
        <v>PW ()</v>
      </c>
    </row>
    <row r="5491" spans="1:14" x14ac:dyDescent="0.3">
      <c r="A5491" s="1">
        <v>45242</v>
      </c>
      <c r="B5491" t="s">
        <v>73</v>
      </c>
      <c r="C5491" t="s">
        <v>13</v>
      </c>
      <c r="D5491" s="8"/>
      <c r="E5491" s="8"/>
      <c r="M5491" t="s">
        <v>478</v>
      </c>
      <c r="N5491" t="str">
        <f>Tabela_tudo[[#This Row],[Médico]]&amp;" ("&amp;Tabela_tudo[[#This Row],[Obs]]&amp;")"</f>
        <v>RT ()</v>
      </c>
    </row>
    <row r="5492" spans="1:14" x14ac:dyDescent="0.3">
      <c r="A5492" s="1">
        <v>44980</v>
      </c>
      <c r="B5492" t="s">
        <v>7</v>
      </c>
      <c r="C5492" t="s">
        <v>464</v>
      </c>
      <c r="D5492" s="8"/>
      <c r="E5492" s="8"/>
      <c r="M5492" t="s">
        <v>478</v>
      </c>
      <c r="N5492" t="str">
        <f>Tabela_tudo[[#This Row],[Médico]]&amp;" ("&amp;Tabela_tudo[[#This Row],[Obs]]&amp;")"</f>
        <v>ARI ()</v>
      </c>
    </row>
    <row r="5493" spans="1:14" x14ac:dyDescent="0.3">
      <c r="A5493" s="1">
        <v>45240</v>
      </c>
      <c r="B5493" t="s">
        <v>52</v>
      </c>
      <c r="C5493" t="s">
        <v>15</v>
      </c>
      <c r="D5493" s="8"/>
      <c r="E5493" s="8"/>
      <c r="M5493" t="s">
        <v>478</v>
      </c>
      <c r="N5493" t="str">
        <f>Tabela_tudo[[#This Row],[Médico]]&amp;" ("&amp;Tabela_tudo[[#This Row],[Obs]]&amp;")"</f>
        <v>AEL ()</v>
      </c>
    </row>
    <row r="5494" spans="1:14" x14ac:dyDescent="0.3">
      <c r="A5494" s="1">
        <v>44981</v>
      </c>
      <c r="B5494" t="s">
        <v>7</v>
      </c>
      <c r="C5494" t="s">
        <v>464</v>
      </c>
      <c r="D5494" s="8"/>
      <c r="E5494" s="8"/>
      <c r="M5494" t="s">
        <v>478</v>
      </c>
      <c r="N5494" t="str">
        <f>Tabela_tudo[[#This Row],[Médico]]&amp;" ("&amp;Tabela_tudo[[#This Row],[Obs]]&amp;")"</f>
        <v>ARI ()</v>
      </c>
    </row>
    <row r="5495" spans="1:14" x14ac:dyDescent="0.3">
      <c r="A5495" s="1">
        <v>45240</v>
      </c>
      <c r="B5495" t="s">
        <v>75</v>
      </c>
      <c r="C5495" t="s">
        <v>13</v>
      </c>
      <c r="D5495" s="8"/>
      <c r="E5495" s="8"/>
      <c r="M5495" t="s">
        <v>478</v>
      </c>
      <c r="N5495" t="str">
        <f>Tabela_tudo[[#This Row],[Médico]]&amp;" ("&amp;Tabela_tudo[[#This Row],[Obs]]&amp;")"</f>
        <v>KOP ()</v>
      </c>
    </row>
    <row r="5496" spans="1:14" x14ac:dyDescent="0.3">
      <c r="A5496" s="1">
        <v>44978</v>
      </c>
      <c r="B5496" t="s">
        <v>7</v>
      </c>
      <c r="C5496" t="s">
        <v>464</v>
      </c>
      <c r="D5496" s="8"/>
      <c r="E5496" s="8"/>
      <c r="M5496" t="s">
        <v>478</v>
      </c>
      <c r="N5496" t="str">
        <f>Tabela_tudo[[#This Row],[Médico]]&amp;" ("&amp;Tabela_tudo[[#This Row],[Obs]]&amp;")"</f>
        <v>ARI ()</v>
      </c>
    </row>
    <row r="5497" spans="1:14" x14ac:dyDescent="0.3">
      <c r="A5497" s="1">
        <v>45241</v>
      </c>
      <c r="B5497" t="s">
        <v>68</v>
      </c>
      <c r="C5497" t="s">
        <v>13</v>
      </c>
      <c r="D5497" s="8"/>
      <c r="E5497" s="8"/>
      <c r="M5497" t="s">
        <v>478</v>
      </c>
      <c r="N5497" t="str">
        <f>Tabela_tudo[[#This Row],[Médico]]&amp;" ("&amp;Tabela_tudo[[#This Row],[Obs]]&amp;")"</f>
        <v>PED ()</v>
      </c>
    </row>
    <row r="5498" spans="1:14" x14ac:dyDescent="0.3">
      <c r="A5498" s="1">
        <v>44979</v>
      </c>
      <c r="B5498" t="s">
        <v>7</v>
      </c>
      <c r="C5498" t="s">
        <v>464</v>
      </c>
      <c r="D5498" s="8"/>
      <c r="E5498" s="8"/>
      <c r="M5498" t="s">
        <v>478</v>
      </c>
      <c r="N5498" t="str">
        <f>Tabela_tudo[[#This Row],[Médico]]&amp;" ("&amp;Tabela_tudo[[#This Row],[Obs]]&amp;")"</f>
        <v>ARI ()</v>
      </c>
    </row>
    <row r="5499" spans="1:14" x14ac:dyDescent="0.3">
      <c r="A5499" s="1">
        <v>45240</v>
      </c>
      <c r="B5499" t="s">
        <v>34</v>
      </c>
      <c r="C5499" t="s">
        <v>8</v>
      </c>
      <c r="D5499" s="8"/>
      <c r="E5499" s="8"/>
      <c r="M5499" t="s">
        <v>478</v>
      </c>
      <c r="N5499" t="str">
        <f>Tabela_tudo[[#This Row],[Médico]]&amp;" ("&amp;Tabela_tudo[[#This Row],[Obs]]&amp;")"</f>
        <v>LIP ()</v>
      </c>
    </row>
    <row r="5500" spans="1:14" x14ac:dyDescent="0.3">
      <c r="A5500" s="1">
        <v>44978</v>
      </c>
      <c r="B5500" t="s">
        <v>44</v>
      </c>
      <c r="C5500" t="s">
        <v>464</v>
      </c>
      <c r="D5500" s="8"/>
      <c r="E5500" s="8"/>
      <c r="M5500" t="s">
        <v>478</v>
      </c>
      <c r="N5500" t="str">
        <f>Tabela_tudo[[#This Row],[Médico]]&amp;" ("&amp;Tabela_tudo[[#This Row],[Obs]]&amp;")"</f>
        <v>REI ()</v>
      </c>
    </row>
    <row r="5501" spans="1:14" x14ac:dyDescent="0.3">
      <c r="A5501" s="1">
        <v>45244</v>
      </c>
      <c r="B5501" t="s">
        <v>68</v>
      </c>
      <c r="C5501" t="s">
        <v>15</v>
      </c>
      <c r="D5501" s="8"/>
      <c r="E5501" s="8"/>
      <c r="M5501" t="s">
        <v>478</v>
      </c>
      <c r="N5501" t="str">
        <f>Tabela_tudo[[#This Row],[Médico]]&amp;" ("&amp;Tabela_tudo[[#This Row],[Obs]]&amp;")"</f>
        <v>PED ()</v>
      </c>
    </row>
    <row r="5502" spans="1:14" x14ac:dyDescent="0.3">
      <c r="A5502" s="1">
        <v>44979</v>
      </c>
      <c r="B5502" t="s">
        <v>44</v>
      </c>
      <c r="C5502" t="s">
        <v>464</v>
      </c>
      <c r="D5502" s="8"/>
      <c r="E5502" s="8"/>
      <c r="M5502" t="s">
        <v>478</v>
      </c>
      <c r="N5502" t="str">
        <f>Tabela_tudo[[#This Row],[Médico]]&amp;" ("&amp;Tabela_tudo[[#This Row],[Obs]]&amp;")"</f>
        <v>REI ()</v>
      </c>
    </row>
    <row r="5503" spans="1:14" x14ac:dyDescent="0.3">
      <c r="A5503" s="1">
        <v>45244</v>
      </c>
      <c r="B5503" t="s">
        <v>32</v>
      </c>
      <c r="C5503" t="s">
        <v>13</v>
      </c>
      <c r="D5503" s="8"/>
      <c r="E5503" s="8"/>
      <c r="M5503" t="s">
        <v>478</v>
      </c>
      <c r="N5503" t="str">
        <f>Tabela_tudo[[#This Row],[Médico]]&amp;" ("&amp;Tabela_tudo[[#This Row],[Obs]]&amp;")"</f>
        <v>JS ()</v>
      </c>
    </row>
    <row r="5504" spans="1:14" x14ac:dyDescent="0.3">
      <c r="A5504" s="1">
        <v>44976</v>
      </c>
      <c r="B5504" t="s">
        <v>44</v>
      </c>
      <c r="C5504" t="s">
        <v>464</v>
      </c>
      <c r="D5504" s="8"/>
      <c r="E5504" s="8"/>
      <c r="M5504" t="s">
        <v>478</v>
      </c>
      <c r="N5504" t="str">
        <f>Tabela_tudo[[#This Row],[Médico]]&amp;" ("&amp;Tabela_tudo[[#This Row],[Obs]]&amp;")"</f>
        <v>REI ()</v>
      </c>
    </row>
    <row r="5505" spans="1:14" x14ac:dyDescent="0.3">
      <c r="A5505" s="1">
        <v>45245</v>
      </c>
      <c r="B5505" t="s">
        <v>29</v>
      </c>
      <c r="C5505" t="s">
        <v>13</v>
      </c>
      <c r="D5505" s="8"/>
      <c r="E5505" s="8"/>
      <c r="M5505" t="s">
        <v>478</v>
      </c>
      <c r="N5505" t="str">
        <f>Tabela_tudo[[#This Row],[Médico]]&amp;" ("&amp;Tabela_tudo[[#This Row],[Obs]]&amp;")"</f>
        <v>JOA ()</v>
      </c>
    </row>
    <row r="5506" spans="1:14" x14ac:dyDescent="0.3">
      <c r="A5506" s="1">
        <v>44977</v>
      </c>
      <c r="B5506" t="s">
        <v>44</v>
      </c>
      <c r="C5506" t="s">
        <v>464</v>
      </c>
      <c r="D5506" s="8"/>
      <c r="E5506" s="8"/>
      <c r="M5506" t="s">
        <v>478</v>
      </c>
      <c r="N5506" t="str">
        <f>Tabela_tudo[[#This Row],[Médico]]&amp;" ("&amp;Tabela_tudo[[#This Row],[Obs]]&amp;")"</f>
        <v>REI ()</v>
      </c>
    </row>
    <row r="5507" spans="1:14" x14ac:dyDescent="0.3">
      <c r="A5507" s="1">
        <v>45244</v>
      </c>
      <c r="B5507" t="s">
        <v>72</v>
      </c>
      <c r="C5507" t="s">
        <v>8</v>
      </c>
      <c r="D5507" s="8"/>
      <c r="E5507" s="8"/>
      <c r="M5507" t="s">
        <v>478</v>
      </c>
      <c r="N5507" t="str">
        <f>Tabela_tudo[[#This Row],[Médico]]&amp;" ("&amp;Tabela_tudo[[#This Row],[Obs]]&amp;")"</f>
        <v>GRA ()</v>
      </c>
    </row>
    <row r="5508" spans="1:14" x14ac:dyDescent="0.3">
      <c r="A5508" s="1">
        <v>44970</v>
      </c>
      <c r="B5508" t="s">
        <v>14</v>
      </c>
      <c r="C5508" t="s">
        <v>464</v>
      </c>
      <c r="D5508" s="8"/>
      <c r="E5508" s="8"/>
      <c r="M5508" t="s">
        <v>478</v>
      </c>
      <c r="N5508" t="str">
        <f>Tabela_tudo[[#This Row],[Médico]]&amp;" ("&amp;Tabela_tudo[[#This Row],[Obs]]&amp;")"</f>
        <v>PW ()</v>
      </c>
    </row>
    <row r="5509" spans="1:14" x14ac:dyDescent="0.3">
      <c r="A5509" s="1">
        <v>45243</v>
      </c>
      <c r="B5509" t="s">
        <v>66</v>
      </c>
      <c r="C5509" t="s">
        <v>13</v>
      </c>
      <c r="D5509" s="8"/>
      <c r="E5509" s="8"/>
      <c r="M5509" t="s">
        <v>478</v>
      </c>
      <c r="N5509" t="str">
        <f>Tabela_tudo[[#This Row],[Médico]]&amp;" ("&amp;Tabela_tudo[[#This Row],[Obs]]&amp;")"</f>
        <v>MOZ ()</v>
      </c>
    </row>
    <row r="5510" spans="1:14" x14ac:dyDescent="0.3">
      <c r="A5510" s="1">
        <v>44971</v>
      </c>
      <c r="B5510" t="s">
        <v>14</v>
      </c>
      <c r="C5510" t="s">
        <v>464</v>
      </c>
      <c r="D5510" s="8"/>
      <c r="E5510" s="8"/>
      <c r="M5510" t="s">
        <v>478</v>
      </c>
      <c r="N5510" t="str">
        <f>Tabela_tudo[[#This Row],[Médico]]&amp;" ("&amp;Tabela_tudo[[#This Row],[Obs]]&amp;")"</f>
        <v>PW ()</v>
      </c>
    </row>
    <row r="5511" spans="1:14" x14ac:dyDescent="0.3">
      <c r="A5511" s="1">
        <v>45242</v>
      </c>
      <c r="B5511" t="s">
        <v>48</v>
      </c>
      <c r="C5511" t="s">
        <v>78</v>
      </c>
      <c r="D5511" s="8"/>
      <c r="E5511" s="8"/>
      <c r="M5511" t="s">
        <v>478</v>
      </c>
      <c r="N5511" t="str">
        <f>Tabela_tudo[[#This Row],[Médico]]&amp;" ("&amp;Tabela_tudo[[#This Row],[Obs]]&amp;")"</f>
        <v>MAF ()</v>
      </c>
    </row>
    <row r="5512" spans="1:14" x14ac:dyDescent="0.3">
      <c r="A5512" s="1">
        <v>44980</v>
      </c>
      <c r="B5512" t="s">
        <v>44</v>
      </c>
      <c r="C5512" t="s">
        <v>464</v>
      </c>
      <c r="D5512" s="8"/>
      <c r="E5512" s="8"/>
      <c r="M5512" t="s">
        <v>478</v>
      </c>
      <c r="N5512" t="str">
        <f>Tabela_tudo[[#This Row],[Médico]]&amp;" ("&amp;Tabela_tudo[[#This Row],[Obs]]&amp;")"</f>
        <v>REI ()</v>
      </c>
    </row>
    <row r="5513" spans="1:14" x14ac:dyDescent="0.3">
      <c r="A5513" s="1">
        <v>45243</v>
      </c>
      <c r="B5513" t="s">
        <v>71</v>
      </c>
      <c r="C5513" t="s">
        <v>8</v>
      </c>
      <c r="D5513" s="8"/>
      <c r="E5513" s="8"/>
      <c r="M5513" t="s">
        <v>478</v>
      </c>
      <c r="N5513" t="str">
        <f>Tabela_tudo[[#This Row],[Médico]]&amp;" ("&amp;Tabela_tudo[[#This Row],[Obs]]&amp;")"</f>
        <v>BRU ()</v>
      </c>
    </row>
    <row r="5514" spans="1:14" x14ac:dyDescent="0.3">
      <c r="A5514" s="1">
        <v>44981</v>
      </c>
      <c r="B5514" t="s">
        <v>44</v>
      </c>
      <c r="C5514" t="s">
        <v>464</v>
      </c>
      <c r="D5514" s="8"/>
      <c r="E5514" s="8"/>
      <c r="M5514" t="s">
        <v>478</v>
      </c>
      <c r="N5514" t="str">
        <f>Tabela_tudo[[#This Row],[Médico]]&amp;" ("&amp;Tabela_tudo[[#This Row],[Obs]]&amp;")"</f>
        <v>REI ()</v>
      </c>
    </row>
    <row r="5515" spans="1:14" x14ac:dyDescent="0.3">
      <c r="A5515" s="1">
        <v>45243</v>
      </c>
      <c r="B5515" t="s">
        <v>142</v>
      </c>
      <c r="C5515" t="s">
        <v>15</v>
      </c>
      <c r="D5515" s="8"/>
      <c r="E5515" s="8"/>
      <c r="M5515" t="s">
        <v>478</v>
      </c>
      <c r="N5515" t="str">
        <f>Tabela_tudo[[#This Row],[Médico]]&amp;" ("&amp;Tabela_tudo[[#This Row],[Obs]]&amp;")"</f>
        <v>VIV ()</v>
      </c>
    </row>
    <row r="5516" spans="1:14" x14ac:dyDescent="0.3">
      <c r="A5516" s="1">
        <v>44974</v>
      </c>
      <c r="B5516" t="s">
        <v>17</v>
      </c>
      <c r="C5516" t="s">
        <v>464</v>
      </c>
      <c r="D5516" s="8"/>
      <c r="E5516" s="8"/>
      <c r="M5516" t="s">
        <v>478</v>
      </c>
      <c r="N5516" t="str">
        <f>Tabela_tudo[[#This Row],[Médico]]&amp;" ("&amp;Tabela_tudo[[#This Row],[Obs]]&amp;")"</f>
        <v>FAB ()</v>
      </c>
    </row>
    <row r="5517" spans="1:14" x14ac:dyDescent="0.3">
      <c r="A5517" s="1">
        <v>45239</v>
      </c>
      <c r="B5517" t="s">
        <v>64</v>
      </c>
      <c r="C5517" t="s">
        <v>30</v>
      </c>
      <c r="D5517" s="8"/>
      <c r="E5517" s="8"/>
      <c r="M5517" t="s">
        <v>478</v>
      </c>
      <c r="N5517" t="str">
        <f>Tabela_tudo[[#This Row],[Médico]]&amp;" ("&amp;Tabela_tudo[[#This Row],[Obs]]&amp;")"</f>
        <v>SAR ()</v>
      </c>
    </row>
    <row r="5518" spans="1:14" x14ac:dyDescent="0.3">
      <c r="A5518" s="1">
        <v>44942</v>
      </c>
      <c r="B5518" t="s">
        <v>12</v>
      </c>
      <c r="C5518" t="s">
        <v>464</v>
      </c>
      <c r="D5518" s="8"/>
      <c r="E5518" s="8"/>
      <c r="M5518" t="s">
        <v>478</v>
      </c>
      <c r="N5518" t="str">
        <f>Tabela_tudo[[#This Row],[Médico]]&amp;" ("&amp;Tabela_tudo[[#This Row],[Obs]]&amp;")"</f>
        <v>EDU ()</v>
      </c>
    </row>
    <row r="5519" spans="1:14" x14ac:dyDescent="0.3">
      <c r="A5519" s="1">
        <v>45237</v>
      </c>
      <c r="B5519" t="s">
        <v>68</v>
      </c>
      <c r="C5519" t="s">
        <v>13</v>
      </c>
      <c r="D5519" s="8"/>
      <c r="E5519" s="8"/>
      <c r="M5519" t="s">
        <v>478</v>
      </c>
      <c r="N5519" t="str">
        <f>Tabela_tudo[[#This Row],[Médico]]&amp;" ("&amp;Tabela_tudo[[#This Row],[Obs]]&amp;")"</f>
        <v>PED ()</v>
      </c>
    </row>
    <row r="5520" spans="1:14" x14ac:dyDescent="0.3">
      <c r="A5520" s="1">
        <v>44939</v>
      </c>
      <c r="B5520" t="s">
        <v>7</v>
      </c>
      <c r="C5520" t="s">
        <v>464</v>
      </c>
      <c r="D5520" s="8"/>
      <c r="E5520" s="8"/>
      <c r="M5520" t="s">
        <v>478</v>
      </c>
      <c r="N5520" t="str">
        <f>Tabela_tudo[[#This Row],[Médico]]&amp;" ("&amp;Tabela_tudo[[#This Row],[Obs]]&amp;")"</f>
        <v>ARI ()</v>
      </c>
    </row>
    <row r="5521" spans="1:14" x14ac:dyDescent="0.3">
      <c r="A5521" s="1">
        <v>45236</v>
      </c>
      <c r="B5521" t="s">
        <v>64</v>
      </c>
      <c r="C5521" t="s">
        <v>30</v>
      </c>
      <c r="D5521" s="8"/>
      <c r="E5521" s="8"/>
      <c r="M5521" t="s">
        <v>478</v>
      </c>
      <c r="N5521" t="str">
        <f>Tabela_tudo[[#This Row],[Médico]]&amp;" ("&amp;Tabela_tudo[[#This Row],[Obs]]&amp;")"</f>
        <v>SAR ()</v>
      </c>
    </row>
    <row r="5522" spans="1:14" x14ac:dyDescent="0.3">
      <c r="A5522" s="1">
        <v>44936</v>
      </c>
      <c r="B5522" t="s">
        <v>73</v>
      </c>
      <c r="C5522" t="s">
        <v>464</v>
      </c>
      <c r="D5522" s="8"/>
      <c r="E5522" s="8"/>
      <c r="M5522" t="s">
        <v>478</v>
      </c>
      <c r="N5522" t="str">
        <f>Tabela_tudo[[#This Row],[Médico]]&amp;" ("&amp;Tabela_tudo[[#This Row],[Obs]]&amp;")"</f>
        <v>RT ()</v>
      </c>
    </row>
    <row r="5523" spans="1:14" x14ac:dyDescent="0.3">
      <c r="A5523" s="1">
        <v>45237</v>
      </c>
      <c r="B5523" t="s">
        <v>63</v>
      </c>
      <c r="C5523" t="s">
        <v>8</v>
      </c>
      <c r="D5523" s="8"/>
      <c r="E5523" s="8"/>
      <c r="M5523" t="s">
        <v>478</v>
      </c>
      <c r="N5523" t="str">
        <f>Tabela_tudo[[#This Row],[Médico]]&amp;" ("&amp;Tabela_tudo[[#This Row],[Obs]]&amp;")"</f>
        <v>FQ ()</v>
      </c>
    </row>
    <row r="5524" spans="1:14" x14ac:dyDescent="0.3">
      <c r="A5524" s="1">
        <v>44935</v>
      </c>
      <c r="B5524" t="s">
        <v>73</v>
      </c>
      <c r="C5524" t="s">
        <v>464</v>
      </c>
      <c r="D5524" s="8"/>
      <c r="E5524" s="8"/>
      <c r="M5524" t="s">
        <v>478</v>
      </c>
      <c r="N5524" t="str">
        <f>Tabela_tudo[[#This Row],[Médico]]&amp;" ("&amp;Tabela_tudo[[#This Row],[Obs]]&amp;")"</f>
        <v>RT ()</v>
      </c>
    </row>
    <row r="5525" spans="1:14" x14ac:dyDescent="0.3">
      <c r="A5525" s="1">
        <v>45237</v>
      </c>
      <c r="B5525" t="s">
        <v>73</v>
      </c>
      <c r="C5525" t="s">
        <v>15</v>
      </c>
      <c r="D5525" s="8"/>
      <c r="E5525" s="8"/>
      <c r="M5525" t="s">
        <v>478</v>
      </c>
      <c r="N5525" t="str">
        <f>Tabela_tudo[[#This Row],[Médico]]&amp;" ("&amp;Tabela_tudo[[#This Row],[Obs]]&amp;")"</f>
        <v>RT ()</v>
      </c>
    </row>
    <row r="5526" spans="1:14" x14ac:dyDescent="0.3">
      <c r="A5526" s="1">
        <v>44936</v>
      </c>
      <c r="B5526" t="s">
        <v>7</v>
      </c>
      <c r="C5526" t="s">
        <v>464</v>
      </c>
      <c r="D5526" s="8"/>
      <c r="E5526" s="8"/>
      <c r="M5526" t="s">
        <v>478</v>
      </c>
      <c r="N5526" t="str">
        <f>Tabela_tudo[[#This Row],[Médico]]&amp;" ("&amp;Tabela_tudo[[#This Row],[Obs]]&amp;")"</f>
        <v>ARI ()</v>
      </c>
    </row>
    <row r="5527" spans="1:14" x14ac:dyDescent="0.3">
      <c r="A5527" s="1">
        <v>45236</v>
      </c>
      <c r="B5527" t="s">
        <v>72</v>
      </c>
      <c r="C5527" t="s">
        <v>15</v>
      </c>
      <c r="D5527" s="8"/>
      <c r="E5527" s="8"/>
      <c r="M5527" t="s">
        <v>478</v>
      </c>
      <c r="N5527" t="str">
        <f>Tabela_tudo[[#This Row],[Médico]]&amp;" ("&amp;Tabela_tudo[[#This Row],[Obs]]&amp;")"</f>
        <v>GRA ()</v>
      </c>
    </row>
    <row r="5528" spans="1:14" x14ac:dyDescent="0.3">
      <c r="A5528" s="1">
        <v>44935</v>
      </c>
      <c r="B5528" t="s">
        <v>7</v>
      </c>
      <c r="C5528" t="s">
        <v>464</v>
      </c>
      <c r="D5528" s="8"/>
      <c r="E5528" s="8"/>
      <c r="M5528" t="s">
        <v>478</v>
      </c>
      <c r="N5528" t="str">
        <f>Tabela_tudo[[#This Row],[Médico]]&amp;" ("&amp;Tabela_tudo[[#This Row],[Obs]]&amp;")"</f>
        <v>ARI ()</v>
      </c>
    </row>
    <row r="5529" spans="1:14" x14ac:dyDescent="0.3">
      <c r="A5529" s="1">
        <v>45236</v>
      </c>
      <c r="B5529" t="s">
        <v>34</v>
      </c>
      <c r="C5529" t="s">
        <v>13</v>
      </c>
      <c r="D5529" s="8"/>
      <c r="E5529" s="8"/>
      <c r="M5529" t="s">
        <v>478</v>
      </c>
      <c r="N5529" t="str">
        <f>Tabela_tudo[[#This Row],[Médico]]&amp;" ("&amp;Tabela_tudo[[#This Row],[Obs]]&amp;")"</f>
        <v>LIP ()</v>
      </c>
    </row>
    <row r="5530" spans="1:14" x14ac:dyDescent="0.3">
      <c r="A5530" s="1">
        <v>44938</v>
      </c>
      <c r="B5530" t="s">
        <v>7</v>
      </c>
      <c r="C5530" t="s">
        <v>464</v>
      </c>
      <c r="D5530" s="8"/>
      <c r="E5530" s="8"/>
      <c r="M5530" t="s">
        <v>478</v>
      </c>
      <c r="N5530" t="str">
        <f>Tabela_tudo[[#This Row],[Médico]]&amp;" ("&amp;Tabela_tudo[[#This Row],[Obs]]&amp;")"</f>
        <v>ARI ()</v>
      </c>
    </row>
    <row r="5531" spans="1:14" x14ac:dyDescent="0.3">
      <c r="A5531" s="1">
        <v>45236</v>
      </c>
      <c r="B5531" t="s">
        <v>84</v>
      </c>
      <c r="C5531" t="s">
        <v>30</v>
      </c>
      <c r="D5531" s="8"/>
      <c r="E5531" s="8"/>
      <c r="M5531" t="s">
        <v>478</v>
      </c>
      <c r="N5531" t="str">
        <f>Tabela_tudo[[#This Row],[Médico]]&amp;" ("&amp;Tabela_tudo[[#This Row],[Obs]]&amp;")"</f>
        <v>ANO ()</v>
      </c>
    </row>
    <row r="5532" spans="1:14" x14ac:dyDescent="0.3">
      <c r="A5532" s="1">
        <v>44937</v>
      </c>
      <c r="B5532" t="s">
        <v>7</v>
      </c>
      <c r="C5532" t="s">
        <v>464</v>
      </c>
      <c r="D5532" s="8"/>
      <c r="E5532" s="8"/>
      <c r="M5532" t="s">
        <v>478</v>
      </c>
      <c r="N5532" t="str">
        <f>Tabela_tudo[[#This Row],[Médico]]&amp;" ("&amp;Tabela_tudo[[#This Row],[Obs]]&amp;")"</f>
        <v>ARI ()</v>
      </c>
    </row>
    <row r="5533" spans="1:14" x14ac:dyDescent="0.3">
      <c r="A5533" s="1">
        <v>45236</v>
      </c>
      <c r="B5533" t="s">
        <v>47</v>
      </c>
      <c r="C5533" t="s">
        <v>8</v>
      </c>
      <c r="D5533" s="8"/>
      <c r="E5533" s="8"/>
      <c r="M5533" t="s">
        <v>478</v>
      </c>
      <c r="N5533" t="str">
        <f>Tabela_tudo[[#This Row],[Médico]]&amp;" ("&amp;Tabela_tudo[[#This Row],[Obs]]&amp;")"</f>
        <v>VIN ()</v>
      </c>
    </row>
    <row r="5534" spans="1:14" x14ac:dyDescent="0.3">
      <c r="A5534" s="1">
        <v>44966</v>
      </c>
      <c r="B5534" t="s">
        <v>17</v>
      </c>
      <c r="C5534" t="s">
        <v>464</v>
      </c>
      <c r="D5534" s="8"/>
      <c r="E5534" s="8"/>
      <c r="M5534" t="s">
        <v>478</v>
      </c>
      <c r="N5534" t="str">
        <f>Tabela_tudo[[#This Row],[Médico]]&amp;" ("&amp;Tabela_tudo[[#This Row],[Obs]]&amp;")"</f>
        <v>FAB ()</v>
      </c>
    </row>
    <row r="5535" spans="1:14" x14ac:dyDescent="0.3">
      <c r="A5535" s="1">
        <v>45239</v>
      </c>
      <c r="B5535" t="s">
        <v>63</v>
      </c>
      <c r="C5535" t="s">
        <v>13</v>
      </c>
      <c r="D5535" s="8"/>
      <c r="E5535" s="8"/>
      <c r="M5535" t="s">
        <v>478</v>
      </c>
      <c r="N5535" t="str">
        <f>Tabela_tudo[[#This Row],[Médico]]&amp;" ("&amp;Tabela_tudo[[#This Row],[Obs]]&amp;")"</f>
        <v>FQ ()</v>
      </c>
    </row>
    <row r="5536" spans="1:14" x14ac:dyDescent="0.3">
      <c r="A5536" s="1">
        <v>44967</v>
      </c>
      <c r="B5536" t="s">
        <v>17</v>
      </c>
      <c r="C5536" t="s">
        <v>464</v>
      </c>
      <c r="D5536" s="8"/>
      <c r="E5536" s="8"/>
      <c r="M5536" t="s">
        <v>478</v>
      </c>
      <c r="N5536" t="str">
        <f>Tabela_tudo[[#This Row],[Médico]]&amp;" ("&amp;Tabela_tudo[[#This Row],[Obs]]&amp;")"</f>
        <v>FAB ()</v>
      </c>
    </row>
    <row r="5537" spans="1:14" x14ac:dyDescent="0.3">
      <c r="A5537" s="1">
        <v>45238</v>
      </c>
      <c r="B5537" t="s">
        <v>64</v>
      </c>
      <c r="C5537" t="s">
        <v>30</v>
      </c>
      <c r="D5537" s="8"/>
      <c r="E5537" s="8"/>
      <c r="M5537" t="s">
        <v>478</v>
      </c>
      <c r="N5537" t="str">
        <f>Tabela_tudo[[#This Row],[Médico]]&amp;" ("&amp;Tabela_tudo[[#This Row],[Obs]]&amp;")"</f>
        <v>SAR ()</v>
      </c>
    </row>
    <row r="5538" spans="1:14" x14ac:dyDescent="0.3">
      <c r="A5538" s="1">
        <v>44964</v>
      </c>
      <c r="B5538" t="s">
        <v>17</v>
      </c>
      <c r="C5538" t="s">
        <v>464</v>
      </c>
      <c r="D5538" s="8"/>
      <c r="E5538" s="8"/>
      <c r="M5538" t="s">
        <v>478</v>
      </c>
      <c r="N5538" t="str">
        <f>Tabela_tudo[[#This Row],[Médico]]&amp;" ("&amp;Tabela_tudo[[#This Row],[Obs]]&amp;")"</f>
        <v>FAB ()</v>
      </c>
    </row>
    <row r="5539" spans="1:14" x14ac:dyDescent="0.3">
      <c r="A5539" s="1">
        <v>45239</v>
      </c>
      <c r="B5539" t="s">
        <v>44</v>
      </c>
      <c r="C5539" t="s">
        <v>8</v>
      </c>
      <c r="D5539" s="8"/>
      <c r="E5539" s="8"/>
      <c r="M5539" t="s">
        <v>478</v>
      </c>
      <c r="N5539" t="str">
        <f>Tabela_tudo[[#This Row],[Médico]]&amp;" ("&amp;Tabela_tudo[[#This Row],[Obs]]&amp;")"</f>
        <v>REI ()</v>
      </c>
    </row>
    <row r="5540" spans="1:14" x14ac:dyDescent="0.3">
      <c r="A5540" s="1">
        <v>44965</v>
      </c>
      <c r="B5540" t="s">
        <v>17</v>
      </c>
      <c r="C5540" t="s">
        <v>464</v>
      </c>
      <c r="D5540" s="8"/>
      <c r="E5540" s="8"/>
      <c r="M5540" t="s">
        <v>478</v>
      </c>
      <c r="N5540" t="str">
        <f>Tabela_tudo[[#This Row],[Médico]]&amp;" ("&amp;Tabela_tudo[[#This Row],[Obs]]&amp;")"</f>
        <v>FAB ()</v>
      </c>
    </row>
    <row r="5541" spans="1:14" x14ac:dyDescent="0.3">
      <c r="A5541" s="1">
        <v>45239</v>
      </c>
      <c r="B5541" t="s">
        <v>71</v>
      </c>
      <c r="C5541" t="s">
        <v>15</v>
      </c>
      <c r="D5541" s="8"/>
      <c r="E5541" s="8"/>
      <c r="M5541" t="s">
        <v>478</v>
      </c>
      <c r="N5541" t="str">
        <f>Tabela_tudo[[#This Row],[Médico]]&amp;" ("&amp;Tabela_tudo[[#This Row],[Obs]]&amp;")"</f>
        <v>BRU ()</v>
      </c>
    </row>
    <row r="5542" spans="1:14" x14ac:dyDescent="0.3">
      <c r="A5542" s="1">
        <v>44938</v>
      </c>
      <c r="B5542" t="s">
        <v>73</v>
      </c>
      <c r="C5542" t="s">
        <v>464</v>
      </c>
      <c r="D5542" s="8"/>
      <c r="E5542" s="8"/>
      <c r="M5542" t="s">
        <v>478</v>
      </c>
      <c r="N5542" t="str">
        <f>Tabela_tudo[[#This Row],[Médico]]&amp;" ("&amp;Tabela_tudo[[#This Row],[Obs]]&amp;")"</f>
        <v>RT ()</v>
      </c>
    </row>
    <row r="5543" spans="1:14" x14ac:dyDescent="0.3">
      <c r="A5543" s="1">
        <v>45238</v>
      </c>
      <c r="B5543" t="s">
        <v>72</v>
      </c>
      <c r="C5543" t="s">
        <v>13</v>
      </c>
      <c r="D5543" s="8"/>
      <c r="E5543" s="8"/>
      <c r="M5543" t="s">
        <v>478</v>
      </c>
      <c r="N5543" t="str">
        <f>Tabela_tudo[[#This Row],[Médico]]&amp;" ("&amp;Tabela_tudo[[#This Row],[Obs]]&amp;")"</f>
        <v>GRA ()</v>
      </c>
    </row>
    <row r="5544" spans="1:14" x14ac:dyDescent="0.3">
      <c r="A5544" s="1">
        <v>44937</v>
      </c>
      <c r="B5544" t="s">
        <v>73</v>
      </c>
      <c r="C5544" t="s">
        <v>464</v>
      </c>
      <c r="D5544" s="8"/>
      <c r="E5544" s="8"/>
      <c r="M5544" t="s">
        <v>478</v>
      </c>
      <c r="N5544" t="str">
        <f>Tabela_tudo[[#This Row],[Médico]]&amp;" ("&amp;Tabela_tudo[[#This Row],[Obs]]&amp;")"</f>
        <v>RT ()</v>
      </c>
    </row>
    <row r="5545" spans="1:14" x14ac:dyDescent="0.3">
      <c r="A5545" s="1">
        <v>45237</v>
      </c>
      <c r="B5545" t="s">
        <v>64</v>
      </c>
      <c r="C5545" t="s">
        <v>30</v>
      </c>
      <c r="D5545" s="8"/>
      <c r="E5545" s="8"/>
      <c r="M5545" t="s">
        <v>478</v>
      </c>
      <c r="N5545" t="str">
        <f>Tabela_tudo[[#This Row],[Médico]]&amp;" ("&amp;Tabela_tudo[[#This Row],[Obs]]&amp;")"</f>
        <v>SAR ()</v>
      </c>
    </row>
    <row r="5546" spans="1:14" x14ac:dyDescent="0.3">
      <c r="A5546" s="1">
        <v>44968</v>
      </c>
      <c r="B5546" t="s">
        <v>17</v>
      </c>
      <c r="C5546" t="s">
        <v>464</v>
      </c>
      <c r="D5546" s="8"/>
      <c r="E5546" s="8"/>
      <c r="M5546" t="s">
        <v>478</v>
      </c>
      <c r="N5546" t="str">
        <f>Tabela_tudo[[#This Row],[Médico]]&amp;" ("&amp;Tabela_tudo[[#This Row],[Obs]]&amp;")"</f>
        <v>FAB ()</v>
      </c>
    </row>
    <row r="5547" spans="1:14" x14ac:dyDescent="0.3">
      <c r="A5547" s="1">
        <v>45238</v>
      </c>
      <c r="B5547" t="s">
        <v>84</v>
      </c>
      <c r="C5547" t="s">
        <v>8</v>
      </c>
      <c r="D5547" s="8"/>
      <c r="E5547" s="8"/>
      <c r="M5547" t="s">
        <v>478</v>
      </c>
      <c r="N5547" t="str">
        <f>Tabela_tudo[[#This Row],[Médico]]&amp;" ("&amp;Tabela_tudo[[#This Row],[Obs]]&amp;")"</f>
        <v>ANO ()</v>
      </c>
    </row>
    <row r="5548" spans="1:14" x14ac:dyDescent="0.3">
      <c r="A5548" s="1">
        <v>44969</v>
      </c>
      <c r="B5548" t="s">
        <v>17</v>
      </c>
      <c r="C5548" t="s">
        <v>464</v>
      </c>
      <c r="D5548" s="8"/>
      <c r="E5548" s="8"/>
      <c r="M5548" t="s">
        <v>478</v>
      </c>
      <c r="N5548" t="str">
        <f>Tabela_tudo[[#This Row],[Médico]]&amp;" ("&amp;Tabela_tudo[[#This Row],[Obs]]&amp;")"</f>
        <v>FAB ()</v>
      </c>
    </row>
    <row r="5549" spans="1:14" x14ac:dyDescent="0.3">
      <c r="A5549" s="1">
        <v>45238</v>
      </c>
      <c r="B5549" t="s">
        <v>66</v>
      </c>
      <c r="C5549" t="s">
        <v>15</v>
      </c>
      <c r="D5549" s="8"/>
      <c r="E5549" s="8"/>
      <c r="M5549" t="s">
        <v>478</v>
      </c>
      <c r="N5549" t="str">
        <f>Tabela_tudo[[#This Row],[Médico]]&amp;" ("&amp;Tabela_tudo[[#This Row],[Obs]]&amp;")"</f>
        <v>MOZ ()</v>
      </c>
    </row>
    <row r="5550" spans="1:14" x14ac:dyDescent="0.3">
      <c r="A5550" s="1">
        <v>44929</v>
      </c>
      <c r="B5550" t="s">
        <v>16</v>
      </c>
      <c r="C5550" t="s">
        <v>464</v>
      </c>
      <c r="D5550" s="8"/>
      <c r="E5550" s="8"/>
      <c r="M5550" t="s">
        <v>478</v>
      </c>
      <c r="N5550" t="str">
        <f>Tabela_tudo[[#This Row],[Médico]]&amp;" ("&amp;Tabela_tudo[[#This Row],[Obs]]&amp;")"</f>
        <v>PP ()</v>
      </c>
    </row>
    <row r="5551" spans="1:14" x14ac:dyDescent="0.3">
      <c r="A5551" s="1">
        <v>45221</v>
      </c>
      <c r="B5551" t="s">
        <v>73</v>
      </c>
      <c r="C5551" t="s">
        <v>13</v>
      </c>
      <c r="D5551" s="8"/>
      <c r="E5551" s="8"/>
      <c r="M5551" t="s">
        <v>478</v>
      </c>
      <c r="N5551" t="str">
        <f>Tabela_tudo[[#This Row],[Médico]]&amp;" ("&amp;Tabela_tudo[[#This Row],[Obs]]&amp;")"</f>
        <v>RT ()</v>
      </c>
    </row>
    <row r="5552" spans="1:14" x14ac:dyDescent="0.3">
      <c r="A5552" s="1">
        <v>44928</v>
      </c>
      <c r="B5552" t="s">
        <v>16</v>
      </c>
      <c r="C5552" t="s">
        <v>464</v>
      </c>
      <c r="D5552" s="8"/>
      <c r="E5552" s="8"/>
      <c r="M5552" t="s">
        <v>478</v>
      </c>
      <c r="N5552" t="str">
        <f>Tabela_tudo[[#This Row],[Médico]]&amp;" ("&amp;Tabela_tudo[[#This Row],[Obs]]&amp;")"</f>
        <v>PP ()</v>
      </c>
    </row>
    <row r="5553" spans="1:14" x14ac:dyDescent="0.3">
      <c r="A5553" s="1">
        <v>45188</v>
      </c>
      <c r="B5553" t="s">
        <v>73</v>
      </c>
      <c r="C5553" t="s">
        <v>15</v>
      </c>
      <c r="D5553" s="8"/>
      <c r="E5553" s="8"/>
      <c r="M5553" t="s">
        <v>478</v>
      </c>
      <c r="N5553" t="str">
        <f>Tabela_tudo[[#This Row],[Médico]]&amp;" ("&amp;Tabela_tudo[[#This Row],[Obs]]&amp;")"</f>
        <v>RT ()</v>
      </c>
    </row>
    <row r="5554" spans="1:14" x14ac:dyDescent="0.3">
      <c r="A5554" s="1">
        <v>44931</v>
      </c>
      <c r="B5554" t="s">
        <v>16</v>
      </c>
      <c r="C5554" t="s">
        <v>464</v>
      </c>
      <c r="D5554" s="8"/>
      <c r="E5554" s="8"/>
      <c r="M5554" t="s">
        <v>478</v>
      </c>
      <c r="N5554" t="str">
        <f>Tabela_tudo[[#This Row],[Médico]]&amp;" ("&amp;Tabela_tudo[[#This Row],[Obs]]&amp;")"</f>
        <v>PP ()</v>
      </c>
    </row>
    <row r="5555" spans="1:14" x14ac:dyDescent="0.3">
      <c r="A5555" s="1">
        <v>45188</v>
      </c>
      <c r="B5555" t="s">
        <v>33</v>
      </c>
      <c r="C5555" t="s">
        <v>13</v>
      </c>
      <c r="D5555" s="8"/>
      <c r="E5555" s="8"/>
      <c r="M5555" t="s">
        <v>478</v>
      </c>
      <c r="N5555" t="str">
        <f>Tabela_tudo[[#This Row],[Médico]]&amp;" ("&amp;Tabela_tudo[[#This Row],[Obs]]&amp;")"</f>
        <v>DIF ()</v>
      </c>
    </row>
    <row r="5556" spans="1:14" x14ac:dyDescent="0.3">
      <c r="A5556" s="1">
        <v>44930</v>
      </c>
      <c r="B5556" t="s">
        <v>16</v>
      </c>
      <c r="C5556" t="s">
        <v>464</v>
      </c>
      <c r="D5556" s="8"/>
      <c r="E5556" s="8"/>
      <c r="M5556" t="s">
        <v>478</v>
      </c>
      <c r="N5556" t="str">
        <f>Tabela_tudo[[#This Row],[Médico]]&amp;" ("&amp;Tabela_tudo[[#This Row],[Obs]]&amp;")"</f>
        <v>PP ()</v>
      </c>
    </row>
    <row r="5557" spans="1:14" x14ac:dyDescent="0.3">
      <c r="A5557" s="1">
        <v>45188</v>
      </c>
      <c r="B5557" t="s">
        <v>23</v>
      </c>
      <c r="C5557" t="s">
        <v>45</v>
      </c>
      <c r="D5557" s="8"/>
      <c r="E5557" s="8"/>
      <c r="M5557" t="s">
        <v>478</v>
      </c>
      <c r="N5557" t="str">
        <f>Tabela_tudo[[#This Row],[Médico]]&amp;" ("&amp;Tabela_tudo[[#This Row],[Obs]]&amp;")"</f>
        <v>BG ()</v>
      </c>
    </row>
    <row r="5558" spans="1:14" x14ac:dyDescent="0.3">
      <c r="A5558" s="1">
        <v>44972</v>
      </c>
      <c r="B5558" t="s">
        <v>17</v>
      </c>
      <c r="C5558" t="s">
        <v>464</v>
      </c>
      <c r="D5558" s="8"/>
      <c r="E5558" s="8"/>
      <c r="M5558" t="s">
        <v>478</v>
      </c>
      <c r="N5558" t="str">
        <f>Tabela_tudo[[#This Row],[Médico]]&amp;" ("&amp;Tabela_tudo[[#This Row],[Obs]]&amp;")"</f>
        <v>FAB ()</v>
      </c>
    </row>
    <row r="5559" spans="1:14" x14ac:dyDescent="0.3">
      <c r="A5559" s="1">
        <v>45188</v>
      </c>
      <c r="B5559" t="s">
        <v>52</v>
      </c>
      <c r="C5559" t="s">
        <v>8</v>
      </c>
      <c r="D5559" s="8"/>
      <c r="E5559" s="8"/>
      <c r="M5559" t="s">
        <v>478</v>
      </c>
      <c r="N5559" t="str">
        <f>Tabela_tudo[[#This Row],[Médico]]&amp;" ("&amp;Tabela_tudo[[#This Row],[Obs]]&amp;")"</f>
        <v>AEL ()</v>
      </c>
    </row>
    <row r="5560" spans="1:14" x14ac:dyDescent="0.3">
      <c r="A5560" s="1">
        <v>44973</v>
      </c>
      <c r="B5560" t="s">
        <v>17</v>
      </c>
      <c r="C5560" t="s">
        <v>464</v>
      </c>
      <c r="D5560" s="8"/>
      <c r="E5560" s="8"/>
      <c r="M5560" t="s">
        <v>478</v>
      </c>
      <c r="N5560" t="str">
        <f>Tabela_tudo[[#This Row],[Médico]]&amp;" ("&amp;Tabela_tudo[[#This Row],[Obs]]&amp;")"</f>
        <v>FAB ()</v>
      </c>
    </row>
    <row r="5561" spans="1:14" x14ac:dyDescent="0.3">
      <c r="A5561" s="1">
        <v>45189</v>
      </c>
      <c r="B5561" t="s">
        <v>72</v>
      </c>
      <c r="C5561" t="s">
        <v>18</v>
      </c>
      <c r="D5561" s="8"/>
      <c r="E5561" s="8"/>
      <c r="M5561" t="s">
        <v>478</v>
      </c>
      <c r="N5561" t="str">
        <f>Tabela_tudo[[#This Row],[Médico]]&amp;" ("&amp;Tabela_tudo[[#This Row],[Obs]]&amp;")"</f>
        <v>GRA ()</v>
      </c>
    </row>
    <row r="5562" spans="1:14" x14ac:dyDescent="0.3">
      <c r="A5562" s="1">
        <v>44970</v>
      </c>
      <c r="B5562" t="s">
        <v>17</v>
      </c>
      <c r="C5562" t="s">
        <v>464</v>
      </c>
      <c r="D5562" s="8"/>
      <c r="E5562" s="8"/>
      <c r="M5562" t="s">
        <v>478</v>
      </c>
      <c r="N5562" t="str">
        <f>Tabela_tudo[[#This Row],[Médico]]&amp;" ("&amp;Tabela_tudo[[#This Row],[Obs]]&amp;")"</f>
        <v>FAB ()</v>
      </c>
    </row>
    <row r="5563" spans="1:14" x14ac:dyDescent="0.3">
      <c r="A5563" s="1">
        <v>45189</v>
      </c>
      <c r="B5563" t="s">
        <v>68</v>
      </c>
      <c r="C5563" t="s">
        <v>46</v>
      </c>
      <c r="D5563" s="8"/>
      <c r="E5563" s="8"/>
      <c r="M5563" t="s">
        <v>478</v>
      </c>
      <c r="N5563" t="str">
        <f>Tabela_tudo[[#This Row],[Médico]]&amp;" ("&amp;Tabela_tudo[[#This Row],[Obs]]&amp;")"</f>
        <v>PED ()</v>
      </c>
    </row>
    <row r="5564" spans="1:14" x14ac:dyDescent="0.3">
      <c r="A5564" s="1">
        <v>44971</v>
      </c>
      <c r="B5564" t="s">
        <v>17</v>
      </c>
      <c r="C5564" t="s">
        <v>464</v>
      </c>
      <c r="D5564" s="8"/>
      <c r="E5564" s="8"/>
      <c r="M5564" t="s">
        <v>478</v>
      </c>
      <c r="N5564" t="str">
        <f>Tabela_tudo[[#This Row],[Médico]]&amp;" ("&amp;Tabela_tudo[[#This Row],[Obs]]&amp;")"</f>
        <v>FAB ()</v>
      </c>
    </row>
    <row r="5565" spans="1:14" x14ac:dyDescent="0.3">
      <c r="A5565" s="1">
        <v>45189</v>
      </c>
      <c r="B5565" t="s">
        <v>73</v>
      </c>
      <c r="C5565" t="s">
        <v>51</v>
      </c>
      <c r="D5565" s="8"/>
      <c r="E5565" s="8"/>
      <c r="M5565" t="s">
        <v>478</v>
      </c>
      <c r="N5565" t="str">
        <f>Tabela_tudo[[#This Row],[Médico]]&amp;" ("&amp;Tabela_tudo[[#This Row],[Obs]]&amp;")"</f>
        <v>RT ()</v>
      </c>
    </row>
    <row r="5566" spans="1:14" x14ac:dyDescent="0.3">
      <c r="A5566" s="1">
        <v>44937</v>
      </c>
      <c r="B5566" t="s">
        <v>16</v>
      </c>
      <c r="C5566" t="s">
        <v>464</v>
      </c>
      <c r="D5566" s="8"/>
      <c r="E5566" s="8"/>
      <c r="M5566" t="s">
        <v>478</v>
      </c>
      <c r="N5566" t="str">
        <f>Tabela_tudo[[#This Row],[Médico]]&amp;" ("&amp;Tabela_tudo[[#This Row],[Obs]]&amp;")"</f>
        <v>PP ()</v>
      </c>
    </row>
    <row r="5567" spans="1:14" x14ac:dyDescent="0.3">
      <c r="A5567" s="1">
        <v>45189</v>
      </c>
      <c r="B5567" t="s">
        <v>48</v>
      </c>
      <c r="C5567" t="s">
        <v>49</v>
      </c>
      <c r="D5567" s="8"/>
      <c r="E5567" s="8"/>
      <c r="M5567" t="s">
        <v>478</v>
      </c>
      <c r="N5567" t="str">
        <f>Tabela_tudo[[#This Row],[Médico]]&amp;" ("&amp;Tabela_tudo[[#This Row],[Obs]]&amp;")"</f>
        <v>MAF ()</v>
      </c>
    </row>
    <row r="5568" spans="1:14" x14ac:dyDescent="0.3">
      <c r="A5568" s="1">
        <v>44936</v>
      </c>
      <c r="B5568" t="s">
        <v>16</v>
      </c>
      <c r="C5568" t="s">
        <v>464</v>
      </c>
      <c r="D5568" s="8"/>
      <c r="E5568" s="8"/>
      <c r="M5568" t="s">
        <v>478</v>
      </c>
      <c r="N5568" t="str">
        <f>Tabela_tudo[[#This Row],[Médico]]&amp;" ("&amp;Tabela_tudo[[#This Row],[Obs]]&amp;")"</f>
        <v>PP ()</v>
      </c>
    </row>
    <row r="5569" spans="1:14" x14ac:dyDescent="0.3">
      <c r="A5569" s="1">
        <v>45188</v>
      </c>
      <c r="B5569" t="s">
        <v>47</v>
      </c>
      <c r="C5569" t="s">
        <v>30</v>
      </c>
      <c r="D5569" s="8"/>
      <c r="E5569" s="8"/>
      <c r="M5569" t="s">
        <v>478</v>
      </c>
      <c r="N5569" t="str">
        <f>Tabela_tudo[[#This Row],[Médico]]&amp;" ("&amp;Tabela_tudo[[#This Row],[Obs]]&amp;")"</f>
        <v>VIN ()</v>
      </c>
    </row>
    <row r="5570" spans="1:14" x14ac:dyDescent="0.3">
      <c r="A5570" s="1">
        <v>44939</v>
      </c>
      <c r="B5570" t="s">
        <v>16</v>
      </c>
      <c r="C5570" t="s">
        <v>464</v>
      </c>
      <c r="D5570" s="8"/>
      <c r="E5570" s="8"/>
      <c r="M5570" t="s">
        <v>478</v>
      </c>
      <c r="N5570" t="str">
        <f>Tabela_tudo[[#This Row],[Médico]]&amp;" ("&amp;Tabela_tudo[[#This Row],[Obs]]&amp;")"</f>
        <v>PP ()</v>
      </c>
    </row>
    <row r="5571" spans="1:14" x14ac:dyDescent="0.3">
      <c r="A5571" s="1">
        <v>45188</v>
      </c>
      <c r="B5571" t="s">
        <v>37</v>
      </c>
      <c r="C5571" t="s">
        <v>43</v>
      </c>
      <c r="D5571" s="8"/>
      <c r="E5571" s="8"/>
      <c r="M5571" t="s">
        <v>478</v>
      </c>
      <c r="N5571" t="str">
        <f>Tabela_tudo[[#This Row],[Médico]]&amp;" ("&amp;Tabela_tudo[[#This Row],[Obs]]&amp;")"</f>
        <v>EBB ()</v>
      </c>
    </row>
    <row r="5572" spans="1:14" x14ac:dyDescent="0.3">
      <c r="A5572" s="1">
        <v>44938</v>
      </c>
      <c r="B5572" t="s">
        <v>16</v>
      </c>
      <c r="C5572" t="s">
        <v>464</v>
      </c>
      <c r="D5572" s="8"/>
      <c r="E5572" s="8"/>
      <c r="M5572" t="s">
        <v>478</v>
      </c>
      <c r="N5572" t="str">
        <f>Tabela_tudo[[#This Row],[Médico]]&amp;" ("&amp;Tabela_tudo[[#This Row],[Obs]]&amp;")"</f>
        <v>PP ()</v>
      </c>
    </row>
    <row r="5573" spans="1:14" x14ac:dyDescent="0.3">
      <c r="A5573" s="1">
        <v>45188</v>
      </c>
      <c r="B5573" t="s">
        <v>66</v>
      </c>
      <c r="C5573" t="s">
        <v>30</v>
      </c>
      <c r="D5573" s="8"/>
      <c r="E5573" s="8"/>
      <c r="M5573" t="s">
        <v>478</v>
      </c>
      <c r="N5573" t="str">
        <f>Tabela_tudo[[#This Row],[Médico]]&amp;" ("&amp;Tabela_tudo[[#This Row],[Obs]]&amp;")"</f>
        <v>MOZ ()</v>
      </c>
    </row>
    <row r="5574" spans="1:14" x14ac:dyDescent="0.3">
      <c r="A5574" s="1">
        <v>44933</v>
      </c>
      <c r="B5574" t="s">
        <v>16</v>
      </c>
      <c r="C5574" t="s">
        <v>464</v>
      </c>
      <c r="D5574" s="8"/>
      <c r="E5574" s="8"/>
      <c r="M5574" t="s">
        <v>478</v>
      </c>
      <c r="N5574" t="str">
        <f>Tabela_tudo[[#This Row],[Médico]]&amp;" ("&amp;Tabela_tudo[[#This Row],[Obs]]&amp;")"</f>
        <v>PP ()</v>
      </c>
    </row>
    <row r="5575" spans="1:14" x14ac:dyDescent="0.3">
      <c r="A5575" s="1">
        <v>45188</v>
      </c>
      <c r="B5575" t="s">
        <v>32</v>
      </c>
      <c r="C5575" t="s">
        <v>30</v>
      </c>
      <c r="D5575" s="8"/>
      <c r="E5575" s="8"/>
      <c r="M5575" t="s">
        <v>478</v>
      </c>
      <c r="N5575" t="str">
        <f>Tabela_tudo[[#This Row],[Médico]]&amp;" ("&amp;Tabela_tudo[[#This Row],[Obs]]&amp;")"</f>
        <v>JS ()</v>
      </c>
    </row>
    <row r="5576" spans="1:14" x14ac:dyDescent="0.3">
      <c r="A5576" s="1">
        <v>44932</v>
      </c>
      <c r="B5576" t="s">
        <v>16</v>
      </c>
      <c r="C5576" t="s">
        <v>464</v>
      </c>
      <c r="D5576" s="8"/>
      <c r="E5576" s="8"/>
      <c r="M5576" t="s">
        <v>478</v>
      </c>
      <c r="N5576" t="str">
        <f>Tabela_tudo[[#This Row],[Médico]]&amp;" ("&amp;Tabela_tudo[[#This Row],[Obs]]&amp;")"</f>
        <v>PP ()</v>
      </c>
    </row>
    <row r="5577" spans="1:14" x14ac:dyDescent="0.3">
      <c r="A5577" s="1">
        <v>45188</v>
      </c>
      <c r="B5577" t="s">
        <v>94</v>
      </c>
      <c r="C5577" t="s">
        <v>18</v>
      </c>
      <c r="D5577" s="8"/>
      <c r="E5577" s="8"/>
      <c r="M5577" t="s">
        <v>478</v>
      </c>
      <c r="N5577" t="str">
        <f>Tabela_tudo[[#This Row],[Médico]]&amp;" ("&amp;Tabela_tudo[[#This Row],[Obs]]&amp;")"</f>
        <v>TOT ()</v>
      </c>
    </row>
    <row r="5578" spans="1:14" x14ac:dyDescent="0.3">
      <c r="A5578" s="1">
        <v>44935</v>
      </c>
      <c r="B5578" t="s">
        <v>16</v>
      </c>
      <c r="C5578" t="s">
        <v>464</v>
      </c>
      <c r="D5578" s="8"/>
      <c r="E5578" s="8"/>
      <c r="M5578" t="s">
        <v>478</v>
      </c>
      <c r="N5578" t="str">
        <f>Tabela_tudo[[#This Row],[Médico]]&amp;" ("&amp;Tabela_tudo[[#This Row],[Obs]]&amp;")"</f>
        <v>PP ()</v>
      </c>
    </row>
    <row r="5579" spans="1:14" x14ac:dyDescent="0.3">
      <c r="A5579" s="1">
        <v>45188</v>
      </c>
      <c r="B5579" t="s">
        <v>16</v>
      </c>
      <c r="C5579" t="s">
        <v>46</v>
      </c>
      <c r="D5579" s="8"/>
      <c r="E5579" s="8"/>
      <c r="M5579" t="s">
        <v>478</v>
      </c>
      <c r="N5579" t="str">
        <f>Tabela_tudo[[#This Row],[Médico]]&amp;" ("&amp;Tabela_tudo[[#This Row],[Obs]]&amp;")"</f>
        <v>PP ()</v>
      </c>
    </row>
    <row r="5580" spans="1:14" x14ac:dyDescent="0.3">
      <c r="A5580" s="1">
        <v>44934</v>
      </c>
      <c r="B5580" t="s">
        <v>16</v>
      </c>
      <c r="C5580" t="s">
        <v>464</v>
      </c>
      <c r="D5580" s="8"/>
      <c r="E5580" s="8"/>
      <c r="M5580" t="s">
        <v>478</v>
      </c>
      <c r="N5580" t="str">
        <f>Tabela_tudo[[#This Row],[Médico]]&amp;" ("&amp;Tabela_tudo[[#This Row],[Obs]]&amp;")"</f>
        <v>PP ()</v>
      </c>
    </row>
    <row r="5581" spans="1:14" x14ac:dyDescent="0.3">
      <c r="A5581" s="1">
        <v>45188</v>
      </c>
      <c r="B5581" t="s">
        <v>75</v>
      </c>
      <c r="C5581" t="s">
        <v>51</v>
      </c>
      <c r="D5581" s="8"/>
      <c r="E5581" s="8"/>
      <c r="M5581" t="s">
        <v>478</v>
      </c>
      <c r="N5581" t="str">
        <f>Tabela_tudo[[#This Row],[Médico]]&amp;" ("&amp;Tabela_tudo[[#This Row],[Obs]]&amp;")"</f>
        <v>KOP ()</v>
      </c>
    </row>
    <row r="5582" spans="1:14" x14ac:dyDescent="0.3">
      <c r="A5582" s="1">
        <v>44995</v>
      </c>
      <c r="B5582" t="s">
        <v>63</v>
      </c>
      <c r="C5582" t="s">
        <v>464</v>
      </c>
      <c r="D5582" s="8"/>
      <c r="E5582" s="8"/>
      <c r="M5582" t="s">
        <v>478</v>
      </c>
      <c r="N5582" t="str">
        <f>Tabela_tudo[[#This Row],[Médico]]&amp;" ("&amp;Tabela_tudo[[#This Row],[Obs]]&amp;")"</f>
        <v>FQ ()</v>
      </c>
    </row>
    <row r="5583" spans="1:14" x14ac:dyDescent="0.3">
      <c r="A5583" s="1">
        <v>45188</v>
      </c>
      <c r="B5583" t="s">
        <v>48</v>
      </c>
      <c r="C5583" t="s">
        <v>49</v>
      </c>
      <c r="D5583" s="8"/>
      <c r="E5583" s="8"/>
      <c r="M5583" t="s">
        <v>478</v>
      </c>
      <c r="N5583" t="str">
        <f>Tabela_tudo[[#This Row],[Médico]]&amp;" ("&amp;Tabela_tudo[[#This Row],[Obs]]&amp;")"</f>
        <v>MAF ()</v>
      </c>
    </row>
    <row r="5584" spans="1:14" x14ac:dyDescent="0.3">
      <c r="A5584" s="1">
        <v>44996</v>
      </c>
      <c r="B5584" t="s">
        <v>63</v>
      </c>
      <c r="C5584" t="s">
        <v>464</v>
      </c>
      <c r="D5584" s="8"/>
      <c r="E5584" s="8"/>
      <c r="M5584" t="s">
        <v>478</v>
      </c>
      <c r="N5584" t="str">
        <f>Tabela_tudo[[#This Row],[Médico]]&amp;" ("&amp;Tabela_tudo[[#This Row],[Obs]]&amp;")"</f>
        <v>FQ ()</v>
      </c>
    </row>
    <row r="5585" spans="1:14" x14ac:dyDescent="0.3">
      <c r="A5585" s="1">
        <v>45189</v>
      </c>
      <c r="B5585" t="s">
        <v>66</v>
      </c>
      <c r="C5585" t="s">
        <v>45</v>
      </c>
      <c r="D5585" s="8"/>
      <c r="E5585" s="8"/>
      <c r="M5585" t="s">
        <v>478</v>
      </c>
      <c r="N5585" t="str">
        <f>Tabela_tudo[[#This Row],[Médico]]&amp;" ("&amp;Tabela_tudo[[#This Row],[Obs]]&amp;")"</f>
        <v>MOZ ()</v>
      </c>
    </row>
    <row r="5586" spans="1:14" x14ac:dyDescent="0.3">
      <c r="A5586" s="1">
        <v>44993</v>
      </c>
      <c r="B5586" t="s">
        <v>63</v>
      </c>
      <c r="C5586" t="s">
        <v>464</v>
      </c>
      <c r="D5586" s="8"/>
      <c r="E5586" s="8"/>
      <c r="M5586" t="s">
        <v>478</v>
      </c>
      <c r="N5586" t="str">
        <f>Tabela_tudo[[#This Row],[Médico]]&amp;" ("&amp;Tabela_tudo[[#This Row],[Obs]]&amp;")"</f>
        <v>FQ ()</v>
      </c>
    </row>
    <row r="5587" spans="1:14" x14ac:dyDescent="0.3">
      <c r="A5587" s="1">
        <v>45184</v>
      </c>
      <c r="B5587" t="s">
        <v>23</v>
      </c>
      <c r="C5587" t="s">
        <v>45</v>
      </c>
      <c r="D5587" s="8"/>
      <c r="E5587" s="8"/>
      <c r="M5587" t="s">
        <v>478</v>
      </c>
      <c r="N5587" t="str">
        <f>Tabela_tudo[[#This Row],[Médico]]&amp;" ("&amp;Tabela_tudo[[#This Row],[Obs]]&amp;")"</f>
        <v>BG ()</v>
      </c>
    </row>
    <row r="5588" spans="1:14" x14ac:dyDescent="0.3">
      <c r="A5588" s="1">
        <v>44994</v>
      </c>
      <c r="B5588" t="s">
        <v>63</v>
      </c>
      <c r="C5588" t="s">
        <v>464</v>
      </c>
      <c r="D5588" s="8"/>
      <c r="E5588" s="8"/>
      <c r="M5588" t="s">
        <v>478</v>
      </c>
      <c r="N5588" t="str">
        <f>Tabela_tudo[[#This Row],[Médico]]&amp;" ("&amp;Tabela_tudo[[#This Row],[Obs]]&amp;")"</f>
        <v>FQ ()</v>
      </c>
    </row>
    <row r="5589" spans="1:14" x14ac:dyDescent="0.3">
      <c r="A5589" s="1">
        <v>45184</v>
      </c>
      <c r="B5589" t="s">
        <v>52</v>
      </c>
      <c r="C5589" t="s">
        <v>8</v>
      </c>
      <c r="D5589" s="8"/>
      <c r="E5589" s="8"/>
      <c r="M5589" t="s">
        <v>478</v>
      </c>
      <c r="N5589" t="str">
        <f>Tabela_tudo[[#This Row],[Médico]]&amp;" ("&amp;Tabela_tudo[[#This Row],[Obs]]&amp;")"</f>
        <v>AEL ()</v>
      </c>
    </row>
    <row r="5590" spans="1:14" x14ac:dyDescent="0.3">
      <c r="A5590" s="1">
        <v>44992</v>
      </c>
      <c r="B5590" t="s">
        <v>48</v>
      </c>
      <c r="C5590" t="s">
        <v>464</v>
      </c>
      <c r="D5590" s="8"/>
      <c r="E5590" s="8"/>
      <c r="M5590" t="s">
        <v>478</v>
      </c>
      <c r="N5590" t="str">
        <f>Tabela_tudo[[#This Row],[Médico]]&amp;" ("&amp;Tabela_tudo[[#This Row],[Obs]]&amp;")"</f>
        <v>MAF ()</v>
      </c>
    </row>
    <row r="5591" spans="1:14" x14ac:dyDescent="0.3">
      <c r="A5591" s="1">
        <v>45184</v>
      </c>
      <c r="B5591" t="s">
        <v>47</v>
      </c>
      <c r="C5591" t="s">
        <v>18</v>
      </c>
      <c r="D5591" s="8"/>
      <c r="E5591" s="8"/>
      <c r="M5591" t="s">
        <v>478</v>
      </c>
      <c r="N5591" t="str">
        <f>Tabela_tudo[[#This Row],[Médico]]&amp;" ("&amp;Tabela_tudo[[#This Row],[Obs]]&amp;")"</f>
        <v>VIN ()</v>
      </c>
    </row>
    <row r="5592" spans="1:14" x14ac:dyDescent="0.3">
      <c r="A5592" s="1">
        <v>44993</v>
      </c>
      <c r="B5592" t="s">
        <v>48</v>
      </c>
      <c r="C5592" t="s">
        <v>464</v>
      </c>
      <c r="D5592" s="8"/>
      <c r="E5592" s="8"/>
      <c r="M5592" t="s">
        <v>478</v>
      </c>
      <c r="N5592" t="str">
        <f>Tabela_tudo[[#This Row],[Médico]]&amp;" ("&amp;Tabela_tudo[[#This Row],[Obs]]&amp;")"</f>
        <v>MAF ()</v>
      </c>
    </row>
    <row r="5593" spans="1:14" x14ac:dyDescent="0.3">
      <c r="A5593" s="1">
        <v>45184</v>
      </c>
      <c r="B5593" t="s">
        <v>21</v>
      </c>
      <c r="C5593" t="s">
        <v>46</v>
      </c>
      <c r="D5593" s="8"/>
      <c r="E5593" s="8"/>
      <c r="M5593" t="s">
        <v>478</v>
      </c>
      <c r="N5593" t="str">
        <f>Tabela_tudo[[#This Row],[Médico]]&amp;" ("&amp;Tabela_tudo[[#This Row],[Obs]]&amp;")"</f>
        <v>RA ()</v>
      </c>
    </row>
    <row r="5594" spans="1:14" x14ac:dyDescent="0.3">
      <c r="A5594" s="1">
        <v>44997</v>
      </c>
      <c r="B5594" t="s">
        <v>63</v>
      </c>
      <c r="C5594" t="s">
        <v>464</v>
      </c>
      <c r="D5594" s="8"/>
      <c r="E5594" s="8"/>
      <c r="M5594" t="s">
        <v>478</v>
      </c>
      <c r="N5594" t="str">
        <f>Tabela_tudo[[#This Row],[Médico]]&amp;" ("&amp;Tabela_tudo[[#This Row],[Obs]]&amp;")"</f>
        <v>FQ ()</v>
      </c>
    </row>
    <row r="5595" spans="1:14" x14ac:dyDescent="0.3">
      <c r="A5595" s="1">
        <v>45187</v>
      </c>
      <c r="B5595" t="s">
        <v>66</v>
      </c>
      <c r="C5595" t="s">
        <v>30</v>
      </c>
      <c r="D5595" s="8"/>
      <c r="E5595" s="8"/>
      <c r="M5595" t="s">
        <v>478</v>
      </c>
      <c r="N5595" t="str">
        <f>Tabela_tudo[[#This Row],[Médico]]&amp;" ("&amp;Tabela_tudo[[#This Row],[Obs]]&amp;")"</f>
        <v>MOZ ()</v>
      </c>
    </row>
    <row r="5596" spans="1:14" x14ac:dyDescent="0.3">
      <c r="A5596" s="1">
        <v>44991</v>
      </c>
      <c r="B5596" t="s">
        <v>48</v>
      </c>
      <c r="C5596" t="s">
        <v>464</v>
      </c>
      <c r="D5596" s="8"/>
      <c r="E5596" s="8"/>
      <c r="M5596" t="s">
        <v>478</v>
      </c>
      <c r="N5596" t="str">
        <f>Tabela_tudo[[#This Row],[Médico]]&amp;" ("&amp;Tabela_tudo[[#This Row],[Obs]]&amp;")"</f>
        <v>MAF ()</v>
      </c>
    </row>
    <row r="5597" spans="1:14" x14ac:dyDescent="0.3">
      <c r="A5597" s="1">
        <v>45187</v>
      </c>
      <c r="B5597" t="s">
        <v>33</v>
      </c>
      <c r="C5597" t="s">
        <v>43</v>
      </c>
      <c r="D5597" s="8"/>
      <c r="E5597" s="8"/>
      <c r="M5597" t="s">
        <v>478</v>
      </c>
      <c r="N5597" t="str">
        <f>Tabela_tudo[[#This Row],[Médico]]&amp;" ("&amp;Tabela_tudo[[#This Row],[Obs]]&amp;")"</f>
        <v>DIF ()</v>
      </c>
    </row>
    <row r="5598" spans="1:14" x14ac:dyDescent="0.3">
      <c r="A5598" s="1">
        <v>44994</v>
      </c>
      <c r="B5598" t="s">
        <v>68</v>
      </c>
      <c r="C5598" t="s">
        <v>464</v>
      </c>
      <c r="D5598" s="8"/>
      <c r="E5598" s="8"/>
      <c r="M5598" t="s">
        <v>478</v>
      </c>
      <c r="N5598" t="str">
        <f>Tabela_tudo[[#This Row],[Médico]]&amp;" ("&amp;Tabela_tudo[[#This Row],[Obs]]&amp;")"</f>
        <v>PED ()</v>
      </c>
    </row>
    <row r="5599" spans="1:14" x14ac:dyDescent="0.3">
      <c r="A5599" s="1">
        <v>45184</v>
      </c>
      <c r="B5599" t="s">
        <v>34</v>
      </c>
      <c r="C5599" t="s">
        <v>15</v>
      </c>
      <c r="D5599" s="8"/>
      <c r="E5599" s="8"/>
      <c r="M5599" t="s">
        <v>478</v>
      </c>
      <c r="N5599" t="str">
        <f>Tabela_tudo[[#This Row],[Médico]]&amp;" ("&amp;Tabela_tudo[[#This Row],[Obs]]&amp;")"</f>
        <v>LIP ()</v>
      </c>
    </row>
    <row r="5600" spans="1:14" x14ac:dyDescent="0.3">
      <c r="A5600" s="1">
        <v>44995</v>
      </c>
      <c r="B5600" t="s">
        <v>68</v>
      </c>
      <c r="C5600" t="s">
        <v>464</v>
      </c>
      <c r="D5600" s="8"/>
      <c r="E5600" s="8"/>
      <c r="M5600" t="s">
        <v>478</v>
      </c>
      <c r="N5600" t="str">
        <f>Tabela_tudo[[#This Row],[Médico]]&amp;" ("&amp;Tabela_tudo[[#This Row],[Obs]]&amp;")"</f>
        <v>PED ()</v>
      </c>
    </row>
    <row r="5601" spans="1:14" x14ac:dyDescent="0.3">
      <c r="A5601" s="1">
        <v>45184</v>
      </c>
      <c r="B5601" t="s">
        <v>50</v>
      </c>
      <c r="C5601" t="s">
        <v>13</v>
      </c>
      <c r="D5601" s="8"/>
      <c r="E5601" s="8"/>
      <c r="M5601" t="s">
        <v>478</v>
      </c>
      <c r="N5601" t="str">
        <f>Tabela_tudo[[#This Row],[Médico]]&amp;" ("&amp;Tabela_tudo[[#This Row],[Obs]]&amp;")"</f>
        <v>PJP ()</v>
      </c>
    </row>
    <row r="5602" spans="1:14" x14ac:dyDescent="0.3">
      <c r="A5602" s="1">
        <v>44992</v>
      </c>
      <c r="B5602" t="s">
        <v>68</v>
      </c>
      <c r="C5602" t="s">
        <v>464</v>
      </c>
      <c r="D5602" s="8"/>
      <c r="E5602" s="8"/>
      <c r="M5602" t="s">
        <v>478</v>
      </c>
      <c r="N5602" t="str">
        <f>Tabela_tudo[[#This Row],[Médico]]&amp;" ("&amp;Tabela_tudo[[#This Row],[Obs]]&amp;")"</f>
        <v>PED ()</v>
      </c>
    </row>
    <row r="5603" spans="1:14" x14ac:dyDescent="0.3">
      <c r="A5603" s="1">
        <v>45189</v>
      </c>
      <c r="B5603" t="s">
        <v>94</v>
      </c>
      <c r="C5603" t="s">
        <v>13</v>
      </c>
      <c r="D5603" s="8"/>
      <c r="E5603" s="8"/>
      <c r="M5603" t="s">
        <v>478</v>
      </c>
      <c r="N5603" t="str">
        <f>Tabela_tudo[[#This Row],[Médico]]&amp;" ("&amp;Tabela_tudo[[#This Row],[Obs]]&amp;")"</f>
        <v>TOT ()</v>
      </c>
    </row>
    <row r="5604" spans="1:14" x14ac:dyDescent="0.3">
      <c r="A5604" s="1">
        <v>44993</v>
      </c>
      <c r="B5604" t="s">
        <v>68</v>
      </c>
      <c r="C5604" t="s">
        <v>464</v>
      </c>
      <c r="D5604" s="8"/>
      <c r="E5604" s="8"/>
      <c r="M5604" t="s">
        <v>478</v>
      </c>
      <c r="N5604" t="str">
        <f>Tabela_tudo[[#This Row],[Médico]]&amp;" ("&amp;Tabela_tudo[[#This Row],[Obs]]&amp;")"</f>
        <v>PED ()</v>
      </c>
    </row>
    <row r="5605" spans="1:14" x14ac:dyDescent="0.3">
      <c r="A5605" s="1">
        <v>45184</v>
      </c>
      <c r="B5605" t="s">
        <v>66</v>
      </c>
      <c r="C5605" t="s">
        <v>30</v>
      </c>
      <c r="D5605" s="8"/>
      <c r="E5605" s="8"/>
      <c r="M5605" t="s">
        <v>478</v>
      </c>
      <c r="N5605" t="str">
        <f>Tabela_tudo[[#This Row],[Médico]]&amp;" ("&amp;Tabela_tudo[[#This Row],[Obs]]&amp;")"</f>
        <v>MOZ ()</v>
      </c>
    </row>
    <row r="5606" spans="1:14" x14ac:dyDescent="0.3">
      <c r="A5606" s="1">
        <v>44991</v>
      </c>
      <c r="B5606" t="s">
        <v>63</v>
      </c>
      <c r="C5606" t="s">
        <v>464</v>
      </c>
      <c r="D5606" s="8"/>
      <c r="E5606" s="8"/>
      <c r="M5606" t="s">
        <v>478</v>
      </c>
      <c r="N5606" t="str">
        <f>Tabela_tudo[[#This Row],[Médico]]&amp;" ("&amp;Tabela_tudo[[#This Row],[Obs]]&amp;")"</f>
        <v>FQ ()</v>
      </c>
    </row>
    <row r="5607" spans="1:14" x14ac:dyDescent="0.3">
      <c r="A5607" s="1">
        <v>45189</v>
      </c>
      <c r="B5607" t="s">
        <v>47</v>
      </c>
      <c r="C5607" t="s">
        <v>78</v>
      </c>
      <c r="D5607" s="8"/>
      <c r="E5607" s="8"/>
      <c r="M5607" t="s">
        <v>478</v>
      </c>
      <c r="N5607" t="str">
        <f>Tabela_tudo[[#This Row],[Médico]]&amp;" ("&amp;Tabela_tudo[[#This Row],[Obs]]&amp;")"</f>
        <v>VIN ()</v>
      </c>
    </row>
    <row r="5608" spans="1:14" x14ac:dyDescent="0.3">
      <c r="A5608" s="1">
        <v>44992</v>
      </c>
      <c r="B5608" t="s">
        <v>63</v>
      </c>
      <c r="C5608" t="s">
        <v>464</v>
      </c>
      <c r="D5608" s="8"/>
      <c r="E5608" s="8"/>
      <c r="M5608" t="s">
        <v>478</v>
      </c>
      <c r="N5608" t="str">
        <f>Tabela_tudo[[#This Row],[Médico]]&amp;" ("&amp;Tabela_tudo[[#This Row],[Obs]]&amp;")"</f>
        <v>FQ ()</v>
      </c>
    </row>
    <row r="5609" spans="1:14" x14ac:dyDescent="0.3">
      <c r="A5609" s="1">
        <v>45189</v>
      </c>
      <c r="B5609" t="s">
        <v>68</v>
      </c>
      <c r="C5609" t="s">
        <v>8</v>
      </c>
      <c r="D5609" s="8"/>
      <c r="E5609" s="8"/>
      <c r="M5609" t="s">
        <v>478</v>
      </c>
      <c r="N5609" t="str">
        <f>Tabela_tudo[[#This Row],[Médico]]&amp;" ("&amp;Tabela_tudo[[#This Row],[Obs]]&amp;")"</f>
        <v>PED ()</v>
      </c>
    </row>
    <row r="5610" spans="1:14" x14ac:dyDescent="0.3">
      <c r="A5610" s="1">
        <v>44996</v>
      </c>
      <c r="B5610" t="s">
        <v>68</v>
      </c>
      <c r="C5610" t="s">
        <v>464</v>
      </c>
      <c r="D5610" s="8"/>
      <c r="E5610" s="8"/>
      <c r="M5610" t="s">
        <v>478</v>
      </c>
      <c r="N5610" t="str">
        <f>Tabela_tudo[[#This Row],[Médico]]&amp;" ("&amp;Tabela_tudo[[#This Row],[Obs]]&amp;")"</f>
        <v>PED ()</v>
      </c>
    </row>
    <row r="5611" spans="1:14" x14ac:dyDescent="0.3">
      <c r="A5611" s="1">
        <v>45184</v>
      </c>
      <c r="B5611" t="s">
        <v>17</v>
      </c>
      <c r="C5611" t="s">
        <v>51</v>
      </c>
      <c r="D5611" s="8"/>
      <c r="E5611" s="8"/>
      <c r="M5611" t="s">
        <v>478</v>
      </c>
      <c r="N5611" t="str">
        <f>Tabela_tudo[[#This Row],[Médico]]&amp;" ("&amp;Tabela_tudo[[#This Row],[Obs]]&amp;")"</f>
        <v>FAB ()</v>
      </c>
    </row>
    <row r="5612" spans="1:14" x14ac:dyDescent="0.3">
      <c r="A5612" s="1">
        <v>44997</v>
      </c>
      <c r="B5612" t="s">
        <v>68</v>
      </c>
      <c r="C5612" t="s">
        <v>464</v>
      </c>
      <c r="D5612" s="8"/>
      <c r="E5612" s="8"/>
      <c r="M5612" t="s">
        <v>478</v>
      </c>
      <c r="N5612" t="str">
        <f>Tabela_tudo[[#This Row],[Médico]]&amp;" ("&amp;Tabela_tudo[[#This Row],[Obs]]&amp;")"</f>
        <v>PED ()</v>
      </c>
    </row>
    <row r="5613" spans="1:14" x14ac:dyDescent="0.3">
      <c r="A5613" s="1">
        <v>45184</v>
      </c>
      <c r="B5613" t="s">
        <v>71</v>
      </c>
      <c r="C5613" t="s">
        <v>49</v>
      </c>
      <c r="D5613" s="8"/>
      <c r="E5613" s="8"/>
      <c r="M5613" t="s">
        <v>478</v>
      </c>
      <c r="N5613" t="str">
        <f>Tabela_tudo[[#This Row],[Médico]]&amp;" ("&amp;Tabela_tudo[[#This Row],[Obs]]&amp;")"</f>
        <v>BRU ()</v>
      </c>
    </row>
    <row r="5614" spans="1:14" x14ac:dyDescent="0.3">
      <c r="A5614" s="1">
        <v>45000</v>
      </c>
      <c r="B5614" t="s">
        <v>84</v>
      </c>
      <c r="C5614" t="s">
        <v>465</v>
      </c>
      <c r="D5614" s="8"/>
      <c r="E5614" s="8"/>
      <c r="M5614" t="s">
        <v>478</v>
      </c>
      <c r="N5614" t="str">
        <f>Tabela_tudo[[#This Row],[Médico]]&amp;" ("&amp;Tabela_tudo[[#This Row],[Obs]]&amp;")"</f>
        <v>ANO ()</v>
      </c>
    </row>
    <row r="5615" spans="1:14" x14ac:dyDescent="0.3">
      <c r="A5615" s="1">
        <v>45184</v>
      </c>
      <c r="B5615" t="s">
        <v>52</v>
      </c>
      <c r="C5615" t="s">
        <v>30</v>
      </c>
      <c r="D5615" s="8"/>
      <c r="E5615" s="8"/>
      <c r="M5615" t="s">
        <v>478</v>
      </c>
      <c r="N5615" t="str">
        <f>Tabela_tudo[[#This Row],[Médico]]&amp;" ("&amp;Tabela_tudo[[#This Row],[Obs]]&amp;")"</f>
        <v>AEL ()</v>
      </c>
    </row>
    <row r="5616" spans="1:14" x14ac:dyDescent="0.3">
      <c r="A5616" s="1">
        <v>45001</v>
      </c>
      <c r="B5616" t="s">
        <v>84</v>
      </c>
      <c r="C5616" t="s">
        <v>465</v>
      </c>
      <c r="D5616" s="8"/>
      <c r="E5616" s="8"/>
      <c r="M5616" t="s">
        <v>478</v>
      </c>
      <c r="N5616" t="str">
        <f>Tabela_tudo[[#This Row],[Médico]]&amp;" ("&amp;Tabela_tudo[[#This Row],[Obs]]&amp;")"</f>
        <v>ANO ()</v>
      </c>
    </row>
    <row r="5617" spans="1:14" x14ac:dyDescent="0.3">
      <c r="A5617" s="1">
        <v>45184</v>
      </c>
      <c r="B5617" t="s">
        <v>142</v>
      </c>
      <c r="C5617" t="s">
        <v>43</v>
      </c>
      <c r="D5617" s="8"/>
      <c r="E5617" s="8"/>
      <c r="M5617" t="s">
        <v>478</v>
      </c>
      <c r="N5617" t="str">
        <f>Tabela_tudo[[#This Row],[Médico]]&amp;" ("&amp;Tabela_tudo[[#This Row],[Obs]]&amp;")"</f>
        <v>VIV ()</v>
      </c>
    </row>
    <row r="5618" spans="1:14" x14ac:dyDescent="0.3">
      <c r="A5618" s="1">
        <v>44998</v>
      </c>
      <c r="B5618" t="s">
        <v>84</v>
      </c>
      <c r="C5618" t="s">
        <v>465</v>
      </c>
      <c r="D5618" s="8"/>
      <c r="E5618" s="8"/>
      <c r="M5618" t="s">
        <v>478</v>
      </c>
      <c r="N5618" t="str">
        <f>Tabela_tudo[[#This Row],[Médico]]&amp;" ("&amp;Tabela_tudo[[#This Row],[Obs]]&amp;")"</f>
        <v>ANO ()</v>
      </c>
    </row>
    <row r="5619" spans="1:14" x14ac:dyDescent="0.3">
      <c r="A5619" s="1">
        <v>45188</v>
      </c>
      <c r="B5619" t="s">
        <v>142</v>
      </c>
      <c r="C5619" t="s">
        <v>124</v>
      </c>
      <c r="D5619" s="8">
        <v>0.79166666666666663</v>
      </c>
      <c r="E5619" s="8">
        <v>0.83333333333333337</v>
      </c>
      <c r="F5619" t="s">
        <v>625</v>
      </c>
      <c r="K5619" t="s">
        <v>565</v>
      </c>
      <c r="M5619" t="s">
        <v>478</v>
      </c>
      <c r="N5619" t="str">
        <f>Tabela_tudo[[#This Row],[Médico]]&amp;" ("&amp;Tabela_tudo[[#This Row],[Obs]]&amp;")"</f>
        <v>VIV (DISPOSITIVOS CARDIACOS )</v>
      </c>
    </row>
    <row r="5620" spans="1:14" x14ac:dyDescent="0.3">
      <c r="A5620" s="1">
        <v>44999</v>
      </c>
      <c r="B5620" t="s">
        <v>84</v>
      </c>
      <c r="C5620" t="s">
        <v>465</v>
      </c>
      <c r="D5620" s="8"/>
      <c r="E5620" s="8"/>
      <c r="M5620" t="s">
        <v>478</v>
      </c>
      <c r="N5620" t="str">
        <f>Tabela_tudo[[#This Row],[Médico]]&amp;" ("&amp;Tabela_tudo[[#This Row],[Obs]]&amp;")"</f>
        <v>ANO ()</v>
      </c>
    </row>
    <row r="5621" spans="1:14" x14ac:dyDescent="0.3">
      <c r="A5621" s="1">
        <v>45194</v>
      </c>
      <c r="B5621" t="s">
        <v>66</v>
      </c>
      <c r="C5621" t="s">
        <v>13</v>
      </c>
      <c r="D5621" s="8"/>
      <c r="E5621" s="8"/>
      <c r="M5621" t="s">
        <v>478</v>
      </c>
      <c r="N5621" t="str">
        <f>Tabela_tudo[[#This Row],[Médico]]&amp;" ("&amp;Tabela_tudo[[#This Row],[Obs]]&amp;")"</f>
        <v>MOZ ()</v>
      </c>
    </row>
    <row r="5622" spans="1:14" x14ac:dyDescent="0.3">
      <c r="A5622" s="1">
        <v>44995</v>
      </c>
      <c r="B5622" t="s">
        <v>34</v>
      </c>
      <c r="C5622" t="s">
        <v>465</v>
      </c>
      <c r="D5622" s="8"/>
      <c r="E5622" s="8"/>
      <c r="M5622" t="s">
        <v>478</v>
      </c>
      <c r="N5622" t="str">
        <f>Tabela_tudo[[#This Row],[Médico]]&amp;" ("&amp;Tabela_tudo[[#This Row],[Obs]]&amp;")"</f>
        <v>LIP ()</v>
      </c>
    </row>
    <row r="5623" spans="1:14" x14ac:dyDescent="0.3">
      <c r="A5623" s="1">
        <v>45192</v>
      </c>
      <c r="B5623" t="s">
        <v>68</v>
      </c>
      <c r="C5623" t="s">
        <v>78</v>
      </c>
      <c r="D5623" s="8"/>
      <c r="E5623" s="8"/>
      <c r="M5623" t="s">
        <v>478</v>
      </c>
      <c r="N5623" t="str">
        <f>Tabela_tudo[[#This Row],[Médico]]&amp;" ("&amp;Tabela_tudo[[#This Row],[Obs]]&amp;")"</f>
        <v>PED ()</v>
      </c>
    </row>
    <row r="5624" spans="1:14" x14ac:dyDescent="0.3">
      <c r="A5624" s="1">
        <v>44996</v>
      </c>
      <c r="B5624" t="s">
        <v>34</v>
      </c>
      <c r="C5624" t="s">
        <v>465</v>
      </c>
      <c r="D5624" s="8"/>
      <c r="E5624" s="8"/>
      <c r="M5624" t="s">
        <v>478</v>
      </c>
      <c r="N5624" t="str">
        <f>Tabela_tudo[[#This Row],[Médico]]&amp;" ("&amp;Tabela_tudo[[#This Row],[Obs]]&amp;")"</f>
        <v>LIP ()</v>
      </c>
    </row>
    <row r="5625" spans="1:14" x14ac:dyDescent="0.3">
      <c r="A5625" s="1">
        <v>45194</v>
      </c>
      <c r="B5625" t="s">
        <v>32</v>
      </c>
      <c r="C5625" t="s">
        <v>8</v>
      </c>
      <c r="D5625" s="8"/>
      <c r="E5625" s="8"/>
      <c r="M5625" t="s">
        <v>478</v>
      </c>
      <c r="N5625" t="str">
        <f>Tabela_tudo[[#This Row],[Médico]]&amp;" ("&amp;Tabela_tudo[[#This Row],[Obs]]&amp;")"</f>
        <v>JS ()</v>
      </c>
    </row>
    <row r="5626" spans="1:14" x14ac:dyDescent="0.3">
      <c r="A5626" s="1">
        <v>45002</v>
      </c>
      <c r="B5626" t="s">
        <v>84</v>
      </c>
      <c r="C5626" t="s">
        <v>465</v>
      </c>
      <c r="D5626" s="8"/>
      <c r="E5626" s="8"/>
      <c r="M5626" t="s">
        <v>478</v>
      </c>
      <c r="N5626" t="str">
        <f>Tabela_tudo[[#This Row],[Médico]]&amp;" ("&amp;Tabela_tudo[[#This Row],[Obs]]&amp;")"</f>
        <v>ANO ()</v>
      </c>
    </row>
    <row r="5627" spans="1:14" x14ac:dyDescent="0.3">
      <c r="A5627" s="1">
        <v>45194</v>
      </c>
      <c r="B5627" t="s">
        <v>63</v>
      </c>
      <c r="C5627" t="s">
        <v>15</v>
      </c>
      <c r="D5627" s="8"/>
      <c r="E5627" s="8"/>
      <c r="M5627" t="s">
        <v>478</v>
      </c>
      <c r="N5627" t="str">
        <f>Tabela_tudo[[#This Row],[Médico]]&amp;" ("&amp;Tabela_tudo[[#This Row],[Obs]]&amp;")"</f>
        <v>FQ ()</v>
      </c>
    </row>
    <row r="5628" spans="1:14" x14ac:dyDescent="0.3">
      <c r="A5628" s="1">
        <v>44994</v>
      </c>
      <c r="B5628" t="s">
        <v>34</v>
      </c>
      <c r="C5628" t="s">
        <v>465</v>
      </c>
      <c r="D5628" s="8"/>
      <c r="E5628" s="8"/>
      <c r="M5628" t="s">
        <v>478</v>
      </c>
      <c r="N5628" t="str">
        <f>Tabela_tudo[[#This Row],[Médico]]&amp;" ("&amp;Tabela_tudo[[#This Row],[Obs]]&amp;")"</f>
        <v>LIP ()</v>
      </c>
    </row>
    <row r="5629" spans="1:14" x14ac:dyDescent="0.3">
      <c r="A5629" s="1">
        <v>45191</v>
      </c>
      <c r="B5629" t="s">
        <v>142</v>
      </c>
      <c r="C5629" t="s">
        <v>43</v>
      </c>
      <c r="D5629" s="8"/>
      <c r="E5629" s="8"/>
      <c r="M5629" t="s">
        <v>478</v>
      </c>
      <c r="N5629" t="str">
        <f>Tabela_tudo[[#This Row],[Médico]]&amp;" ("&amp;Tabela_tudo[[#This Row],[Obs]]&amp;")"</f>
        <v>VIV ()</v>
      </c>
    </row>
    <row r="5630" spans="1:14" x14ac:dyDescent="0.3">
      <c r="A5630" s="1">
        <v>44996</v>
      </c>
      <c r="B5630" t="s">
        <v>48</v>
      </c>
      <c r="C5630" t="s">
        <v>464</v>
      </c>
      <c r="D5630" s="8"/>
      <c r="E5630" s="8"/>
      <c r="M5630" t="s">
        <v>478</v>
      </c>
      <c r="N5630" t="str">
        <f>Tabela_tudo[[#This Row],[Médico]]&amp;" ("&amp;Tabela_tudo[[#This Row],[Obs]]&amp;")"</f>
        <v>MAF ()</v>
      </c>
    </row>
    <row r="5631" spans="1:14" x14ac:dyDescent="0.3">
      <c r="A5631" s="1">
        <v>45191</v>
      </c>
      <c r="B5631" t="s">
        <v>17</v>
      </c>
      <c r="C5631" t="s">
        <v>51</v>
      </c>
      <c r="D5631" s="8"/>
      <c r="E5631" s="8"/>
      <c r="M5631" t="s">
        <v>478</v>
      </c>
      <c r="N5631" t="str">
        <f>Tabela_tudo[[#This Row],[Médico]]&amp;" ("&amp;Tabela_tudo[[#This Row],[Obs]]&amp;")"</f>
        <v>FAB ()</v>
      </c>
    </row>
    <row r="5632" spans="1:14" x14ac:dyDescent="0.3">
      <c r="A5632" s="1">
        <v>44997</v>
      </c>
      <c r="B5632" t="s">
        <v>48</v>
      </c>
      <c r="C5632" t="s">
        <v>464</v>
      </c>
      <c r="D5632" s="8"/>
      <c r="E5632" s="8"/>
      <c r="M5632" t="s">
        <v>478</v>
      </c>
      <c r="N5632" t="str">
        <f>Tabela_tudo[[#This Row],[Médico]]&amp;" ("&amp;Tabela_tudo[[#This Row],[Obs]]&amp;")"</f>
        <v>MAF ()</v>
      </c>
    </row>
    <row r="5633" spans="1:14" x14ac:dyDescent="0.3">
      <c r="A5633" s="1">
        <v>45192</v>
      </c>
      <c r="B5633" t="s">
        <v>94</v>
      </c>
      <c r="C5633" t="s">
        <v>8</v>
      </c>
      <c r="D5633" s="8"/>
      <c r="E5633" s="8"/>
      <c r="M5633" t="s">
        <v>478</v>
      </c>
      <c r="N5633" t="str">
        <f>Tabela_tudo[[#This Row],[Médico]]&amp;" ("&amp;Tabela_tudo[[#This Row],[Obs]]&amp;")"</f>
        <v>TOT ()</v>
      </c>
    </row>
    <row r="5634" spans="1:14" x14ac:dyDescent="0.3">
      <c r="A5634" s="1">
        <v>44994</v>
      </c>
      <c r="B5634" t="s">
        <v>48</v>
      </c>
      <c r="C5634" t="s">
        <v>464</v>
      </c>
      <c r="D5634" s="8"/>
      <c r="E5634" s="8"/>
      <c r="M5634" t="s">
        <v>478</v>
      </c>
      <c r="N5634" t="str">
        <f>Tabela_tudo[[#This Row],[Médico]]&amp;" ("&amp;Tabela_tudo[[#This Row],[Obs]]&amp;")"</f>
        <v>MAF ()</v>
      </c>
    </row>
    <row r="5635" spans="1:14" x14ac:dyDescent="0.3">
      <c r="A5635" s="1">
        <v>45192</v>
      </c>
      <c r="B5635" t="s">
        <v>142</v>
      </c>
      <c r="C5635" t="s">
        <v>13</v>
      </c>
      <c r="D5635" s="8"/>
      <c r="E5635" s="8"/>
      <c r="M5635" t="s">
        <v>478</v>
      </c>
      <c r="N5635" t="str">
        <f>Tabela_tudo[[#This Row],[Médico]]&amp;" ("&amp;Tabela_tudo[[#This Row],[Obs]]&amp;")"</f>
        <v>VIV ()</v>
      </c>
    </row>
    <row r="5636" spans="1:14" x14ac:dyDescent="0.3">
      <c r="A5636" s="1">
        <v>44995</v>
      </c>
      <c r="B5636" t="s">
        <v>48</v>
      </c>
      <c r="C5636" t="s">
        <v>464</v>
      </c>
      <c r="D5636" s="8"/>
      <c r="E5636" s="8"/>
      <c r="M5636" t="s">
        <v>478</v>
      </c>
      <c r="N5636" t="str">
        <f>Tabela_tudo[[#This Row],[Médico]]&amp;" ("&amp;Tabela_tudo[[#This Row],[Obs]]&amp;")"</f>
        <v>MAF ()</v>
      </c>
    </row>
    <row r="5637" spans="1:14" x14ac:dyDescent="0.3">
      <c r="A5637" s="1">
        <v>45194</v>
      </c>
      <c r="B5637" t="s">
        <v>50</v>
      </c>
      <c r="C5637" t="s">
        <v>51</v>
      </c>
      <c r="D5637" s="8"/>
      <c r="E5637" s="8"/>
      <c r="M5637" t="s">
        <v>478</v>
      </c>
      <c r="N5637" t="str">
        <f>Tabela_tudo[[#This Row],[Médico]]&amp;" ("&amp;Tabela_tudo[[#This Row],[Obs]]&amp;")"</f>
        <v>PJP ()</v>
      </c>
    </row>
    <row r="5638" spans="1:14" x14ac:dyDescent="0.3">
      <c r="A5638" s="1">
        <v>44996</v>
      </c>
      <c r="B5638" t="s">
        <v>84</v>
      </c>
      <c r="C5638" t="s">
        <v>465</v>
      </c>
      <c r="D5638" s="8"/>
      <c r="E5638" s="8"/>
      <c r="M5638" t="s">
        <v>478</v>
      </c>
      <c r="N5638" t="str">
        <f>Tabela_tudo[[#This Row],[Médico]]&amp;" ("&amp;Tabela_tudo[[#This Row],[Obs]]&amp;")"</f>
        <v>ANO ()</v>
      </c>
    </row>
    <row r="5639" spans="1:14" x14ac:dyDescent="0.3">
      <c r="A5639" s="1">
        <v>45194</v>
      </c>
      <c r="B5639" t="s">
        <v>85</v>
      </c>
      <c r="C5639" t="s">
        <v>49</v>
      </c>
      <c r="D5639" s="8"/>
      <c r="E5639" s="8"/>
      <c r="M5639" t="s">
        <v>478</v>
      </c>
      <c r="N5639" t="str">
        <f>Tabela_tudo[[#This Row],[Médico]]&amp;" ("&amp;Tabela_tudo[[#This Row],[Obs]]&amp;")"</f>
        <v>ELF ()</v>
      </c>
    </row>
    <row r="5640" spans="1:14" x14ac:dyDescent="0.3">
      <c r="A5640" s="1">
        <v>44997</v>
      </c>
      <c r="B5640" t="s">
        <v>84</v>
      </c>
      <c r="C5640" t="s">
        <v>465</v>
      </c>
      <c r="D5640" s="8"/>
      <c r="E5640" s="8"/>
      <c r="M5640" t="s">
        <v>478</v>
      </c>
      <c r="N5640" t="str">
        <f>Tabela_tudo[[#This Row],[Médico]]&amp;" ("&amp;Tabela_tudo[[#This Row],[Obs]]&amp;")"</f>
        <v>ANO ()</v>
      </c>
    </row>
    <row r="5641" spans="1:14" x14ac:dyDescent="0.3">
      <c r="A5641" s="1">
        <v>45194</v>
      </c>
      <c r="B5641" t="s">
        <v>17</v>
      </c>
      <c r="C5641" t="s">
        <v>30</v>
      </c>
      <c r="D5641" s="8"/>
      <c r="E5641" s="8"/>
      <c r="M5641" t="s">
        <v>478</v>
      </c>
      <c r="N5641" t="str">
        <f>Tabela_tudo[[#This Row],[Médico]]&amp;" ("&amp;Tabela_tudo[[#This Row],[Obs]]&amp;")"</f>
        <v>FAB ()</v>
      </c>
    </row>
    <row r="5642" spans="1:14" x14ac:dyDescent="0.3">
      <c r="A5642" s="1">
        <v>44994</v>
      </c>
      <c r="B5642" t="s">
        <v>84</v>
      </c>
      <c r="C5642" t="s">
        <v>465</v>
      </c>
      <c r="D5642" s="8"/>
      <c r="E5642" s="8"/>
      <c r="M5642" t="s">
        <v>478</v>
      </c>
      <c r="N5642" t="str">
        <f>Tabela_tudo[[#This Row],[Médico]]&amp;" ("&amp;Tabela_tudo[[#This Row],[Obs]]&amp;")"</f>
        <v>ANO ()</v>
      </c>
    </row>
    <row r="5643" spans="1:14" x14ac:dyDescent="0.3">
      <c r="A5643" s="1">
        <v>45194</v>
      </c>
      <c r="B5643" t="s">
        <v>84</v>
      </c>
      <c r="C5643" t="s">
        <v>43</v>
      </c>
      <c r="D5643" s="8"/>
      <c r="E5643" s="8"/>
      <c r="M5643" t="s">
        <v>478</v>
      </c>
      <c r="N5643" t="str">
        <f>Tabela_tudo[[#This Row],[Médico]]&amp;" ("&amp;Tabela_tudo[[#This Row],[Obs]]&amp;")"</f>
        <v>ANO ()</v>
      </c>
    </row>
    <row r="5644" spans="1:14" x14ac:dyDescent="0.3">
      <c r="A5644" s="1">
        <v>44995</v>
      </c>
      <c r="B5644" t="s">
        <v>84</v>
      </c>
      <c r="C5644" t="s">
        <v>465</v>
      </c>
      <c r="D5644" s="8"/>
      <c r="E5644" s="8"/>
      <c r="M5644" t="s">
        <v>478</v>
      </c>
      <c r="N5644" t="str">
        <f>Tabela_tudo[[#This Row],[Médico]]&amp;" ("&amp;Tabela_tudo[[#This Row],[Obs]]&amp;")"</f>
        <v>ANO ()</v>
      </c>
    </row>
    <row r="5645" spans="1:14" x14ac:dyDescent="0.3">
      <c r="A5645" s="1">
        <v>45194</v>
      </c>
      <c r="B5645" t="s">
        <v>44</v>
      </c>
      <c r="C5645" t="s">
        <v>45</v>
      </c>
      <c r="D5645" s="8"/>
      <c r="E5645" s="8"/>
      <c r="M5645" t="s">
        <v>478</v>
      </c>
      <c r="N5645" t="str">
        <f>Tabela_tudo[[#This Row],[Médico]]&amp;" ("&amp;Tabela_tudo[[#This Row],[Obs]]&amp;")"</f>
        <v>REI ()</v>
      </c>
    </row>
    <row r="5646" spans="1:14" x14ac:dyDescent="0.3">
      <c r="A5646" s="1">
        <v>44991</v>
      </c>
      <c r="B5646" t="s">
        <v>68</v>
      </c>
      <c r="C5646" t="s">
        <v>464</v>
      </c>
      <c r="D5646" s="8"/>
      <c r="E5646" s="8"/>
      <c r="M5646" t="s">
        <v>478</v>
      </c>
      <c r="N5646" t="str">
        <f>Tabela_tudo[[#This Row],[Médico]]&amp;" ("&amp;Tabela_tudo[[#This Row],[Obs]]&amp;")"</f>
        <v>PED ()</v>
      </c>
    </row>
    <row r="5647" spans="1:14" x14ac:dyDescent="0.3">
      <c r="A5647" s="1">
        <v>45194</v>
      </c>
      <c r="B5647" t="s">
        <v>17</v>
      </c>
      <c r="C5647" t="s">
        <v>30</v>
      </c>
      <c r="D5647" s="8"/>
      <c r="E5647" s="8"/>
      <c r="M5647" t="s">
        <v>478</v>
      </c>
      <c r="N5647" t="str">
        <f>Tabela_tudo[[#This Row],[Médico]]&amp;" ("&amp;Tabela_tudo[[#This Row],[Obs]]&amp;")"</f>
        <v>FAB ()</v>
      </c>
    </row>
    <row r="5648" spans="1:14" x14ac:dyDescent="0.3">
      <c r="A5648" s="1">
        <v>44984</v>
      </c>
      <c r="B5648" t="s">
        <v>71</v>
      </c>
      <c r="C5648" t="s">
        <v>464</v>
      </c>
      <c r="D5648" s="8"/>
      <c r="E5648" s="8"/>
      <c r="M5648" t="s">
        <v>478</v>
      </c>
      <c r="N5648" t="str">
        <f>Tabela_tudo[[#This Row],[Médico]]&amp;" ("&amp;Tabela_tudo[[#This Row],[Obs]]&amp;")"</f>
        <v>BRU ()</v>
      </c>
    </row>
    <row r="5649" spans="1:14" x14ac:dyDescent="0.3">
      <c r="A5649" s="1">
        <v>45194</v>
      </c>
      <c r="B5649" t="s">
        <v>32</v>
      </c>
      <c r="C5649" t="s">
        <v>18</v>
      </c>
      <c r="D5649" s="8"/>
      <c r="E5649" s="8"/>
      <c r="M5649" t="s">
        <v>478</v>
      </c>
      <c r="N5649" t="str">
        <f>Tabela_tudo[[#This Row],[Médico]]&amp;" ("&amp;Tabela_tudo[[#This Row],[Obs]]&amp;")"</f>
        <v>JS ()</v>
      </c>
    </row>
    <row r="5650" spans="1:14" x14ac:dyDescent="0.3">
      <c r="A5650" s="1">
        <v>44985</v>
      </c>
      <c r="B5650" t="s">
        <v>71</v>
      </c>
      <c r="C5650" t="s">
        <v>464</v>
      </c>
      <c r="D5650" s="8"/>
      <c r="E5650" s="8"/>
      <c r="M5650" t="s">
        <v>478</v>
      </c>
      <c r="N5650" t="str">
        <f>Tabela_tudo[[#This Row],[Médico]]&amp;" ("&amp;Tabela_tudo[[#This Row],[Obs]]&amp;")"</f>
        <v>BRU ()</v>
      </c>
    </row>
    <row r="5651" spans="1:14" x14ac:dyDescent="0.3">
      <c r="A5651" s="1">
        <v>45194</v>
      </c>
      <c r="B5651" t="s">
        <v>21</v>
      </c>
      <c r="C5651" t="s">
        <v>46</v>
      </c>
      <c r="D5651" s="8"/>
      <c r="E5651" s="8"/>
      <c r="M5651" t="s">
        <v>478</v>
      </c>
      <c r="N5651" t="str">
        <f>Tabela_tudo[[#This Row],[Médico]]&amp;" ("&amp;Tabela_tudo[[#This Row],[Obs]]&amp;")"</f>
        <v>RA ()</v>
      </c>
    </row>
    <row r="5652" spans="1:14" x14ac:dyDescent="0.3">
      <c r="A5652" s="1">
        <v>44985</v>
      </c>
      <c r="B5652" t="s">
        <v>333</v>
      </c>
      <c r="C5652" t="s">
        <v>464</v>
      </c>
      <c r="D5652" s="8"/>
      <c r="E5652" s="8"/>
      <c r="M5652" t="s">
        <v>478</v>
      </c>
      <c r="N5652" t="str">
        <f>Tabela_tudo[[#This Row],[Médico]]&amp;" ("&amp;Tabela_tudo[[#This Row],[Obs]]&amp;")"</f>
        <v>COR ()</v>
      </c>
    </row>
    <row r="5653" spans="1:14" x14ac:dyDescent="0.3">
      <c r="A5653" s="1">
        <v>45191</v>
      </c>
      <c r="B5653" t="s">
        <v>48</v>
      </c>
      <c r="C5653" t="s">
        <v>49</v>
      </c>
      <c r="D5653" s="8"/>
      <c r="E5653" s="8"/>
      <c r="M5653" t="s">
        <v>478</v>
      </c>
      <c r="N5653" t="str">
        <f>Tabela_tudo[[#This Row],[Médico]]&amp;" ("&amp;Tabela_tudo[[#This Row],[Obs]]&amp;")"</f>
        <v>MAF ()</v>
      </c>
    </row>
    <row r="5654" spans="1:14" x14ac:dyDescent="0.3">
      <c r="A5654" s="1">
        <v>44981</v>
      </c>
      <c r="B5654" t="s">
        <v>47</v>
      </c>
      <c r="C5654" t="s">
        <v>465</v>
      </c>
      <c r="D5654" s="8"/>
      <c r="E5654" s="8"/>
      <c r="M5654" t="s">
        <v>478</v>
      </c>
      <c r="N5654" t="str">
        <f>Tabela_tudo[[#This Row],[Médico]]&amp;" ("&amp;Tabela_tudo[[#This Row],[Obs]]&amp;")"</f>
        <v>VIN ()</v>
      </c>
    </row>
    <row r="5655" spans="1:14" x14ac:dyDescent="0.3">
      <c r="A5655" s="1">
        <v>45190</v>
      </c>
      <c r="B5655" t="s">
        <v>32</v>
      </c>
      <c r="C5655" t="s">
        <v>18</v>
      </c>
      <c r="D5655" s="8"/>
      <c r="E5655" s="8"/>
      <c r="M5655" t="s">
        <v>478</v>
      </c>
      <c r="N5655" t="str">
        <f>Tabela_tudo[[#This Row],[Médico]]&amp;" ("&amp;Tabela_tudo[[#This Row],[Obs]]&amp;")"</f>
        <v>JS ()</v>
      </c>
    </row>
    <row r="5656" spans="1:14" x14ac:dyDescent="0.3">
      <c r="A5656" s="1">
        <v>44988</v>
      </c>
      <c r="B5656" t="s">
        <v>71</v>
      </c>
      <c r="C5656" t="s">
        <v>464</v>
      </c>
      <c r="D5656" s="8"/>
      <c r="E5656" s="8"/>
      <c r="M5656" t="s">
        <v>478</v>
      </c>
      <c r="N5656" t="str">
        <f>Tabela_tudo[[#This Row],[Médico]]&amp;" ("&amp;Tabela_tudo[[#This Row],[Obs]]&amp;")"</f>
        <v>BRU ()</v>
      </c>
    </row>
    <row r="5657" spans="1:14" x14ac:dyDescent="0.3">
      <c r="A5657" s="1">
        <v>45190</v>
      </c>
      <c r="B5657" t="s">
        <v>14</v>
      </c>
      <c r="C5657" t="s">
        <v>46</v>
      </c>
      <c r="D5657" s="8"/>
      <c r="E5657" s="8"/>
      <c r="M5657" t="s">
        <v>478</v>
      </c>
      <c r="N5657" t="str">
        <f>Tabela_tudo[[#This Row],[Médico]]&amp;" ("&amp;Tabela_tudo[[#This Row],[Obs]]&amp;")"</f>
        <v>PW ()</v>
      </c>
    </row>
    <row r="5658" spans="1:14" x14ac:dyDescent="0.3">
      <c r="A5658" s="1">
        <v>44984</v>
      </c>
      <c r="B5658" t="s">
        <v>52</v>
      </c>
      <c r="C5658" t="s">
        <v>464</v>
      </c>
      <c r="D5658" s="8"/>
      <c r="E5658" s="8"/>
      <c r="M5658" t="s">
        <v>478</v>
      </c>
      <c r="N5658" t="str">
        <f>Tabela_tudo[[#This Row],[Médico]]&amp;" ("&amp;Tabela_tudo[[#This Row],[Obs]]&amp;")"</f>
        <v>AEL ()</v>
      </c>
    </row>
    <row r="5659" spans="1:14" x14ac:dyDescent="0.3">
      <c r="A5659" s="1">
        <v>45190</v>
      </c>
      <c r="B5659" t="s">
        <v>34</v>
      </c>
      <c r="C5659" t="s">
        <v>51</v>
      </c>
      <c r="D5659" s="8"/>
      <c r="E5659" s="8"/>
      <c r="M5659" t="s">
        <v>478</v>
      </c>
      <c r="N5659" t="str">
        <f>Tabela_tudo[[#This Row],[Médico]]&amp;" ("&amp;Tabela_tudo[[#This Row],[Obs]]&amp;")"</f>
        <v>LIP ()</v>
      </c>
    </row>
    <row r="5660" spans="1:14" x14ac:dyDescent="0.3">
      <c r="A5660" s="1">
        <v>44986</v>
      </c>
      <c r="B5660" t="s">
        <v>71</v>
      </c>
      <c r="C5660" t="s">
        <v>464</v>
      </c>
      <c r="D5660" s="8"/>
      <c r="E5660" s="8"/>
      <c r="M5660" t="s">
        <v>478</v>
      </c>
      <c r="N5660" t="str">
        <f>Tabela_tudo[[#This Row],[Médico]]&amp;" ("&amp;Tabela_tudo[[#This Row],[Obs]]&amp;")"</f>
        <v>BRU ()</v>
      </c>
    </row>
    <row r="5661" spans="1:14" x14ac:dyDescent="0.3">
      <c r="A5661" s="1">
        <v>45190</v>
      </c>
      <c r="B5661" t="s">
        <v>48</v>
      </c>
      <c r="C5661" t="s">
        <v>49</v>
      </c>
      <c r="D5661" s="8"/>
      <c r="E5661" s="8"/>
      <c r="M5661" t="s">
        <v>478</v>
      </c>
      <c r="N5661" t="str">
        <f>Tabela_tudo[[#This Row],[Médico]]&amp;" ("&amp;Tabela_tudo[[#This Row],[Obs]]&amp;")"</f>
        <v>MAF ()</v>
      </c>
    </row>
    <row r="5662" spans="1:14" x14ac:dyDescent="0.3">
      <c r="A5662" s="1">
        <v>44987</v>
      </c>
      <c r="B5662" t="s">
        <v>71</v>
      </c>
      <c r="C5662" t="s">
        <v>464</v>
      </c>
      <c r="D5662" s="8"/>
      <c r="E5662" s="8"/>
      <c r="M5662" t="s">
        <v>478</v>
      </c>
      <c r="N5662" t="str">
        <f>Tabela_tudo[[#This Row],[Médico]]&amp;" ("&amp;Tabela_tudo[[#This Row],[Obs]]&amp;")"</f>
        <v>BRU ()</v>
      </c>
    </row>
    <row r="5663" spans="1:14" x14ac:dyDescent="0.3">
      <c r="A5663" s="1">
        <v>45190</v>
      </c>
      <c r="B5663" t="s">
        <v>50</v>
      </c>
      <c r="C5663" t="s">
        <v>15</v>
      </c>
      <c r="D5663" s="8"/>
      <c r="E5663" s="8"/>
      <c r="M5663" t="s">
        <v>478</v>
      </c>
      <c r="N5663" t="str">
        <f>Tabela_tudo[[#This Row],[Médico]]&amp;" ("&amp;Tabela_tudo[[#This Row],[Obs]]&amp;")"</f>
        <v>PJP ()</v>
      </c>
    </row>
    <row r="5664" spans="1:14" x14ac:dyDescent="0.3">
      <c r="A5664" s="1">
        <v>44979</v>
      </c>
      <c r="B5664" t="s">
        <v>333</v>
      </c>
      <c r="C5664" t="s">
        <v>464</v>
      </c>
      <c r="D5664" s="8"/>
      <c r="E5664" s="8"/>
      <c r="M5664" t="s">
        <v>478</v>
      </c>
      <c r="N5664" t="str">
        <f>Tabela_tudo[[#This Row],[Médico]]&amp;" ("&amp;Tabela_tudo[[#This Row],[Obs]]&amp;")"</f>
        <v>COR ()</v>
      </c>
    </row>
    <row r="5665" spans="1:14" x14ac:dyDescent="0.3">
      <c r="A5665" s="1">
        <v>45190</v>
      </c>
      <c r="B5665" t="s">
        <v>63</v>
      </c>
      <c r="C5665" t="s">
        <v>13</v>
      </c>
      <c r="D5665" s="8"/>
      <c r="E5665" s="8"/>
      <c r="M5665" t="s">
        <v>478</v>
      </c>
      <c r="N5665" t="str">
        <f>Tabela_tudo[[#This Row],[Médico]]&amp;" ("&amp;Tabela_tudo[[#This Row],[Obs]]&amp;")"</f>
        <v>FQ ()</v>
      </c>
    </row>
    <row r="5666" spans="1:14" x14ac:dyDescent="0.3">
      <c r="A5666" s="1">
        <v>44980</v>
      </c>
      <c r="B5666" t="s">
        <v>333</v>
      </c>
      <c r="C5666" t="s">
        <v>464</v>
      </c>
      <c r="D5666" s="8"/>
      <c r="E5666" s="8"/>
      <c r="M5666" t="s">
        <v>478</v>
      </c>
      <c r="N5666" t="str">
        <f>Tabela_tudo[[#This Row],[Médico]]&amp;" ("&amp;Tabela_tudo[[#This Row],[Obs]]&amp;")"</f>
        <v>COR ()</v>
      </c>
    </row>
    <row r="5667" spans="1:14" x14ac:dyDescent="0.3">
      <c r="A5667" s="1">
        <v>45190</v>
      </c>
      <c r="B5667" t="s">
        <v>52</v>
      </c>
      <c r="C5667" t="s">
        <v>45</v>
      </c>
      <c r="D5667" s="8"/>
      <c r="E5667" s="8"/>
      <c r="M5667" t="s">
        <v>478</v>
      </c>
      <c r="N5667" t="str">
        <f>Tabela_tudo[[#This Row],[Médico]]&amp;" ("&amp;Tabela_tudo[[#This Row],[Obs]]&amp;")"</f>
        <v>AEL ()</v>
      </c>
    </row>
    <row r="5668" spans="1:14" x14ac:dyDescent="0.3">
      <c r="A5668" s="1">
        <v>44977</v>
      </c>
      <c r="B5668" t="s">
        <v>333</v>
      </c>
      <c r="C5668" t="s">
        <v>464</v>
      </c>
      <c r="D5668" s="8"/>
      <c r="E5668" s="8"/>
      <c r="M5668" t="s">
        <v>478</v>
      </c>
      <c r="N5668" t="str">
        <f>Tabela_tudo[[#This Row],[Médico]]&amp;" ("&amp;Tabela_tudo[[#This Row],[Obs]]&amp;")"</f>
        <v>COR ()</v>
      </c>
    </row>
    <row r="5669" spans="1:14" x14ac:dyDescent="0.3">
      <c r="A5669" s="1">
        <v>45190</v>
      </c>
      <c r="B5669" t="s">
        <v>85</v>
      </c>
      <c r="C5669" t="s">
        <v>8</v>
      </c>
      <c r="D5669" s="8"/>
      <c r="E5669" s="8"/>
      <c r="M5669" t="s">
        <v>478</v>
      </c>
      <c r="N5669" t="str">
        <f>Tabela_tudo[[#This Row],[Médico]]&amp;" ("&amp;Tabela_tudo[[#This Row],[Obs]]&amp;")"</f>
        <v>ELF ()</v>
      </c>
    </row>
    <row r="5670" spans="1:14" x14ac:dyDescent="0.3">
      <c r="A5670" s="1">
        <v>44978</v>
      </c>
      <c r="B5670" t="s">
        <v>333</v>
      </c>
      <c r="C5670" t="s">
        <v>464</v>
      </c>
      <c r="D5670" s="8"/>
      <c r="E5670" s="8"/>
      <c r="M5670" t="s">
        <v>478</v>
      </c>
      <c r="N5670" t="str">
        <f>Tabela_tudo[[#This Row],[Médico]]&amp;" ("&amp;Tabela_tudo[[#This Row],[Obs]]&amp;")"</f>
        <v>COR ()</v>
      </c>
    </row>
    <row r="5671" spans="1:14" x14ac:dyDescent="0.3">
      <c r="A5671" s="1">
        <v>45191</v>
      </c>
      <c r="B5671" t="s">
        <v>66</v>
      </c>
      <c r="C5671" t="s">
        <v>45</v>
      </c>
      <c r="D5671" s="8"/>
      <c r="E5671" s="8"/>
      <c r="M5671" t="s">
        <v>478</v>
      </c>
      <c r="N5671" t="str">
        <f>Tabela_tudo[[#This Row],[Médico]]&amp;" ("&amp;Tabela_tudo[[#This Row],[Obs]]&amp;")"</f>
        <v>MOZ ()</v>
      </c>
    </row>
    <row r="5672" spans="1:14" x14ac:dyDescent="0.3">
      <c r="A5672" s="1">
        <v>44983</v>
      </c>
      <c r="B5672" t="s">
        <v>333</v>
      </c>
      <c r="C5672" t="s">
        <v>464</v>
      </c>
      <c r="D5672" s="8"/>
      <c r="E5672" s="8"/>
      <c r="M5672" t="s">
        <v>478</v>
      </c>
      <c r="N5672" t="str">
        <f>Tabela_tudo[[#This Row],[Médico]]&amp;" ("&amp;Tabela_tudo[[#This Row],[Obs]]&amp;")"</f>
        <v>COR ()</v>
      </c>
    </row>
    <row r="5673" spans="1:14" x14ac:dyDescent="0.3">
      <c r="A5673" s="1">
        <v>45191</v>
      </c>
      <c r="B5673" t="s">
        <v>52</v>
      </c>
      <c r="C5673" t="s">
        <v>8</v>
      </c>
      <c r="D5673" s="8"/>
      <c r="E5673" s="8"/>
      <c r="M5673" t="s">
        <v>478</v>
      </c>
      <c r="N5673" t="str">
        <f>Tabela_tudo[[#This Row],[Médico]]&amp;" ("&amp;Tabela_tudo[[#This Row],[Obs]]&amp;")"</f>
        <v>AEL ()</v>
      </c>
    </row>
    <row r="5674" spans="1:14" x14ac:dyDescent="0.3">
      <c r="A5674" s="1">
        <v>44984</v>
      </c>
      <c r="B5674" t="s">
        <v>333</v>
      </c>
      <c r="C5674" t="s">
        <v>464</v>
      </c>
      <c r="D5674" s="8"/>
      <c r="E5674" s="8"/>
      <c r="M5674" t="s">
        <v>478</v>
      </c>
      <c r="N5674" t="str">
        <f>Tabela_tudo[[#This Row],[Médico]]&amp;" ("&amp;Tabela_tudo[[#This Row],[Obs]]&amp;")"</f>
        <v>COR ()</v>
      </c>
    </row>
    <row r="5675" spans="1:14" x14ac:dyDescent="0.3">
      <c r="A5675" s="1">
        <v>45191</v>
      </c>
      <c r="B5675" t="s">
        <v>63</v>
      </c>
      <c r="C5675" t="s">
        <v>18</v>
      </c>
      <c r="D5675" s="8"/>
      <c r="E5675" s="8"/>
      <c r="M5675" t="s">
        <v>478</v>
      </c>
      <c r="N5675" t="str">
        <f>Tabela_tudo[[#This Row],[Médico]]&amp;" ("&amp;Tabela_tudo[[#This Row],[Obs]]&amp;")"</f>
        <v>FQ ()</v>
      </c>
    </row>
    <row r="5676" spans="1:14" x14ac:dyDescent="0.3">
      <c r="A5676" s="1">
        <v>44981</v>
      </c>
      <c r="B5676" t="s">
        <v>333</v>
      </c>
      <c r="C5676" t="s">
        <v>464</v>
      </c>
      <c r="D5676" s="8"/>
      <c r="E5676" s="8"/>
      <c r="M5676" t="s">
        <v>478</v>
      </c>
      <c r="N5676" t="str">
        <f>Tabela_tudo[[#This Row],[Médico]]&amp;" ("&amp;Tabela_tudo[[#This Row],[Obs]]&amp;")"</f>
        <v>COR ()</v>
      </c>
    </row>
    <row r="5677" spans="1:14" x14ac:dyDescent="0.3">
      <c r="A5677" s="1">
        <v>45191</v>
      </c>
      <c r="B5677" t="s">
        <v>16</v>
      </c>
      <c r="C5677" t="s">
        <v>46</v>
      </c>
      <c r="D5677" s="8"/>
      <c r="E5677" s="8"/>
      <c r="M5677" t="s">
        <v>478</v>
      </c>
      <c r="N5677" t="str">
        <f>Tabela_tudo[[#This Row],[Médico]]&amp;" ("&amp;Tabela_tudo[[#This Row],[Obs]]&amp;")"</f>
        <v>PP ()</v>
      </c>
    </row>
    <row r="5678" spans="1:14" x14ac:dyDescent="0.3">
      <c r="A5678" s="1">
        <v>44982</v>
      </c>
      <c r="B5678" t="s">
        <v>333</v>
      </c>
      <c r="C5678" t="s">
        <v>464</v>
      </c>
      <c r="D5678" s="8"/>
      <c r="E5678" s="8"/>
      <c r="M5678" t="s">
        <v>478</v>
      </c>
      <c r="N5678" t="str">
        <f>Tabela_tudo[[#This Row],[Médico]]&amp;" ("&amp;Tabela_tudo[[#This Row],[Obs]]&amp;")"</f>
        <v>COR ()</v>
      </c>
    </row>
    <row r="5679" spans="1:14" x14ac:dyDescent="0.3">
      <c r="A5679" s="1">
        <v>45190</v>
      </c>
      <c r="B5679" t="s">
        <v>12</v>
      </c>
      <c r="C5679" t="s">
        <v>22</v>
      </c>
      <c r="D5679" s="8">
        <v>0.29166666666666669</v>
      </c>
      <c r="E5679" s="8">
        <v>0.5</v>
      </c>
      <c r="M5679" t="s">
        <v>478</v>
      </c>
      <c r="N5679" t="str">
        <f>Tabela_tudo[[#This Row],[Médico]]&amp;" ("&amp;Tabela_tudo[[#This Row],[Obs]]&amp;")"</f>
        <v>EDU ()</v>
      </c>
    </row>
    <row r="5680" spans="1:14" x14ac:dyDescent="0.3">
      <c r="A5680" s="1">
        <v>44992</v>
      </c>
      <c r="B5680" t="s">
        <v>7</v>
      </c>
      <c r="C5680" t="s">
        <v>464</v>
      </c>
      <c r="D5680" s="8"/>
      <c r="E5680" s="8"/>
      <c r="M5680" t="s">
        <v>478</v>
      </c>
      <c r="N5680" t="str">
        <f>Tabela_tudo[[#This Row],[Médico]]&amp;" ("&amp;Tabela_tudo[[#This Row],[Obs]]&amp;")"</f>
        <v>ARI ()</v>
      </c>
    </row>
    <row r="5681" spans="1:14" x14ac:dyDescent="0.3">
      <c r="A5681" s="1">
        <v>45190</v>
      </c>
      <c r="B5681" t="s">
        <v>64</v>
      </c>
      <c r="C5681" t="s">
        <v>43</v>
      </c>
      <c r="D5681" s="8"/>
      <c r="E5681" s="8"/>
      <c r="M5681" t="s">
        <v>478</v>
      </c>
      <c r="N5681" t="str">
        <f>Tabela_tudo[[#This Row],[Médico]]&amp;" ("&amp;Tabela_tudo[[#This Row],[Obs]]&amp;")"</f>
        <v>SAR ()</v>
      </c>
    </row>
    <row r="5682" spans="1:14" x14ac:dyDescent="0.3">
      <c r="A5682" s="1">
        <v>44993</v>
      </c>
      <c r="B5682" t="s">
        <v>7</v>
      </c>
      <c r="C5682" t="s">
        <v>464</v>
      </c>
      <c r="D5682" s="8"/>
      <c r="E5682" s="8"/>
      <c r="M5682" t="s">
        <v>478</v>
      </c>
      <c r="N5682" t="str">
        <f>Tabela_tudo[[#This Row],[Médico]]&amp;" ("&amp;Tabela_tudo[[#This Row],[Obs]]&amp;")"</f>
        <v>ARI ()</v>
      </c>
    </row>
    <row r="5683" spans="1:14" x14ac:dyDescent="0.3">
      <c r="A5683" s="1">
        <v>45191</v>
      </c>
      <c r="B5683" t="s">
        <v>48</v>
      </c>
      <c r="C5683" t="s">
        <v>15</v>
      </c>
      <c r="D5683" s="8"/>
      <c r="E5683" s="8"/>
      <c r="M5683" t="s">
        <v>478</v>
      </c>
      <c r="N5683" t="str">
        <f>Tabela_tudo[[#This Row],[Médico]]&amp;" ("&amp;Tabela_tudo[[#This Row],[Obs]]&amp;")"</f>
        <v>MAF ()</v>
      </c>
    </row>
    <row r="5684" spans="1:14" x14ac:dyDescent="0.3">
      <c r="A5684" s="1">
        <v>44988</v>
      </c>
      <c r="B5684" t="s">
        <v>72</v>
      </c>
      <c r="C5684" t="s">
        <v>464</v>
      </c>
      <c r="D5684" s="8"/>
      <c r="E5684" s="8"/>
      <c r="M5684" t="s">
        <v>478</v>
      </c>
      <c r="N5684" t="str">
        <f>Tabela_tudo[[#This Row],[Médico]]&amp;" ("&amp;Tabela_tudo[[#This Row],[Obs]]&amp;")"</f>
        <v>GRA ()</v>
      </c>
    </row>
    <row r="5685" spans="1:14" x14ac:dyDescent="0.3">
      <c r="A5685" s="1">
        <v>45191</v>
      </c>
      <c r="B5685" t="s">
        <v>37</v>
      </c>
      <c r="C5685" t="s">
        <v>13</v>
      </c>
      <c r="D5685" s="8"/>
      <c r="E5685" s="8"/>
      <c r="M5685" t="s">
        <v>478</v>
      </c>
      <c r="N5685" t="str">
        <f>Tabela_tudo[[#This Row],[Médico]]&amp;" ("&amp;Tabela_tudo[[#This Row],[Obs]]&amp;")"</f>
        <v>EBB ()</v>
      </c>
    </row>
    <row r="5686" spans="1:14" x14ac:dyDescent="0.3">
      <c r="A5686" s="1">
        <v>44991</v>
      </c>
      <c r="B5686" t="s">
        <v>7</v>
      </c>
      <c r="C5686" t="s">
        <v>464</v>
      </c>
      <c r="D5686" s="8"/>
      <c r="E5686" s="8"/>
      <c r="M5686" t="s">
        <v>478</v>
      </c>
      <c r="N5686" t="str">
        <f>Tabela_tudo[[#This Row],[Médico]]&amp;" ("&amp;Tabela_tudo[[#This Row],[Obs]]&amp;")"</f>
        <v>ARI ()</v>
      </c>
    </row>
    <row r="5687" spans="1:14" x14ac:dyDescent="0.3">
      <c r="A5687" s="1">
        <v>45187</v>
      </c>
      <c r="B5687" t="s">
        <v>50</v>
      </c>
      <c r="C5687" t="s">
        <v>51</v>
      </c>
      <c r="D5687" s="8"/>
      <c r="E5687" s="8"/>
      <c r="M5687" t="s">
        <v>478</v>
      </c>
      <c r="N5687" t="str">
        <f>Tabela_tudo[[#This Row],[Médico]]&amp;" ("&amp;Tabela_tudo[[#This Row],[Obs]]&amp;")"</f>
        <v>PJP ()</v>
      </c>
    </row>
    <row r="5688" spans="1:14" x14ac:dyDescent="0.3">
      <c r="A5688" s="1">
        <v>44996</v>
      </c>
      <c r="B5688" t="s">
        <v>7</v>
      </c>
      <c r="C5688" t="s">
        <v>464</v>
      </c>
      <c r="D5688" s="8"/>
      <c r="E5688" s="8"/>
      <c r="M5688" t="s">
        <v>478</v>
      </c>
      <c r="N5688" t="str">
        <f>Tabela_tudo[[#This Row],[Médico]]&amp;" ("&amp;Tabela_tudo[[#This Row],[Obs]]&amp;")"</f>
        <v>ARI ()</v>
      </c>
    </row>
    <row r="5689" spans="1:14" x14ac:dyDescent="0.3">
      <c r="A5689" s="1">
        <v>45181</v>
      </c>
      <c r="B5689" t="s">
        <v>32</v>
      </c>
      <c r="C5689" t="s">
        <v>13</v>
      </c>
      <c r="D5689" s="8"/>
      <c r="E5689" s="8"/>
      <c r="M5689" t="s">
        <v>478</v>
      </c>
      <c r="N5689" t="str">
        <f>Tabela_tudo[[#This Row],[Médico]]&amp;" ("&amp;Tabela_tudo[[#This Row],[Obs]]&amp;")"</f>
        <v>JS ()</v>
      </c>
    </row>
    <row r="5690" spans="1:14" x14ac:dyDescent="0.3">
      <c r="A5690" s="1">
        <v>44997</v>
      </c>
      <c r="B5690" t="s">
        <v>7</v>
      </c>
      <c r="C5690" t="s">
        <v>464</v>
      </c>
      <c r="D5690" s="8"/>
      <c r="E5690" s="8"/>
      <c r="M5690" t="s">
        <v>478</v>
      </c>
      <c r="N5690" t="str">
        <f>Tabela_tudo[[#This Row],[Médico]]&amp;" ("&amp;Tabela_tudo[[#This Row],[Obs]]&amp;")"</f>
        <v>ARI ()</v>
      </c>
    </row>
    <row r="5691" spans="1:14" x14ac:dyDescent="0.3">
      <c r="A5691" s="1">
        <v>45175</v>
      </c>
      <c r="B5691" t="s">
        <v>29</v>
      </c>
      <c r="C5691" t="s">
        <v>30</v>
      </c>
      <c r="D5691" s="8"/>
      <c r="E5691" s="8"/>
      <c r="M5691" t="s">
        <v>478</v>
      </c>
      <c r="N5691" t="str">
        <f>Tabela_tudo[[#This Row],[Médico]]&amp;" ("&amp;Tabela_tudo[[#This Row],[Obs]]&amp;")"</f>
        <v>JOA ()</v>
      </c>
    </row>
    <row r="5692" spans="1:14" x14ac:dyDescent="0.3">
      <c r="A5692" s="1">
        <v>44994</v>
      </c>
      <c r="B5692" t="s">
        <v>7</v>
      </c>
      <c r="C5692" t="s">
        <v>464</v>
      </c>
      <c r="D5692" s="8"/>
      <c r="E5692" s="8"/>
      <c r="M5692" t="s">
        <v>478</v>
      </c>
      <c r="N5692" t="str">
        <f>Tabela_tudo[[#This Row],[Médico]]&amp;" ("&amp;Tabela_tudo[[#This Row],[Obs]]&amp;")"</f>
        <v>ARI ()</v>
      </c>
    </row>
    <row r="5693" spans="1:14" x14ac:dyDescent="0.3">
      <c r="A5693" s="1">
        <v>45181</v>
      </c>
      <c r="B5693" t="s">
        <v>85</v>
      </c>
      <c r="C5693" t="s">
        <v>8</v>
      </c>
      <c r="D5693" s="8"/>
      <c r="E5693" s="8"/>
      <c r="M5693" t="s">
        <v>478</v>
      </c>
      <c r="N5693" t="str">
        <f>Tabela_tudo[[#This Row],[Médico]]&amp;" ("&amp;Tabela_tudo[[#This Row],[Obs]]&amp;")"</f>
        <v>ELF ()</v>
      </c>
    </row>
    <row r="5694" spans="1:14" x14ac:dyDescent="0.3">
      <c r="A5694" s="1">
        <v>44995</v>
      </c>
      <c r="B5694" t="s">
        <v>7</v>
      </c>
      <c r="C5694" t="s">
        <v>464</v>
      </c>
      <c r="D5694" s="8"/>
      <c r="E5694" s="8"/>
      <c r="M5694" t="s">
        <v>478</v>
      </c>
      <c r="N5694" t="str">
        <f>Tabela_tudo[[#This Row],[Médico]]&amp;" ("&amp;Tabela_tudo[[#This Row],[Obs]]&amp;")"</f>
        <v>ARI ()</v>
      </c>
    </row>
    <row r="5695" spans="1:14" x14ac:dyDescent="0.3">
      <c r="A5695" s="1">
        <v>45181</v>
      </c>
      <c r="B5695" t="s">
        <v>94</v>
      </c>
      <c r="C5695" t="s">
        <v>15</v>
      </c>
      <c r="D5695" s="8"/>
      <c r="E5695" s="8"/>
      <c r="M5695" t="s">
        <v>478</v>
      </c>
      <c r="N5695" t="str">
        <f>Tabela_tudo[[#This Row],[Médico]]&amp;" ("&amp;Tabela_tudo[[#This Row],[Obs]]&amp;")"</f>
        <v>TOT ()</v>
      </c>
    </row>
    <row r="5696" spans="1:14" x14ac:dyDescent="0.3">
      <c r="A5696" s="1">
        <v>44987</v>
      </c>
      <c r="B5696" t="s">
        <v>52</v>
      </c>
      <c r="C5696" t="s">
        <v>464</v>
      </c>
      <c r="D5696" s="8"/>
      <c r="E5696" s="8"/>
      <c r="M5696" t="s">
        <v>478</v>
      </c>
      <c r="N5696" t="str">
        <f>Tabela_tudo[[#This Row],[Médico]]&amp;" ("&amp;Tabela_tudo[[#This Row],[Obs]]&amp;")"</f>
        <v>AEL ()</v>
      </c>
    </row>
    <row r="5697" spans="1:14" x14ac:dyDescent="0.3">
      <c r="A5697" s="1">
        <v>45175</v>
      </c>
      <c r="B5697" t="s">
        <v>73</v>
      </c>
      <c r="C5697" t="s">
        <v>51</v>
      </c>
      <c r="D5697" s="8"/>
      <c r="E5697" s="8"/>
      <c r="M5697" t="s">
        <v>478</v>
      </c>
      <c r="N5697" t="str">
        <f>Tabela_tudo[[#This Row],[Médico]]&amp;" ("&amp;Tabela_tudo[[#This Row],[Obs]]&amp;")"</f>
        <v>RT ()</v>
      </c>
    </row>
    <row r="5698" spans="1:14" x14ac:dyDescent="0.3">
      <c r="A5698" s="1">
        <v>44988</v>
      </c>
      <c r="B5698" t="s">
        <v>52</v>
      </c>
      <c r="C5698" t="s">
        <v>464</v>
      </c>
      <c r="D5698" s="8"/>
      <c r="E5698" s="8"/>
      <c r="M5698" t="s">
        <v>478</v>
      </c>
      <c r="N5698" t="str">
        <f>Tabela_tudo[[#This Row],[Médico]]&amp;" ("&amp;Tabela_tudo[[#This Row],[Obs]]&amp;")"</f>
        <v>AEL ()</v>
      </c>
    </row>
    <row r="5699" spans="1:14" x14ac:dyDescent="0.3">
      <c r="A5699" s="1">
        <v>45175</v>
      </c>
      <c r="B5699" t="s">
        <v>85</v>
      </c>
      <c r="C5699" t="s">
        <v>49</v>
      </c>
      <c r="D5699" s="8"/>
      <c r="E5699" s="8"/>
      <c r="M5699" t="s">
        <v>478</v>
      </c>
      <c r="N5699" t="str">
        <f>Tabela_tudo[[#This Row],[Médico]]&amp;" ("&amp;Tabela_tudo[[#This Row],[Obs]]&amp;")"</f>
        <v>ELF ()</v>
      </c>
    </row>
    <row r="5700" spans="1:14" x14ac:dyDescent="0.3">
      <c r="A5700" s="1">
        <v>44985</v>
      </c>
      <c r="B5700" t="s">
        <v>52</v>
      </c>
      <c r="C5700" t="s">
        <v>464</v>
      </c>
      <c r="D5700" s="8"/>
      <c r="E5700" s="8"/>
      <c r="M5700" t="s">
        <v>478</v>
      </c>
      <c r="N5700" t="str">
        <f>Tabela_tudo[[#This Row],[Médico]]&amp;" ("&amp;Tabela_tudo[[#This Row],[Obs]]&amp;")"</f>
        <v>AEL ()</v>
      </c>
    </row>
    <row r="5701" spans="1:14" x14ac:dyDescent="0.3">
      <c r="A5701" s="1">
        <v>45175</v>
      </c>
      <c r="B5701" t="s">
        <v>84</v>
      </c>
      <c r="C5701" t="s">
        <v>30</v>
      </c>
      <c r="D5701" s="8"/>
      <c r="E5701" s="8"/>
      <c r="M5701" t="s">
        <v>478</v>
      </c>
      <c r="N5701" t="str">
        <f>Tabela_tudo[[#This Row],[Médico]]&amp;" ("&amp;Tabela_tudo[[#This Row],[Obs]]&amp;")"</f>
        <v>ANO ()</v>
      </c>
    </row>
    <row r="5702" spans="1:14" x14ac:dyDescent="0.3">
      <c r="A5702" s="1">
        <v>44986</v>
      </c>
      <c r="B5702" t="s">
        <v>52</v>
      </c>
      <c r="C5702" t="s">
        <v>464</v>
      </c>
      <c r="D5702" s="8"/>
      <c r="E5702" s="8"/>
      <c r="M5702" t="s">
        <v>478</v>
      </c>
      <c r="N5702" t="str">
        <f>Tabela_tudo[[#This Row],[Médico]]&amp;" ("&amp;Tabela_tudo[[#This Row],[Obs]]&amp;")"</f>
        <v>AEL ()</v>
      </c>
    </row>
    <row r="5703" spans="1:14" x14ac:dyDescent="0.3">
      <c r="A5703" s="1">
        <v>45175</v>
      </c>
      <c r="B5703" t="s">
        <v>37</v>
      </c>
      <c r="C5703" t="s">
        <v>43</v>
      </c>
      <c r="D5703" s="8"/>
      <c r="E5703" s="8"/>
      <c r="M5703" t="s">
        <v>478</v>
      </c>
      <c r="N5703" t="str">
        <f>Tabela_tudo[[#This Row],[Médico]]&amp;" ("&amp;Tabela_tudo[[#This Row],[Obs]]&amp;")"</f>
        <v>EBB ()</v>
      </c>
    </row>
    <row r="5704" spans="1:14" x14ac:dyDescent="0.3">
      <c r="A5704" s="1">
        <v>44986</v>
      </c>
      <c r="B5704" t="s">
        <v>72</v>
      </c>
      <c r="C5704" t="s">
        <v>464</v>
      </c>
      <c r="D5704" s="8"/>
      <c r="E5704" s="8"/>
      <c r="M5704" t="s">
        <v>478</v>
      </c>
      <c r="N5704" t="str">
        <f>Tabela_tudo[[#This Row],[Médico]]&amp;" ("&amp;Tabela_tudo[[#This Row],[Obs]]&amp;")"</f>
        <v>GRA ()</v>
      </c>
    </row>
    <row r="5705" spans="1:14" x14ac:dyDescent="0.3">
      <c r="A5705" s="1">
        <v>45181</v>
      </c>
      <c r="B5705" t="s">
        <v>72</v>
      </c>
      <c r="C5705" t="s">
        <v>124</v>
      </c>
      <c r="D5705" s="8">
        <v>0.83333333333333337</v>
      </c>
      <c r="E5705" s="8">
        <v>0.875</v>
      </c>
      <c r="F5705" t="s">
        <v>614</v>
      </c>
      <c r="K5705" t="s">
        <v>565</v>
      </c>
      <c r="M5705" t="s">
        <v>478</v>
      </c>
      <c r="N5705" t="str">
        <f>Tabela_tudo[[#This Row],[Médico]]&amp;" ("&amp;Tabela_tudo[[#This Row],[Obs]]&amp;")"</f>
        <v>GRA (ANEST E A CIRURGIA DIGESTIVA CONV: JULIANO CHIBIAQUE)</v>
      </c>
    </row>
    <row r="5706" spans="1:14" x14ac:dyDescent="0.3">
      <c r="A5706" s="1">
        <v>44987</v>
      </c>
      <c r="B5706" t="s">
        <v>72</v>
      </c>
      <c r="C5706" t="s">
        <v>464</v>
      </c>
      <c r="D5706" s="8"/>
      <c r="E5706" s="8"/>
      <c r="M5706" t="s">
        <v>478</v>
      </c>
      <c r="N5706" t="str">
        <f>Tabela_tudo[[#This Row],[Médico]]&amp;" ("&amp;Tabela_tudo[[#This Row],[Obs]]&amp;")"</f>
        <v>GRA ()</v>
      </c>
    </row>
    <row r="5707" spans="1:14" x14ac:dyDescent="0.3">
      <c r="A5707" s="1">
        <v>45181</v>
      </c>
      <c r="B5707" t="s">
        <v>75</v>
      </c>
      <c r="C5707" t="s">
        <v>51</v>
      </c>
      <c r="D5707" s="8"/>
      <c r="E5707" s="8"/>
      <c r="M5707" t="s">
        <v>478</v>
      </c>
      <c r="N5707" t="str">
        <f>Tabela_tudo[[#This Row],[Médico]]&amp;" ("&amp;Tabela_tudo[[#This Row],[Obs]]&amp;")"</f>
        <v>KOP ()</v>
      </c>
    </row>
    <row r="5708" spans="1:14" x14ac:dyDescent="0.3">
      <c r="A5708" s="1">
        <v>44984</v>
      </c>
      <c r="B5708" t="s">
        <v>72</v>
      </c>
      <c r="C5708" t="s">
        <v>464</v>
      </c>
      <c r="D5708" s="8"/>
      <c r="E5708" s="8"/>
      <c r="M5708" t="s">
        <v>478</v>
      </c>
      <c r="N5708" t="str">
        <f>Tabela_tudo[[#This Row],[Médico]]&amp;" ("&amp;Tabela_tudo[[#This Row],[Obs]]&amp;")"</f>
        <v>GRA ()</v>
      </c>
    </row>
    <row r="5709" spans="1:14" x14ac:dyDescent="0.3">
      <c r="A5709" s="1">
        <v>45181</v>
      </c>
      <c r="B5709" t="s">
        <v>75</v>
      </c>
      <c r="C5709" t="s">
        <v>30</v>
      </c>
      <c r="D5709" s="8"/>
      <c r="E5709" s="8"/>
      <c r="M5709" t="s">
        <v>478</v>
      </c>
      <c r="N5709" t="str">
        <f>Tabela_tudo[[#This Row],[Médico]]&amp;" ("&amp;Tabela_tudo[[#This Row],[Obs]]&amp;")"</f>
        <v>KOP ()</v>
      </c>
    </row>
    <row r="5710" spans="1:14" x14ac:dyDescent="0.3">
      <c r="A5710" s="1">
        <v>44985</v>
      </c>
      <c r="B5710" t="s">
        <v>72</v>
      </c>
      <c r="C5710" t="s">
        <v>464</v>
      </c>
      <c r="D5710" s="8"/>
      <c r="E5710" s="8"/>
      <c r="M5710" t="s">
        <v>478</v>
      </c>
      <c r="N5710" t="str">
        <f>Tabela_tudo[[#This Row],[Médico]]&amp;" ("&amp;Tabela_tudo[[#This Row],[Obs]]&amp;")"</f>
        <v>GRA ()</v>
      </c>
    </row>
    <row r="5711" spans="1:14" x14ac:dyDescent="0.3">
      <c r="A5711" s="1">
        <v>45181</v>
      </c>
      <c r="B5711" t="s">
        <v>142</v>
      </c>
      <c r="C5711" t="s">
        <v>43</v>
      </c>
      <c r="D5711" s="8"/>
      <c r="E5711" s="8"/>
      <c r="M5711" t="s">
        <v>478</v>
      </c>
      <c r="N5711" t="str">
        <f>Tabela_tudo[[#This Row],[Médico]]&amp;" ("&amp;Tabela_tudo[[#This Row],[Obs]]&amp;")"</f>
        <v>VIV ()</v>
      </c>
    </row>
    <row r="5712" spans="1:14" x14ac:dyDescent="0.3">
      <c r="A5712" s="1">
        <v>44952</v>
      </c>
      <c r="B5712" t="s">
        <v>333</v>
      </c>
      <c r="C5712" t="s">
        <v>466</v>
      </c>
      <c r="D5712" s="8"/>
      <c r="E5712" s="8"/>
      <c r="M5712" t="s">
        <v>478</v>
      </c>
      <c r="N5712" t="str">
        <f>Tabela_tudo[[#This Row],[Médico]]&amp;" ("&amp;Tabela_tudo[[#This Row],[Obs]]&amp;")"</f>
        <v>COR ()</v>
      </c>
    </row>
    <row r="5713" spans="1:14" x14ac:dyDescent="0.3">
      <c r="A5713" s="1">
        <v>45181</v>
      </c>
      <c r="B5713" t="s">
        <v>16</v>
      </c>
      <c r="C5713" t="s">
        <v>46</v>
      </c>
      <c r="D5713" s="8"/>
      <c r="E5713" s="8"/>
      <c r="M5713" t="s">
        <v>478</v>
      </c>
      <c r="N5713" t="str">
        <f>Tabela_tudo[[#This Row],[Médico]]&amp;" ("&amp;Tabela_tudo[[#This Row],[Obs]]&amp;")"</f>
        <v>PP ()</v>
      </c>
    </row>
    <row r="5714" spans="1:14" x14ac:dyDescent="0.3">
      <c r="A5714" s="1">
        <v>44953</v>
      </c>
      <c r="B5714" t="s">
        <v>333</v>
      </c>
      <c r="C5714" t="s">
        <v>466</v>
      </c>
      <c r="D5714" s="8"/>
      <c r="E5714" s="8"/>
      <c r="M5714" t="s">
        <v>478</v>
      </c>
      <c r="N5714" t="str">
        <f>Tabela_tudo[[#This Row],[Médico]]&amp;" ("&amp;Tabela_tudo[[#This Row],[Obs]]&amp;")"</f>
        <v>COR ()</v>
      </c>
    </row>
    <row r="5715" spans="1:14" x14ac:dyDescent="0.3">
      <c r="A5715" s="1">
        <v>45181</v>
      </c>
      <c r="B5715" t="s">
        <v>23</v>
      </c>
      <c r="C5715" t="s">
        <v>45</v>
      </c>
      <c r="D5715" s="8"/>
      <c r="E5715" s="8"/>
      <c r="M5715" t="s">
        <v>478</v>
      </c>
      <c r="N5715" t="str">
        <f>Tabela_tudo[[#This Row],[Médico]]&amp;" ("&amp;Tabela_tudo[[#This Row],[Obs]]&amp;")"</f>
        <v>BG ()</v>
      </c>
    </row>
    <row r="5716" spans="1:14" x14ac:dyDescent="0.3">
      <c r="A5716" s="1">
        <v>44952</v>
      </c>
      <c r="B5716" t="s">
        <v>85</v>
      </c>
      <c r="C5716" t="s">
        <v>464</v>
      </c>
      <c r="D5716" s="8"/>
      <c r="E5716" s="8"/>
      <c r="M5716" t="s">
        <v>478</v>
      </c>
      <c r="N5716" t="str">
        <f>Tabela_tudo[[#This Row],[Médico]]&amp;" ("&amp;Tabela_tudo[[#This Row],[Obs]]&amp;")"</f>
        <v>ELF ()</v>
      </c>
    </row>
    <row r="5717" spans="1:14" x14ac:dyDescent="0.3">
      <c r="A5717" s="1">
        <v>45181</v>
      </c>
      <c r="B5717" t="s">
        <v>71</v>
      </c>
      <c r="C5717" t="s">
        <v>49</v>
      </c>
      <c r="D5717" s="8"/>
      <c r="E5717" s="8"/>
      <c r="M5717" t="s">
        <v>478</v>
      </c>
      <c r="N5717" t="str">
        <f>Tabela_tudo[[#This Row],[Médico]]&amp;" ("&amp;Tabela_tudo[[#This Row],[Obs]]&amp;")"</f>
        <v>BRU ()</v>
      </c>
    </row>
    <row r="5718" spans="1:14" x14ac:dyDescent="0.3">
      <c r="A5718" s="1">
        <v>44953</v>
      </c>
      <c r="B5718" t="s">
        <v>85</v>
      </c>
      <c r="C5718" t="s">
        <v>464</v>
      </c>
      <c r="D5718" s="8"/>
      <c r="E5718" s="8"/>
      <c r="M5718" t="s">
        <v>478</v>
      </c>
      <c r="N5718" t="str">
        <f>Tabela_tudo[[#This Row],[Médico]]&amp;" ("&amp;Tabela_tudo[[#This Row],[Obs]]&amp;")"</f>
        <v>ELF ()</v>
      </c>
    </row>
    <row r="5719" spans="1:14" x14ac:dyDescent="0.3">
      <c r="A5719" s="1">
        <v>45181</v>
      </c>
      <c r="B5719" t="s">
        <v>72</v>
      </c>
      <c r="C5719" t="s">
        <v>18</v>
      </c>
      <c r="D5719" s="8"/>
      <c r="E5719" s="8"/>
      <c r="M5719" t="s">
        <v>478</v>
      </c>
      <c r="N5719" t="str">
        <f>Tabela_tudo[[#This Row],[Médico]]&amp;" ("&amp;Tabela_tudo[[#This Row],[Obs]]&amp;")"</f>
        <v>GRA ()</v>
      </c>
    </row>
    <row r="5720" spans="1:14" x14ac:dyDescent="0.3">
      <c r="A5720" s="1">
        <v>44956</v>
      </c>
      <c r="B5720" t="s">
        <v>33</v>
      </c>
      <c r="C5720" t="s">
        <v>464</v>
      </c>
      <c r="D5720" s="8"/>
      <c r="E5720" s="8"/>
      <c r="M5720" t="s">
        <v>478</v>
      </c>
      <c r="N5720" t="str">
        <f>Tabela_tudo[[#This Row],[Médico]]&amp;" ("&amp;Tabela_tudo[[#This Row],[Obs]]&amp;")"</f>
        <v>DIF ()</v>
      </c>
    </row>
    <row r="5721" spans="1:14" x14ac:dyDescent="0.3">
      <c r="A5721" s="1">
        <v>45175</v>
      </c>
      <c r="B5721" t="s">
        <v>63</v>
      </c>
      <c r="C5721" t="s">
        <v>18</v>
      </c>
      <c r="D5721" s="8"/>
      <c r="E5721" s="8"/>
      <c r="M5721" t="s">
        <v>478</v>
      </c>
      <c r="N5721" t="str">
        <f>Tabela_tudo[[#This Row],[Médico]]&amp;" ("&amp;Tabela_tudo[[#This Row],[Obs]]&amp;")"</f>
        <v>FQ ()</v>
      </c>
    </row>
    <row r="5722" spans="1:14" x14ac:dyDescent="0.3">
      <c r="A5722" s="1">
        <v>44957</v>
      </c>
      <c r="B5722" t="s">
        <v>33</v>
      </c>
      <c r="C5722" t="s">
        <v>464</v>
      </c>
      <c r="D5722" s="8"/>
      <c r="E5722" s="8"/>
      <c r="M5722" t="s">
        <v>478</v>
      </c>
      <c r="N5722" t="str">
        <f>Tabela_tudo[[#This Row],[Médico]]&amp;" ("&amp;Tabela_tudo[[#This Row],[Obs]]&amp;")"</f>
        <v>DIF ()</v>
      </c>
    </row>
    <row r="5723" spans="1:14" x14ac:dyDescent="0.3">
      <c r="A5723" s="1">
        <v>45174</v>
      </c>
      <c r="B5723" t="s">
        <v>75</v>
      </c>
      <c r="C5723" t="s">
        <v>51</v>
      </c>
      <c r="D5723" s="8"/>
      <c r="E5723" s="8"/>
      <c r="M5723" t="s">
        <v>478</v>
      </c>
      <c r="N5723" t="str">
        <f>Tabela_tudo[[#This Row],[Médico]]&amp;" ("&amp;Tabela_tudo[[#This Row],[Obs]]&amp;")"</f>
        <v>KOP ()</v>
      </c>
    </row>
    <row r="5724" spans="1:14" x14ac:dyDescent="0.3">
      <c r="A5724" s="1">
        <v>44954</v>
      </c>
      <c r="B5724" t="s">
        <v>47</v>
      </c>
      <c r="C5724" t="s">
        <v>465</v>
      </c>
      <c r="D5724" s="8"/>
      <c r="E5724" s="8"/>
      <c r="M5724" t="s">
        <v>478</v>
      </c>
      <c r="N5724" t="str">
        <f>Tabela_tudo[[#This Row],[Médico]]&amp;" ("&amp;Tabela_tudo[[#This Row],[Obs]]&amp;")"</f>
        <v>VIN ()</v>
      </c>
    </row>
    <row r="5725" spans="1:14" x14ac:dyDescent="0.3">
      <c r="A5725" s="1">
        <v>45174</v>
      </c>
      <c r="B5725" t="s">
        <v>85</v>
      </c>
      <c r="C5725" t="s">
        <v>49</v>
      </c>
      <c r="D5725" s="8"/>
      <c r="E5725" s="8"/>
      <c r="M5725" t="s">
        <v>478</v>
      </c>
      <c r="N5725" t="str">
        <f>Tabela_tudo[[#This Row],[Médico]]&amp;" ("&amp;Tabela_tudo[[#This Row],[Obs]]&amp;")"</f>
        <v>ELF ()</v>
      </c>
    </row>
    <row r="5726" spans="1:14" x14ac:dyDescent="0.3">
      <c r="A5726" s="1">
        <v>44955</v>
      </c>
      <c r="B5726" t="s">
        <v>47</v>
      </c>
      <c r="C5726" t="s">
        <v>465</v>
      </c>
      <c r="D5726" s="8"/>
      <c r="E5726" s="8"/>
      <c r="M5726" t="s">
        <v>478</v>
      </c>
      <c r="N5726" t="str">
        <f>Tabela_tudo[[#This Row],[Médico]]&amp;" ("&amp;Tabela_tudo[[#This Row],[Obs]]&amp;")"</f>
        <v>VIN ()</v>
      </c>
    </row>
    <row r="5727" spans="1:14" x14ac:dyDescent="0.3">
      <c r="A5727" s="1">
        <v>45174</v>
      </c>
      <c r="B5727" t="s">
        <v>66</v>
      </c>
      <c r="C5727" t="s">
        <v>30</v>
      </c>
      <c r="D5727" s="8"/>
      <c r="E5727" s="8"/>
      <c r="M5727" t="s">
        <v>478</v>
      </c>
      <c r="N5727" t="str">
        <f>Tabela_tudo[[#This Row],[Médico]]&amp;" ("&amp;Tabela_tudo[[#This Row],[Obs]]&amp;")"</f>
        <v>MOZ ()</v>
      </c>
    </row>
    <row r="5728" spans="1:14" x14ac:dyDescent="0.3">
      <c r="A5728" s="1">
        <v>44946</v>
      </c>
      <c r="B5728" t="s">
        <v>85</v>
      </c>
      <c r="C5728" t="s">
        <v>464</v>
      </c>
      <c r="D5728" s="8"/>
      <c r="E5728" s="8"/>
      <c r="M5728" t="s">
        <v>478</v>
      </c>
      <c r="N5728" t="str">
        <f>Tabela_tudo[[#This Row],[Médico]]&amp;" ("&amp;Tabela_tudo[[#This Row],[Obs]]&amp;")"</f>
        <v>ELF ()</v>
      </c>
    </row>
    <row r="5729" spans="1:14" x14ac:dyDescent="0.3">
      <c r="A5729" s="1">
        <v>45174</v>
      </c>
      <c r="B5729" t="s">
        <v>23</v>
      </c>
      <c r="C5729" t="s">
        <v>222</v>
      </c>
      <c r="D5729" s="8">
        <v>0.83333333333333337</v>
      </c>
      <c r="E5729" s="8">
        <v>0.91666666666666663</v>
      </c>
      <c r="F5729" t="s">
        <v>433</v>
      </c>
      <c r="K5729" t="s">
        <v>565</v>
      </c>
      <c r="M5729" t="s">
        <v>478</v>
      </c>
      <c r="N5729" t="str">
        <f>Tabela_tudo[[#This Row],[Médico]]&amp;" ("&amp;Tabela_tudo[[#This Row],[Obs]]&amp;")"</f>
        <v>BG (REUNIÃO ADM MÉDICOS - ONLINE)</v>
      </c>
    </row>
    <row r="5730" spans="1:14" x14ac:dyDescent="0.3">
      <c r="A5730" s="1">
        <v>44947</v>
      </c>
      <c r="B5730" t="s">
        <v>85</v>
      </c>
      <c r="C5730" t="s">
        <v>464</v>
      </c>
      <c r="D5730" s="8"/>
      <c r="E5730" s="8"/>
      <c r="M5730" t="s">
        <v>478</v>
      </c>
      <c r="N5730" t="str">
        <f>Tabela_tudo[[#This Row],[Médico]]&amp;" ("&amp;Tabela_tudo[[#This Row],[Obs]]&amp;")"</f>
        <v>ELF ()</v>
      </c>
    </row>
    <row r="5731" spans="1:14" x14ac:dyDescent="0.3">
      <c r="A5731" s="1">
        <v>45174</v>
      </c>
      <c r="B5731" t="s">
        <v>23</v>
      </c>
      <c r="C5731" t="s">
        <v>45</v>
      </c>
      <c r="D5731" s="8"/>
      <c r="E5731" s="8"/>
      <c r="M5731" t="s">
        <v>478</v>
      </c>
      <c r="N5731" t="str">
        <f>Tabela_tudo[[#This Row],[Médico]]&amp;" ("&amp;Tabela_tudo[[#This Row],[Obs]]&amp;")"</f>
        <v>BG ()</v>
      </c>
    </row>
    <row r="5732" spans="1:14" x14ac:dyDescent="0.3">
      <c r="A5732" s="1">
        <v>44944</v>
      </c>
      <c r="B5732" t="s">
        <v>85</v>
      </c>
      <c r="C5732" t="s">
        <v>464</v>
      </c>
      <c r="D5732" s="8"/>
      <c r="E5732" s="8"/>
      <c r="M5732" t="s">
        <v>478</v>
      </c>
      <c r="N5732" t="str">
        <f>Tabela_tudo[[#This Row],[Médico]]&amp;" ("&amp;Tabela_tudo[[#This Row],[Obs]]&amp;")"</f>
        <v>ELF ()</v>
      </c>
    </row>
    <row r="5733" spans="1:14" x14ac:dyDescent="0.3">
      <c r="A5733" s="1">
        <v>45174</v>
      </c>
      <c r="B5733" t="s">
        <v>23</v>
      </c>
      <c r="C5733" t="s">
        <v>22</v>
      </c>
      <c r="D5733" s="8">
        <v>0.29166666666666669</v>
      </c>
      <c r="E5733" s="8">
        <v>0.54166666666666663</v>
      </c>
      <c r="M5733" t="s">
        <v>478</v>
      </c>
      <c r="N5733" t="str">
        <f>Tabela_tudo[[#This Row],[Médico]]&amp;" ("&amp;Tabela_tudo[[#This Row],[Obs]]&amp;")"</f>
        <v>BG ()</v>
      </c>
    </row>
    <row r="5734" spans="1:14" x14ac:dyDescent="0.3">
      <c r="A5734" s="1">
        <v>44945</v>
      </c>
      <c r="B5734" t="s">
        <v>85</v>
      </c>
      <c r="C5734" t="s">
        <v>464</v>
      </c>
      <c r="D5734" s="8"/>
      <c r="E5734" s="8"/>
      <c r="M5734" t="s">
        <v>478</v>
      </c>
      <c r="N5734" t="str">
        <f>Tabela_tudo[[#This Row],[Médico]]&amp;" ("&amp;Tabela_tudo[[#This Row],[Obs]]&amp;")"</f>
        <v>ELF ()</v>
      </c>
    </row>
    <row r="5735" spans="1:14" x14ac:dyDescent="0.3">
      <c r="A5735" s="1">
        <v>45174</v>
      </c>
      <c r="B5735" t="s">
        <v>47</v>
      </c>
      <c r="C5735" t="s">
        <v>18</v>
      </c>
      <c r="D5735" s="8"/>
      <c r="E5735" s="8"/>
      <c r="M5735" t="s">
        <v>478</v>
      </c>
      <c r="N5735" t="str">
        <f>Tabela_tudo[[#This Row],[Médico]]&amp;" ("&amp;Tabela_tudo[[#This Row],[Obs]]&amp;")"</f>
        <v>VIN ()</v>
      </c>
    </row>
    <row r="5736" spans="1:14" x14ac:dyDescent="0.3">
      <c r="A5736" s="1">
        <v>44950</v>
      </c>
      <c r="B5736" t="s">
        <v>85</v>
      </c>
      <c r="C5736" t="s">
        <v>464</v>
      </c>
      <c r="D5736" s="8"/>
      <c r="E5736" s="8"/>
      <c r="M5736" t="s">
        <v>478</v>
      </c>
      <c r="N5736" t="str">
        <f>Tabela_tudo[[#This Row],[Médico]]&amp;" ("&amp;Tabela_tudo[[#This Row],[Obs]]&amp;")"</f>
        <v>ELF ()</v>
      </c>
    </row>
    <row r="5737" spans="1:14" x14ac:dyDescent="0.3">
      <c r="A5737" s="1">
        <v>45174</v>
      </c>
      <c r="B5737" t="s">
        <v>16</v>
      </c>
      <c r="C5737" t="s">
        <v>46</v>
      </c>
      <c r="D5737" s="8"/>
      <c r="E5737" s="8"/>
      <c r="M5737" t="s">
        <v>478</v>
      </c>
      <c r="N5737" t="str">
        <f>Tabela_tudo[[#This Row],[Médico]]&amp;" ("&amp;Tabela_tudo[[#This Row],[Obs]]&amp;")"</f>
        <v>PP ()</v>
      </c>
    </row>
    <row r="5738" spans="1:14" x14ac:dyDescent="0.3">
      <c r="A5738" s="1">
        <v>44951</v>
      </c>
      <c r="B5738" t="s">
        <v>85</v>
      </c>
      <c r="C5738" t="s">
        <v>464</v>
      </c>
      <c r="D5738" s="8"/>
      <c r="E5738" s="8"/>
      <c r="M5738" t="s">
        <v>478</v>
      </c>
      <c r="N5738" t="str">
        <f>Tabela_tudo[[#This Row],[Médico]]&amp;" ("&amp;Tabela_tudo[[#This Row],[Obs]]&amp;")"</f>
        <v>ELF ()</v>
      </c>
    </row>
    <row r="5739" spans="1:14" x14ac:dyDescent="0.3">
      <c r="A5739" s="1">
        <v>45175</v>
      </c>
      <c r="B5739" t="s">
        <v>33</v>
      </c>
      <c r="C5739" t="s">
        <v>8</v>
      </c>
      <c r="D5739" s="8"/>
      <c r="E5739" s="8"/>
      <c r="M5739" t="s">
        <v>478</v>
      </c>
      <c r="N5739" t="str">
        <f>Tabela_tudo[[#This Row],[Médico]]&amp;" ("&amp;Tabela_tudo[[#This Row],[Obs]]&amp;")"</f>
        <v>DIF ()</v>
      </c>
    </row>
    <row r="5740" spans="1:14" x14ac:dyDescent="0.3">
      <c r="A5740" s="1">
        <v>44948</v>
      </c>
      <c r="B5740" t="s">
        <v>85</v>
      </c>
      <c r="C5740" t="s">
        <v>464</v>
      </c>
      <c r="D5740" s="8"/>
      <c r="E5740" s="8"/>
      <c r="M5740" t="s">
        <v>478</v>
      </c>
      <c r="N5740" t="str">
        <f>Tabela_tudo[[#This Row],[Médico]]&amp;" ("&amp;Tabela_tudo[[#This Row],[Obs]]&amp;")"</f>
        <v>ELF ()</v>
      </c>
    </row>
    <row r="5741" spans="1:14" x14ac:dyDescent="0.3">
      <c r="A5741" s="1">
        <v>45175</v>
      </c>
      <c r="B5741" t="s">
        <v>71</v>
      </c>
      <c r="C5741" t="s">
        <v>15</v>
      </c>
      <c r="D5741" s="8"/>
      <c r="E5741" s="8"/>
      <c r="M5741" t="s">
        <v>478</v>
      </c>
      <c r="N5741" t="str">
        <f>Tabela_tudo[[#This Row],[Médico]]&amp;" ("&amp;Tabela_tudo[[#This Row],[Obs]]&amp;")"</f>
        <v>BRU ()</v>
      </c>
    </row>
    <row r="5742" spans="1:14" x14ac:dyDescent="0.3">
      <c r="A5742" s="1">
        <v>44949</v>
      </c>
      <c r="B5742" t="s">
        <v>85</v>
      </c>
      <c r="C5742" t="s">
        <v>464</v>
      </c>
      <c r="D5742" s="8"/>
      <c r="E5742" s="8"/>
      <c r="M5742" t="s">
        <v>478</v>
      </c>
      <c r="N5742" t="str">
        <f>Tabela_tudo[[#This Row],[Médico]]&amp;" ("&amp;Tabela_tudo[[#This Row],[Obs]]&amp;")"</f>
        <v>ELF ()</v>
      </c>
    </row>
    <row r="5743" spans="1:14" x14ac:dyDescent="0.3">
      <c r="A5743" s="1">
        <v>45175</v>
      </c>
      <c r="B5743" t="s">
        <v>68</v>
      </c>
      <c r="C5743" t="s">
        <v>46</v>
      </c>
      <c r="D5743" s="8"/>
      <c r="E5743" s="8"/>
      <c r="M5743" t="s">
        <v>478</v>
      </c>
      <c r="N5743" t="str">
        <f>Tabela_tudo[[#This Row],[Médico]]&amp;" ("&amp;Tabela_tudo[[#This Row],[Obs]]&amp;")"</f>
        <v>PED ()</v>
      </c>
    </row>
    <row r="5744" spans="1:14" x14ac:dyDescent="0.3">
      <c r="A5744" s="1">
        <v>44938</v>
      </c>
      <c r="B5744" t="s">
        <v>32</v>
      </c>
      <c r="C5744" t="s">
        <v>464</v>
      </c>
      <c r="D5744" s="8"/>
      <c r="E5744" s="8"/>
      <c r="M5744" t="s">
        <v>478</v>
      </c>
      <c r="N5744" t="str">
        <f>Tabela_tudo[[#This Row],[Médico]]&amp;" ("&amp;Tabela_tudo[[#This Row],[Obs]]&amp;")"</f>
        <v>JS ()</v>
      </c>
    </row>
    <row r="5745" spans="1:14" x14ac:dyDescent="0.3">
      <c r="A5745" s="1">
        <v>45175</v>
      </c>
      <c r="B5745" t="s">
        <v>66</v>
      </c>
      <c r="C5745" t="s">
        <v>45</v>
      </c>
      <c r="D5745" s="8"/>
      <c r="E5745" s="8"/>
      <c r="M5745" t="s">
        <v>478</v>
      </c>
      <c r="N5745" t="str">
        <f>Tabela_tudo[[#This Row],[Médico]]&amp;" ("&amp;Tabela_tudo[[#This Row],[Obs]]&amp;")"</f>
        <v>MOZ ()</v>
      </c>
    </row>
    <row r="5746" spans="1:14" x14ac:dyDescent="0.3">
      <c r="A5746" s="1">
        <v>44937</v>
      </c>
      <c r="B5746" t="s">
        <v>32</v>
      </c>
      <c r="C5746" t="s">
        <v>464</v>
      </c>
      <c r="D5746" s="8"/>
      <c r="E5746" s="8"/>
      <c r="M5746" t="s">
        <v>478</v>
      </c>
      <c r="N5746" t="str">
        <f>Tabela_tudo[[#This Row],[Médico]]&amp;" ("&amp;Tabela_tudo[[#This Row],[Obs]]&amp;")"</f>
        <v>JS ()</v>
      </c>
    </row>
    <row r="5747" spans="1:14" x14ac:dyDescent="0.3">
      <c r="A5747" s="1">
        <v>45174</v>
      </c>
      <c r="B5747" t="s">
        <v>73</v>
      </c>
      <c r="C5747" t="s">
        <v>22</v>
      </c>
      <c r="D5747" s="8">
        <v>0.29166666666666669</v>
      </c>
      <c r="E5747" s="8">
        <v>0.54166666666666663</v>
      </c>
      <c r="M5747" t="s">
        <v>478</v>
      </c>
      <c r="N5747" t="str">
        <f>Tabela_tudo[[#This Row],[Médico]]&amp;" ("&amp;Tabela_tudo[[#This Row],[Obs]]&amp;")"</f>
        <v>RT ()</v>
      </c>
    </row>
    <row r="5748" spans="1:14" x14ac:dyDescent="0.3">
      <c r="A5748" s="1">
        <v>44928</v>
      </c>
      <c r="B5748" t="s">
        <v>50</v>
      </c>
      <c r="C5748" t="s">
        <v>464</v>
      </c>
      <c r="D5748" s="8"/>
      <c r="E5748" s="8"/>
      <c r="M5748" t="s">
        <v>478</v>
      </c>
      <c r="N5748" t="str">
        <f>Tabela_tudo[[#This Row],[Médico]]&amp;" ("&amp;Tabela_tudo[[#This Row],[Obs]]&amp;")"</f>
        <v>PJP ()</v>
      </c>
    </row>
    <row r="5749" spans="1:14" x14ac:dyDescent="0.3">
      <c r="A5749" s="1">
        <v>45174</v>
      </c>
      <c r="B5749" t="s">
        <v>29</v>
      </c>
      <c r="C5749" t="s">
        <v>43</v>
      </c>
      <c r="D5749" s="8"/>
      <c r="E5749" s="8"/>
      <c r="M5749" t="s">
        <v>478</v>
      </c>
      <c r="N5749" t="str">
        <f>Tabela_tudo[[#This Row],[Médico]]&amp;" ("&amp;Tabela_tudo[[#This Row],[Obs]]&amp;")"</f>
        <v>JOA ()</v>
      </c>
    </row>
    <row r="5750" spans="1:14" x14ac:dyDescent="0.3">
      <c r="A5750" s="1">
        <v>44939</v>
      </c>
      <c r="B5750" t="s">
        <v>32</v>
      </c>
      <c r="C5750" t="s">
        <v>464</v>
      </c>
      <c r="D5750" s="8"/>
      <c r="E5750" s="8"/>
      <c r="M5750" t="s">
        <v>478</v>
      </c>
      <c r="N5750" t="str">
        <f>Tabela_tudo[[#This Row],[Médico]]&amp;" ("&amp;Tabela_tudo[[#This Row],[Obs]]&amp;")"</f>
        <v>JS ()</v>
      </c>
    </row>
    <row r="5751" spans="1:14" x14ac:dyDescent="0.3">
      <c r="A5751" s="1">
        <v>45175</v>
      </c>
      <c r="B5751" t="s">
        <v>44</v>
      </c>
      <c r="C5751" t="s">
        <v>13</v>
      </c>
      <c r="D5751" s="8"/>
      <c r="E5751" s="8"/>
      <c r="M5751" t="s">
        <v>478</v>
      </c>
      <c r="N5751" t="str">
        <f>Tabela_tudo[[#This Row],[Médico]]&amp;" ("&amp;Tabela_tudo[[#This Row],[Obs]]&amp;")"</f>
        <v>REI ()</v>
      </c>
    </row>
    <row r="5752" spans="1:14" x14ac:dyDescent="0.3">
      <c r="A5752" s="1">
        <v>44934</v>
      </c>
      <c r="B5752" t="s">
        <v>32</v>
      </c>
      <c r="C5752" t="s">
        <v>464</v>
      </c>
      <c r="D5752" s="8"/>
      <c r="E5752" s="8"/>
      <c r="M5752" t="s">
        <v>478</v>
      </c>
      <c r="N5752" t="str">
        <f>Tabela_tudo[[#This Row],[Médico]]&amp;" ("&amp;Tabela_tudo[[#This Row],[Obs]]&amp;")"</f>
        <v>JS ()</v>
      </c>
    </row>
    <row r="5753" spans="1:14" x14ac:dyDescent="0.3">
      <c r="A5753" s="1">
        <v>45174</v>
      </c>
      <c r="B5753" t="s">
        <v>73</v>
      </c>
      <c r="C5753" t="s">
        <v>124</v>
      </c>
      <c r="D5753" s="8">
        <v>0.77083333333333337</v>
      </c>
      <c r="E5753" s="8">
        <v>0.8125</v>
      </c>
      <c r="F5753" t="s">
        <v>436</v>
      </c>
      <c r="J5753" t="s">
        <v>565</v>
      </c>
      <c r="K5753" t="s">
        <v>565</v>
      </c>
      <c r="M5753" t="s">
        <v>478</v>
      </c>
      <c r="N5753" t="str">
        <f>Tabela_tudo[[#This Row],[Médico]]&amp;" ("&amp;Tabela_tudo[[#This Row],[Obs]]&amp;")"</f>
        <v>RT (TEMA: TRANSFORMAÇÃO DIGITAL DA SAÚDE - CONVIDADO DR. LEONARDO VEDOLIN - ONLINE)</v>
      </c>
    </row>
    <row r="5754" spans="1:14" x14ac:dyDescent="0.3">
      <c r="A5754" s="1">
        <v>44962</v>
      </c>
      <c r="B5754" t="s">
        <v>33</v>
      </c>
      <c r="C5754" t="s">
        <v>464</v>
      </c>
      <c r="D5754" s="8"/>
      <c r="E5754" s="8"/>
      <c r="M5754" t="s">
        <v>478</v>
      </c>
      <c r="N5754" t="str">
        <f>Tabela_tudo[[#This Row],[Médico]]&amp;" ("&amp;Tabela_tudo[[#This Row],[Obs]]&amp;")"</f>
        <v>DIF ()</v>
      </c>
    </row>
    <row r="5755" spans="1:14" x14ac:dyDescent="0.3">
      <c r="A5755" s="1">
        <v>45182</v>
      </c>
      <c r="B5755" t="s">
        <v>71</v>
      </c>
      <c r="C5755" t="s">
        <v>13</v>
      </c>
      <c r="D5755" s="8"/>
      <c r="E5755" s="8"/>
      <c r="M5755" t="s">
        <v>478</v>
      </c>
      <c r="N5755" t="str">
        <f>Tabela_tudo[[#This Row],[Médico]]&amp;" ("&amp;Tabela_tudo[[#This Row],[Obs]]&amp;")"</f>
        <v>BRU ()</v>
      </c>
    </row>
    <row r="5756" spans="1:14" x14ac:dyDescent="0.3">
      <c r="A5756" s="1">
        <v>44936</v>
      </c>
      <c r="B5756" t="s">
        <v>32</v>
      </c>
      <c r="C5756" t="s">
        <v>464</v>
      </c>
      <c r="D5756" s="8"/>
      <c r="E5756" s="8"/>
      <c r="M5756" t="s">
        <v>478</v>
      </c>
      <c r="N5756" t="str">
        <f>Tabela_tudo[[#This Row],[Médico]]&amp;" ("&amp;Tabela_tudo[[#This Row],[Obs]]&amp;")"</f>
        <v>JS ()</v>
      </c>
    </row>
    <row r="5757" spans="1:14" x14ac:dyDescent="0.3">
      <c r="A5757" s="1">
        <v>45185</v>
      </c>
      <c r="B5757" t="s">
        <v>32</v>
      </c>
      <c r="C5757" t="s">
        <v>78</v>
      </c>
      <c r="D5757" s="8"/>
      <c r="E5757" s="8"/>
      <c r="M5757" t="s">
        <v>478</v>
      </c>
      <c r="N5757" t="str">
        <f>Tabela_tudo[[#This Row],[Médico]]&amp;" ("&amp;Tabela_tudo[[#This Row],[Obs]]&amp;")"</f>
        <v>JS ()</v>
      </c>
    </row>
    <row r="5758" spans="1:14" x14ac:dyDescent="0.3">
      <c r="A5758" s="1">
        <v>44935</v>
      </c>
      <c r="B5758" t="s">
        <v>32</v>
      </c>
      <c r="C5758" t="s">
        <v>464</v>
      </c>
      <c r="D5758" s="8"/>
      <c r="E5758" s="8"/>
      <c r="M5758" t="s">
        <v>478</v>
      </c>
      <c r="N5758" t="str">
        <f>Tabela_tudo[[#This Row],[Médico]]&amp;" ("&amp;Tabela_tudo[[#This Row],[Obs]]&amp;")"</f>
        <v>JS ()</v>
      </c>
    </row>
    <row r="5759" spans="1:14" x14ac:dyDescent="0.3">
      <c r="A5759" s="1">
        <v>45185</v>
      </c>
      <c r="B5759" t="s">
        <v>72</v>
      </c>
      <c r="C5759" t="s">
        <v>8</v>
      </c>
      <c r="D5759" s="8"/>
      <c r="E5759" s="8"/>
      <c r="M5759" t="s">
        <v>478</v>
      </c>
      <c r="N5759" t="str">
        <f>Tabela_tudo[[#This Row],[Médico]]&amp;" ("&amp;Tabela_tudo[[#This Row],[Obs]]&amp;")"</f>
        <v>GRA ()</v>
      </c>
    </row>
    <row r="5760" spans="1:14" x14ac:dyDescent="0.3">
      <c r="A5760" s="1">
        <v>44960</v>
      </c>
      <c r="B5760" t="s">
        <v>33</v>
      </c>
      <c r="C5760" t="s">
        <v>464</v>
      </c>
      <c r="D5760" s="8"/>
      <c r="E5760" s="8"/>
      <c r="M5760" t="s">
        <v>478</v>
      </c>
      <c r="N5760" t="str">
        <f>Tabela_tudo[[#This Row],[Médico]]&amp;" ("&amp;Tabela_tudo[[#This Row],[Obs]]&amp;")"</f>
        <v>DIF ()</v>
      </c>
    </row>
    <row r="5761" spans="1:14" x14ac:dyDescent="0.3">
      <c r="A5761" s="1">
        <v>45186</v>
      </c>
      <c r="B5761" t="s">
        <v>71</v>
      </c>
      <c r="C5761" t="s">
        <v>8</v>
      </c>
      <c r="D5761" s="8"/>
      <c r="E5761" s="8"/>
      <c r="M5761" t="s">
        <v>478</v>
      </c>
      <c r="N5761" t="str">
        <f>Tabela_tudo[[#This Row],[Médico]]&amp;" ("&amp;Tabela_tudo[[#This Row],[Obs]]&amp;")"</f>
        <v>BRU ()</v>
      </c>
    </row>
    <row r="5762" spans="1:14" x14ac:dyDescent="0.3">
      <c r="A5762" s="1">
        <v>44961</v>
      </c>
      <c r="B5762" t="s">
        <v>33</v>
      </c>
      <c r="C5762" t="s">
        <v>464</v>
      </c>
      <c r="D5762" s="8"/>
      <c r="E5762" s="8"/>
      <c r="M5762" t="s">
        <v>478</v>
      </c>
      <c r="N5762" t="str">
        <f>Tabela_tudo[[#This Row],[Médico]]&amp;" ("&amp;Tabela_tudo[[#This Row],[Obs]]&amp;")"</f>
        <v>DIF ()</v>
      </c>
    </row>
    <row r="5763" spans="1:14" x14ac:dyDescent="0.3">
      <c r="A5763" s="1">
        <v>45186</v>
      </c>
      <c r="B5763" t="s">
        <v>32</v>
      </c>
      <c r="C5763" t="s">
        <v>13</v>
      </c>
      <c r="D5763" s="8"/>
      <c r="E5763" s="8"/>
      <c r="M5763" t="s">
        <v>478</v>
      </c>
      <c r="N5763" t="str">
        <f>Tabela_tudo[[#This Row],[Médico]]&amp;" ("&amp;Tabela_tudo[[#This Row],[Obs]]&amp;")"</f>
        <v>JS ()</v>
      </c>
    </row>
    <row r="5764" spans="1:14" x14ac:dyDescent="0.3">
      <c r="A5764" s="1">
        <v>44958</v>
      </c>
      <c r="B5764" t="s">
        <v>33</v>
      </c>
      <c r="C5764" t="s">
        <v>464</v>
      </c>
      <c r="D5764" s="8"/>
      <c r="E5764" s="8"/>
      <c r="M5764" t="s">
        <v>478</v>
      </c>
      <c r="N5764" t="str">
        <f>Tabela_tudo[[#This Row],[Médico]]&amp;" ("&amp;Tabela_tudo[[#This Row],[Obs]]&amp;")"</f>
        <v>DIF ()</v>
      </c>
    </row>
    <row r="5765" spans="1:14" x14ac:dyDescent="0.3">
      <c r="A5765" s="1">
        <v>45183</v>
      </c>
      <c r="B5765" t="s">
        <v>34</v>
      </c>
      <c r="C5765" t="s">
        <v>30</v>
      </c>
      <c r="D5765" s="8"/>
      <c r="E5765" s="8"/>
      <c r="M5765" t="s">
        <v>478</v>
      </c>
      <c r="N5765" t="str">
        <f>Tabela_tudo[[#This Row],[Médico]]&amp;" ("&amp;Tabela_tudo[[#This Row],[Obs]]&amp;")"</f>
        <v>LIP ()</v>
      </c>
    </row>
    <row r="5766" spans="1:14" x14ac:dyDescent="0.3">
      <c r="A5766" s="1">
        <v>44959</v>
      </c>
      <c r="B5766" t="s">
        <v>33</v>
      </c>
      <c r="C5766" t="s">
        <v>464</v>
      </c>
      <c r="D5766" s="8"/>
      <c r="E5766" s="8"/>
      <c r="M5766" t="s">
        <v>478</v>
      </c>
      <c r="N5766" t="str">
        <f>Tabela_tudo[[#This Row],[Médico]]&amp;" ("&amp;Tabela_tudo[[#This Row],[Obs]]&amp;")"</f>
        <v>DIF ()</v>
      </c>
    </row>
    <row r="5767" spans="1:14" x14ac:dyDescent="0.3">
      <c r="A5767" s="1">
        <v>45183</v>
      </c>
      <c r="B5767" t="s">
        <v>12</v>
      </c>
      <c r="C5767" t="s">
        <v>43</v>
      </c>
      <c r="D5767" s="8"/>
      <c r="E5767" s="8"/>
      <c r="M5767" t="s">
        <v>478</v>
      </c>
      <c r="N5767" t="str">
        <f>Tabela_tudo[[#This Row],[Médico]]&amp;" ("&amp;Tabela_tudo[[#This Row],[Obs]]&amp;")"</f>
        <v>EDU ()</v>
      </c>
    </row>
    <row r="5768" spans="1:14" x14ac:dyDescent="0.3">
      <c r="A5768" s="1">
        <v>44930</v>
      </c>
      <c r="B5768" t="s">
        <v>50</v>
      </c>
      <c r="C5768" t="s">
        <v>464</v>
      </c>
      <c r="D5768" s="8"/>
      <c r="E5768" s="8"/>
      <c r="M5768" t="s">
        <v>478</v>
      </c>
      <c r="N5768" t="str">
        <f>Tabela_tudo[[#This Row],[Médico]]&amp;" ("&amp;Tabela_tudo[[#This Row],[Obs]]&amp;")"</f>
        <v>PJP ()</v>
      </c>
    </row>
    <row r="5769" spans="1:14" x14ac:dyDescent="0.3">
      <c r="A5769" s="1">
        <v>45185</v>
      </c>
      <c r="B5769" t="s">
        <v>71</v>
      </c>
      <c r="C5769" t="s">
        <v>13</v>
      </c>
      <c r="D5769" s="8"/>
      <c r="E5769" s="8"/>
      <c r="M5769" t="s">
        <v>478</v>
      </c>
      <c r="N5769" t="str">
        <f>Tabela_tudo[[#This Row],[Médico]]&amp;" ("&amp;Tabela_tudo[[#This Row],[Obs]]&amp;")"</f>
        <v>BRU ()</v>
      </c>
    </row>
    <row r="5770" spans="1:14" x14ac:dyDescent="0.3">
      <c r="A5770" s="1">
        <v>44929</v>
      </c>
      <c r="B5770" t="s">
        <v>50</v>
      </c>
      <c r="C5770" t="s">
        <v>464</v>
      </c>
      <c r="D5770" s="8"/>
      <c r="E5770" s="8"/>
      <c r="M5770" t="s">
        <v>478</v>
      </c>
      <c r="N5770" t="str">
        <f>Tabela_tudo[[#This Row],[Médico]]&amp;" ("&amp;Tabela_tudo[[#This Row],[Obs]]&amp;")"</f>
        <v>PJP ()</v>
      </c>
    </row>
    <row r="5771" spans="1:14" x14ac:dyDescent="0.3">
      <c r="A5771" s="1">
        <v>45183</v>
      </c>
      <c r="B5771" t="s">
        <v>73</v>
      </c>
      <c r="C5771" t="s">
        <v>30</v>
      </c>
      <c r="D5771" s="8"/>
      <c r="E5771" s="8"/>
      <c r="M5771" t="s">
        <v>478</v>
      </c>
      <c r="N5771" t="str">
        <f>Tabela_tudo[[#This Row],[Médico]]&amp;" ("&amp;Tabela_tudo[[#This Row],[Obs]]&amp;")"</f>
        <v>RT ()</v>
      </c>
    </row>
    <row r="5772" spans="1:14" x14ac:dyDescent="0.3">
      <c r="A5772" s="1">
        <v>44932</v>
      </c>
      <c r="B5772" t="s">
        <v>50</v>
      </c>
      <c r="C5772" t="s">
        <v>464</v>
      </c>
      <c r="D5772" s="8"/>
      <c r="E5772" s="8"/>
      <c r="M5772" t="s">
        <v>478</v>
      </c>
      <c r="N5772" t="str">
        <f>Tabela_tudo[[#This Row],[Médico]]&amp;" ("&amp;Tabela_tudo[[#This Row],[Obs]]&amp;")"</f>
        <v>PJP ()</v>
      </c>
    </row>
    <row r="5773" spans="1:14" x14ac:dyDescent="0.3">
      <c r="A5773" s="1">
        <v>45187</v>
      </c>
      <c r="B5773" t="s">
        <v>21</v>
      </c>
      <c r="C5773" t="s">
        <v>46</v>
      </c>
      <c r="D5773" s="8"/>
      <c r="E5773" s="8"/>
      <c r="M5773" t="s">
        <v>478</v>
      </c>
      <c r="N5773" t="str">
        <f>Tabela_tudo[[#This Row],[Médico]]&amp;" ("&amp;Tabela_tudo[[#This Row],[Obs]]&amp;")"</f>
        <v>RA ()</v>
      </c>
    </row>
    <row r="5774" spans="1:14" x14ac:dyDescent="0.3">
      <c r="A5774" s="1">
        <v>44931</v>
      </c>
      <c r="B5774" t="s">
        <v>50</v>
      </c>
      <c r="C5774" t="s">
        <v>464</v>
      </c>
      <c r="D5774" s="8"/>
      <c r="E5774" s="8"/>
      <c r="M5774" t="s">
        <v>478</v>
      </c>
      <c r="N5774" t="str">
        <f>Tabela_tudo[[#This Row],[Médico]]&amp;" ("&amp;Tabela_tudo[[#This Row],[Obs]]&amp;")"</f>
        <v>PJP ()</v>
      </c>
    </row>
    <row r="5775" spans="1:14" x14ac:dyDescent="0.3">
      <c r="A5775" s="1">
        <v>45187</v>
      </c>
      <c r="B5775" t="s">
        <v>44</v>
      </c>
      <c r="C5775" t="s">
        <v>45</v>
      </c>
      <c r="D5775" s="8"/>
      <c r="E5775" s="8"/>
      <c r="M5775" t="s">
        <v>478</v>
      </c>
      <c r="N5775" t="str">
        <f>Tabela_tudo[[#This Row],[Médico]]&amp;" ("&amp;Tabela_tudo[[#This Row],[Obs]]&amp;")"</f>
        <v>REI ()</v>
      </c>
    </row>
    <row r="5776" spans="1:14" x14ac:dyDescent="0.3">
      <c r="A5776" s="1">
        <v>44943</v>
      </c>
      <c r="B5776" t="s">
        <v>85</v>
      </c>
      <c r="C5776" t="s">
        <v>464</v>
      </c>
      <c r="D5776" s="8"/>
      <c r="E5776" s="8"/>
      <c r="M5776" t="s">
        <v>478</v>
      </c>
      <c r="N5776" t="str">
        <f>Tabela_tudo[[#This Row],[Médico]]&amp;" ("&amp;Tabela_tudo[[#This Row],[Obs]]&amp;")"</f>
        <v>ELF ()</v>
      </c>
    </row>
    <row r="5777" spans="1:14" x14ac:dyDescent="0.3">
      <c r="A5777" s="1">
        <v>45187</v>
      </c>
      <c r="B5777" t="s">
        <v>48</v>
      </c>
      <c r="C5777" t="s">
        <v>49</v>
      </c>
      <c r="D5777" s="8"/>
      <c r="E5777" s="8"/>
      <c r="M5777" t="s">
        <v>478</v>
      </c>
      <c r="N5777" t="str">
        <f>Tabela_tudo[[#This Row],[Médico]]&amp;" ("&amp;Tabela_tudo[[#This Row],[Obs]]&amp;")"</f>
        <v>MAF ()</v>
      </c>
    </row>
    <row r="5778" spans="1:14" x14ac:dyDescent="0.3">
      <c r="A5778" s="1">
        <v>44950</v>
      </c>
      <c r="B5778" t="s">
        <v>12</v>
      </c>
      <c r="C5778" t="s">
        <v>464</v>
      </c>
      <c r="D5778" s="8"/>
      <c r="E5778" s="8"/>
      <c r="M5778" t="s">
        <v>478</v>
      </c>
      <c r="N5778" t="str">
        <f>Tabela_tudo[[#This Row],[Médico]]&amp;" ("&amp;Tabela_tudo[[#This Row],[Obs]]&amp;")"</f>
        <v>EDU ()</v>
      </c>
    </row>
    <row r="5779" spans="1:14" x14ac:dyDescent="0.3">
      <c r="A5779" s="1">
        <v>45187</v>
      </c>
      <c r="B5779" t="s">
        <v>47</v>
      </c>
      <c r="C5779" t="s">
        <v>18</v>
      </c>
      <c r="D5779" s="8"/>
      <c r="E5779" s="8"/>
      <c r="M5779" t="s">
        <v>478</v>
      </c>
      <c r="N5779" t="str">
        <f>Tabela_tudo[[#This Row],[Médico]]&amp;" ("&amp;Tabela_tudo[[#This Row],[Obs]]&amp;")"</f>
        <v>VIN ()</v>
      </c>
    </row>
    <row r="5780" spans="1:14" x14ac:dyDescent="0.3">
      <c r="A5780" s="1">
        <v>44949</v>
      </c>
      <c r="B5780" t="s">
        <v>12</v>
      </c>
      <c r="C5780" t="s">
        <v>464</v>
      </c>
      <c r="D5780" s="8"/>
      <c r="E5780" s="8"/>
      <c r="M5780" t="s">
        <v>478</v>
      </c>
      <c r="N5780" t="str">
        <f>Tabela_tudo[[#This Row],[Médico]]&amp;" ("&amp;Tabela_tudo[[#This Row],[Obs]]&amp;")"</f>
        <v>EDU ()</v>
      </c>
    </row>
    <row r="5781" spans="1:14" x14ac:dyDescent="0.3">
      <c r="A5781" s="1">
        <v>45187</v>
      </c>
      <c r="B5781" t="s">
        <v>37</v>
      </c>
      <c r="C5781" t="s">
        <v>13</v>
      </c>
      <c r="D5781" s="8"/>
      <c r="E5781" s="8"/>
      <c r="M5781" t="s">
        <v>478</v>
      </c>
      <c r="N5781" t="str">
        <f>Tabela_tudo[[#This Row],[Médico]]&amp;" ("&amp;Tabela_tudo[[#This Row],[Obs]]&amp;")"</f>
        <v>EBB ()</v>
      </c>
    </row>
    <row r="5782" spans="1:14" x14ac:dyDescent="0.3">
      <c r="A5782" s="1">
        <v>44952</v>
      </c>
      <c r="B5782" t="s">
        <v>12</v>
      </c>
      <c r="C5782" t="s">
        <v>464</v>
      </c>
      <c r="D5782" s="8"/>
      <c r="E5782" s="8"/>
      <c r="M5782" t="s">
        <v>478</v>
      </c>
      <c r="N5782" t="str">
        <f>Tabela_tudo[[#This Row],[Médico]]&amp;" ("&amp;Tabela_tudo[[#This Row],[Obs]]&amp;")"</f>
        <v>EDU ()</v>
      </c>
    </row>
    <row r="5783" spans="1:14" x14ac:dyDescent="0.3">
      <c r="A5783" s="1">
        <v>45186</v>
      </c>
      <c r="B5783" t="s">
        <v>72</v>
      </c>
      <c r="C5783" t="s">
        <v>78</v>
      </c>
      <c r="D5783" s="8"/>
      <c r="E5783" s="8"/>
      <c r="M5783" t="s">
        <v>478</v>
      </c>
      <c r="N5783" t="str">
        <f>Tabela_tudo[[#This Row],[Médico]]&amp;" ("&amp;Tabela_tudo[[#This Row],[Obs]]&amp;")"</f>
        <v>GRA ()</v>
      </c>
    </row>
    <row r="5784" spans="1:14" x14ac:dyDescent="0.3">
      <c r="A5784" s="1">
        <v>44951</v>
      </c>
      <c r="B5784" t="s">
        <v>12</v>
      </c>
      <c r="C5784" t="s">
        <v>464</v>
      </c>
      <c r="D5784" s="8"/>
      <c r="E5784" s="8"/>
      <c r="M5784" t="s">
        <v>478</v>
      </c>
      <c r="N5784" t="str">
        <f>Tabela_tudo[[#This Row],[Médico]]&amp;" ("&amp;Tabela_tudo[[#This Row],[Obs]]&amp;")"</f>
        <v>EDU ()</v>
      </c>
    </row>
    <row r="5785" spans="1:14" x14ac:dyDescent="0.3">
      <c r="A5785" s="1">
        <v>45187</v>
      </c>
      <c r="B5785" t="s">
        <v>85</v>
      </c>
      <c r="C5785" t="s">
        <v>8</v>
      </c>
      <c r="D5785" s="8"/>
      <c r="E5785" s="8"/>
      <c r="M5785" t="s">
        <v>478</v>
      </c>
      <c r="N5785" t="str">
        <f>Tabela_tudo[[#This Row],[Médico]]&amp;" ("&amp;Tabela_tudo[[#This Row],[Obs]]&amp;")"</f>
        <v>ELF ()</v>
      </c>
    </row>
    <row r="5786" spans="1:14" x14ac:dyDescent="0.3">
      <c r="A5786" s="1">
        <v>44946</v>
      </c>
      <c r="B5786" t="s">
        <v>12</v>
      </c>
      <c r="C5786" t="s">
        <v>464</v>
      </c>
      <c r="D5786" s="8"/>
      <c r="E5786" s="8"/>
      <c r="M5786" t="s">
        <v>478</v>
      </c>
      <c r="N5786" t="str">
        <f>Tabela_tudo[[#This Row],[Médico]]&amp;" ("&amp;Tabela_tudo[[#This Row],[Obs]]&amp;")"</f>
        <v>EDU ()</v>
      </c>
    </row>
    <row r="5787" spans="1:14" x14ac:dyDescent="0.3">
      <c r="A5787" s="1">
        <v>45187</v>
      </c>
      <c r="B5787" t="s">
        <v>142</v>
      </c>
      <c r="C5787" t="s">
        <v>15</v>
      </c>
      <c r="D5787" s="8"/>
      <c r="E5787" s="8"/>
      <c r="M5787" t="s">
        <v>478</v>
      </c>
      <c r="N5787" t="str">
        <f>Tabela_tudo[[#This Row],[Médico]]&amp;" ("&amp;Tabela_tudo[[#This Row],[Obs]]&amp;")"</f>
        <v>VIV ()</v>
      </c>
    </row>
    <row r="5788" spans="1:14" x14ac:dyDescent="0.3">
      <c r="A5788" s="1">
        <v>44945</v>
      </c>
      <c r="B5788" t="s">
        <v>12</v>
      </c>
      <c r="C5788" t="s">
        <v>464</v>
      </c>
      <c r="D5788" s="8"/>
      <c r="E5788" s="8"/>
      <c r="M5788" t="s">
        <v>478</v>
      </c>
      <c r="N5788" t="str">
        <f>Tabela_tudo[[#This Row],[Médico]]&amp;" ("&amp;Tabela_tudo[[#This Row],[Obs]]&amp;")"</f>
        <v>EDU ()</v>
      </c>
    </row>
    <row r="5789" spans="1:14" x14ac:dyDescent="0.3">
      <c r="A5789" s="1">
        <v>45183</v>
      </c>
      <c r="B5789" t="s">
        <v>34</v>
      </c>
      <c r="C5789" t="s">
        <v>51</v>
      </c>
      <c r="D5789" s="8"/>
      <c r="E5789" s="8"/>
      <c r="M5789" t="s">
        <v>478</v>
      </c>
      <c r="N5789" t="str">
        <f>Tabela_tudo[[#This Row],[Médico]]&amp;" ("&amp;Tabela_tudo[[#This Row],[Obs]]&amp;")"</f>
        <v>LIP ()</v>
      </c>
    </row>
    <row r="5790" spans="1:14" x14ac:dyDescent="0.3">
      <c r="A5790" s="1">
        <v>44948</v>
      </c>
      <c r="B5790" t="s">
        <v>12</v>
      </c>
      <c r="C5790" t="s">
        <v>464</v>
      </c>
      <c r="D5790" s="8"/>
      <c r="E5790" s="8"/>
      <c r="M5790" t="s">
        <v>478</v>
      </c>
      <c r="N5790" t="str">
        <f>Tabela_tudo[[#This Row],[Médico]]&amp;" ("&amp;Tabela_tudo[[#This Row],[Obs]]&amp;")"</f>
        <v>EDU ()</v>
      </c>
    </row>
    <row r="5791" spans="1:14" x14ac:dyDescent="0.3">
      <c r="A5791" s="1">
        <v>45182</v>
      </c>
      <c r="B5791" t="s">
        <v>71</v>
      </c>
      <c r="C5791" t="s">
        <v>49</v>
      </c>
      <c r="D5791" s="8"/>
      <c r="E5791" s="8"/>
      <c r="M5791" t="s">
        <v>478</v>
      </c>
      <c r="N5791" t="str">
        <f>Tabela_tudo[[#This Row],[Médico]]&amp;" ("&amp;Tabela_tudo[[#This Row],[Obs]]&amp;")"</f>
        <v>BRU ()</v>
      </c>
    </row>
    <row r="5792" spans="1:14" x14ac:dyDescent="0.3">
      <c r="A5792" s="1">
        <v>44947</v>
      </c>
      <c r="B5792" t="s">
        <v>12</v>
      </c>
      <c r="C5792" t="s">
        <v>464</v>
      </c>
      <c r="D5792" s="8"/>
      <c r="E5792" s="8"/>
      <c r="M5792" t="s">
        <v>478</v>
      </c>
      <c r="N5792" t="str">
        <f>Tabela_tudo[[#This Row],[Médico]]&amp;" ("&amp;Tabela_tudo[[#This Row],[Obs]]&amp;")"</f>
        <v>EDU ()</v>
      </c>
    </row>
    <row r="5793" spans="1:14" x14ac:dyDescent="0.3">
      <c r="A5793" s="1">
        <v>45182</v>
      </c>
      <c r="B5793" t="s">
        <v>94</v>
      </c>
      <c r="C5793" t="s">
        <v>18</v>
      </c>
      <c r="D5793" s="8"/>
      <c r="E5793" s="8"/>
      <c r="M5793" t="s">
        <v>478</v>
      </c>
      <c r="N5793" t="str">
        <f>Tabela_tudo[[#This Row],[Médico]]&amp;" ("&amp;Tabela_tudo[[#This Row],[Obs]]&amp;")"</f>
        <v>TOT ()</v>
      </c>
    </row>
    <row r="5794" spans="1:14" x14ac:dyDescent="0.3">
      <c r="A5794" s="1">
        <v>44948</v>
      </c>
      <c r="B5794" t="s">
        <v>142</v>
      </c>
      <c r="C5794" t="s">
        <v>464</v>
      </c>
      <c r="D5794" s="8"/>
      <c r="E5794" s="8"/>
      <c r="M5794" t="s">
        <v>478</v>
      </c>
      <c r="N5794" t="str">
        <f>Tabela_tudo[[#This Row],[Médico]]&amp;" ("&amp;Tabela_tudo[[#This Row],[Obs]]&amp;")"</f>
        <v>VIV ()</v>
      </c>
    </row>
    <row r="5795" spans="1:14" x14ac:dyDescent="0.3">
      <c r="A5795" s="1">
        <v>45182</v>
      </c>
      <c r="B5795" t="s">
        <v>84</v>
      </c>
      <c r="C5795" t="s">
        <v>43</v>
      </c>
      <c r="D5795" s="8"/>
      <c r="E5795" s="8"/>
      <c r="M5795" t="s">
        <v>478</v>
      </c>
      <c r="N5795" t="str">
        <f>Tabela_tudo[[#This Row],[Médico]]&amp;" ("&amp;Tabela_tudo[[#This Row],[Obs]]&amp;")"</f>
        <v>ANO ()</v>
      </c>
    </row>
    <row r="5796" spans="1:14" x14ac:dyDescent="0.3">
      <c r="A5796" s="1">
        <v>44945</v>
      </c>
      <c r="B5796" t="s">
        <v>142</v>
      </c>
      <c r="C5796" t="s">
        <v>464</v>
      </c>
      <c r="D5796" s="8"/>
      <c r="E5796" s="8"/>
      <c r="M5796" t="s">
        <v>478</v>
      </c>
      <c r="N5796" t="str">
        <f>Tabela_tudo[[#This Row],[Médico]]&amp;" ("&amp;Tabela_tudo[[#This Row],[Obs]]&amp;")"</f>
        <v>VIV ()</v>
      </c>
    </row>
    <row r="5797" spans="1:14" x14ac:dyDescent="0.3">
      <c r="A5797" s="1">
        <v>45182</v>
      </c>
      <c r="B5797" t="s">
        <v>73</v>
      </c>
      <c r="C5797" t="s">
        <v>51</v>
      </c>
      <c r="D5797" s="8"/>
      <c r="E5797" s="8"/>
      <c r="M5797" t="s">
        <v>478</v>
      </c>
      <c r="N5797" t="str">
        <f>Tabela_tudo[[#This Row],[Médico]]&amp;" ("&amp;Tabela_tudo[[#This Row],[Obs]]&amp;")"</f>
        <v>RT ()</v>
      </c>
    </row>
    <row r="5798" spans="1:14" x14ac:dyDescent="0.3">
      <c r="A5798" s="1">
        <v>44946</v>
      </c>
      <c r="B5798" t="s">
        <v>142</v>
      </c>
      <c r="C5798" t="s">
        <v>464</v>
      </c>
      <c r="D5798" s="8"/>
      <c r="E5798" s="8"/>
      <c r="M5798" t="s">
        <v>478</v>
      </c>
      <c r="N5798" t="str">
        <f>Tabela_tudo[[#This Row],[Médico]]&amp;" ("&amp;Tabela_tudo[[#This Row],[Obs]]&amp;")"</f>
        <v>VIV ()</v>
      </c>
    </row>
    <row r="5799" spans="1:14" x14ac:dyDescent="0.3">
      <c r="A5799" s="1">
        <v>45182</v>
      </c>
      <c r="B5799" t="s">
        <v>64</v>
      </c>
      <c r="C5799" t="s">
        <v>8</v>
      </c>
      <c r="D5799" s="8"/>
      <c r="E5799" s="8"/>
      <c r="M5799" t="s">
        <v>478</v>
      </c>
      <c r="N5799" t="str">
        <f>Tabela_tudo[[#This Row],[Médico]]&amp;" ("&amp;Tabela_tudo[[#This Row],[Obs]]&amp;")"</f>
        <v>SAR ()</v>
      </c>
    </row>
    <row r="5800" spans="1:14" x14ac:dyDescent="0.3">
      <c r="A5800" s="1">
        <v>44947</v>
      </c>
      <c r="B5800" t="s">
        <v>142</v>
      </c>
      <c r="C5800" t="s">
        <v>464</v>
      </c>
      <c r="D5800" s="8"/>
      <c r="E5800" s="8"/>
      <c r="M5800" t="s">
        <v>478</v>
      </c>
      <c r="N5800" t="str">
        <f>Tabela_tudo[[#This Row],[Médico]]&amp;" ("&amp;Tabela_tudo[[#This Row],[Obs]]&amp;")"</f>
        <v>VIV ()</v>
      </c>
    </row>
    <row r="5801" spans="1:14" x14ac:dyDescent="0.3">
      <c r="A5801" s="1">
        <v>45182</v>
      </c>
      <c r="B5801" t="s">
        <v>37</v>
      </c>
      <c r="C5801" t="s">
        <v>15</v>
      </c>
      <c r="D5801" s="8"/>
      <c r="E5801" s="8"/>
      <c r="M5801" t="s">
        <v>478</v>
      </c>
      <c r="N5801" t="str">
        <f>Tabela_tudo[[#This Row],[Médico]]&amp;" ("&amp;Tabela_tudo[[#This Row],[Obs]]&amp;")"</f>
        <v>EBB ()</v>
      </c>
    </row>
    <row r="5802" spans="1:14" x14ac:dyDescent="0.3">
      <c r="A5802" s="1">
        <v>44942</v>
      </c>
      <c r="B5802" t="s">
        <v>142</v>
      </c>
      <c r="C5802" t="s">
        <v>464</v>
      </c>
      <c r="D5802" s="8"/>
      <c r="E5802" s="8"/>
      <c r="M5802" t="s">
        <v>478</v>
      </c>
      <c r="N5802" t="str">
        <f>Tabela_tudo[[#This Row],[Médico]]&amp;" ("&amp;Tabela_tudo[[#This Row],[Obs]]&amp;")"</f>
        <v>VIV ()</v>
      </c>
    </row>
    <row r="5803" spans="1:14" x14ac:dyDescent="0.3">
      <c r="A5803" s="1">
        <v>45182</v>
      </c>
      <c r="B5803" t="s">
        <v>68</v>
      </c>
      <c r="C5803" t="s">
        <v>46</v>
      </c>
      <c r="D5803" s="8"/>
      <c r="E5803" s="8"/>
      <c r="M5803" t="s">
        <v>478</v>
      </c>
      <c r="N5803" t="str">
        <f>Tabela_tudo[[#This Row],[Médico]]&amp;" ("&amp;Tabela_tudo[[#This Row],[Obs]]&amp;")"</f>
        <v>PED ()</v>
      </c>
    </row>
    <row r="5804" spans="1:14" x14ac:dyDescent="0.3">
      <c r="A5804" s="1">
        <v>44953</v>
      </c>
      <c r="B5804" t="s">
        <v>12</v>
      </c>
      <c r="C5804" t="s">
        <v>464</v>
      </c>
      <c r="D5804" s="8"/>
      <c r="E5804" s="8"/>
      <c r="M5804" t="s">
        <v>478</v>
      </c>
      <c r="N5804" t="str">
        <f>Tabela_tudo[[#This Row],[Médico]]&amp;" ("&amp;Tabela_tudo[[#This Row],[Obs]]&amp;")"</f>
        <v>EDU ()</v>
      </c>
    </row>
    <row r="5805" spans="1:14" x14ac:dyDescent="0.3">
      <c r="A5805" s="1">
        <v>45182</v>
      </c>
      <c r="B5805" t="s">
        <v>66</v>
      </c>
      <c r="C5805" t="s">
        <v>45</v>
      </c>
      <c r="D5805" s="8"/>
      <c r="E5805" s="8"/>
      <c r="M5805" t="s">
        <v>478</v>
      </c>
      <c r="N5805" t="str">
        <f>Tabela_tudo[[#This Row],[Médico]]&amp;" ("&amp;Tabela_tudo[[#This Row],[Obs]]&amp;")"</f>
        <v>MOZ ()</v>
      </c>
    </row>
    <row r="5806" spans="1:14" x14ac:dyDescent="0.3">
      <c r="A5806" s="1">
        <v>44944</v>
      </c>
      <c r="B5806" t="s">
        <v>142</v>
      </c>
      <c r="C5806" t="s">
        <v>464</v>
      </c>
      <c r="D5806" s="8"/>
      <c r="E5806" s="8"/>
      <c r="M5806" t="s">
        <v>478</v>
      </c>
      <c r="N5806" t="str">
        <f>Tabela_tudo[[#This Row],[Médico]]&amp;" ("&amp;Tabela_tudo[[#This Row],[Obs]]&amp;")"</f>
        <v>VIV ()</v>
      </c>
    </row>
    <row r="5807" spans="1:14" x14ac:dyDescent="0.3">
      <c r="A5807" s="1">
        <v>45183</v>
      </c>
      <c r="B5807" t="s">
        <v>14</v>
      </c>
      <c r="C5807" t="s">
        <v>46</v>
      </c>
      <c r="D5807" s="8"/>
      <c r="E5807" s="8"/>
      <c r="M5807" t="s">
        <v>478</v>
      </c>
      <c r="N5807" t="str">
        <f>Tabela_tudo[[#This Row],[Médico]]&amp;" ("&amp;Tabela_tudo[[#This Row],[Obs]]&amp;")"</f>
        <v>PW ()</v>
      </c>
    </row>
    <row r="5808" spans="1:14" x14ac:dyDescent="0.3">
      <c r="A5808" s="1">
        <v>44943</v>
      </c>
      <c r="B5808" t="s">
        <v>142</v>
      </c>
      <c r="C5808" t="s">
        <v>464</v>
      </c>
      <c r="D5808" s="8"/>
      <c r="E5808" s="8"/>
      <c r="M5808" t="s">
        <v>478</v>
      </c>
      <c r="N5808" t="str">
        <f>Tabela_tudo[[#This Row],[Médico]]&amp;" ("&amp;Tabela_tudo[[#This Row],[Obs]]&amp;")"</f>
        <v>VIV ()</v>
      </c>
    </row>
    <row r="5809" spans="1:14" x14ac:dyDescent="0.3">
      <c r="A5809" s="1">
        <v>45183</v>
      </c>
      <c r="B5809" t="s">
        <v>52</v>
      </c>
      <c r="C5809" t="s">
        <v>45</v>
      </c>
      <c r="D5809" s="8"/>
      <c r="E5809" s="8"/>
      <c r="M5809" t="s">
        <v>478</v>
      </c>
      <c r="N5809" t="str">
        <f>Tabela_tudo[[#This Row],[Médico]]&amp;" ("&amp;Tabela_tudo[[#This Row],[Obs]]&amp;")"</f>
        <v>AEL ()</v>
      </c>
    </row>
    <row r="5810" spans="1:14" x14ac:dyDescent="0.3">
      <c r="A5810" s="1">
        <v>44949</v>
      </c>
      <c r="B5810" t="s">
        <v>142</v>
      </c>
      <c r="C5810" t="s">
        <v>464</v>
      </c>
      <c r="D5810" s="8"/>
      <c r="E5810" s="8"/>
      <c r="M5810" t="s">
        <v>478</v>
      </c>
      <c r="N5810" t="str">
        <f>Tabela_tudo[[#This Row],[Médico]]&amp;" ("&amp;Tabela_tudo[[#This Row],[Obs]]&amp;")"</f>
        <v>VIV ()</v>
      </c>
    </row>
    <row r="5811" spans="1:14" x14ac:dyDescent="0.3">
      <c r="A5811" s="1">
        <v>45183</v>
      </c>
      <c r="B5811" t="s">
        <v>71</v>
      </c>
      <c r="C5811" t="s">
        <v>49</v>
      </c>
      <c r="D5811" s="8"/>
      <c r="E5811" s="8"/>
      <c r="M5811" t="s">
        <v>478</v>
      </c>
      <c r="N5811" t="str">
        <f>Tabela_tudo[[#This Row],[Médico]]&amp;" ("&amp;Tabela_tudo[[#This Row],[Obs]]&amp;")"</f>
        <v>BRU ()</v>
      </c>
    </row>
    <row r="5812" spans="1:14" x14ac:dyDescent="0.3">
      <c r="A5812" s="1">
        <v>44950</v>
      </c>
      <c r="B5812" t="s">
        <v>142</v>
      </c>
      <c r="C5812" t="s">
        <v>464</v>
      </c>
      <c r="D5812" s="8"/>
      <c r="E5812" s="8"/>
      <c r="M5812" t="s">
        <v>478</v>
      </c>
      <c r="N5812" t="str">
        <f>Tabela_tudo[[#This Row],[Médico]]&amp;" ("&amp;Tabela_tudo[[#This Row],[Obs]]&amp;")"</f>
        <v>VIV ()</v>
      </c>
    </row>
    <row r="5813" spans="1:14" x14ac:dyDescent="0.3">
      <c r="A5813" s="1">
        <v>45183</v>
      </c>
      <c r="B5813" t="s">
        <v>63</v>
      </c>
      <c r="C5813" t="s">
        <v>18</v>
      </c>
      <c r="D5813" s="8"/>
      <c r="E5813" s="8"/>
      <c r="M5813" t="s">
        <v>478</v>
      </c>
      <c r="N5813" t="str">
        <f>Tabela_tudo[[#This Row],[Médico]]&amp;" ("&amp;Tabela_tudo[[#This Row],[Obs]]&amp;")"</f>
        <v>FQ ()</v>
      </c>
    </row>
    <row r="5814" spans="1:14" x14ac:dyDescent="0.3">
      <c r="A5814" s="1">
        <v>44929</v>
      </c>
      <c r="B5814" t="s">
        <v>47</v>
      </c>
      <c r="C5814" t="s">
        <v>464</v>
      </c>
      <c r="D5814" s="8"/>
      <c r="E5814" s="8"/>
      <c r="M5814" t="s">
        <v>478</v>
      </c>
      <c r="N5814" t="str">
        <f>Tabela_tudo[[#This Row],[Médico]]&amp;" ("&amp;Tabela_tudo[[#This Row],[Obs]]&amp;")"</f>
        <v>VIN ()</v>
      </c>
    </row>
    <row r="5815" spans="1:14" x14ac:dyDescent="0.3">
      <c r="A5815" s="1">
        <v>45183</v>
      </c>
      <c r="B5815" t="s">
        <v>72</v>
      </c>
      <c r="C5815" t="s">
        <v>13</v>
      </c>
      <c r="D5815" s="8"/>
      <c r="E5815" s="8"/>
      <c r="M5815" t="s">
        <v>478</v>
      </c>
      <c r="N5815" t="str">
        <f>Tabela_tudo[[#This Row],[Médico]]&amp;" ("&amp;Tabela_tudo[[#This Row],[Obs]]&amp;")"</f>
        <v>GRA ()</v>
      </c>
    </row>
    <row r="5816" spans="1:14" x14ac:dyDescent="0.3">
      <c r="A5816" s="1">
        <v>44928</v>
      </c>
      <c r="B5816" t="s">
        <v>47</v>
      </c>
      <c r="C5816" t="s">
        <v>464</v>
      </c>
      <c r="D5816" s="8"/>
      <c r="E5816" s="8"/>
      <c r="M5816" t="s">
        <v>478</v>
      </c>
      <c r="N5816" t="str">
        <f>Tabela_tudo[[#This Row],[Médico]]&amp;" ("&amp;Tabela_tudo[[#This Row],[Obs]]&amp;")"</f>
        <v>VIN ()</v>
      </c>
    </row>
    <row r="5817" spans="1:14" x14ac:dyDescent="0.3">
      <c r="A5817" s="1">
        <v>45182</v>
      </c>
      <c r="B5817" t="s">
        <v>33</v>
      </c>
      <c r="C5817" t="s">
        <v>30</v>
      </c>
      <c r="D5817" s="8"/>
      <c r="E5817" s="8"/>
      <c r="M5817" t="s">
        <v>478</v>
      </c>
      <c r="N5817" t="str">
        <f>Tabela_tudo[[#This Row],[Médico]]&amp;" ("&amp;Tabela_tudo[[#This Row],[Obs]]&amp;")"</f>
        <v>DIF ()</v>
      </c>
    </row>
    <row r="5818" spans="1:14" x14ac:dyDescent="0.3">
      <c r="A5818" s="1">
        <v>44953</v>
      </c>
      <c r="B5818" t="s">
        <v>142</v>
      </c>
      <c r="C5818" t="s">
        <v>464</v>
      </c>
      <c r="D5818" s="8"/>
      <c r="E5818" s="8"/>
      <c r="M5818" t="s">
        <v>478</v>
      </c>
      <c r="N5818" t="str">
        <f>Tabela_tudo[[#This Row],[Médico]]&amp;" ("&amp;Tabela_tudo[[#This Row],[Obs]]&amp;")"</f>
        <v>VIV ()</v>
      </c>
    </row>
    <row r="5819" spans="1:14" x14ac:dyDescent="0.3">
      <c r="A5819" s="1">
        <v>45183</v>
      </c>
      <c r="B5819" t="s">
        <v>75</v>
      </c>
      <c r="C5819" t="s">
        <v>8</v>
      </c>
      <c r="D5819" s="8"/>
      <c r="E5819" s="8"/>
      <c r="M5819" t="s">
        <v>478</v>
      </c>
      <c r="N5819" t="str">
        <f>Tabela_tudo[[#This Row],[Médico]]&amp;" ("&amp;Tabela_tudo[[#This Row],[Obs]]&amp;")"</f>
        <v>KOP ()</v>
      </c>
    </row>
    <row r="5820" spans="1:14" x14ac:dyDescent="0.3">
      <c r="A5820" s="1">
        <v>44942</v>
      </c>
      <c r="B5820" t="s">
        <v>85</v>
      </c>
      <c r="C5820" t="s">
        <v>464</v>
      </c>
      <c r="D5820" s="8"/>
      <c r="E5820" s="8"/>
      <c r="M5820" t="s">
        <v>478</v>
      </c>
      <c r="N5820" t="str">
        <f>Tabela_tudo[[#This Row],[Médico]]&amp;" ("&amp;Tabela_tudo[[#This Row],[Obs]]&amp;")"</f>
        <v>ELF ()</v>
      </c>
    </row>
    <row r="5821" spans="1:14" x14ac:dyDescent="0.3">
      <c r="A5821" s="1">
        <v>45183</v>
      </c>
      <c r="B5821" t="s">
        <v>29</v>
      </c>
      <c r="C5821" t="s">
        <v>15</v>
      </c>
      <c r="D5821" s="8"/>
      <c r="E5821" s="8"/>
      <c r="M5821" t="s">
        <v>478</v>
      </c>
      <c r="N5821" t="str">
        <f>Tabela_tudo[[#This Row],[Médico]]&amp;" ("&amp;Tabela_tudo[[#This Row],[Obs]]&amp;")"</f>
        <v>JOA ()</v>
      </c>
    </row>
    <row r="5822" spans="1:14" x14ac:dyDescent="0.3">
      <c r="A5822" s="1">
        <v>44951</v>
      </c>
      <c r="B5822" t="s">
        <v>142</v>
      </c>
      <c r="C5822" t="s">
        <v>464</v>
      </c>
      <c r="D5822" s="8"/>
      <c r="E5822" s="8"/>
      <c r="M5822" t="s">
        <v>478</v>
      </c>
      <c r="N5822" t="str">
        <f>Tabela_tudo[[#This Row],[Médico]]&amp;" ("&amp;Tabela_tudo[[#This Row],[Obs]]&amp;")"</f>
        <v>VIV ()</v>
      </c>
    </row>
    <row r="5823" spans="1:14" x14ac:dyDescent="0.3">
      <c r="A5823" s="1">
        <v>45204</v>
      </c>
      <c r="B5823" t="s">
        <v>34</v>
      </c>
      <c r="C5823" t="s">
        <v>51</v>
      </c>
      <c r="D5823" s="8"/>
      <c r="E5823" s="8"/>
      <c r="M5823" t="s">
        <v>478</v>
      </c>
      <c r="N5823" t="str">
        <f>Tabela_tudo[[#This Row],[Médico]]&amp;" ("&amp;Tabela_tudo[[#This Row],[Obs]]&amp;")"</f>
        <v>LIP ()</v>
      </c>
    </row>
    <row r="5824" spans="1:14" x14ac:dyDescent="0.3">
      <c r="A5824" s="1">
        <v>44952</v>
      </c>
      <c r="B5824" t="s">
        <v>142</v>
      </c>
      <c r="C5824" t="s">
        <v>464</v>
      </c>
      <c r="D5824" s="8"/>
      <c r="E5824" s="8"/>
      <c r="M5824" t="s">
        <v>478</v>
      </c>
      <c r="N5824" t="str">
        <f>Tabela_tudo[[#This Row],[Médico]]&amp;" ("&amp;Tabela_tudo[[#This Row],[Obs]]&amp;")"</f>
        <v>VIV ()</v>
      </c>
    </row>
    <row r="5825" spans="1:14" x14ac:dyDescent="0.3">
      <c r="A5825" s="1">
        <v>45204</v>
      </c>
      <c r="B5825" t="s">
        <v>71</v>
      </c>
      <c r="C5825" t="s">
        <v>49</v>
      </c>
      <c r="D5825" s="8"/>
      <c r="E5825" s="8"/>
      <c r="M5825" t="s">
        <v>478</v>
      </c>
      <c r="N5825" t="str">
        <f>Tabela_tudo[[#This Row],[Médico]]&amp;" ("&amp;Tabela_tudo[[#This Row],[Obs]]&amp;")"</f>
        <v>BRU ()</v>
      </c>
    </row>
    <row r="5826" spans="1:14" x14ac:dyDescent="0.3">
      <c r="A5826" s="1">
        <v>44940</v>
      </c>
      <c r="B5826" t="s">
        <v>333</v>
      </c>
      <c r="C5826" t="s">
        <v>466</v>
      </c>
      <c r="D5826" s="8"/>
      <c r="E5826" s="8"/>
      <c r="M5826" t="s">
        <v>478</v>
      </c>
      <c r="N5826" t="str">
        <f>Tabela_tudo[[#This Row],[Médico]]&amp;" ("&amp;Tabela_tudo[[#This Row],[Obs]]&amp;")"</f>
        <v>COR ()</v>
      </c>
    </row>
    <row r="5827" spans="1:14" x14ac:dyDescent="0.3">
      <c r="A5827" s="1">
        <v>45207</v>
      </c>
      <c r="B5827" t="s">
        <v>72</v>
      </c>
      <c r="C5827" t="s">
        <v>13</v>
      </c>
      <c r="D5827" s="8"/>
      <c r="E5827" s="8"/>
      <c r="M5827" t="s">
        <v>478</v>
      </c>
      <c r="N5827" t="str">
        <f>Tabela_tudo[[#This Row],[Médico]]&amp;" ("&amp;Tabela_tudo[[#This Row],[Obs]]&amp;")"</f>
        <v>GRA ()</v>
      </c>
    </row>
    <row r="5828" spans="1:14" x14ac:dyDescent="0.3">
      <c r="A5828" s="1">
        <v>44939</v>
      </c>
      <c r="B5828" t="s">
        <v>47</v>
      </c>
      <c r="C5828" t="s">
        <v>465</v>
      </c>
      <c r="D5828" s="8"/>
      <c r="E5828" s="8"/>
      <c r="M5828" t="s">
        <v>478</v>
      </c>
      <c r="N5828" t="str">
        <f>Tabela_tudo[[#This Row],[Médico]]&amp;" ("&amp;Tabela_tudo[[#This Row],[Obs]]&amp;")"</f>
        <v>VIN ()</v>
      </c>
    </row>
    <row r="5829" spans="1:14" x14ac:dyDescent="0.3">
      <c r="A5829" s="1">
        <v>45204</v>
      </c>
      <c r="B5829" t="s">
        <v>12</v>
      </c>
      <c r="C5829" t="s">
        <v>22</v>
      </c>
      <c r="D5829" s="8">
        <v>0.29166666666666669</v>
      </c>
      <c r="E5829" s="8">
        <v>0.54166666666666663</v>
      </c>
      <c r="F5829" t="s">
        <v>678</v>
      </c>
      <c r="M5829" t="s">
        <v>478</v>
      </c>
      <c r="N5829" t="str">
        <f>Tabela_tudo[[#This Row],[Médico]]&amp;" ("&amp;Tabela_tudo[[#This Row],[Obs]]&amp;")"</f>
        <v>EDU (MANHÃ)</v>
      </c>
    </row>
    <row r="5830" spans="1:14" x14ac:dyDescent="0.3">
      <c r="A5830" s="1">
        <v>44944</v>
      </c>
      <c r="B5830" t="s">
        <v>12</v>
      </c>
      <c r="C5830" t="s">
        <v>464</v>
      </c>
      <c r="D5830" s="8"/>
      <c r="E5830" s="8"/>
      <c r="M5830" t="s">
        <v>478</v>
      </c>
      <c r="N5830" t="str">
        <f>Tabela_tudo[[#This Row],[Médico]]&amp;" ("&amp;Tabela_tudo[[#This Row],[Obs]]&amp;")"</f>
        <v>EDU ()</v>
      </c>
    </row>
    <row r="5831" spans="1:14" x14ac:dyDescent="0.3">
      <c r="A5831" s="1">
        <v>45204</v>
      </c>
      <c r="B5831" t="s">
        <v>52</v>
      </c>
      <c r="C5831" t="s">
        <v>45</v>
      </c>
      <c r="D5831" s="8"/>
      <c r="E5831" s="8"/>
      <c r="M5831" t="s">
        <v>478</v>
      </c>
      <c r="N5831" t="str">
        <f>Tabela_tudo[[#This Row],[Médico]]&amp;" ("&amp;Tabela_tudo[[#This Row],[Obs]]&amp;")"</f>
        <v>AEL ()</v>
      </c>
    </row>
    <row r="5832" spans="1:14" x14ac:dyDescent="0.3">
      <c r="A5832" s="1">
        <v>44943</v>
      </c>
      <c r="B5832" t="s">
        <v>12</v>
      </c>
      <c r="C5832" t="s">
        <v>464</v>
      </c>
      <c r="D5832" s="8"/>
      <c r="E5832" s="8"/>
      <c r="M5832" t="s">
        <v>478</v>
      </c>
      <c r="N5832" t="str">
        <f>Tabela_tudo[[#This Row],[Médico]]&amp;" ("&amp;Tabela_tudo[[#This Row],[Obs]]&amp;")"</f>
        <v>EDU ()</v>
      </c>
    </row>
    <row r="5833" spans="1:14" x14ac:dyDescent="0.3">
      <c r="A5833" s="1">
        <v>45204</v>
      </c>
      <c r="B5833" t="s">
        <v>29</v>
      </c>
      <c r="C5833" t="s">
        <v>43</v>
      </c>
      <c r="D5833" s="8"/>
      <c r="E5833" s="8"/>
      <c r="M5833" t="s">
        <v>478</v>
      </c>
      <c r="N5833" t="str">
        <f>Tabela_tudo[[#This Row],[Médico]]&amp;" ("&amp;Tabela_tudo[[#This Row],[Obs]]&amp;")"</f>
        <v>JOA ()</v>
      </c>
    </row>
    <row r="5834" spans="1:14" x14ac:dyDescent="0.3">
      <c r="A5834" s="1">
        <v>44931</v>
      </c>
      <c r="B5834" t="s">
        <v>47</v>
      </c>
      <c r="C5834" t="s">
        <v>464</v>
      </c>
      <c r="D5834" s="8"/>
      <c r="E5834" s="8"/>
      <c r="M5834" t="s">
        <v>478</v>
      </c>
      <c r="N5834" t="str">
        <f>Tabela_tudo[[#This Row],[Médico]]&amp;" ("&amp;Tabela_tudo[[#This Row],[Obs]]&amp;")"</f>
        <v>VIN ()</v>
      </c>
    </row>
    <row r="5835" spans="1:14" x14ac:dyDescent="0.3">
      <c r="A5835" s="1">
        <v>45204</v>
      </c>
      <c r="B5835" t="s">
        <v>32</v>
      </c>
      <c r="C5835" t="s">
        <v>18</v>
      </c>
      <c r="D5835" s="8"/>
      <c r="E5835" s="8"/>
      <c r="M5835" t="s">
        <v>478</v>
      </c>
      <c r="N5835" t="str">
        <f>Tabela_tudo[[#This Row],[Médico]]&amp;" ("&amp;Tabela_tudo[[#This Row],[Obs]]&amp;")"</f>
        <v>JS ()</v>
      </c>
    </row>
    <row r="5836" spans="1:14" x14ac:dyDescent="0.3">
      <c r="A5836" s="1">
        <v>44930</v>
      </c>
      <c r="B5836" t="s">
        <v>47</v>
      </c>
      <c r="C5836" t="s">
        <v>464</v>
      </c>
      <c r="D5836" s="8"/>
      <c r="E5836" s="8"/>
      <c r="M5836" t="s">
        <v>478</v>
      </c>
      <c r="N5836" t="str">
        <f>Tabela_tudo[[#This Row],[Médico]]&amp;" ("&amp;Tabela_tudo[[#This Row],[Obs]]&amp;")"</f>
        <v>VIN ()</v>
      </c>
    </row>
    <row r="5837" spans="1:14" x14ac:dyDescent="0.3">
      <c r="A5837" s="1">
        <v>45204</v>
      </c>
      <c r="B5837" t="s">
        <v>14</v>
      </c>
      <c r="C5837" t="s">
        <v>46</v>
      </c>
      <c r="D5837" s="8"/>
      <c r="E5837" s="8"/>
      <c r="M5837" t="s">
        <v>478</v>
      </c>
      <c r="N5837" t="str">
        <f>Tabela_tudo[[#This Row],[Médico]]&amp;" ("&amp;Tabela_tudo[[#This Row],[Obs]]&amp;")"</f>
        <v>PW ()</v>
      </c>
    </row>
    <row r="5838" spans="1:14" x14ac:dyDescent="0.3">
      <c r="A5838" s="1">
        <v>44938</v>
      </c>
      <c r="B5838" t="s">
        <v>47</v>
      </c>
      <c r="C5838" t="s">
        <v>465</v>
      </c>
      <c r="D5838" s="8"/>
      <c r="E5838" s="8"/>
      <c r="M5838" t="s">
        <v>478</v>
      </c>
      <c r="N5838" t="str">
        <f>Tabela_tudo[[#This Row],[Médico]]&amp;" ("&amp;Tabela_tudo[[#This Row],[Obs]]&amp;")"</f>
        <v>VIN ()</v>
      </c>
    </row>
    <row r="5839" spans="1:14" x14ac:dyDescent="0.3">
      <c r="A5839" s="1">
        <v>45211</v>
      </c>
      <c r="B5839" t="s">
        <v>71</v>
      </c>
      <c r="C5839" t="s">
        <v>13</v>
      </c>
      <c r="D5839" s="8"/>
      <c r="E5839" s="8"/>
      <c r="M5839" t="s">
        <v>478</v>
      </c>
      <c r="N5839" t="str">
        <f>Tabela_tudo[[#This Row],[Médico]]&amp;" ("&amp;Tabela_tudo[[#This Row],[Obs]]&amp;")"</f>
        <v>BRU ()</v>
      </c>
    </row>
    <row r="5840" spans="1:14" x14ac:dyDescent="0.3">
      <c r="A5840" s="1">
        <v>44932</v>
      </c>
      <c r="B5840" t="s">
        <v>47</v>
      </c>
      <c r="C5840" t="s">
        <v>464</v>
      </c>
      <c r="D5840" s="8"/>
      <c r="E5840" s="8"/>
      <c r="M5840" t="s">
        <v>478</v>
      </c>
      <c r="N5840" t="str">
        <f>Tabela_tudo[[#This Row],[Médico]]&amp;" ("&amp;Tabela_tudo[[#This Row],[Obs]]&amp;")"</f>
        <v>VIN ()</v>
      </c>
    </row>
    <row r="5841" spans="1:14" x14ac:dyDescent="0.3">
      <c r="A5841" s="1">
        <v>45206</v>
      </c>
      <c r="B5841" t="s">
        <v>72</v>
      </c>
      <c r="C5841" t="s">
        <v>78</v>
      </c>
      <c r="D5841" s="8"/>
      <c r="E5841" s="8"/>
      <c r="M5841" t="s">
        <v>478</v>
      </c>
      <c r="N5841" t="str">
        <f>Tabela_tudo[[#This Row],[Médico]]&amp;" ("&amp;Tabela_tudo[[#This Row],[Obs]]&amp;")"</f>
        <v>GRA ()</v>
      </c>
    </row>
    <row r="5842" spans="1:14" x14ac:dyDescent="0.3">
      <c r="A5842" s="1">
        <v>44966</v>
      </c>
      <c r="B5842" t="s">
        <v>12</v>
      </c>
      <c r="C5842" t="s">
        <v>464</v>
      </c>
      <c r="D5842" s="8"/>
      <c r="E5842" s="8"/>
      <c r="M5842" t="s">
        <v>478</v>
      </c>
      <c r="N5842" t="str">
        <f>Tabela_tudo[[#This Row],[Médico]]&amp;" ("&amp;Tabela_tudo[[#This Row],[Obs]]&amp;")"</f>
        <v>EDU ()</v>
      </c>
    </row>
    <row r="5843" spans="1:14" x14ac:dyDescent="0.3">
      <c r="A5843" s="1">
        <v>45211</v>
      </c>
      <c r="B5843" t="s">
        <v>34</v>
      </c>
      <c r="C5843" t="s">
        <v>78</v>
      </c>
      <c r="D5843" s="8"/>
      <c r="E5843" s="8"/>
      <c r="M5843" t="s">
        <v>478</v>
      </c>
      <c r="N5843" t="str">
        <f>Tabela_tudo[[#This Row],[Médico]]&amp;" ("&amp;Tabela_tudo[[#This Row],[Obs]]&amp;")"</f>
        <v>LIP ()</v>
      </c>
    </row>
    <row r="5844" spans="1:14" x14ac:dyDescent="0.3">
      <c r="A5844" s="1">
        <v>44933</v>
      </c>
      <c r="B5844" t="s">
        <v>32</v>
      </c>
      <c r="C5844" t="s">
        <v>464</v>
      </c>
      <c r="D5844" s="8"/>
      <c r="E5844" s="8"/>
      <c r="M5844" t="s">
        <v>478</v>
      </c>
      <c r="N5844" t="str">
        <f>Tabela_tudo[[#This Row],[Médico]]&amp;" ("&amp;Tabela_tudo[[#This Row],[Obs]]&amp;")"</f>
        <v>JS ()</v>
      </c>
    </row>
    <row r="5845" spans="1:14" x14ac:dyDescent="0.3">
      <c r="A5845" s="1">
        <v>45211</v>
      </c>
      <c r="B5845" t="s">
        <v>75</v>
      </c>
      <c r="C5845" t="s">
        <v>8</v>
      </c>
      <c r="D5845" s="8"/>
      <c r="E5845" s="8"/>
      <c r="M5845" t="s">
        <v>478</v>
      </c>
      <c r="N5845" t="str">
        <f>Tabela_tudo[[#This Row],[Médico]]&amp;" ("&amp;Tabela_tudo[[#This Row],[Obs]]&amp;")"</f>
        <v>KOP ()</v>
      </c>
    </row>
    <row r="5846" spans="1:14" x14ac:dyDescent="0.3">
      <c r="A5846" s="1">
        <v>44964</v>
      </c>
      <c r="B5846" t="s">
        <v>12</v>
      </c>
      <c r="C5846" t="s">
        <v>464</v>
      </c>
      <c r="D5846" s="8"/>
      <c r="E5846" s="8"/>
      <c r="M5846" t="s">
        <v>478</v>
      </c>
      <c r="N5846" t="str">
        <f>Tabela_tudo[[#This Row],[Médico]]&amp;" ("&amp;Tabela_tudo[[#This Row],[Obs]]&amp;")"</f>
        <v>EDU ()</v>
      </c>
    </row>
    <row r="5847" spans="1:14" x14ac:dyDescent="0.3">
      <c r="A5847" s="1">
        <v>45207</v>
      </c>
      <c r="B5847" t="s">
        <v>21</v>
      </c>
      <c r="C5847" t="s">
        <v>78</v>
      </c>
      <c r="D5847" s="8"/>
      <c r="E5847" s="8"/>
      <c r="M5847" t="s">
        <v>478</v>
      </c>
      <c r="N5847" t="str">
        <f>Tabela_tudo[[#This Row],[Médico]]&amp;" ("&amp;Tabela_tudo[[#This Row],[Obs]]&amp;")"</f>
        <v>RA ()</v>
      </c>
    </row>
    <row r="5848" spans="1:14" x14ac:dyDescent="0.3">
      <c r="A5848" s="1">
        <v>44965</v>
      </c>
      <c r="B5848" t="s">
        <v>12</v>
      </c>
      <c r="C5848" t="s">
        <v>464</v>
      </c>
      <c r="D5848" s="8"/>
      <c r="E5848" s="8"/>
      <c r="M5848" t="s">
        <v>478</v>
      </c>
      <c r="N5848" t="str">
        <f>Tabela_tudo[[#This Row],[Médico]]&amp;" ("&amp;Tabela_tudo[[#This Row],[Obs]]&amp;")"</f>
        <v>EDU ()</v>
      </c>
    </row>
    <row r="5849" spans="1:14" x14ac:dyDescent="0.3">
      <c r="A5849" s="1">
        <v>45207</v>
      </c>
      <c r="B5849" t="s">
        <v>37</v>
      </c>
      <c r="C5849" t="s">
        <v>8</v>
      </c>
      <c r="D5849" s="8"/>
      <c r="E5849" s="8"/>
      <c r="M5849" t="s">
        <v>478</v>
      </c>
      <c r="N5849" t="str">
        <f>Tabela_tudo[[#This Row],[Médico]]&amp;" ("&amp;Tabela_tudo[[#This Row],[Obs]]&amp;")"</f>
        <v>EBB ()</v>
      </c>
    </row>
    <row r="5850" spans="1:14" x14ac:dyDescent="0.3">
      <c r="A5850" s="1">
        <v>44930</v>
      </c>
      <c r="B5850" t="s">
        <v>32</v>
      </c>
      <c r="C5850" t="s">
        <v>464</v>
      </c>
      <c r="D5850" s="8"/>
      <c r="E5850" s="8"/>
      <c r="M5850" t="s">
        <v>478</v>
      </c>
      <c r="N5850" t="str">
        <f>Tabela_tudo[[#This Row],[Médico]]&amp;" ("&amp;Tabela_tudo[[#This Row],[Obs]]&amp;")"</f>
        <v>JS ()</v>
      </c>
    </row>
    <row r="5851" spans="1:14" x14ac:dyDescent="0.3">
      <c r="A5851" s="1">
        <v>45206</v>
      </c>
      <c r="B5851" t="s">
        <v>21</v>
      </c>
      <c r="C5851" t="s">
        <v>8</v>
      </c>
      <c r="D5851" s="8"/>
      <c r="E5851" s="8"/>
      <c r="M5851" t="s">
        <v>478</v>
      </c>
      <c r="N5851" t="str">
        <f>Tabela_tudo[[#This Row],[Médico]]&amp;" ("&amp;Tabela_tudo[[#This Row],[Obs]]&amp;")"</f>
        <v>RA ()</v>
      </c>
    </row>
    <row r="5852" spans="1:14" x14ac:dyDescent="0.3">
      <c r="A5852" s="1">
        <v>44929</v>
      </c>
      <c r="B5852" t="s">
        <v>32</v>
      </c>
      <c r="C5852" t="s">
        <v>464</v>
      </c>
      <c r="D5852" s="8"/>
      <c r="E5852" s="8"/>
      <c r="M5852" t="s">
        <v>478</v>
      </c>
      <c r="N5852" t="str">
        <f>Tabela_tudo[[#This Row],[Médico]]&amp;" ("&amp;Tabela_tudo[[#This Row],[Obs]]&amp;")"</f>
        <v>JS ()</v>
      </c>
    </row>
    <row r="5853" spans="1:14" x14ac:dyDescent="0.3">
      <c r="A5853" s="1">
        <v>45206</v>
      </c>
      <c r="B5853" t="s">
        <v>37</v>
      </c>
      <c r="C5853" t="s">
        <v>13</v>
      </c>
      <c r="D5853" s="8"/>
      <c r="E5853" s="8"/>
      <c r="M5853" t="s">
        <v>478</v>
      </c>
      <c r="N5853" t="str">
        <f>Tabela_tudo[[#This Row],[Médico]]&amp;" ("&amp;Tabela_tudo[[#This Row],[Obs]]&amp;")"</f>
        <v>EBB ()</v>
      </c>
    </row>
    <row r="5854" spans="1:14" x14ac:dyDescent="0.3">
      <c r="A5854" s="1">
        <v>44932</v>
      </c>
      <c r="B5854" t="s">
        <v>32</v>
      </c>
      <c r="C5854" t="s">
        <v>464</v>
      </c>
      <c r="D5854" s="8"/>
      <c r="E5854" s="8"/>
      <c r="M5854" t="s">
        <v>478</v>
      </c>
      <c r="N5854" t="str">
        <f>Tabela_tudo[[#This Row],[Médico]]&amp;" ("&amp;Tabela_tudo[[#This Row],[Obs]]&amp;")"</f>
        <v>JS ()</v>
      </c>
    </row>
    <row r="5855" spans="1:14" x14ac:dyDescent="0.3">
      <c r="A5855" s="1">
        <v>45204</v>
      </c>
      <c r="B5855" t="s">
        <v>50</v>
      </c>
      <c r="C5855" t="s">
        <v>8</v>
      </c>
      <c r="D5855" s="8"/>
      <c r="E5855" s="8"/>
      <c r="M5855" t="s">
        <v>478</v>
      </c>
      <c r="N5855" t="str">
        <f>Tabela_tudo[[#This Row],[Médico]]&amp;" ("&amp;Tabela_tudo[[#This Row],[Obs]]&amp;")"</f>
        <v>PJP ()</v>
      </c>
    </row>
    <row r="5856" spans="1:14" x14ac:dyDescent="0.3">
      <c r="A5856" s="1">
        <v>44931</v>
      </c>
      <c r="B5856" t="s">
        <v>32</v>
      </c>
      <c r="C5856" t="s">
        <v>464</v>
      </c>
      <c r="D5856" s="8"/>
      <c r="E5856" s="8"/>
      <c r="M5856" t="s">
        <v>478</v>
      </c>
      <c r="N5856" t="str">
        <f>Tabela_tudo[[#This Row],[Médico]]&amp;" ("&amp;Tabela_tudo[[#This Row],[Obs]]&amp;")"</f>
        <v>JS ()</v>
      </c>
    </row>
    <row r="5857" spans="1:14" x14ac:dyDescent="0.3">
      <c r="A5857" s="1">
        <v>45203</v>
      </c>
      <c r="B5857" t="s">
        <v>73</v>
      </c>
      <c r="C5857" t="s">
        <v>13</v>
      </c>
      <c r="D5857" s="8"/>
      <c r="E5857" s="8"/>
      <c r="M5857" t="s">
        <v>478</v>
      </c>
      <c r="N5857" t="str">
        <f>Tabela_tudo[[#This Row],[Médico]]&amp;" ("&amp;Tabela_tudo[[#This Row],[Obs]]&amp;")"</f>
        <v>RT ()</v>
      </c>
    </row>
    <row r="5858" spans="1:14" x14ac:dyDescent="0.3">
      <c r="A5858" s="1">
        <v>44958</v>
      </c>
      <c r="B5858" t="s">
        <v>50</v>
      </c>
      <c r="C5858" t="s">
        <v>464</v>
      </c>
      <c r="D5858" s="8"/>
      <c r="E5858" s="8"/>
      <c r="M5858" t="s">
        <v>478</v>
      </c>
      <c r="N5858" t="str">
        <f>Tabela_tudo[[#This Row],[Médico]]&amp;" ("&amp;Tabela_tudo[[#This Row],[Obs]]&amp;")"</f>
        <v>PJP ()</v>
      </c>
    </row>
    <row r="5859" spans="1:14" x14ac:dyDescent="0.3">
      <c r="A5859" s="1">
        <v>45202</v>
      </c>
      <c r="B5859" t="s">
        <v>12</v>
      </c>
      <c r="C5859" t="s">
        <v>222</v>
      </c>
      <c r="D5859" s="8">
        <v>0.83333333333333337</v>
      </c>
      <c r="E5859" s="8">
        <v>0.91666666666666663</v>
      </c>
      <c r="F5859" t="s">
        <v>223</v>
      </c>
      <c r="K5859" t="s">
        <v>565</v>
      </c>
      <c r="M5859" t="s">
        <v>478</v>
      </c>
      <c r="N5859" t="str">
        <f>Tabela_tudo[[#This Row],[Médico]]&amp;" ("&amp;Tabela_tudo[[#This Row],[Obs]]&amp;")"</f>
        <v>EDU (TODOS OS SÓCIOS)</v>
      </c>
    </row>
    <row r="5860" spans="1:14" x14ac:dyDescent="0.3">
      <c r="A5860" s="1">
        <v>44959</v>
      </c>
      <c r="B5860" t="s">
        <v>50</v>
      </c>
      <c r="C5860" t="s">
        <v>464</v>
      </c>
      <c r="D5860" s="8"/>
      <c r="E5860" s="8"/>
      <c r="M5860" t="s">
        <v>478</v>
      </c>
      <c r="N5860" t="str">
        <f>Tabela_tudo[[#This Row],[Médico]]&amp;" ("&amp;Tabela_tudo[[#This Row],[Obs]]&amp;")"</f>
        <v>PJP ()</v>
      </c>
    </row>
    <row r="5861" spans="1:14" x14ac:dyDescent="0.3">
      <c r="A5861" s="1">
        <v>45203</v>
      </c>
      <c r="B5861" t="s">
        <v>29</v>
      </c>
      <c r="C5861" t="s">
        <v>8</v>
      </c>
      <c r="D5861" s="8"/>
      <c r="E5861" s="8"/>
      <c r="M5861" t="s">
        <v>478</v>
      </c>
      <c r="N5861" t="str">
        <f>Tabela_tudo[[#This Row],[Médico]]&amp;" ("&amp;Tabela_tudo[[#This Row],[Obs]]&amp;")"</f>
        <v>JOA ()</v>
      </c>
    </row>
    <row r="5862" spans="1:14" x14ac:dyDescent="0.3">
      <c r="A5862" s="1">
        <v>44956</v>
      </c>
      <c r="B5862" t="s">
        <v>50</v>
      </c>
      <c r="C5862" t="s">
        <v>464</v>
      </c>
      <c r="D5862" s="8"/>
      <c r="E5862" s="8"/>
      <c r="M5862" t="s">
        <v>478</v>
      </c>
      <c r="N5862" t="str">
        <f>Tabela_tudo[[#This Row],[Médico]]&amp;" ("&amp;Tabela_tudo[[#This Row],[Obs]]&amp;")"</f>
        <v>PJP ()</v>
      </c>
    </row>
    <row r="5863" spans="1:14" x14ac:dyDescent="0.3">
      <c r="A5863" s="1">
        <v>45203</v>
      </c>
      <c r="B5863" t="s">
        <v>64</v>
      </c>
      <c r="C5863" t="s">
        <v>15</v>
      </c>
      <c r="D5863" s="8"/>
      <c r="E5863" s="8"/>
      <c r="M5863" t="s">
        <v>478</v>
      </c>
      <c r="N5863" t="str">
        <f>Tabela_tudo[[#This Row],[Médico]]&amp;" ("&amp;Tabela_tudo[[#This Row],[Obs]]&amp;")"</f>
        <v>SAR ()</v>
      </c>
    </row>
    <row r="5864" spans="1:14" x14ac:dyDescent="0.3">
      <c r="A5864" s="1">
        <v>44957</v>
      </c>
      <c r="B5864" t="s">
        <v>50</v>
      </c>
      <c r="C5864" t="s">
        <v>464</v>
      </c>
      <c r="D5864" s="8"/>
      <c r="E5864" s="8"/>
      <c r="M5864" t="s">
        <v>478</v>
      </c>
      <c r="N5864" t="str">
        <f>Tabela_tudo[[#This Row],[Médico]]&amp;" ("&amp;Tabela_tudo[[#This Row],[Obs]]&amp;")"</f>
        <v>PJP ()</v>
      </c>
    </row>
    <row r="5865" spans="1:14" x14ac:dyDescent="0.3">
      <c r="A5865" s="1">
        <v>45202</v>
      </c>
      <c r="B5865" t="s">
        <v>71</v>
      </c>
      <c r="C5865" t="s">
        <v>49</v>
      </c>
      <c r="D5865" s="8"/>
      <c r="E5865" s="8"/>
      <c r="M5865" t="s">
        <v>478</v>
      </c>
      <c r="N5865" t="str">
        <f>Tabela_tudo[[#This Row],[Médico]]&amp;" ("&amp;Tabela_tudo[[#This Row],[Obs]]&amp;")"</f>
        <v>BRU ()</v>
      </c>
    </row>
    <row r="5866" spans="1:14" x14ac:dyDescent="0.3">
      <c r="A5866" s="1">
        <v>44930</v>
      </c>
      <c r="B5866" t="s">
        <v>333</v>
      </c>
      <c r="C5866" t="s">
        <v>466</v>
      </c>
      <c r="D5866" s="8"/>
      <c r="E5866" s="8"/>
      <c r="M5866" t="s">
        <v>478</v>
      </c>
      <c r="N5866" t="str">
        <f>Tabela_tudo[[#This Row],[Médico]]&amp;" ("&amp;Tabela_tudo[[#This Row],[Obs]]&amp;")"</f>
        <v>COR ()</v>
      </c>
    </row>
    <row r="5867" spans="1:14" x14ac:dyDescent="0.3">
      <c r="A5867" s="1">
        <v>45202</v>
      </c>
      <c r="B5867" t="s">
        <v>47</v>
      </c>
      <c r="C5867" t="s">
        <v>18</v>
      </c>
      <c r="D5867" s="8"/>
      <c r="E5867" s="8"/>
      <c r="M5867" t="s">
        <v>478</v>
      </c>
      <c r="N5867" t="str">
        <f>Tabela_tudo[[#This Row],[Médico]]&amp;" ("&amp;Tabela_tudo[[#This Row],[Obs]]&amp;")"</f>
        <v>VIN ()</v>
      </c>
    </row>
    <row r="5868" spans="1:14" x14ac:dyDescent="0.3">
      <c r="A5868" s="1">
        <v>44963</v>
      </c>
      <c r="B5868" t="s">
        <v>12</v>
      </c>
      <c r="C5868" t="s">
        <v>464</v>
      </c>
      <c r="D5868" s="8"/>
      <c r="E5868" s="8"/>
      <c r="M5868" t="s">
        <v>478</v>
      </c>
      <c r="N5868" t="str">
        <f>Tabela_tudo[[#This Row],[Médico]]&amp;" ("&amp;Tabela_tudo[[#This Row],[Obs]]&amp;")"</f>
        <v>EDU ()</v>
      </c>
    </row>
    <row r="5869" spans="1:14" x14ac:dyDescent="0.3">
      <c r="A5869" s="1">
        <v>45202</v>
      </c>
      <c r="B5869" t="s">
        <v>25</v>
      </c>
      <c r="C5869" t="s">
        <v>124</v>
      </c>
      <c r="D5869" s="8">
        <v>0.79166666666666663</v>
      </c>
      <c r="E5869" s="8">
        <v>0.91666666666666663</v>
      </c>
      <c r="F5869" t="s">
        <v>650</v>
      </c>
      <c r="K5869" t="s">
        <v>565</v>
      </c>
      <c r="M5869" t="s">
        <v>478</v>
      </c>
      <c r="N5869" t="str">
        <f>Tabela_tudo[[#This Row],[Médico]]&amp;" ("&amp;Tabela_tudo[[#This Row],[Obs]]&amp;")"</f>
        <v>HEN (APFS STOELTING CONFERENCE )</v>
      </c>
    </row>
    <row r="5870" spans="1:14" x14ac:dyDescent="0.3">
      <c r="A5870" s="1">
        <v>44960</v>
      </c>
      <c r="B5870" t="s">
        <v>50</v>
      </c>
      <c r="C5870" t="s">
        <v>464</v>
      </c>
      <c r="D5870" s="8"/>
      <c r="E5870" s="8"/>
      <c r="M5870" t="s">
        <v>478</v>
      </c>
      <c r="N5870" t="str">
        <f>Tabela_tudo[[#This Row],[Médico]]&amp;" ("&amp;Tabela_tudo[[#This Row],[Obs]]&amp;")"</f>
        <v>PJP ()</v>
      </c>
    </row>
    <row r="5871" spans="1:14" x14ac:dyDescent="0.3">
      <c r="A5871" s="1">
        <v>45202</v>
      </c>
      <c r="B5871" t="s">
        <v>75</v>
      </c>
      <c r="C5871" t="s">
        <v>51</v>
      </c>
      <c r="D5871" s="8"/>
      <c r="E5871" s="8"/>
      <c r="M5871" t="s">
        <v>478</v>
      </c>
      <c r="N5871" t="str">
        <f>Tabela_tudo[[#This Row],[Médico]]&amp;" ("&amp;Tabela_tudo[[#This Row],[Obs]]&amp;")"</f>
        <v>KOP ()</v>
      </c>
    </row>
    <row r="5872" spans="1:14" x14ac:dyDescent="0.3">
      <c r="A5872" s="1">
        <v>44929</v>
      </c>
      <c r="B5872" t="s">
        <v>333</v>
      </c>
      <c r="C5872" t="s">
        <v>466</v>
      </c>
      <c r="D5872" s="8"/>
      <c r="E5872" s="8"/>
      <c r="M5872" t="s">
        <v>478</v>
      </c>
      <c r="N5872" t="str">
        <f>Tabela_tudo[[#This Row],[Médico]]&amp;" ("&amp;Tabela_tudo[[#This Row],[Obs]]&amp;")"</f>
        <v>COR ()</v>
      </c>
    </row>
    <row r="5873" spans="1:14" x14ac:dyDescent="0.3">
      <c r="A5873" s="1">
        <v>45203</v>
      </c>
      <c r="B5873" t="s">
        <v>73</v>
      </c>
      <c r="C5873" t="s">
        <v>51</v>
      </c>
      <c r="D5873" s="8"/>
      <c r="E5873" s="8"/>
      <c r="M5873" t="s">
        <v>478</v>
      </c>
      <c r="N5873" t="str">
        <f>Tabela_tudo[[#This Row],[Médico]]&amp;" ("&amp;Tabela_tudo[[#This Row],[Obs]]&amp;")"</f>
        <v>RT ()</v>
      </c>
    </row>
    <row r="5874" spans="1:14" x14ac:dyDescent="0.3">
      <c r="A5874" s="1">
        <v>44944</v>
      </c>
      <c r="B5874" t="s">
        <v>84</v>
      </c>
      <c r="C5874" t="s">
        <v>464</v>
      </c>
      <c r="D5874" s="8"/>
      <c r="E5874" s="8"/>
      <c r="M5874" t="s">
        <v>478</v>
      </c>
      <c r="N5874" t="str">
        <f>Tabela_tudo[[#This Row],[Médico]]&amp;" ("&amp;Tabela_tudo[[#This Row],[Obs]]&amp;")"</f>
        <v>ANO ()</v>
      </c>
    </row>
    <row r="5875" spans="1:14" x14ac:dyDescent="0.3">
      <c r="A5875" s="1">
        <v>45203</v>
      </c>
      <c r="B5875" t="s">
        <v>71</v>
      </c>
      <c r="C5875" t="s">
        <v>49</v>
      </c>
      <c r="D5875" s="8"/>
      <c r="E5875" s="8"/>
      <c r="M5875" t="s">
        <v>478</v>
      </c>
      <c r="N5875" t="str">
        <f>Tabela_tudo[[#This Row],[Médico]]&amp;" ("&amp;Tabela_tudo[[#This Row],[Obs]]&amp;")"</f>
        <v>BRU ()</v>
      </c>
    </row>
    <row r="5876" spans="1:14" x14ac:dyDescent="0.3">
      <c r="A5876" s="1">
        <v>44943</v>
      </c>
      <c r="B5876" t="s">
        <v>84</v>
      </c>
      <c r="C5876" t="s">
        <v>464</v>
      </c>
      <c r="D5876" s="8"/>
      <c r="E5876" s="8"/>
      <c r="M5876" t="s">
        <v>478</v>
      </c>
      <c r="N5876" t="str">
        <f>Tabela_tudo[[#This Row],[Médico]]&amp;" ("&amp;Tabela_tudo[[#This Row],[Obs]]&amp;")"</f>
        <v>ANO ()</v>
      </c>
    </row>
    <row r="5877" spans="1:14" x14ac:dyDescent="0.3">
      <c r="A5877" s="1">
        <v>45204</v>
      </c>
      <c r="B5877" t="s">
        <v>142</v>
      </c>
      <c r="C5877" t="s">
        <v>15</v>
      </c>
      <c r="D5877" s="8"/>
      <c r="E5877" s="8"/>
      <c r="M5877" t="s">
        <v>478</v>
      </c>
      <c r="N5877" t="str">
        <f>Tabela_tudo[[#This Row],[Médico]]&amp;" ("&amp;Tabela_tudo[[#This Row],[Obs]]&amp;")"</f>
        <v>VIV ()</v>
      </c>
    </row>
    <row r="5878" spans="1:14" x14ac:dyDescent="0.3">
      <c r="A5878" s="1">
        <v>44946</v>
      </c>
      <c r="B5878" t="s">
        <v>84</v>
      </c>
      <c r="C5878" t="s">
        <v>464</v>
      </c>
      <c r="D5878" s="8"/>
      <c r="E5878" s="8"/>
      <c r="M5878" t="s">
        <v>478</v>
      </c>
      <c r="N5878" t="str">
        <f>Tabela_tudo[[#This Row],[Médico]]&amp;" ("&amp;Tabela_tudo[[#This Row],[Obs]]&amp;")"</f>
        <v>ANO ()</v>
      </c>
    </row>
    <row r="5879" spans="1:14" x14ac:dyDescent="0.3">
      <c r="A5879" s="1">
        <v>45204</v>
      </c>
      <c r="B5879" t="s">
        <v>33</v>
      </c>
      <c r="C5879" t="s">
        <v>13</v>
      </c>
      <c r="D5879" s="8"/>
      <c r="E5879" s="8"/>
      <c r="M5879" t="s">
        <v>478</v>
      </c>
      <c r="N5879" t="str">
        <f>Tabela_tudo[[#This Row],[Médico]]&amp;" ("&amp;Tabela_tudo[[#This Row],[Obs]]&amp;")"</f>
        <v>DIF ()</v>
      </c>
    </row>
    <row r="5880" spans="1:14" x14ac:dyDescent="0.3">
      <c r="A5880" s="1">
        <v>44945</v>
      </c>
      <c r="B5880" t="s">
        <v>84</v>
      </c>
      <c r="C5880" t="s">
        <v>464</v>
      </c>
      <c r="D5880" s="8"/>
      <c r="E5880" s="8"/>
      <c r="M5880" t="s">
        <v>478</v>
      </c>
      <c r="N5880" t="str">
        <f>Tabela_tudo[[#This Row],[Médico]]&amp;" ("&amp;Tabela_tudo[[#This Row],[Obs]]&amp;")"</f>
        <v>ANO ()</v>
      </c>
    </row>
    <row r="5881" spans="1:14" x14ac:dyDescent="0.3">
      <c r="A5881" s="1">
        <v>45203</v>
      </c>
      <c r="B5881" t="s">
        <v>66</v>
      </c>
      <c r="C5881" t="s">
        <v>45</v>
      </c>
      <c r="D5881" s="8"/>
      <c r="E5881" s="8"/>
      <c r="M5881" t="s">
        <v>478</v>
      </c>
      <c r="N5881" t="str">
        <f>Tabela_tudo[[#This Row],[Médico]]&amp;" ("&amp;Tabela_tudo[[#This Row],[Obs]]&amp;")"</f>
        <v>MOZ ()</v>
      </c>
    </row>
    <row r="5882" spans="1:14" x14ac:dyDescent="0.3">
      <c r="A5882" s="1">
        <v>44967</v>
      </c>
      <c r="B5882" t="s">
        <v>12</v>
      </c>
      <c r="C5882" t="s">
        <v>464</v>
      </c>
      <c r="D5882" s="8"/>
      <c r="E5882" s="8"/>
      <c r="M5882" t="s">
        <v>478</v>
      </c>
      <c r="N5882" t="str">
        <f>Tabela_tudo[[#This Row],[Médico]]&amp;" ("&amp;Tabela_tudo[[#This Row],[Obs]]&amp;")"</f>
        <v>EDU ()</v>
      </c>
    </row>
    <row r="5883" spans="1:14" x14ac:dyDescent="0.3">
      <c r="A5883" s="1">
        <v>45203</v>
      </c>
      <c r="B5883" t="s">
        <v>142</v>
      </c>
      <c r="C5883" t="s">
        <v>43</v>
      </c>
      <c r="D5883" s="8"/>
      <c r="E5883" s="8"/>
      <c r="M5883" t="s">
        <v>478</v>
      </c>
      <c r="N5883" t="str">
        <f>Tabela_tudo[[#This Row],[Médico]]&amp;" ("&amp;Tabela_tudo[[#This Row],[Obs]]&amp;")"</f>
        <v>VIV ()</v>
      </c>
    </row>
    <row r="5884" spans="1:14" x14ac:dyDescent="0.3">
      <c r="A5884" s="1">
        <v>44963</v>
      </c>
      <c r="B5884" t="s">
        <v>17</v>
      </c>
      <c r="C5884" t="s">
        <v>464</v>
      </c>
      <c r="D5884" s="8"/>
      <c r="E5884" s="8"/>
      <c r="M5884" t="s">
        <v>478</v>
      </c>
      <c r="N5884" t="str">
        <f>Tabela_tudo[[#This Row],[Médico]]&amp;" ("&amp;Tabela_tudo[[#This Row],[Obs]]&amp;")"</f>
        <v>FAB ()</v>
      </c>
    </row>
    <row r="5885" spans="1:14" x14ac:dyDescent="0.3">
      <c r="A5885" s="1">
        <v>45203</v>
      </c>
      <c r="B5885" t="s">
        <v>63</v>
      </c>
      <c r="C5885" t="s">
        <v>18</v>
      </c>
      <c r="D5885" s="8"/>
      <c r="E5885" s="8"/>
      <c r="M5885" t="s">
        <v>478</v>
      </c>
      <c r="N5885" t="str">
        <f>Tabela_tudo[[#This Row],[Médico]]&amp;" ("&amp;Tabela_tudo[[#This Row],[Obs]]&amp;")"</f>
        <v>FQ ()</v>
      </c>
    </row>
    <row r="5886" spans="1:14" x14ac:dyDescent="0.3">
      <c r="A5886" s="1">
        <v>44942</v>
      </c>
      <c r="B5886" t="s">
        <v>84</v>
      </c>
      <c r="C5886" t="s">
        <v>464</v>
      </c>
      <c r="D5886" s="8"/>
      <c r="E5886" s="8"/>
      <c r="M5886" t="s">
        <v>478</v>
      </c>
      <c r="N5886" t="str">
        <f>Tabela_tudo[[#This Row],[Médico]]&amp;" ("&amp;Tabela_tudo[[#This Row],[Obs]]&amp;")"</f>
        <v>ANO ()</v>
      </c>
    </row>
    <row r="5887" spans="1:14" x14ac:dyDescent="0.3">
      <c r="A5887" s="1">
        <v>45203</v>
      </c>
      <c r="B5887" t="s">
        <v>68</v>
      </c>
      <c r="C5887" t="s">
        <v>46</v>
      </c>
      <c r="D5887" s="8"/>
      <c r="E5887" s="8"/>
      <c r="M5887" t="s">
        <v>478</v>
      </c>
      <c r="N5887" t="str">
        <f>Tabela_tudo[[#This Row],[Médico]]&amp;" ("&amp;Tabela_tudo[[#This Row],[Obs]]&amp;")"</f>
        <v>PED ()</v>
      </c>
    </row>
    <row r="5888" spans="1:14" x14ac:dyDescent="0.3">
      <c r="A5888" s="1">
        <v>44939</v>
      </c>
      <c r="B5888" t="s">
        <v>73</v>
      </c>
      <c r="C5888" t="s">
        <v>464</v>
      </c>
      <c r="D5888" s="8"/>
      <c r="E5888" s="8"/>
      <c r="M5888" t="s">
        <v>478</v>
      </c>
      <c r="N5888" t="str">
        <f>Tabela_tudo[[#This Row],[Médico]]&amp;" ("&amp;Tabela_tudo[[#This Row],[Obs]]&amp;")"</f>
        <v>RT ()</v>
      </c>
    </row>
    <row r="5889" spans="1:14" x14ac:dyDescent="0.3">
      <c r="A5889" s="1">
        <v>45211</v>
      </c>
      <c r="B5889" t="s">
        <v>52</v>
      </c>
      <c r="C5889" t="s">
        <v>45</v>
      </c>
      <c r="D5889" s="8"/>
      <c r="E5889" s="8"/>
      <c r="M5889" t="s">
        <v>478</v>
      </c>
      <c r="N5889" t="str">
        <f>Tabela_tudo[[#This Row],[Médico]]&amp;" ("&amp;Tabela_tudo[[#This Row],[Obs]]&amp;")"</f>
        <v>AEL ()</v>
      </c>
    </row>
    <row r="5890" spans="1:14" x14ac:dyDescent="0.3">
      <c r="A5890" s="1">
        <v>44952</v>
      </c>
      <c r="B5890" t="s">
        <v>84</v>
      </c>
      <c r="C5890" t="s">
        <v>464</v>
      </c>
      <c r="D5890" s="8"/>
      <c r="E5890" s="8"/>
      <c r="M5890" t="s">
        <v>478</v>
      </c>
      <c r="N5890" t="str">
        <f>Tabela_tudo[[#This Row],[Médico]]&amp;" ("&amp;Tabela_tudo[[#This Row],[Obs]]&amp;")"</f>
        <v>ANO ()</v>
      </c>
    </row>
    <row r="5891" spans="1:14" x14ac:dyDescent="0.3">
      <c r="A5891" s="1">
        <v>45212</v>
      </c>
      <c r="B5891" t="s">
        <v>12</v>
      </c>
      <c r="D5891" s="8"/>
      <c r="E5891" s="8"/>
      <c r="F5891" t="s">
        <v>685</v>
      </c>
      <c r="M5891" t="s">
        <v>478</v>
      </c>
      <c r="N5891" t="str">
        <f>Tabela_tudo[[#This Row],[Médico]]&amp;" ("&amp;Tabela_tudo[[#This Row],[Obs]]&amp;")"</f>
        <v>EDU (SÓCIOS LIBERADOS - FERIADO ESTENDIDO)</v>
      </c>
    </row>
    <row r="5892" spans="1:14" x14ac:dyDescent="0.3">
      <c r="A5892" s="1">
        <v>44951</v>
      </c>
      <c r="B5892" t="s">
        <v>84</v>
      </c>
      <c r="C5892" t="s">
        <v>464</v>
      </c>
      <c r="D5892" s="8"/>
      <c r="E5892" s="8"/>
      <c r="M5892" t="s">
        <v>478</v>
      </c>
      <c r="N5892" t="str">
        <f>Tabela_tudo[[#This Row],[Médico]]&amp;" ("&amp;Tabela_tudo[[#This Row],[Obs]]&amp;")"</f>
        <v>ANO ()</v>
      </c>
    </row>
    <row r="5893" spans="1:14" x14ac:dyDescent="0.3">
      <c r="A5893" s="1">
        <v>45212</v>
      </c>
      <c r="B5893" t="s">
        <v>66</v>
      </c>
      <c r="D5893" s="8"/>
      <c r="E5893" s="8"/>
      <c r="F5893" t="s">
        <v>685</v>
      </c>
      <c r="M5893" t="s">
        <v>478</v>
      </c>
      <c r="N5893" t="str">
        <f>Tabela_tudo[[#This Row],[Médico]]&amp;" ("&amp;Tabela_tudo[[#This Row],[Obs]]&amp;")"</f>
        <v>MOZ (SÓCIOS LIBERADOS - FERIADO ESTENDIDO)</v>
      </c>
    </row>
    <row r="5894" spans="1:14" x14ac:dyDescent="0.3">
      <c r="A5894" s="1">
        <v>44928</v>
      </c>
      <c r="B5894" t="s">
        <v>32</v>
      </c>
      <c r="C5894" t="s">
        <v>464</v>
      </c>
      <c r="D5894" s="8"/>
      <c r="E5894" s="8"/>
      <c r="M5894" t="s">
        <v>478</v>
      </c>
      <c r="N5894" t="str">
        <f>Tabela_tudo[[#This Row],[Médico]]&amp;" ("&amp;Tabela_tudo[[#This Row],[Obs]]&amp;")"</f>
        <v>JS ()</v>
      </c>
    </row>
    <row r="5895" spans="1:14" x14ac:dyDescent="0.3">
      <c r="A5895" s="1">
        <v>45215</v>
      </c>
      <c r="B5895" t="s">
        <v>48</v>
      </c>
      <c r="C5895" t="s">
        <v>15</v>
      </c>
      <c r="D5895" s="8"/>
      <c r="E5895" s="8"/>
      <c r="M5895" t="s">
        <v>478</v>
      </c>
      <c r="N5895" t="str">
        <f>Tabela_tudo[[#This Row],[Médico]]&amp;" ("&amp;Tabela_tudo[[#This Row],[Obs]]&amp;")"</f>
        <v>MAF ()</v>
      </c>
    </row>
    <row r="5896" spans="1:14" x14ac:dyDescent="0.3">
      <c r="A5896" s="1">
        <v>44953</v>
      </c>
      <c r="B5896" t="s">
        <v>84</v>
      </c>
      <c r="C5896" t="s">
        <v>464</v>
      </c>
      <c r="D5896" s="8"/>
      <c r="E5896" s="8"/>
      <c r="M5896" t="s">
        <v>478</v>
      </c>
      <c r="N5896" t="str">
        <f>Tabela_tudo[[#This Row],[Médico]]&amp;" ("&amp;Tabela_tudo[[#This Row],[Obs]]&amp;")"</f>
        <v>ANO ()</v>
      </c>
    </row>
    <row r="5897" spans="1:14" x14ac:dyDescent="0.3">
      <c r="A5897" s="1">
        <v>45215</v>
      </c>
      <c r="B5897" t="s">
        <v>29</v>
      </c>
      <c r="C5897" t="s">
        <v>13</v>
      </c>
      <c r="D5897" s="8"/>
      <c r="E5897" s="8"/>
      <c r="M5897" t="s">
        <v>478</v>
      </c>
      <c r="N5897" t="str">
        <f>Tabela_tudo[[#This Row],[Médico]]&amp;" ("&amp;Tabela_tudo[[#This Row],[Obs]]&amp;")"</f>
        <v>JOA ()</v>
      </c>
    </row>
    <row r="5898" spans="1:14" x14ac:dyDescent="0.3">
      <c r="A5898" s="1">
        <v>44948</v>
      </c>
      <c r="B5898" t="s">
        <v>84</v>
      </c>
      <c r="C5898" t="s">
        <v>464</v>
      </c>
      <c r="D5898" s="8"/>
      <c r="E5898" s="8"/>
      <c r="M5898" t="s">
        <v>478</v>
      </c>
      <c r="N5898" t="str">
        <f>Tabela_tudo[[#This Row],[Médico]]&amp;" ("&amp;Tabela_tudo[[#This Row],[Obs]]&amp;")"</f>
        <v>ANO ()</v>
      </c>
    </row>
    <row r="5899" spans="1:14" x14ac:dyDescent="0.3">
      <c r="A5899" s="1">
        <v>45212</v>
      </c>
      <c r="B5899" t="s">
        <v>47</v>
      </c>
      <c r="D5899" s="8"/>
      <c r="E5899" s="8"/>
      <c r="F5899" t="s">
        <v>685</v>
      </c>
      <c r="M5899" t="s">
        <v>478</v>
      </c>
      <c r="N5899" t="str">
        <f>Tabela_tudo[[#This Row],[Médico]]&amp;" ("&amp;Tabela_tudo[[#This Row],[Obs]]&amp;")"</f>
        <v>VIN (SÓCIOS LIBERADOS - FERIADO ESTENDIDO)</v>
      </c>
    </row>
    <row r="5900" spans="1:14" x14ac:dyDescent="0.3">
      <c r="A5900" s="1">
        <v>44947</v>
      </c>
      <c r="B5900" t="s">
        <v>84</v>
      </c>
      <c r="C5900" t="s">
        <v>464</v>
      </c>
      <c r="D5900" s="8"/>
      <c r="E5900" s="8"/>
      <c r="M5900" t="s">
        <v>478</v>
      </c>
      <c r="N5900" t="str">
        <f>Tabela_tudo[[#This Row],[Médico]]&amp;" ("&amp;Tabela_tudo[[#This Row],[Obs]]&amp;")"</f>
        <v>ANO ()</v>
      </c>
    </row>
    <row r="5901" spans="1:14" x14ac:dyDescent="0.3">
      <c r="A5901" s="1">
        <v>45212</v>
      </c>
      <c r="B5901" t="s">
        <v>17</v>
      </c>
      <c r="C5901" t="s">
        <v>51</v>
      </c>
      <c r="D5901" s="8"/>
      <c r="E5901" s="8"/>
      <c r="M5901" t="s">
        <v>478</v>
      </c>
      <c r="N5901" t="str">
        <f>Tabela_tudo[[#This Row],[Médico]]&amp;" ("&amp;Tabela_tudo[[#This Row],[Obs]]&amp;")"</f>
        <v>FAB ()</v>
      </c>
    </row>
    <row r="5902" spans="1:14" x14ac:dyDescent="0.3">
      <c r="A5902" s="1">
        <v>44950</v>
      </c>
      <c r="B5902" t="s">
        <v>84</v>
      </c>
      <c r="C5902" t="s">
        <v>464</v>
      </c>
      <c r="D5902" s="8"/>
      <c r="E5902" s="8"/>
      <c r="M5902" t="s">
        <v>478</v>
      </c>
      <c r="N5902" t="str">
        <f>Tabela_tudo[[#This Row],[Médico]]&amp;" ("&amp;Tabela_tudo[[#This Row],[Obs]]&amp;")"</f>
        <v>ANO ()</v>
      </c>
    </row>
    <row r="5903" spans="1:14" x14ac:dyDescent="0.3">
      <c r="A5903" s="1">
        <v>45212</v>
      </c>
      <c r="B5903" t="s">
        <v>64</v>
      </c>
      <c r="D5903" s="8"/>
      <c r="E5903" s="8"/>
      <c r="F5903" t="s">
        <v>685</v>
      </c>
      <c r="M5903" t="s">
        <v>478</v>
      </c>
      <c r="N5903" t="str">
        <f>Tabela_tudo[[#This Row],[Médico]]&amp;" ("&amp;Tabela_tudo[[#This Row],[Obs]]&amp;")"</f>
        <v>SAR (SÓCIOS LIBERADOS - FERIADO ESTENDIDO)</v>
      </c>
    </row>
    <row r="5904" spans="1:14" x14ac:dyDescent="0.3">
      <c r="A5904" s="1">
        <v>44949</v>
      </c>
      <c r="B5904" t="s">
        <v>84</v>
      </c>
      <c r="C5904" t="s">
        <v>464</v>
      </c>
      <c r="D5904" s="8"/>
      <c r="E5904" s="8"/>
      <c r="M5904" t="s">
        <v>478</v>
      </c>
      <c r="N5904" t="str">
        <f>Tabela_tudo[[#This Row],[Médico]]&amp;" ("&amp;Tabela_tudo[[#This Row],[Obs]]&amp;")"</f>
        <v>ANO ()</v>
      </c>
    </row>
    <row r="5905" spans="1:14" x14ac:dyDescent="0.3">
      <c r="A5905" s="1">
        <v>45212</v>
      </c>
      <c r="B5905" t="s">
        <v>16</v>
      </c>
      <c r="D5905" s="8"/>
      <c r="E5905" s="8"/>
      <c r="F5905" t="s">
        <v>685</v>
      </c>
      <c r="M5905" t="s">
        <v>478</v>
      </c>
      <c r="N5905" t="str">
        <f>Tabela_tudo[[#This Row],[Médico]]&amp;" ("&amp;Tabela_tudo[[#This Row],[Obs]]&amp;")"</f>
        <v>PP (SÓCIOS LIBERADOS - FERIADO ESTENDIDO)</v>
      </c>
    </row>
    <row r="5906" spans="1:14" x14ac:dyDescent="0.3">
      <c r="A5906" s="1">
        <v>44959</v>
      </c>
      <c r="B5906" t="s">
        <v>333</v>
      </c>
      <c r="C5906" t="s">
        <v>464</v>
      </c>
      <c r="D5906" s="8"/>
      <c r="E5906" s="8"/>
      <c r="M5906" t="s">
        <v>478</v>
      </c>
      <c r="N5906" t="str">
        <f>Tabela_tudo[[#This Row],[Médico]]&amp;" ("&amp;Tabela_tudo[[#This Row],[Obs]]&amp;")"</f>
        <v>COR ()</v>
      </c>
    </row>
    <row r="5907" spans="1:14" x14ac:dyDescent="0.3">
      <c r="A5907" s="1">
        <v>45215</v>
      </c>
      <c r="B5907" t="s">
        <v>85</v>
      </c>
      <c r="C5907" t="s">
        <v>49</v>
      </c>
      <c r="D5907" s="8"/>
      <c r="E5907" s="8"/>
      <c r="M5907" t="s">
        <v>478</v>
      </c>
      <c r="N5907" t="str">
        <f>Tabela_tudo[[#This Row],[Médico]]&amp;" ("&amp;Tabela_tudo[[#This Row],[Obs]]&amp;")"</f>
        <v>ELF ()</v>
      </c>
    </row>
    <row r="5908" spans="1:14" x14ac:dyDescent="0.3">
      <c r="A5908" s="1">
        <v>44961</v>
      </c>
      <c r="B5908" t="s">
        <v>37</v>
      </c>
      <c r="C5908" t="s">
        <v>464</v>
      </c>
      <c r="D5908" s="8"/>
      <c r="E5908" s="8"/>
      <c r="M5908" t="s">
        <v>478</v>
      </c>
      <c r="N5908" t="str">
        <f>Tabela_tudo[[#This Row],[Médico]]&amp;" ("&amp;Tabela_tudo[[#This Row],[Obs]]&amp;")"</f>
        <v>EBB ()</v>
      </c>
    </row>
    <row r="5909" spans="1:14" x14ac:dyDescent="0.3">
      <c r="A5909" s="1">
        <v>45215</v>
      </c>
      <c r="B5909" t="s">
        <v>47</v>
      </c>
      <c r="C5909" t="s">
        <v>18</v>
      </c>
      <c r="D5909" s="8"/>
      <c r="E5909" s="8"/>
      <c r="M5909" t="s">
        <v>478</v>
      </c>
      <c r="N5909" t="str">
        <f>Tabela_tudo[[#This Row],[Médico]]&amp;" ("&amp;Tabela_tudo[[#This Row],[Obs]]&amp;")"</f>
        <v>VIN ()</v>
      </c>
    </row>
    <row r="5910" spans="1:14" x14ac:dyDescent="0.3">
      <c r="A5910" s="1">
        <v>44962</v>
      </c>
      <c r="B5910" t="s">
        <v>37</v>
      </c>
      <c r="C5910" t="s">
        <v>464</v>
      </c>
      <c r="D5910" s="8"/>
      <c r="E5910" s="8"/>
      <c r="M5910" t="s">
        <v>478</v>
      </c>
      <c r="N5910" t="str">
        <f>Tabela_tudo[[#This Row],[Médico]]&amp;" ("&amp;Tabela_tudo[[#This Row],[Obs]]&amp;")"</f>
        <v>EBB ()</v>
      </c>
    </row>
    <row r="5911" spans="1:14" x14ac:dyDescent="0.3">
      <c r="A5911" s="1">
        <v>45215</v>
      </c>
      <c r="B5911" t="s">
        <v>84</v>
      </c>
      <c r="C5911" t="s">
        <v>30</v>
      </c>
      <c r="D5911" s="8"/>
      <c r="E5911" s="8"/>
      <c r="M5911" t="s">
        <v>478</v>
      </c>
      <c r="N5911" t="str">
        <f>Tabela_tudo[[#This Row],[Médico]]&amp;" ("&amp;Tabela_tudo[[#This Row],[Obs]]&amp;")"</f>
        <v>ANO ()</v>
      </c>
    </row>
    <row r="5912" spans="1:14" x14ac:dyDescent="0.3">
      <c r="A5912" s="1">
        <v>44959</v>
      </c>
      <c r="B5912" t="s">
        <v>37</v>
      </c>
      <c r="C5912" t="s">
        <v>464</v>
      </c>
      <c r="D5912" s="8"/>
      <c r="E5912" s="8"/>
      <c r="M5912" t="s">
        <v>478</v>
      </c>
      <c r="N5912" t="str">
        <f>Tabela_tudo[[#This Row],[Médico]]&amp;" ("&amp;Tabela_tudo[[#This Row],[Obs]]&amp;")"</f>
        <v>EBB ()</v>
      </c>
    </row>
    <row r="5913" spans="1:14" x14ac:dyDescent="0.3">
      <c r="A5913" s="1">
        <v>45215</v>
      </c>
      <c r="B5913" t="s">
        <v>50</v>
      </c>
      <c r="C5913" t="s">
        <v>51</v>
      </c>
      <c r="D5913" s="8"/>
      <c r="E5913" s="8"/>
      <c r="M5913" t="s">
        <v>478</v>
      </c>
      <c r="N5913" t="str">
        <f>Tabela_tudo[[#This Row],[Médico]]&amp;" ("&amp;Tabela_tudo[[#This Row],[Obs]]&amp;")"</f>
        <v>PJP ()</v>
      </c>
    </row>
    <row r="5914" spans="1:14" x14ac:dyDescent="0.3">
      <c r="A5914" s="1">
        <v>44960</v>
      </c>
      <c r="B5914" t="s">
        <v>37</v>
      </c>
      <c r="C5914" t="s">
        <v>464</v>
      </c>
      <c r="D5914" s="8"/>
      <c r="E5914" s="8"/>
      <c r="M5914" t="s">
        <v>478</v>
      </c>
      <c r="N5914" t="str">
        <f>Tabela_tudo[[#This Row],[Médico]]&amp;" ("&amp;Tabela_tudo[[#This Row],[Obs]]&amp;")"</f>
        <v>EBB ()</v>
      </c>
    </row>
    <row r="5915" spans="1:14" x14ac:dyDescent="0.3">
      <c r="A5915" s="1">
        <v>45215</v>
      </c>
      <c r="B5915" t="s">
        <v>64</v>
      </c>
      <c r="C5915" t="s">
        <v>43</v>
      </c>
      <c r="D5915" s="8"/>
      <c r="E5915" s="8"/>
      <c r="M5915" t="s">
        <v>478</v>
      </c>
      <c r="N5915" t="str">
        <f>Tabela_tudo[[#This Row],[Médico]]&amp;" ("&amp;Tabela_tudo[[#This Row],[Obs]]&amp;")"</f>
        <v>SAR ()</v>
      </c>
    </row>
    <row r="5916" spans="1:14" x14ac:dyDescent="0.3">
      <c r="A5916" s="1">
        <v>44965</v>
      </c>
      <c r="B5916" t="s">
        <v>37</v>
      </c>
      <c r="C5916" t="s">
        <v>464</v>
      </c>
      <c r="D5916" s="8"/>
      <c r="E5916" s="8"/>
      <c r="M5916" t="s">
        <v>478</v>
      </c>
      <c r="N5916" t="str">
        <f>Tabela_tudo[[#This Row],[Médico]]&amp;" ("&amp;Tabela_tudo[[#This Row],[Obs]]&amp;")"</f>
        <v>EBB ()</v>
      </c>
    </row>
    <row r="5917" spans="1:14" x14ac:dyDescent="0.3">
      <c r="A5917" s="1">
        <v>45215</v>
      </c>
      <c r="B5917" t="s">
        <v>71</v>
      </c>
      <c r="C5917" t="s">
        <v>8</v>
      </c>
      <c r="D5917" s="8"/>
      <c r="E5917" s="8"/>
      <c r="M5917" t="s">
        <v>478</v>
      </c>
      <c r="N5917" t="str">
        <f>Tabela_tudo[[#This Row],[Médico]]&amp;" ("&amp;Tabela_tudo[[#This Row],[Obs]]&amp;")"</f>
        <v>BRU ()</v>
      </c>
    </row>
    <row r="5918" spans="1:14" x14ac:dyDescent="0.3">
      <c r="A5918" s="1">
        <v>44966</v>
      </c>
      <c r="B5918" t="s">
        <v>37</v>
      </c>
      <c r="C5918" t="s">
        <v>464</v>
      </c>
      <c r="D5918" s="8"/>
      <c r="E5918" s="8"/>
      <c r="M5918" t="s">
        <v>478</v>
      </c>
      <c r="N5918" t="str">
        <f>Tabela_tudo[[#This Row],[Médico]]&amp;" ("&amp;Tabela_tudo[[#This Row],[Obs]]&amp;")"</f>
        <v>EBB ()</v>
      </c>
    </row>
    <row r="5919" spans="1:14" x14ac:dyDescent="0.3">
      <c r="A5919" s="1">
        <v>45215</v>
      </c>
      <c r="B5919" t="s">
        <v>21</v>
      </c>
      <c r="C5919" t="s">
        <v>46</v>
      </c>
      <c r="D5919" s="8"/>
      <c r="E5919" s="8"/>
      <c r="M5919" t="s">
        <v>478</v>
      </c>
      <c r="N5919" t="str">
        <f>Tabela_tudo[[#This Row],[Médico]]&amp;" ("&amp;Tabela_tudo[[#This Row],[Obs]]&amp;")"</f>
        <v>RA ()</v>
      </c>
    </row>
    <row r="5920" spans="1:14" x14ac:dyDescent="0.3">
      <c r="A5920" s="1">
        <v>44963</v>
      </c>
      <c r="B5920" t="s">
        <v>37</v>
      </c>
      <c r="C5920" t="s">
        <v>464</v>
      </c>
      <c r="D5920" s="8"/>
      <c r="E5920" s="8"/>
      <c r="M5920" t="s">
        <v>478</v>
      </c>
      <c r="N5920" t="str">
        <f>Tabela_tudo[[#This Row],[Médico]]&amp;" ("&amp;Tabela_tudo[[#This Row],[Obs]]&amp;")"</f>
        <v>EBB ()</v>
      </c>
    </row>
    <row r="5921" spans="1:14" x14ac:dyDescent="0.3">
      <c r="A5921" s="1">
        <v>45215</v>
      </c>
      <c r="B5921" t="s">
        <v>44</v>
      </c>
      <c r="C5921" t="s">
        <v>45</v>
      </c>
      <c r="D5921" s="8"/>
      <c r="E5921" s="8"/>
      <c r="M5921" t="s">
        <v>478</v>
      </c>
      <c r="N5921" t="str">
        <f>Tabela_tudo[[#This Row],[Médico]]&amp;" ("&amp;Tabela_tudo[[#This Row],[Obs]]&amp;")"</f>
        <v>REI ()</v>
      </c>
    </row>
    <row r="5922" spans="1:14" x14ac:dyDescent="0.3">
      <c r="A5922" s="1">
        <v>44964</v>
      </c>
      <c r="B5922" t="s">
        <v>37</v>
      </c>
      <c r="C5922" t="s">
        <v>464</v>
      </c>
      <c r="D5922" s="8"/>
      <c r="E5922" s="8"/>
      <c r="M5922" t="s">
        <v>478</v>
      </c>
      <c r="N5922" t="str">
        <f>Tabela_tudo[[#This Row],[Médico]]&amp;" ("&amp;Tabela_tudo[[#This Row],[Obs]]&amp;")"</f>
        <v>EBB ()</v>
      </c>
    </row>
    <row r="5923" spans="1:14" x14ac:dyDescent="0.3">
      <c r="A5923" s="1">
        <v>45212</v>
      </c>
      <c r="B5923" t="s">
        <v>48</v>
      </c>
      <c r="C5923" t="s">
        <v>49</v>
      </c>
      <c r="D5923" s="8"/>
      <c r="E5923" s="8"/>
      <c r="M5923" t="s">
        <v>478</v>
      </c>
      <c r="N5923" t="str">
        <f>Tabela_tudo[[#This Row],[Médico]]&amp;" ("&amp;Tabela_tudo[[#This Row],[Obs]]&amp;")"</f>
        <v>MAF ()</v>
      </c>
    </row>
    <row r="5924" spans="1:14" x14ac:dyDescent="0.3">
      <c r="A5924" s="1">
        <v>44965</v>
      </c>
      <c r="B5924" t="s">
        <v>33</v>
      </c>
      <c r="C5924" t="s">
        <v>464</v>
      </c>
      <c r="D5924" s="8"/>
      <c r="E5924" s="8"/>
      <c r="M5924" t="s">
        <v>478</v>
      </c>
      <c r="N5924" t="str">
        <f>Tabela_tudo[[#This Row],[Médico]]&amp;" ("&amp;Tabela_tudo[[#This Row],[Obs]]&amp;")"</f>
        <v>DIF ()</v>
      </c>
    </row>
    <row r="5925" spans="1:14" x14ac:dyDescent="0.3">
      <c r="A5925" s="1">
        <v>45211</v>
      </c>
      <c r="B5925" t="s">
        <v>16</v>
      </c>
      <c r="D5925" s="8"/>
      <c r="E5925" s="8"/>
      <c r="F5925" t="s">
        <v>685</v>
      </c>
      <c r="M5925" t="s">
        <v>478</v>
      </c>
      <c r="N5925" t="str">
        <f>Tabela_tudo[[#This Row],[Médico]]&amp;" ("&amp;Tabela_tudo[[#This Row],[Obs]]&amp;")"</f>
        <v>PP (SÓCIOS LIBERADOS - FERIADO ESTENDIDO)</v>
      </c>
    </row>
    <row r="5926" spans="1:14" x14ac:dyDescent="0.3">
      <c r="A5926" s="1">
        <v>44966</v>
      </c>
      <c r="B5926" t="s">
        <v>33</v>
      </c>
      <c r="C5926" t="s">
        <v>464</v>
      </c>
      <c r="D5926" s="8"/>
      <c r="E5926" s="8"/>
      <c r="M5926" t="s">
        <v>478</v>
      </c>
      <c r="N5926" t="str">
        <f>Tabela_tudo[[#This Row],[Médico]]&amp;" ("&amp;Tabela_tudo[[#This Row],[Obs]]&amp;")"</f>
        <v>DIF ()</v>
      </c>
    </row>
    <row r="5927" spans="1:14" x14ac:dyDescent="0.3">
      <c r="A5927" s="1">
        <v>45211</v>
      </c>
      <c r="B5927" t="s">
        <v>47</v>
      </c>
      <c r="D5927" s="8"/>
      <c r="E5927" s="8"/>
      <c r="F5927" t="s">
        <v>685</v>
      </c>
      <c r="M5927" t="s">
        <v>478</v>
      </c>
      <c r="N5927" t="str">
        <f>Tabela_tudo[[#This Row],[Médico]]&amp;" ("&amp;Tabela_tudo[[#This Row],[Obs]]&amp;")"</f>
        <v>VIN (SÓCIOS LIBERADOS - FERIADO ESTENDIDO)</v>
      </c>
    </row>
    <row r="5928" spans="1:14" x14ac:dyDescent="0.3">
      <c r="A5928" s="1">
        <v>44963</v>
      </c>
      <c r="B5928" t="s">
        <v>33</v>
      </c>
      <c r="C5928" t="s">
        <v>464</v>
      </c>
      <c r="D5928" s="8"/>
      <c r="E5928" s="8"/>
      <c r="M5928" t="s">
        <v>478</v>
      </c>
      <c r="N5928" t="str">
        <f>Tabela_tudo[[#This Row],[Médico]]&amp;" ("&amp;Tabela_tudo[[#This Row],[Obs]]&amp;")"</f>
        <v>DIF ()</v>
      </c>
    </row>
    <row r="5929" spans="1:14" x14ac:dyDescent="0.3">
      <c r="A5929" s="1">
        <v>45211</v>
      </c>
      <c r="B5929" t="s">
        <v>66</v>
      </c>
      <c r="D5929" s="8"/>
      <c r="E5929" s="8"/>
      <c r="F5929" t="s">
        <v>685</v>
      </c>
      <c r="M5929" t="s">
        <v>478</v>
      </c>
      <c r="N5929" t="str">
        <f>Tabela_tudo[[#This Row],[Médico]]&amp;" ("&amp;Tabela_tudo[[#This Row],[Obs]]&amp;")"</f>
        <v>MOZ (SÓCIOS LIBERADOS - FERIADO ESTENDIDO)</v>
      </c>
    </row>
    <row r="5930" spans="1:14" x14ac:dyDescent="0.3">
      <c r="A5930" s="1">
        <v>44964</v>
      </c>
      <c r="B5930" t="s">
        <v>33</v>
      </c>
      <c r="C5930" t="s">
        <v>464</v>
      </c>
      <c r="D5930" s="8"/>
      <c r="E5930" s="8"/>
      <c r="M5930" t="s">
        <v>478</v>
      </c>
      <c r="N5930" t="str">
        <f>Tabela_tudo[[#This Row],[Médico]]&amp;" ("&amp;Tabela_tudo[[#This Row],[Obs]]&amp;")"</f>
        <v>DIF ()</v>
      </c>
    </row>
    <row r="5931" spans="1:14" x14ac:dyDescent="0.3">
      <c r="A5931" s="1">
        <v>45211</v>
      </c>
      <c r="B5931" t="s">
        <v>64</v>
      </c>
      <c r="D5931" s="8"/>
      <c r="E5931" s="8"/>
      <c r="F5931" t="s">
        <v>685</v>
      </c>
      <c r="M5931" t="s">
        <v>478</v>
      </c>
      <c r="N5931" t="str">
        <f>Tabela_tudo[[#This Row],[Médico]]&amp;" ("&amp;Tabela_tudo[[#This Row],[Obs]]&amp;")"</f>
        <v>SAR (SÓCIOS LIBERADOS - FERIADO ESTENDIDO)</v>
      </c>
    </row>
    <row r="5932" spans="1:14" x14ac:dyDescent="0.3">
      <c r="A5932" s="1">
        <v>44957</v>
      </c>
      <c r="B5932" t="s">
        <v>37</v>
      </c>
      <c r="C5932" t="s">
        <v>464</v>
      </c>
      <c r="D5932" s="8"/>
      <c r="E5932" s="8"/>
      <c r="M5932" t="s">
        <v>478</v>
      </c>
      <c r="N5932" t="str">
        <f>Tabela_tudo[[#This Row],[Médico]]&amp;" ("&amp;Tabela_tudo[[#This Row],[Obs]]&amp;")"</f>
        <v>EBB ()</v>
      </c>
    </row>
    <row r="5933" spans="1:14" x14ac:dyDescent="0.3">
      <c r="A5933" s="1">
        <v>45211</v>
      </c>
      <c r="B5933" t="s">
        <v>63</v>
      </c>
      <c r="C5933" t="s">
        <v>18</v>
      </c>
      <c r="D5933" s="8"/>
      <c r="E5933" s="8"/>
      <c r="M5933" t="s">
        <v>478</v>
      </c>
      <c r="N5933" t="str">
        <f>Tabela_tudo[[#This Row],[Médico]]&amp;" ("&amp;Tabela_tudo[[#This Row],[Obs]]&amp;")"</f>
        <v>FQ ()</v>
      </c>
    </row>
    <row r="5934" spans="1:14" x14ac:dyDescent="0.3">
      <c r="A5934" s="1">
        <v>44958</v>
      </c>
      <c r="B5934" t="s">
        <v>37</v>
      </c>
      <c r="C5934" t="s">
        <v>464</v>
      </c>
      <c r="D5934" s="8"/>
      <c r="E5934" s="8"/>
      <c r="M5934" t="s">
        <v>478</v>
      </c>
      <c r="N5934" t="str">
        <f>Tabela_tudo[[#This Row],[Médico]]&amp;" ("&amp;Tabela_tudo[[#This Row],[Obs]]&amp;")"</f>
        <v>EBB ()</v>
      </c>
    </row>
    <row r="5935" spans="1:14" x14ac:dyDescent="0.3">
      <c r="A5935" s="1">
        <v>45211</v>
      </c>
      <c r="B5935" t="s">
        <v>14</v>
      </c>
      <c r="C5935" t="s">
        <v>46</v>
      </c>
      <c r="D5935" s="8"/>
      <c r="E5935" s="8"/>
      <c r="M5935" t="s">
        <v>478</v>
      </c>
      <c r="N5935" t="str">
        <f>Tabela_tudo[[#This Row],[Médico]]&amp;" ("&amp;Tabela_tudo[[#This Row],[Obs]]&amp;")"</f>
        <v>PW ()</v>
      </c>
    </row>
    <row r="5936" spans="1:14" x14ac:dyDescent="0.3">
      <c r="A5936" s="1">
        <v>44967</v>
      </c>
      <c r="B5936" t="s">
        <v>33</v>
      </c>
      <c r="C5936" t="s">
        <v>464</v>
      </c>
      <c r="D5936" s="8"/>
      <c r="E5936" s="8"/>
      <c r="M5936" t="s">
        <v>478</v>
      </c>
      <c r="N5936" t="str">
        <f>Tabela_tudo[[#This Row],[Médico]]&amp;" ("&amp;Tabela_tudo[[#This Row],[Obs]]&amp;")"</f>
        <v>DIF ()</v>
      </c>
    </row>
    <row r="5937" spans="1:14" x14ac:dyDescent="0.3">
      <c r="A5937" s="1">
        <v>45211</v>
      </c>
      <c r="B5937" t="s">
        <v>34</v>
      </c>
      <c r="C5937" t="s">
        <v>51</v>
      </c>
      <c r="D5937" s="8"/>
      <c r="E5937" s="8"/>
      <c r="M5937" t="s">
        <v>478</v>
      </c>
      <c r="N5937" t="str">
        <f>Tabela_tudo[[#This Row],[Médico]]&amp;" ("&amp;Tabela_tudo[[#This Row],[Obs]]&amp;")"</f>
        <v>LIP ()</v>
      </c>
    </row>
    <row r="5938" spans="1:14" x14ac:dyDescent="0.3">
      <c r="A5938" s="1">
        <v>44956</v>
      </c>
      <c r="B5938" t="s">
        <v>37</v>
      </c>
      <c r="C5938" t="s">
        <v>464</v>
      </c>
      <c r="D5938" s="8"/>
      <c r="E5938" s="8"/>
      <c r="M5938" t="s">
        <v>478</v>
      </c>
      <c r="N5938" t="str">
        <f>Tabela_tudo[[#This Row],[Médico]]&amp;" ("&amp;Tabela_tudo[[#This Row],[Obs]]&amp;")"</f>
        <v>EBB ()</v>
      </c>
    </row>
    <row r="5939" spans="1:14" x14ac:dyDescent="0.3">
      <c r="A5939" s="1">
        <v>45211</v>
      </c>
      <c r="B5939" t="s">
        <v>48</v>
      </c>
      <c r="C5939" t="s">
        <v>49</v>
      </c>
      <c r="D5939" s="8"/>
      <c r="E5939" s="8"/>
      <c r="M5939" t="s">
        <v>478</v>
      </c>
      <c r="N5939" t="str">
        <f>Tabela_tudo[[#This Row],[Médico]]&amp;" ("&amp;Tabela_tudo[[#This Row],[Obs]]&amp;")"</f>
        <v>MAF ()</v>
      </c>
    </row>
    <row r="5940" spans="1:14" x14ac:dyDescent="0.3">
      <c r="A5940" s="1">
        <v>44965</v>
      </c>
      <c r="B5940" t="s">
        <v>48</v>
      </c>
      <c r="C5940" t="s">
        <v>464</v>
      </c>
      <c r="D5940" s="8"/>
      <c r="E5940" s="8"/>
      <c r="M5940" t="s">
        <v>478</v>
      </c>
      <c r="N5940" t="str">
        <f>Tabela_tudo[[#This Row],[Médico]]&amp;" ("&amp;Tabela_tudo[[#This Row],[Obs]]&amp;")"</f>
        <v>MAF ()</v>
      </c>
    </row>
    <row r="5941" spans="1:14" x14ac:dyDescent="0.3">
      <c r="A5941" s="1">
        <v>45212</v>
      </c>
      <c r="B5941" t="s">
        <v>23</v>
      </c>
      <c r="C5941" t="s">
        <v>45</v>
      </c>
      <c r="D5941" s="8"/>
      <c r="E5941" s="8"/>
      <c r="M5941" t="s">
        <v>478</v>
      </c>
      <c r="N5941" t="str">
        <f>Tabela_tudo[[#This Row],[Médico]]&amp;" ("&amp;Tabela_tudo[[#This Row],[Obs]]&amp;")"</f>
        <v>BG ()</v>
      </c>
    </row>
    <row r="5942" spans="1:14" x14ac:dyDescent="0.3">
      <c r="A5942" s="1">
        <v>44966</v>
      </c>
      <c r="B5942" t="s">
        <v>48</v>
      </c>
      <c r="C5942" t="s">
        <v>464</v>
      </c>
      <c r="D5942" s="8"/>
      <c r="E5942" s="8"/>
      <c r="M5942" t="s">
        <v>478</v>
      </c>
      <c r="N5942" t="str">
        <f>Tabela_tudo[[#This Row],[Médico]]&amp;" ("&amp;Tabela_tudo[[#This Row],[Obs]]&amp;")"</f>
        <v>MAF ()</v>
      </c>
    </row>
    <row r="5943" spans="1:14" x14ac:dyDescent="0.3">
      <c r="A5943" s="1">
        <v>45212</v>
      </c>
      <c r="B5943" t="s">
        <v>37</v>
      </c>
      <c r="C5943" t="s">
        <v>43</v>
      </c>
      <c r="D5943" s="8"/>
      <c r="E5943" s="8"/>
      <c r="M5943" t="s">
        <v>478</v>
      </c>
      <c r="N5943" t="str">
        <f>Tabela_tudo[[#This Row],[Médico]]&amp;" ("&amp;Tabela_tudo[[#This Row],[Obs]]&amp;")"</f>
        <v>EBB ()</v>
      </c>
    </row>
    <row r="5944" spans="1:14" x14ac:dyDescent="0.3">
      <c r="A5944" s="1">
        <v>44963</v>
      </c>
      <c r="B5944" t="s">
        <v>48</v>
      </c>
      <c r="C5944" t="s">
        <v>464</v>
      </c>
      <c r="D5944" s="8"/>
      <c r="E5944" s="8"/>
      <c r="M5944" t="s">
        <v>478</v>
      </c>
      <c r="N5944" t="str">
        <f>Tabela_tudo[[#This Row],[Médico]]&amp;" ("&amp;Tabela_tudo[[#This Row],[Obs]]&amp;")"</f>
        <v>MAF ()</v>
      </c>
    </row>
    <row r="5945" spans="1:14" x14ac:dyDescent="0.3">
      <c r="A5945" s="1">
        <v>45212</v>
      </c>
      <c r="B5945" t="s">
        <v>47</v>
      </c>
      <c r="C5945" t="s">
        <v>18</v>
      </c>
      <c r="D5945" s="8"/>
      <c r="E5945" s="8"/>
      <c r="M5945" t="s">
        <v>478</v>
      </c>
      <c r="N5945" t="str">
        <f>Tabela_tudo[[#This Row],[Médico]]&amp;" ("&amp;Tabela_tudo[[#This Row],[Obs]]&amp;")"</f>
        <v>VIN ()</v>
      </c>
    </row>
    <row r="5946" spans="1:14" x14ac:dyDescent="0.3">
      <c r="A5946" s="1">
        <v>44964</v>
      </c>
      <c r="B5946" t="s">
        <v>48</v>
      </c>
      <c r="C5946" t="s">
        <v>464</v>
      </c>
      <c r="D5946" s="8"/>
      <c r="E5946" s="8"/>
      <c r="M5946" t="s">
        <v>478</v>
      </c>
      <c r="N5946" t="str">
        <f>Tabela_tudo[[#This Row],[Médico]]&amp;" ("&amp;Tabela_tudo[[#This Row],[Obs]]&amp;")"</f>
        <v>MAF ()</v>
      </c>
    </row>
    <row r="5947" spans="1:14" x14ac:dyDescent="0.3">
      <c r="A5947" s="1">
        <v>45212</v>
      </c>
      <c r="B5947" t="s">
        <v>21</v>
      </c>
      <c r="C5947" t="s">
        <v>46</v>
      </c>
      <c r="D5947" s="8"/>
      <c r="E5947" s="8"/>
      <c r="M5947" t="s">
        <v>478</v>
      </c>
      <c r="N5947" t="str">
        <f>Tabela_tudo[[#This Row],[Médico]]&amp;" ("&amp;Tabela_tudo[[#This Row],[Obs]]&amp;")"</f>
        <v>RA ()</v>
      </c>
    </row>
    <row r="5948" spans="1:14" x14ac:dyDescent="0.3">
      <c r="A5948" s="1">
        <v>44957</v>
      </c>
      <c r="B5948" t="s">
        <v>333</v>
      </c>
      <c r="C5948" t="s">
        <v>464</v>
      </c>
      <c r="D5948" s="8"/>
      <c r="E5948" s="8"/>
      <c r="M5948" t="s">
        <v>478</v>
      </c>
      <c r="N5948" t="str">
        <f>Tabela_tudo[[#This Row],[Médico]]&amp;" ("&amp;Tabela_tudo[[#This Row],[Obs]]&amp;")"</f>
        <v>COR ()</v>
      </c>
    </row>
    <row r="5949" spans="1:14" x14ac:dyDescent="0.3">
      <c r="A5949" s="1">
        <v>45212</v>
      </c>
      <c r="B5949" t="s">
        <v>48</v>
      </c>
      <c r="C5949" t="s">
        <v>13</v>
      </c>
      <c r="D5949" s="8"/>
      <c r="E5949" s="8"/>
      <c r="M5949" t="s">
        <v>478</v>
      </c>
      <c r="N5949" t="str">
        <f>Tabela_tudo[[#This Row],[Médico]]&amp;" ("&amp;Tabela_tudo[[#This Row],[Obs]]&amp;")"</f>
        <v>MAF ()</v>
      </c>
    </row>
    <row r="5950" spans="1:14" x14ac:dyDescent="0.3">
      <c r="A5950" s="1">
        <v>44958</v>
      </c>
      <c r="B5950" t="s">
        <v>333</v>
      </c>
      <c r="C5950" t="s">
        <v>464</v>
      </c>
      <c r="D5950" s="8"/>
      <c r="E5950" s="8"/>
      <c r="M5950" t="s">
        <v>478</v>
      </c>
      <c r="N5950" t="str">
        <f>Tabela_tudo[[#This Row],[Médico]]&amp;" ("&amp;Tabela_tudo[[#This Row],[Obs]]&amp;")"</f>
        <v>COR ()</v>
      </c>
    </row>
    <row r="5951" spans="1:14" x14ac:dyDescent="0.3">
      <c r="A5951" s="1">
        <v>45211</v>
      </c>
      <c r="B5951" t="s">
        <v>12</v>
      </c>
      <c r="D5951" s="8"/>
      <c r="E5951" s="8"/>
      <c r="F5951" t="s">
        <v>685</v>
      </c>
      <c r="M5951" t="s">
        <v>478</v>
      </c>
      <c r="N5951" t="str">
        <f>Tabela_tudo[[#This Row],[Médico]]&amp;" ("&amp;Tabela_tudo[[#This Row],[Obs]]&amp;")"</f>
        <v>EDU (SÓCIOS LIBERADOS - FERIADO ESTENDIDO)</v>
      </c>
    </row>
    <row r="5952" spans="1:14" x14ac:dyDescent="0.3">
      <c r="A5952" s="1">
        <v>44967</v>
      </c>
      <c r="B5952" t="s">
        <v>48</v>
      </c>
      <c r="C5952" t="s">
        <v>464</v>
      </c>
      <c r="D5952" s="8"/>
      <c r="E5952" s="8"/>
      <c r="M5952" t="s">
        <v>478</v>
      </c>
      <c r="N5952" t="str">
        <f>Tabela_tudo[[#This Row],[Médico]]&amp;" ("&amp;Tabela_tudo[[#This Row],[Obs]]&amp;")"</f>
        <v>MAF ()</v>
      </c>
    </row>
    <row r="5953" spans="1:14" x14ac:dyDescent="0.3">
      <c r="A5953" s="1">
        <v>45212</v>
      </c>
      <c r="B5953" t="s">
        <v>94</v>
      </c>
      <c r="C5953" t="s">
        <v>8</v>
      </c>
      <c r="D5953" s="8"/>
      <c r="E5953" s="8"/>
      <c r="M5953" t="s">
        <v>478</v>
      </c>
      <c r="N5953" t="str">
        <f>Tabela_tudo[[#This Row],[Médico]]&amp;" ("&amp;Tabela_tudo[[#This Row],[Obs]]&amp;")"</f>
        <v>TOT ()</v>
      </c>
    </row>
    <row r="5954" spans="1:14" x14ac:dyDescent="0.3">
      <c r="A5954" s="1">
        <v>44956</v>
      </c>
      <c r="B5954" t="s">
        <v>333</v>
      </c>
      <c r="C5954" t="s">
        <v>464</v>
      </c>
      <c r="D5954" s="8"/>
      <c r="E5954" s="8"/>
      <c r="M5954" t="s">
        <v>478</v>
      </c>
      <c r="N5954" t="str">
        <f>Tabela_tudo[[#This Row],[Médico]]&amp;" ("&amp;Tabela_tudo[[#This Row],[Obs]]&amp;")"</f>
        <v>COR ()</v>
      </c>
    </row>
    <row r="5955" spans="1:14" x14ac:dyDescent="0.3">
      <c r="A5955" s="1">
        <v>45212</v>
      </c>
      <c r="B5955" t="s">
        <v>33</v>
      </c>
      <c r="C5955" t="s">
        <v>15</v>
      </c>
      <c r="D5955" s="8"/>
      <c r="E5955" s="8"/>
      <c r="M5955" t="s">
        <v>478</v>
      </c>
      <c r="N5955" t="str">
        <f>Tabela_tudo[[#This Row],[Médico]]&amp;" ("&amp;Tabela_tudo[[#This Row],[Obs]]&amp;")"</f>
        <v>DIF ()</v>
      </c>
    </row>
    <row r="5956" spans="1:14" x14ac:dyDescent="0.3">
      <c r="A5956" s="1">
        <v>44957</v>
      </c>
      <c r="B5956" t="s">
        <v>48</v>
      </c>
      <c r="C5956" t="s">
        <v>464</v>
      </c>
      <c r="D5956" s="8"/>
      <c r="E5956" s="8"/>
      <c r="M5956" t="s">
        <v>478</v>
      </c>
      <c r="N5956" t="str">
        <f>Tabela_tudo[[#This Row],[Médico]]&amp;" ("&amp;Tabela_tudo[[#This Row],[Obs]]&amp;")"</f>
        <v>MAF ()</v>
      </c>
    </row>
    <row r="5957" spans="1:14" x14ac:dyDescent="0.3">
      <c r="A5957" s="1">
        <v>45202</v>
      </c>
      <c r="B5957" t="s">
        <v>16</v>
      </c>
      <c r="C5957" t="s">
        <v>46</v>
      </c>
      <c r="D5957" s="8"/>
      <c r="E5957" s="8"/>
      <c r="M5957" t="s">
        <v>478</v>
      </c>
      <c r="N5957" t="str">
        <f>Tabela_tudo[[#This Row],[Médico]]&amp;" ("&amp;Tabela_tudo[[#This Row],[Obs]]&amp;")"</f>
        <v>PP ()</v>
      </c>
    </row>
    <row r="5958" spans="1:14" x14ac:dyDescent="0.3">
      <c r="A5958" s="1">
        <v>44958</v>
      </c>
      <c r="B5958" t="s">
        <v>48</v>
      </c>
      <c r="C5958" t="s">
        <v>464</v>
      </c>
      <c r="D5958" s="8"/>
      <c r="E5958" s="8"/>
      <c r="M5958" t="s">
        <v>478</v>
      </c>
      <c r="N5958" t="str">
        <f>Tabela_tudo[[#This Row],[Médico]]&amp;" ("&amp;Tabela_tudo[[#This Row],[Obs]]&amp;")"</f>
        <v>MAF ()</v>
      </c>
    </row>
    <row r="5959" spans="1:14" x14ac:dyDescent="0.3">
      <c r="A5959" s="1">
        <v>45197</v>
      </c>
      <c r="B5959" t="s">
        <v>52</v>
      </c>
      <c r="C5959" t="s">
        <v>45</v>
      </c>
      <c r="D5959" s="8"/>
      <c r="E5959" s="8"/>
      <c r="M5959" t="s">
        <v>478</v>
      </c>
      <c r="N5959" t="str">
        <f>Tabela_tudo[[#This Row],[Médico]]&amp;" ("&amp;Tabela_tudo[[#This Row],[Obs]]&amp;")"</f>
        <v>AEL ()</v>
      </c>
    </row>
    <row r="5960" spans="1:14" x14ac:dyDescent="0.3">
      <c r="A5960" s="1">
        <v>44967</v>
      </c>
      <c r="B5960" t="s">
        <v>37</v>
      </c>
      <c r="C5960" t="s">
        <v>464</v>
      </c>
      <c r="D5960" s="8"/>
      <c r="E5960" s="8"/>
      <c r="M5960" t="s">
        <v>478</v>
      </c>
      <c r="N5960" t="str">
        <f>Tabela_tudo[[#This Row],[Médico]]&amp;" ("&amp;Tabela_tudo[[#This Row],[Obs]]&amp;")"</f>
        <v>EBB ()</v>
      </c>
    </row>
    <row r="5961" spans="1:14" x14ac:dyDescent="0.3">
      <c r="A5961" s="1">
        <v>45197</v>
      </c>
      <c r="B5961" t="s">
        <v>71</v>
      </c>
      <c r="C5961" t="s">
        <v>8</v>
      </c>
      <c r="D5961" s="8"/>
      <c r="E5961" s="8"/>
      <c r="M5961" t="s">
        <v>478</v>
      </c>
      <c r="N5961" t="str">
        <f>Tabela_tudo[[#This Row],[Médico]]&amp;" ("&amp;Tabela_tudo[[#This Row],[Obs]]&amp;")"</f>
        <v>BRU ()</v>
      </c>
    </row>
    <row r="5962" spans="1:14" x14ac:dyDescent="0.3">
      <c r="A5962" s="1">
        <v>44956</v>
      </c>
      <c r="B5962" t="s">
        <v>48</v>
      </c>
      <c r="C5962" t="s">
        <v>464</v>
      </c>
      <c r="D5962" s="8"/>
      <c r="E5962" s="8"/>
      <c r="M5962" t="s">
        <v>478</v>
      </c>
      <c r="N5962" t="str">
        <f>Tabela_tudo[[#This Row],[Médico]]&amp;" ("&amp;Tabela_tudo[[#This Row],[Obs]]&amp;")"</f>
        <v>MAF ()</v>
      </c>
    </row>
    <row r="5963" spans="1:14" x14ac:dyDescent="0.3">
      <c r="A5963" s="1">
        <v>45197</v>
      </c>
      <c r="B5963" t="s">
        <v>94</v>
      </c>
      <c r="C5963" t="s">
        <v>18</v>
      </c>
      <c r="D5963" s="8"/>
      <c r="E5963" s="8"/>
      <c r="M5963" t="s">
        <v>478</v>
      </c>
      <c r="N5963" t="str">
        <f>Tabela_tudo[[#This Row],[Médico]]&amp;" ("&amp;Tabela_tudo[[#This Row],[Obs]]&amp;")"</f>
        <v>TOT ()</v>
      </c>
    </row>
    <row r="5964" spans="1:14" x14ac:dyDescent="0.3">
      <c r="A5964" s="1">
        <v>44961</v>
      </c>
      <c r="B5964" t="s">
        <v>48</v>
      </c>
      <c r="C5964" t="s">
        <v>464</v>
      </c>
      <c r="D5964" s="8"/>
      <c r="E5964" s="8"/>
      <c r="M5964" t="s">
        <v>478</v>
      </c>
      <c r="N5964" t="str">
        <f>Tabela_tudo[[#This Row],[Médico]]&amp;" ("&amp;Tabela_tudo[[#This Row],[Obs]]&amp;")"</f>
        <v>MAF ()</v>
      </c>
    </row>
    <row r="5965" spans="1:14" x14ac:dyDescent="0.3">
      <c r="A5965" s="1">
        <v>45197</v>
      </c>
      <c r="B5965" t="s">
        <v>14</v>
      </c>
      <c r="C5965" t="s">
        <v>46</v>
      </c>
      <c r="D5965" s="8"/>
      <c r="E5965" s="8"/>
      <c r="M5965" t="s">
        <v>478</v>
      </c>
      <c r="N5965" t="str">
        <f>Tabela_tudo[[#This Row],[Médico]]&amp;" ("&amp;Tabela_tudo[[#This Row],[Obs]]&amp;")"</f>
        <v>PW ()</v>
      </c>
    </row>
    <row r="5966" spans="1:14" x14ac:dyDescent="0.3">
      <c r="A5966" s="1">
        <v>44962</v>
      </c>
      <c r="B5966" t="s">
        <v>48</v>
      </c>
      <c r="C5966" t="s">
        <v>464</v>
      </c>
      <c r="D5966" s="8"/>
      <c r="E5966" s="8"/>
      <c r="M5966" t="s">
        <v>478</v>
      </c>
      <c r="N5966" t="str">
        <f>Tabela_tudo[[#This Row],[Médico]]&amp;" ("&amp;Tabela_tudo[[#This Row],[Obs]]&amp;")"</f>
        <v>MAF ()</v>
      </c>
    </row>
    <row r="5967" spans="1:14" x14ac:dyDescent="0.3">
      <c r="A5967" s="1">
        <v>45196</v>
      </c>
      <c r="B5967" t="s">
        <v>29</v>
      </c>
      <c r="C5967" t="s">
        <v>43</v>
      </c>
      <c r="D5967" s="8"/>
      <c r="E5967" s="8"/>
      <c r="M5967" t="s">
        <v>478</v>
      </c>
      <c r="N5967" t="str">
        <f>Tabela_tudo[[#This Row],[Médico]]&amp;" ("&amp;Tabela_tudo[[#This Row],[Obs]]&amp;")"</f>
        <v>JOA ()</v>
      </c>
    </row>
    <row r="5968" spans="1:14" x14ac:dyDescent="0.3">
      <c r="A5968" s="1">
        <v>44959</v>
      </c>
      <c r="B5968" t="s">
        <v>48</v>
      </c>
      <c r="C5968" t="s">
        <v>464</v>
      </c>
      <c r="D5968" s="8"/>
      <c r="E5968" s="8"/>
      <c r="M5968" t="s">
        <v>478</v>
      </c>
      <c r="N5968" t="str">
        <f>Tabela_tudo[[#This Row],[Médico]]&amp;" ("&amp;Tabela_tudo[[#This Row],[Obs]]&amp;")"</f>
        <v>MAF ()</v>
      </c>
    </row>
    <row r="5969" spans="1:14" x14ac:dyDescent="0.3">
      <c r="A5969" s="1">
        <v>45196</v>
      </c>
      <c r="B5969" t="s">
        <v>73</v>
      </c>
      <c r="C5969" t="s">
        <v>51</v>
      </c>
      <c r="D5969" s="8"/>
      <c r="E5969" s="8"/>
      <c r="M5969" t="s">
        <v>478</v>
      </c>
      <c r="N5969" t="str">
        <f>Tabela_tudo[[#This Row],[Médico]]&amp;" ("&amp;Tabela_tudo[[#This Row],[Obs]]&amp;")"</f>
        <v>RT ()</v>
      </c>
    </row>
    <row r="5970" spans="1:14" x14ac:dyDescent="0.3">
      <c r="A5970" s="1">
        <v>44960</v>
      </c>
      <c r="B5970" t="s">
        <v>48</v>
      </c>
      <c r="C5970" t="s">
        <v>464</v>
      </c>
      <c r="D5970" s="8"/>
      <c r="E5970" s="8"/>
      <c r="M5970" t="s">
        <v>478</v>
      </c>
      <c r="N5970" t="str">
        <f>Tabela_tudo[[#This Row],[Médico]]&amp;" ("&amp;Tabela_tudo[[#This Row],[Obs]]&amp;")"</f>
        <v>MAF ()</v>
      </c>
    </row>
    <row r="5971" spans="1:14" x14ac:dyDescent="0.3">
      <c r="A5971" s="1">
        <v>45197</v>
      </c>
      <c r="B5971" t="s">
        <v>73</v>
      </c>
      <c r="C5971" t="s">
        <v>15</v>
      </c>
      <c r="D5971" s="8"/>
      <c r="E5971" s="8"/>
      <c r="M5971" t="s">
        <v>478</v>
      </c>
      <c r="N5971" t="str">
        <f>Tabela_tudo[[#This Row],[Médico]]&amp;" ("&amp;Tabela_tudo[[#This Row],[Obs]]&amp;")"</f>
        <v>RT ()</v>
      </c>
    </row>
    <row r="5972" spans="1:14" x14ac:dyDescent="0.3">
      <c r="A5972" s="1">
        <v>45084</v>
      </c>
      <c r="B5972" t="s">
        <v>33</v>
      </c>
      <c r="C5972" t="s">
        <v>464</v>
      </c>
      <c r="D5972" s="8"/>
      <c r="E5972" s="8"/>
      <c r="M5972" t="s">
        <v>478</v>
      </c>
      <c r="N5972" t="str">
        <f>Tabela_tudo[[#This Row],[Médico]]&amp;" ("&amp;Tabela_tudo[[#This Row],[Obs]]&amp;")"</f>
        <v>DIF ()</v>
      </c>
    </row>
    <row r="5973" spans="1:14" x14ac:dyDescent="0.3">
      <c r="A5973" s="1">
        <v>45197</v>
      </c>
      <c r="B5973" t="s">
        <v>32</v>
      </c>
      <c r="C5973" t="s">
        <v>13</v>
      </c>
      <c r="D5973" s="8"/>
      <c r="E5973" s="8"/>
      <c r="M5973" t="s">
        <v>478</v>
      </c>
      <c r="N5973" t="str">
        <f>Tabela_tudo[[#This Row],[Médico]]&amp;" ("&amp;Tabela_tudo[[#This Row],[Obs]]&amp;")"</f>
        <v>JS ()</v>
      </c>
    </row>
    <row r="5974" spans="1:14" x14ac:dyDescent="0.3">
      <c r="A5974" s="1">
        <v>45083</v>
      </c>
      <c r="B5974" t="s">
        <v>33</v>
      </c>
      <c r="C5974" t="s">
        <v>464</v>
      </c>
      <c r="D5974" s="8"/>
      <c r="E5974" s="8"/>
      <c r="M5974" t="s">
        <v>478</v>
      </c>
      <c r="N5974" t="str">
        <f>Tabela_tudo[[#This Row],[Médico]]&amp;" ("&amp;Tabela_tudo[[#This Row],[Obs]]&amp;")"</f>
        <v>DIF ()</v>
      </c>
    </row>
    <row r="5975" spans="1:14" x14ac:dyDescent="0.3">
      <c r="A5975" s="1">
        <v>45198</v>
      </c>
      <c r="B5975" t="s">
        <v>29</v>
      </c>
      <c r="C5975" t="s">
        <v>8</v>
      </c>
      <c r="D5975" s="8"/>
      <c r="E5975" s="8"/>
      <c r="M5975" t="s">
        <v>478</v>
      </c>
      <c r="N5975" t="str">
        <f>Tabela_tudo[[#This Row],[Médico]]&amp;" ("&amp;Tabela_tudo[[#This Row],[Obs]]&amp;")"</f>
        <v>JOA ()</v>
      </c>
    </row>
    <row r="5976" spans="1:14" x14ac:dyDescent="0.3">
      <c r="A5976" s="1">
        <v>45086</v>
      </c>
      <c r="B5976" t="s">
        <v>33</v>
      </c>
      <c r="C5976" t="s">
        <v>464</v>
      </c>
      <c r="D5976" s="8"/>
      <c r="E5976" s="8"/>
      <c r="M5976" t="s">
        <v>478</v>
      </c>
      <c r="N5976" t="str">
        <f>Tabela_tudo[[#This Row],[Médico]]&amp;" ("&amp;Tabela_tudo[[#This Row],[Obs]]&amp;")"</f>
        <v>DIF ()</v>
      </c>
    </row>
    <row r="5977" spans="1:14" x14ac:dyDescent="0.3">
      <c r="A5977" s="1">
        <v>45198</v>
      </c>
      <c r="B5977" t="s">
        <v>85</v>
      </c>
      <c r="C5977" t="s">
        <v>15</v>
      </c>
      <c r="D5977" s="8"/>
      <c r="E5977" s="8"/>
      <c r="M5977" t="s">
        <v>478</v>
      </c>
      <c r="N5977" t="str">
        <f>Tabela_tudo[[#This Row],[Médico]]&amp;" ("&amp;Tabela_tudo[[#This Row],[Obs]]&amp;")"</f>
        <v>ELF ()</v>
      </c>
    </row>
    <row r="5978" spans="1:14" x14ac:dyDescent="0.3">
      <c r="A5978" s="1">
        <v>45085</v>
      </c>
      <c r="B5978" t="s">
        <v>33</v>
      </c>
      <c r="C5978" t="s">
        <v>464</v>
      </c>
      <c r="D5978" s="8"/>
      <c r="E5978" s="8"/>
      <c r="M5978" t="s">
        <v>478</v>
      </c>
      <c r="N5978" t="str">
        <f>Tabela_tudo[[#This Row],[Médico]]&amp;" ("&amp;Tabela_tudo[[#This Row],[Obs]]&amp;")"</f>
        <v>DIF ()</v>
      </c>
    </row>
    <row r="5979" spans="1:14" x14ac:dyDescent="0.3">
      <c r="A5979" s="1">
        <v>45198</v>
      </c>
      <c r="B5979" t="s">
        <v>68</v>
      </c>
      <c r="C5979" t="s">
        <v>46</v>
      </c>
      <c r="D5979" s="8"/>
      <c r="E5979" s="8"/>
      <c r="M5979" t="s">
        <v>478</v>
      </c>
      <c r="N5979" t="str">
        <f>Tabela_tudo[[#This Row],[Médico]]&amp;" ("&amp;Tabela_tudo[[#This Row],[Obs]]&amp;")"</f>
        <v>PED ()</v>
      </c>
    </row>
    <row r="5980" spans="1:14" x14ac:dyDescent="0.3">
      <c r="A5980" s="1">
        <v>45082</v>
      </c>
      <c r="B5980" t="s">
        <v>33</v>
      </c>
      <c r="C5980" t="s">
        <v>464</v>
      </c>
      <c r="D5980" s="8"/>
      <c r="E5980" s="8"/>
      <c r="M5980" t="s">
        <v>478</v>
      </c>
      <c r="N5980" t="str">
        <f>Tabela_tudo[[#This Row],[Médico]]&amp;" ("&amp;Tabela_tudo[[#This Row],[Obs]]&amp;")"</f>
        <v>DIF ()</v>
      </c>
    </row>
    <row r="5981" spans="1:14" x14ac:dyDescent="0.3">
      <c r="A5981" s="1">
        <v>45198</v>
      </c>
      <c r="B5981" t="s">
        <v>52</v>
      </c>
      <c r="C5981" t="s">
        <v>45</v>
      </c>
      <c r="D5981" s="8"/>
      <c r="E5981" s="8"/>
      <c r="M5981" t="s">
        <v>478</v>
      </c>
      <c r="N5981" t="str">
        <f>Tabela_tudo[[#This Row],[Médico]]&amp;" ("&amp;Tabela_tudo[[#This Row],[Obs]]&amp;")"</f>
        <v>AEL ()</v>
      </c>
    </row>
    <row r="5982" spans="1:14" x14ac:dyDescent="0.3">
      <c r="A5982" s="1">
        <v>45079</v>
      </c>
      <c r="B5982" t="s">
        <v>33</v>
      </c>
      <c r="C5982" t="s">
        <v>464</v>
      </c>
      <c r="D5982" s="8"/>
      <c r="E5982" s="8"/>
      <c r="M5982" t="s">
        <v>478</v>
      </c>
      <c r="N5982" t="str">
        <f>Tabela_tudo[[#This Row],[Médico]]&amp;" ("&amp;Tabela_tudo[[#This Row],[Obs]]&amp;")"</f>
        <v>DIF ()</v>
      </c>
    </row>
    <row r="5983" spans="1:14" x14ac:dyDescent="0.3">
      <c r="A5983" s="1">
        <v>45197</v>
      </c>
      <c r="B5983" t="s">
        <v>34</v>
      </c>
      <c r="C5983" t="s">
        <v>51</v>
      </c>
      <c r="D5983" s="8"/>
      <c r="E5983" s="8"/>
      <c r="M5983" t="s">
        <v>478</v>
      </c>
      <c r="N5983" t="str">
        <f>Tabela_tudo[[#This Row],[Médico]]&amp;" ("&amp;Tabela_tudo[[#This Row],[Obs]]&amp;")"</f>
        <v>LIP ()</v>
      </c>
    </row>
    <row r="5984" spans="1:14" x14ac:dyDescent="0.3">
      <c r="A5984" s="1">
        <v>45078</v>
      </c>
      <c r="B5984" t="s">
        <v>33</v>
      </c>
      <c r="C5984" t="s">
        <v>464</v>
      </c>
      <c r="D5984" s="8"/>
      <c r="E5984" s="8"/>
      <c r="M5984" t="s">
        <v>478</v>
      </c>
      <c r="N5984" t="str">
        <f>Tabela_tudo[[#This Row],[Médico]]&amp;" ("&amp;Tabela_tudo[[#This Row],[Obs]]&amp;")"</f>
        <v>DIF ()</v>
      </c>
    </row>
    <row r="5985" spans="1:14" x14ac:dyDescent="0.3">
      <c r="A5985" s="1">
        <v>45197</v>
      </c>
      <c r="B5985" t="s">
        <v>85</v>
      </c>
      <c r="C5985" t="s">
        <v>49</v>
      </c>
      <c r="D5985" s="8"/>
      <c r="E5985" s="8"/>
      <c r="M5985" t="s">
        <v>478</v>
      </c>
      <c r="N5985" t="str">
        <f>Tabela_tudo[[#This Row],[Médico]]&amp;" ("&amp;Tabela_tudo[[#This Row],[Obs]]&amp;")"</f>
        <v>ELF ()</v>
      </c>
    </row>
    <row r="5986" spans="1:14" x14ac:dyDescent="0.3">
      <c r="A5986" s="1">
        <v>45081</v>
      </c>
      <c r="B5986" t="s">
        <v>33</v>
      </c>
      <c r="C5986" t="s">
        <v>464</v>
      </c>
      <c r="D5986" s="8"/>
      <c r="E5986" s="8"/>
      <c r="M5986" t="s">
        <v>478</v>
      </c>
      <c r="N5986" t="str">
        <f>Tabela_tudo[[#This Row],[Médico]]&amp;" ("&amp;Tabela_tudo[[#This Row],[Obs]]&amp;")"</f>
        <v>DIF ()</v>
      </c>
    </row>
    <row r="5987" spans="1:14" x14ac:dyDescent="0.3">
      <c r="A5987" s="1">
        <v>45198</v>
      </c>
      <c r="B5987" t="s">
        <v>33</v>
      </c>
      <c r="C5987" t="s">
        <v>13</v>
      </c>
      <c r="D5987" s="8"/>
      <c r="E5987" s="8"/>
      <c r="M5987" t="s">
        <v>478</v>
      </c>
      <c r="N5987" t="str">
        <f>Tabela_tudo[[#This Row],[Médico]]&amp;" ("&amp;Tabela_tudo[[#This Row],[Obs]]&amp;")"</f>
        <v>DIF ()</v>
      </c>
    </row>
    <row r="5988" spans="1:14" x14ac:dyDescent="0.3">
      <c r="A5988" s="1">
        <v>45080</v>
      </c>
      <c r="B5988" t="s">
        <v>33</v>
      </c>
      <c r="C5988" t="s">
        <v>464</v>
      </c>
      <c r="D5988" s="8"/>
      <c r="E5988" s="8"/>
      <c r="M5988" t="s">
        <v>478</v>
      </c>
      <c r="N5988" t="str">
        <f>Tabela_tudo[[#This Row],[Médico]]&amp;" ("&amp;Tabela_tudo[[#This Row],[Obs]]&amp;")"</f>
        <v>DIF ()</v>
      </c>
    </row>
    <row r="5989" spans="1:14" x14ac:dyDescent="0.3">
      <c r="A5989" s="1">
        <v>45197</v>
      </c>
      <c r="B5989" t="s">
        <v>37</v>
      </c>
      <c r="C5989" t="s">
        <v>43</v>
      </c>
      <c r="D5989" s="8"/>
      <c r="E5989" s="8"/>
      <c r="M5989" t="s">
        <v>478</v>
      </c>
      <c r="N5989" t="str">
        <f>Tabela_tudo[[#This Row],[Médico]]&amp;" ("&amp;Tabela_tudo[[#This Row],[Obs]]&amp;")"</f>
        <v>EBB ()</v>
      </c>
    </row>
    <row r="5990" spans="1:14" x14ac:dyDescent="0.3">
      <c r="A5990" s="1">
        <v>45051</v>
      </c>
      <c r="B5990" t="s">
        <v>23</v>
      </c>
      <c r="C5990" t="s">
        <v>464</v>
      </c>
      <c r="D5990" s="8"/>
      <c r="E5990" s="8"/>
      <c r="M5990" t="s">
        <v>478</v>
      </c>
      <c r="N5990" t="str">
        <f>Tabela_tudo[[#This Row],[Médico]]&amp;" ("&amp;Tabela_tudo[[#This Row],[Obs]]&amp;")"</f>
        <v>BG ()</v>
      </c>
    </row>
    <row r="5991" spans="1:14" x14ac:dyDescent="0.3">
      <c r="A5991" s="1">
        <v>45196</v>
      </c>
      <c r="B5991" t="s">
        <v>85</v>
      </c>
      <c r="C5991" t="s">
        <v>49</v>
      </c>
      <c r="D5991" s="8"/>
      <c r="E5991" s="8"/>
      <c r="M5991" t="s">
        <v>478</v>
      </c>
      <c r="N5991" t="str">
        <f>Tabela_tudo[[#This Row],[Médico]]&amp;" ("&amp;Tabela_tudo[[#This Row],[Obs]]&amp;")"</f>
        <v>ELF ()</v>
      </c>
    </row>
    <row r="5992" spans="1:14" x14ac:dyDescent="0.3">
      <c r="A5992" s="1">
        <v>45092</v>
      </c>
      <c r="B5992" t="s">
        <v>33</v>
      </c>
      <c r="C5992" t="s">
        <v>464</v>
      </c>
      <c r="D5992" s="8"/>
      <c r="E5992" s="8"/>
      <c r="M5992" t="s">
        <v>478</v>
      </c>
      <c r="N5992" t="str">
        <f>Tabela_tudo[[#This Row],[Médico]]&amp;" ("&amp;Tabela_tudo[[#This Row],[Obs]]&amp;")"</f>
        <v>DIF ()</v>
      </c>
    </row>
    <row r="5993" spans="1:14" x14ac:dyDescent="0.3">
      <c r="A5993" s="1">
        <v>45195</v>
      </c>
      <c r="B5993" t="s">
        <v>16</v>
      </c>
      <c r="C5993" t="s">
        <v>46</v>
      </c>
      <c r="D5993" s="8"/>
      <c r="E5993" s="8"/>
      <c r="M5993" t="s">
        <v>478</v>
      </c>
      <c r="N5993" t="str">
        <f>Tabela_tudo[[#This Row],[Médico]]&amp;" ("&amp;Tabela_tudo[[#This Row],[Obs]]&amp;")"</f>
        <v>PP ()</v>
      </c>
    </row>
    <row r="5994" spans="1:14" x14ac:dyDescent="0.3">
      <c r="A5994" s="1">
        <v>45049</v>
      </c>
      <c r="B5994" t="s">
        <v>23</v>
      </c>
      <c r="C5994" t="s">
        <v>464</v>
      </c>
      <c r="D5994" s="8"/>
      <c r="E5994" s="8"/>
      <c r="M5994" t="s">
        <v>478</v>
      </c>
      <c r="N5994" t="str">
        <f>Tabela_tudo[[#This Row],[Médico]]&amp;" ("&amp;Tabela_tudo[[#This Row],[Obs]]&amp;")"</f>
        <v>BG ()</v>
      </c>
    </row>
    <row r="5995" spans="1:14" x14ac:dyDescent="0.3">
      <c r="A5995" s="1">
        <v>45195</v>
      </c>
      <c r="B5995" t="s">
        <v>23</v>
      </c>
      <c r="C5995" t="s">
        <v>45</v>
      </c>
      <c r="D5995" s="8"/>
      <c r="E5995" s="8"/>
      <c r="M5995" t="s">
        <v>478</v>
      </c>
      <c r="N5995" t="str">
        <f>Tabela_tudo[[#This Row],[Médico]]&amp;" ("&amp;Tabela_tudo[[#This Row],[Obs]]&amp;")"</f>
        <v>BG ()</v>
      </c>
    </row>
    <row r="5996" spans="1:14" x14ac:dyDescent="0.3">
      <c r="A5996" s="1">
        <v>45050</v>
      </c>
      <c r="B5996" t="s">
        <v>23</v>
      </c>
      <c r="C5996" t="s">
        <v>464</v>
      </c>
      <c r="D5996" s="8"/>
      <c r="E5996" s="8"/>
      <c r="M5996" t="s">
        <v>478</v>
      </c>
      <c r="N5996" t="str">
        <f>Tabela_tudo[[#This Row],[Médico]]&amp;" ("&amp;Tabela_tudo[[#This Row],[Obs]]&amp;")"</f>
        <v>BG ()</v>
      </c>
    </row>
    <row r="5997" spans="1:14" x14ac:dyDescent="0.3">
      <c r="A5997" s="1">
        <v>45195</v>
      </c>
      <c r="B5997" t="s">
        <v>85</v>
      </c>
      <c r="C5997" t="s">
        <v>49</v>
      </c>
      <c r="D5997" s="8"/>
      <c r="E5997" s="8"/>
      <c r="M5997" t="s">
        <v>478</v>
      </c>
      <c r="N5997" t="str">
        <f>Tabela_tudo[[#This Row],[Médico]]&amp;" ("&amp;Tabela_tudo[[#This Row],[Obs]]&amp;")"</f>
        <v>ELF ()</v>
      </c>
    </row>
    <row r="5998" spans="1:14" x14ac:dyDescent="0.3">
      <c r="A5998" s="1">
        <v>45091</v>
      </c>
      <c r="B5998" t="s">
        <v>33</v>
      </c>
      <c r="C5998" t="s">
        <v>464</v>
      </c>
      <c r="D5998" s="8"/>
      <c r="E5998" s="8"/>
      <c r="M5998" t="s">
        <v>478</v>
      </c>
      <c r="N5998" t="str">
        <f>Tabela_tudo[[#This Row],[Médico]]&amp;" ("&amp;Tabela_tudo[[#This Row],[Obs]]&amp;")"</f>
        <v>DIF ()</v>
      </c>
    </row>
    <row r="5999" spans="1:14" x14ac:dyDescent="0.3">
      <c r="A5999" s="1">
        <v>45195</v>
      </c>
      <c r="B5999" t="s">
        <v>63</v>
      </c>
      <c r="C5999" t="s">
        <v>18</v>
      </c>
      <c r="D5999" s="8"/>
      <c r="E5999" s="8"/>
      <c r="M5999" t="s">
        <v>478</v>
      </c>
      <c r="N5999" t="str">
        <f>Tabela_tudo[[#This Row],[Médico]]&amp;" ("&amp;Tabela_tudo[[#This Row],[Obs]]&amp;")"</f>
        <v>FQ ()</v>
      </c>
    </row>
    <row r="6000" spans="1:14" x14ac:dyDescent="0.3">
      <c r="A6000" s="1">
        <v>45088</v>
      </c>
      <c r="B6000" t="s">
        <v>33</v>
      </c>
      <c r="C6000" t="s">
        <v>464</v>
      </c>
      <c r="D6000" s="8"/>
      <c r="E6000" s="8"/>
      <c r="M6000" t="s">
        <v>478</v>
      </c>
      <c r="N6000" t="str">
        <f>Tabela_tudo[[#This Row],[Médico]]&amp;" ("&amp;Tabela_tudo[[#This Row],[Obs]]&amp;")"</f>
        <v>DIF ()</v>
      </c>
    </row>
    <row r="6001" spans="1:14" x14ac:dyDescent="0.3">
      <c r="A6001" s="1">
        <v>45195</v>
      </c>
      <c r="B6001" t="s">
        <v>48</v>
      </c>
      <c r="C6001" t="s">
        <v>13</v>
      </c>
      <c r="D6001" s="8"/>
      <c r="E6001" s="8"/>
      <c r="M6001" t="s">
        <v>478</v>
      </c>
      <c r="N6001" t="str">
        <f>Tabela_tudo[[#This Row],[Médico]]&amp;" ("&amp;Tabela_tudo[[#This Row],[Obs]]&amp;")"</f>
        <v>MAF ()</v>
      </c>
    </row>
    <row r="6002" spans="1:14" x14ac:dyDescent="0.3">
      <c r="A6002" s="1">
        <v>45087</v>
      </c>
      <c r="B6002" t="s">
        <v>33</v>
      </c>
      <c r="C6002" t="s">
        <v>464</v>
      </c>
      <c r="D6002" s="8"/>
      <c r="E6002" s="8"/>
      <c r="M6002" t="s">
        <v>478</v>
      </c>
      <c r="N6002" t="str">
        <f>Tabela_tudo[[#This Row],[Médico]]&amp;" ("&amp;Tabela_tudo[[#This Row],[Obs]]&amp;")"</f>
        <v>DIF ()</v>
      </c>
    </row>
    <row r="6003" spans="1:14" x14ac:dyDescent="0.3">
      <c r="A6003" s="1">
        <v>45194</v>
      </c>
      <c r="B6003" t="s">
        <v>85</v>
      </c>
      <c r="C6003" t="s">
        <v>30</v>
      </c>
      <c r="D6003" s="8"/>
      <c r="E6003" s="8"/>
      <c r="M6003" t="s">
        <v>478</v>
      </c>
      <c r="N6003" t="str">
        <f>Tabela_tudo[[#This Row],[Médico]]&amp;" ("&amp;Tabela_tudo[[#This Row],[Obs]]&amp;")"</f>
        <v>ELF ()</v>
      </c>
    </row>
    <row r="6004" spans="1:14" x14ac:dyDescent="0.3">
      <c r="A6004" s="1">
        <v>45090</v>
      </c>
      <c r="B6004" t="s">
        <v>33</v>
      </c>
      <c r="C6004" t="s">
        <v>464</v>
      </c>
      <c r="D6004" s="8"/>
      <c r="E6004" s="8"/>
      <c r="M6004" t="s">
        <v>478</v>
      </c>
      <c r="N6004" t="str">
        <f>Tabela_tudo[[#This Row],[Médico]]&amp;" ("&amp;Tabela_tudo[[#This Row],[Obs]]&amp;")"</f>
        <v>DIF ()</v>
      </c>
    </row>
    <row r="6005" spans="1:14" x14ac:dyDescent="0.3">
      <c r="A6005" s="1">
        <v>45195</v>
      </c>
      <c r="B6005" t="s">
        <v>68</v>
      </c>
      <c r="C6005" t="s">
        <v>8</v>
      </c>
      <c r="D6005" s="8"/>
      <c r="E6005" s="8"/>
      <c r="M6005" t="s">
        <v>478</v>
      </c>
      <c r="N6005" t="str">
        <f>Tabela_tudo[[#This Row],[Médico]]&amp;" ("&amp;Tabela_tudo[[#This Row],[Obs]]&amp;")"</f>
        <v>PED ()</v>
      </c>
    </row>
    <row r="6006" spans="1:14" x14ac:dyDescent="0.3">
      <c r="A6006" s="1">
        <v>45089</v>
      </c>
      <c r="B6006" t="s">
        <v>33</v>
      </c>
      <c r="C6006" t="s">
        <v>464</v>
      </c>
      <c r="D6006" s="8"/>
      <c r="E6006" s="8"/>
      <c r="M6006" t="s">
        <v>478</v>
      </c>
      <c r="N6006" t="str">
        <f>Tabela_tudo[[#This Row],[Médico]]&amp;" ("&amp;Tabela_tudo[[#This Row],[Obs]]&amp;")"</f>
        <v>DIF ()</v>
      </c>
    </row>
    <row r="6007" spans="1:14" x14ac:dyDescent="0.3">
      <c r="A6007" s="1">
        <v>45195</v>
      </c>
      <c r="B6007" t="s">
        <v>52</v>
      </c>
      <c r="C6007" t="s">
        <v>15</v>
      </c>
      <c r="D6007" s="8"/>
      <c r="E6007" s="8"/>
      <c r="M6007" t="s">
        <v>478</v>
      </c>
      <c r="N6007" t="str">
        <f>Tabela_tudo[[#This Row],[Médico]]&amp;" ("&amp;Tabela_tudo[[#This Row],[Obs]]&amp;")"</f>
        <v>AEL ()</v>
      </c>
    </row>
    <row r="6008" spans="1:14" x14ac:dyDescent="0.3">
      <c r="A6008" s="1">
        <v>45077</v>
      </c>
      <c r="B6008" t="s">
        <v>33</v>
      </c>
      <c r="C6008" t="s">
        <v>464</v>
      </c>
      <c r="D6008" s="8"/>
      <c r="E6008" s="8"/>
      <c r="M6008" t="s">
        <v>478</v>
      </c>
      <c r="N6008" t="str">
        <f>Tabela_tudo[[#This Row],[Médico]]&amp;" ("&amp;Tabela_tudo[[#This Row],[Obs]]&amp;")"</f>
        <v>DIF ()</v>
      </c>
    </row>
    <row r="6009" spans="1:14" x14ac:dyDescent="0.3">
      <c r="A6009" s="1">
        <v>45196</v>
      </c>
      <c r="B6009" t="s">
        <v>66</v>
      </c>
      <c r="C6009" t="s">
        <v>45</v>
      </c>
      <c r="D6009" s="8"/>
      <c r="E6009" s="8"/>
      <c r="M6009" t="s">
        <v>478</v>
      </c>
      <c r="N6009" t="str">
        <f>Tabela_tudo[[#This Row],[Médico]]&amp;" ("&amp;Tabela_tudo[[#This Row],[Obs]]&amp;")"</f>
        <v>MOZ ()</v>
      </c>
    </row>
    <row r="6010" spans="1:14" x14ac:dyDescent="0.3">
      <c r="A6010" s="1">
        <v>45077</v>
      </c>
      <c r="B6010" t="s">
        <v>142</v>
      </c>
      <c r="C6010" t="s">
        <v>464</v>
      </c>
      <c r="D6010" s="8"/>
      <c r="E6010" s="8"/>
      <c r="M6010" t="s">
        <v>478</v>
      </c>
      <c r="N6010" t="str">
        <f>Tabela_tudo[[#This Row],[Médico]]&amp;" ("&amp;Tabela_tudo[[#This Row],[Obs]]&amp;")"</f>
        <v>VIV ()</v>
      </c>
    </row>
    <row r="6011" spans="1:14" x14ac:dyDescent="0.3">
      <c r="A6011" s="1">
        <v>45196</v>
      </c>
      <c r="B6011" t="s">
        <v>33</v>
      </c>
      <c r="C6011" t="s">
        <v>8</v>
      </c>
      <c r="D6011" s="8"/>
      <c r="E6011" s="8"/>
      <c r="M6011" t="s">
        <v>478</v>
      </c>
      <c r="N6011" t="str">
        <f>Tabela_tudo[[#This Row],[Médico]]&amp;" ("&amp;Tabela_tudo[[#This Row],[Obs]]&amp;")"</f>
        <v>DIF ()</v>
      </c>
    </row>
    <row r="6012" spans="1:14" x14ac:dyDescent="0.3">
      <c r="A6012" s="1">
        <v>45076</v>
      </c>
      <c r="B6012" t="s">
        <v>142</v>
      </c>
      <c r="C6012" t="s">
        <v>464</v>
      </c>
      <c r="D6012" s="8"/>
      <c r="E6012" s="8"/>
      <c r="M6012" t="s">
        <v>478</v>
      </c>
      <c r="N6012" t="str">
        <f>Tabela_tudo[[#This Row],[Médico]]&amp;" ("&amp;Tabela_tudo[[#This Row],[Obs]]&amp;")"</f>
        <v>VIV ()</v>
      </c>
    </row>
    <row r="6013" spans="1:14" x14ac:dyDescent="0.3">
      <c r="A6013" s="1">
        <v>45196</v>
      </c>
      <c r="B6013" t="s">
        <v>47</v>
      </c>
      <c r="C6013" t="s">
        <v>18</v>
      </c>
      <c r="D6013" s="8"/>
      <c r="E6013" s="8"/>
      <c r="M6013" t="s">
        <v>478</v>
      </c>
      <c r="N6013" t="str">
        <f>Tabela_tudo[[#This Row],[Médico]]&amp;" ("&amp;Tabela_tudo[[#This Row],[Obs]]&amp;")"</f>
        <v>VIN ()</v>
      </c>
    </row>
    <row r="6014" spans="1:14" x14ac:dyDescent="0.3">
      <c r="A6014" s="1">
        <v>45079</v>
      </c>
      <c r="B6014" t="s">
        <v>142</v>
      </c>
      <c r="C6014" t="s">
        <v>464</v>
      </c>
      <c r="D6014" s="8"/>
      <c r="E6014" s="8"/>
      <c r="M6014" t="s">
        <v>478</v>
      </c>
      <c r="N6014" t="str">
        <f>Tabela_tudo[[#This Row],[Médico]]&amp;" ("&amp;Tabela_tudo[[#This Row],[Obs]]&amp;")"</f>
        <v>VIV ()</v>
      </c>
    </row>
    <row r="6015" spans="1:14" x14ac:dyDescent="0.3">
      <c r="A6015" s="1">
        <v>45196</v>
      </c>
      <c r="B6015" t="s">
        <v>68</v>
      </c>
      <c r="C6015" t="s">
        <v>46</v>
      </c>
      <c r="D6015" s="8"/>
      <c r="E6015" s="8"/>
      <c r="M6015" t="s">
        <v>478</v>
      </c>
      <c r="N6015" t="str">
        <f>Tabela_tudo[[#This Row],[Médico]]&amp;" ("&amp;Tabela_tudo[[#This Row],[Obs]]&amp;")"</f>
        <v>PED ()</v>
      </c>
    </row>
    <row r="6016" spans="1:14" x14ac:dyDescent="0.3">
      <c r="A6016" s="1">
        <v>45078</v>
      </c>
      <c r="B6016" t="s">
        <v>142</v>
      </c>
      <c r="C6016" t="s">
        <v>464</v>
      </c>
      <c r="D6016" s="8"/>
      <c r="E6016" s="8"/>
      <c r="M6016" t="s">
        <v>478</v>
      </c>
      <c r="N6016" t="str">
        <f>Tabela_tudo[[#This Row],[Médico]]&amp;" ("&amp;Tabela_tudo[[#This Row],[Obs]]&amp;")"</f>
        <v>VIV ()</v>
      </c>
    </row>
    <row r="6017" spans="1:14" x14ac:dyDescent="0.3">
      <c r="A6017" s="1">
        <v>45195</v>
      </c>
      <c r="B6017" t="s">
        <v>12</v>
      </c>
      <c r="C6017" t="s">
        <v>43</v>
      </c>
      <c r="D6017" s="8"/>
      <c r="E6017" s="8"/>
      <c r="M6017" t="s">
        <v>478</v>
      </c>
      <c r="N6017" t="str">
        <f>Tabela_tudo[[#This Row],[Médico]]&amp;" ("&amp;Tabela_tudo[[#This Row],[Obs]]&amp;")"</f>
        <v>EDU ()</v>
      </c>
    </row>
    <row r="6018" spans="1:14" x14ac:dyDescent="0.3">
      <c r="A6018" s="1">
        <v>45075</v>
      </c>
      <c r="B6018" t="s">
        <v>142</v>
      </c>
      <c r="C6018" t="s">
        <v>464</v>
      </c>
      <c r="D6018" s="8"/>
      <c r="E6018" s="8"/>
      <c r="M6018" t="s">
        <v>478</v>
      </c>
      <c r="N6018" t="str">
        <f>Tabela_tudo[[#This Row],[Médico]]&amp;" ("&amp;Tabela_tudo[[#This Row],[Obs]]&amp;")"</f>
        <v>VIV ()</v>
      </c>
    </row>
    <row r="6019" spans="1:14" x14ac:dyDescent="0.3">
      <c r="A6019" s="1">
        <v>45195</v>
      </c>
      <c r="B6019" t="s">
        <v>75</v>
      </c>
      <c r="C6019" t="s">
        <v>51</v>
      </c>
      <c r="D6019" s="8"/>
      <c r="E6019" s="8"/>
      <c r="M6019" t="s">
        <v>478</v>
      </c>
      <c r="N6019" t="str">
        <f>Tabela_tudo[[#This Row],[Médico]]&amp;" ("&amp;Tabela_tudo[[#This Row],[Obs]]&amp;")"</f>
        <v>KOP ()</v>
      </c>
    </row>
    <row r="6020" spans="1:14" x14ac:dyDescent="0.3">
      <c r="A6020" s="1">
        <v>45074</v>
      </c>
      <c r="B6020" t="s">
        <v>85</v>
      </c>
      <c r="C6020" t="s">
        <v>464</v>
      </c>
      <c r="D6020" s="8"/>
      <c r="E6020" s="8"/>
      <c r="M6020" t="s">
        <v>478</v>
      </c>
      <c r="N6020" t="str">
        <f>Tabela_tudo[[#This Row],[Médico]]&amp;" ("&amp;Tabela_tudo[[#This Row],[Obs]]&amp;")"</f>
        <v>ELF ()</v>
      </c>
    </row>
    <row r="6021" spans="1:14" x14ac:dyDescent="0.3">
      <c r="A6021" s="1">
        <v>45196</v>
      </c>
      <c r="B6021" t="s">
        <v>64</v>
      </c>
      <c r="C6021" t="s">
        <v>15</v>
      </c>
      <c r="D6021" s="8"/>
      <c r="E6021" s="8"/>
      <c r="M6021" t="s">
        <v>478</v>
      </c>
      <c r="N6021" t="str">
        <f>Tabela_tudo[[#This Row],[Médico]]&amp;" ("&amp;Tabela_tudo[[#This Row],[Obs]]&amp;")"</f>
        <v>SAR ()</v>
      </c>
    </row>
    <row r="6022" spans="1:14" x14ac:dyDescent="0.3">
      <c r="A6022" s="1">
        <v>45073</v>
      </c>
      <c r="B6022" t="s">
        <v>85</v>
      </c>
      <c r="C6022" t="s">
        <v>464</v>
      </c>
      <c r="D6022" s="8"/>
      <c r="E6022" s="8"/>
      <c r="M6022" t="s">
        <v>478</v>
      </c>
      <c r="N6022" t="str">
        <f>Tabela_tudo[[#This Row],[Médico]]&amp;" ("&amp;Tabela_tudo[[#This Row],[Obs]]&amp;")"</f>
        <v>ELF ()</v>
      </c>
    </row>
    <row r="6023" spans="1:14" x14ac:dyDescent="0.3">
      <c r="A6023" s="1">
        <v>45196</v>
      </c>
      <c r="B6023" t="s">
        <v>94</v>
      </c>
      <c r="C6023" t="s">
        <v>13</v>
      </c>
      <c r="D6023" s="8"/>
      <c r="E6023" s="8"/>
      <c r="M6023" t="s">
        <v>478</v>
      </c>
      <c r="N6023" t="str">
        <f>Tabela_tudo[[#This Row],[Médico]]&amp;" ("&amp;Tabela_tudo[[#This Row],[Obs]]&amp;")"</f>
        <v>TOT ()</v>
      </c>
    </row>
    <row r="6024" spans="1:14" x14ac:dyDescent="0.3">
      <c r="A6024" s="1">
        <v>45074</v>
      </c>
      <c r="B6024" t="s">
        <v>142</v>
      </c>
      <c r="C6024" t="s">
        <v>464</v>
      </c>
      <c r="D6024" s="8"/>
      <c r="E6024" s="8"/>
      <c r="M6024" t="s">
        <v>478</v>
      </c>
      <c r="N6024" t="str">
        <f>Tabela_tudo[[#This Row],[Médico]]&amp;" ("&amp;Tabela_tudo[[#This Row],[Obs]]&amp;")"</f>
        <v>VIV ()</v>
      </c>
    </row>
    <row r="6025" spans="1:14" x14ac:dyDescent="0.3">
      <c r="A6025" s="1">
        <v>45198</v>
      </c>
      <c r="B6025" t="s">
        <v>72</v>
      </c>
      <c r="C6025" t="s">
        <v>18</v>
      </c>
      <c r="D6025" s="8"/>
      <c r="E6025" s="8"/>
      <c r="M6025" t="s">
        <v>478</v>
      </c>
      <c r="N6025" t="str">
        <f>Tabela_tudo[[#This Row],[Médico]]&amp;" ("&amp;Tabela_tudo[[#This Row],[Obs]]&amp;")"</f>
        <v>GRA ()</v>
      </c>
    </row>
    <row r="6026" spans="1:14" x14ac:dyDescent="0.3">
      <c r="A6026" s="1">
        <v>45073</v>
      </c>
      <c r="B6026" t="s">
        <v>142</v>
      </c>
      <c r="C6026" t="s">
        <v>464</v>
      </c>
      <c r="D6026" s="8"/>
      <c r="E6026" s="8"/>
      <c r="M6026" t="s">
        <v>478</v>
      </c>
      <c r="N6026" t="str">
        <f>Tabela_tudo[[#This Row],[Médico]]&amp;" ("&amp;Tabela_tudo[[#This Row],[Obs]]&amp;")"</f>
        <v>VIV ()</v>
      </c>
    </row>
    <row r="6027" spans="1:14" x14ac:dyDescent="0.3">
      <c r="A6027" s="1">
        <v>45201</v>
      </c>
      <c r="B6027" t="s">
        <v>64</v>
      </c>
      <c r="C6027" t="s">
        <v>43</v>
      </c>
      <c r="D6027" s="8"/>
      <c r="E6027" s="8"/>
      <c r="M6027" t="s">
        <v>478</v>
      </c>
      <c r="N6027" t="str">
        <f>Tabela_tudo[[#This Row],[Médico]]&amp;" ("&amp;Tabela_tudo[[#This Row],[Obs]]&amp;")"</f>
        <v>SAR ()</v>
      </c>
    </row>
    <row r="6028" spans="1:14" x14ac:dyDescent="0.3">
      <c r="A6028" s="1">
        <v>45086</v>
      </c>
      <c r="B6028" t="s">
        <v>142</v>
      </c>
      <c r="C6028" t="s">
        <v>464</v>
      </c>
      <c r="D6028" s="8"/>
      <c r="E6028" s="8"/>
      <c r="M6028" t="s">
        <v>478</v>
      </c>
      <c r="N6028" t="str">
        <f>Tabela_tudo[[#This Row],[Médico]]&amp;" ("&amp;Tabela_tudo[[#This Row],[Obs]]&amp;")"</f>
        <v>VIV ()</v>
      </c>
    </row>
    <row r="6029" spans="1:14" x14ac:dyDescent="0.3">
      <c r="A6029" s="1">
        <v>45201</v>
      </c>
      <c r="B6029" t="s">
        <v>29</v>
      </c>
      <c r="C6029" t="s">
        <v>8</v>
      </c>
      <c r="D6029" s="8"/>
      <c r="E6029" s="8"/>
      <c r="M6029" t="s">
        <v>478</v>
      </c>
      <c r="N6029" t="str">
        <f>Tabela_tudo[[#This Row],[Médico]]&amp;" ("&amp;Tabela_tudo[[#This Row],[Obs]]&amp;")"</f>
        <v>JOA ()</v>
      </c>
    </row>
    <row r="6030" spans="1:14" x14ac:dyDescent="0.3">
      <c r="A6030" s="1">
        <v>45085</v>
      </c>
      <c r="B6030" t="s">
        <v>142</v>
      </c>
      <c r="C6030" t="s">
        <v>464</v>
      </c>
      <c r="D6030" s="8"/>
      <c r="E6030" s="8"/>
      <c r="M6030" t="s">
        <v>478</v>
      </c>
      <c r="N6030" t="str">
        <f>Tabela_tudo[[#This Row],[Médico]]&amp;" ("&amp;Tabela_tudo[[#This Row],[Obs]]&amp;")"</f>
        <v>VIV ()</v>
      </c>
    </row>
    <row r="6031" spans="1:14" x14ac:dyDescent="0.3">
      <c r="A6031" s="1">
        <v>45201</v>
      </c>
      <c r="B6031" t="s">
        <v>21</v>
      </c>
      <c r="C6031" t="s">
        <v>46</v>
      </c>
      <c r="D6031" s="8"/>
      <c r="E6031" s="8"/>
      <c r="M6031" t="s">
        <v>478</v>
      </c>
      <c r="N6031" t="str">
        <f>Tabela_tudo[[#This Row],[Médico]]&amp;" ("&amp;Tabela_tudo[[#This Row],[Obs]]&amp;")"</f>
        <v>RA ()</v>
      </c>
    </row>
    <row r="6032" spans="1:14" x14ac:dyDescent="0.3">
      <c r="A6032" s="1">
        <v>45076</v>
      </c>
      <c r="B6032" t="s">
        <v>33</v>
      </c>
      <c r="C6032" t="s">
        <v>464</v>
      </c>
      <c r="D6032" s="8"/>
      <c r="E6032" s="8"/>
      <c r="M6032" t="s">
        <v>478</v>
      </c>
      <c r="N6032" t="str">
        <f>Tabela_tudo[[#This Row],[Médico]]&amp;" ("&amp;Tabela_tudo[[#This Row],[Obs]]&amp;")"</f>
        <v>DIF ()</v>
      </c>
    </row>
    <row r="6033" spans="1:14" x14ac:dyDescent="0.3">
      <c r="A6033" s="1">
        <v>45201</v>
      </c>
      <c r="B6033" t="s">
        <v>44</v>
      </c>
      <c r="C6033" t="s">
        <v>45</v>
      </c>
      <c r="D6033" s="8"/>
      <c r="E6033" s="8"/>
      <c r="M6033" t="s">
        <v>478</v>
      </c>
      <c r="N6033" t="str">
        <f>Tabela_tudo[[#This Row],[Médico]]&amp;" ("&amp;Tabela_tudo[[#This Row],[Obs]]&amp;")"</f>
        <v>REI ()</v>
      </c>
    </row>
    <row r="6034" spans="1:14" x14ac:dyDescent="0.3">
      <c r="A6034" s="1">
        <v>45075</v>
      </c>
      <c r="B6034" t="s">
        <v>33</v>
      </c>
      <c r="C6034" t="s">
        <v>464</v>
      </c>
      <c r="D6034" s="8"/>
      <c r="E6034" s="8"/>
      <c r="M6034" t="s">
        <v>478</v>
      </c>
      <c r="N6034" t="str">
        <f>Tabela_tudo[[#This Row],[Médico]]&amp;" ("&amp;Tabela_tudo[[#This Row],[Obs]]&amp;")"</f>
        <v>DIF ()</v>
      </c>
    </row>
    <row r="6035" spans="1:14" x14ac:dyDescent="0.3">
      <c r="A6035" s="1">
        <v>45200</v>
      </c>
      <c r="B6035" t="s">
        <v>84</v>
      </c>
      <c r="C6035" t="s">
        <v>78</v>
      </c>
      <c r="D6035" s="8"/>
      <c r="E6035" s="8"/>
      <c r="M6035" t="s">
        <v>478</v>
      </c>
      <c r="N6035" t="str">
        <f>Tabela_tudo[[#This Row],[Médico]]&amp;" ("&amp;Tabela_tudo[[#This Row],[Obs]]&amp;")"</f>
        <v>ANO ()</v>
      </c>
    </row>
    <row r="6036" spans="1:14" x14ac:dyDescent="0.3">
      <c r="A6036" s="1">
        <v>45084</v>
      </c>
      <c r="B6036" t="s">
        <v>142</v>
      </c>
      <c r="C6036" t="s">
        <v>464</v>
      </c>
      <c r="D6036" s="8"/>
      <c r="E6036" s="8"/>
      <c r="M6036" t="s">
        <v>478</v>
      </c>
      <c r="N6036" t="str">
        <f>Tabela_tudo[[#This Row],[Médico]]&amp;" ("&amp;Tabela_tudo[[#This Row],[Obs]]&amp;")"</f>
        <v>VIV ()</v>
      </c>
    </row>
    <row r="6037" spans="1:14" x14ac:dyDescent="0.3">
      <c r="A6037" s="1">
        <v>45200</v>
      </c>
      <c r="B6037" t="s">
        <v>44</v>
      </c>
      <c r="C6037" t="s">
        <v>8</v>
      </c>
      <c r="D6037" s="8"/>
      <c r="E6037" s="8"/>
      <c r="M6037" t="s">
        <v>478</v>
      </c>
      <c r="N6037" t="str">
        <f>Tabela_tudo[[#This Row],[Médico]]&amp;" ("&amp;Tabela_tudo[[#This Row],[Obs]]&amp;")"</f>
        <v>REI ()</v>
      </c>
    </row>
    <row r="6038" spans="1:14" x14ac:dyDescent="0.3">
      <c r="A6038" s="1">
        <v>45081</v>
      </c>
      <c r="B6038" t="s">
        <v>142</v>
      </c>
      <c r="C6038" t="s">
        <v>464</v>
      </c>
      <c r="D6038" s="8"/>
      <c r="E6038" s="8"/>
      <c r="M6038" t="s">
        <v>478</v>
      </c>
      <c r="N6038" t="str">
        <f>Tabela_tudo[[#This Row],[Médico]]&amp;" ("&amp;Tabela_tudo[[#This Row],[Obs]]&amp;")"</f>
        <v>VIV ()</v>
      </c>
    </row>
    <row r="6039" spans="1:14" x14ac:dyDescent="0.3">
      <c r="A6039" s="1">
        <v>45201</v>
      </c>
      <c r="B6039" t="s">
        <v>32</v>
      </c>
      <c r="C6039" t="s">
        <v>15</v>
      </c>
      <c r="D6039" s="8"/>
      <c r="E6039" s="8"/>
      <c r="M6039" t="s">
        <v>478</v>
      </c>
      <c r="N6039" t="str">
        <f>Tabela_tudo[[#This Row],[Médico]]&amp;" ("&amp;Tabela_tudo[[#This Row],[Obs]]&amp;")"</f>
        <v>JS ()</v>
      </c>
    </row>
    <row r="6040" spans="1:14" x14ac:dyDescent="0.3">
      <c r="A6040" s="1">
        <v>45080</v>
      </c>
      <c r="B6040" t="s">
        <v>142</v>
      </c>
      <c r="C6040" t="s">
        <v>464</v>
      </c>
      <c r="D6040" s="8"/>
      <c r="E6040" s="8"/>
      <c r="M6040" t="s">
        <v>478</v>
      </c>
      <c r="N6040" t="str">
        <f>Tabela_tudo[[#This Row],[Médico]]&amp;" ("&amp;Tabela_tudo[[#This Row],[Obs]]&amp;")"</f>
        <v>VIV ()</v>
      </c>
    </row>
    <row r="6041" spans="1:14" x14ac:dyDescent="0.3">
      <c r="A6041" s="1">
        <v>45201</v>
      </c>
      <c r="B6041" t="s">
        <v>47</v>
      </c>
      <c r="C6041" t="s">
        <v>13</v>
      </c>
      <c r="D6041" s="8"/>
      <c r="E6041" s="8"/>
      <c r="M6041" t="s">
        <v>478</v>
      </c>
      <c r="N6041" t="str">
        <f>Tabela_tudo[[#This Row],[Médico]]&amp;" ("&amp;Tabela_tudo[[#This Row],[Obs]]&amp;")"</f>
        <v>VIN ()</v>
      </c>
    </row>
    <row r="6042" spans="1:14" x14ac:dyDescent="0.3">
      <c r="A6042" s="1">
        <v>45083</v>
      </c>
      <c r="B6042" t="s">
        <v>142</v>
      </c>
      <c r="C6042" t="s">
        <v>464</v>
      </c>
      <c r="D6042" s="8"/>
      <c r="E6042" s="8"/>
      <c r="M6042" t="s">
        <v>478</v>
      </c>
      <c r="N6042" t="str">
        <f>Tabela_tudo[[#This Row],[Médico]]&amp;" ("&amp;Tabela_tudo[[#This Row],[Obs]]&amp;")"</f>
        <v>VIV ()</v>
      </c>
    </row>
    <row r="6043" spans="1:14" x14ac:dyDescent="0.3">
      <c r="A6043" s="1">
        <v>45202</v>
      </c>
      <c r="B6043" t="s">
        <v>33</v>
      </c>
      <c r="C6043" t="s">
        <v>8</v>
      </c>
      <c r="D6043" s="8"/>
      <c r="E6043" s="8"/>
      <c r="M6043" t="s">
        <v>478</v>
      </c>
      <c r="N6043" t="str">
        <f>Tabela_tudo[[#This Row],[Médico]]&amp;" ("&amp;Tabela_tudo[[#This Row],[Obs]]&amp;")"</f>
        <v>DIF ()</v>
      </c>
    </row>
    <row r="6044" spans="1:14" x14ac:dyDescent="0.3">
      <c r="A6044" s="1">
        <v>45082</v>
      </c>
      <c r="B6044" t="s">
        <v>142</v>
      </c>
      <c r="C6044" t="s">
        <v>464</v>
      </c>
      <c r="D6044" s="8"/>
      <c r="E6044" s="8"/>
      <c r="M6044" t="s">
        <v>478</v>
      </c>
      <c r="N6044" t="str">
        <f>Tabela_tudo[[#This Row],[Médico]]&amp;" ("&amp;Tabela_tudo[[#This Row],[Obs]]&amp;")"</f>
        <v>VIV ()</v>
      </c>
    </row>
    <row r="6045" spans="1:14" x14ac:dyDescent="0.3">
      <c r="A6045" s="1">
        <v>45202</v>
      </c>
      <c r="B6045" t="s">
        <v>37</v>
      </c>
      <c r="C6045" t="s">
        <v>15</v>
      </c>
      <c r="D6045" s="8"/>
      <c r="E6045" s="8"/>
      <c r="M6045" t="s">
        <v>478</v>
      </c>
      <c r="N6045" t="str">
        <f>Tabela_tudo[[#This Row],[Médico]]&amp;" ("&amp;Tabela_tudo[[#This Row],[Obs]]&amp;")"</f>
        <v>EBB ()</v>
      </c>
    </row>
    <row r="6046" spans="1:14" x14ac:dyDescent="0.3">
      <c r="A6046" s="1">
        <v>45078</v>
      </c>
      <c r="B6046" t="s">
        <v>23</v>
      </c>
      <c r="C6046" t="s">
        <v>465</v>
      </c>
      <c r="D6046" s="8"/>
      <c r="E6046" s="8"/>
      <c r="F6046" t="s">
        <v>467</v>
      </c>
      <c r="M6046" t="s">
        <v>478</v>
      </c>
      <c r="N6046" t="str">
        <f>Tabela_tudo[[#This Row],[Médico]]&amp;" ("&amp;Tabela_tudo[[#This Row],[Obs]]&amp;")"</f>
        <v>BG (ESAIC)</v>
      </c>
    </row>
    <row r="6047" spans="1:14" x14ac:dyDescent="0.3">
      <c r="A6047" s="1">
        <v>45202</v>
      </c>
      <c r="B6047" t="s">
        <v>66</v>
      </c>
      <c r="C6047" t="s">
        <v>45</v>
      </c>
      <c r="D6047" s="8"/>
      <c r="E6047" s="8"/>
      <c r="M6047" t="s">
        <v>478</v>
      </c>
      <c r="N6047" t="str">
        <f>Tabela_tudo[[#This Row],[Médico]]&amp;" ("&amp;Tabela_tudo[[#This Row],[Obs]]&amp;")"</f>
        <v>MOZ ()</v>
      </c>
    </row>
    <row r="6048" spans="1:14" x14ac:dyDescent="0.3">
      <c r="A6048" s="1">
        <v>45079</v>
      </c>
      <c r="B6048" t="s">
        <v>47</v>
      </c>
      <c r="C6048" t="s">
        <v>464</v>
      </c>
      <c r="D6048" s="8"/>
      <c r="E6048" s="8"/>
      <c r="M6048" t="s">
        <v>478</v>
      </c>
      <c r="N6048" t="str">
        <f>Tabela_tudo[[#This Row],[Médico]]&amp;" ("&amp;Tabela_tudo[[#This Row],[Obs]]&amp;")"</f>
        <v>VIN ()</v>
      </c>
    </row>
    <row r="6049" spans="1:14" x14ac:dyDescent="0.3">
      <c r="A6049" s="1">
        <v>45202</v>
      </c>
      <c r="B6049" t="s">
        <v>12</v>
      </c>
      <c r="C6049" t="s">
        <v>43</v>
      </c>
      <c r="D6049" s="8"/>
      <c r="E6049" s="8"/>
      <c r="M6049" t="s">
        <v>478</v>
      </c>
      <c r="N6049" t="str">
        <f>Tabela_tudo[[#This Row],[Médico]]&amp;" ("&amp;Tabela_tudo[[#This Row],[Obs]]&amp;")"</f>
        <v>EDU ()</v>
      </c>
    </row>
    <row r="6050" spans="1:14" x14ac:dyDescent="0.3">
      <c r="A6050" s="1">
        <v>45080</v>
      </c>
      <c r="B6050" t="s">
        <v>23</v>
      </c>
      <c r="C6050" t="s">
        <v>465</v>
      </c>
      <c r="D6050" s="8"/>
      <c r="E6050" s="8"/>
      <c r="F6050" t="s">
        <v>467</v>
      </c>
      <c r="M6050" t="s">
        <v>478</v>
      </c>
      <c r="N6050" t="str">
        <f>Tabela_tudo[[#This Row],[Médico]]&amp;" ("&amp;Tabela_tudo[[#This Row],[Obs]]&amp;")"</f>
        <v>BG (ESAIC)</v>
      </c>
    </row>
    <row r="6051" spans="1:14" x14ac:dyDescent="0.3">
      <c r="A6051" s="1">
        <v>45201</v>
      </c>
      <c r="B6051" t="s">
        <v>71</v>
      </c>
      <c r="C6051" t="s">
        <v>49</v>
      </c>
      <c r="D6051" s="8"/>
      <c r="E6051" s="8"/>
      <c r="M6051" t="s">
        <v>478</v>
      </c>
      <c r="N6051" t="str">
        <f>Tabela_tudo[[#This Row],[Médico]]&amp;" ("&amp;Tabela_tudo[[#This Row],[Obs]]&amp;")"</f>
        <v>BRU ()</v>
      </c>
    </row>
    <row r="6052" spans="1:14" x14ac:dyDescent="0.3">
      <c r="A6052" s="1">
        <v>45079</v>
      </c>
      <c r="B6052" t="s">
        <v>23</v>
      </c>
      <c r="C6052" t="s">
        <v>465</v>
      </c>
      <c r="D6052" s="8"/>
      <c r="E6052" s="8"/>
      <c r="F6052" t="s">
        <v>467</v>
      </c>
      <c r="M6052" t="s">
        <v>478</v>
      </c>
      <c r="N6052" t="str">
        <f>Tabela_tudo[[#This Row],[Médico]]&amp;" ("&amp;Tabela_tudo[[#This Row],[Obs]]&amp;")"</f>
        <v>BG (ESAIC)</v>
      </c>
    </row>
    <row r="6053" spans="1:14" x14ac:dyDescent="0.3">
      <c r="A6053" s="1">
        <v>45201</v>
      </c>
      <c r="B6053" t="s">
        <v>72</v>
      </c>
      <c r="C6053" t="s">
        <v>18</v>
      </c>
      <c r="D6053" s="8"/>
      <c r="E6053" s="8"/>
      <c r="M6053" t="s">
        <v>478</v>
      </c>
      <c r="N6053" t="str">
        <f>Tabela_tudo[[#This Row],[Médico]]&amp;" ("&amp;Tabela_tudo[[#This Row],[Obs]]&amp;")"</f>
        <v>GRA ()</v>
      </c>
    </row>
    <row r="6054" spans="1:14" x14ac:dyDescent="0.3">
      <c r="A6054" s="1">
        <v>45078</v>
      </c>
      <c r="B6054" t="s">
        <v>47</v>
      </c>
      <c r="C6054" t="s">
        <v>464</v>
      </c>
      <c r="D6054" s="8"/>
      <c r="E6054" s="8"/>
      <c r="M6054" t="s">
        <v>478</v>
      </c>
      <c r="N6054" t="str">
        <f>Tabela_tudo[[#This Row],[Médico]]&amp;" ("&amp;Tabela_tudo[[#This Row],[Obs]]&amp;")"</f>
        <v>VIN ()</v>
      </c>
    </row>
    <row r="6055" spans="1:14" x14ac:dyDescent="0.3">
      <c r="A6055" s="1">
        <v>45202</v>
      </c>
      <c r="B6055" t="s">
        <v>142</v>
      </c>
      <c r="C6055" t="s">
        <v>13</v>
      </c>
      <c r="D6055" s="8"/>
      <c r="E6055" s="8"/>
      <c r="M6055" t="s">
        <v>478</v>
      </c>
      <c r="N6055" t="str">
        <f>Tabela_tudo[[#This Row],[Médico]]&amp;" ("&amp;Tabela_tudo[[#This Row],[Obs]]&amp;")"</f>
        <v>VIV ()</v>
      </c>
    </row>
    <row r="6056" spans="1:14" x14ac:dyDescent="0.3">
      <c r="A6056" s="1">
        <v>45075</v>
      </c>
      <c r="B6056" t="s">
        <v>47</v>
      </c>
      <c r="C6056" t="s">
        <v>464</v>
      </c>
      <c r="D6056" s="8"/>
      <c r="E6056" s="8"/>
      <c r="M6056" t="s">
        <v>478</v>
      </c>
      <c r="N6056" t="str">
        <f>Tabela_tudo[[#This Row],[Médico]]&amp;" ("&amp;Tabela_tudo[[#This Row],[Obs]]&amp;")"</f>
        <v>VIN ()</v>
      </c>
    </row>
    <row r="6057" spans="1:14" x14ac:dyDescent="0.3">
      <c r="A6057" s="1">
        <v>45201</v>
      </c>
      <c r="B6057" t="s">
        <v>50</v>
      </c>
      <c r="C6057" t="s">
        <v>51</v>
      </c>
      <c r="D6057" s="8"/>
      <c r="E6057" s="8"/>
      <c r="M6057" t="s">
        <v>478</v>
      </c>
      <c r="N6057" t="str">
        <f>Tabela_tudo[[#This Row],[Médico]]&amp;" ("&amp;Tabela_tudo[[#This Row],[Obs]]&amp;")"</f>
        <v>PJP ()</v>
      </c>
    </row>
    <row r="6058" spans="1:14" x14ac:dyDescent="0.3">
      <c r="A6058" s="1">
        <v>45093</v>
      </c>
      <c r="B6058" t="s">
        <v>33</v>
      </c>
      <c r="C6058" t="s">
        <v>464</v>
      </c>
      <c r="D6058" s="8"/>
      <c r="E6058" s="8"/>
      <c r="M6058" t="s">
        <v>478</v>
      </c>
      <c r="N6058" t="str">
        <f>Tabela_tudo[[#This Row],[Médico]]&amp;" ("&amp;Tabela_tudo[[#This Row],[Obs]]&amp;")"</f>
        <v>DIF ()</v>
      </c>
    </row>
    <row r="6059" spans="1:14" x14ac:dyDescent="0.3">
      <c r="A6059" s="1">
        <v>45200</v>
      </c>
      <c r="B6059" t="s">
        <v>50</v>
      </c>
      <c r="C6059" t="s">
        <v>13</v>
      </c>
      <c r="D6059" s="8"/>
      <c r="E6059" s="8"/>
      <c r="M6059" t="s">
        <v>478</v>
      </c>
      <c r="N6059" t="str">
        <f>Tabela_tudo[[#This Row],[Médico]]&amp;" ("&amp;Tabela_tudo[[#This Row],[Obs]]&amp;")"</f>
        <v>PJP ()</v>
      </c>
    </row>
    <row r="6060" spans="1:14" x14ac:dyDescent="0.3">
      <c r="A6060" s="1">
        <v>45077</v>
      </c>
      <c r="B6060" t="s">
        <v>47</v>
      </c>
      <c r="C6060" t="s">
        <v>464</v>
      </c>
      <c r="D6060" s="8"/>
      <c r="E6060" s="8"/>
      <c r="M6060" t="s">
        <v>478</v>
      </c>
      <c r="N6060" t="str">
        <f>Tabela_tudo[[#This Row],[Médico]]&amp;" ("&amp;Tabela_tudo[[#This Row],[Obs]]&amp;")"</f>
        <v>VIN ()</v>
      </c>
    </row>
    <row r="6061" spans="1:14" x14ac:dyDescent="0.3">
      <c r="A6061" s="1">
        <v>45210</v>
      </c>
      <c r="B6061" t="s">
        <v>72</v>
      </c>
      <c r="C6061" t="s">
        <v>8</v>
      </c>
      <c r="D6061" s="8"/>
      <c r="E6061" s="8"/>
      <c r="M6061" t="s">
        <v>478</v>
      </c>
      <c r="N6061" t="str">
        <f>Tabela_tudo[[#This Row],[Médico]]&amp;" ("&amp;Tabela_tudo[[#This Row],[Obs]]&amp;")"</f>
        <v>GRA ()</v>
      </c>
    </row>
    <row r="6062" spans="1:14" x14ac:dyDescent="0.3">
      <c r="A6062" s="1">
        <v>45076</v>
      </c>
      <c r="B6062" t="s">
        <v>47</v>
      </c>
      <c r="C6062" t="s">
        <v>464</v>
      </c>
      <c r="D6062" s="8"/>
      <c r="E6062" s="8"/>
      <c r="M6062" t="s">
        <v>478</v>
      </c>
      <c r="N6062" t="str">
        <f>Tabela_tudo[[#This Row],[Médico]]&amp;" ("&amp;Tabela_tudo[[#This Row],[Obs]]&amp;")"</f>
        <v>VIN ()</v>
      </c>
    </row>
    <row r="6063" spans="1:14" x14ac:dyDescent="0.3">
      <c r="A6063" s="1">
        <v>45210</v>
      </c>
      <c r="B6063" t="s">
        <v>44</v>
      </c>
      <c r="C6063" t="s">
        <v>15</v>
      </c>
      <c r="D6063" s="8"/>
      <c r="E6063" s="8"/>
      <c r="M6063" t="s">
        <v>478</v>
      </c>
      <c r="N6063" t="str">
        <f>Tabela_tudo[[#This Row],[Médico]]&amp;" ("&amp;Tabela_tudo[[#This Row],[Obs]]&amp;")"</f>
        <v>REI ()</v>
      </c>
    </row>
    <row r="6064" spans="1:14" x14ac:dyDescent="0.3">
      <c r="A6064" s="1">
        <v>45087</v>
      </c>
      <c r="B6064" t="s">
        <v>47</v>
      </c>
      <c r="C6064" t="s">
        <v>465</v>
      </c>
      <c r="D6064" s="8"/>
      <c r="E6064" s="8"/>
      <c r="F6064" t="s">
        <v>468</v>
      </c>
      <c r="M6064" t="s">
        <v>478</v>
      </c>
      <c r="N6064" t="str">
        <f>Tabela_tudo[[#This Row],[Médico]]&amp;" ("&amp;Tabela_tudo[[#This Row],[Obs]]&amp;")"</f>
        <v>VIN (JOSULBRA)</v>
      </c>
    </row>
    <row r="6065" spans="1:14" x14ac:dyDescent="0.3">
      <c r="A6065" s="1">
        <v>45210</v>
      </c>
      <c r="B6065" t="s">
        <v>66</v>
      </c>
      <c r="C6065" t="s">
        <v>45</v>
      </c>
      <c r="D6065" s="8"/>
      <c r="E6065" s="8"/>
      <c r="M6065" t="s">
        <v>478</v>
      </c>
      <c r="N6065" t="str">
        <f>Tabela_tudo[[#This Row],[Médico]]&amp;" ("&amp;Tabela_tudo[[#This Row],[Obs]]&amp;")"</f>
        <v>MOZ ()</v>
      </c>
    </row>
    <row r="6066" spans="1:14" x14ac:dyDescent="0.3">
      <c r="A6066" s="1">
        <v>45086</v>
      </c>
      <c r="B6066" t="s">
        <v>47</v>
      </c>
      <c r="C6066" t="s">
        <v>465</v>
      </c>
      <c r="D6066" s="8"/>
      <c r="E6066" s="8"/>
      <c r="F6066" t="s">
        <v>468</v>
      </c>
      <c r="M6066" t="s">
        <v>478</v>
      </c>
      <c r="N6066" t="str">
        <f>Tabela_tudo[[#This Row],[Médico]]&amp;" ("&amp;Tabela_tudo[[#This Row],[Obs]]&amp;")"</f>
        <v>VIN (JOSULBRA)</v>
      </c>
    </row>
    <row r="6067" spans="1:14" x14ac:dyDescent="0.3">
      <c r="A6067" s="1">
        <v>45210</v>
      </c>
      <c r="B6067" t="s">
        <v>84</v>
      </c>
      <c r="C6067" t="s">
        <v>43</v>
      </c>
      <c r="D6067" s="8"/>
      <c r="E6067" s="8"/>
      <c r="M6067" t="s">
        <v>478</v>
      </c>
      <c r="N6067" t="str">
        <f>Tabela_tudo[[#This Row],[Médico]]&amp;" ("&amp;Tabela_tudo[[#This Row],[Obs]]&amp;")"</f>
        <v>ANO ()</v>
      </c>
    </row>
    <row r="6068" spans="1:14" x14ac:dyDescent="0.3">
      <c r="A6068" s="1">
        <v>45089</v>
      </c>
      <c r="B6068" t="s">
        <v>66</v>
      </c>
      <c r="C6068" t="s">
        <v>464</v>
      </c>
      <c r="D6068" s="8"/>
      <c r="E6068" s="8"/>
      <c r="M6068" t="s">
        <v>478</v>
      </c>
      <c r="N6068" t="str">
        <f>Tabela_tudo[[#This Row],[Médico]]&amp;" ("&amp;Tabela_tudo[[#This Row],[Obs]]&amp;")"</f>
        <v>MOZ ()</v>
      </c>
    </row>
    <row r="6069" spans="1:14" x14ac:dyDescent="0.3">
      <c r="A6069" s="1">
        <v>45198</v>
      </c>
      <c r="B6069" t="s">
        <v>17</v>
      </c>
      <c r="C6069" t="s">
        <v>51</v>
      </c>
      <c r="D6069" s="8"/>
      <c r="E6069" s="8"/>
      <c r="M6069" t="s">
        <v>478</v>
      </c>
      <c r="N6069" t="str">
        <f>Tabela_tudo[[#This Row],[Médico]]&amp;" ("&amp;Tabela_tudo[[#This Row],[Obs]]&amp;")"</f>
        <v>FAB ()</v>
      </c>
    </row>
    <row r="6070" spans="1:14" x14ac:dyDescent="0.3">
      <c r="A6070" s="1">
        <v>45088</v>
      </c>
      <c r="B6070" t="s">
        <v>47</v>
      </c>
      <c r="C6070" t="s">
        <v>465</v>
      </c>
      <c r="D6070" s="8"/>
      <c r="E6070" s="8"/>
      <c r="F6070" t="s">
        <v>468</v>
      </c>
      <c r="M6070" t="s">
        <v>478</v>
      </c>
      <c r="N6070" t="str">
        <f>Tabela_tudo[[#This Row],[Médico]]&amp;" ("&amp;Tabela_tudo[[#This Row],[Obs]]&amp;")"</f>
        <v>VIN (JOSULBRA)</v>
      </c>
    </row>
    <row r="6071" spans="1:14" x14ac:dyDescent="0.3">
      <c r="A6071" s="1">
        <v>45198</v>
      </c>
      <c r="B6071" t="s">
        <v>85</v>
      </c>
      <c r="C6071" t="s">
        <v>49</v>
      </c>
      <c r="D6071" s="8"/>
      <c r="E6071" s="8"/>
      <c r="M6071" t="s">
        <v>478</v>
      </c>
      <c r="N6071" t="str">
        <f>Tabela_tudo[[#This Row],[Médico]]&amp;" ("&amp;Tabela_tudo[[#This Row],[Obs]]&amp;")"</f>
        <v>ELF ()</v>
      </c>
    </row>
    <row r="6072" spans="1:14" x14ac:dyDescent="0.3">
      <c r="A6072" s="1">
        <v>45085</v>
      </c>
      <c r="B6072" t="s">
        <v>23</v>
      </c>
      <c r="C6072" t="s">
        <v>465</v>
      </c>
      <c r="D6072" s="8"/>
      <c r="E6072" s="8"/>
      <c r="F6072" t="s">
        <v>467</v>
      </c>
      <c r="M6072" t="s">
        <v>478</v>
      </c>
      <c r="N6072" t="str">
        <f>Tabela_tudo[[#This Row],[Médico]]&amp;" ("&amp;Tabela_tudo[[#This Row],[Obs]]&amp;")"</f>
        <v>BG (ESAIC)</v>
      </c>
    </row>
    <row r="6073" spans="1:14" x14ac:dyDescent="0.3">
      <c r="A6073" s="1">
        <v>45210</v>
      </c>
      <c r="B6073" t="s">
        <v>50</v>
      </c>
      <c r="C6073" t="s">
        <v>13</v>
      </c>
      <c r="D6073" s="8"/>
      <c r="E6073" s="8"/>
      <c r="M6073" t="s">
        <v>478</v>
      </c>
      <c r="N6073" t="str">
        <f>Tabela_tudo[[#This Row],[Médico]]&amp;" ("&amp;Tabela_tudo[[#This Row],[Obs]]&amp;")"</f>
        <v>PJP ()</v>
      </c>
    </row>
    <row r="6074" spans="1:14" x14ac:dyDescent="0.3">
      <c r="A6074" s="1">
        <v>45082</v>
      </c>
      <c r="B6074" t="s">
        <v>23</v>
      </c>
      <c r="C6074" t="s">
        <v>465</v>
      </c>
      <c r="D6074" s="8"/>
      <c r="E6074" s="8"/>
      <c r="F6074" t="s">
        <v>467</v>
      </c>
      <c r="M6074" t="s">
        <v>478</v>
      </c>
      <c r="N6074" t="str">
        <f>Tabela_tudo[[#This Row],[Médico]]&amp;" ("&amp;Tabela_tudo[[#This Row],[Obs]]&amp;")"</f>
        <v>BG (ESAIC)</v>
      </c>
    </row>
    <row r="6075" spans="1:14" x14ac:dyDescent="0.3">
      <c r="A6075" s="1">
        <v>45198</v>
      </c>
      <c r="B6075" t="s">
        <v>33</v>
      </c>
      <c r="C6075" t="s">
        <v>43</v>
      </c>
      <c r="D6075" s="8"/>
      <c r="E6075" s="8"/>
      <c r="M6075" t="s">
        <v>478</v>
      </c>
      <c r="N6075" t="str">
        <f>Tabela_tudo[[#This Row],[Médico]]&amp;" ("&amp;Tabela_tudo[[#This Row],[Obs]]&amp;")"</f>
        <v>DIF ()</v>
      </c>
    </row>
    <row r="6076" spans="1:14" x14ac:dyDescent="0.3">
      <c r="A6076" s="1">
        <v>45081</v>
      </c>
      <c r="B6076" t="s">
        <v>23</v>
      </c>
      <c r="C6076" t="s">
        <v>465</v>
      </c>
      <c r="D6076" s="8"/>
      <c r="E6076" s="8"/>
      <c r="F6076" t="s">
        <v>467</v>
      </c>
      <c r="M6076" t="s">
        <v>478</v>
      </c>
      <c r="N6076" t="str">
        <f>Tabela_tudo[[#This Row],[Médico]]&amp;" ("&amp;Tabela_tudo[[#This Row],[Obs]]&amp;")"</f>
        <v>BG (ESAIC)</v>
      </c>
    </row>
    <row r="6077" spans="1:14" x14ac:dyDescent="0.3">
      <c r="A6077" s="1">
        <v>45199</v>
      </c>
      <c r="B6077" t="s">
        <v>44</v>
      </c>
      <c r="C6077" t="s">
        <v>13</v>
      </c>
      <c r="D6077" s="8"/>
      <c r="E6077" s="8"/>
      <c r="M6077" t="s">
        <v>478</v>
      </c>
      <c r="N6077" t="str">
        <f>Tabela_tudo[[#This Row],[Médico]]&amp;" ("&amp;Tabela_tudo[[#This Row],[Obs]]&amp;")"</f>
        <v>REI ()</v>
      </c>
    </row>
    <row r="6078" spans="1:14" x14ac:dyDescent="0.3">
      <c r="A6078" s="1">
        <v>45084</v>
      </c>
      <c r="B6078" t="s">
        <v>23</v>
      </c>
      <c r="C6078" t="s">
        <v>465</v>
      </c>
      <c r="D6078" s="8"/>
      <c r="E6078" s="8"/>
      <c r="F6078" t="s">
        <v>467</v>
      </c>
      <c r="M6078" t="s">
        <v>478</v>
      </c>
      <c r="N6078" t="str">
        <f>Tabela_tudo[[#This Row],[Médico]]&amp;" ("&amp;Tabela_tudo[[#This Row],[Obs]]&amp;")"</f>
        <v>BG (ESAIC)</v>
      </c>
    </row>
    <row r="6079" spans="1:14" x14ac:dyDescent="0.3">
      <c r="A6079" s="1">
        <v>45210</v>
      </c>
      <c r="B6079" t="s">
        <v>47</v>
      </c>
      <c r="D6079" s="8">
        <v>0.29166666666666669</v>
      </c>
      <c r="E6079" s="8">
        <v>0.79166666666666663</v>
      </c>
      <c r="F6079" t="s">
        <v>655</v>
      </c>
      <c r="M6079" t="s">
        <v>478</v>
      </c>
      <c r="N6079" t="str">
        <f>Tabela_tudo[[#This Row],[Médico]]&amp;" ("&amp;Tabela_tudo[[#This Row],[Obs]]&amp;")"</f>
        <v>VIN (VIN ASA)</v>
      </c>
    </row>
    <row r="6080" spans="1:14" x14ac:dyDescent="0.3">
      <c r="A6080" s="1">
        <v>45083</v>
      </c>
      <c r="B6080" t="s">
        <v>23</v>
      </c>
      <c r="C6080" t="s">
        <v>465</v>
      </c>
      <c r="D6080" s="8"/>
      <c r="E6080" s="8"/>
      <c r="F6080" t="s">
        <v>467</v>
      </c>
      <c r="M6080" t="s">
        <v>478</v>
      </c>
      <c r="N6080" t="str">
        <f>Tabela_tudo[[#This Row],[Médico]]&amp;" ("&amp;Tabela_tudo[[#This Row],[Obs]]&amp;")"</f>
        <v>BG (ESAIC)</v>
      </c>
    </row>
    <row r="6081" spans="1:14" x14ac:dyDescent="0.3">
      <c r="A6081" s="1">
        <v>45199</v>
      </c>
      <c r="B6081" t="s">
        <v>50</v>
      </c>
      <c r="C6081" t="s">
        <v>8</v>
      </c>
      <c r="D6081" s="8"/>
      <c r="E6081" s="8"/>
      <c r="M6081" t="s">
        <v>478</v>
      </c>
      <c r="N6081" t="str">
        <f>Tabela_tudo[[#This Row],[Médico]]&amp;" ("&amp;Tabela_tudo[[#This Row],[Obs]]&amp;")"</f>
        <v>PJP ()</v>
      </c>
    </row>
    <row r="6082" spans="1:14" x14ac:dyDescent="0.3">
      <c r="A6082" s="1">
        <v>45037</v>
      </c>
      <c r="B6082" t="s">
        <v>71</v>
      </c>
      <c r="C6082" t="s">
        <v>465</v>
      </c>
      <c r="D6082" s="8"/>
      <c r="E6082" s="8"/>
      <c r="M6082" t="s">
        <v>478</v>
      </c>
      <c r="N6082" t="str">
        <f>Tabela_tudo[[#This Row],[Médico]]&amp;" ("&amp;Tabela_tudo[[#This Row],[Obs]]&amp;")"</f>
        <v>BRU ()</v>
      </c>
    </row>
    <row r="6083" spans="1:14" x14ac:dyDescent="0.3">
      <c r="A6083" s="1">
        <v>45199</v>
      </c>
      <c r="B6083" t="s">
        <v>84</v>
      </c>
      <c r="C6083" t="s">
        <v>15</v>
      </c>
      <c r="D6083" s="8"/>
      <c r="E6083" s="8"/>
      <c r="M6083" t="s">
        <v>478</v>
      </c>
      <c r="N6083" t="str">
        <f>Tabela_tudo[[#This Row],[Médico]]&amp;" ("&amp;Tabela_tudo[[#This Row],[Obs]]&amp;")"</f>
        <v>ANO ()</v>
      </c>
    </row>
    <row r="6084" spans="1:14" x14ac:dyDescent="0.3">
      <c r="A6084" s="1">
        <v>45044</v>
      </c>
      <c r="B6084" t="s">
        <v>283</v>
      </c>
      <c r="C6084" t="s">
        <v>464</v>
      </c>
      <c r="D6084" s="8"/>
      <c r="E6084" s="8"/>
      <c r="M6084" t="s">
        <v>478</v>
      </c>
      <c r="N6084" t="str">
        <f>Tabela_tudo[[#This Row],[Médico]]&amp;" ("&amp;Tabela_tudo[[#This Row],[Obs]]&amp;")"</f>
        <v>JU ()</v>
      </c>
    </row>
    <row r="6085" spans="1:14" x14ac:dyDescent="0.3">
      <c r="A6085" s="1">
        <v>45210</v>
      </c>
      <c r="B6085" t="s">
        <v>94</v>
      </c>
      <c r="C6085" t="s">
        <v>18</v>
      </c>
      <c r="D6085" s="8"/>
      <c r="E6085" s="8"/>
      <c r="M6085" t="s">
        <v>478</v>
      </c>
      <c r="N6085" t="str">
        <f>Tabela_tudo[[#This Row],[Médico]]&amp;" ("&amp;Tabela_tudo[[#This Row],[Obs]]&amp;")"</f>
        <v>TOT ()</v>
      </c>
    </row>
    <row r="6086" spans="1:14" x14ac:dyDescent="0.3">
      <c r="A6086" s="1">
        <v>45043</v>
      </c>
      <c r="B6086" t="s">
        <v>23</v>
      </c>
      <c r="C6086" t="s">
        <v>464</v>
      </c>
      <c r="D6086" s="8"/>
      <c r="E6086" s="8"/>
      <c r="M6086" t="s">
        <v>478</v>
      </c>
      <c r="N6086" t="str">
        <f>Tabela_tudo[[#This Row],[Médico]]&amp;" ("&amp;Tabela_tudo[[#This Row],[Obs]]&amp;")"</f>
        <v>BG ()</v>
      </c>
    </row>
    <row r="6087" spans="1:14" x14ac:dyDescent="0.3">
      <c r="A6087" s="1">
        <v>45210</v>
      </c>
      <c r="B6087" t="s">
        <v>68</v>
      </c>
      <c r="C6087" t="s">
        <v>46</v>
      </c>
      <c r="D6087" s="8"/>
      <c r="E6087" s="8"/>
      <c r="M6087" t="s">
        <v>478</v>
      </c>
      <c r="N6087" t="str">
        <f>Tabela_tudo[[#This Row],[Médico]]&amp;" ("&amp;Tabela_tudo[[#This Row],[Obs]]&amp;")"</f>
        <v>PED ()</v>
      </c>
    </row>
    <row r="6088" spans="1:14" x14ac:dyDescent="0.3">
      <c r="A6088" s="1">
        <v>45042</v>
      </c>
      <c r="B6088" t="s">
        <v>283</v>
      </c>
      <c r="C6088" t="s">
        <v>464</v>
      </c>
      <c r="D6088" s="8"/>
      <c r="E6088" s="8"/>
      <c r="M6088" t="s">
        <v>478</v>
      </c>
      <c r="N6088" t="str">
        <f>Tabela_tudo[[#This Row],[Médico]]&amp;" ("&amp;Tabela_tudo[[#This Row],[Obs]]&amp;")"</f>
        <v>JU ()</v>
      </c>
    </row>
    <row r="6089" spans="1:14" x14ac:dyDescent="0.3">
      <c r="A6089" s="1">
        <v>45210</v>
      </c>
      <c r="B6089" t="s">
        <v>73</v>
      </c>
      <c r="C6089" t="s">
        <v>51</v>
      </c>
      <c r="D6089" s="8"/>
      <c r="E6089" s="8"/>
      <c r="M6089" t="s">
        <v>478</v>
      </c>
      <c r="N6089" t="str">
        <f>Tabela_tudo[[#This Row],[Médico]]&amp;" ("&amp;Tabela_tudo[[#This Row],[Obs]]&amp;")"</f>
        <v>RT ()</v>
      </c>
    </row>
    <row r="6090" spans="1:14" x14ac:dyDescent="0.3">
      <c r="A6090" s="1">
        <v>45043</v>
      </c>
      <c r="B6090" t="s">
        <v>283</v>
      </c>
      <c r="C6090" t="s">
        <v>464</v>
      </c>
      <c r="D6090" s="8"/>
      <c r="E6090" s="8"/>
      <c r="M6090" t="s">
        <v>478</v>
      </c>
      <c r="N6090" t="str">
        <f>Tabela_tudo[[#This Row],[Médico]]&amp;" ("&amp;Tabela_tudo[[#This Row],[Obs]]&amp;")"</f>
        <v>JU ()</v>
      </c>
    </row>
    <row r="6091" spans="1:14" x14ac:dyDescent="0.3">
      <c r="A6091" s="1">
        <v>45210</v>
      </c>
      <c r="B6091" t="s">
        <v>48</v>
      </c>
      <c r="C6091" t="s">
        <v>49</v>
      </c>
      <c r="D6091" s="8"/>
      <c r="E6091" s="8"/>
      <c r="M6091" t="s">
        <v>478</v>
      </c>
      <c r="N6091" t="str">
        <f>Tabela_tudo[[#This Row],[Médico]]&amp;" ("&amp;Tabela_tudo[[#This Row],[Obs]]&amp;")"</f>
        <v>MAF ()</v>
      </c>
    </row>
    <row r="6092" spans="1:14" x14ac:dyDescent="0.3">
      <c r="A6092" s="1">
        <v>45044</v>
      </c>
      <c r="B6092" t="s">
        <v>23</v>
      </c>
      <c r="C6092" t="s">
        <v>464</v>
      </c>
      <c r="D6092" s="8"/>
      <c r="E6092" s="8"/>
      <c r="M6092" t="s">
        <v>478</v>
      </c>
      <c r="N6092" t="str">
        <f>Tabela_tudo[[#This Row],[Médico]]&amp;" ("&amp;Tabela_tudo[[#This Row],[Obs]]&amp;")"</f>
        <v>BG ()</v>
      </c>
    </row>
    <row r="6093" spans="1:14" x14ac:dyDescent="0.3">
      <c r="A6093" s="1">
        <v>45127</v>
      </c>
      <c r="B6093" t="s">
        <v>84</v>
      </c>
      <c r="C6093" t="s">
        <v>43</v>
      </c>
      <c r="D6093" s="8"/>
      <c r="E6093" s="8"/>
      <c r="M6093" t="s">
        <v>478</v>
      </c>
      <c r="N6093" t="str">
        <f>Tabela_tudo[[#This Row],[Médico]]&amp;" ("&amp;Tabela_tudo[[#This Row],[Obs]]&amp;")"</f>
        <v>ANO ()</v>
      </c>
    </row>
    <row r="6094" spans="1:14" x14ac:dyDescent="0.3">
      <c r="A6094" s="1">
        <v>45047</v>
      </c>
      <c r="B6094" t="s">
        <v>23</v>
      </c>
      <c r="C6094" t="s">
        <v>464</v>
      </c>
      <c r="D6094" s="8"/>
      <c r="E6094" s="8"/>
      <c r="M6094" t="s">
        <v>478</v>
      </c>
      <c r="N6094" t="str">
        <f>Tabela_tudo[[#This Row],[Médico]]&amp;" ("&amp;Tabela_tudo[[#This Row],[Obs]]&amp;")"</f>
        <v>BG ()</v>
      </c>
    </row>
    <row r="6095" spans="1:14" x14ac:dyDescent="0.3">
      <c r="A6095" s="1">
        <v>45127</v>
      </c>
      <c r="B6095" t="s">
        <v>52</v>
      </c>
      <c r="C6095" t="s">
        <v>45</v>
      </c>
      <c r="D6095" s="8"/>
      <c r="E6095" s="8"/>
      <c r="M6095" t="s">
        <v>478</v>
      </c>
      <c r="N6095" t="str">
        <f>Tabela_tudo[[#This Row],[Médico]]&amp;" ("&amp;Tabela_tudo[[#This Row],[Obs]]&amp;")"</f>
        <v>AEL ()</v>
      </c>
    </row>
    <row r="6096" spans="1:14" x14ac:dyDescent="0.3">
      <c r="A6096" s="1">
        <v>45048</v>
      </c>
      <c r="B6096" t="s">
        <v>23</v>
      </c>
      <c r="C6096" t="s">
        <v>464</v>
      </c>
      <c r="D6096" s="8"/>
      <c r="E6096" s="8"/>
      <c r="M6096" t="s">
        <v>478</v>
      </c>
      <c r="N6096" t="str">
        <f>Tabela_tudo[[#This Row],[Médico]]&amp;" ("&amp;Tabela_tudo[[#This Row],[Obs]]&amp;")"</f>
        <v>BG ()</v>
      </c>
    </row>
    <row r="6097" spans="1:14" x14ac:dyDescent="0.3">
      <c r="A6097" s="1">
        <v>45127</v>
      </c>
      <c r="B6097" t="s">
        <v>14</v>
      </c>
      <c r="C6097" t="s">
        <v>46</v>
      </c>
      <c r="D6097" s="8"/>
      <c r="E6097" s="8"/>
      <c r="M6097" t="s">
        <v>478</v>
      </c>
      <c r="N6097" t="str">
        <f>Tabela_tudo[[#This Row],[Médico]]&amp;" ("&amp;Tabela_tudo[[#This Row],[Obs]]&amp;")"</f>
        <v>PW ()</v>
      </c>
    </row>
    <row r="6098" spans="1:14" x14ac:dyDescent="0.3">
      <c r="A6098" s="1">
        <v>45045</v>
      </c>
      <c r="B6098" t="s">
        <v>23</v>
      </c>
      <c r="C6098" t="s">
        <v>464</v>
      </c>
      <c r="D6098" s="8"/>
      <c r="E6098" s="8"/>
      <c r="M6098" t="s">
        <v>478</v>
      </c>
      <c r="N6098" t="str">
        <f>Tabela_tudo[[#This Row],[Médico]]&amp;" ("&amp;Tabela_tudo[[#This Row],[Obs]]&amp;")"</f>
        <v>BG ()</v>
      </c>
    </row>
    <row r="6099" spans="1:14" x14ac:dyDescent="0.3">
      <c r="A6099" s="1">
        <v>45127</v>
      </c>
      <c r="B6099" t="s">
        <v>68</v>
      </c>
      <c r="C6099" t="s">
        <v>8</v>
      </c>
      <c r="D6099" s="8"/>
      <c r="E6099" s="8"/>
      <c r="M6099" t="s">
        <v>478</v>
      </c>
      <c r="N6099" t="str">
        <f>Tabela_tudo[[#This Row],[Médico]]&amp;" ("&amp;Tabela_tudo[[#This Row],[Obs]]&amp;")"</f>
        <v>PED ()</v>
      </c>
    </row>
    <row r="6100" spans="1:14" x14ac:dyDescent="0.3">
      <c r="A6100" s="1">
        <v>45046</v>
      </c>
      <c r="B6100" t="s">
        <v>23</v>
      </c>
      <c r="C6100" t="s">
        <v>464</v>
      </c>
      <c r="D6100" s="8"/>
      <c r="E6100" s="8"/>
      <c r="M6100" t="s">
        <v>478</v>
      </c>
      <c r="N6100" t="str">
        <f>Tabela_tudo[[#This Row],[Médico]]&amp;" ("&amp;Tabela_tudo[[#This Row],[Obs]]&amp;")"</f>
        <v>BG ()</v>
      </c>
    </row>
    <row r="6101" spans="1:14" x14ac:dyDescent="0.3">
      <c r="A6101" s="1">
        <v>45123</v>
      </c>
      <c r="B6101" t="s">
        <v>71</v>
      </c>
      <c r="C6101" t="s">
        <v>78</v>
      </c>
      <c r="D6101" s="8"/>
      <c r="E6101" s="8"/>
      <c r="M6101" t="s">
        <v>478</v>
      </c>
      <c r="N6101" t="str">
        <f>Tabela_tudo[[#This Row],[Médico]]&amp;" ("&amp;Tabela_tudo[[#This Row],[Obs]]&amp;")"</f>
        <v>BRU ()</v>
      </c>
    </row>
    <row r="6102" spans="1:14" x14ac:dyDescent="0.3">
      <c r="A6102" s="1">
        <v>45040</v>
      </c>
      <c r="B6102" t="s">
        <v>21</v>
      </c>
      <c r="C6102" t="s">
        <v>464</v>
      </c>
      <c r="D6102" s="8"/>
      <c r="E6102" s="8"/>
      <c r="M6102" t="s">
        <v>478</v>
      </c>
      <c r="N6102" t="str">
        <f>Tabela_tudo[[#This Row],[Médico]]&amp;" ("&amp;Tabela_tudo[[#This Row],[Obs]]&amp;")"</f>
        <v>RA ()</v>
      </c>
    </row>
    <row r="6103" spans="1:14" x14ac:dyDescent="0.3">
      <c r="A6103" s="1">
        <v>45127</v>
      </c>
      <c r="B6103" t="s">
        <v>72</v>
      </c>
      <c r="C6103" t="s">
        <v>13</v>
      </c>
      <c r="D6103" s="8"/>
      <c r="E6103" s="8"/>
      <c r="M6103" t="s">
        <v>478</v>
      </c>
      <c r="N6103" t="str">
        <f>Tabela_tudo[[#This Row],[Médico]]&amp;" ("&amp;Tabela_tudo[[#This Row],[Obs]]&amp;")"</f>
        <v>GRA ()</v>
      </c>
    </row>
    <row r="6104" spans="1:14" x14ac:dyDescent="0.3">
      <c r="A6104" s="1">
        <v>45041</v>
      </c>
      <c r="B6104" t="s">
        <v>21</v>
      </c>
      <c r="C6104" t="s">
        <v>464</v>
      </c>
      <c r="D6104" s="8"/>
      <c r="E6104" s="8"/>
      <c r="M6104" t="s">
        <v>478</v>
      </c>
      <c r="N6104" t="str">
        <f>Tabela_tudo[[#This Row],[Médico]]&amp;" ("&amp;Tabela_tudo[[#This Row],[Obs]]&amp;")"</f>
        <v>RA ()</v>
      </c>
    </row>
    <row r="6105" spans="1:14" x14ac:dyDescent="0.3">
      <c r="A6105" s="1">
        <v>45127</v>
      </c>
      <c r="B6105" t="s">
        <v>84</v>
      </c>
      <c r="C6105" t="s">
        <v>15</v>
      </c>
      <c r="D6105" s="8"/>
      <c r="E6105" s="8"/>
      <c r="M6105" t="s">
        <v>478</v>
      </c>
      <c r="N6105" t="str">
        <f>Tabela_tudo[[#This Row],[Médico]]&amp;" ("&amp;Tabela_tudo[[#This Row],[Obs]]&amp;")"</f>
        <v>ANO ()</v>
      </c>
    </row>
    <row r="6106" spans="1:14" x14ac:dyDescent="0.3">
      <c r="A6106" s="1">
        <v>45038</v>
      </c>
      <c r="B6106" t="s">
        <v>71</v>
      </c>
      <c r="C6106" t="s">
        <v>465</v>
      </c>
      <c r="D6106" s="8"/>
      <c r="E6106" s="8"/>
      <c r="M6106" t="s">
        <v>478</v>
      </c>
      <c r="N6106" t="str">
        <f>Tabela_tudo[[#This Row],[Médico]]&amp;" ("&amp;Tabela_tudo[[#This Row],[Obs]]&amp;")"</f>
        <v>BRU ()</v>
      </c>
    </row>
    <row r="6107" spans="1:14" x14ac:dyDescent="0.3">
      <c r="A6107" s="1">
        <v>45126</v>
      </c>
      <c r="B6107" t="s">
        <v>52</v>
      </c>
      <c r="C6107" t="s">
        <v>15</v>
      </c>
      <c r="D6107" s="8"/>
      <c r="E6107" s="8"/>
      <c r="M6107" t="s">
        <v>478</v>
      </c>
      <c r="N6107" t="str">
        <f>Tabela_tudo[[#This Row],[Médico]]&amp;" ("&amp;Tabela_tudo[[#This Row],[Obs]]&amp;")"</f>
        <v>AEL ()</v>
      </c>
    </row>
    <row r="6108" spans="1:14" x14ac:dyDescent="0.3">
      <c r="A6108" s="1">
        <v>45039</v>
      </c>
      <c r="B6108" t="s">
        <v>71</v>
      </c>
      <c r="C6108" t="s">
        <v>465</v>
      </c>
      <c r="D6108" s="8"/>
      <c r="E6108" s="8"/>
      <c r="M6108" t="s">
        <v>478</v>
      </c>
      <c r="N6108" t="str">
        <f>Tabela_tudo[[#This Row],[Médico]]&amp;" ("&amp;Tabela_tudo[[#This Row],[Obs]]&amp;")"</f>
        <v>BRU ()</v>
      </c>
    </row>
    <row r="6109" spans="1:14" x14ac:dyDescent="0.3">
      <c r="A6109" s="1">
        <v>45126</v>
      </c>
      <c r="B6109" t="s">
        <v>33</v>
      </c>
      <c r="C6109" t="s">
        <v>8</v>
      </c>
      <c r="D6109" s="8"/>
      <c r="E6109" s="8"/>
      <c r="M6109" t="s">
        <v>478</v>
      </c>
      <c r="N6109" t="str">
        <f>Tabela_tudo[[#This Row],[Médico]]&amp;" ("&amp;Tabela_tudo[[#This Row],[Obs]]&amp;")"</f>
        <v>DIF ()</v>
      </c>
    </row>
    <row r="6110" spans="1:14" x14ac:dyDescent="0.3">
      <c r="A6110" s="1">
        <v>45042</v>
      </c>
      <c r="B6110" t="s">
        <v>21</v>
      </c>
      <c r="C6110" t="s">
        <v>464</v>
      </c>
      <c r="D6110" s="8"/>
      <c r="E6110" s="8"/>
      <c r="M6110" t="s">
        <v>478</v>
      </c>
      <c r="N6110" t="str">
        <f>Tabela_tudo[[#This Row],[Médico]]&amp;" ("&amp;Tabela_tudo[[#This Row],[Obs]]&amp;")"</f>
        <v>RA ()</v>
      </c>
    </row>
    <row r="6111" spans="1:14" x14ac:dyDescent="0.3">
      <c r="A6111" s="1">
        <v>45128</v>
      </c>
      <c r="B6111" t="s">
        <v>66</v>
      </c>
      <c r="C6111" t="s">
        <v>13</v>
      </c>
      <c r="D6111" s="8"/>
      <c r="E6111" s="8"/>
      <c r="M6111" t="s">
        <v>478</v>
      </c>
      <c r="N6111" t="str">
        <f>Tabela_tudo[[#This Row],[Médico]]&amp;" ("&amp;Tabela_tudo[[#This Row],[Obs]]&amp;")"</f>
        <v>MOZ ()</v>
      </c>
    </row>
    <row r="6112" spans="1:14" x14ac:dyDescent="0.3">
      <c r="A6112" s="1">
        <v>45040</v>
      </c>
      <c r="B6112" t="s">
        <v>283</v>
      </c>
      <c r="C6112" t="s">
        <v>464</v>
      </c>
      <c r="D6112" s="8"/>
      <c r="E6112" s="8"/>
      <c r="M6112" t="s">
        <v>478</v>
      </c>
      <c r="N6112" t="str">
        <f>Tabela_tudo[[#This Row],[Médico]]&amp;" ("&amp;Tabela_tudo[[#This Row],[Obs]]&amp;")"</f>
        <v>JU ()</v>
      </c>
    </row>
    <row r="6113" spans="1:14" x14ac:dyDescent="0.3">
      <c r="A6113" s="1">
        <v>45126</v>
      </c>
      <c r="B6113" t="s">
        <v>75</v>
      </c>
      <c r="C6113" t="s">
        <v>13</v>
      </c>
      <c r="D6113" s="8"/>
      <c r="E6113" s="8"/>
      <c r="M6113" t="s">
        <v>478</v>
      </c>
      <c r="N6113" t="str">
        <f>Tabela_tudo[[#This Row],[Médico]]&amp;" ("&amp;Tabela_tudo[[#This Row],[Obs]]&amp;")"</f>
        <v>KOP ()</v>
      </c>
    </row>
    <row r="6114" spans="1:14" x14ac:dyDescent="0.3">
      <c r="A6114" s="1">
        <v>45041</v>
      </c>
      <c r="B6114" t="s">
        <v>283</v>
      </c>
      <c r="C6114" t="s">
        <v>464</v>
      </c>
      <c r="D6114" s="8"/>
      <c r="E6114" s="8"/>
      <c r="M6114" t="s">
        <v>478</v>
      </c>
      <c r="N6114" t="str">
        <f>Tabela_tudo[[#This Row],[Médico]]&amp;" ("&amp;Tabela_tudo[[#This Row],[Obs]]&amp;")"</f>
        <v>JU ()</v>
      </c>
    </row>
    <row r="6115" spans="1:14" x14ac:dyDescent="0.3">
      <c r="A6115" s="1">
        <v>45127</v>
      </c>
      <c r="B6115" t="s">
        <v>63</v>
      </c>
      <c r="C6115" t="s">
        <v>18</v>
      </c>
      <c r="D6115" s="8"/>
      <c r="E6115" s="8"/>
      <c r="M6115" t="s">
        <v>478</v>
      </c>
      <c r="N6115" t="str">
        <f>Tabela_tudo[[#This Row],[Médico]]&amp;" ("&amp;Tabela_tudo[[#This Row],[Obs]]&amp;")"</f>
        <v>FQ ()</v>
      </c>
    </row>
    <row r="6116" spans="1:14" x14ac:dyDescent="0.3">
      <c r="A6116" s="1">
        <v>45043</v>
      </c>
      <c r="B6116" t="s">
        <v>21</v>
      </c>
      <c r="C6116" t="s">
        <v>464</v>
      </c>
      <c r="D6116" s="8"/>
      <c r="E6116" s="8"/>
      <c r="M6116" t="s">
        <v>478</v>
      </c>
      <c r="N6116" t="str">
        <f>Tabela_tudo[[#This Row],[Médico]]&amp;" ("&amp;Tabela_tudo[[#This Row],[Obs]]&amp;")"</f>
        <v>RA ()</v>
      </c>
    </row>
    <row r="6117" spans="1:14" x14ac:dyDescent="0.3">
      <c r="A6117" s="1">
        <v>45127</v>
      </c>
      <c r="B6117" t="s">
        <v>71</v>
      </c>
      <c r="C6117" t="s">
        <v>49</v>
      </c>
      <c r="D6117" s="8"/>
      <c r="E6117" s="8"/>
      <c r="M6117" t="s">
        <v>478</v>
      </c>
      <c r="N6117" t="str">
        <f>Tabela_tudo[[#This Row],[Médico]]&amp;" ("&amp;Tabela_tudo[[#This Row],[Obs]]&amp;")"</f>
        <v>BRU ()</v>
      </c>
    </row>
    <row r="6118" spans="1:14" x14ac:dyDescent="0.3">
      <c r="A6118" s="1">
        <v>45044</v>
      </c>
      <c r="B6118" t="s">
        <v>21</v>
      </c>
      <c r="C6118" t="s">
        <v>464</v>
      </c>
      <c r="D6118" s="8"/>
      <c r="E6118" s="8"/>
      <c r="M6118" t="s">
        <v>478</v>
      </c>
      <c r="N6118" t="str">
        <f>Tabela_tudo[[#This Row],[Médico]]&amp;" ("&amp;Tabela_tudo[[#This Row],[Obs]]&amp;")"</f>
        <v>RA ()</v>
      </c>
    </row>
    <row r="6119" spans="1:14" x14ac:dyDescent="0.3">
      <c r="A6119" s="1">
        <v>45127</v>
      </c>
      <c r="B6119" t="s">
        <v>34</v>
      </c>
      <c r="C6119" t="s">
        <v>51</v>
      </c>
      <c r="D6119" s="8"/>
      <c r="E6119" s="8"/>
      <c r="M6119" t="s">
        <v>478</v>
      </c>
      <c r="N6119" t="str">
        <f>Tabela_tudo[[#This Row],[Médico]]&amp;" ("&amp;Tabela_tudo[[#This Row],[Obs]]&amp;")"</f>
        <v>LIP ()</v>
      </c>
    </row>
    <row r="6120" spans="1:14" x14ac:dyDescent="0.3">
      <c r="A6120" s="1">
        <v>45064</v>
      </c>
      <c r="B6120" t="s">
        <v>63</v>
      </c>
      <c r="C6120" t="s">
        <v>464</v>
      </c>
      <c r="D6120" s="8"/>
      <c r="E6120" s="8"/>
      <c r="M6120" t="s">
        <v>478</v>
      </c>
      <c r="N6120" t="str">
        <f>Tabela_tudo[[#This Row],[Médico]]&amp;" ("&amp;Tabela_tudo[[#This Row],[Obs]]&amp;")"</f>
        <v>FQ ()</v>
      </c>
    </row>
    <row r="6121" spans="1:14" x14ac:dyDescent="0.3">
      <c r="A6121" s="1">
        <v>45123</v>
      </c>
      <c r="B6121" t="s">
        <v>75</v>
      </c>
      <c r="C6121" t="s">
        <v>8</v>
      </c>
      <c r="D6121" s="8"/>
      <c r="E6121" s="8"/>
      <c r="M6121" t="s">
        <v>478</v>
      </c>
      <c r="N6121" t="str">
        <f>Tabela_tudo[[#This Row],[Médico]]&amp;" ("&amp;Tabela_tudo[[#This Row],[Obs]]&amp;")"</f>
        <v>KOP ()</v>
      </c>
    </row>
    <row r="6122" spans="1:14" x14ac:dyDescent="0.3">
      <c r="A6122" s="1">
        <v>45065</v>
      </c>
      <c r="B6122" t="s">
        <v>63</v>
      </c>
      <c r="C6122" t="s">
        <v>464</v>
      </c>
      <c r="D6122" s="8"/>
      <c r="E6122" s="8"/>
      <c r="M6122" t="s">
        <v>478</v>
      </c>
      <c r="N6122" t="str">
        <f>Tabela_tudo[[#This Row],[Médico]]&amp;" ("&amp;Tabela_tudo[[#This Row],[Obs]]&amp;")"</f>
        <v>FQ ()</v>
      </c>
    </row>
    <row r="6123" spans="1:14" x14ac:dyDescent="0.3">
      <c r="A6123" s="1">
        <v>45115</v>
      </c>
      <c r="B6123" t="s">
        <v>66</v>
      </c>
      <c r="C6123" t="s">
        <v>13</v>
      </c>
      <c r="D6123" s="8"/>
      <c r="E6123" s="8"/>
      <c r="M6123" t="s">
        <v>478</v>
      </c>
      <c r="N6123" t="str">
        <f>Tabela_tudo[[#This Row],[Médico]]&amp;" ("&amp;Tabela_tudo[[#This Row],[Obs]]&amp;")"</f>
        <v>MOZ ()</v>
      </c>
    </row>
    <row r="6124" spans="1:14" x14ac:dyDescent="0.3">
      <c r="A6124" s="1">
        <v>45062</v>
      </c>
      <c r="B6124" t="s">
        <v>63</v>
      </c>
      <c r="C6124" t="s">
        <v>464</v>
      </c>
      <c r="D6124" s="8"/>
      <c r="E6124" s="8"/>
      <c r="M6124" t="s">
        <v>478</v>
      </c>
      <c r="N6124" t="str">
        <f>Tabela_tudo[[#This Row],[Médico]]&amp;" ("&amp;Tabela_tudo[[#This Row],[Obs]]&amp;")"</f>
        <v>FQ ()</v>
      </c>
    </row>
    <row r="6125" spans="1:14" x14ac:dyDescent="0.3">
      <c r="A6125" s="1">
        <v>45115</v>
      </c>
      <c r="B6125" t="s">
        <v>68</v>
      </c>
      <c r="C6125" t="s">
        <v>8</v>
      </c>
      <c r="D6125" s="8"/>
      <c r="E6125" s="8"/>
      <c r="M6125" t="s">
        <v>478</v>
      </c>
      <c r="N6125" t="str">
        <f>Tabela_tudo[[#This Row],[Médico]]&amp;" ("&amp;Tabela_tudo[[#This Row],[Obs]]&amp;")"</f>
        <v>PED ()</v>
      </c>
    </row>
    <row r="6126" spans="1:14" x14ac:dyDescent="0.3">
      <c r="A6126" s="1">
        <v>45063</v>
      </c>
      <c r="B6126" t="s">
        <v>63</v>
      </c>
      <c r="C6126" t="s">
        <v>464</v>
      </c>
      <c r="D6126" s="8"/>
      <c r="E6126" s="8"/>
      <c r="M6126" t="s">
        <v>478</v>
      </c>
      <c r="N6126" t="str">
        <f>Tabela_tudo[[#This Row],[Médico]]&amp;" ("&amp;Tabela_tudo[[#This Row],[Obs]]&amp;")"</f>
        <v>FQ ()</v>
      </c>
    </row>
    <row r="6127" spans="1:14" x14ac:dyDescent="0.3">
      <c r="A6127" s="1">
        <v>45115</v>
      </c>
      <c r="B6127" t="s">
        <v>63</v>
      </c>
      <c r="C6127" t="s">
        <v>78</v>
      </c>
      <c r="D6127" s="8"/>
      <c r="E6127" s="8"/>
      <c r="M6127" t="s">
        <v>478</v>
      </c>
      <c r="N6127" t="str">
        <f>Tabela_tudo[[#This Row],[Médico]]&amp;" ("&amp;Tabela_tudo[[#This Row],[Obs]]&amp;")"</f>
        <v>FQ ()</v>
      </c>
    </row>
    <row r="6128" spans="1:14" x14ac:dyDescent="0.3">
      <c r="A6128" s="1">
        <v>45054</v>
      </c>
      <c r="B6128" t="s">
        <v>66</v>
      </c>
      <c r="C6128" t="s">
        <v>464</v>
      </c>
      <c r="D6128" s="8"/>
      <c r="E6128" s="8"/>
      <c r="M6128" t="s">
        <v>478</v>
      </c>
      <c r="N6128" t="str">
        <f>Tabela_tudo[[#This Row],[Médico]]&amp;" ("&amp;Tabela_tudo[[#This Row],[Obs]]&amp;")"</f>
        <v>MOZ ()</v>
      </c>
    </row>
    <row r="6129" spans="1:14" x14ac:dyDescent="0.3">
      <c r="A6129" s="1">
        <v>45109</v>
      </c>
      <c r="B6129" t="s">
        <v>72</v>
      </c>
      <c r="C6129" t="s">
        <v>78</v>
      </c>
      <c r="D6129" s="8"/>
      <c r="E6129" s="8"/>
      <c r="M6129" t="s">
        <v>478</v>
      </c>
      <c r="N6129" t="str">
        <f>Tabela_tudo[[#This Row],[Médico]]&amp;" ("&amp;Tabela_tudo[[#This Row],[Obs]]&amp;")"</f>
        <v>GRA ()</v>
      </c>
    </row>
    <row r="6130" spans="1:14" x14ac:dyDescent="0.3">
      <c r="A6130" s="1">
        <v>45057</v>
      </c>
      <c r="B6130" t="s">
        <v>66</v>
      </c>
      <c r="C6130" t="s">
        <v>464</v>
      </c>
      <c r="D6130" s="8"/>
      <c r="E6130" s="8"/>
      <c r="M6130" t="s">
        <v>478</v>
      </c>
      <c r="N6130" t="str">
        <f>Tabela_tudo[[#This Row],[Médico]]&amp;" ("&amp;Tabela_tudo[[#This Row],[Obs]]&amp;")"</f>
        <v>MOZ ()</v>
      </c>
    </row>
    <row r="6131" spans="1:14" x14ac:dyDescent="0.3">
      <c r="A6131" s="1">
        <v>45100</v>
      </c>
      <c r="B6131" t="s">
        <v>7</v>
      </c>
      <c r="C6131" t="s">
        <v>30</v>
      </c>
      <c r="D6131" s="8"/>
      <c r="E6131" s="8"/>
      <c r="M6131" t="s">
        <v>478</v>
      </c>
      <c r="N6131" t="str">
        <f>Tabela_tudo[[#This Row],[Médico]]&amp;" ("&amp;Tabela_tudo[[#This Row],[Obs]]&amp;")"</f>
        <v>ARI ()</v>
      </c>
    </row>
    <row r="6132" spans="1:14" x14ac:dyDescent="0.3">
      <c r="A6132" s="1">
        <v>45058</v>
      </c>
      <c r="B6132" t="s">
        <v>66</v>
      </c>
      <c r="C6132" t="s">
        <v>464</v>
      </c>
      <c r="D6132" s="8"/>
      <c r="E6132" s="8"/>
      <c r="M6132" t="s">
        <v>478</v>
      </c>
      <c r="N6132" t="str">
        <f>Tabela_tudo[[#This Row],[Médico]]&amp;" ("&amp;Tabela_tudo[[#This Row],[Obs]]&amp;")"</f>
        <v>MOZ ()</v>
      </c>
    </row>
    <row r="6133" spans="1:14" x14ac:dyDescent="0.3">
      <c r="A6133" s="1">
        <v>45109</v>
      </c>
      <c r="B6133" t="s">
        <v>44</v>
      </c>
      <c r="C6133" t="s">
        <v>13</v>
      </c>
      <c r="D6133" s="8"/>
      <c r="E6133" s="8"/>
      <c r="M6133" t="s">
        <v>478</v>
      </c>
      <c r="N6133" t="str">
        <f>Tabela_tudo[[#This Row],[Médico]]&amp;" ("&amp;Tabela_tudo[[#This Row],[Obs]]&amp;")"</f>
        <v>REI ()</v>
      </c>
    </row>
    <row r="6134" spans="1:14" x14ac:dyDescent="0.3">
      <c r="A6134" s="1">
        <v>45055</v>
      </c>
      <c r="B6134" t="s">
        <v>66</v>
      </c>
      <c r="C6134" t="s">
        <v>464</v>
      </c>
      <c r="D6134" s="8"/>
      <c r="E6134" s="8"/>
      <c r="M6134" t="s">
        <v>478</v>
      </c>
      <c r="N6134" t="str">
        <f>Tabela_tudo[[#This Row],[Médico]]&amp;" ("&amp;Tabela_tudo[[#This Row],[Obs]]&amp;")"</f>
        <v>MOZ ()</v>
      </c>
    </row>
    <row r="6135" spans="1:14" x14ac:dyDescent="0.3">
      <c r="A6135" s="1">
        <v>45109</v>
      </c>
      <c r="B6135" t="s">
        <v>37</v>
      </c>
      <c r="C6135" t="s">
        <v>8</v>
      </c>
      <c r="D6135" s="8"/>
      <c r="E6135" s="8"/>
      <c r="M6135" t="s">
        <v>478</v>
      </c>
      <c r="N6135" t="str">
        <f>Tabela_tudo[[#This Row],[Médico]]&amp;" ("&amp;Tabela_tudo[[#This Row],[Obs]]&amp;")"</f>
        <v>EBB ()</v>
      </c>
    </row>
    <row r="6136" spans="1:14" x14ac:dyDescent="0.3">
      <c r="A6136" s="1">
        <v>45056</v>
      </c>
      <c r="B6136" t="s">
        <v>66</v>
      </c>
      <c r="C6136" t="s">
        <v>464</v>
      </c>
      <c r="D6136" s="8"/>
      <c r="E6136" s="8"/>
      <c r="M6136" t="s">
        <v>478</v>
      </c>
      <c r="N6136" t="str">
        <f>Tabela_tudo[[#This Row],[Médico]]&amp;" ("&amp;Tabela_tudo[[#This Row],[Obs]]&amp;")"</f>
        <v>MOZ ()</v>
      </c>
    </row>
    <row r="6137" spans="1:14" x14ac:dyDescent="0.3">
      <c r="A6137" s="1">
        <v>45122</v>
      </c>
      <c r="B6137" t="s">
        <v>71</v>
      </c>
      <c r="C6137" t="s">
        <v>8</v>
      </c>
      <c r="D6137" s="8"/>
      <c r="E6137" s="8"/>
      <c r="M6137" t="s">
        <v>478</v>
      </c>
      <c r="N6137" t="str">
        <f>Tabela_tudo[[#This Row],[Médico]]&amp;" ("&amp;Tabela_tudo[[#This Row],[Obs]]&amp;")"</f>
        <v>BRU ()</v>
      </c>
    </row>
    <row r="6138" spans="1:14" x14ac:dyDescent="0.3">
      <c r="A6138" s="1">
        <v>45055</v>
      </c>
      <c r="B6138" t="s">
        <v>63</v>
      </c>
      <c r="C6138" t="s">
        <v>464</v>
      </c>
      <c r="D6138" s="8"/>
      <c r="E6138" s="8"/>
      <c r="M6138" t="s">
        <v>478</v>
      </c>
      <c r="N6138" t="str">
        <f>Tabela_tudo[[#This Row],[Médico]]&amp;" ("&amp;Tabela_tudo[[#This Row],[Obs]]&amp;")"</f>
        <v>FQ ()</v>
      </c>
    </row>
    <row r="6139" spans="1:14" x14ac:dyDescent="0.3">
      <c r="A6139" s="1">
        <v>45122</v>
      </c>
      <c r="B6139" t="s">
        <v>142</v>
      </c>
      <c r="C6139" t="s">
        <v>78</v>
      </c>
      <c r="D6139" s="8"/>
      <c r="E6139" s="8"/>
      <c r="M6139" t="s">
        <v>478</v>
      </c>
      <c r="N6139" t="str">
        <f>Tabela_tudo[[#This Row],[Médico]]&amp;" ("&amp;Tabela_tudo[[#This Row],[Obs]]&amp;")"</f>
        <v>VIV ()</v>
      </c>
    </row>
    <row r="6140" spans="1:14" x14ac:dyDescent="0.3">
      <c r="A6140" s="1">
        <v>45056</v>
      </c>
      <c r="B6140" t="s">
        <v>63</v>
      </c>
      <c r="C6140" t="s">
        <v>464</v>
      </c>
      <c r="D6140" s="8"/>
      <c r="E6140" s="8"/>
      <c r="M6140" t="s">
        <v>478</v>
      </c>
      <c r="N6140" t="str">
        <f>Tabela_tudo[[#This Row],[Médico]]&amp;" ("&amp;Tabela_tudo[[#This Row],[Obs]]&amp;")"</f>
        <v>FQ ()</v>
      </c>
    </row>
    <row r="6141" spans="1:14" x14ac:dyDescent="0.3">
      <c r="A6141" s="1">
        <v>45123</v>
      </c>
      <c r="B6141" t="s">
        <v>142</v>
      </c>
      <c r="C6141" t="s">
        <v>13</v>
      </c>
      <c r="D6141" s="8"/>
      <c r="E6141" s="8"/>
      <c r="M6141" t="s">
        <v>478</v>
      </c>
      <c r="N6141" t="str">
        <f>Tabela_tudo[[#This Row],[Médico]]&amp;" ("&amp;Tabela_tudo[[#This Row],[Obs]]&amp;")"</f>
        <v>VIV ()</v>
      </c>
    </row>
    <row r="6142" spans="1:14" x14ac:dyDescent="0.3">
      <c r="A6142" s="1">
        <v>45072</v>
      </c>
      <c r="B6142" t="s">
        <v>14</v>
      </c>
      <c r="C6142" t="s">
        <v>464</v>
      </c>
      <c r="D6142" s="8"/>
      <c r="E6142" s="8"/>
      <c r="M6142" t="s">
        <v>478</v>
      </c>
      <c r="N6142" t="str">
        <f>Tabela_tudo[[#This Row],[Médico]]&amp;" ("&amp;Tabela_tudo[[#This Row],[Obs]]&amp;")"</f>
        <v>PW ()</v>
      </c>
    </row>
    <row r="6143" spans="1:14" x14ac:dyDescent="0.3">
      <c r="A6143" s="1">
        <v>45122</v>
      </c>
      <c r="B6143" t="s">
        <v>75</v>
      </c>
      <c r="C6143" t="s">
        <v>13</v>
      </c>
      <c r="D6143" s="8"/>
      <c r="E6143" s="8"/>
      <c r="M6143" t="s">
        <v>478</v>
      </c>
      <c r="N6143" t="str">
        <f>Tabela_tudo[[#This Row],[Médico]]&amp;" ("&amp;Tabela_tudo[[#This Row],[Obs]]&amp;")"</f>
        <v>KOP ()</v>
      </c>
    </row>
    <row r="6144" spans="1:14" x14ac:dyDescent="0.3">
      <c r="A6144" s="1">
        <v>45054</v>
      </c>
      <c r="B6144" t="s">
        <v>63</v>
      </c>
      <c r="C6144" t="s">
        <v>464</v>
      </c>
      <c r="D6144" s="8"/>
      <c r="E6144" s="8"/>
      <c r="M6144" t="s">
        <v>478</v>
      </c>
      <c r="N6144" t="str">
        <f>Tabela_tudo[[#This Row],[Médico]]&amp;" ("&amp;Tabela_tudo[[#This Row],[Obs]]&amp;")"</f>
        <v>FQ ()</v>
      </c>
    </row>
    <row r="6145" spans="1:14" x14ac:dyDescent="0.3">
      <c r="A6145" s="1">
        <v>45116</v>
      </c>
      <c r="B6145" t="s">
        <v>63</v>
      </c>
      <c r="C6145" t="s">
        <v>13</v>
      </c>
      <c r="D6145" s="8"/>
      <c r="E6145" s="8"/>
      <c r="M6145" t="s">
        <v>478</v>
      </c>
      <c r="N6145" t="str">
        <f>Tabela_tudo[[#This Row],[Médico]]&amp;" ("&amp;Tabela_tudo[[#This Row],[Obs]]&amp;")"</f>
        <v>FQ ()</v>
      </c>
    </row>
    <row r="6146" spans="1:14" x14ac:dyDescent="0.3">
      <c r="A6146" s="1">
        <v>45057</v>
      </c>
      <c r="B6146" t="s">
        <v>63</v>
      </c>
      <c r="C6146" t="s">
        <v>464</v>
      </c>
      <c r="D6146" s="8"/>
      <c r="E6146" s="8"/>
      <c r="M6146" t="s">
        <v>478</v>
      </c>
      <c r="N6146" t="str">
        <f>Tabela_tudo[[#This Row],[Médico]]&amp;" ("&amp;Tabela_tudo[[#This Row],[Obs]]&amp;")"</f>
        <v>FQ ()</v>
      </c>
    </row>
    <row r="6147" spans="1:14" x14ac:dyDescent="0.3">
      <c r="A6147" s="1">
        <v>45116</v>
      </c>
      <c r="B6147" t="s">
        <v>66</v>
      </c>
      <c r="C6147" t="s">
        <v>8</v>
      </c>
      <c r="D6147" s="8"/>
      <c r="E6147" s="8"/>
      <c r="M6147" t="s">
        <v>478</v>
      </c>
      <c r="N6147" t="str">
        <f>Tabela_tudo[[#This Row],[Médico]]&amp;" ("&amp;Tabela_tudo[[#This Row],[Obs]]&amp;")"</f>
        <v>MOZ ()</v>
      </c>
    </row>
    <row r="6148" spans="1:14" x14ac:dyDescent="0.3">
      <c r="A6148" s="1">
        <v>45060</v>
      </c>
      <c r="B6148" t="s">
        <v>63</v>
      </c>
      <c r="C6148" t="s">
        <v>464</v>
      </c>
      <c r="D6148" s="8"/>
      <c r="E6148" s="8"/>
      <c r="M6148" t="s">
        <v>478</v>
      </c>
      <c r="N6148" t="str">
        <f>Tabela_tudo[[#This Row],[Médico]]&amp;" ("&amp;Tabela_tudo[[#This Row],[Obs]]&amp;")"</f>
        <v>FQ ()</v>
      </c>
    </row>
    <row r="6149" spans="1:14" x14ac:dyDescent="0.3">
      <c r="A6149" s="1">
        <v>45116</v>
      </c>
      <c r="B6149" t="s">
        <v>68</v>
      </c>
      <c r="C6149" t="s">
        <v>78</v>
      </c>
      <c r="D6149" s="8"/>
      <c r="E6149" s="8"/>
      <c r="M6149" t="s">
        <v>478</v>
      </c>
      <c r="N6149" t="str">
        <f>Tabela_tudo[[#This Row],[Médico]]&amp;" ("&amp;Tabela_tudo[[#This Row],[Obs]]&amp;")"</f>
        <v>PED ()</v>
      </c>
    </row>
    <row r="6150" spans="1:14" x14ac:dyDescent="0.3">
      <c r="A6150" s="1">
        <v>45061</v>
      </c>
      <c r="B6150" t="s">
        <v>63</v>
      </c>
      <c r="C6150" t="s">
        <v>464</v>
      </c>
      <c r="D6150" s="8"/>
      <c r="E6150" s="8"/>
      <c r="M6150" t="s">
        <v>478</v>
      </c>
      <c r="N6150" t="str">
        <f>Tabela_tudo[[#This Row],[Médico]]&amp;" ("&amp;Tabela_tudo[[#This Row],[Obs]]&amp;")"</f>
        <v>FQ ()</v>
      </c>
    </row>
    <row r="6151" spans="1:14" x14ac:dyDescent="0.3">
      <c r="A6151" s="1">
        <v>45108</v>
      </c>
      <c r="B6151" t="s">
        <v>44</v>
      </c>
      <c r="C6151" t="s">
        <v>78</v>
      </c>
      <c r="D6151" s="8"/>
      <c r="E6151" s="8"/>
      <c r="M6151" t="s">
        <v>478</v>
      </c>
      <c r="N6151" t="str">
        <f>Tabela_tudo[[#This Row],[Médico]]&amp;" ("&amp;Tabela_tudo[[#This Row],[Obs]]&amp;")"</f>
        <v>REI ()</v>
      </c>
    </row>
    <row r="6152" spans="1:14" x14ac:dyDescent="0.3">
      <c r="A6152" s="1">
        <v>45058</v>
      </c>
      <c r="B6152" t="s">
        <v>63</v>
      </c>
      <c r="C6152" t="s">
        <v>464</v>
      </c>
      <c r="D6152" s="8"/>
      <c r="E6152" s="8"/>
      <c r="M6152" t="s">
        <v>478</v>
      </c>
      <c r="N6152" t="str">
        <f>Tabela_tudo[[#This Row],[Médico]]&amp;" ("&amp;Tabela_tudo[[#This Row],[Obs]]&amp;")"</f>
        <v>FQ ()</v>
      </c>
    </row>
    <row r="6153" spans="1:14" x14ac:dyDescent="0.3">
      <c r="A6153" s="1">
        <v>45113</v>
      </c>
      <c r="B6153" t="s">
        <v>44</v>
      </c>
      <c r="C6153" t="s">
        <v>13</v>
      </c>
      <c r="D6153" s="8"/>
      <c r="E6153" s="8"/>
      <c r="M6153" t="s">
        <v>478</v>
      </c>
      <c r="N6153" t="str">
        <f>Tabela_tudo[[#This Row],[Médico]]&amp;" ("&amp;Tabela_tudo[[#This Row],[Obs]]&amp;")"</f>
        <v>REI ()</v>
      </c>
    </row>
    <row r="6154" spans="1:14" x14ac:dyDescent="0.3">
      <c r="A6154" s="1">
        <v>45059</v>
      </c>
      <c r="B6154" t="s">
        <v>63</v>
      </c>
      <c r="C6154" t="s">
        <v>464</v>
      </c>
      <c r="D6154" s="8"/>
      <c r="E6154" s="8"/>
      <c r="M6154" t="s">
        <v>478</v>
      </c>
      <c r="N6154" t="str">
        <f>Tabela_tudo[[#This Row],[Médico]]&amp;" ("&amp;Tabela_tudo[[#This Row],[Obs]]&amp;")"</f>
        <v>FQ ()</v>
      </c>
    </row>
    <row r="6155" spans="1:14" x14ac:dyDescent="0.3">
      <c r="A6155" s="1">
        <v>45113</v>
      </c>
      <c r="B6155" t="s">
        <v>71</v>
      </c>
      <c r="C6155" t="s">
        <v>15</v>
      </c>
      <c r="D6155" s="8"/>
      <c r="E6155" s="8"/>
      <c r="M6155" t="s">
        <v>478</v>
      </c>
      <c r="N6155" t="str">
        <f>Tabela_tudo[[#This Row],[Médico]]&amp;" ("&amp;Tabela_tudo[[#This Row],[Obs]]&amp;")"</f>
        <v>BRU ()</v>
      </c>
    </row>
    <row r="6156" spans="1:14" x14ac:dyDescent="0.3">
      <c r="A6156" s="1">
        <v>45061</v>
      </c>
      <c r="B6156" t="s">
        <v>73</v>
      </c>
      <c r="C6156" t="s">
        <v>464</v>
      </c>
      <c r="D6156" s="8"/>
      <c r="E6156" s="8"/>
      <c r="M6156" t="s">
        <v>478</v>
      </c>
      <c r="N6156" t="str">
        <f>Tabela_tudo[[#This Row],[Médico]]&amp;" ("&amp;Tabela_tudo[[#This Row],[Obs]]&amp;")"</f>
        <v>RT ()</v>
      </c>
    </row>
    <row r="6157" spans="1:14" x14ac:dyDescent="0.3">
      <c r="A6157" s="1">
        <v>45108</v>
      </c>
      <c r="B6157" t="s">
        <v>72</v>
      </c>
      <c r="C6157" t="s">
        <v>8</v>
      </c>
      <c r="D6157" s="8"/>
      <c r="E6157" s="8"/>
      <c r="M6157" t="s">
        <v>478</v>
      </c>
      <c r="N6157" t="str">
        <f>Tabela_tudo[[#This Row],[Médico]]&amp;" ("&amp;Tabela_tudo[[#This Row],[Obs]]&amp;")"</f>
        <v>GRA ()</v>
      </c>
    </row>
    <row r="6158" spans="1:14" x14ac:dyDescent="0.3">
      <c r="A6158" s="1">
        <v>45066</v>
      </c>
      <c r="B6158" t="s">
        <v>47</v>
      </c>
      <c r="C6158" t="s">
        <v>465</v>
      </c>
      <c r="D6158" s="8"/>
      <c r="E6158" s="8"/>
      <c r="M6158" t="s">
        <v>478</v>
      </c>
      <c r="N6158" t="str">
        <f>Tabela_tudo[[#This Row],[Médico]]&amp;" ("&amp;Tabela_tudo[[#This Row],[Obs]]&amp;")"</f>
        <v>VIN ()</v>
      </c>
    </row>
    <row r="6159" spans="1:14" x14ac:dyDescent="0.3">
      <c r="A6159" s="1">
        <v>45137</v>
      </c>
      <c r="B6159" t="s">
        <v>47</v>
      </c>
      <c r="C6159" t="s">
        <v>8</v>
      </c>
      <c r="D6159" s="8"/>
      <c r="E6159" s="8"/>
      <c r="M6159" t="s">
        <v>478</v>
      </c>
      <c r="N6159" t="str">
        <f>Tabela_tudo[[#This Row],[Médico]]&amp;" ("&amp;Tabela_tudo[[#This Row],[Obs]]&amp;")"</f>
        <v>VIN ()</v>
      </c>
    </row>
    <row r="6160" spans="1:14" x14ac:dyDescent="0.3">
      <c r="A6160" s="1">
        <v>45067</v>
      </c>
      <c r="B6160" t="s">
        <v>47</v>
      </c>
      <c r="C6160" t="s">
        <v>465</v>
      </c>
      <c r="D6160" s="8"/>
      <c r="E6160" s="8"/>
      <c r="M6160" t="s">
        <v>478</v>
      </c>
      <c r="N6160" t="str">
        <f>Tabela_tudo[[#This Row],[Médico]]&amp;" ("&amp;Tabela_tudo[[#This Row],[Obs]]&amp;")"</f>
        <v>VIN ()</v>
      </c>
    </row>
    <row r="6161" spans="1:14" x14ac:dyDescent="0.3">
      <c r="A6161" s="1">
        <v>45137</v>
      </c>
      <c r="B6161" t="s">
        <v>85</v>
      </c>
      <c r="C6161" t="s">
        <v>78</v>
      </c>
      <c r="D6161" s="8"/>
      <c r="E6161" s="8"/>
      <c r="M6161" t="s">
        <v>478</v>
      </c>
      <c r="N6161" t="str">
        <f>Tabela_tudo[[#This Row],[Médico]]&amp;" ("&amp;Tabela_tudo[[#This Row],[Obs]]&amp;")"</f>
        <v>ELF ()</v>
      </c>
    </row>
    <row r="6162" spans="1:14" x14ac:dyDescent="0.3">
      <c r="A6162" s="1">
        <v>45064</v>
      </c>
      <c r="B6162" t="s">
        <v>66</v>
      </c>
      <c r="C6162" t="s">
        <v>466</v>
      </c>
      <c r="D6162" s="8"/>
      <c r="E6162" s="8"/>
      <c r="M6162" t="s">
        <v>478</v>
      </c>
      <c r="N6162" t="str">
        <f>Tabela_tudo[[#This Row],[Médico]]&amp;" ("&amp;Tabela_tudo[[#This Row],[Obs]]&amp;")"</f>
        <v>MOZ ()</v>
      </c>
    </row>
    <row r="6163" spans="1:14" x14ac:dyDescent="0.3">
      <c r="A6163" s="1">
        <v>45108</v>
      </c>
      <c r="B6163" t="s">
        <v>37</v>
      </c>
      <c r="C6163" t="s">
        <v>13</v>
      </c>
      <c r="D6163" s="8"/>
      <c r="E6163" s="8"/>
      <c r="M6163" t="s">
        <v>478</v>
      </c>
      <c r="N6163" t="str">
        <f>Tabela_tudo[[#This Row],[Médico]]&amp;" ("&amp;Tabela_tudo[[#This Row],[Obs]]&amp;")"</f>
        <v>EBB ()</v>
      </c>
    </row>
    <row r="6164" spans="1:14" x14ac:dyDescent="0.3">
      <c r="A6164" s="1">
        <v>45065</v>
      </c>
      <c r="B6164" t="s">
        <v>47</v>
      </c>
      <c r="C6164" t="s">
        <v>465</v>
      </c>
      <c r="D6164" s="8"/>
      <c r="E6164" s="8"/>
      <c r="M6164" t="s">
        <v>478</v>
      </c>
      <c r="N6164" t="str">
        <f>Tabela_tudo[[#This Row],[Médico]]&amp;" ("&amp;Tabela_tudo[[#This Row],[Obs]]&amp;")"</f>
        <v>VIN ()</v>
      </c>
    </row>
    <row r="6165" spans="1:14" x14ac:dyDescent="0.3">
      <c r="A6165" s="1">
        <v>45113</v>
      </c>
      <c r="B6165" t="s">
        <v>94</v>
      </c>
      <c r="C6165" t="s">
        <v>18</v>
      </c>
      <c r="D6165" s="8"/>
      <c r="E6165" s="8"/>
      <c r="M6165" t="s">
        <v>478</v>
      </c>
      <c r="N6165" t="str">
        <f>Tabela_tudo[[#This Row],[Médico]]&amp;" ("&amp;Tabela_tudo[[#This Row],[Obs]]&amp;")"</f>
        <v>TOT ()</v>
      </c>
    </row>
    <row r="6166" spans="1:14" x14ac:dyDescent="0.3">
      <c r="A6166" s="1">
        <v>45066</v>
      </c>
      <c r="B6166" t="s">
        <v>23</v>
      </c>
      <c r="C6166" t="s">
        <v>465</v>
      </c>
      <c r="D6166" s="8"/>
      <c r="E6166" s="8"/>
      <c r="M6166" t="s">
        <v>478</v>
      </c>
      <c r="N6166" t="str">
        <f>Tabela_tudo[[#This Row],[Médico]]&amp;" ("&amp;Tabela_tudo[[#This Row],[Obs]]&amp;")"</f>
        <v>BG ()</v>
      </c>
    </row>
    <row r="6167" spans="1:14" x14ac:dyDescent="0.3">
      <c r="A6167" s="1">
        <v>45113</v>
      </c>
      <c r="B6167" t="s">
        <v>48</v>
      </c>
      <c r="C6167" t="s">
        <v>49</v>
      </c>
      <c r="D6167" s="8"/>
      <c r="E6167" s="8"/>
      <c r="M6167" t="s">
        <v>478</v>
      </c>
      <c r="N6167" t="str">
        <f>Tabela_tudo[[#This Row],[Médico]]&amp;" ("&amp;Tabela_tudo[[#This Row],[Obs]]&amp;")"</f>
        <v>MAF ()</v>
      </c>
    </row>
    <row r="6168" spans="1:14" x14ac:dyDescent="0.3">
      <c r="A6168" s="1">
        <v>45069</v>
      </c>
      <c r="B6168" t="s">
        <v>16</v>
      </c>
      <c r="C6168" t="s">
        <v>464</v>
      </c>
      <c r="D6168" s="8"/>
      <c r="E6168" s="8"/>
      <c r="M6168" t="s">
        <v>478</v>
      </c>
      <c r="N6168" t="str">
        <f>Tabela_tudo[[#This Row],[Médico]]&amp;" ("&amp;Tabela_tudo[[#This Row],[Obs]]&amp;")"</f>
        <v>PP ()</v>
      </c>
    </row>
    <row r="6169" spans="1:14" x14ac:dyDescent="0.3">
      <c r="A6169" s="1">
        <v>45113</v>
      </c>
      <c r="B6169" t="s">
        <v>17</v>
      </c>
      <c r="C6169" t="s">
        <v>51</v>
      </c>
      <c r="D6169" s="8"/>
      <c r="E6169" s="8"/>
      <c r="M6169" t="s">
        <v>478</v>
      </c>
      <c r="N6169" t="str">
        <f>Tabela_tudo[[#This Row],[Médico]]&amp;" ("&amp;Tabela_tudo[[#This Row],[Obs]]&amp;")"</f>
        <v>FAB ()</v>
      </c>
    </row>
    <row r="6170" spans="1:14" x14ac:dyDescent="0.3">
      <c r="A6170" s="1">
        <v>45070</v>
      </c>
      <c r="B6170" t="s">
        <v>16</v>
      </c>
      <c r="C6170" t="s">
        <v>464</v>
      </c>
      <c r="D6170" s="8"/>
      <c r="E6170" s="8"/>
      <c r="M6170" t="s">
        <v>478</v>
      </c>
      <c r="N6170" t="str">
        <f>Tabela_tudo[[#This Row],[Médico]]&amp;" ("&amp;Tabela_tudo[[#This Row],[Obs]]&amp;")"</f>
        <v>PP ()</v>
      </c>
    </row>
    <row r="6171" spans="1:14" x14ac:dyDescent="0.3">
      <c r="A6171" s="1">
        <v>45113</v>
      </c>
      <c r="B6171" t="s">
        <v>14</v>
      </c>
      <c r="C6171" t="s">
        <v>46</v>
      </c>
      <c r="D6171" s="8"/>
      <c r="E6171" s="8"/>
      <c r="M6171" t="s">
        <v>478</v>
      </c>
      <c r="N6171" t="str">
        <f>Tabela_tudo[[#This Row],[Médico]]&amp;" ("&amp;Tabela_tudo[[#This Row],[Obs]]&amp;")"</f>
        <v>PW ()</v>
      </c>
    </row>
    <row r="6172" spans="1:14" x14ac:dyDescent="0.3">
      <c r="A6172" s="1">
        <v>45067</v>
      </c>
      <c r="B6172" t="s">
        <v>23</v>
      </c>
      <c r="C6172" t="s">
        <v>465</v>
      </c>
      <c r="D6172" s="8"/>
      <c r="E6172" s="8"/>
      <c r="M6172" t="s">
        <v>478</v>
      </c>
      <c r="N6172" t="str">
        <f>Tabela_tudo[[#This Row],[Médico]]&amp;" ("&amp;Tabela_tudo[[#This Row],[Obs]]&amp;")"</f>
        <v>BG ()</v>
      </c>
    </row>
    <row r="6173" spans="1:14" x14ac:dyDescent="0.3">
      <c r="A6173" s="1">
        <v>45113</v>
      </c>
      <c r="B6173" t="s">
        <v>63</v>
      </c>
      <c r="C6173" t="s">
        <v>8</v>
      </c>
      <c r="D6173" s="8"/>
      <c r="E6173" s="8"/>
      <c r="M6173" t="s">
        <v>478</v>
      </c>
      <c r="N6173" t="str">
        <f>Tabela_tudo[[#This Row],[Médico]]&amp;" ("&amp;Tabela_tudo[[#This Row],[Obs]]&amp;")"</f>
        <v>FQ ()</v>
      </c>
    </row>
    <row r="6174" spans="1:14" x14ac:dyDescent="0.3">
      <c r="A6174" s="1">
        <v>45068</v>
      </c>
      <c r="B6174" t="s">
        <v>16</v>
      </c>
      <c r="C6174" t="s">
        <v>464</v>
      </c>
      <c r="D6174" s="8"/>
      <c r="E6174" s="8"/>
      <c r="M6174" t="s">
        <v>478</v>
      </c>
      <c r="N6174" t="str">
        <f>Tabela_tudo[[#This Row],[Médico]]&amp;" ("&amp;Tabela_tudo[[#This Row],[Obs]]&amp;")"</f>
        <v>PP ()</v>
      </c>
    </row>
    <row r="6175" spans="1:14" x14ac:dyDescent="0.3">
      <c r="A6175" s="1">
        <v>45113</v>
      </c>
      <c r="B6175" t="s">
        <v>29</v>
      </c>
      <c r="C6175" t="s">
        <v>43</v>
      </c>
      <c r="D6175" s="8"/>
      <c r="E6175" s="8"/>
      <c r="M6175" t="s">
        <v>478</v>
      </c>
      <c r="N6175" t="str">
        <f>Tabela_tudo[[#This Row],[Médico]]&amp;" ("&amp;Tabela_tudo[[#This Row],[Obs]]&amp;")"</f>
        <v>JOA ()</v>
      </c>
    </row>
    <row r="6176" spans="1:14" x14ac:dyDescent="0.3">
      <c r="A6176" s="1">
        <v>45064</v>
      </c>
      <c r="B6176" t="s">
        <v>73</v>
      </c>
      <c r="C6176" t="s">
        <v>464</v>
      </c>
      <c r="D6176" s="8"/>
      <c r="E6176" s="8"/>
      <c r="M6176" t="s">
        <v>478</v>
      </c>
      <c r="N6176" t="str">
        <f>Tabela_tudo[[#This Row],[Médico]]&amp;" ("&amp;Tabela_tudo[[#This Row],[Obs]]&amp;")"</f>
        <v>RT ()</v>
      </c>
    </row>
    <row r="6177" spans="1:14" x14ac:dyDescent="0.3">
      <c r="A6177" s="1">
        <v>45113</v>
      </c>
      <c r="B6177" t="s">
        <v>52</v>
      </c>
      <c r="C6177" t="s">
        <v>45</v>
      </c>
      <c r="D6177" s="8"/>
      <c r="E6177" s="8"/>
      <c r="M6177" t="s">
        <v>478</v>
      </c>
      <c r="N6177" t="str">
        <f>Tabela_tudo[[#This Row],[Médico]]&amp;" ("&amp;Tabela_tudo[[#This Row],[Obs]]&amp;")"</f>
        <v>AEL ()</v>
      </c>
    </row>
    <row r="6178" spans="1:14" x14ac:dyDescent="0.3">
      <c r="A6178" s="1">
        <v>45065</v>
      </c>
      <c r="B6178" t="s">
        <v>73</v>
      </c>
      <c r="C6178" t="s">
        <v>464</v>
      </c>
      <c r="D6178" s="8"/>
      <c r="E6178" s="8"/>
      <c r="M6178" t="s">
        <v>478</v>
      </c>
      <c r="N6178" t="str">
        <f>Tabela_tudo[[#This Row],[Médico]]&amp;" ("&amp;Tabela_tudo[[#This Row],[Obs]]&amp;")"</f>
        <v>RT ()</v>
      </c>
    </row>
    <row r="6179" spans="1:14" x14ac:dyDescent="0.3">
      <c r="A6179" s="1">
        <v>45137</v>
      </c>
      <c r="B6179" t="s">
        <v>94</v>
      </c>
      <c r="C6179" t="s">
        <v>13</v>
      </c>
      <c r="D6179" s="8"/>
      <c r="E6179" s="8"/>
      <c r="M6179" t="s">
        <v>478</v>
      </c>
      <c r="N6179" t="str">
        <f>Tabela_tudo[[#This Row],[Médico]]&amp;" ("&amp;Tabela_tudo[[#This Row],[Obs]]&amp;")"</f>
        <v>TOT ()</v>
      </c>
    </row>
    <row r="6180" spans="1:14" x14ac:dyDescent="0.3">
      <c r="A6180" s="1">
        <v>45062</v>
      </c>
      <c r="B6180" t="s">
        <v>73</v>
      </c>
      <c r="C6180" t="s">
        <v>464</v>
      </c>
      <c r="D6180" s="8"/>
      <c r="E6180" s="8"/>
      <c r="M6180" t="s">
        <v>478</v>
      </c>
      <c r="N6180" t="str">
        <f>Tabela_tudo[[#This Row],[Médico]]&amp;" ("&amp;Tabela_tudo[[#This Row],[Obs]]&amp;")"</f>
        <v>RT ()</v>
      </c>
    </row>
    <row r="6181" spans="1:14" x14ac:dyDescent="0.3">
      <c r="A6181" s="1">
        <v>45128</v>
      </c>
      <c r="B6181" t="s">
        <v>68</v>
      </c>
      <c r="C6181" t="s">
        <v>46</v>
      </c>
      <c r="D6181" s="8"/>
      <c r="E6181" s="8"/>
      <c r="M6181" t="s">
        <v>478</v>
      </c>
      <c r="N6181" t="str">
        <f>Tabela_tudo[[#This Row],[Médico]]&amp;" ("&amp;Tabela_tudo[[#This Row],[Obs]]&amp;")"</f>
        <v>PED ()</v>
      </c>
    </row>
    <row r="6182" spans="1:14" x14ac:dyDescent="0.3">
      <c r="A6182" s="1">
        <v>45063</v>
      </c>
      <c r="B6182" t="s">
        <v>73</v>
      </c>
      <c r="C6182" t="s">
        <v>464</v>
      </c>
      <c r="D6182" s="8"/>
      <c r="E6182" s="8"/>
      <c r="M6182" t="s">
        <v>478</v>
      </c>
      <c r="N6182" t="str">
        <f>Tabela_tudo[[#This Row],[Médico]]&amp;" ("&amp;Tabela_tudo[[#This Row],[Obs]]&amp;")"</f>
        <v>RT ()</v>
      </c>
    </row>
    <row r="6183" spans="1:14" x14ac:dyDescent="0.3">
      <c r="A6183" s="1">
        <v>45128</v>
      </c>
      <c r="B6183" t="s">
        <v>47</v>
      </c>
      <c r="C6183" t="s">
        <v>18</v>
      </c>
      <c r="D6183" s="8"/>
      <c r="E6183" s="8"/>
      <c r="M6183" t="s">
        <v>478</v>
      </c>
      <c r="N6183" t="str">
        <f>Tabela_tudo[[#This Row],[Médico]]&amp;" ("&amp;Tabela_tudo[[#This Row],[Obs]]&amp;")"</f>
        <v>VIN ()</v>
      </c>
    </row>
    <row r="6184" spans="1:14" x14ac:dyDescent="0.3">
      <c r="A6184" s="1">
        <v>45061</v>
      </c>
      <c r="B6184" t="s">
        <v>25</v>
      </c>
      <c r="C6184" t="s">
        <v>464</v>
      </c>
      <c r="D6184" s="8"/>
      <c r="E6184" s="8"/>
      <c r="M6184" t="s">
        <v>478</v>
      </c>
      <c r="N6184" t="str">
        <f>Tabela_tudo[[#This Row],[Médico]]&amp;" ("&amp;Tabela_tudo[[#This Row],[Obs]]&amp;")"</f>
        <v>HEN ()</v>
      </c>
    </row>
    <row r="6185" spans="1:14" x14ac:dyDescent="0.3">
      <c r="A6185" s="1">
        <v>45128</v>
      </c>
      <c r="B6185" t="s">
        <v>71</v>
      </c>
      <c r="C6185" t="s">
        <v>49</v>
      </c>
      <c r="D6185" s="8"/>
      <c r="E6185" s="8"/>
      <c r="M6185" t="s">
        <v>478</v>
      </c>
      <c r="N6185" t="str">
        <f>Tabela_tudo[[#This Row],[Médico]]&amp;" ("&amp;Tabela_tudo[[#This Row],[Obs]]&amp;")"</f>
        <v>BRU ()</v>
      </c>
    </row>
    <row r="6186" spans="1:14" x14ac:dyDescent="0.3">
      <c r="A6186" s="1">
        <v>45064</v>
      </c>
      <c r="B6186" t="s">
        <v>25</v>
      </c>
      <c r="C6186" t="s">
        <v>464</v>
      </c>
      <c r="D6186" s="8"/>
      <c r="E6186" s="8"/>
      <c r="M6186" t="s">
        <v>478</v>
      </c>
      <c r="N6186" t="str">
        <f>Tabela_tudo[[#This Row],[Médico]]&amp;" ("&amp;Tabela_tudo[[#This Row],[Obs]]&amp;")"</f>
        <v>HEN ()</v>
      </c>
    </row>
    <row r="6187" spans="1:14" x14ac:dyDescent="0.3">
      <c r="A6187" s="1">
        <v>45128</v>
      </c>
      <c r="B6187" t="s">
        <v>23</v>
      </c>
      <c r="C6187" t="s">
        <v>45</v>
      </c>
      <c r="D6187" s="8"/>
      <c r="E6187" s="8"/>
      <c r="M6187" t="s">
        <v>478</v>
      </c>
      <c r="N6187" t="str">
        <f>Tabela_tudo[[#This Row],[Médico]]&amp;" ("&amp;Tabela_tudo[[#This Row],[Obs]]&amp;")"</f>
        <v>BG ()</v>
      </c>
    </row>
    <row r="6188" spans="1:14" x14ac:dyDescent="0.3">
      <c r="A6188" s="1">
        <v>45065</v>
      </c>
      <c r="B6188" t="s">
        <v>25</v>
      </c>
      <c r="C6188" t="s">
        <v>464</v>
      </c>
      <c r="D6188" s="8"/>
      <c r="E6188" s="8"/>
      <c r="M6188" t="s">
        <v>478</v>
      </c>
      <c r="N6188" t="str">
        <f>Tabela_tudo[[#This Row],[Médico]]&amp;" ("&amp;Tabela_tudo[[#This Row],[Obs]]&amp;")"</f>
        <v>HEN ()</v>
      </c>
    </row>
    <row r="6189" spans="1:14" x14ac:dyDescent="0.3">
      <c r="A6189" s="1">
        <v>45128</v>
      </c>
      <c r="B6189" t="s">
        <v>34</v>
      </c>
      <c r="C6189" t="s">
        <v>15</v>
      </c>
      <c r="D6189" s="8"/>
      <c r="E6189" s="8"/>
      <c r="M6189" t="s">
        <v>478</v>
      </c>
      <c r="N6189" t="str">
        <f>Tabela_tudo[[#This Row],[Médico]]&amp;" ("&amp;Tabela_tudo[[#This Row],[Obs]]&amp;")"</f>
        <v>LIP ()</v>
      </c>
    </row>
    <row r="6190" spans="1:14" x14ac:dyDescent="0.3">
      <c r="A6190" s="1">
        <v>45062</v>
      </c>
      <c r="B6190" t="s">
        <v>25</v>
      </c>
      <c r="C6190" t="s">
        <v>464</v>
      </c>
      <c r="D6190" s="8"/>
      <c r="E6190" s="8"/>
      <c r="M6190" t="s">
        <v>478</v>
      </c>
      <c r="N6190" t="str">
        <f>Tabela_tudo[[#This Row],[Médico]]&amp;" ("&amp;Tabela_tudo[[#This Row],[Obs]]&amp;")"</f>
        <v>HEN ()</v>
      </c>
    </row>
    <row r="6191" spans="1:14" x14ac:dyDescent="0.3">
      <c r="A6191" s="1">
        <v>45128</v>
      </c>
      <c r="B6191" t="s">
        <v>142</v>
      </c>
      <c r="C6191" t="s">
        <v>8</v>
      </c>
      <c r="D6191" s="8"/>
      <c r="E6191" s="8"/>
      <c r="M6191" t="s">
        <v>478</v>
      </c>
      <c r="N6191" t="str">
        <f>Tabela_tudo[[#This Row],[Médico]]&amp;" ("&amp;Tabela_tudo[[#This Row],[Obs]]&amp;")"</f>
        <v>VIV ()</v>
      </c>
    </row>
    <row r="6192" spans="1:14" x14ac:dyDescent="0.3">
      <c r="A6192" s="1">
        <v>45063</v>
      </c>
      <c r="B6192" t="s">
        <v>25</v>
      </c>
      <c r="C6192" t="s">
        <v>464</v>
      </c>
      <c r="D6192" s="8"/>
      <c r="E6192" s="8"/>
      <c r="M6192" t="s">
        <v>478</v>
      </c>
      <c r="N6192" t="str">
        <f>Tabela_tudo[[#This Row],[Médico]]&amp;" ("&amp;Tabela_tudo[[#This Row],[Obs]]&amp;")"</f>
        <v>HEN ()</v>
      </c>
    </row>
    <row r="6193" spans="1:14" x14ac:dyDescent="0.3">
      <c r="A6193" s="1">
        <v>45128</v>
      </c>
      <c r="B6193" t="s">
        <v>142</v>
      </c>
      <c r="C6193" t="s">
        <v>43</v>
      </c>
      <c r="D6193" s="8"/>
      <c r="E6193" s="8"/>
      <c r="M6193" t="s">
        <v>478</v>
      </c>
      <c r="N6193" t="str">
        <f>Tabela_tudo[[#This Row],[Médico]]&amp;" ("&amp;Tabela_tudo[[#This Row],[Obs]]&amp;")"</f>
        <v>VIV ()</v>
      </c>
    </row>
    <row r="6194" spans="1:14" x14ac:dyDescent="0.3">
      <c r="A6194" s="1">
        <v>45069</v>
      </c>
      <c r="B6194" t="s">
        <v>85</v>
      </c>
      <c r="C6194" t="s">
        <v>464</v>
      </c>
      <c r="D6194" s="8"/>
      <c r="E6194" s="8"/>
      <c r="M6194" t="s">
        <v>478</v>
      </c>
      <c r="N6194" t="str">
        <f>Tabela_tudo[[#This Row],[Médico]]&amp;" ("&amp;Tabela_tudo[[#This Row],[Obs]]&amp;")"</f>
        <v>ELF ()</v>
      </c>
    </row>
    <row r="6195" spans="1:14" x14ac:dyDescent="0.3">
      <c r="A6195" s="1">
        <v>45130</v>
      </c>
      <c r="B6195" t="s">
        <v>52</v>
      </c>
      <c r="C6195" t="s">
        <v>13</v>
      </c>
      <c r="D6195" s="8"/>
      <c r="E6195" s="8"/>
      <c r="M6195" t="s">
        <v>478</v>
      </c>
      <c r="N6195" t="str">
        <f>Tabela_tudo[[#This Row],[Médico]]&amp;" ("&amp;Tabela_tudo[[#This Row],[Obs]]&amp;")"</f>
        <v>AEL ()</v>
      </c>
    </row>
    <row r="6196" spans="1:14" x14ac:dyDescent="0.3">
      <c r="A6196" s="1">
        <v>45068</v>
      </c>
      <c r="B6196" t="s">
        <v>85</v>
      </c>
      <c r="C6196" t="s">
        <v>464</v>
      </c>
      <c r="D6196" s="8"/>
      <c r="E6196" s="8"/>
      <c r="M6196" t="s">
        <v>478</v>
      </c>
      <c r="N6196" t="str">
        <f>Tabela_tudo[[#This Row],[Médico]]&amp;" ("&amp;Tabela_tudo[[#This Row],[Obs]]&amp;")"</f>
        <v>ELF ()</v>
      </c>
    </row>
    <row r="6197" spans="1:14" x14ac:dyDescent="0.3">
      <c r="A6197" s="1">
        <v>45130</v>
      </c>
      <c r="B6197" t="s">
        <v>33</v>
      </c>
      <c r="C6197" t="s">
        <v>8</v>
      </c>
      <c r="D6197" s="8"/>
      <c r="E6197" s="8"/>
      <c r="M6197" t="s">
        <v>478</v>
      </c>
      <c r="N6197" t="str">
        <f>Tabela_tudo[[#This Row],[Médico]]&amp;" ("&amp;Tabela_tudo[[#This Row],[Obs]]&amp;")"</f>
        <v>DIF ()</v>
      </c>
    </row>
    <row r="6198" spans="1:14" x14ac:dyDescent="0.3">
      <c r="A6198" s="1">
        <v>45071</v>
      </c>
      <c r="B6198" t="s">
        <v>85</v>
      </c>
      <c r="C6198" t="s">
        <v>464</v>
      </c>
      <c r="D6198" s="8"/>
      <c r="E6198" s="8"/>
      <c r="M6198" t="s">
        <v>478</v>
      </c>
      <c r="N6198" t="str">
        <f>Tabela_tudo[[#This Row],[Médico]]&amp;" ("&amp;Tabela_tudo[[#This Row],[Obs]]&amp;")"</f>
        <v>ELF ()</v>
      </c>
    </row>
    <row r="6199" spans="1:14" x14ac:dyDescent="0.3">
      <c r="A6199" s="1">
        <v>45130</v>
      </c>
      <c r="B6199" t="s">
        <v>48</v>
      </c>
      <c r="C6199" t="s">
        <v>78</v>
      </c>
      <c r="D6199" s="8"/>
      <c r="E6199" s="8"/>
      <c r="M6199" t="s">
        <v>478</v>
      </c>
      <c r="N6199" t="str">
        <f>Tabela_tudo[[#This Row],[Médico]]&amp;" ("&amp;Tabela_tudo[[#This Row],[Obs]]&amp;")"</f>
        <v>MAF ()</v>
      </c>
    </row>
    <row r="6200" spans="1:14" x14ac:dyDescent="0.3">
      <c r="A6200" s="1">
        <v>45070</v>
      </c>
      <c r="B6200" t="s">
        <v>85</v>
      </c>
      <c r="C6200" t="s">
        <v>464</v>
      </c>
      <c r="D6200" s="8"/>
      <c r="E6200" s="8"/>
      <c r="M6200" t="s">
        <v>478</v>
      </c>
      <c r="N6200" t="str">
        <f>Tabela_tudo[[#This Row],[Médico]]&amp;" ("&amp;Tabela_tudo[[#This Row],[Obs]]&amp;")"</f>
        <v>ELF ()</v>
      </c>
    </row>
    <row r="6201" spans="1:14" x14ac:dyDescent="0.3">
      <c r="A6201" s="1">
        <v>45129</v>
      </c>
      <c r="B6201" t="s">
        <v>52</v>
      </c>
      <c r="C6201" t="s">
        <v>78</v>
      </c>
      <c r="D6201" s="8"/>
      <c r="E6201" s="8"/>
      <c r="M6201" t="s">
        <v>478</v>
      </c>
      <c r="N6201" t="str">
        <f>Tabela_tudo[[#This Row],[Médico]]&amp;" ("&amp;Tabela_tudo[[#This Row],[Obs]]&amp;")"</f>
        <v>AEL ()</v>
      </c>
    </row>
    <row r="6202" spans="1:14" x14ac:dyDescent="0.3">
      <c r="A6202" s="1">
        <v>45072</v>
      </c>
      <c r="B6202" t="s">
        <v>16</v>
      </c>
      <c r="C6202" t="s">
        <v>464</v>
      </c>
      <c r="D6202" s="8"/>
      <c r="E6202" s="8"/>
      <c r="M6202" t="s">
        <v>478</v>
      </c>
      <c r="N6202" t="str">
        <f>Tabela_tudo[[#This Row],[Médico]]&amp;" ("&amp;Tabela_tudo[[#This Row],[Obs]]&amp;")"</f>
        <v>PP ()</v>
      </c>
    </row>
    <row r="6203" spans="1:14" x14ac:dyDescent="0.3">
      <c r="A6203" s="1">
        <v>45128</v>
      </c>
      <c r="B6203" t="s">
        <v>17</v>
      </c>
      <c r="C6203" t="s">
        <v>51</v>
      </c>
      <c r="D6203" s="8"/>
      <c r="E6203" s="8"/>
      <c r="M6203" t="s">
        <v>478</v>
      </c>
      <c r="N6203" t="str">
        <f>Tabela_tudo[[#This Row],[Médico]]&amp;" ("&amp;Tabela_tudo[[#This Row],[Obs]]&amp;")"</f>
        <v>FAB ()</v>
      </c>
    </row>
    <row r="6204" spans="1:14" x14ac:dyDescent="0.3">
      <c r="A6204" s="1">
        <v>45051</v>
      </c>
      <c r="B6204" t="s">
        <v>66</v>
      </c>
      <c r="C6204" t="s">
        <v>466</v>
      </c>
      <c r="D6204" s="8"/>
      <c r="E6204" s="8"/>
      <c r="M6204" t="s">
        <v>478</v>
      </c>
      <c r="N6204" t="str">
        <f>Tabela_tudo[[#This Row],[Médico]]&amp;" ("&amp;Tabela_tudo[[#This Row],[Obs]]&amp;")"</f>
        <v>MOZ ()</v>
      </c>
    </row>
    <row r="6205" spans="1:14" x14ac:dyDescent="0.3">
      <c r="A6205" s="1">
        <v>45129</v>
      </c>
      <c r="B6205" t="s">
        <v>33</v>
      </c>
      <c r="C6205" t="s">
        <v>13</v>
      </c>
      <c r="D6205" s="8"/>
      <c r="E6205" s="8"/>
      <c r="M6205" t="s">
        <v>478</v>
      </c>
      <c r="N6205" t="str">
        <f>Tabela_tudo[[#This Row],[Médico]]&amp;" ("&amp;Tabela_tudo[[#This Row],[Obs]]&amp;")"</f>
        <v>DIF ()</v>
      </c>
    </row>
    <row r="6206" spans="1:14" x14ac:dyDescent="0.3">
      <c r="A6206" s="1">
        <v>45051</v>
      </c>
      <c r="B6206" t="s">
        <v>71</v>
      </c>
      <c r="C6206" t="s">
        <v>466</v>
      </c>
      <c r="D6206" s="8"/>
      <c r="E6206" s="8"/>
      <c r="M6206" t="s">
        <v>478</v>
      </c>
      <c r="N6206" t="str">
        <f>Tabela_tudo[[#This Row],[Médico]]&amp;" ("&amp;Tabela_tudo[[#This Row],[Obs]]&amp;")"</f>
        <v>BRU ()</v>
      </c>
    </row>
    <row r="6207" spans="1:14" x14ac:dyDescent="0.3">
      <c r="A6207" s="1">
        <v>45129</v>
      </c>
      <c r="B6207" t="s">
        <v>48</v>
      </c>
      <c r="C6207" t="s">
        <v>8</v>
      </c>
      <c r="D6207" s="8"/>
      <c r="E6207" s="8"/>
      <c r="M6207" t="s">
        <v>478</v>
      </c>
      <c r="N6207" t="str">
        <f>Tabela_tudo[[#This Row],[Médico]]&amp;" ("&amp;Tabela_tudo[[#This Row],[Obs]]&amp;")"</f>
        <v>MAF ()</v>
      </c>
    </row>
    <row r="6208" spans="1:14" x14ac:dyDescent="0.3">
      <c r="A6208" s="1">
        <v>45071</v>
      </c>
      <c r="B6208" t="s">
        <v>16</v>
      </c>
      <c r="C6208" t="s">
        <v>464</v>
      </c>
      <c r="D6208" s="8"/>
      <c r="E6208" s="8"/>
      <c r="M6208" t="s">
        <v>478</v>
      </c>
      <c r="N6208" t="str">
        <f>Tabela_tudo[[#This Row],[Médico]]&amp;" ("&amp;Tabela_tudo[[#This Row],[Obs]]&amp;")"</f>
        <v>PP ()</v>
      </c>
    </row>
    <row r="6209" spans="1:14" x14ac:dyDescent="0.3">
      <c r="A6209" s="1">
        <v>45100</v>
      </c>
      <c r="B6209" t="s">
        <v>17</v>
      </c>
      <c r="C6209" t="s">
        <v>51</v>
      </c>
      <c r="D6209" s="8"/>
      <c r="E6209" s="8"/>
      <c r="M6209" t="s">
        <v>478</v>
      </c>
      <c r="N6209" t="str">
        <f>Tabela_tudo[[#This Row],[Médico]]&amp;" ("&amp;Tabela_tudo[[#This Row],[Obs]]&amp;")"</f>
        <v>FAB ()</v>
      </c>
    </row>
    <row r="6210" spans="1:14" x14ac:dyDescent="0.3">
      <c r="A6210" s="1">
        <v>45060</v>
      </c>
      <c r="B6210" t="s">
        <v>23</v>
      </c>
      <c r="C6210" t="s">
        <v>464</v>
      </c>
      <c r="D6210" s="8"/>
      <c r="E6210" s="8"/>
      <c r="M6210" t="s">
        <v>478</v>
      </c>
      <c r="N6210" t="str">
        <f>Tabela_tudo[[#This Row],[Médico]]&amp;" ("&amp;Tabela_tudo[[#This Row],[Obs]]&amp;")"</f>
        <v>BG ()</v>
      </c>
    </row>
    <row r="6211" spans="1:14" x14ac:dyDescent="0.3">
      <c r="A6211" s="1">
        <v>45097</v>
      </c>
      <c r="B6211" t="s">
        <v>85</v>
      </c>
      <c r="C6211" t="s">
        <v>49</v>
      </c>
      <c r="D6211" s="8"/>
      <c r="E6211" s="8"/>
      <c r="M6211" t="s">
        <v>478</v>
      </c>
      <c r="N6211" t="str">
        <f>Tabela_tudo[[#This Row],[Médico]]&amp;" ("&amp;Tabela_tudo[[#This Row],[Obs]]&amp;")"</f>
        <v>ELF ()</v>
      </c>
    </row>
    <row r="6212" spans="1:14" x14ac:dyDescent="0.3">
      <c r="A6212" s="1">
        <v>45054</v>
      </c>
      <c r="B6212" t="s">
        <v>23</v>
      </c>
      <c r="C6212" t="s">
        <v>464</v>
      </c>
      <c r="D6212" s="8"/>
      <c r="E6212" s="8"/>
      <c r="M6212" t="s">
        <v>478</v>
      </c>
      <c r="N6212" t="str">
        <f>Tabela_tudo[[#This Row],[Médico]]&amp;" ("&amp;Tabela_tudo[[#This Row],[Obs]]&amp;")"</f>
        <v>BG ()</v>
      </c>
    </row>
    <row r="6213" spans="1:14" x14ac:dyDescent="0.3">
      <c r="A6213" s="1">
        <v>45097</v>
      </c>
      <c r="B6213" t="s">
        <v>75</v>
      </c>
      <c r="C6213" t="s">
        <v>51</v>
      </c>
      <c r="D6213" s="8"/>
      <c r="E6213" s="8"/>
      <c r="M6213" t="s">
        <v>478</v>
      </c>
      <c r="N6213" t="str">
        <f>Tabela_tudo[[#This Row],[Médico]]&amp;" ("&amp;Tabela_tudo[[#This Row],[Obs]]&amp;")"</f>
        <v>KOP ()</v>
      </c>
    </row>
    <row r="6214" spans="1:14" x14ac:dyDescent="0.3">
      <c r="A6214" s="1">
        <v>45055</v>
      </c>
      <c r="B6214" t="s">
        <v>23</v>
      </c>
      <c r="C6214" t="s">
        <v>464</v>
      </c>
      <c r="D6214" s="8"/>
      <c r="E6214" s="8"/>
      <c r="M6214" t="s">
        <v>478</v>
      </c>
      <c r="N6214" t="str">
        <f>Tabela_tudo[[#This Row],[Médico]]&amp;" ("&amp;Tabela_tudo[[#This Row],[Obs]]&amp;")"</f>
        <v>BG ()</v>
      </c>
    </row>
    <row r="6215" spans="1:14" x14ac:dyDescent="0.3">
      <c r="A6215" s="1">
        <v>45097</v>
      </c>
      <c r="B6215" t="s">
        <v>64</v>
      </c>
      <c r="C6215" t="s">
        <v>124</v>
      </c>
      <c r="D6215" s="8">
        <v>0.83333333333333337</v>
      </c>
      <c r="E6215" s="8">
        <v>0.875</v>
      </c>
      <c r="F6215" t="s">
        <v>167</v>
      </c>
      <c r="K6215" t="s">
        <v>565</v>
      </c>
      <c r="M6215" t="s">
        <v>478</v>
      </c>
      <c r="N6215" t="str">
        <f>Tabela_tudo[[#This Row],[Médico]]&amp;" ("&amp;Tabela_tudo[[#This Row],[Obs]]&amp;")"</f>
        <v>SAR (MENEJO ANTICOAGULANTES...)</v>
      </c>
    </row>
    <row r="6216" spans="1:14" x14ac:dyDescent="0.3">
      <c r="A6216" s="1">
        <v>45052</v>
      </c>
      <c r="B6216" t="s">
        <v>23</v>
      </c>
      <c r="C6216" t="s">
        <v>464</v>
      </c>
      <c r="D6216" s="8"/>
      <c r="E6216" s="8"/>
      <c r="M6216" t="s">
        <v>478</v>
      </c>
      <c r="N6216" t="str">
        <f>Tabela_tudo[[#This Row],[Médico]]&amp;" ("&amp;Tabela_tudo[[#This Row],[Obs]]&amp;")"</f>
        <v>BG ()</v>
      </c>
    </row>
    <row r="6217" spans="1:14" x14ac:dyDescent="0.3">
      <c r="A6217" s="1">
        <v>45097</v>
      </c>
      <c r="B6217" t="s">
        <v>94</v>
      </c>
      <c r="C6217" t="s">
        <v>18</v>
      </c>
      <c r="D6217" s="8"/>
      <c r="E6217" s="8"/>
      <c r="M6217" t="s">
        <v>478</v>
      </c>
      <c r="N6217" t="str">
        <f>Tabela_tudo[[#This Row],[Médico]]&amp;" ("&amp;Tabela_tudo[[#This Row],[Obs]]&amp;")"</f>
        <v>TOT ()</v>
      </c>
    </row>
    <row r="6218" spans="1:14" x14ac:dyDescent="0.3">
      <c r="A6218" s="1">
        <v>45053</v>
      </c>
      <c r="B6218" t="s">
        <v>23</v>
      </c>
      <c r="C6218" t="s">
        <v>464</v>
      </c>
      <c r="D6218" s="8"/>
      <c r="E6218" s="8"/>
      <c r="M6218" t="s">
        <v>478</v>
      </c>
      <c r="N6218" t="str">
        <f>Tabela_tudo[[#This Row],[Médico]]&amp;" ("&amp;Tabela_tudo[[#This Row],[Obs]]&amp;")"</f>
        <v>BG ()</v>
      </c>
    </row>
    <row r="6219" spans="1:14" x14ac:dyDescent="0.3">
      <c r="A6219" s="1">
        <v>45097</v>
      </c>
      <c r="B6219" t="s">
        <v>33</v>
      </c>
      <c r="C6219" t="s">
        <v>43</v>
      </c>
      <c r="D6219" s="8"/>
      <c r="E6219" s="8"/>
      <c r="M6219" t="s">
        <v>478</v>
      </c>
      <c r="N6219" t="str">
        <f>Tabela_tudo[[#This Row],[Médico]]&amp;" ("&amp;Tabela_tudo[[#This Row],[Obs]]&amp;")"</f>
        <v>DIF ()</v>
      </c>
    </row>
    <row r="6220" spans="1:14" x14ac:dyDescent="0.3">
      <c r="A6220" s="1">
        <v>45056</v>
      </c>
      <c r="B6220" t="s">
        <v>23</v>
      </c>
      <c r="C6220" t="s">
        <v>464</v>
      </c>
      <c r="D6220" s="8"/>
      <c r="E6220" s="8"/>
      <c r="M6220" t="s">
        <v>478</v>
      </c>
      <c r="N6220" t="str">
        <f>Tabela_tudo[[#This Row],[Médico]]&amp;" ("&amp;Tabela_tudo[[#This Row],[Obs]]&amp;")"</f>
        <v>BG ()</v>
      </c>
    </row>
    <row r="6221" spans="1:14" x14ac:dyDescent="0.3">
      <c r="A6221" s="1">
        <v>45097</v>
      </c>
      <c r="B6221" t="s">
        <v>66</v>
      </c>
      <c r="C6221" t="s">
        <v>45</v>
      </c>
      <c r="D6221" s="8"/>
      <c r="E6221" s="8"/>
      <c r="M6221" t="s">
        <v>478</v>
      </c>
      <c r="N6221" t="str">
        <f>Tabela_tudo[[#This Row],[Médico]]&amp;" ("&amp;Tabela_tudo[[#This Row],[Obs]]&amp;")"</f>
        <v>MOZ ()</v>
      </c>
    </row>
    <row r="6222" spans="1:14" x14ac:dyDescent="0.3">
      <c r="A6222" s="1">
        <v>45059</v>
      </c>
      <c r="B6222" t="s">
        <v>23</v>
      </c>
      <c r="C6222" t="s">
        <v>464</v>
      </c>
      <c r="D6222" s="8"/>
      <c r="E6222" s="8"/>
      <c r="M6222" t="s">
        <v>478</v>
      </c>
      <c r="N6222" t="str">
        <f>Tabela_tudo[[#This Row],[Médico]]&amp;" ("&amp;Tabela_tudo[[#This Row],[Obs]]&amp;")"</f>
        <v>BG ()</v>
      </c>
    </row>
    <row r="6223" spans="1:14" x14ac:dyDescent="0.3">
      <c r="A6223" s="1">
        <v>45097</v>
      </c>
      <c r="B6223" t="s">
        <v>16</v>
      </c>
      <c r="C6223" t="s">
        <v>46</v>
      </c>
      <c r="D6223" s="8"/>
      <c r="E6223" s="8"/>
      <c r="M6223" t="s">
        <v>478</v>
      </c>
      <c r="N6223" t="str">
        <f>Tabela_tudo[[#This Row],[Médico]]&amp;" ("&amp;Tabela_tudo[[#This Row],[Obs]]&amp;")"</f>
        <v>PP ()</v>
      </c>
    </row>
    <row r="6224" spans="1:14" x14ac:dyDescent="0.3">
      <c r="A6224" s="1">
        <v>45072</v>
      </c>
      <c r="B6224" t="s">
        <v>85</v>
      </c>
      <c r="C6224" t="s">
        <v>464</v>
      </c>
      <c r="D6224" s="8"/>
      <c r="E6224" s="8"/>
      <c r="M6224" t="s">
        <v>478</v>
      </c>
      <c r="N6224" t="str">
        <f>Tabela_tudo[[#This Row],[Médico]]&amp;" ("&amp;Tabela_tudo[[#This Row],[Obs]]&amp;")"</f>
        <v>ELF ()</v>
      </c>
    </row>
    <row r="6225" spans="1:14" x14ac:dyDescent="0.3">
      <c r="A6225" s="1">
        <v>45098</v>
      </c>
      <c r="B6225" t="s">
        <v>64</v>
      </c>
      <c r="C6225" t="s">
        <v>30</v>
      </c>
      <c r="D6225" s="8"/>
      <c r="E6225" s="8"/>
      <c r="M6225" t="s">
        <v>478</v>
      </c>
      <c r="N6225" t="str">
        <f>Tabela_tudo[[#This Row],[Médico]]&amp;" ("&amp;Tabela_tudo[[#This Row],[Obs]]&amp;")"</f>
        <v>SAR ()</v>
      </c>
    </row>
    <row r="6226" spans="1:14" x14ac:dyDescent="0.3">
      <c r="A6226" s="1">
        <v>45057</v>
      </c>
      <c r="B6226" t="s">
        <v>23</v>
      </c>
      <c r="C6226" t="s">
        <v>464</v>
      </c>
      <c r="D6226" s="8"/>
      <c r="E6226" s="8"/>
      <c r="M6226" t="s">
        <v>478</v>
      </c>
      <c r="N6226" t="str">
        <f>Tabela_tudo[[#This Row],[Médico]]&amp;" ("&amp;Tabela_tudo[[#This Row],[Obs]]&amp;")"</f>
        <v>BG ()</v>
      </c>
    </row>
    <row r="6227" spans="1:14" x14ac:dyDescent="0.3">
      <c r="A6227" s="1">
        <v>45098</v>
      </c>
      <c r="B6227" t="s">
        <v>64</v>
      </c>
      <c r="C6227" t="s">
        <v>43</v>
      </c>
      <c r="D6227" s="8"/>
      <c r="E6227" s="8"/>
      <c r="M6227" t="s">
        <v>478</v>
      </c>
      <c r="N6227" t="str">
        <f>Tabela_tudo[[#This Row],[Médico]]&amp;" ("&amp;Tabela_tudo[[#This Row],[Obs]]&amp;")"</f>
        <v>SAR ()</v>
      </c>
    </row>
    <row r="6228" spans="1:14" x14ac:dyDescent="0.3">
      <c r="A6228" s="1">
        <v>45058</v>
      </c>
      <c r="B6228" t="s">
        <v>23</v>
      </c>
      <c r="C6228" t="s">
        <v>464</v>
      </c>
      <c r="D6228" s="8"/>
      <c r="E6228" s="8"/>
      <c r="M6228" t="s">
        <v>478</v>
      </c>
      <c r="N6228" t="str">
        <f>Tabela_tudo[[#This Row],[Médico]]&amp;" ("&amp;Tabela_tudo[[#This Row],[Obs]]&amp;")"</f>
        <v>BG ()</v>
      </c>
    </row>
    <row r="6229" spans="1:14" x14ac:dyDescent="0.3">
      <c r="A6229" s="1">
        <v>45098</v>
      </c>
      <c r="B6229" t="s">
        <v>66</v>
      </c>
      <c r="C6229" t="s">
        <v>45</v>
      </c>
      <c r="D6229" s="8"/>
      <c r="E6229" s="8"/>
      <c r="M6229" t="s">
        <v>478</v>
      </c>
      <c r="N6229" t="str">
        <f>Tabela_tudo[[#This Row],[Médico]]&amp;" ("&amp;Tabela_tudo[[#This Row],[Obs]]&amp;")"</f>
        <v>MOZ ()</v>
      </c>
    </row>
    <row r="6230" spans="1:14" x14ac:dyDescent="0.3">
      <c r="A6230" s="1">
        <v>45052</v>
      </c>
      <c r="B6230" t="s">
        <v>71</v>
      </c>
      <c r="C6230" t="s">
        <v>466</v>
      </c>
      <c r="D6230" s="8"/>
      <c r="E6230" s="8"/>
      <c r="M6230" t="s">
        <v>478</v>
      </c>
      <c r="N6230" t="str">
        <f>Tabela_tudo[[#This Row],[Médico]]&amp;" ("&amp;Tabela_tudo[[#This Row],[Obs]]&amp;")"</f>
        <v>BRU ()</v>
      </c>
    </row>
    <row r="6231" spans="1:14" x14ac:dyDescent="0.3">
      <c r="A6231" s="1">
        <v>45098</v>
      </c>
      <c r="B6231" t="s">
        <v>63</v>
      </c>
      <c r="C6231" t="s">
        <v>8</v>
      </c>
      <c r="D6231" s="8"/>
      <c r="E6231" s="8"/>
      <c r="M6231" t="s">
        <v>478</v>
      </c>
      <c r="N6231" t="str">
        <f>Tabela_tudo[[#This Row],[Médico]]&amp;" ("&amp;Tabela_tudo[[#This Row],[Obs]]&amp;")"</f>
        <v>FQ ()</v>
      </c>
    </row>
    <row r="6232" spans="1:14" x14ac:dyDescent="0.3">
      <c r="A6232" s="1">
        <v>45065</v>
      </c>
      <c r="B6232" t="s">
        <v>14</v>
      </c>
      <c r="C6232" t="s">
        <v>464</v>
      </c>
      <c r="D6232" s="8"/>
      <c r="E6232" s="8"/>
      <c r="M6232" t="s">
        <v>478</v>
      </c>
      <c r="N6232" t="str">
        <f>Tabela_tudo[[#This Row],[Médico]]&amp;" ("&amp;Tabela_tudo[[#This Row],[Obs]]&amp;")"</f>
        <v>PW ()</v>
      </c>
    </row>
    <row r="6233" spans="1:14" x14ac:dyDescent="0.3">
      <c r="A6233" s="1">
        <v>45098</v>
      </c>
      <c r="B6233" t="s">
        <v>37</v>
      </c>
      <c r="C6233" t="s">
        <v>13</v>
      </c>
      <c r="D6233" s="8"/>
      <c r="E6233" s="8"/>
      <c r="M6233" t="s">
        <v>478</v>
      </c>
      <c r="N6233" t="str">
        <f>Tabela_tudo[[#This Row],[Médico]]&amp;" ("&amp;Tabela_tudo[[#This Row],[Obs]]&amp;")"</f>
        <v>EBB ()</v>
      </c>
    </row>
    <row r="6234" spans="1:14" x14ac:dyDescent="0.3">
      <c r="A6234" s="1">
        <v>45066</v>
      </c>
      <c r="B6234" t="s">
        <v>14</v>
      </c>
      <c r="C6234" t="s">
        <v>464</v>
      </c>
      <c r="D6234" s="8"/>
      <c r="E6234" s="8"/>
      <c r="M6234" t="s">
        <v>478</v>
      </c>
      <c r="N6234" t="str">
        <f>Tabela_tudo[[#This Row],[Médico]]&amp;" ("&amp;Tabela_tudo[[#This Row],[Obs]]&amp;")"</f>
        <v>PW ()</v>
      </c>
    </row>
    <row r="6235" spans="1:14" x14ac:dyDescent="0.3">
      <c r="A6235" s="1">
        <v>45098</v>
      </c>
      <c r="B6235" t="s">
        <v>72</v>
      </c>
      <c r="C6235" t="s">
        <v>15</v>
      </c>
      <c r="D6235" s="8"/>
      <c r="E6235" s="8"/>
      <c r="M6235" t="s">
        <v>478</v>
      </c>
      <c r="N6235" t="str">
        <f>Tabela_tudo[[#This Row],[Médico]]&amp;" ("&amp;Tabela_tudo[[#This Row],[Obs]]&amp;")"</f>
        <v>GRA ()</v>
      </c>
    </row>
    <row r="6236" spans="1:14" x14ac:dyDescent="0.3">
      <c r="A6236" s="1">
        <v>45063</v>
      </c>
      <c r="B6236" t="s">
        <v>14</v>
      </c>
      <c r="C6236" t="s">
        <v>464</v>
      </c>
      <c r="D6236" s="8"/>
      <c r="E6236" s="8"/>
      <c r="M6236" t="s">
        <v>478</v>
      </c>
      <c r="N6236" t="str">
        <f>Tabela_tudo[[#This Row],[Médico]]&amp;" ("&amp;Tabela_tudo[[#This Row],[Obs]]&amp;")"</f>
        <v>PW ()</v>
      </c>
    </row>
    <row r="6237" spans="1:14" x14ac:dyDescent="0.3">
      <c r="A6237" s="1">
        <v>45098</v>
      </c>
      <c r="B6237" t="s">
        <v>63</v>
      </c>
      <c r="C6237" t="s">
        <v>8</v>
      </c>
      <c r="D6237" s="8"/>
      <c r="E6237" s="8"/>
      <c r="M6237" t="s">
        <v>478</v>
      </c>
      <c r="N6237" t="str">
        <f>Tabela_tudo[[#This Row],[Médico]]&amp;" ("&amp;Tabela_tudo[[#This Row],[Obs]]&amp;")"</f>
        <v>FQ ()</v>
      </c>
    </row>
    <row r="6238" spans="1:14" x14ac:dyDescent="0.3">
      <c r="A6238" s="1">
        <v>45064</v>
      </c>
      <c r="B6238" t="s">
        <v>14</v>
      </c>
      <c r="C6238" t="s">
        <v>464</v>
      </c>
      <c r="D6238" s="8"/>
      <c r="E6238" s="8"/>
      <c r="M6238" t="s">
        <v>478</v>
      </c>
      <c r="N6238" t="str">
        <f>Tabela_tudo[[#This Row],[Médico]]&amp;" ("&amp;Tabela_tudo[[#This Row],[Obs]]&amp;")"</f>
        <v>PW ()</v>
      </c>
    </row>
    <row r="6239" spans="1:14" x14ac:dyDescent="0.3">
      <c r="A6239" s="1">
        <v>45097</v>
      </c>
      <c r="B6239" t="s">
        <v>85</v>
      </c>
      <c r="C6239" t="s">
        <v>8</v>
      </c>
      <c r="D6239" s="8"/>
      <c r="E6239" s="8"/>
      <c r="M6239" t="s">
        <v>478</v>
      </c>
      <c r="N6239" t="str">
        <f>Tabela_tudo[[#This Row],[Médico]]&amp;" ("&amp;Tabela_tudo[[#This Row],[Obs]]&amp;")"</f>
        <v>ELF ()</v>
      </c>
    </row>
    <row r="6240" spans="1:14" x14ac:dyDescent="0.3">
      <c r="A6240" s="1">
        <v>45067</v>
      </c>
      <c r="B6240" t="s">
        <v>14</v>
      </c>
      <c r="C6240" t="s">
        <v>464</v>
      </c>
      <c r="D6240" s="8"/>
      <c r="E6240" s="8"/>
      <c r="M6240" t="s">
        <v>478</v>
      </c>
      <c r="N6240" t="str">
        <f>Tabela_tudo[[#This Row],[Médico]]&amp;" ("&amp;Tabela_tudo[[#This Row],[Obs]]&amp;")"</f>
        <v>PW ()</v>
      </c>
    </row>
    <row r="6241" spans="1:14" x14ac:dyDescent="0.3">
      <c r="A6241" s="1">
        <v>45096</v>
      </c>
      <c r="B6241" t="s">
        <v>29</v>
      </c>
      <c r="C6241" t="s">
        <v>8</v>
      </c>
      <c r="D6241" s="8"/>
      <c r="E6241" s="8"/>
      <c r="M6241" t="s">
        <v>478</v>
      </c>
      <c r="N6241" t="str">
        <f>Tabela_tudo[[#This Row],[Médico]]&amp;" ("&amp;Tabela_tudo[[#This Row],[Obs]]&amp;")"</f>
        <v>JOA ()</v>
      </c>
    </row>
    <row r="6242" spans="1:14" x14ac:dyDescent="0.3">
      <c r="A6242" s="1">
        <v>45070</v>
      </c>
      <c r="B6242" t="s">
        <v>14</v>
      </c>
      <c r="C6242" t="s">
        <v>464</v>
      </c>
      <c r="D6242" s="8"/>
      <c r="E6242" s="8"/>
      <c r="M6242" t="s">
        <v>478</v>
      </c>
      <c r="N6242" t="str">
        <f>Tabela_tudo[[#This Row],[Médico]]&amp;" ("&amp;Tabela_tudo[[#This Row],[Obs]]&amp;")"</f>
        <v>PW ()</v>
      </c>
    </row>
    <row r="6243" spans="1:14" x14ac:dyDescent="0.3">
      <c r="A6243" s="1">
        <v>45096</v>
      </c>
      <c r="B6243" t="s">
        <v>37</v>
      </c>
      <c r="C6243" t="s">
        <v>30</v>
      </c>
      <c r="D6243" s="8"/>
      <c r="E6243" s="8"/>
      <c r="M6243" t="s">
        <v>478</v>
      </c>
      <c r="N6243" t="str">
        <f>Tabela_tudo[[#This Row],[Médico]]&amp;" ("&amp;Tabela_tudo[[#This Row],[Obs]]&amp;")"</f>
        <v>EBB ()</v>
      </c>
    </row>
    <row r="6244" spans="1:14" x14ac:dyDescent="0.3">
      <c r="A6244" s="1">
        <v>45071</v>
      </c>
      <c r="B6244" t="s">
        <v>14</v>
      </c>
      <c r="C6244" t="s">
        <v>464</v>
      </c>
      <c r="D6244" s="8"/>
      <c r="E6244" s="8"/>
      <c r="M6244" t="s">
        <v>478</v>
      </c>
      <c r="N6244" t="str">
        <f>Tabela_tudo[[#This Row],[Médico]]&amp;" ("&amp;Tabela_tudo[[#This Row],[Obs]]&amp;")"</f>
        <v>PW ()</v>
      </c>
    </row>
    <row r="6245" spans="1:14" x14ac:dyDescent="0.3">
      <c r="A6245" s="1">
        <v>45096</v>
      </c>
      <c r="B6245" t="s">
        <v>29</v>
      </c>
      <c r="C6245" t="s">
        <v>43</v>
      </c>
      <c r="D6245" s="8"/>
      <c r="E6245" s="8"/>
      <c r="M6245" t="s">
        <v>478</v>
      </c>
      <c r="N6245" t="str">
        <f>Tabela_tudo[[#This Row],[Médico]]&amp;" ("&amp;Tabela_tudo[[#This Row],[Obs]]&amp;")"</f>
        <v>JOA ()</v>
      </c>
    </row>
    <row r="6246" spans="1:14" x14ac:dyDescent="0.3">
      <c r="A6246" s="1">
        <v>45068</v>
      </c>
      <c r="B6246" t="s">
        <v>14</v>
      </c>
      <c r="C6246" t="s">
        <v>464</v>
      </c>
      <c r="D6246" s="8"/>
      <c r="E6246" s="8"/>
      <c r="M6246" t="s">
        <v>478</v>
      </c>
      <c r="N6246" t="str">
        <f>Tabela_tudo[[#This Row],[Médico]]&amp;" ("&amp;Tabela_tudo[[#This Row],[Obs]]&amp;")"</f>
        <v>PW ()</v>
      </c>
    </row>
    <row r="6247" spans="1:14" x14ac:dyDescent="0.3">
      <c r="A6247" s="1">
        <v>45096</v>
      </c>
      <c r="B6247" t="s">
        <v>63</v>
      </c>
      <c r="C6247" t="s">
        <v>15</v>
      </c>
      <c r="D6247" s="8"/>
      <c r="E6247" s="8"/>
      <c r="M6247" t="s">
        <v>478</v>
      </c>
      <c r="N6247" t="str">
        <f>Tabela_tudo[[#This Row],[Médico]]&amp;" ("&amp;Tabela_tudo[[#This Row],[Obs]]&amp;")"</f>
        <v>FQ ()</v>
      </c>
    </row>
    <row r="6248" spans="1:14" x14ac:dyDescent="0.3">
      <c r="A6248" s="1">
        <v>45069</v>
      </c>
      <c r="B6248" t="s">
        <v>14</v>
      </c>
      <c r="C6248" t="s">
        <v>464</v>
      </c>
      <c r="D6248" s="8"/>
      <c r="E6248" s="8"/>
      <c r="M6248" t="s">
        <v>478</v>
      </c>
      <c r="N6248" t="str">
        <f>Tabela_tudo[[#This Row],[Médico]]&amp;" ("&amp;Tabela_tudo[[#This Row],[Obs]]&amp;")"</f>
        <v>PW ()</v>
      </c>
    </row>
    <row r="6249" spans="1:14" x14ac:dyDescent="0.3">
      <c r="A6249" s="1">
        <v>45095</v>
      </c>
      <c r="B6249" t="s">
        <v>142</v>
      </c>
      <c r="C6249" t="s">
        <v>8</v>
      </c>
      <c r="D6249" s="8"/>
      <c r="E6249" s="8"/>
      <c r="M6249" t="s">
        <v>478</v>
      </c>
      <c r="N6249" t="str">
        <f>Tabela_tudo[[#This Row],[Médico]]&amp;" ("&amp;Tabela_tudo[[#This Row],[Obs]]&amp;")"</f>
        <v>VIV ()</v>
      </c>
    </row>
    <row r="6250" spans="1:14" x14ac:dyDescent="0.3">
      <c r="A6250" s="1">
        <v>45056</v>
      </c>
      <c r="B6250" t="s">
        <v>14</v>
      </c>
      <c r="C6250" t="s">
        <v>464</v>
      </c>
      <c r="D6250" s="8"/>
      <c r="E6250" s="8"/>
      <c r="M6250" t="s">
        <v>478</v>
      </c>
      <c r="N6250" t="str">
        <f>Tabela_tudo[[#This Row],[Médico]]&amp;" ("&amp;Tabela_tudo[[#This Row],[Obs]]&amp;")"</f>
        <v>PW ()</v>
      </c>
    </row>
    <row r="6251" spans="1:14" x14ac:dyDescent="0.3">
      <c r="A6251" s="1">
        <v>45095</v>
      </c>
      <c r="B6251" t="s">
        <v>85</v>
      </c>
      <c r="C6251" t="s">
        <v>78</v>
      </c>
      <c r="D6251" s="8"/>
      <c r="E6251" s="8"/>
      <c r="M6251" t="s">
        <v>478</v>
      </c>
      <c r="N6251" t="str">
        <f>Tabela_tudo[[#This Row],[Médico]]&amp;" ("&amp;Tabela_tudo[[#This Row],[Obs]]&amp;")"</f>
        <v>ELF ()</v>
      </c>
    </row>
    <row r="6252" spans="1:14" x14ac:dyDescent="0.3">
      <c r="A6252" s="1">
        <v>45057</v>
      </c>
      <c r="B6252" t="s">
        <v>14</v>
      </c>
      <c r="C6252" t="s">
        <v>464</v>
      </c>
      <c r="D6252" s="8"/>
      <c r="E6252" s="8"/>
      <c r="M6252" t="s">
        <v>478</v>
      </c>
      <c r="N6252" t="str">
        <f>Tabela_tudo[[#This Row],[Médico]]&amp;" ("&amp;Tabela_tudo[[#This Row],[Obs]]&amp;")"</f>
        <v>PW ()</v>
      </c>
    </row>
    <row r="6253" spans="1:14" x14ac:dyDescent="0.3">
      <c r="A6253" s="1">
        <v>45096</v>
      </c>
      <c r="B6253" t="s">
        <v>52</v>
      </c>
      <c r="C6253" t="s">
        <v>13</v>
      </c>
      <c r="D6253" s="8"/>
      <c r="E6253" s="8"/>
      <c r="M6253" t="s">
        <v>478</v>
      </c>
      <c r="N6253" t="str">
        <f>Tabela_tudo[[#This Row],[Médico]]&amp;" ("&amp;Tabela_tudo[[#This Row],[Obs]]&amp;")"</f>
        <v>AEL ()</v>
      </c>
    </row>
    <row r="6254" spans="1:14" x14ac:dyDescent="0.3">
      <c r="A6254" s="1">
        <v>45054</v>
      </c>
      <c r="B6254" t="s">
        <v>14</v>
      </c>
      <c r="C6254" t="s">
        <v>464</v>
      </c>
      <c r="D6254" s="8"/>
      <c r="E6254" s="8"/>
      <c r="M6254" t="s">
        <v>478</v>
      </c>
      <c r="N6254" t="str">
        <f>Tabela_tudo[[#This Row],[Médico]]&amp;" ("&amp;Tabela_tudo[[#This Row],[Obs]]&amp;")"</f>
        <v>PW ()</v>
      </c>
    </row>
    <row r="6255" spans="1:14" x14ac:dyDescent="0.3">
      <c r="A6255" s="1">
        <v>45096</v>
      </c>
      <c r="B6255" t="s">
        <v>50</v>
      </c>
      <c r="C6255" t="s">
        <v>51</v>
      </c>
      <c r="D6255" s="8"/>
      <c r="E6255" s="8"/>
      <c r="M6255" t="s">
        <v>478</v>
      </c>
      <c r="N6255" t="str">
        <f>Tabela_tudo[[#This Row],[Médico]]&amp;" ("&amp;Tabela_tudo[[#This Row],[Obs]]&amp;")"</f>
        <v>PJP ()</v>
      </c>
    </row>
    <row r="6256" spans="1:14" x14ac:dyDescent="0.3">
      <c r="A6256" s="1">
        <v>45055</v>
      </c>
      <c r="B6256" t="s">
        <v>14</v>
      </c>
      <c r="C6256" t="s">
        <v>464</v>
      </c>
      <c r="D6256" s="8"/>
      <c r="E6256" s="8"/>
      <c r="M6256" t="s">
        <v>478</v>
      </c>
      <c r="N6256" t="str">
        <f>Tabela_tudo[[#This Row],[Médico]]&amp;" ("&amp;Tabela_tudo[[#This Row],[Obs]]&amp;")"</f>
        <v>PW ()</v>
      </c>
    </row>
    <row r="6257" spans="1:14" x14ac:dyDescent="0.3">
      <c r="A6257" s="1">
        <v>45097</v>
      </c>
      <c r="B6257" t="s">
        <v>73</v>
      </c>
      <c r="C6257" t="s">
        <v>13</v>
      </c>
      <c r="D6257" s="8"/>
      <c r="E6257" s="8"/>
      <c r="M6257" t="s">
        <v>478</v>
      </c>
      <c r="N6257" t="str">
        <f>Tabela_tudo[[#This Row],[Médico]]&amp;" ("&amp;Tabela_tudo[[#This Row],[Obs]]&amp;")"</f>
        <v>RT ()</v>
      </c>
    </row>
    <row r="6258" spans="1:14" x14ac:dyDescent="0.3">
      <c r="A6258" s="1">
        <v>45058</v>
      </c>
      <c r="B6258" t="s">
        <v>14</v>
      </c>
      <c r="C6258" t="s">
        <v>464</v>
      </c>
      <c r="D6258" s="8"/>
      <c r="E6258" s="8"/>
      <c r="M6258" t="s">
        <v>478</v>
      </c>
      <c r="N6258" t="str">
        <f>Tabela_tudo[[#This Row],[Médico]]&amp;" ("&amp;Tabela_tudo[[#This Row],[Obs]]&amp;")"</f>
        <v>PW ()</v>
      </c>
    </row>
    <row r="6259" spans="1:14" x14ac:dyDescent="0.3">
      <c r="A6259" s="1">
        <v>45097</v>
      </c>
      <c r="B6259" t="s">
        <v>66</v>
      </c>
      <c r="C6259" t="s">
        <v>15</v>
      </c>
      <c r="D6259" s="8"/>
      <c r="E6259" s="8"/>
      <c r="M6259" t="s">
        <v>478</v>
      </c>
      <c r="N6259" t="str">
        <f>Tabela_tudo[[#This Row],[Médico]]&amp;" ("&amp;Tabela_tudo[[#This Row],[Obs]]&amp;")"</f>
        <v>MOZ ()</v>
      </c>
    </row>
    <row r="6260" spans="1:14" x14ac:dyDescent="0.3">
      <c r="A6260" s="1">
        <v>45061</v>
      </c>
      <c r="B6260" t="s">
        <v>14</v>
      </c>
      <c r="C6260" t="s">
        <v>464</v>
      </c>
      <c r="D6260" s="8"/>
      <c r="E6260" s="8"/>
      <c r="M6260" t="s">
        <v>478</v>
      </c>
      <c r="N6260" t="str">
        <f>Tabela_tudo[[#This Row],[Médico]]&amp;" ("&amp;Tabela_tudo[[#This Row],[Obs]]&amp;")"</f>
        <v>PW ()</v>
      </c>
    </row>
    <row r="6261" spans="1:14" x14ac:dyDescent="0.3">
      <c r="A6261" s="1">
        <v>45096</v>
      </c>
      <c r="B6261" t="s">
        <v>85</v>
      </c>
      <c r="C6261" t="s">
        <v>49</v>
      </c>
      <c r="D6261" s="8"/>
      <c r="E6261" s="8"/>
      <c r="M6261" t="s">
        <v>478</v>
      </c>
      <c r="N6261" t="str">
        <f>Tabela_tudo[[#This Row],[Médico]]&amp;" ("&amp;Tabela_tudo[[#This Row],[Obs]]&amp;")"</f>
        <v>ELF ()</v>
      </c>
    </row>
    <row r="6262" spans="1:14" x14ac:dyDescent="0.3">
      <c r="A6262" s="1">
        <v>45062</v>
      </c>
      <c r="B6262" t="s">
        <v>14</v>
      </c>
      <c r="C6262" t="s">
        <v>464</v>
      </c>
      <c r="D6262" s="8"/>
      <c r="E6262" s="8"/>
      <c r="M6262" t="s">
        <v>478</v>
      </c>
      <c r="N6262" t="str">
        <f>Tabela_tudo[[#This Row],[Médico]]&amp;" ("&amp;Tabela_tudo[[#This Row],[Obs]]&amp;")"</f>
        <v>PW ()</v>
      </c>
    </row>
    <row r="6263" spans="1:14" x14ac:dyDescent="0.3">
      <c r="A6263" s="1">
        <v>45096</v>
      </c>
      <c r="B6263" t="s">
        <v>66</v>
      </c>
      <c r="C6263" t="s">
        <v>45</v>
      </c>
      <c r="D6263" s="8"/>
      <c r="E6263" s="8"/>
      <c r="M6263" t="s">
        <v>478</v>
      </c>
      <c r="N6263" t="str">
        <f>Tabela_tudo[[#This Row],[Médico]]&amp;" ("&amp;Tabela_tudo[[#This Row],[Obs]]&amp;")"</f>
        <v>MOZ ()</v>
      </c>
    </row>
    <row r="6264" spans="1:14" x14ac:dyDescent="0.3">
      <c r="A6264" s="1">
        <v>45059</v>
      </c>
      <c r="B6264" t="s">
        <v>14</v>
      </c>
      <c r="C6264" t="s">
        <v>464</v>
      </c>
      <c r="D6264" s="8"/>
      <c r="E6264" s="8"/>
      <c r="M6264" t="s">
        <v>478</v>
      </c>
      <c r="N6264" t="str">
        <f>Tabela_tudo[[#This Row],[Médico]]&amp;" ("&amp;Tabela_tudo[[#This Row],[Obs]]&amp;")"</f>
        <v>PW ()</v>
      </c>
    </row>
    <row r="6265" spans="1:14" x14ac:dyDescent="0.3">
      <c r="A6265" s="1">
        <v>45096</v>
      </c>
      <c r="B6265" t="s">
        <v>21</v>
      </c>
      <c r="C6265" t="s">
        <v>46</v>
      </c>
      <c r="D6265" s="8"/>
      <c r="E6265" s="8"/>
      <c r="M6265" t="s">
        <v>478</v>
      </c>
      <c r="N6265" t="str">
        <f>Tabela_tudo[[#This Row],[Médico]]&amp;" ("&amp;Tabela_tudo[[#This Row],[Obs]]&amp;")"</f>
        <v>RA ()</v>
      </c>
    </row>
    <row r="6266" spans="1:14" x14ac:dyDescent="0.3">
      <c r="A6266" s="1">
        <v>45060</v>
      </c>
      <c r="B6266" t="s">
        <v>14</v>
      </c>
      <c r="C6266" t="s">
        <v>464</v>
      </c>
      <c r="D6266" s="8"/>
      <c r="E6266" s="8"/>
      <c r="M6266" t="s">
        <v>478</v>
      </c>
      <c r="N6266" t="str">
        <f>Tabela_tudo[[#This Row],[Médico]]&amp;" ("&amp;Tabela_tudo[[#This Row],[Obs]]&amp;")"</f>
        <v>PW ()</v>
      </c>
    </row>
    <row r="6267" spans="1:14" x14ac:dyDescent="0.3">
      <c r="A6267" s="1">
        <v>45096</v>
      </c>
      <c r="B6267" t="s">
        <v>47</v>
      </c>
      <c r="C6267" t="s">
        <v>18</v>
      </c>
      <c r="D6267" s="8"/>
      <c r="E6267" s="8"/>
      <c r="M6267" t="s">
        <v>478</v>
      </c>
      <c r="N6267" t="str">
        <f>Tabela_tudo[[#This Row],[Médico]]&amp;" ("&amp;Tabela_tudo[[#This Row],[Obs]]&amp;")"</f>
        <v>VIN ()</v>
      </c>
    </row>
    <row r="6268" spans="1:14" x14ac:dyDescent="0.3">
      <c r="A6268" s="1">
        <v>45009</v>
      </c>
      <c r="B6268" t="s">
        <v>72</v>
      </c>
      <c r="C6268" t="s">
        <v>464</v>
      </c>
      <c r="D6268" s="8"/>
      <c r="E6268" s="8"/>
      <c r="M6268" t="s">
        <v>478</v>
      </c>
      <c r="N6268" t="str">
        <f>Tabela_tudo[[#This Row],[Médico]]&amp;" ("&amp;Tabela_tudo[[#This Row],[Obs]]&amp;")"</f>
        <v>GRA ()</v>
      </c>
    </row>
    <row r="6269" spans="1:14" x14ac:dyDescent="0.3">
      <c r="A6269" s="1">
        <v>45099</v>
      </c>
      <c r="B6269" t="s">
        <v>20</v>
      </c>
      <c r="C6269" t="s">
        <v>30</v>
      </c>
      <c r="D6269" s="8"/>
      <c r="E6269" s="8"/>
      <c r="M6269" t="s">
        <v>478</v>
      </c>
      <c r="N6269" t="str">
        <f>Tabela_tudo[[#This Row],[Médico]]&amp;" ("&amp;Tabela_tudo[[#This Row],[Obs]]&amp;")"</f>
        <v>ROB ()</v>
      </c>
    </row>
    <row r="6270" spans="1:14" x14ac:dyDescent="0.3">
      <c r="A6270" s="1">
        <v>45010</v>
      </c>
      <c r="B6270" t="s">
        <v>72</v>
      </c>
      <c r="C6270" t="s">
        <v>464</v>
      </c>
      <c r="D6270" s="8"/>
      <c r="E6270" s="8"/>
      <c r="M6270" t="s">
        <v>478</v>
      </c>
      <c r="N6270" t="str">
        <f>Tabela_tudo[[#This Row],[Médico]]&amp;" ("&amp;Tabela_tudo[[#This Row],[Obs]]&amp;")"</f>
        <v>GRA ()</v>
      </c>
    </row>
    <row r="6271" spans="1:14" x14ac:dyDescent="0.3">
      <c r="A6271" s="1">
        <v>45100</v>
      </c>
      <c r="B6271" t="s">
        <v>47</v>
      </c>
      <c r="C6271" t="s">
        <v>13</v>
      </c>
      <c r="D6271" s="8"/>
      <c r="E6271" s="8"/>
      <c r="M6271" t="s">
        <v>478</v>
      </c>
      <c r="N6271" t="str">
        <f>Tabela_tudo[[#This Row],[Médico]]&amp;" ("&amp;Tabela_tudo[[#This Row],[Obs]]&amp;")"</f>
        <v>VIN ()</v>
      </c>
    </row>
    <row r="6272" spans="1:14" x14ac:dyDescent="0.3">
      <c r="A6272" s="1">
        <v>45007</v>
      </c>
      <c r="B6272" t="s">
        <v>72</v>
      </c>
      <c r="C6272" t="s">
        <v>464</v>
      </c>
      <c r="D6272" s="8"/>
      <c r="E6272" s="8"/>
      <c r="M6272" t="s">
        <v>478</v>
      </c>
      <c r="N6272" t="str">
        <f>Tabela_tudo[[#This Row],[Médico]]&amp;" ("&amp;Tabela_tudo[[#This Row],[Obs]]&amp;")"</f>
        <v>GRA ()</v>
      </c>
    </row>
    <row r="6273" spans="1:14" x14ac:dyDescent="0.3">
      <c r="A6273" s="1">
        <v>45100</v>
      </c>
      <c r="B6273" t="s">
        <v>73</v>
      </c>
      <c r="C6273" t="s">
        <v>15</v>
      </c>
      <c r="D6273" s="8"/>
      <c r="E6273" s="8"/>
      <c r="M6273" t="s">
        <v>478</v>
      </c>
      <c r="N6273" t="str">
        <f>Tabela_tudo[[#This Row],[Médico]]&amp;" ("&amp;Tabela_tudo[[#This Row],[Obs]]&amp;")"</f>
        <v>RT ()</v>
      </c>
    </row>
    <row r="6274" spans="1:14" x14ac:dyDescent="0.3">
      <c r="A6274" s="1">
        <v>45008</v>
      </c>
      <c r="B6274" t="s">
        <v>72</v>
      </c>
      <c r="C6274" t="s">
        <v>464</v>
      </c>
      <c r="D6274" s="8"/>
      <c r="E6274" s="8"/>
      <c r="M6274" t="s">
        <v>478</v>
      </c>
      <c r="N6274" t="str">
        <f>Tabela_tudo[[#This Row],[Médico]]&amp;" ("&amp;Tabela_tudo[[#This Row],[Obs]]&amp;")"</f>
        <v>GRA ()</v>
      </c>
    </row>
    <row r="6275" spans="1:14" x14ac:dyDescent="0.3">
      <c r="A6275" s="1">
        <v>45099</v>
      </c>
      <c r="B6275" t="s">
        <v>34</v>
      </c>
      <c r="C6275" t="s">
        <v>51</v>
      </c>
      <c r="D6275" s="8"/>
      <c r="E6275" s="8"/>
      <c r="M6275" t="s">
        <v>478</v>
      </c>
      <c r="N6275" t="str">
        <f>Tabela_tudo[[#This Row],[Médico]]&amp;" ("&amp;Tabela_tudo[[#This Row],[Obs]]&amp;")"</f>
        <v>LIP ()</v>
      </c>
    </row>
    <row r="6276" spans="1:14" x14ac:dyDescent="0.3">
      <c r="A6276" s="1">
        <v>45011</v>
      </c>
      <c r="B6276" t="s">
        <v>72</v>
      </c>
      <c r="C6276" t="s">
        <v>464</v>
      </c>
      <c r="D6276" s="8"/>
      <c r="E6276" s="8"/>
      <c r="M6276" t="s">
        <v>478</v>
      </c>
      <c r="N6276" t="str">
        <f>Tabela_tudo[[#This Row],[Médico]]&amp;" ("&amp;Tabela_tudo[[#This Row],[Obs]]&amp;")"</f>
        <v>GRA ()</v>
      </c>
    </row>
    <row r="6277" spans="1:14" x14ac:dyDescent="0.3">
      <c r="A6277" s="1">
        <v>45099</v>
      </c>
      <c r="B6277" t="s">
        <v>14</v>
      </c>
      <c r="C6277" t="s">
        <v>46</v>
      </c>
      <c r="D6277" s="8"/>
      <c r="E6277" s="8"/>
      <c r="M6277" t="s">
        <v>478</v>
      </c>
      <c r="N6277" t="str">
        <f>Tabela_tudo[[#This Row],[Médico]]&amp;" ("&amp;Tabela_tudo[[#This Row],[Obs]]&amp;")"</f>
        <v>PW ()</v>
      </c>
    </row>
    <row r="6278" spans="1:14" x14ac:dyDescent="0.3">
      <c r="A6278" s="1">
        <v>45014</v>
      </c>
      <c r="B6278" t="s">
        <v>72</v>
      </c>
      <c r="C6278" t="s">
        <v>464</v>
      </c>
      <c r="D6278" s="8"/>
      <c r="E6278" s="8"/>
      <c r="M6278" t="s">
        <v>478</v>
      </c>
      <c r="N6278" t="str">
        <f>Tabela_tudo[[#This Row],[Médico]]&amp;" ("&amp;Tabela_tudo[[#This Row],[Obs]]&amp;")"</f>
        <v>GRA ()</v>
      </c>
    </row>
    <row r="6279" spans="1:14" x14ac:dyDescent="0.3">
      <c r="A6279" s="1">
        <v>45099</v>
      </c>
      <c r="B6279" t="s">
        <v>32</v>
      </c>
      <c r="C6279" t="s">
        <v>18</v>
      </c>
      <c r="D6279" s="8"/>
      <c r="E6279" s="8"/>
      <c r="M6279" t="s">
        <v>478</v>
      </c>
      <c r="N6279" t="str">
        <f>Tabela_tudo[[#This Row],[Médico]]&amp;" ("&amp;Tabela_tudo[[#This Row],[Obs]]&amp;")"</f>
        <v>JS ()</v>
      </c>
    </row>
    <row r="6280" spans="1:14" x14ac:dyDescent="0.3">
      <c r="A6280" s="1">
        <v>45015</v>
      </c>
      <c r="B6280" t="s">
        <v>72</v>
      </c>
      <c r="C6280" t="s">
        <v>464</v>
      </c>
      <c r="D6280" s="8"/>
      <c r="E6280" s="8"/>
      <c r="M6280" t="s">
        <v>478</v>
      </c>
      <c r="N6280" t="str">
        <f>Tabela_tudo[[#This Row],[Médico]]&amp;" ("&amp;Tabela_tudo[[#This Row],[Obs]]&amp;")"</f>
        <v>GRA ()</v>
      </c>
    </row>
    <row r="6281" spans="1:14" x14ac:dyDescent="0.3">
      <c r="A6281" s="1">
        <v>45099</v>
      </c>
      <c r="B6281" t="s">
        <v>85</v>
      </c>
      <c r="C6281" t="s">
        <v>49</v>
      </c>
      <c r="D6281" s="8"/>
      <c r="E6281" s="8"/>
      <c r="M6281" t="s">
        <v>478</v>
      </c>
      <c r="N6281" t="str">
        <f>Tabela_tudo[[#This Row],[Médico]]&amp;" ("&amp;Tabela_tudo[[#This Row],[Obs]]&amp;")"</f>
        <v>ELF ()</v>
      </c>
    </row>
    <row r="6282" spans="1:14" x14ac:dyDescent="0.3">
      <c r="A6282" s="1">
        <v>45012</v>
      </c>
      <c r="B6282" t="s">
        <v>72</v>
      </c>
      <c r="C6282" t="s">
        <v>464</v>
      </c>
      <c r="D6282" s="8"/>
      <c r="E6282" s="8"/>
      <c r="M6282" t="s">
        <v>478</v>
      </c>
      <c r="N6282" t="str">
        <f>Tabela_tudo[[#This Row],[Médico]]&amp;" ("&amp;Tabela_tudo[[#This Row],[Obs]]&amp;")"</f>
        <v>GRA ()</v>
      </c>
    </row>
    <row r="6283" spans="1:14" x14ac:dyDescent="0.3">
      <c r="A6283" s="1">
        <v>45100</v>
      </c>
      <c r="B6283" t="s">
        <v>21</v>
      </c>
      <c r="C6283" t="s">
        <v>46</v>
      </c>
      <c r="D6283" s="8"/>
      <c r="E6283" s="8"/>
      <c r="M6283" t="s">
        <v>478</v>
      </c>
      <c r="N6283" t="str">
        <f>Tabela_tudo[[#This Row],[Médico]]&amp;" ("&amp;Tabela_tudo[[#This Row],[Obs]]&amp;")"</f>
        <v>RA ()</v>
      </c>
    </row>
    <row r="6284" spans="1:14" x14ac:dyDescent="0.3">
      <c r="A6284" s="1">
        <v>45013</v>
      </c>
      <c r="B6284" t="s">
        <v>72</v>
      </c>
      <c r="C6284" t="s">
        <v>464</v>
      </c>
      <c r="D6284" s="8"/>
      <c r="E6284" s="8"/>
      <c r="M6284" t="s">
        <v>478</v>
      </c>
      <c r="N6284" t="str">
        <f>Tabela_tudo[[#This Row],[Médico]]&amp;" ("&amp;Tabela_tudo[[#This Row],[Obs]]&amp;")"</f>
        <v>GRA ()</v>
      </c>
    </row>
    <row r="6285" spans="1:14" x14ac:dyDescent="0.3">
      <c r="A6285" s="1">
        <v>45100</v>
      </c>
      <c r="B6285" t="s">
        <v>63</v>
      </c>
      <c r="C6285" t="s">
        <v>18</v>
      </c>
      <c r="D6285" s="8"/>
      <c r="E6285" s="8"/>
      <c r="M6285" t="s">
        <v>478</v>
      </c>
      <c r="N6285" t="str">
        <f>Tabela_tudo[[#This Row],[Médico]]&amp;" ("&amp;Tabela_tudo[[#This Row],[Obs]]&amp;")"</f>
        <v>FQ ()</v>
      </c>
    </row>
    <row r="6286" spans="1:14" x14ac:dyDescent="0.3">
      <c r="A6286" s="1">
        <v>45008</v>
      </c>
      <c r="B6286" t="s">
        <v>47</v>
      </c>
      <c r="C6286" t="s">
        <v>465</v>
      </c>
      <c r="D6286" s="8"/>
      <c r="E6286" s="8"/>
      <c r="M6286" t="s">
        <v>478</v>
      </c>
      <c r="N6286" t="str">
        <f>Tabela_tudo[[#This Row],[Médico]]&amp;" ("&amp;Tabela_tudo[[#This Row],[Obs]]&amp;")"</f>
        <v>VIN ()</v>
      </c>
    </row>
    <row r="6287" spans="1:14" x14ac:dyDescent="0.3">
      <c r="A6287" s="1">
        <v>45100</v>
      </c>
      <c r="B6287" t="s">
        <v>85</v>
      </c>
      <c r="C6287" t="s">
        <v>49</v>
      </c>
      <c r="D6287" s="8"/>
      <c r="E6287" s="8"/>
      <c r="M6287" t="s">
        <v>478</v>
      </c>
      <c r="N6287" t="str">
        <f>Tabela_tudo[[#This Row],[Médico]]&amp;" ("&amp;Tabela_tudo[[#This Row],[Obs]]&amp;")"</f>
        <v>ELF ()</v>
      </c>
    </row>
    <row r="6288" spans="1:14" x14ac:dyDescent="0.3">
      <c r="A6288" s="1">
        <v>45009</v>
      </c>
      <c r="B6288" t="s">
        <v>47</v>
      </c>
      <c r="C6288" t="s">
        <v>465</v>
      </c>
      <c r="D6288" s="8"/>
      <c r="E6288" s="8"/>
      <c r="M6288" t="s">
        <v>478</v>
      </c>
      <c r="N6288" t="str">
        <f>Tabela_tudo[[#This Row],[Médico]]&amp;" ("&amp;Tabela_tudo[[#This Row],[Obs]]&amp;")"</f>
        <v>VIN ()</v>
      </c>
    </row>
    <row r="6289" spans="1:14" x14ac:dyDescent="0.3">
      <c r="A6289" s="1">
        <v>45100</v>
      </c>
      <c r="B6289" t="s">
        <v>23</v>
      </c>
      <c r="C6289" t="s">
        <v>45</v>
      </c>
      <c r="D6289" s="8"/>
      <c r="E6289" s="8"/>
      <c r="M6289" t="s">
        <v>478</v>
      </c>
      <c r="N6289" t="str">
        <f>Tabela_tudo[[#This Row],[Médico]]&amp;" ("&amp;Tabela_tudo[[#This Row],[Obs]]&amp;")"</f>
        <v>BG ()</v>
      </c>
    </row>
    <row r="6290" spans="1:14" x14ac:dyDescent="0.3">
      <c r="A6290" s="1">
        <v>45006</v>
      </c>
      <c r="B6290" t="s">
        <v>47</v>
      </c>
      <c r="C6290" t="s">
        <v>465</v>
      </c>
      <c r="D6290" s="8"/>
      <c r="E6290" s="8"/>
      <c r="M6290" t="s">
        <v>478</v>
      </c>
      <c r="N6290" t="str">
        <f>Tabela_tudo[[#This Row],[Médico]]&amp;" ("&amp;Tabela_tudo[[#This Row],[Obs]]&amp;")"</f>
        <v>VIN ()</v>
      </c>
    </row>
    <row r="6291" spans="1:14" x14ac:dyDescent="0.3">
      <c r="A6291" s="1">
        <v>45100</v>
      </c>
      <c r="B6291" t="s">
        <v>52</v>
      </c>
      <c r="C6291" t="s">
        <v>8</v>
      </c>
      <c r="D6291" s="8"/>
      <c r="E6291" s="8"/>
      <c r="M6291" t="s">
        <v>478</v>
      </c>
      <c r="N6291" t="str">
        <f>Tabela_tudo[[#This Row],[Médico]]&amp;" ("&amp;Tabela_tudo[[#This Row],[Obs]]&amp;")"</f>
        <v>AEL ()</v>
      </c>
    </row>
    <row r="6292" spans="1:14" x14ac:dyDescent="0.3">
      <c r="A6292" s="1">
        <v>45007</v>
      </c>
      <c r="B6292" t="s">
        <v>47</v>
      </c>
      <c r="C6292" t="s">
        <v>465</v>
      </c>
      <c r="D6292" s="8"/>
      <c r="E6292" s="8"/>
      <c r="M6292" t="s">
        <v>478</v>
      </c>
      <c r="N6292" t="str">
        <f>Tabela_tudo[[#This Row],[Médico]]&amp;" ("&amp;Tabela_tudo[[#This Row],[Obs]]&amp;")"</f>
        <v>VIN ()</v>
      </c>
    </row>
    <row r="6293" spans="1:14" x14ac:dyDescent="0.3">
      <c r="A6293" s="1">
        <v>45100</v>
      </c>
      <c r="B6293" t="s">
        <v>48</v>
      </c>
      <c r="C6293" t="s">
        <v>30</v>
      </c>
      <c r="D6293" s="8"/>
      <c r="E6293" s="8"/>
      <c r="M6293" t="s">
        <v>478</v>
      </c>
      <c r="N6293" t="str">
        <f>Tabela_tudo[[#This Row],[Médico]]&amp;" ("&amp;Tabela_tudo[[#This Row],[Obs]]&amp;")"</f>
        <v>MAF ()</v>
      </c>
    </row>
    <row r="6294" spans="1:14" x14ac:dyDescent="0.3">
      <c r="A6294" s="1">
        <v>45010</v>
      </c>
      <c r="B6294" t="s">
        <v>47</v>
      </c>
      <c r="C6294" t="s">
        <v>465</v>
      </c>
      <c r="D6294" s="8"/>
      <c r="E6294" s="8"/>
      <c r="M6294" t="s">
        <v>478</v>
      </c>
      <c r="N6294" t="str">
        <f>Tabela_tudo[[#This Row],[Médico]]&amp;" ("&amp;Tabela_tudo[[#This Row],[Obs]]&amp;")"</f>
        <v>VIN ()</v>
      </c>
    </row>
    <row r="6295" spans="1:14" x14ac:dyDescent="0.3">
      <c r="A6295" s="1">
        <v>45100</v>
      </c>
      <c r="B6295" t="s">
        <v>142</v>
      </c>
      <c r="C6295" t="s">
        <v>43</v>
      </c>
      <c r="D6295" s="8"/>
      <c r="E6295" s="8"/>
      <c r="M6295" t="s">
        <v>478</v>
      </c>
      <c r="N6295" t="str">
        <f>Tabela_tudo[[#This Row],[Médico]]&amp;" ("&amp;Tabela_tudo[[#This Row],[Obs]]&amp;")"</f>
        <v>VIV ()</v>
      </c>
    </row>
    <row r="6296" spans="1:14" x14ac:dyDescent="0.3">
      <c r="A6296" s="1">
        <v>45005</v>
      </c>
      <c r="B6296" t="s">
        <v>72</v>
      </c>
      <c r="C6296" t="s">
        <v>464</v>
      </c>
      <c r="D6296" s="8"/>
      <c r="E6296" s="8"/>
      <c r="M6296" t="s">
        <v>478</v>
      </c>
      <c r="N6296" t="str">
        <f>Tabela_tudo[[#This Row],[Médico]]&amp;" ("&amp;Tabela_tudo[[#This Row],[Obs]]&amp;")"</f>
        <v>GRA ()</v>
      </c>
    </row>
    <row r="6297" spans="1:14" x14ac:dyDescent="0.3">
      <c r="A6297" s="1">
        <v>45099</v>
      </c>
      <c r="B6297" t="s">
        <v>52</v>
      </c>
      <c r="C6297" t="s">
        <v>45</v>
      </c>
      <c r="D6297" s="8"/>
      <c r="E6297" s="8"/>
      <c r="M6297" t="s">
        <v>478</v>
      </c>
      <c r="N6297" t="str">
        <f>Tabela_tudo[[#This Row],[Médico]]&amp;" ("&amp;Tabela_tudo[[#This Row],[Obs]]&amp;")"</f>
        <v>AEL ()</v>
      </c>
    </row>
    <row r="6298" spans="1:14" x14ac:dyDescent="0.3">
      <c r="A6298" s="1">
        <v>45006</v>
      </c>
      <c r="B6298" t="s">
        <v>72</v>
      </c>
      <c r="C6298" t="s">
        <v>464</v>
      </c>
      <c r="D6298" s="8"/>
      <c r="E6298" s="8"/>
      <c r="M6298" t="s">
        <v>478</v>
      </c>
      <c r="N6298" t="str">
        <f>Tabela_tudo[[#This Row],[Médico]]&amp;" ("&amp;Tabela_tudo[[#This Row],[Obs]]&amp;")"</f>
        <v>GRA ()</v>
      </c>
    </row>
    <row r="6299" spans="1:14" x14ac:dyDescent="0.3">
      <c r="A6299" s="1">
        <v>45101</v>
      </c>
      <c r="B6299" t="s">
        <v>21</v>
      </c>
      <c r="C6299" t="s">
        <v>13</v>
      </c>
      <c r="D6299" s="8"/>
      <c r="E6299" s="8"/>
      <c r="M6299" t="s">
        <v>478</v>
      </c>
      <c r="N6299" t="str">
        <f>Tabela_tudo[[#This Row],[Médico]]&amp;" ("&amp;Tabela_tudo[[#This Row],[Obs]]&amp;")"</f>
        <v>RA ()</v>
      </c>
    </row>
    <row r="6300" spans="1:14" x14ac:dyDescent="0.3">
      <c r="A6300" s="1">
        <v>45003</v>
      </c>
      <c r="B6300" t="s">
        <v>72</v>
      </c>
      <c r="C6300" t="s">
        <v>464</v>
      </c>
      <c r="D6300" s="8"/>
      <c r="E6300" s="8"/>
      <c r="M6300" t="s">
        <v>478</v>
      </c>
      <c r="N6300" t="str">
        <f>Tabela_tudo[[#This Row],[Médico]]&amp;" ("&amp;Tabela_tudo[[#This Row],[Obs]]&amp;")"</f>
        <v>GRA ()</v>
      </c>
    </row>
    <row r="6301" spans="1:14" x14ac:dyDescent="0.3">
      <c r="A6301" s="1">
        <v>45101</v>
      </c>
      <c r="B6301" t="s">
        <v>12</v>
      </c>
      <c r="C6301" t="s">
        <v>8</v>
      </c>
      <c r="D6301" s="8"/>
      <c r="E6301" s="8"/>
      <c r="M6301" t="s">
        <v>478</v>
      </c>
      <c r="N6301" t="str">
        <f>Tabela_tudo[[#This Row],[Médico]]&amp;" ("&amp;Tabela_tudo[[#This Row],[Obs]]&amp;")"</f>
        <v>EDU ()</v>
      </c>
    </row>
    <row r="6302" spans="1:14" x14ac:dyDescent="0.3">
      <c r="A6302" s="1">
        <v>45004</v>
      </c>
      <c r="B6302" t="s">
        <v>72</v>
      </c>
      <c r="C6302" t="s">
        <v>464</v>
      </c>
      <c r="D6302" s="8"/>
      <c r="E6302" s="8"/>
      <c r="M6302" t="s">
        <v>478</v>
      </c>
      <c r="N6302" t="str">
        <f>Tabela_tudo[[#This Row],[Médico]]&amp;" ("&amp;Tabela_tudo[[#This Row],[Obs]]&amp;")"</f>
        <v>GRA ()</v>
      </c>
    </row>
    <row r="6303" spans="1:14" x14ac:dyDescent="0.3">
      <c r="A6303" s="1">
        <v>45101</v>
      </c>
      <c r="B6303" t="s">
        <v>29</v>
      </c>
      <c r="C6303" t="s">
        <v>78</v>
      </c>
      <c r="D6303" s="8"/>
      <c r="E6303" s="8"/>
      <c r="M6303" t="s">
        <v>478</v>
      </c>
      <c r="N6303" t="str">
        <f>Tabela_tudo[[#This Row],[Médico]]&amp;" ("&amp;Tabela_tudo[[#This Row],[Obs]]&amp;")"</f>
        <v>JOA ()</v>
      </c>
    </row>
    <row r="6304" spans="1:14" x14ac:dyDescent="0.3">
      <c r="A6304" s="1">
        <v>45016</v>
      </c>
      <c r="B6304" t="s">
        <v>72</v>
      </c>
      <c r="C6304" t="s">
        <v>464</v>
      </c>
      <c r="D6304" s="8"/>
      <c r="E6304" s="8"/>
      <c r="M6304" t="s">
        <v>478</v>
      </c>
      <c r="N6304" t="str">
        <f>Tabela_tudo[[#This Row],[Médico]]&amp;" ("&amp;Tabela_tudo[[#This Row],[Obs]]&amp;")"</f>
        <v>GRA ()</v>
      </c>
    </row>
    <row r="6305" spans="1:14" x14ac:dyDescent="0.3">
      <c r="A6305" s="1">
        <v>45098</v>
      </c>
      <c r="B6305" t="s">
        <v>73</v>
      </c>
      <c r="C6305" t="s">
        <v>51</v>
      </c>
      <c r="D6305" s="8"/>
      <c r="E6305" s="8"/>
      <c r="M6305" t="s">
        <v>478</v>
      </c>
      <c r="N6305" t="str">
        <f>Tabela_tudo[[#This Row],[Médico]]&amp;" ("&amp;Tabela_tudo[[#This Row],[Obs]]&amp;")"</f>
        <v>RT ()</v>
      </c>
    </row>
    <row r="6306" spans="1:14" x14ac:dyDescent="0.3">
      <c r="A6306" s="1">
        <v>45015</v>
      </c>
      <c r="B6306" t="s">
        <v>75</v>
      </c>
      <c r="C6306" t="s">
        <v>464</v>
      </c>
      <c r="D6306" s="8"/>
      <c r="E6306" s="8"/>
      <c r="M6306" t="s">
        <v>478</v>
      </c>
      <c r="N6306" t="str">
        <f>Tabela_tudo[[#This Row],[Médico]]&amp;" ("&amp;Tabela_tudo[[#This Row],[Obs]]&amp;")"</f>
        <v>KOP ()</v>
      </c>
    </row>
    <row r="6307" spans="1:14" x14ac:dyDescent="0.3">
      <c r="A6307" s="1">
        <v>45098</v>
      </c>
      <c r="B6307" t="s">
        <v>68</v>
      </c>
      <c r="C6307" t="s">
        <v>46</v>
      </c>
      <c r="D6307" s="8"/>
      <c r="E6307" s="8"/>
      <c r="M6307" t="s">
        <v>478</v>
      </c>
      <c r="N6307" t="str">
        <f>Tabela_tudo[[#This Row],[Médico]]&amp;" ("&amp;Tabela_tudo[[#This Row],[Obs]]&amp;")"</f>
        <v>PED ()</v>
      </c>
    </row>
    <row r="6308" spans="1:14" x14ac:dyDescent="0.3">
      <c r="A6308" s="1">
        <v>45016</v>
      </c>
      <c r="B6308" t="s">
        <v>75</v>
      </c>
      <c r="C6308" t="s">
        <v>464</v>
      </c>
      <c r="D6308" s="8"/>
      <c r="E6308" s="8"/>
      <c r="M6308" t="s">
        <v>478</v>
      </c>
      <c r="N6308" t="str">
        <f>Tabela_tudo[[#This Row],[Médico]]&amp;" ("&amp;Tabela_tudo[[#This Row],[Obs]]&amp;")"</f>
        <v>KOP ()</v>
      </c>
    </row>
    <row r="6309" spans="1:14" x14ac:dyDescent="0.3">
      <c r="A6309" s="1">
        <v>45098</v>
      </c>
      <c r="B6309" t="s">
        <v>72</v>
      </c>
      <c r="C6309" t="s">
        <v>18</v>
      </c>
      <c r="D6309" s="8"/>
      <c r="E6309" s="8"/>
      <c r="M6309" t="s">
        <v>478</v>
      </c>
      <c r="N6309" t="str">
        <f>Tabela_tudo[[#This Row],[Médico]]&amp;" ("&amp;Tabela_tudo[[#This Row],[Obs]]&amp;")"</f>
        <v>GRA ()</v>
      </c>
    </row>
    <row r="6310" spans="1:14" x14ac:dyDescent="0.3">
      <c r="A6310" s="1">
        <v>45013</v>
      </c>
      <c r="B6310" t="s">
        <v>75</v>
      </c>
      <c r="C6310" t="s">
        <v>464</v>
      </c>
      <c r="D6310" s="8"/>
      <c r="E6310" s="8"/>
      <c r="M6310" t="s">
        <v>478</v>
      </c>
      <c r="N6310" t="str">
        <f>Tabela_tudo[[#This Row],[Médico]]&amp;" ("&amp;Tabela_tudo[[#This Row],[Obs]]&amp;")"</f>
        <v>KOP ()</v>
      </c>
    </row>
    <row r="6311" spans="1:14" x14ac:dyDescent="0.3">
      <c r="A6311" s="1">
        <v>45098</v>
      </c>
      <c r="B6311" t="s">
        <v>85</v>
      </c>
      <c r="C6311" t="s">
        <v>49</v>
      </c>
      <c r="D6311" s="8"/>
      <c r="E6311" s="8"/>
      <c r="M6311" t="s">
        <v>478</v>
      </c>
      <c r="N6311" t="str">
        <f>Tabela_tudo[[#This Row],[Médico]]&amp;" ("&amp;Tabela_tudo[[#This Row],[Obs]]&amp;")"</f>
        <v>ELF ()</v>
      </c>
    </row>
    <row r="6312" spans="1:14" x14ac:dyDescent="0.3">
      <c r="A6312" s="1">
        <v>45014</v>
      </c>
      <c r="B6312" t="s">
        <v>75</v>
      </c>
      <c r="C6312" t="s">
        <v>464</v>
      </c>
      <c r="D6312" s="8"/>
      <c r="E6312" s="8"/>
      <c r="M6312" t="s">
        <v>478</v>
      </c>
      <c r="N6312" t="str">
        <f>Tabela_tudo[[#This Row],[Médico]]&amp;" ("&amp;Tabela_tudo[[#This Row],[Obs]]&amp;")"</f>
        <v>KOP ()</v>
      </c>
    </row>
    <row r="6313" spans="1:14" x14ac:dyDescent="0.3">
      <c r="A6313" s="1">
        <v>45099</v>
      </c>
      <c r="B6313" t="s">
        <v>34</v>
      </c>
      <c r="C6313" t="s">
        <v>15</v>
      </c>
      <c r="D6313" s="8"/>
      <c r="E6313" s="8"/>
      <c r="M6313" t="s">
        <v>478</v>
      </c>
      <c r="N6313" t="str">
        <f>Tabela_tudo[[#This Row],[Médico]]&amp;" ("&amp;Tabela_tudo[[#This Row],[Obs]]&amp;")"</f>
        <v>LIP ()</v>
      </c>
    </row>
    <row r="6314" spans="1:14" x14ac:dyDescent="0.3">
      <c r="A6314" s="1">
        <v>45017</v>
      </c>
      <c r="B6314" t="s">
        <v>75</v>
      </c>
      <c r="C6314" t="s">
        <v>464</v>
      </c>
      <c r="D6314" s="8"/>
      <c r="E6314" s="8"/>
      <c r="M6314" t="s">
        <v>478</v>
      </c>
      <c r="N6314" t="str">
        <f>Tabela_tudo[[#This Row],[Médico]]&amp;" ("&amp;Tabela_tudo[[#This Row],[Obs]]&amp;")"</f>
        <v>KOP ()</v>
      </c>
    </row>
    <row r="6315" spans="1:14" x14ac:dyDescent="0.3">
      <c r="A6315" s="1">
        <v>45099</v>
      </c>
      <c r="B6315" t="s">
        <v>50</v>
      </c>
      <c r="C6315" t="s">
        <v>8</v>
      </c>
      <c r="D6315" s="8"/>
      <c r="E6315" s="8"/>
      <c r="M6315" t="s">
        <v>478</v>
      </c>
      <c r="N6315" t="str">
        <f>Tabela_tudo[[#This Row],[Médico]]&amp;" ("&amp;Tabela_tudo[[#This Row],[Obs]]&amp;")"</f>
        <v>PJP ()</v>
      </c>
    </row>
    <row r="6316" spans="1:14" x14ac:dyDescent="0.3">
      <c r="A6316" s="1">
        <v>45019</v>
      </c>
      <c r="B6316" t="s">
        <v>23</v>
      </c>
      <c r="C6316" t="s">
        <v>465</v>
      </c>
      <c r="D6316" s="8"/>
      <c r="E6316" s="8"/>
      <c r="M6316" t="s">
        <v>478</v>
      </c>
      <c r="N6316" t="str">
        <f>Tabela_tudo[[#This Row],[Médico]]&amp;" ("&amp;Tabela_tudo[[#This Row],[Obs]]&amp;")"</f>
        <v>BG ()</v>
      </c>
    </row>
    <row r="6317" spans="1:14" x14ac:dyDescent="0.3">
      <c r="A6317" s="1">
        <v>45099</v>
      </c>
      <c r="B6317" t="s">
        <v>84</v>
      </c>
      <c r="C6317" t="s">
        <v>43</v>
      </c>
      <c r="D6317" s="8"/>
      <c r="E6317" s="8"/>
      <c r="M6317" t="s">
        <v>478</v>
      </c>
      <c r="N6317" t="str">
        <f>Tabela_tudo[[#This Row],[Médico]]&amp;" ("&amp;Tabela_tudo[[#This Row],[Obs]]&amp;")"</f>
        <v>ANO ()</v>
      </c>
    </row>
    <row r="6318" spans="1:14" x14ac:dyDescent="0.3">
      <c r="A6318" s="1">
        <v>45020</v>
      </c>
      <c r="B6318" t="s">
        <v>23</v>
      </c>
      <c r="C6318" t="s">
        <v>465</v>
      </c>
      <c r="D6318" s="8"/>
      <c r="E6318" s="8"/>
      <c r="M6318" t="s">
        <v>478</v>
      </c>
      <c r="N6318" t="str">
        <f>Tabela_tudo[[#This Row],[Médico]]&amp;" ("&amp;Tabela_tudo[[#This Row],[Obs]]&amp;")"</f>
        <v>BG ()</v>
      </c>
    </row>
    <row r="6319" spans="1:14" x14ac:dyDescent="0.3">
      <c r="A6319" s="1">
        <v>45099</v>
      </c>
      <c r="B6319" t="s">
        <v>33</v>
      </c>
      <c r="C6319" t="s">
        <v>13</v>
      </c>
      <c r="D6319" s="8"/>
      <c r="E6319" s="8"/>
      <c r="M6319" t="s">
        <v>478</v>
      </c>
      <c r="N6319" t="str">
        <f>Tabela_tudo[[#This Row],[Médico]]&amp;" ("&amp;Tabela_tudo[[#This Row],[Obs]]&amp;")"</f>
        <v>DIF ()</v>
      </c>
    </row>
    <row r="6320" spans="1:14" x14ac:dyDescent="0.3">
      <c r="A6320" s="1">
        <v>45015</v>
      </c>
      <c r="B6320" t="s">
        <v>23</v>
      </c>
      <c r="C6320" t="s">
        <v>466</v>
      </c>
      <c r="D6320" s="8"/>
      <c r="E6320" s="8"/>
      <c r="M6320" t="s">
        <v>478</v>
      </c>
      <c r="N6320" t="str">
        <f>Tabela_tudo[[#This Row],[Médico]]&amp;" ("&amp;Tabela_tudo[[#This Row],[Obs]]&amp;")"</f>
        <v>BG ()</v>
      </c>
    </row>
    <row r="6321" spans="1:14" x14ac:dyDescent="0.3">
      <c r="A6321" s="1">
        <v>45102</v>
      </c>
      <c r="B6321" t="s">
        <v>29</v>
      </c>
      <c r="C6321" t="s">
        <v>13</v>
      </c>
      <c r="D6321" s="8"/>
      <c r="E6321" s="8"/>
      <c r="M6321" t="s">
        <v>478</v>
      </c>
      <c r="N6321" t="str">
        <f>Tabela_tudo[[#This Row],[Médico]]&amp;" ("&amp;Tabela_tudo[[#This Row],[Obs]]&amp;")"</f>
        <v>JOA ()</v>
      </c>
    </row>
    <row r="6322" spans="1:14" x14ac:dyDescent="0.3">
      <c r="A6322" s="1">
        <v>45015</v>
      </c>
      <c r="B6322" t="s">
        <v>47</v>
      </c>
      <c r="C6322" t="s">
        <v>465</v>
      </c>
      <c r="D6322" s="8"/>
      <c r="E6322" s="8"/>
      <c r="M6322" t="s">
        <v>478</v>
      </c>
      <c r="N6322" t="str">
        <f>Tabela_tudo[[#This Row],[Médico]]&amp;" ("&amp;Tabela_tudo[[#This Row],[Obs]]&amp;")"</f>
        <v>VIN ()</v>
      </c>
    </row>
    <row r="6323" spans="1:14" x14ac:dyDescent="0.3">
      <c r="A6323" s="1">
        <v>45102</v>
      </c>
      <c r="B6323" t="s">
        <v>21</v>
      </c>
      <c r="C6323" t="s">
        <v>8</v>
      </c>
      <c r="D6323" s="8"/>
      <c r="E6323" s="8"/>
      <c r="M6323" t="s">
        <v>478</v>
      </c>
      <c r="N6323" t="str">
        <f>Tabela_tudo[[#This Row],[Médico]]&amp;" ("&amp;Tabela_tudo[[#This Row],[Obs]]&amp;")"</f>
        <v>RA ()</v>
      </c>
    </row>
    <row r="6324" spans="1:14" x14ac:dyDescent="0.3">
      <c r="A6324" s="1">
        <v>45006</v>
      </c>
      <c r="B6324" t="s">
        <v>75</v>
      </c>
      <c r="C6324" t="s">
        <v>464</v>
      </c>
      <c r="D6324" s="8"/>
      <c r="E6324" s="8"/>
      <c r="M6324" t="s">
        <v>478</v>
      </c>
      <c r="N6324" t="str">
        <f>Tabela_tudo[[#This Row],[Médico]]&amp;" ("&amp;Tabela_tudo[[#This Row],[Obs]]&amp;")"</f>
        <v>KOP ()</v>
      </c>
    </row>
    <row r="6325" spans="1:14" x14ac:dyDescent="0.3">
      <c r="A6325" s="1">
        <v>45102</v>
      </c>
      <c r="B6325" t="s">
        <v>12</v>
      </c>
      <c r="C6325" t="s">
        <v>78</v>
      </c>
      <c r="D6325" s="8"/>
      <c r="E6325" s="8"/>
      <c r="M6325" t="s">
        <v>478</v>
      </c>
      <c r="N6325" t="str">
        <f>Tabela_tudo[[#This Row],[Médico]]&amp;" ("&amp;Tabela_tudo[[#This Row],[Obs]]&amp;")"</f>
        <v>EDU ()</v>
      </c>
    </row>
    <row r="6326" spans="1:14" x14ac:dyDescent="0.3">
      <c r="A6326" s="1">
        <v>45007</v>
      </c>
      <c r="B6326" t="s">
        <v>75</v>
      </c>
      <c r="C6326" t="s">
        <v>464</v>
      </c>
      <c r="D6326" s="8"/>
      <c r="E6326" s="8"/>
      <c r="M6326" t="s">
        <v>478</v>
      </c>
      <c r="N6326" t="str">
        <f>Tabela_tudo[[#This Row],[Médico]]&amp;" ("&amp;Tabela_tudo[[#This Row],[Obs]]&amp;")"</f>
        <v>KOP ()</v>
      </c>
    </row>
    <row r="6327" spans="1:14" x14ac:dyDescent="0.3">
      <c r="A6327" s="1">
        <v>45119</v>
      </c>
      <c r="B6327" t="s">
        <v>68</v>
      </c>
      <c r="C6327" t="s">
        <v>46</v>
      </c>
      <c r="D6327" s="8"/>
      <c r="E6327" s="8"/>
      <c r="M6327" t="s">
        <v>478</v>
      </c>
      <c r="N6327" t="str">
        <f>Tabela_tudo[[#This Row],[Médico]]&amp;" ("&amp;Tabela_tudo[[#This Row],[Obs]]&amp;")"</f>
        <v>PED ()</v>
      </c>
    </row>
    <row r="6328" spans="1:14" x14ac:dyDescent="0.3">
      <c r="A6328" s="1">
        <v>45017</v>
      </c>
      <c r="B6328" t="s">
        <v>72</v>
      </c>
      <c r="C6328" t="s">
        <v>464</v>
      </c>
      <c r="D6328" s="8"/>
      <c r="E6328" s="8"/>
      <c r="M6328" t="s">
        <v>478</v>
      </c>
      <c r="N6328" t="str">
        <f>Tabela_tudo[[#This Row],[Médico]]&amp;" ("&amp;Tabela_tudo[[#This Row],[Obs]]&amp;")"</f>
        <v>GRA ()</v>
      </c>
    </row>
    <row r="6329" spans="1:14" x14ac:dyDescent="0.3">
      <c r="A6329" s="1">
        <v>45119</v>
      </c>
      <c r="B6329" t="s">
        <v>63</v>
      </c>
      <c r="C6329" t="s">
        <v>18</v>
      </c>
      <c r="D6329" s="8"/>
      <c r="E6329" s="8"/>
      <c r="M6329" t="s">
        <v>478</v>
      </c>
      <c r="N6329" t="str">
        <f>Tabela_tudo[[#This Row],[Médico]]&amp;" ("&amp;Tabela_tudo[[#This Row],[Obs]]&amp;")"</f>
        <v>FQ ()</v>
      </c>
    </row>
    <row r="6330" spans="1:14" x14ac:dyDescent="0.3">
      <c r="A6330" s="1">
        <v>45005</v>
      </c>
      <c r="B6330" t="s">
        <v>75</v>
      </c>
      <c r="C6330" t="s">
        <v>464</v>
      </c>
      <c r="D6330" s="8"/>
      <c r="E6330" s="8"/>
      <c r="M6330" t="s">
        <v>478</v>
      </c>
      <c r="N6330" t="str">
        <f>Tabela_tudo[[#This Row],[Médico]]&amp;" ("&amp;Tabela_tudo[[#This Row],[Obs]]&amp;")"</f>
        <v>KOP ()</v>
      </c>
    </row>
    <row r="6331" spans="1:14" x14ac:dyDescent="0.3">
      <c r="A6331" s="1">
        <v>45119</v>
      </c>
      <c r="B6331" t="s">
        <v>85</v>
      </c>
      <c r="C6331" t="s">
        <v>49</v>
      </c>
      <c r="D6331" s="8"/>
      <c r="E6331" s="8"/>
      <c r="M6331" t="s">
        <v>478</v>
      </c>
      <c r="N6331" t="str">
        <f>Tabela_tudo[[#This Row],[Médico]]&amp;" ("&amp;Tabela_tudo[[#This Row],[Obs]]&amp;")"</f>
        <v>ELF ()</v>
      </c>
    </row>
    <row r="6332" spans="1:14" x14ac:dyDescent="0.3">
      <c r="A6332" s="1">
        <v>45008</v>
      </c>
      <c r="B6332" t="s">
        <v>75</v>
      </c>
      <c r="C6332" t="s">
        <v>464</v>
      </c>
      <c r="D6332" s="8"/>
      <c r="E6332" s="8"/>
      <c r="M6332" t="s">
        <v>478</v>
      </c>
      <c r="N6332" t="str">
        <f>Tabela_tudo[[#This Row],[Médico]]&amp;" ("&amp;Tabela_tudo[[#This Row],[Obs]]&amp;")"</f>
        <v>KOP ()</v>
      </c>
    </row>
    <row r="6333" spans="1:14" x14ac:dyDescent="0.3">
      <c r="A6333" s="1">
        <v>45119</v>
      </c>
      <c r="B6333" t="s">
        <v>66</v>
      </c>
      <c r="C6333" t="s">
        <v>45</v>
      </c>
      <c r="D6333" s="8"/>
      <c r="E6333" s="8"/>
      <c r="M6333" t="s">
        <v>478</v>
      </c>
      <c r="N6333" t="str">
        <f>Tabela_tudo[[#This Row],[Médico]]&amp;" ("&amp;Tabela_tudo[[#This Row],[Obs]]&amp;")"</f>
        <v>MOZ ()</v>
      </c>
    </row>
    <row r="6334" spans="1:14" x14ac:dyDescent="0.3">
      <c r="A6334" s="1">
        <v>45011</v>
      </c>
      <c r="B6334" t="s">
        <v>75</v>
      </c>
      <c r="C6334" t="s">
        <v>464</v>
      </c>
      <c r="D6334" s="8"/>
      <c r="E6334" s="8"/>
      <c r="M6334" t="s">
        <v>478</v>
      </c>
      <c r="N6334" t="str">
        <f>Tabela_tudo[[#This Row],[Médico]]&amp;" ("&amp;Tabela_tudo[[#This Row],[Obs]]&amp;")"</f>
        <v>KOP ()</v>
      </c>
    </row>
    <row r="6335" spans="1:14" x14ac:dyDescent="0.3">
      <c r="A6335" s="1">
        <v>45119</v>
      </c>
      <c r="B6335" t="s">
        <v>64</v>
      </c>
      <c r="C6335" t="s">
        <v>15</v>
      </c>
      <c r="D6335" s="8"/>
      <c r="E6335" s="8"/>
      <c r="M6335" t="s">
        <v>478</v>
      </c>
      <c r="N6335" t="str">
        <f>Tabela_tudo[[#This Row],[Médico]]&amp;" ("&amp;Tabela_tudo[[#This Row],[Obs]]&amp;")"</f>
        <v>SAR ()</v>
      </c>
    </row>
    <row r="6336" spans="1:14" x14ac:dyDescent="0.3">
      <c r="A6336" s="1">
        <v>45012</v>
      </c>
      <c r="B6336" t="s">
        <v>75</v>
      </c>
      <c r="C6336" t="s">
        <v>464</v>
      </c>
      <c r="D6336" s="8"/>
      <c r="E6336" s="8"/>
      <c r="M6336" t="s">
        <v>478</v>
      </c>
      <c r="N6336" t="str">
        <f>Tabela_tudo[[#This Row],[Médico]]&amp;" ("&amp;Tabela_tudo[[#This Row],[Obs]]&amp;")"</f>
        <v>KOP ()</v>
      </c>
    </row>
    <row r="6337" spans="1:14" x14ac:dyDescent="0.3">
      <c r="A6337" s="1">
        <v>45119</v>
      </c>
      <c r="B6337" t="s">
        <v>94</v>
      </c>
      <c r="C6337" t="s">
        <v>8</v>
      </c>
      <c r="D6337" s="8"/>
      <c r="E6337" s="8"/>
      <c r="M6337" t="s">
        <v>478</v>
      </c>
      <c r="N6337" t="str">
        <f>Tabela_tudo[[#This Row],[Médico]]&amp;" ("&amp;Tabela_tudo[[#This Row],[Obs]]&amp;")"</f>
        <v>TOT ()</v>
      </c>
    </row>
    <row r="6338" spans="1:14" x14ac:dyDescent="0.3">
      <c r="A6338" s="1">
        <v>45009</v>
      </c>
      <c r="B6338" t="s">
        <v>75</v>
      </c>
      <c r="C6338" t="s">
        <v>464</v>
      </c>
      <c r="D6338" s="8"/>
      <c r="E6338" s="8"/>
      <c r="M6338" t="s">
        <v>478</v>
      </c>
      <c r="N6338" t="str">
        <f>Tabela_tudo[[#This Row],[Médico]]&amp;" ("&amp;Tabela_tudo[[#This Row],[Obs]]&amp;")"</f>
        <v>KOP ()</v>
      </c>
    </row>
    <row r="6339" spans="1:14" x14ac:dyDescent="0.3">
      <c r="A6339" s="1">
        <v>45119</v>
      </c>
      <c r="B6339" t="s">
        <v>142</v>
      </c>
      <c r="C6339" t="s">
        <v>43</v>
      </c>
      <c r="D6339" s="8"/>
      <c r="E6339" s="8"/>
      <c r="M6339" t="s">
        <v>478</v>
      </c>
      <c r="N6339" t="str">
        <f>Tabela_tudo[[#This Row],[Médico]]&amp;" ("&amp;Tabela_tudo[[#This Row],[Obs]]&amp;")"</f>
        <v>VIV ()</v>
      </c>
    </row>
    <row r="6340" spans="1:14" x14ac:dyDescent="0.3">
      <c r="A6340" s="1">
        <v>45010</v>
      </c>
      <c r="B6340" t="s">
        <v>75</v>
      </c>
      <c r="C6340" t="s">
        <v>464</v>
      </c>
      <c r="D6340" s="8"/>
      <c r="E6340" s="8"/>
      <c r="M6340" t="s">
        <v>478</v>
      </c>
      <c r="N6340" t="str">
        <f>Tabela_tudo[[#This Row],[Médico]]&amp;" ("&amp;Tabela_tudo[[#This Row],[Obs]]&amp;")"</f>
        <v>KOP ()</v>
      </c>
    </row>
    <row r="6341" spans="1:14" x14ac:dyDescent="0.3">
      <c r="A6341" s="1">
        <v>45103</v>
      </c>
      <c r="B6341" t="s">
        <v>47</v>
      </c>
      <c r="C6341" t="s">
        <v>8</v>
      </c>
      <c r="D6341" s="8"/>
      <c r="E6341" s="8"/>
      <c r="M6341" t="s">
        <v>478</v>
      </c>
      <c r="N6341" t="str">
        <f>Tabela_tudo[[#This Row],[Médico]]&amp;" ("&amp;Tabela_tudo[[#This Row],[Obs]]&amp;")"</f>
        <v>VIN ()</v>
      </c>
    </row>
    <row r="6342" spans="1:14" x14ac:dyDescent="0.3">
      <c r="A6342" s="1">
        <v>44999</v>
      </c>
      <c r="B6342" t="s">
        <v>50</v>
      </c>
      <c r="C6342" t="s">
        <v>465</v>
      </c>
      <c r="D6342" s="8"/>
      <c r="E6342" s="8"/>
      <c r="M6342" t="s">
        <v>478</v>
      </c>
      <c r="N6342" t="str">
        <f>Tabela_tudo[[#This Row],[Médico]]&amp;" ("&amp;Tabela_tudo[[#This Row],[Obs]]&amp;")"</f>
        <v>PJP ()</v>
      </c>
    </row>
    <row r="6343" spans="1:14" x14ac:dyDescent="0.3">
      <c r="A6343" s="1">
        <v>45103</v>
      </c>
      <c r="B6343" t="s">
        <v>33</v>
      </c>
      <c r="C6343" t="s">
        <v>43</v>
      </c>
      <c r="D6343" s="8"/>
      <c r="E6343" s="8"/>
      <c r="M6343" t="s">
        <v>478</v>
      </c>
      <c r="N6343" t="str">
        <f>Tabela_tudo[[#This Row],[Médico]]&amp;" ("&amp;Tabela_tudo[[#This Row],[Obs]]&amp;")"</f>
        <v>DIF ()</v>
      </c>
    </row>
    <row r="6344" spans="1:14" x14ac:dyDescent="0.3">
      <c r="A6344" s="1">
        <v>45000</v>
      </c>
      <c r="B6344" t="s">
        <v>50</v>
      </c>
      <c r="C6344" t="s">
        <v>465</v>
      </c>
      <c r="D6344" s="8"/>
      <c r="E6344" s="8"/>
      <c r="M6344" t="s">
        <v>478</v>
      </c>
      <c r="N6344" t="str">
        <f>Tabela_tudo[[#This Row],[Médico]]&amp;" ("&amp;Tabela_tudo[[#This Row],[Obs]]&amp;")"</f>
        <v>PJP ()</v>
      </c>
    </row>
    <row r="6345" spans="1:14" x14ac:dyDescent="0.3">
      <c r="A6345" s="1">
        <v>45103</v>
      </c>
      <c r="B6345" t="s">
        <v>44</v>
      </c>
      <c r="C6345" t="s">
        <v>45</v>
      </c>
      <c r="D6345" s="8"/>
      <c r="E6345" s="8"/>
      <c r="M6345" t="s">
        <v>478</v>
      </c>
      <c r="N6345" t="str">
        <f>Tabela_tudo[[#This Row],[Médico]]&amp;" ("&amp;Tabela_tudo[[#This Row],[Obs]]&amp;")"</f>
        <v>REI ()</v>
      </c>
    </row>
    <row r="6346" spans="1:14" x14ac:dyDescent="0.3">
      <c r="A6346" s="1">
        <v>44997</v>
      </c>
      <c r="B6346" t="s">
        <v>50</v>
      </c>
      <c r="C6346" t="s">
        <v>465</v>
      </c>
      <c r="D6346" s="8"/>
      <c r="E6346" s="8"/>
      <c r="M6346" t="s">
        <v>478</v>
      </c>
      <c r="N6346" t="str">
        <f>Tabela_tudo[[#This Row],[Médico]]&amp;" ("&amp;Tabela_tudo[[#This Row],[Obs]]&amp;")"</f>
        <v>PJP ()</v>
      </c>
    </row>
    <row r="6347" spans="1:14" x14ac:dyDescent="0.3">
      <c r="A6347" s="1">
        <v>45103</v>
      </c>
      <c r="B6347" t="s">
        <v>32</v>
      </c>
      <c r="C6347" t="s">
        <v>15</v>
      </c>
      <c r="D6347" s="8"/>
      <c r="E6347" s="8"/>
      <c r="M6347" t="s">
        <v>478</v>
      </c>
      <c r="N6347" t="str">
        <f>Tabela_tudo[[#This Row],[Médico]]&amp;" ("&amp;Tabela_tudo[[#This Row],[Obs]]&amp;")"</f>
        <v>JS ()</v>
      </c>
    </row>
    <row r="6348" spans="1:14" x14ac:dyDescent="0.3">
      <c r="A6348" s="1">
        <v>44998</v>
      </c>
      <c r="B6348" t="s">
        <v>50</v>
      </c>
      <c r="C6348" t="s">
        <v>465</v>
      </c>
      <c r="D6348" s="8"/>
      <c r="E6348" s="8"/>
      <c r="M6348" t="s">
        <v>478</v>
      </c>
      <c r="N6348" t="str">
        <f>Tabela_tudo[[#This Row],[Médico]]&amp;" ("&amp;Tabela_tudo[[#This Row],[Obs]]&amp;")"</f>
        <v>PJP ()</v>
      </c>
    </row>
    <row r="6349" spans="1:14" x14ac:dyDescent="0.3">
      <c r="A6349" s="1">
        <v>45119</v>
      </c>
      <c r="B6349" t="s">
        <v>17</v>
      </c>
      <c r="C6349" t="s">
        <v>51</v>
      </c>
      <c r="D6349" s="8"/>
      <c r="E6349" s="8"/>
      <c r="M6349" t="s">
        <v>478</v>
      </c>
      <c r="N6349" t="str">
        <f>Tabela_tudo[[#This Row],[Médico]]&amp;" ("&amp;Tabela_tudo[[#This Row],[Obs]]&amp;")"</f>
        <v>FAB ()</v>
      </c>
    </row>
    <row r="6350" spans="1:14" x14ac:dyDescent="0.3">
      <c r="A6350" s="1">
        <v>45001</v>
      </c>
      <c r="B6350" t="s">
        <v>50</v>
      </c>
      <c r="C6350" t="s">
        <v>465</v>
      </c>
      <c r="D6350" s="8"/>
      <c r="E6350" s="8"/>
      <c r="M6350" t="s">
        <v>478</v>
      </c>
      <c r="N6350" t="str">
        <f>Tabela_tudo[[#This Row],[Médico]]&amp;" ("&amp;Tabela_tudo[[#This Row],[Obs]]&amp;")"</f>
        <v>PJP ()</v>
      </c>
    </row>
    <row r="6351" spans="1:14" x14ac:dyDescent="0.3">
      <c r="A6351" s="1">
        <v>45119</v>
      </c>
      <c r="B6351" t="s">
        <v>21</v>
      </c>
      <c r="C6351" t="s">
        <v>30</v>
      </c>
      <c r="D6351" s="8"/>
      <c r="E6351" s="8"/>
      <c r="M6351" t="s">
        <v>478</v>
      </c>
      <c r="N6351" t="str">
        <f>Tabela_tudo[[#This Row],[Médico]]&amp;" ("&amp;Tabela_tudo[[#This Row],[Obs]]&amp;")"</f>
        <v>RA ()</v>
      </c>
    </row>
    <row r="6352" spans="1:14" x14ac:dyDescent="0.3">
      <c r="A6352" s="1">
        <v>45003</v>
      </c>
      <c r="B6352" t="s">
        <v>33</v>
      </c>
      <c r="C6352" t="s">
        <v>465</v>
      </c>
      <c r="D6352" s="8"/>
      <c r="E6352" s="8"/>
      <c r="M6352" t="s">
        <v>478</v>
      </c>
      <c r="N6352" t="str">
        <f>Tabela_tudo[[#This Row],[Médico]]&amp;" ("&amp;Tabela_tudo[[#This Row],[Obs]]&amp;")"</f>
        <v>DIF ()</v>
      </c>
    </row>
    <row r="6353" spans="1:14" x14ac:dyDescent="0.3">
      <c r="A6353" s="1">
        <v>45103</v>
      </c>
      <c r="B6353" t="s">
        <v>72</v>
      </c>
      <c r="C6353" t="s">
        <v>13</v>
      </c>
      <c r="D6353" s="8"/>
      <c r="E6353" s="8"/>
      <c r="M6353" t="s">
        <v>478</v>
      </c>
      <c r="N6353" t="str">
        <f>Tabela_tudo[[#This Row],[Médico]]&amp;" ("&amp;Tabela_tudo[[#This Row],[Obs]]&amp;")"</f>
        <v>GRA ()</v>
      </c>
    </row>
    <row r="6354" spans="1:14" x14ac:dyDescent="0.3">
      <c r="A6354" s="1">
        <v>45004</v>
      </c>
      <c r="B6354" t="s">
        <v>33</v>
      </c>
      <c r="C6354" t="s">
        <v>465</v>
      </c>
      <c r="D6354" s="8"/>
      <c r="E6354" s="8"/>
      <c r="M6354" t="s">
        <v>478</v>
      </c>
      <c r="N6354" t="str">
        <f>Tabela_tudo[[#This Row],[Médico]]&amp;" ("&amp;Tabela_tudo[[#This Row],[Obs]]&amp;")"</f>
        <v>DIF ()</v>
      </c>
    </row>
    <row r="6355" spans="1:14" x14ac:dyDescent="0.3">
      <c r="A6355" s="1">
        <v>45119</v>
      </c>
      <c r="B6355" t="s">
        <v>47</v>
      </c>
      <c r="C6355" t="s">
        <v>13</v>
      </c>
      <c r="D6355" s="8"/>
      <c r="E6355" s="8"/>
      <c r="M6355" t="s">
        <v>478</v>
      </c>
      <c r="N6355" t="str">
        <f>Tabela_tudo[[#This Row],[Médico]]&amp;" ("&amp;Tabela_tudo[[#This Row],[Obs]]&amp;")"</f>
        <v>VIN ()</v>
      </c>
    </row>
    <row r="6356" spans="1:14" x14ac:dyDescent="0.3">
      <c r="A6356" s="1">
        <v>45002</v>
      </c>
      <c r="B6356" t="s">
        <v>50</v>
      </c>
      <c r="C6356" t="s">
        <v>465</v>
      </c>
      <c r="D6356" s="8"/>
      <c r="E6356" s="8"/>
      <c r="M6356" t="s">
        <v>478</v>
      </c>
      <c r="N6356" t="str">
        <f>Tabela_tudo[[#This Row],[Médico]]&amp;" ("&amp;Tabela_tudo[[#This Row],[Obs]]&amp;")"</f>
        <v>PJP ()</v>
      </c>
    </row>
    <row r="6357" spans="1:14" x14ac:dyDescent="0.3">
      <c r="A6357" s="1">
        <v>45112</v>
      </c>
      <c r="B6357" t="s">
        <v>52</v>
      </c>
      <c r="C6357" t="s">
        <v>15</v>
      </c>
      <c r="D6357" s="8"/>
      <c r="E6357" s="8"/>
      <c r="M6357" t="s">
        <v>478</v>
      </c>
      <c r="N6357" t="str">
        <f>Tabela_tudo[[#This Row],[Médico]]&amp;" ("&amp;Tabela_tudo[[#This Row],[Obs]]&amp;")"</f>
        <v>AEL ()</v>
      </c>
    </row>
    <row r="6358" spans="1:14" x14ac:dyDescent="0.3">
      <c r="A6358" s="1">
        <v>45002</v>
      </c>
      <c r="B6358" t="s">
        <v>33</v>
      </c>
      <c r="C6358" t="s">
        <v>465</v>
      </c>
      <c r="D6358" s="8"/>
      <c r="E6358" s="8"/>
      <c r="M6358" t="s">
        <v>478</v>
      </c>
      <c r="N6358" t="str">
        <f>Tabela_tudo[[#This Row],[Médico]]&amp;" ("&amp;Tabela_tudo[[#This Row],[Obs]]&amp;")"</f>
        <v>DIF ()</v>
      </c>
    </row>
    <row r="6359" spans="1:14" x14ac:dyDescent="0.3">
      <c r="A6359" s="1">
        <v>45112</v>
      </c>
      <c r="B6359" t="s">
        <v>29</v>
      </c>
      <c r="C6359" t="s">
        <v>8</v>
      </c>
      <c r="D6359" s="8"/>
      <c r="E6359" s="8"/>
      <c r="M6359" t="s">
        <v>478</v>
      </c>
      <c r="N6359" t="str">
        <f>Tabela_tudo[[#This Row],[Médico]]&amp;" ("&amp;Tabela_tudo[[#This Row],[Obs]]&amp;")"</f>
        <v>JOA ()</v>
      </c>
    </row>
    <row r="6360" spans="1:14" x14ac:dyDescent="0.3">
      <c r="A6360" s="1">
        <v>44999</v>
      </c>
      <c r="B6360" t="s">
        <v>34</v>
      </c>
      <c r="C6360" t="s">
        <v>465</v>
      </c>
      <c r="D6360" s="8"/>
      <c r="E6360" s="8"/>
      <c r="M6360" t="s">
        <v>478</v>
      </c>
      <c r="N6360" t="str">
        <f>Tabela_tudo[[#This Row],[Médico]]&amp;" ("&amp;Tabela_tudo[[#This Row],[Obs]]&amp;")"</f>
        <v>LIP ()</v>
      </c>
    </row>
    <row r="6361" spans="1:14" x14ac:dyDescent="0.3">
      <c r="A6361" s="1">
        <v>45112</v>
      </c>
      <c r="B6361" t="s">
        <v>84</v>
      </c>
      <c r="C6361" t="s">
        <v>30</v>
      </c>
      <c r="D6361" s="8"/>
      <c r="E6361" s="8"/>
      <c r="M6361" t="s">
        <v>478</v>
      </c>
      <c r="N6361" t="str">
        <f>Tabela_tudo[[#This Row],[Médico]]&amp;" ("&amp;Tabela_tudo[[#This Row],[Obs]]&amp;")"</f>
        <v>ANO ()</v>
      </c>
    </row>
    <row r="6362" spans="1:14" x14ac:dyDescent="0.3">
      <c r="A6362" s="1">
        <v>45000</v>
      </c>
      <c r="B6362" t="s">
        <v>34</v>
      </c>
      <c r="C6362" t="s">
        <v>465</v>
      </c>
      <c r="D6362" s="8"/>
      <c r="E6362" s="8"/>
      <c r="M6362" t="s">
        <v>478</v>
      </c>
      <c r="N6362" t="str">
        <f>Tabela_tudo[[#This Row],[Médico]]&amp;" ("&amp;Tabela_tudo[[#This Row],[Obs]]&amp;")"</f>
        <v>LIP ()</v>
      </c>
    </row>
    <row r="6363" spans="1:14" x14ac:dyDescent="0.3">
      <c r="A6363" s="1">
        <v>45112</v>
      </c>
      <c r="B6363" t="s">
        <v>73</v>
      </c>
      <c r="C6363" t="s">
        <v>13</v>
      </c>
      <c r="D6363" s="8"/>
      <c r="E6363" s="8"/>
      <c r="M6363" t="s">
        <v>478</v>
      </c>
      <c r="N6363" t="str">
        <f>Tabela_tudo[[#This Row],[Médico]]&amp;" ("&amp;Tabela_tudo[[#This Row],[Obs]]&amp;")"</f>
        <v>RT ()</v>
      </c>
    </row>
    <row r="6364" spans="1:14" x14ac:dyDescent="0.3">
      <c r="A6364" s="1">
        <v>44997</v>
      </c>
      <c r="B6364" t="s">
        <v>34</v>
      </c>
      <c r="C6364" t="s">
        <v>465</v>
      </c>
      <c r="D6364" s="8"/>
      <c r="E6364" s="8"/>
      <c r="M6364" t="s">
        <v>478</v>
      </c>
      <c r="N6364" t="str">
        <f>Tabela_tudo[[#This Row],[Médico]]&amp;" ("&amp;Tabela_tudo[[#This Row],[Obs]]&amp;")"</f>
        <v>LIP ()</v>
      </c>
    </row>
    <row r="6365" spans="1:14" x14ac:dyDescent="0.3">
      <c r="A6365" s="1">
        <v>45111</v>
      </c>
      <c r="B6365" t="s">
        <v>73</v>
      </c>
      <c r="C6365" t="s">
        <v>51</v>
      </c>
      <c r="D6365" s="8"/>
      <c r="E6365" s="8"/>
      <c r="M6365" t="s">
        <v>478</v>
      </c>
      <c r="N6365" t="str">
        <f>Tabela_tudo[[#This Row],[Médico]]&amp;" ("&amp;Tabela_tudo[[#This Row],[Obs]]&amp;")"</f>
        <v>RT ()</v>
      </c>
    </row>
    <row r="6366" spans="1:14" x14ac:dyDescent="0.3">
      <c r="A6366" s="1">
        <v>44998</v>
      </c>
      <c r="B6366" t="s">
        <v>34</v>
      </c>
      <c r="C6366" t="s">
        <v>465</v>
      </c>
      <c r="D6366" s="8"/>
      <c r="E6366" s="8"/>
      <c r="M6366" t="s">
        <v>478</v>
      </c>
      <c r="N6366" t="str">
        <f>Tabela_tudo[[#This Row],[Médico]]&amp;" ("&amp;Tabela_tudo[[#This Row],[Obs]]&amp;")"</f>
        <v>LIP ()</v>
      </c>
    </row>
    <row r="6367" spans="1:14" x14ac:dyDescent="0.3">
      <c r="A6367" s="1">
        <v>45111</v>
      </c>
      <c r="B6367" t="s">
        <v>44</v>
      </c>
      <c r="C6367" t="s">
        <v>124</v>
      </c>
      <c r="D6367" s="8">
        <v>0.79166666666666663</v>
      </c>
      <c r="E6367" s="8">
        <v>0.91666666666666663</v>
      </c>
      <c r="F6367" t="s">
        <v>220</v>
      </c>
      <c r="K6367" t="s">
        <v>565</v>
      </c>
      <c r="M6367" t="s">
        <v>478</v>
      </c>
      <c r="N6367" t="str">
        <f>Tabela_tudo[[#This Row],[Médico]]&amp;" ("&amp;Tabela_tudo[[#This Row],[Obs]]&amp;")"</f>
        <v>REI (RC HÍBRIDA: CONVIDADO EDUARDO STOFFELS - TEMA: EDUCAÇÃO FINANCEIRA )</v>
      </c>
    </row>
    <row r="6368" spans="1:14" x14ac:dyDescent="0.3">
      <c r="A6368" s="1">
        <v>45001</v>
      </c>
      <c r="B6368" t="s">
        <v>34</v>
      </c>
      <c r="C6368" t="s">
        <v>465</v>
      </c>
      <c r="D6368" s="8"/>
      <c r="E6368" s="8"/>
      <c r="M6368" t="s">
        <v>478</v>
      </c>
      <c r="N6368" t="str">
        <f>Tabela_tudo[[#This Row],[Médico]]&amp;" ("&amp;Tabela_tudo[[#This Row],[Obs]]&amp;")"</f>
        <v>LIP ()</v>
      </c>
    </row>
    <row r="6369" spans="1:14" x14ac:dyDescent="0.3">
      <c r="A6369" s="1">
        <v>45111</v>
      </c>
      <c r="B6369" t="s">
        <v>25</v>
      </c>
      <c r="C6369" t="s">
        <v>222</v>
      </c>
      <c r="D6369" s="8">
        <v>0.83333333333333337</v>
      </c>
      <c r="E6369" s="8">
        <v>0.875</v>
      </c>
      <c r="F6369" t="s">
        <v>223</v>
      </c>
      <c r="K6369" t="s">
        <v>565</v>
      </c>
      <c r="M6369" t="s">
        <v>478</v>
      </c>
      <c r="N6369" t="str">
        <f>Tabela_tudo[[#This Row],[Médico]]&amp;" ("&amp;Tabela_tudo[[#This Row],[Obs]]&amp;")"</f>
        <v>HEN (TODOS OS SÓCIOS)</v>
      </c>
    </row>
    <row r="6370" spans="1:14" x14ac:dyDescent="0.3">
      <c r="A6370" s="1">
        <v>44995</v>
      </c>
      <c r="B6370" t="s">
        <v>50</v>
      </c>
      <c r="C6370" t="s">
        <v>465</v>
      </c>
      <c r="D6370" s="8"/>
      <c r="E6370" s="8"/>
      <c r="M6370" t="s">
        <v>478</v>
      </c>
      <c r="N6370" t="str">
        <f>Tabela_tudo[[#This Row],[Médico]]&amp;" ("&amp;Tabela_tudo[[#This Row],[Obs]]&amp;")"</f>
        <v>PJP ()</v>
      </c>
    </row>
    <row r="6371" spans="1:14" x14ac:dyDescent="0.3">
      <c r="A6371" s="1">
        <v>45112</v>
      </c>
      <c r="B6371" t="s">
        <v>47</v>
      </c>
      <c r="C6371" t="s">
        <v>18</v>
      </c>
      <c r="D6371" s="8"/>
      <c r="E6371" s="8"/>
      <c r="M6371" t="s">
        <v>478</v>
      </c>
      <c r="N6371" t="str">
        <f>Tabela_tudo[[#This Row],[Médico]]&amp;" ("&amp;Tabela_tudo[[#This Row],[Obs]]&amp;")"</f>
        <v>VIN ()</v>
      </c>
    </row>
    <row r="6372" spans="1:14" x14ac:dyDescent="0.3">
      <c r="A6372" s="1">
        <v>44996</v>
      </c>
      <c r="B6372" t="s">
        <v>50</v>
      </c>
      <c r="C6372" t="s">
        <v>465</v>
      </c>
      <c r="D6372" s="8"/>
      <c r="E6372" s="8"/>
      <c r="M6372" t="s">
        <v>478</v>
      </c>
      <c r="N6372" t="str">
        <f>Tabela_tudo[[#This Row],[Médico]]&amp;" ("&amp;Tabela_tudo[[#This Row],[Obs]]&amp;")"</f>
        <v>PJP ()</v>
      </c>
    </row>
    <row r="6373" spans="1:14" x14ac:dyDescent="0.3">
      <c r="A6373" s="1">
        <v>45112</v>
      </c>
      <c r="B6373" t="s">
        <v>48</v>
      </c>
      <c r="C6373" t="s">
        <v>49</v>
      </c>
      <c r="D6373" s="8"/>
      <c r="E6373" s="8"/>
      <c r="M6373" t="s">
        <v>478</v>
      </c>
      <c r="N6373" t="str">
        <f>Tabela_tudo[[#This Row],[Médico]]&amp;" ("&amp;Tabela_tudo[[#This Row],[Obs]]&amp;")"</f>
        <v>MAF ()</v>
      </c>
    </row>
    <row r="6374" spans="1:14" x14ac:dyDescent="0.3">
      <c r="A6374" s="1">
        <v>45002</v>
      </c>
      <c r="B6374" t="s">
        <v>34</v>
      </c>
      <c r="C6374" t="s">
        <v>465</v>
      </c>
      <c r="D6374" s="8"/>
      <c r="E6374" s="8"/>
      <c r="M6374" t="s">
        <v>478</v>
      </c>
      <c r="N6374" t="str">
        <f>Tabela_tudo[[#This Row],[Médico]]&amp;" ("&amp;Tabela_tudo[[#This Row],[Obs]]&amp;")"</f>
        <v>LIP ()</v>
      </c>
    </row>
    <row r="6375" spans="1:14" x14ac:dyDescent="0.3">
      <c r="A6375" s="1">
        <v>45112</v>
      </c>
      <c r="B6375" t="s">
        <v>17</v>
      </c>
      <c r="C6375" t="s">
        <v>51</v>
      </c>
      <c r="D6375" s="8"/>
      <c r="E6375" s="8"/>
      <c r="M6375" t="s">
        <v>478</v>
      </c>
      <c r="N6375" t="str">
        <f>Tabela_tudo[[#This Row],[Médico]]&amp;" ("&amp;Tabela_tudo[[#This Row],[Obs]]&amp;")"</f>
        <v>FAB ()</v>
      </c>
    </row>
    <row r="6376" spans="1:14" x14ac:dyDescent="0.3">
      <c r="A6376" s="1">
        <v>44994</v>
      </c>
      <c r="B6376" t="s">
        <v>50</v>
      </c>
      <c r="C6376" t="s">
        <v>465</v>
      </c>
      <c r="D6376" s="8"/>
      <c r="E6376" s="8"/>
      <c r="M6376" t="s">
        <v>478</v>
      </c>
      <c r="N6376" t="str">
        <f>Tabela_tudo[[#This Row],[Médico]]&amp;" ("&amp;Tabela_tudo[[#This Row],[Obs]]&amp;")"</f>
        <v>PJP ()</v>
      </c>
    </row>
    <row r="6377" spans="1:14" x14ac:dyDescent="0.3">
      <c r="A6377" s="1">
        <v>45112</v>
      </c>
      <c r="B6377" t="s">
        <v>68</v>
      </c>
      <c r="C6377" t="s">
        <v>46</v>
      </c>
      <c r="D6377" s="8"/>
      <c r="E6377" s="8"/>
      <c r="M6377" t="s">
        <v>478</v>
      </c>
      <c r="N6377" t="str">
        <f>Tabela_tudo[[#This Row],[Médico]]&amp;" ("&amp;Tabela_tudo[[#This Row],[Obs]]&amp;")"</f>
        <v>PED ()</v>
      </c>
    </row>
    <row r="6378" spans="1:14" x14ac:dyDescent="0.3">
      <c r="A6378" s="1">
        <v>45005</v>
      </c>
      <c r="B6378" t="s">
        <v>33</v>
      </c>
      <c r="C6378" t="s">
        <v>465</v>
      </c>
      <c r="D6378" s="8"/>
      <c r="E6378" s="8"/>
      <c r="M6378" t="s">
        <v>478</v>
      </c>
      <c r="N6378" t="str">
        <f>Tabela_tudo[[#This Row],[Médico]]&amp;" ("&amp;Tabela_tudo[[#This Row],[Obs]]&amp;")"</f>
        <v>DIF ()</v>
      </c>
    </row>
    <row r="6379" spans="1:14" x14ac:dyDescent="0.3">
      <c r="A6379" s="1">
        <v>45112</v>
      </c>
      <c r="B6379" t="s">
        <v>72</v>
      </c>
      <c r="C6379" t="s">
        <v>30</v>
      </c>
      <c r="D6379" s="8"/>
      <c r="E6379" s="8"/>
      <c r="M6379" t="s">
        <v>478</v>
      </c>
      <c r="N6379" t="str">
        <f>Tabela_tudo[[#This Row],[Médico]]&amp;" ("&amp;Tabela_tudo[[#This Row],[Obs]]&amp;")"</f>
        <v>GRA ()</v>
      </c>
    </row>
    <row r="6380" spans="1:14" x14ac:dyDescent="0.3">
      <c r="A6380" s="1">
        <v>45008</v>
      </c>
      <c r="B6380" t="s">
        <v>66</v>
      </c>
      <c r="C6380" t="s">
        <v>465</v>
      </c>
      <c r="D6380" s="8"/>
      <c r="E6380" s="8"/>
      <c r="M6380" t="s">
        <v>478</v>
      </c>
      <c r="N6380" t="str">
        <f>Tabela_tudo[[#This Row],[Médico]]&amp;" ("&amp;Tabela_tudo[[#This Row],[Obs]]&amp;")"</f>
        <v>MOZ ()</v>
      </c>
    </row>
    <row r="6381" spans="1:14" x14ac:dyDescent="0.3">
      <c r="A6381" s="1">
        <v>45112</v>
      </c>
      <c r="B6381" t="s">
        <v>12</v>
      </c>
      <c r="C6381" t="s">
        <v>43</v>
      </c>
      <c r="D6381" s="8"/>
      <c r="E6381" s="8"/>
      <c r="M6381" t="s">
        <v>478</v>
      </c>
      <c r="N6381" t="str">
        <f>Tabela_tudo[[#This Row],[Médico]]&amp;" ("&amp;Tabela_tudo[[#This Row],[Obs]]&amp;")"</f>
        <v>EDU ()</v>
      </c>
    </row>
    <row r="6382" spans="1:14" x14ac:dyDescent="0.3">
      <c r="A6382" s="1">
        <v>45009</v>
      </c>
      <c r="B6382" t="s">
        <v>66</v>
      </c>
      <c r="C6382" t="s">
        <v>465</v>
      </c>
      <c r="D6382" s="8"/>
      <c r="E6382" s="8"/>
      <c r="M6382" t="s">
        <v>478</v>
      </c>
      <c r="N6382" t="str">
        <f>Tabela_tudo[[#This Row],[Médico]]&amp;" ("&amp;Tabela_tudo[[#This Row],[Obs]]&amp;")"</f>
        <v>MOZ ()</v>
      </c>
    </row>
    <row r="6383" spans="1:14" x14ac:dyDescent="0.3">
      <c r="A6383" s="1">
        <v>45112</v>
      </c>
      <c r="B6383" t="s">
        <v>66</v>
      </c>
      <c r="C6383" t="s">
        <v>45</v>
      </c>
      <c r="D6383" s="8"/>
      <c r="E6383" s="8"/>
      <c r="M6383" t="s">
        <v>478</v>
      </c>
      <c r="N6383" t="str">
        <f>Tabela_tudo[[#This Row],[Médico]]&amp;" ("&amp;Tabela_tudo[[#This Row],[Obs]]&amp;")"</f>
        <v>MOZ ()</v>
      </c>
    </row>
    <row r="6384" spans="1:14" x14ac:dyDescent="0.3">
      <c r="A6384" s="1">
        <v>45006</v>
      </c>
      <c r="B6384" t="s">
        <v>66</v>
      </c>
      <c r="C6384" t="s">
        <v>465</v>
      </c>
      <c r="D6384" s="8"/>
      <c r="E6384" s="8"/>
      <c r="M6384" t="s">
        <v>478</v>
      </c>
      <c r="N6384" t="str">
        <f>Tabela_tudo[[#This Row],[Médico]]&amp;" ("&amp;Tabela_tudo[[#This Row],[Obs]]&amp;")"</f>
        <v>MOZ ()</v>
      </c>
    </row>
    <row r="6385" spans="1:14" x14ac:dyDescent="0.3">
      <c r="A6385" s="1">
        <v>45106</v>
      </c>
      <c r="B6385" t="s">
        <v>66</v>
      </c>
      <c r="C6385" t="s">
        <v>13</v>
      </c>
      <c r="D6385" s="8"/>
      <c r="E6385" s="8"/>
      <c r="M6385" t="s">
        <v>478</v>
      </c>
      <c r="N6385" t="str">
        <f>Tabela_tudo[[#This Row],[Médico]]&amp;" ("&amp;Tabela_tudo[[#This Row],[Obs]]&amp;")"</f>
        <v>MOZ ()</v>
      </c>
    </row>
    <row r="6386" spans="1:14" x14ac:dyDescent="0.3">
      <c r="A6386" s="1">
        <v>45007</v>
      </c>
      <c r="B6386" t="s">
        <v>66</v>
      </c>
      <c r="C6386" t="s">
        <v>465</v>
      </c>
      <c r="D6386" s="8"/>
      <c r="E6386" s="8"/>
      <c r="M6386" t="s">
        <v>478</v>
      </c>
      <c r="N6386" t="str">
        <f>Tabela_tudo[[#This Row],[Médico]]&amp;" ("&amp;Tabela_tudo[[#This Row],[Obs]]&amp;")"</f>
        <v>MOZ ()</v>
      </c>
    </row>
    <row r="6387" spans="1:14" x14ac:dyDescent="0.3">
      <c r="A6387" s="1">
        <v>45106</v>
      </c>
      <c r="B6387" t="s">
        <v>84</v>
      </c>
      <c r="C6387" t="s">
        <v>15</v>
      </c>
      <c r="D6387" s="8"/>
      <c r="E6387" s="8"/>
      <c r="M6387" t="s">
        <v>478</v>
      </c>
      <c r="N6387" t="str">
        <f>Tabela_tudo[[#This Row],[Médico]]&amp;" ("&amp;Tabela_tudo[[#This Row],[Obs]]&amp;")"</f>
        <v>ANO ()</v>
      </c>
    </row>
    <row r="6388" spans="1:14" x14ac:dyDescent="0.3">
      <c r="A6388" s="1">
        <v>45010</v>
      </c>
      <c r="B6388" t="s">
        <v>66</v>
      </c>
      <c r="C6388" t="s">
        <v>465</v>
      </c>
      <c r="D6388" s="8"/>
      <c r="E6388" s="8"/>
      <c r="M6388" t="s">
        <v>478</v>
      </c>
      <c r="N6388" t="str">
        <f>Tabela_tudo[[#This Row],[Médico]]&amp;" ("&amp;Tabela_tudo[[#This Row],[Obs]]&amp;")"</f>
        <v>MOZ ()</v>
      </c>
    </row>
    <row r="6389" spans="1:14" x14ac:dyDescent="0.3">
      <c r="A6389" s="1">
        <v>45106</v>
      </c>
      <c r="B6389" t="s">
        <v>75</v>
      </c>
      <c r="C6389" t="s">
        <v>8</v>
      </c>
      <c r="D6389" s="8"/>
      <c r="E6389" s="8"/>
      <c r="M6389" t="s">
        <v>478</v>
      </c>
      <c r="N6389" t="str">
        <f>Tabela_tudo[[#This Row],[Médico]]&amp;" ("&amp;Tabela_tudo[[#This Row],[Obs]]&amp;")"</f>
        <v>KOP ()</v>
      </c>
    </row>
    <row r="6390" spans="1:14" x14ac:dyDescent="0.3">
      <c r="A6390" s="1">
        <v>45004</v>
      </c>
      <c r="B6390" t="s">
        <v>47</v>
      </c>
      <c r="C6390" t="s">
        <v>465</v>
      </c>
      <c r="D6390" s="8"/>
      <c r="E6390" s="8"/>
      <c r="M6390" t="s">
        <v>478</v>
      </c>
      <c r="N6390" t="str">
        <f>Tabela_tudo[[#This Row],[Médico]]&amp;" ("&amp;Tabela_tudo[[#This Row],[Obs]]&amp;")"</f>
        <v>VIN ()</v>
      </c>
    </row>
    <row r="6391" spans="1:14" x14ac:dyDescent="0.3">
      <c r="A6391" s="1">
        <v>45105</v>
      </c>
      <c r="B6391" t="s">
        <v>50</v>
      </c>
      <c r="C6391" t="s">
        <v>30</v>
      </c>
      <c r="D6391" s="8"/>
      <c r="E6391" s="8"/>
      <c r="M6391" t="s">
        <v>478</v>
      </c>
      <c r="N6391" t="str">
        <f>Tabela_tudo[[#This Row],[Médico]]&amp;" ("&amp;Tabela_tudo[[#This Row],[Obs]]&amp;")"</f>
        <v>PJP ()</v>
      </c>
    </row>
    <row r="6392" spans="1:14" x14ac:dyDescent="0.3">
      <c r="A6392" s="1">
        <v>45005</v>
      </c>
      <c r="B6392" t="s">
        <v>47</v>
      </c>
      <c r="C6392" t="s">
        <v>465</v>
      </c>
      <c r="D6392" s="8"/>
      <c r="E6392" s="8"/>
      <c r="M6392" t="s">
        <v>478</v>
      </c>
      <c r="N6392" t="str">
        <f>Tabela_tudo[[#This Row],[Médico]]&amp;" ("&amp;Tabela_tudo[[#This Row],[Obs]]&amp;")"</f>
        <v>VIN ()</v>
      </c>
    </row>
    <row r="6393" spans="1:14" x14ac:dyDescent="0.3">
      <c r="A6393" s="1">
        <v>45105</v>
      </c>
      <c r="B6393" t="s">
        <v>29</v>
      </c>
      <c r="C6393" t="s">
        <v>13</v>
      </c>
      <c r="D6393" s="8"/>
      <c r="E6393" s="8"/>
      <c r="M6393" t="s">
        <v>478</v>
      </c>
      <c r="N6393" t="str">
        <f>Tabela_tudo[[#This Row],[Médico]]&amp;" ("&amp;Tabela_tudo[[#This Row],[Obs]]&amp;")"</f>
        <v>JOA ()</v>
      </c>
    </row>
    <row r="6394" spans="1:14" x14ac:dyDescent="0.3">
      <c r="A6394" s="1">
        <v>45002</v>
      </c>
      <c r="B6394" t="s">
        <v>47</v>
      </c>
      <c r="C6394" t="s">
        <v>465</v>
      </c>
      <c r="D6394" s="8"/>
      <c r="E6394" s="8"/>
      <c r="M6394" t="s">
        <v>478</v>
      </c>
      <c r="N6394" t="str">
        <f>Tabela_tudo[[#This Row],[Médico]]&amp;" ("&amp;Tabela_tudo[[#This Row],[Obs]]&amp;")"</f>
        <v>VIN ()</v>
      </c>
    </row>
    <row r="6395" spans="1:14" x14ac:dyDescent="0.3">
      <c r="A6395" s="1">
        <v>45105</v>
      </c>
      <c r="B6395" t="s">
        <v>64</v>
      </c>
      <c r="C6395" t="s">
        <v>15</v>
      </c>
      <c r="D6395" s="8"/>
      <c r="E6395" s="8"/>
      <c r="M6395" t="s">
        <v>478</v>
      </c>
      <c r="N6395" t="str">
        <f>Tabela_tudo[[#This Row],[Médico]]&amp;" ("&amp;Tabela_tudo[[#This Row],[Obs]]&amp;")"</f>
        <v>SAR ()</v>
      </c>
    </row>
    <row r="6396" spans="1:14" x14ac:dyDescent="0.3">
      <c r="A6396" s="1">
        <v>45003</v>
      </c>
      <c r="B6396" t="s">
        <v>47</v>
      </c>
      <c r="C6396" t="s">
        <v>465</v>
      </c>
      <c r="D6396" s="8"/>
      <c r="E6396" s="8"/>
      <c r="M6396" t="s">
        <v>478</v>
      </c>
      <c r="N6396" t="str">
        <f>Tabela_tudo[[#This Row],[Médico]]&amp;" ("&amp;Tabela_tudo[[#This Row],[Obs]]&amp;")"</f>
        <v>VIN ()</v>
      </c>
    </row>
    <row r="6397" spans="1:14" x14ac:dyDescent="0.3">
      <c r="A6397" s="1">
        <v>45105</v>
      </c>
      <c r="B6397" t="s">
        <v>37</v>
      </c>
      <c r="C6397" t="s">
        <v>8</v>
      </c>
      <c r="D6397" s="8"/>
      <c r="E6397" s="8"/>
      <c r="M6397" t="s">
        <v>478</v>
      </c>
      <c r="N6397" t="str">
        <f>Tabela_tudo[[#This Row],[Médico]]&amp;" ("&amp;Tabela_tudo[[#This Row],[Obs]]&amp;")"</f>
        <v>EBB ()</v>
      </c>
    </row>
    <row r="6398" spans="1:14" x14ac:dyDescent="0.3">
      <c r="A6398" s="1">
        <v>45008</v>
      </c>
      <c r="B6398" t="s">
        <v>33</v>
      </c>
      <c r="C6398" t="s">
        <v>465</v>
      </c>
      <c r="D6398" s="8"/>
      <c r="E6398" s="8"/>
      <c r="M6398" t="s">
        <v>478</v>
      </c>
      <c r="N6398" t="str">
        <f>Tabela_tudo[[#This Row],[Médico]]&amp;" ("&amp;Tabela_tudo[[#This Row],[Obs]]&amp;")"</f>
        <v>DIF ()</v>
      </c>
    </row>
    <row r="6399" spans="1:14" x14ac:dyDescent="0.3">
      <c r="A6399" s="1">
        <v>45106</v>
      </c>
      <c r="B6399" t="s">
        <v>71</v>
      </c>
      <c r="C6399" t="s">
        <v>49</v>
      </c>
      <c r="D6399" s="8"/>
      <c r="E6399" s="8"/>
      <c r="M6399" t="s">
        <v>478</v>
      </c>
      <c r="N6399" t="str">
        <f>Tabela_tudo[[#This Row],[Médico]]&amp;" ("&amp;Tabela_tudo[[#This Row],[Obs]]&amp;")"</f>
        <v>BRU ()</v>
      </c>
    </row>
    <row r="6400" spans="1:14" x14ac:dyDescent="0.3">
      <c r="A6400" s="1">
        <v>45009</v>
      </c>
      <c r="B6400" t="s">
        <v>33</v>
      </c>
      <c r="C6400" t="s">
        <v>465</v>
      </c>
      <c r="D6400" s="8"/>
      <c r="E6400" s="8"/>
      <c r="M6400" t="s">
        <v>478</v>
      </c>
      <c r="N6400" t="str">
        <f>Tabela_tudo[[#This Row],[Médico]]&amp;" ("&amp;Tabela_tudo[[#This Row],[Obs]]&amp;")"</f>
        <v>DIF ()</v>
      </c>
    </row>
    <row r="6401" spans="1:14" x14ac:dyDescent="0.3">
      <c r="A6401" s="1">
        <v>45106</v>
      </c>
      <c r="B6401" t="s">
        <v>34</v>
      </c>
      <c r="C6401" t="s">
        <v>51</v>
      </c>
      <c r="D6401" s="8"/>
      <c r="E6401" s="8"/>
      <c r="M6401" t="s">
        <v>478</v>
      </c>
      <c r="N6401" t="str">
        <f>Tabela_tudo[[#This Row],[Médico]]&amp;" ("&amp;Tabela_tudo[[#This Row],[Obs]]&amp;")"</f>
        <v>LIP ()</v>
      </c>
    </row>
    <row r="6402" spans="1:14" x14ac:dyDescent="0.3">
      <c r="A6402" s="1">
        <v>45006</v>
      </c>
      <c r="B6402" t="s">
        <v>33</v>
      </c>
      <c r="C6402" t="s">
        <v>465</v>
      </c>
      <c r="D6402" s="8"/>
      <c r="E6402" s="8"/>
      <c r="M6402" t="s">
        <v>478</v>
      </c>
      <c r="N6402" t="str">
        <f>Tabela_tudo[[#This Row],[Médico]]&amp;" ("&amp;Tabela_tudo[[#This Row],[Obs]]&amp;")"</f>
        <v>DIF ()</v>
      </c>
    </row>
    <row r="6403" spans="1:14" x14ac:dyDescent="0.3">
      <c r="A6403" s="1">
        <v>45106</v>
      </c>
      <c r="B6403" t="s">
        <v>33</v>
      </c>
      <c r="C6403" t="s">
        <v>30</v>
      </c>
      <c r="D6403" s="8"/>
      <c r="E6403" s="8"/>
      <c r="M6403" t="s">
        <v>478</v>
      </c>
      <c r="N6403" t="str">
        <f>Tabela_tudo[[#This Row],[Médico]]&amp;" ("&amp;Tabela_tudo[[#This Row],[Obs]]&amp;")"</f>
        <v>DIF ()</v>
      </c>
    </row>
    <row r="6404" spans="1:14" x14ac:dyDescent="0.3">
      <c r="A6404" s="1">
        <v>45007</v>
      </c>
      <c r="B6404" t="s">
        <v>33</v>
      </c>
      <c r="C6404" t="s">
        <v>465</v>
      </c>
      <c r="D6404" s="8"/>
      <c r="E6404" s="8"/>
      <c r="M6404" t="s">
        <v>478</v>
      </c>
      <c r="N6404" t="str">
        <f>Tabela_tudo[[#This Row],[Médico]]&amp;" ("&amp;Tabela_tudo[[#This Row],[Obs]]&amp;")"</f>
        <v>DIF ()</v>
      </c>
    </row>
    <row r="6405" spans="1:14" x14ac:dyDescent="0.3">
      <c r="A6405" s="1">
        <v>45106</v>
      </c>
      <c r="B6405" t="s">
        <v>94</v>
      </c>
      <c r="C6405" t="s">
        <v>18</v>
      </c>
      <c r="D6405" s="8"/>
      <c r="E6405" s="8"/>
      <c r="M6405" t="s">
        <v>478</v>
      </c>
      <c r="N6405" t="str">
        <f>Tabela_tudo[[#This Row],[Médico]]&amp;" ("&amp;Tabela_tudo[[#This Row],[Obs]]&amp;")"</f>
        <v>TOT ()</v>
      </c>
    </row>
    <row r="6406" spans="1:14" x14ac:dyDescent="0.3">
      <c r="A6406" s="1">
        <v>45010</v>
      </c>
      <c r="B6406" t="s">
        <v>33</v>
      </c>
      <c r="C6406" t="s">
        <v>465</v>
      </c>
      <c r="D6406" s="8"/>
      <c r="E6406" s="8"/>
      <c r="M6406" t="s">
        <v>478</v>
      </c>
      <c r="N6406" t="str">
        <f>Tabela_tudo[[#This Row],[Médico]]&amp;" ("&amp;Tabela_tudo[[#This Row],[Obs]]&amp;")"</f>
        <v>DIF ()</v>
      </c>
    </row>
    <row r="6407" spans="1:14" x14ac:dyDescent="0.3">
      <c r="A6407" s="1">
        <v>45106</v>
      </c>
      <c r="B6407" t="s">
        <v>12</v>
      </c>
      <c r="C6407" t="s">
        <v>43</v>
      </c>
      <c r="D6407" s="8"/>
      <c r="E6407" s="8"/>
      <c r="M6407" t="s">
        <v>478</v>
      </c>
      <c r="N6407" t="str">
        <f>Tabela_tudo[[#This Row],[Médico]]&amp;" ("&amp;Tabela_tudo[[#This Row],[Obs]]&amp;")"</f>
        <v>EDU ()</v>
      </c>
    </row>
    <row r="6408" spans="1:14" x14ac:dyDescent="0.3">
      <c r="A6408" s="1">
        <v>45004</v>
      </c>
      <c r="B6408" t="s">
        <v>66</v>
      </c>
      <c r="C6408" t="s">
        <v>465</v>
      </c>
      <c r="D6408" s="8"/>
      <c r="E6408" s="8"/>
      <c r="M6408" t="s">
        <v>478</v>
      </c>
      <c r="N6408" t="str">
        <f>Tabela_tudo[[#This Row],[Médico]]&amp;" ("&amp;Tabela_tudo[[#This Row],[Obs]]&amp;")"</f>
        <v>MOZ ()</v>
      </c>
    </row>
    <row r="6409" spans="1:14" x14ac:dyDescent="0.3">
      <c r="A6409" s="1">
        <v>45106</v>
      </c>
      <c r="B6409" t="s">
        <v>52</v>
      </c>
      <c r="C6409" t="s">
        <v>45</v>
      </c>
      <c r="D6409" s="8"/>
      <c r="E6409" s="8"/>
      <c r="M6409" t="s">
        <v>478</v>
      </c>
      <c r="N6409" t="str">
        <f>Tabela_tudo[[#This Row],[Médico]]&amp;" ("&amp;Tabela_tudo[[#This Row],[Obs]]&amp;")"</f>
        <v>AEL ()</v>
      </c>
    </row>
    <row r="6410" spans="1:14" x14ac:dyDescent="0.3">
      <c r="A6410" s="1">
        <v>45005</v>
      </c>
      <c r="B6410" t="s">
        <v>66</v>
      </c>
      <c r="C6410" t="s">
        <v>465</v>
      </c>
      <c r="D6410" s="8"/>
      <c r="E6410" s="8"/>
      <c r="M6410" t="s">
        <v>478</v>
      </c>
      <c r="N6410" t="str">
        <f>Tabela_tudo[[#This Row],[Médico]]&amp;" ("&amp;Tabela_tudo[[#This Row],[Obs]]&amp;")"</f>
        <v>MOZ ()</v>
      </c>
    </row>
    <row r="6411" spans="1:14" x14ac:dyDescent="0.3">
      <c r="A6411" s="1">
        <v>45106</v>
      </c>
      <c r="B6411" t="s">
        <v>14</v>
      </c>
      <c r="C6411" t="s">
        <v>46</v>
      </c>
      <c r="D6411" s="8"/>
      <c r="E6411" s="8"/>
      <c r="M6411" t="s">
        <v>478</v>
      </c>
      <c r="N6411" t="str">
        <f>Tabela_tudo[[#This Row],[Médico]]&amp;" ("&amp;Tabela_tudo[[#This Row],[Obs]]&amp;")"</f>
        <v>PW ()</v>
      </c>
    </row>
    <row r="6412" spans="1:14" x14ac:dyDescent="0.3">
      <c r="A6412" s="1">
        <v>45002</v>
      </c>
      <c r="B6412" t="s">
        <v>66</v>
      </c>
      <c r="C6412" t="s">
        <v>465</v>
      </c>
      <c r="D6412" s="8"/>
      <c r="E6412" s="8"/>
      <c r="M6412" t="s">
        <v>478</v>
      </c>
      <c r="N6412" t="str">
        <f>Tabela_tudo[[#This Row],[Médico]]&amp;" ("&amp;Tabela_tudo[[#This Row],[Obs]]&amp;")"</f>
        <v>MOZ ()</v>
      </c>
    </row>
    <row r="6413" spans="1:14" x14ac:dyDescent="0.3">
      <c r="A6413" s="1">
        <v>45104</v>
      </c>
      <c r="B6413" t="s">
        <v>37</v>
      </c>
      <c r="C6413" t="s">
        <v>30</v>
      </c>
      <c r="D6413" s="8"/>
      <c r="E6413" s="8"/>
      <c r="M6413" t="s">
        <v>478</v>
      </c>
      <c r="N6413" t="str">
        <f>Tabela_tudo[[#This Row],[Médico]]&amp;" ("&amp;Tabela_tudo[[#This Row],[Obs]]&amp;")"</f>
        <v>EBB ()</v>
      </c>
    </row>
    <row r="6414" spans="1:14" x14ac:dyDescent="0.3">
      <c r="A6414" s="1">
        <v>45003</v>
      </c>
      <c r="B6414" t="s">
        <v>66</v>
      </c>
      <c r="C6414" t="s">
        <v>465</v>
      </c>
      <c r="D6414" s="8"/>
      <c r="E6414" s="8"/>
      <c r="M6414" t="s">
        <v>478</v>
      </c>
      <c r="N6414" t="str">
        <f>Tabela_tudo[[#This Row],[Médico]]&amp;" ("&amp;Tabela_tudo[[#This Row],[Obs]]&amp;")"</f>
        <v>MOZ ()</v>
      </c>
    </row>
    <row r="6415" spans="1:14" x14ac:dyDescent="0.3">
      <c r="A6415" s="1">
        <v>45103</v>
      </c>
      <c r="B6415" t="s">
        <v>71</v>
      </c>
      <c r="C6415" t="s">
        <v>30</v>
      </c>
      <c r="D6415" s="8"/>
      <c r="E6415" s="8"/>
      <c r="M6415" t="s">
        <v>478</v>
      </c>
      <c r="N6415" t="str">
        <f>Tabela_tudo[[#This Row],[Médico]]&amp;" ("&amp;Tabela_tudo[[#This Row],[Obs]]&amp;")"</f>
        <v>BRU ()</v>
      </c>
    </row>
    <row r="6416" spans="1:14" x14ac:dyDescent="0.3">
      <c r="A6416" s="1">
        <v>45036</v>
      </c>
      <c r="B6416" t="s">
        <v>23</v>
      </c>
      <c r="C6416" t="s">
        <v>465</v>
      </c>
      <c r="D6416" s="8"/>
      <c r="E6416" s="8"/>
      <c r="M6416" t="s">
        <v>478</v>
      </c>
      <c r="N6416" t="str">
        <f>Tabela_tudo[[#This Row],[Médico]]&amp;" ("&amp;Tabela_tudo[[#This Row],[Obs]]&amp;")"</f>
        <v>BG ()</v>
      </c>
    </row>
    <row r="6417" spans="1:14" x14ac:dyDescent="0.3">
      <c r="A6417" s="1">
        <v>45104</v>
      </c>
      <c r="B6417" t="s">
        <v>71</v>
      </c>
      <c r="C6417" t="s">
        <v>13</v>
      </c>
      <c r="D6417" s="8"/>
      <c r="E6417" s="8"/>
      <c r="M6417" t="s">
        <v>478</v>
      </c>
      <c r="N6417" t="str">
        <f>Tabela_tudo[[#This Row],[Médico]]&amp;" ("&amp;Tabela_tudo[[#This Row],[Obs]]&amp;")"</f>
        <v>BRU ()</v>
      </c>
    </row>
    <row r="6418" spans="1:14" x14ac:dyDescent="0.3">
      <c r="A6418" s="1">
        <v>45039</v>
      </c>
      <c r="B6418" t="s">
        <v>84</v>
      </c>
      <c r="C6418" t="s">
        <v>465</v>
      </c>
      <c r="D6418" s="8"/>
      <c r="E6418" s="8"/>
      <c r="M6418" t="s">
        <v>478</v>
      </c>
      <c r="N6418" t="str">
        <f>Tabela_tudo[[#This Row],[Médico]]&amp;" ("&amp;Tabela_tudo[[#This Row],[Obs]]&amp;")"</f>
        <v>ANO ()</v>
      </c>
    </row>
    <row r="6419" spans="1:14" x14ac:dyDescent="0.3">
      <c r="A6419" s="1">
        <v>45104</v>
      </c>
      <c r="B6419" t="s">
        <v>29</v>
      </c>
      <c r="C6419" t="s">
        <v>15</v>
      </c>
      <c r="D6419" s="8"/>
      <c r="E6419" s="8"/>
      <c r="M6419" t="s">
        <v>478</v>
      </c>
      <c r="N6419" t="str">
        <f>Tabela_tudo[[#This Row],[Médico]]&amp;" ("&amp;Tabela_tudo[[#This Row],[Obs]]&amp;")"</f>
        <v>JOA ()</v>
      </c>
    </row>
    <row r="6420" spans="1:14" x14ac:dyDescent="0.3">
      <c r="A6420" s="1">
        <v>45037</v>
      </c>
      <c r="B6420" t="s">
        <v>23</v>
      </c>
      <c r="C6420" t="s">
        <v>465</v>
      </c>
      <c r="D6420" s="8"/>
      <c r="E6420" s="8"/>
      <c r="M6420" t="s">
        <v>478</v>
      </c>
      <c r="N6420" t="str">
        <f>Tabela_tudo[[#This Row],[Médico]]&amp;" ("&amp;Tabela_tudo[[#This Row],[Obs]]&amp;")"</f>
        <v>BG ()</v>
      </c>
    </row>
    <row r="6421" spans="1:14" x14ac:dyDescent="0.3">
      <c r="A6421" s="1">
        <v>45103</v>
      </c>
      <c r="B6421" t="s">
        <v>50</v>
      </c>
      <c r="C6421" t="s">
        <v>51</v>
      </c>
      <c r="D6421" s="8"/>
      <c r="E6421" s="8"/>
      <c r="M6421" t="s">
        <v>478</v>
      </c>
      <c r="N6421" t="str">
        <f>Tabela_tudo[[#This Row],[Médico]]&amp;" ("&amp;Tabela_tudo[[#This Row],[Obs]]&amp;")"</f>
        <v>PJP ()</v>
      </c>
    </row>
    <row r="6422" spans="1:14" x14ac:dyDescent="0.3">
      <c r="A6422" s="1">
        <v>45039</v>
      </c>
      <c r="B6422" t="s">
        <v>23</v>
      </c>
      <c r="C6422" t="s">
        <v>465</v>
      </c>
      <c r="D6422" s="8"/>
      <c r="E6422" s="8"/>
      <c r="M6422" t="s">
        <v>478</v>
      </c>
      <c r="N6422" t="str">
        <f>Tabela_tudo[[#This Row],[Médico]]&amp;" ("&amp;Tabela_tudo[[#This Row],[Obs]]&amp;")"</f>
        <v>BG ()</v>
      </c>
    </row>
    <row r="6423" spans="1:14" x14ac:dyDescent="0.3">
      <c r="A6423" s="1">
        <v>45103</v>
      </c>
      <c r="B6423" t="s">
        <v>21</v>
      </c>
      <c r="C6423" t="s">
        <v>46</v>
      </c>
      <c r="D6423" s="8"/>
      <c r="E6423" s="8"/>
      <c r="M6423" t="s">
        <v>478</v>
      </c>
      <c r="N6423" t="str">
        <f>Tabela_tudo[[#This Row],[Médico]]&amp;" ("&amp;Tabela_tudo[[#This Row],[Obs]]&amp;")"</f>
        <v>RA ()</v>
      </c>
    </row>
    <row r="6424" spans="1:14" x14ac:dyDescent="0.3">
      <c r="A6424" s="1">
        <v>45038</v>
      </c>
      <c r="B6424" t="s">
        <v>23</v>
      </c>
      <c r="C6424" t="s">
        <v>465</v>
      </c>
      <c r="D6424" s="8"/>
      <c r="E6424" s="8"/>
      <c r="M6424" t="s">
        <v>478</v>
      </c>
      <c r="N6424" t="str">
        <f>Tabela_tudo[[#This Row],[Médico]]&amp;" ("&amp;Tabela_tudo[[#This Row],[Obs]]&amp;")"</f>
        <v>BG ()</v>
      </c>
    </row>
    <row r="6425" spans="1:14" x14ac:dyDescent="0.3">
      <c r="A6425" s="1">
        <v>45103</v>
      </c>
      <c r="B6425" t="s">
        <v>32</v>
      </c>
      <c r="C6425" t="s">
        <v>18</v>
      </c>
      <c r="D6425" s="8"/>
      <c r="E6425" s="8"/>
      <c r="M6425" t="s">
        <v>478</v>
      </c>
      <c r="N6425" t="str">
        <f>Tabela_tudo[[#This Row],[Médico]]&amp;" ("&amp;Tabela_tudo[[#This Row],[Obs]]&amp;")"</f>
        <v>JS ()</v>
      </c>
    </row>
    <row r="6426" spans="1:14" x14ac:dyDescent="0.3">
      <c r="A6426" s="1">
        <v>45039</v>
      </c>
      <c r="B6426" t="s">
        <v>47</v>
      </c>
      <c r="C6426" t="s">
        <v>465</v>
      </c>
      <c r="D6426" s="8"/>
      <c r="E6426" s="8"/>
      <c r="M6426" t="s">
        <v>478</v>
      </c>
      <c r="N6426" t="str">
        <f>Tabela_tudo[[#This Row],[Médico]]&amp;" ("&amp;Tabela_tudo[[#This Row],[Obs]]&amp;")"</f>
        <v>VIN ()</v>
      </c>
    </row>
    <row r="6427" spans="1:14" x14ac:dyDescent="0.3">
      <c r="A6427" s="1">
        <v>45103</v>
      </c>
      <c r="B6427" t="s">
        <v>71</v>
      </c>
      <c r="C6427" t="s">
        <v>49</v>
      </c>
      <c r="D6427" s="8"/>
      <c r="E6427" s="8"/>
      <c r="M6427" t="s">
        <v>478</v>
      </c>
      <c r="N6427" t="str">
        <f>Tabela_tudo[[#This Row],[Médico]]&amp;" ("&amp;Tabela_tudo[[#This Row],[Obs]]&amp;")"</f>
        <v>BRU ()</v>
      </c>
    </row>
    <row r="6428" spans="1:14" x14ac:dyDescent="0.3">
      <c r="A6428" s="1">
        <v>45038</v>
      </c>
      <c r="B6428" t="s">
        <v>47</v>
      </c>
      <c r="C6428" t="s">
        <v>465</v>
      </c>
      <c r="D6428" s="8"/>
      <c r="E6428" s="8"/>
      <c r="M6428" t="s">
        <v>478</v>
      </c>
      <c r="N6428" t="str">
        <f>Tabela_tudo[[#This Row],[Médico]]&amp;" ("&amp;Tabela_tudo[[#This Row],[Obs]]&amp;")"</f>
        <v>VIN ()</v>
      </c>
    </row>
    <row r="6429" spans="1:14" x14ac:dyDescent="0.3">
      <c r="A6429" s="1">
        <v>45104</v>
      </c>
      <c r="B6429" t="s">
        <v>63</v>
      </c>
      <c r="C6429" t="s">
        <v>18</v>
      </c>
      <c r="D6429" s="8"/>
      <c r="E6429" s="8"/>
      <c r="M6429" t="s">
        <v>478</v>
      </c>
      <c r="N6429" t="str">
        <f>Tabela_tudo[[#This Row],[Médico]]&amp;" ("&amp;Tabela_tudo[[#This Row],[Obs]]&amp;")"</f>
        <v>FQ ()</v>
      </c>
    </row>
    <row r="6430" spans="1:14" x14ac:dyDescent="0.3">
      <c r="A6430" s="1">
        <v>45036</v>
      </c>
      <c r="B6430" t="s">
        <v>84</v>
      </c>
      <c r="C6430" t="s">
        <v>465</v>
      </c>
      <c r="D6430" s="8"/>
      <c r="E6430" s="8"/>
      <c r="M6430" t="s">
        <v>478</v>
      </c>
      <c r="N6430" t="str">
        <f>Tabela_tudo[[#This Row],[Médico]]&amp;" ("&amp;Tabela_tudo[[#This Row],[Obs]]&amp;")"</f>
        <v>ANO ()</v>
      </c>
    </row>
    <row r="6431" spans="1:14" x14ac:dyDescent="0.3">
      <c r="A6431" s="1">
        <v>45104</v>
      </c>
      <c r="B6431" t="s">
        <v>71</v>
      </c>
      <c r="C6431" t="s">
        <v>49</v>
      </c>
      <c r="D6431" s="8"/>
      <c r="E6431" s="8"/>
      <c r="M6431" t="s">
        <v>478</v>
      </c>
      <c r="N6431" t="str">
        <f>Tabela_tudo[[#This Row],[Médico]]&amp;" ("&amp;Tabela_tudo[[#This Row],[Obs]]&amp;")"</f>
        <v>BRU ()</v>
      </c>
    </row>
    <row r="6432" spans="1:14" x14ac:dyDescent="0.3">
      <c r="A6432" s="1">
        <v>45038</v>
      </c>
      <c r="B6432" t="s">
        <v>84</v>
      </c>
      <c r="C6432" t="s">
        <v>465</v>
      </c>
      <c r="D6432" s="8"/>
      <c r="E6432" s="8"/>
      <c r="M6432" t="s">
        <v>478</v>
      </c>
      <c r="N6432" t="str">
        <f>Tabela_tudo[[#This Row],[Médico]]&amp;" ("&amp;Tabela_tudo[[#This Row],[Obs]]&amp;")"</f>
        <v>ANO ()</v>
      </c>
    </row>
    <row r="6433" spans="1:14" x14ac:dyDescent="0.3">
      <c r="A6433" s="1">
        <v>45104</v>
      </c>
      <c r="B6433" t="s">
        <v>75</v>
      </c>
      <c r="C6433" t="s">
        <v>51</v>
      </c>
      <c r="D6433" s="8"/>
      <c r="E6433" s="8"/>
      <c r="M6433" t="s">
        <v>478</v>
      </c>
      <c r="N6433" t="str">
        <f>Tabela_tudo[[#This Row],[Médico]]&amp;" ("&amp;Tabela_tudo[[#This Row],[Obs]]&amp;")"</f>
        <v>KOP ()</v>
      </c>
    </row>
    <row r="6434" spans="1:14" x14ac:dyDescent="0.3">
      <c r="A6434" s="1">
        <v>45037</v>
      </c>
      <c r="B6434" t="s">
        <v>84</v>
      </c>
      <c r="C6434" t="s">
        <v>465</v>
      </c>
      <c r="D6434" s="8"/>
      <c r="E6434" s="8"/>
      <c r="M6434" t="s">
        <v>478</v>
      </c>
      <c r="N6434" t="str">
        <f>Tabela_tudo[[#This Row],[Médico]]&amp;" ("&amp;Tabela_tudo[[#This Row],[Obs]]&amp;")"</f>
        <v>ANO ()</v>
      </c>
    </row>
    <row r="6435" spans="1:14" x14ac:dyDescent="0.3">
      <c r="A6435" s="1">
        <v>45104</v>
      </c>
      <c r="B6435" t="s">
        <v>16</v>
      </c>
      <c r="C6435" t="s">
        <v>46</v>
      </c>
      <c r="D6435" s="8"/>
      <c r="E6435" s="8"/>
      <c r="M6435" t="s">
        <v>478</v>
      </c>
      <c r="N6435" t="str">
        <f>Tabela_tudo[[#This Row],[Médico]]&amp;" ("&amp;Tabela_tudo[[#This Row],[Obs]]&amp;")"</f>
        <v>PP ()</v>
      </c>
    </row>
    <row r="6436" spans="1:14" x14ac:dyDescent="0.3">
      <c r="A6436" s="1">
        <v>45036</v>
      </c>
      <c r="B6436" t="s">
        <v>71</v>
      </c>
      <c r="C6436" t="s">
        <v>465</v>
      </c>
      <c r="D6436" s="8"/>
      <c r="E6436" s="8"/>
      <c r="M6436" t="s">
        <v>478</v>
      </c>
      <c r="N6436" t="str">
        <f>Tabela_tudo[[#This Row],[Médico]]&amp;" ("&amp;Tabela_tudo[[#This Row],[Obs]]&amp;")"</f>
        <v>BRU ()</v>
      </c>
    </row>
    <row r="6437" spans="1:14" x14ac:dyDescent="0.3">
      <c r="A6437" s="1">
        <v>45104</v>
      </c>
      <c r="B6437" t="s">
        <v>73</v>
      </c>
      <c r="C6437" t="s">
        <v>8</v>
      </c>
      <c r="D6437" s="8"/>
      <c r="E6437" s="8"/>
      <c r="M6437" t="s">
        <v>478</v>
      </c>
      <c r="N6437" t="str">
        <f>Tabela_tudo[[#This Row],[Médico]]&amp;" ("&amp;Tabela_tudo[[#This Row],[Obs]]&amp;")"</f>
        <v>RT ()</v>
      </c>
    </row>
    <row r="6438" spans="1:14" x14ac:dyDescent="0.3">
      <c r="A6438" s="1">
        <v>45093</v>
      </c>
      <c r="B6438" t="s">
        <v>66</v>
      </c>
      <c r="C6438" t="s">
        <v>464</v>
      </c>
      <c r="D6438" s="8"/>
      <c r="E6438" s="8"/>
      <c r="M6438" t="s">
        <v>478</v>
      </c>
      <c r="N6438" t="str">
        <f>Tabela_tudo[[#This Row],[Médico]]&amp;" ("&amp;Tabela_tudo[[#This Row],[Obs]]&amp;")"</f>
        <v>MOZ ()</v>
      </c>
    </row>
    <row r="6439" spans="1:14" x14ac:dyDescent="0.3">
      <c r="A6439" s="1">
        <v>45104</v>
      </c>
      <c r="B6439" t="s">
        <v>29</v>
      </c>
      <c r="C6439" t="s">
        <v>43</v>
      </c>
      <c r="D6439" s="8"/>
      <c r="E6439" s="8"/>
      <c r="M6439" t="s">
        <v>478</v>
      </c>
      <c r="N6439" t="str">
        <f>Tabela_tudo[[#This Row],[Médico]]&amp;" ("&amp;Tabela_tudo[[#This Row],[Obs]]&amp;")"</f>
        <v>JOA ()</v>
      </c>
    </row>
    <row r="6440" spans="1:14" x14ac:dyDescent="0.3">
      <c r="A6440" s="1">
        <v>45096</v>
      </c>
      <c r="B6440" t="s">
        <v>68</v>
      </c>
      <c r="C6440" t="s">
        <v>464</v>
      </c>
      <c r="D6440" s="8"/>
      <c r="E6440" s="8"/>
      <c r="M6440" t="s">
        <v>478</v>
      </c>
      <c r="N6440" t="str">
        <f>Tabela_tudo[[#This Row],[Médico]]&amp;" ("&amp;Tabela_tudo[[#This Row],[Obs]]&amp;")"</f>
        <v>PED ()</v>
      </c>
    </row>
    <row r="6441" spans="1:14" x14ac:dyDescent="0.3">
      <c r="A6441" s="1">
        <v>45104</v>
      </c>
      <c r="B6441" t="s">
        <v>23</v>
      </c>
      <c r="C6441" t="s">
        <v>45</v>
      </c>
      <c r="D6441" s="8"/>
      <c r="E6441" s="8"/>
      <c r="M6441" t="s">
        <v>478</v>
      </c>
      <c r="N6441" t="str">
        <f>Tabela_tudo[[#This Row],[Médico]]&amp;" ("&amp;Tabela_tudo[[#This Row],[Obs]]&amp;")"</f>
        <v>BG ()</v>
      </c>
    </row>
    <row r="6442" spans="1:14" x14ac:dyDescent="0.3">
      <c r="A6442" s="1">
        <v>45092</v>
      </c>
      <c r="B6442" t="s">
        <v>66</v>
      </c>
      <c r="C6442" t="s">
        <v>464</v>
      </c>
      <c r="D6442" s="8"/>
      <c r="E6442" s="8"/>
      <c r="M6442" t="s">
        <v>478</v>
      </c>
      <c r="N6442" t="str">
        <f>Tabela_tudo[[#This Row],[Médico]]&amp;" ("&amp;Tabela_tudo[[#This Row],[Obs]]&amp;")"</f>
        <v>MOZ ()</v>
      </c>
    </row>
    <row r="6443" spans="1:14" x14ac:dyDescent="0.3">
      <c r="A6443" s="1">
        <v>45111</v>
      </c>
      <c r="B6443" t="s">
        <v>48</v>
      </c>
      <c r="C6443" t="s">
        <v>49</v>
      </c>
      <c r="D6443" s="8"/>
      <c r="E6443" s="8"/>
      <c r="M6443" t="s">
        <v>478</v>
      </c>
      <c r="N6443" t="str">
        <f>Tabela_tudo[[#This Row],[Médico]]&amp;" ("&amp;Tabela_tudo[[#This Row],[Obs]]&amp;")"</f>
        <v>MAF ()</v>
      </c>
    </row>
    <row r="6444" spans="1:14" x14ac:dyDescent="0.3">
      <c r="A6444" s="1">
        <v>45090</v>
      </c>
      <c r="B6444" t="s">
        <v>66</v>
      </c>
      <c r="C6444" t="s">
        <v>464</v>
      </c>
      <c r="D6444" s="8"/>
      <c r="E6444" s="8"/>
      <c r="M6444" t="s">
        <v>478</v>
      </c>
      <c r="N6444" t="str">
        <f>Tabela_tudo[[#This Row],[Médico]]&amp;" ("&amp;Tabela_tudo[[#This Row],[Obs]]&amp;")"</f>
        <v>MOZ ()</v>
      </c>
    </row>
    <row r="6445" spans="1:14" x14ac:dyDescent="0.3">
      <c r="A6445" s="1">
        <v>45034</v>
      </c>
      <c r="B6445" t="s">
        <v>29</v>
      </c>
      <c r="C6445" t="s">
        <v>30</v>
      </c>
      <c r="D6445" s="8"/>
      <c r="E6445" s="8"/>
      <c r="M6445" t="s">
        <v>478</v>
      </c>
      <c r="N6445" t="str">
        <f>Tabela_tudo[[#This Row],[Médico]]&amp;" ("&amp;Tabela_tudo[[#This Row],[Obs]]&amp;")"</f>
        <v>JOA ()</v>
      </c>
    </row>
    <row r="6446" spans="1:14" x14ac:dyDescent="0.3">
      <c r="A6446" s="1">
        <v>45091</v>
      </c>
      <c r="B6446" t="s">
        <v>66</v>
      </c>
      <c r="C6446" t="s">
        <v>464</v>
      </c>
      <c r="D6446" s="8"/>
      <c r="E6446" s="8"/>
      <c r="M6446" t="s">
        <v>478</v>
      </c>
      <c r="N6446" t="str">
        <f>Tabela_tudo[[#This Row],[Médico]]&amp;" ("&amp;Tabela_tudo[[#This Row],[Obs]]&amp;")"</f>
        <v>MOZ ()</v>
      </c>
    </row>
    <row r="6447" spans="1:14" x14ac:dyDescent="0.3">
      <c r="A6447" s="1">
        <v>45117</v>
      </c>
      <c r="B6447" t="s">
        <v>37</v>
      </c>
      <c r="C6447" t="s">
        <v>13</v>
      </c>
      <c r="D6447" s="8"/>
      <c r="E6447" s="8"/>
      <c r="M6447" t="s">
        <v>478</v>
      </c>
      <c r="N6447" t="str">
        <f>Tabela_tudo[[#This Row],[Médico]]&amp;" ("&amp;Tabela_tudo[[#This Row],[Obs]]&amp;")"</f>
        <v>EBB ()</v>
      </c>
    </row>
    <row r="6448" spans="1:14" x14ac:dyDescent="0.3">
      <c r="A6448" s="1">
        <v>45100</v>
      </c>
      <c r="B6448" t="s">
        <v>68</v>
      </c>
      <c r="C6448" t="s">
        <v>464</v>
      </c>
      <c r="D6448" s="8"/>
      <c r="E6448" s="8"/>
      <c r="M6448" t="s">
        <v>478</v>
      </c>
      <c r="N6448" t="str">
        <f>Tabela_tudo[[#This Row],[Médico]]&amp;" ("&amp;Tabela_tudo[[#This Row],[Obs]]&amp;")"</f>
        <v>PED ()</v>
      </c>
    </row>
    <row r="6449" spans="1:14" x14ac:dyDescent="0.3">
      <c r="A6449" s="1">
        <v>45117</v>
      </c>
      <c r="B6449" t="s">
        <v>33</v>
      </c>
      <c r="C6449" t="s">
        <v>15</v>
      </c>
      <c r="D6449" s="8"/>
      <c r="E6449" s="8"/>
      <c r="M6449" t="s">
        <v>478</v>
      </c>
      <c r="N6449" t="str">
        <f>Tabela_tudo[[#This Row],[Médico]]&amp;" ("&amp;Tabela_tudo[[#This Row],[Obs]]&amp;")"</f>
        <v>DIF ()</v>
      </c>
    </row>
    <row r="6450" spans="1:14" x14ac:dyDescent="0.3">
      <c r="A6450" s="1">
        <v>45101</v>
      </c>
      <c r="B6450" t="s">
        <v>68</v>
      </c>
      <c r="C6450" t="s">
        <v>464</v>
      </c>
      <c r="D6450" s="8"/>
      <c r="E6450" s="8"/>
      <c r="M6450" t="s">
        <v>478</v>
      </c>
      <c r="N6450" t="str">
        <f>Tabela_tudo[[#This Row],[Médico]]&amp;" ("&amp;Tabela_tudo[[#This Row],[Obs]]&amp;")"</f>
        <v>PED ()</v>
      </c>
    </row>
    <row r="6451" spans="1:14" x14ac:dyDescent="0.3">
      <c r="A6451" s="1">
        <v>45034</v>
      </c>
      <c r="B6451" t="s">
        <v>75</v>
      </c>
      <c r="C6451" t="s">
        <v>51</v>
      </c>
      <c r="D6451" s="8"/>
      <c r="E6451" s="8"/>
      <c r="M6451" t="s">
        <v>478</v>
      </c>
      <c r="N6451" t="str">
        <f>Tabela_tudo[[#This Row],[Médico]]&amp;" ("&amp;Tabela_tudo[[#This Row],[Obs]]&amp;")"</f>
        <v>KOP ()</v>
      </c>
    </row>
    <row r="6452" spans="1:14" x14ac:dyDescent="0.3">
      <c r="A6452" s="1">
        <v>45099</v>
      </c>
      <c r="B6452" t="s">
        <v>68</v>
      </c>
      <c r="C6452" t="s">
        <v>464</v>
      </c>
      <c r="D6452" s="8"/>
      <c r="E6452" s="8"/>
      <c r="M6452" t="s">
        <v>478</v>
      </c>
      <c r="N6452" t="str">
        <f>Tabela_tudo[[#This Row],[Médico]]&amp;" ("&amp;Tabela_tudo[[#This Row],[Obs]]&amp;")"</f>
        <v>PED ()</v>
      </c>
    </row>
    <row r="6453" spans="1:14" x14ac:dyDescent="0.3">
      <c r="A6453" s="1">
        <v>45034</v>
      </c>
      <c r="B6453" t="s">
        <v>16</v>
      </c>
      <c r="C6453" t="s">
        <v>46</v>
      </c>
      <c r="D6453" s="8"/>
      <c r="E6453" s="8"/>
      <c r="M6453" t="s">
        <v>478</v>
      </c>
      <c r="N6453" t="str">
        <f>Tabela_tudo[[#This Row],[Médico]]&amp;" ("&amp;Tabela_tudo[[#This Row],[Obs]]&amp;")"</f>
        <v>PP ()</v>
      </c>
    </row>
    <row r="6454" spans="1:14" x14ac:dyDescent="0.3">
      <c r="A6454" s="1">
        <v>45097</v>
      </c>
      <c r="B6454" t="s">
        <v>68</v>
      </c>
      <c r="C6454" t="s">
        <v>464</v>
      </c>
      <c r="D6454" s="8"/>
      <c r="E6454" s="8"/>
      <c r="M6454" t="s">
        <v>478</v>
      </c>
      <c r="N6454" t="str">
        <f>Tabela_tudo[[#This Row],[Médico]]&amp;" ("&amp;Tabela_tudo[[#This Row],[Obs]]&amp;")"</f>
        <v>PED ()</v>
      </c>
    </row>
    <row r="6455" spans="1:14" x14ac:dyDescent="0.3">
      <c r="A6455" s="1">
        <v>45034</v>
      </c>
      <c r="B6455" t="s">
        <v>72</v>
      </c>
      <c r="C6455" t="s">
        <v>18</v>
      </c>
      <c r="D6455" s="8"/>
      <c r="E6455" s="8"/>
      <c r="M6455" t="s">
        <v>478</v>
      </c>
      <c r="N6455" t="str">
        <f>Tabela_tudo[[#This Row],[Médico]]&amp;" ("&amp;Tabela_tudo[[#This Row],[Obs]]&amp;")"</f>
        <v>GRA ()</v>
      </c>
    </row>
    <row r="6456" spans="1:14" x14ac:dyDescent="0.3">
      <c r="A6456" s="1">
        <v>45098</v>
      </c>
      <c r="B6456" t="s">
        <v>68</v>
      </c>
      <c r="C6456" t="s">
        <v>464</v>
      </c>
      <c r="D6456" s="8"/>
      <c r="E6456" s="8"/>
      <c r="M6456" t="s">
        <v>478</v>
      </c>
      <c r="N6456" t="str">
        <f>Tabela_tudo[[#This Row],[Médico]]&amp;" ("&amp;Tabela_tudo[[#This Row],[Obs]]&amp;")"</f>
        <v>PED ()</v>
      </c>
    </row>
    <row r="6457" spans="1:14" x14ac:dyDescent="0.3">
      <c r="A6457" s="1">
        <v>45034</v>
      </c>
      <c r="B6457" t="s">
        <v>85</v>
      </c>
      <c r="C6457" t="s">
        <v>49</v>
      </c>
      <c r="D6457" s="8"/>
      <c r="E6457" s="8"/>
      <c r="M6457" t="s">
        <v>478</v>
      </c>
      <c r="N6457" t="str">
        <f>Tabela_tudo[[#This Row],[Médico]]&amp;" ("&amp;Tabela_tudo[[#This Row],[Obs]]&amp;")"</f>
        <v>ELF ()</v>
      </c>
    </row>
    <row r="6458" spans="1:14" x14ac:dyDescent="0.3">
      <c r="A6458" s="1">
        <v>45026</v>
      </c>
      <c r="B6458" t="s">
        <v>64</v>
      </c>
      <c r="C6458" t="s">
        <v>464</v>
      </c>
      <c r="D6458" s="8"/>
      <c r="E6458" s="8"/>
      <c r="M6458" t="s">
        <v>478</v>
      </c>
      <c r="N6458" t="str">
        <f>Tabela_tudo[[#This Row],[Médico]]&amp;" ("&amp;Tabela_tudo[[#This Row],[Obs]]&amp;")"</f>
        <v>SAR ()</v>
      </c>
    </row>
    <row r="6459" spans="1:14" x14ac:dyDescent="0.3">
      <c r="A6459" s="1">
        <v>45117</v>
      </c>
      <c r="B6459" t="s">
        <v>21</v>
      </c>
      <c r="C6459" t="s">
        <v>46</v>
      </c>
      <c r="D6459" s="8"/>
      <c r="E6459" s="8"/>
      <c r="M6459" t="s">
        <v>478</v>
      </c>
      <c r="N6459" t="str">
        <f>Tabela_tudo[[#This Row],[Médico]]&amp;" ("&amp;Tabela_tudo[[#This Row],[Obs]]&amp;")"</f>
        <v>RA ()</v>
      </c>
    </row>
    <row r="6460" spans="1:14" x14ac:dyDescent="0.3">
      <c r="A6460" s="1">
        <v>45025</v>
      </c>
      <c r="B6460" t="s">
        <v>64</v>
      </c>
      <c r="C6460" t="s">
        <v>464</v>
      </c>
      <c r="D6460" s="8"/>
      <c r="E6460" s="8"/>
      <c r="M6460" t="s">
        <v>478</v>
      </c>
      <c r="N6460" t="str">
        <f>Tabela_tudo[[#This Row],[Médico]]&amp;" ("&amp;Tabela_tudo[[#This Row],[Obs]]&amp;")"</f>
        <v>SAR ()</v>
      </c>
    </row>
    <row r="6461" spans="1:14" x14ac:dyDescent="0.3">
      <c r="A6461" s="1">
        <v>45117</v>
      </c>
      <c r="B6461" t="s">
        <v>72</v>
      </c>
      <c r="C6461" t="s">
        <v>18</v>
      </c>
      <c r="D6461" s="8"/>
      <c r="E6461" s="8"/>
      <c r="M6461" t="s">
        <v>478</v>
      </c>
      <c r="N6461" t="str">
        <f>Tabela_tudo[[#This Row],[Médico]]&amp;" ("&amp;Tabela_tudo[[#This Row],[Obs]]&amp;")"</f>
        <v>GRA ()</v>
      </c>
    </row>
    <row r="6462" spans="1:14" x14ac:dyDescent="0.3">
      <c r="A6462" s="1">
        <v>45027</v>
      </c>
      <c r="B6462" t="s">
        <v>64</v>
      </c>
      <c r="C6462" t="s">
        <v>464</v>
      </c>
      <c r="D6462" s="8"/>
      <c r="E6462" s="8"/>
      <c r="M6462" t="s">
        <v>478</v>
      </c>
      <c r="N6462" t="str">
        <f>Tabela_tudo[[#This Row],[Médico]]&amp;" ("&amp;Tabela_tudo[[#This Row],[Obs]]&amp;")"</f>
        <v>SAR ()</v>
      </c>
    </row>
    <row r="6463" spans="1:14" x14ac:dyDescent="0.3">
      <c r="A6463" s="1">
        <v>45117</v>
      </c>
      <c r="B6463" t="s">
        <v>85</v>
      </c>
      <c r="C6463" t="s">
        <v>49</v>
      </c>
      <c r="D6463" s="8"/>
      <c r="E6463" s="8"/>
      <c r="M6463" t="s">
        <v>478</v>
      </c>
      <c r="N6463" t="str">
        <f>Tabela_tudo[[#This Row],[Médico]]&amp;" ("&amp;Tabela_tudo[[#This Row],[Obs]]&amp;")"</f>
        <v>ELF ()</v>
      </c>
    </row>
    <row r="6464" spans="1:14" x14ac:dyDescent="0.3">
      <c r="A6464" s="1">
        <v>45021</v>
      </c>
      <c r="B6464" t="s">
        <v>23</v>
      </c>
      <c r="C6464" t="s">
        <v>465</v>
      </c>
      <c r="D6464" s="8"/>
      <c r="E6464" s="8"/>
      <c r="M6464" t="s">
        <v>478</v>
      </c>
      <c r="N6464" t="str">
        <f>Tabela_tudo[[#This Row],[Médico]]&amp;" ("&amp;Tabela_tudo[[#This Row],[Obs]]&amp;")"</f>
        <v>BG ()</v>
      </c>
    </row>
    <row r="6465" spans="1:14" x14ac:dyDescent="0.3">
      <c r="A6465" s="1">
        <v>45117</v>
      </c>
      <c r="B6465" t="s">
        <v>44</v>
      </c>
      <c r="C6465" t="s">
        <v>45</v>
      </c>
      <c r="D6465" s="8"/>
      <c r="E6465" s="8"/>
      <c r="M6465" t="s">
        <v>478</v>
      </c>
      <c r="N6465" t="str">
        <f>Tabela_tudo[[#This Row],[Médico]]&amp;" ("&amp;Tabela_tudo[[#This Row],[Obs]]&amp;")"</f>
        <v>REI ()</v>
      </c>
    </row>
    <row r="6466" spans="1:14" x14ac:dyDescent="0.3">
      <c r="A6466" s="1">
        <v>45022</v>
      </c>
      <c r="B6466" t="s">
        <v>64</v>
      </c>
      <c r="C6466" t="s">
        <v>464</v>
      </c>
      <c r="D6466" s="8"/>
      <c r="E6466" s="8"/>
      <c r="M6466" t="s">
        <v>478</v>
      </c>
      <c r="N6466" t="str">
        <f>Tabela_tudo[[#This Row],[Médico]]&amp;" ("&amp;Tabela_tudo[[#This Row],[Obs]]&amp;")"</f>
        <v>SAR ()</v>
      </c>
    </row>
    <row r="6467" spans="1:14" x14ac:dyDescent="0.3">
      <c r="A6467" s="1">
        <v>45117</v>
      </c>
      <c r="B6467" t="s">
        <v>32</v>
      </c>
      <c r="C6467" t="s">
        <v>8</v>
      </c>
      <c r="D6467" s="8"/>
      <c r="E6467" s="8"/>
      <c r="M6467" t="s">
        <v>478</v>
      </c>
      <c r="N6467" t="str">
        <f>Tabela_tudo[[#This Row],[Médico]]&amp;" ("&amp;Tabela_tudo[[#This Row],[Obs]]&amp;")"</f>
        <v>JS ()</v>
      </c>
    </row>
    <row r="6468" spans="1:14" x14ac:dyDescent="0.3">
      <c r="A6468" s="1">
        <v>45021</v>
      </c>
      <c r="B6468" t="s">
        <v>64</v>
      </c>
      <c r="C6468" t="s">
        <v>464</v>
      </c>
      <c r="D6468" s="8"/>
      <c r="E6468" s="8"/>
      <c r="M6468" t="s">
        <v>478</v>
      </c>
      <c r="N6468" t="str">
        <f>Tabela_tudo[[#This Row],[Médico]]&amp;" ("&amp;Tabela_tudo[[#This Row],[Obs]]&amp;")"</f>
        <v>SAR ()</v>
      </c>
    </row>
    <row r="6469" spans="1:14" x14ac:dyDescent="0.3">
      <c r="A6469" s="1">
        <v>45117</v>
      </c>
      <c r="B6469" t="s">
        <v>84</v>
      </c>
      <c r="C6469" t="s">
        <v>30</v>
      </c>
      <c r="D6469" s="8"/>
      <c r="E6469" s="8"/>
      <c r="M6469" t="s">
        <v>478</v>
      </c>
      <c r="N6469" t="str">
        <f>Tabela_tudo[[#This Row],[Médico]]&amp;" ("&amp;Tabela_tudo[[#This Row],[Obs]]&amp;")"</f>
        <v>ANO ()</v>
      </c>
    </row>
    <row r="6470" spans="1:14" x14ac:dyDescent="0.3">
      <c r="A6470" s="1">
        <v>45024</v>
      </c>
      <c r="B6470" t="s">
        <v>64</v>
      </c>
      <c r="C6470" t="s">
        <v>464</v>
      </c>
      <c r="D6470" s="8"/>
      <c r="E6470" s="8"/>
      <c r="M6470" t="s">
        <v>478</v>
      </c>
      <c r="N6470" t="str">
        <f>Tabela_tudo[[#This Row],[Médico]]&amp;" ("&amp;Tabela_tudo[[#This Row],[Obs]]&amp;")"</f>
        <v>SAR ()</v>
      </c>
    </row>
    <row r="6471" spans="1:14" x14ac:dyDescent="0.3">
      <c r="A6471" s="1">
        <v>45117</v>
      </c>
      <c r="B6471" t="s">
        <v>33</v>
      </c>
      <c r="C6471" t="s">
        <v>43</v>
      </c>
      <c r="D6471" s="8"/>
      <c r="E6471" s="8"/>
      <c r="M6471" t="s">
        <v>478</v>
      </c>
      <c r="N6471" t="str">
        <f>Tabela_tudo[[#This Row],[Médico]]&amp;" ("&amp;Tabela_tudo[[#This Row],[Obs]]&amp;")"</f>
        <v>DIF ()</v>
      </c>
    </row>
    <row r="6472" spans="1:14" x14ac:dyDescent="0.3">
      <c r="A6472" s="1">
        <v>45023</v>
      </c>
      <c r="B6472" t="s">
        <v>64</v>
      </c>
      <c r="C6472" t="s">
        <v>464</v>
      </c>
      <c r="D6472" s="8"/>
      <c r="E6472" s="8"/>
      <c r="M6472" t="s">
        <v>478</v>
      </c>
      <c r="N6472" t="str">
        <f>Tabela_tudo[[#This Row],[Médico]]&amp;" ("&amp;Tabela_tudo[[#This Row],[Obs]]&amp;")"</f>
        <v>SAR ()</v>
      </c>
    </row>
    <row r="6473" spans="1:14" x14ac:dyDescent="0.3">
      <c r="A6473" s="1">
        <v>45034</v>
      </c>
      <c r="B6473" t="s">
        <v>23</v>
      </c>
      <c r="C6473" t="s">
        <v>45</v>
      </c>
      <c r="D6473" s="8"/>
      <c r="E6473" s="8"/>
      <c r="M6473" t="s">
        <v>478</v>
      </c>
      <c r="N6473" t="str">
        <f>Tabela_tudo[[#This Row],[Médico]]&amp;" ("&amp;Tabela_tudo[[#This Row],[Obs]]&amp;")"</f>
        <v>BG ()</v>
      </c>
    </row>
    <row r="6474" spans="1:14" x14ac:dyDescent="0.3">
      <c r="A6474" s="1">
        <v>45028</v>
      </c>
      <c r="B6474" t="s">
        <v>64</v>
      </c>
      <c r="C6474" t="s">
        <v>464</v>
      </c>
      <c r="D6474" s="8"/>
      <c r="E6474" s="8"/>
      <c r="M6474" t="s">
        <v>478</v>
      </c>
      <c r="N6474" t="str">
        <f>Tabela_tudo[[#This Row],[Médico]]&amp;" ("&amp;Tabela_tudo[[#This Row],[Obs]]&amp;")"</f>
        <v>SAR ()</v>
      </c>
    </row>
    <row r="6475" spans="1:14" x14ac:dyDescent="0.3">
      <c r="A6475" s="1">
        <v>45114</v>
      </c>
      <c r="B6475" t="s">
        <v>37</v>
      </c>
      <c r="C6475" t="s">
        <v>43</v>
      </c>
      <c r="D6475" s="8"/>
      <c r="E6475" s="8"/>
      <c r="M6475" t="s">
        <v>478</v>
      </c>
      <c r="N6475" t="str">
        <f>Tabela_tudo[[#This Row],[Médico]]&amp;" ("&amp;Tabela_tudo[[#This Row],[Obs]]&amp;")"</f>
        <v>EBB ()</v>
      </c>
    </row>
    <row r="6476" spans="1:14" x14ac:dyDescent="0.3">
      <c r="A6476" s="1">
        <v>45030</v>
      </c>
      <c r="B6476" t="s">
        <v>64</v>
      </c>
      <c r="C6476" t="s">
        <v>464</v>
      </c>
      <c r="D6476" s="8"/>
      <c r="E6476" s="8"/>
      <c r="M6476" t="s">
        <v>478</v>
      </c>
      <c r="N6476" t="str">
        <f>Tabela_tudo[[#This Row],[Médico]]&amp;" ("&amp;Tabela_tudo[[#This Row],[Obs]]&amp;")"</f>
        <v>SAR ()</v>
      </c>
    </row>
    <row r="6477" spans="1:14" x14ac:dyDescent="0.3">
      <c r="A6477" s="1">
        <v>45114</v>
      </c>
      <c r="B6477" t="s">
        <v>52</v>
      </c>
      <c r="C6477" t="s">
        <v>45</v>
      </c>
      <c r="D6477" s="8"/>
      <c r="E6477" s="8"/>
      <c r="M6477" t="s">
        <v>478</v>
      </c>
      <c r="N6477" t="str">
        <f>Tabela_tudo[[#This Row],[Médico]]&amp;" ("&amp;Tabela_tudo[[#This Row],[Obs]]&amp;")"</f>
        <v>AEL ()</v>
      </c>
    </row>
    <row r="6478" spans="1:14" x14ac:dyDescent="0.3">
      <c r="A6478" s="1">
        <v>45030</v>
      </c>
      <c r="B6478" t="s">
        <v>47</v>
      </c>
      <c r="C6478" t="s">
        <v>465</v>
      </c>
      <c r="D6478" s="8"/>
      <c r="E6478" s="8"/>
      <c r="M6478" t="s">
        <v>478</v>
      </c>
      <c r="N6478" t="str">
        <f>Tabela_tudo[[#This Row],[Médico]]&amp;" ("&amp;Tabela_tudo[[#This Row],[Obs]]&amp;")"</f>
        <v>VIN ()</v>
      </c>
    </row>
    <row r="6479" spans="1:14" x14ac:dyDescent="0.3">
      <c r="A6479" s="1">
        <v>45114</v>
      </c>
      <c r="B6479" t="s">
        <v>21</v>
      </c>
      <c r="C6479" t="s">
        <v>46</v>
      </c>
      <c r="D6479" s="8"/>
      <c r="E6479" s="8"/>
      <c r="M6479" t="s">
        <v>478</v>
      </c>
      <c r="N6479" t="str">
        <f>Tabela_tudo[[#This Row],[Médico]]&amp;" ("&amp;Tabela_tudo[[#This Row],[Obs]]&amp;")"</f>
        <v>RA ()</v>
      </c>
    </row>
    <row r="6480" spans="1:14" x14ac:dyDescent="0.3">
      <c r="A6480" s="1">
        <v>45029</v>
      </c>
      <c r="B6480" t="s">
        <v>64</v>
      </c>
      <c r="C6480" t="s">
        <v>464</v>
      </c>
      <c r="D6480" s="8"/>
      <c r="E6480" s="8"/>
      <c r="M6480" t="s">
        <v>478</v>
      </c>
      <c r="N6480" t="str">
        <f>Tabela_tudo[[#This Row],[Médico]]&amp;" ("&amp;Tabela_tudo[[#This Row],[Obs]]&amp;")"</f>
        <v>SAR ()</v>
      </c>
    </row>
    <row r="6481" spans="1:14" x14ac:dyDescent="0.3">
      <c r="A6481" s="1">
        <v>45114</v>
      </c>
      <c r="B6481" t="s">
        <v>33</v>
      </c>
      <c r="C6481" t="s">
        <v>30</v>
      </c>
      <c r="D6481" s="8"/>
      <c r="E6481" s="8"/>
      <c r="M6481" t="s">
        <v>478</v>
      </c>
      <c r="N6481" t="str">
        <f>Tabela_tudo[[#This Row],[Médico]]&amp;" ("&amp;Tabela_tudo[[#This Row],[Obs]]&amp;")"</f>
        <v>DIF ()</v>
      </c>
    </row>
    <row r="6482" spans="1:14" x14ac:dyDescent="0.3">
      <c r="A6482" s="1">
        <v>45022</v>
      </c>
      <c r="B6482" t="s">
        <v>47</v>
      </c>
      <c r="C6482" t="s">
        <v>465</v>
      </c>
      <c r="D6482" s="8"/>
      <c r="E6482" s="8"/>
      <c r="M6482" t="s">
        <v>478</v>
      </c>
      <c r="N6482" t="str">
        <f>Tabela_tudo[[#This Row],[Médico]]&amp;" ("&amp;Tabela_tudo[[#This Row],[Obs]]&amp;")"</f>
        <v>VIN ()</v>
      </c>
    </row>
    <row r="6483" spans="1:14" x14ac:dyDescent="0.3">
      <c r="A6483" s="1">
        <v>45114</v>
      </c>
      <c r="B6483" t="s">
        <v>84</v>
      </c>
      <c r="C6483" t="s">
        <v>13</v>
      </c>
      <c r="D6483" s="8"/>
      <c r="E6483" s="8"/>
      <c r="M6483" t="s">
        <v>478</v>
      </c>
      <c r="N6483" t="str">
        <f>Tabela_tudo[[#This Row],[Médico]]&amp;" ("&amp;Tabela_tudo[[#This Row],[Obs]]&amp;")"</f>
        <v>ANO ()</v>
      </c>
    </row>
    <row r="6484" spans="1:14" x14ac:dyDescent="0.3">
      <c r="A6484" s="1">
        <v>45037</v>
      </c>
      <c r="B6484" t="s">
        <v>47</v>
      </c>
      <c r="C6484" t="s">
        <v>465</v>
      </c>
      <c r="D6484" s="8"/>
      <c r="E6484" s="8"/>
      <c r="M6484" t="s">
        <v>478</v>
      </c>
      <c r="N6484" t="str">
        <f>Tabela_tudo[[#This Row],[Médico]]&amp;" ("&amp;Tabela_tudo[[#This Row],[Obs]]&amp;")"</f>
        <v>VIN ()</v>
      </c>
    </row>
    <row r="6485" spans="1:14" x14ac:dyDescent="0.3">
      <c r="A6485" s="1">
        <v>45114</v>
      </c>
      <c r="B6485" t="s">
        <v>94</v>
      </c>
      <c r="C6485" t="s">
        <v>15</v>
      </c>
      <c r="D6485" s="8"/>
      <c r="E6485" s="8"/>
      <c r="M6485" t="s">
        <v>478</v>
      </c>
      <c r="N6485" t="str">
        <f>Tabela_tudo[[#This Row],[Médico]]&amp;" ("&amp;Tabela_tudo[[#This Row],[Obs]]&amp;")"</f>
        <v>TOT ()</v>
      </c>
    </row>
    <row r="6486" spans="1:14" x14ac:dyDescent="0.3">
      <c r="A6486" s="1">
        <v>45029</v>
      </c>
      <c r="B6486" t="s">
        <v>47</v>
      </c>
      <c r="C6486" t="s">
        <v>465</v>
      </c>
      <c r="D6486" s="8"/>
      <c r="E6486" s="8"/>
      <c r="M6486" t="s">
        <v>478</v>
      </c>
      <c r="N6486" t="str">
        <f>Tabela_tudo[[#This Row],[Médico]]&amp;" ("&amp;Tabela_tudo[[#This Row],[Obs]]&amp;")"</f>
        <v>VIN ()</v>
      </c>
    </row>
    <row r="6487" spans="1:14" x14ac:dyDescent="0.3">
      <c r="A6487" s="1">
        <v>45114</v>
      </c>
      <c r="B6487" t="s">
        <v>37</v>
      </c>
      <c r="C6487" t="s">
        <v>8</v>
      </c>
      <c r="D6487" s="8"/>
      <c r="E6487" s="8"/>
      <c r="M6487" t="s">
        <v>478</v>
      </c>
      <c r="N6487" t="str">
        <f>Tabela_tudo[[#This Row],[Médico]]&amp;" ("&amp;Tabela_tudo[[#This Row],[Obs]]&amp;")"</f>
        <v>EBB ()</v>
      </c>
    </row>
    <row r="6488" spans="1:14" x14ac:dyDescent="0.3">
      <c r="A6488" s="1">
        <v>45031</v>
      </c>
      <c r="B6488" t="s">
        <v>47</v>
      </c>
      <c r="C6488" t="s">
        <v>465</v>
      </c>
      <c r="D6488" s="8"/>
      <c r="E6488" s="8"/>
      <c r="M6488" t="s">
        <v>478</v>
      </c>
      <c r="N6488" t="str">
        <f>Tabela_tudo[[#This Row],[Médico]]&amp;" ("&amp;Tabela_tudo[[#This Row],[Obs]]&amp;")"</f>
        <v>VIN ()</v>
      </c>
    </row>
    <row r="6489" spans="1:14" x14ac:dyDescent="0.3">
      <c r="A6489" s="1">
        <v>45034</v>
      </c>
      <c r="B6489" t="s">
        <v>75</v>
      </c>
      <c r="C6489" t="s">
        <v>15</v>
      </c>
      <c r="D6489" s="8"/>
      <c r="E6489" s="8"/>
      <c r="M6489" t="s">
        <v>478</v>
      </c>
      <c r="N6489" t="str">
        <f>Tabela_tudo[[#This Row],[Médico]]&amp;" ("&amp;Tabela_tudo[[#This Row],[Obs]]&amp;")"</f>
        <v>KOP ()</v>
      </c>
    </row>
    <row r="6490" spans="1:14" x14ac:dyDescent="0.3">
      <c r="A6490" s="1">
        <v>45036</v>
      </c>
      <c r="B6490" t="s">
        <v>47</v>
      </c>
      <c r="C6490" t="s">
        <v>465</v>
      </c>
      <c r="D6490" s="8"/>
      <c r="E6490" s="8"/>
      <c r="M6490" t="s">
        <v>478</v>
      </c>
      <c r="N6490" t="str">
        <f>Tabela_tudo[[#This Row],[Médico]]&amp;" ("&amp;Tabela_tudo[[#This Row],[Obs]]&amp;")"</f>
        <v>VIN ()</v>
      </c>
    </row>
    <row r="6491" spans="1:14" x14ac:dyDescent="0.3">
      <c r="A6491" s="1">
        <v>45034</v>
      </c>
      <c r="B6491" t="s">
        <v>33</v>
      </c>
      <c r="C6491" t="s">
        <v>8</v>
      </c>
      <c r="D6491" s="8"/>
      <c r="E6491" s="8"/>
      <c r="M6491" t="s">
        <v>478</v>
      </c>
      <c r="N6491" t="str">
        <f>Tabela_tudo[[#This Row],[Médico]]&amp;" ("&amp;Tabela_tudo[[#This Row],[Obs]]&amp;")"</f>
        <v>DIF ()</v>
      </c>
    </row>
    <row r="6492" spans="1:14" x14ac:dyDescent="0.3">
      <c r="A6492" s="1">
        <v>45034</v>
      </c>
      <c r="B6492" t="s">
        <v>64</v>
      </c>
      <c r="C6492" t="s">
        <v>43</v>
      </c>
      <c r="D6492" s="8"/>
      <c r="E6492" s="8"/>
      <c r="M6492" t="s">
        <v>478</v>
      </c>
      <c r="N6492" t="str">
        <f>Tabela_tudo[[#This Row],[Médico]]&amp;" ("&amp;Tabela_tudo[[#This Row],[Obs]]&amp;")"</f>
        <v>SAR ()</v>
      </c>
    </row>
    <row r="6493" spans="1:14" x14ac:dyDescent="0.3">
      <c r="A6493" s="1">
        <v>45034</v>
      </c>
      <c r="B6493" t="s">
        <v>142</v>
      </c>
      <c r="C6493" t="s">
        <v>13</v>
      </c>
      <c r="D6493" s="8"/>
      <c r="E6493" s="8"/>
      <c r="M6493" t="s">
        <v>478</v>
      </c>
      <c r="N6493" t="str">
        <f>Tabela_tudo[[#This Row],[Médico]]&amp;" ("&amp;Tabela_tudo[[#This Row],[Obs]]&amp;")"</f>
        <v>VIV ()</v>
      </c>
    </row>
    <row r="6494" spans="1:14" x14ac:dyDescent="0.3">
      <c r="A6494" s="1">
        <v>45114</v>
      </c>
      <c r="B6494" t="s">
        <v>72</v>
      </c>
      <c r="C6494" t="s">
        <v>18</v>
      </c>
      <c r="D6494" s="8"/>
      <c r="E6494" s="8"/>
      <c r="M6494" t="s">
        <v>478</v>
      </c>
      <c r="N6494" t="str">
        <f>Tabela_tudo[[#This Row],[Médico]]&amp;" ("&amp;Tabela_tudo[[#This Row],[Obs]]&amp;")"</f>
        <v>GRA ()</v>
      </c>
    </row>
    <row r="6495" spans="1:14" x14ac:dyDescent="0.3">
      <c r="A6495" s="1">
        <v>45114</v>
      </c>
      <c r="B6495" t="s">
        <v>48</v>
      </c>
      <c r="C6495" t="s">
        <v>49</v>
      </c>
      <c r="D6495" s="8"/>
      <c r="E6495" s="8"/>
      <c r="M6495" t="s">
        <v>478</v>
      </c>
      <c r="N6495" t="str">
        <f>Tabela_tudo[[#This Row],[Médico]]&amp;" ("&amp;Tabela_tudo[[#This Row],[Obs]]&amp;")"</f>
        <v>MAF ()</v>
      </c>
    </row>
    <row r="6496" spans="1:14" x14ac:dyDescent="0.3">
      <c r="A6496" s="1">
        <v>45114</v>
      </c>
      <c r="B6496" t="s">
        <v>17</v>
      </c>
      <c r="C6496" t="s">
        <v>51</v>
      </c>
      <c r="D6496" s="8"/>
      <c r="E6496" s="8"/>
      <c r="M6496" t="s">
        <v>478</v>
      </c>
      <c r="N6496" t="str">
        <f>Tabela_tudo[[#This Row],[Médico]]&amp;" ("&amp;Tabela_tudo[[#This Row],[Obs]]&amp;")"</f>
        <v>FAB ()</v>
      </c>
    </row>
    <row r="6497" spans="1:14" x14ac:dyDescent="0.3">
      <c r="A6497" s="1">
        <v>45110</v>
      </c>
      <c r="B6497" t="s">
        <v>32</v>
      </c>
      <c r="C6497" t="s">
        <v>18</v>
      </c>
      <c r="D6497" s="8"/>
      <c r="E6497" s="8"/>
      <c r="M6497" t="s">
        <v>478</v>
      </c>
      <c r="N6497" t="str">
        <f>Tabela_tudo[[#This Row],[Médico]]&amp;" ("&amp;Tabela_tudo[[#This Row],[Obs]]&amp;")"</f>
        <v>JS ()</v>
      </c>
    </row>
    <row r="6498" spans="1:14" x14ac:dyDescent="0.3">
      <c r="A6498" s="1">
        <v>45110</v>
      </c>
      <c r="B6498" t="s">
        <v>48</v>
      </c>
      <c r="C6498" t="s">
        <v>49</v>
      </c>
      <c r="D6498" s="8"/>
      <c r="E6498" s="8"/>
      <c r="M6498" t="s">
        <v>478</v>
      </c>
      <c r="N6498" t="str">
        <f>Tabela_tudo[[#This Row],[Médico]]&amp;" ("&amp;Tabela_tudo[[#This Row],[Obs]]&amp;")"</f>
        <v>MAF ()</v>
      </c>
    </row>
    <row r="6499" spans="1:14" x14ac:dyDescent="0.3">
      <c r="A6499" s="1">
        <v>45110</v>
      </c>
      <c r="B6499" t="s">
        <v>75</v>
      </c>
      <c r="C6499" t="s">
        <v>51</v>
      </c>
      <c r="D6499" s="8"/>
      <c r="E6499" s="8"/>
      <c r="M6499" t="s">
        <v>478</v>
      </c>
      <c r="N6499" t="str">
        <f>Tabela_tudo[[#This Row],[Médico]]&amp;" ("&amp;Tabela_tudo[[#This Row],[Obs]]&amp;")"</f>
        <v>KOP ()</v>
      </c>
    </row>
    <row r="6500" spans="1:14" x14ac:dyDescent="0.3">
      <c r="A6500" s="1">
        <v>45110</v>
      </c>
      <c r="B6500" t="s">
        <v>21</v>
      </c>
      <c r="C6500" t="s">
        <v>46</v>
      </c>
      <c r="D6500" s="8"/>
      <c r="E6500" s="8"/>
      <c r="M6500" t="s">
        <v>478</v>
      </c>
      <c r="N6500" t="str">
        <f>Tabela_tudo[[#This Row],[Médico]]&amp;" ("&amp;Tabela_tudo[[#This Row],[Obs]]&amp;")"</f>
        <v>RA ()</v>
      </c>
    </row>
    <row r="6501" spans="1:14" x14ac:dyDescent="0.3">
      <c r="A6501" s="1">
        <v>45110</v>
      </c>
      <c r="B6501" t="s">
        <v>214</v>
      </c>
      <c r="C6501" t="s">
        <v>30</v>
      </c>
      <c r="D6501" s="8"/>
      <c r="E6501" s="8"/>
      <c r="M6501" t="s">
        <v>478</v>
      </c>
      <c r="N6501" t="str">
        <f>Tabela_tudo[[#This Row],[Médico]]&amp;" ("&amp;Tabela_tudo[[#This Row],[Obs]]&amp;")"</f>
        <v>IFA ()</v>
      </c>
    </row>
    <row r="6502" spans="1:14" x14ac:dyDescent="0.3">
      <c r="A6502" s="1">
        <v>45110</v>
      </c>
      <c r="B6502" t="s">
        <v>84</v>
      </c>
      <c r="C6502" t="s">
        <v>43</v>
      </c>
      <c r="D6502" s="8"/>
      <c r="E6502" s="8"/>
      <c r="M6502" t="s">
        <v>478</v>
      </c>
      <c r="N6502" t="str">
        <f>Tabela_tudo[[#This Row],[Médico]]&amp;" ("&amp;Tabela_tudo[[#This Row],[Obs]]&amp;")"</f>
        <v>ANO ()</v>
      </c>
    </row>
    <row r="6503" spans="1:14" x14ac:dyDescent="0.3">
      <c r="A6503" s="1">
        <v>45110</v>
      </c>
      <c r="B6503" t="s">
        <v>44</v>
      </c>
      <c r="C6503" t="s">
        <v>45</v>
      </c>
      <c r="D6503" s="8"/>
      <c r="E6503" s="8"/>
      <c r="M6503" t="s">
        <v>478</v>
      </c>
      <c r="N6503" t="str">
        <f>Tabela_tudo[[#This Row],[Médico]]&amp;" ("&amp;Tabela_tudo[[#This Row],[Obs]]&amp;")"</f>
        <v>REI ()</v>
      </c>
    </row>
    <row r="6504" spans="1:14" x14ac:dyDescent="0.3">
      <c r="A6504" s="1">
        <v>45111</v>
      </c>
      <c r="B6504" t="s">
        <v>23</v>
      </c>
      <c r="C6504" t="s">
        <v>45</v>
      </c>
      <c r="D6504" s="8"/>
      <c r="E6504" s="8"/>
      <c r="M6504" t="s">
        <v>478</v>
      </c>
      <c r="N6504" t="str">
        <f>Tabela_tudo[[#This Row],[Médico]]&amp;" ("&amp;Tabela_tudo[[#This Row],[Obs]]&amp;")"</f>
        <v>BG ()</v>
      </c>
    </row>
    <row r="6505" spans="1:14" x14ac:dyDescent="0.3">
      <c r="A6505" s="1">
        <v>45111</v>
      </c>
      <c r="B6505" t="s">
        <v>16</v>
      </c>
      <c r="C6505" t="s">
        <v>46</v>
      </c>
      <c r="D6505" s="8"/>
      <c r="E6505" s="8"/>
      <c r="M6505" t="s">
        <v>478</v>
      </c>
      <c r="N6505" t="str">
        <f>Tabela_tudo[[#This Row],[Médico]]&amp;" ("&amp;Tabela_tudo[[#This Row],[Obs]]&amp;")"</f>
        <v>PP ()</v>
      </c>
    </row>
    <row r="6506" spans="1:14" x14ac:dyDescent="0.3">
      <c r="A6506" s="1">
        <v>45111</v>
      </c>
      <c r="B6506" t="s">
        <v>63</v>
      </c>
      <c r="C6506" t="s">
        <v>18</v>
      </c>
      <c r="D6506" s="8"/>
      <c r="E6506" s="8"/>
      <c r="M6506" t="s">
        <v>478</v>
      </c>
      <c r="N6506" t="str">
        <f>Tabela_tudo[[#This Row],[Médico]]&amp;" ("&amp;Tabela_tudo[[#This Row],[Obs]]&amp;")"</f>
        <v>FQ ()</v>
      </c>
    </row>
    <row r="6507" spans="1:14" x14ac:dyDescent="0.3">
      <c r="A6507" s="1">
        <v>45111</v>
      </c>
      <c r="B6507" t="s">
        <v>142</v>
      </c>
      <c r="C6507" t="s">
        <v>43</v>
      </c>
      <c r="D6507" s="8"/>
      <c r="E6507" s="8"/>
      <c r="M6507" t="s">
        <v>478</v>
      </c>
      <c r="N6507" t="str">
        <f>Tabela_tudo[[#This Row],[Médico]]&amp;" ("&amp;Tabela_tudo[[#This Row],[Obs]]&amp;")"</f>
        <v>VIV ()</v>
      </c>
    </row>
    <row r="6508" spans="1:14" x14ac:dyDescent="0.3">
      <c r="A6508" s="1">
        <v>45111</v>
      </c>
      <c r="B6508" t="s">
        <v>94</v>
      </c>
      <c r="C6508" t="s">
        <v>13</v>
      </c>
      <c r="D6508" s="8"/>
      <c r="E6508" s="8"/>
      <c r="M6508" t="s">
        <v>478</v>
      </c>
      <c r="N6508" t="str">
        <f>Tabela_tudo[[#This Row],[Médico]]&amp;" ("&amp;Tabela_tudo[[#This Row],[Obs]]&amp;")"</f>
        <v>TOT ()</v>
      </c>
    </row>
    <row r="6509" spans="1:14" x14ac:dyDescent="0.3">
      <c r="A6509" s="1">
        <v>45111</v>
      </c>
      <c r="B6509" t="s">
        <v>68</v>
      </c>
      <c r="C6509" t="s">
        <v>15</v>
      </c>
      <c r="D6509" s="8"/>
      <c r="E6509" s="8"/>
      <c r="M6509" t="s">
        <v>478</v>
      </c>
      <c r="N6509" t="str">
        <f>Tabela_tudo[[#This Row],[Médico]]&amp;" ("&amp;Tabela_tudo[[#This Row],[Obs]]&amp;")"</f>
        <v>PED ()</v>
      </c>
    </row>
    <row r="6510" spans="1:14" x14ac:dyDescent="0.3">
      <c r="A6510" s="1">
        <v>45111</v>
      </c>
      <c r="B6510" t="s">
        <v>48</v>
      </c>
      <c r="C6510" t="s">
        <v>8</v>
      </c>
      <c r="D6510" s="8"/>
      <c r="E6510" s="8"/>
      <c r="M6510" t="s">
        <v>478</v>
      </c>
      <c r="N6510" t="str">
        <f>Tabela_tudo[[#This Row],[Médico]]&amp;" ("&amp;Tabela_tudo[[#This Row],[Obs]]&amp;")"</f>
        <v>MAF ()</v>
      </c>
    </row>
    <row r="6511" spans="1:14" x14ac:dyDescent="0.3">
      <c r="A6511" s="1">
        <v>45110</v>
      </c>
      <c r="B6511" t="s">
        <v>16</v>
      </c>
      <c r="C6511" t="s">
        <v>30</v>
      </c>
      <c r="D6511" s="8"/>
      <c r="E6511" s="8"/>
      <c r="M6511" t="s">
        <v>478</v>
      </c>
      <c r="N6511" t="str">
        <f>Tabela_tudo[[#This Row],[Médico]]&amp;" ("&amp;Tabela_tudo[[#This Row],[Obs]]&amp;")"</f>
        <v>PP ()</v>
      </c>
    </row>
    <row r="6512" spans="1:14" x14ac:dyDescent="0.3">
      <c r="A6512" s="1">
        <v>45118</v>
      </c>
      <c r="B6512" t="s">
        <v>12</v>
      </c>
      <c r="C6512" t="s">
        <v>43</v>
      </c>
      <c r="D6512" s="8"/>
      <c r="E6512" s="8"/>
      <c r="M6512" t="s">
        <v>478</v>
      </c>
      <c r="N6512" t="str">
        <f>Tabela_tudo[[#This Row],[Médico]]&amp;" ("&amp;Tabela_tudo[[#This Row],[Obs]]&amp;")"</f>
        <v>EDU ()</v>
      </c>
    </row>
    <row r="6513" spans="1:14" x14ac:dyDescent="0.3">
      <c r="A6513" s="1">
        <v>45118</v>
      </c>
      <c r="B6513" t="s">
        <v>23</v>
      </c>
      <c r="C6513" t="s">
        <v>45</v>
      </c>
      <c r="D6513" s="8"/>
      <c r="E6513" s="8"/>
      <c r="M6513" t="s">
        <v>478</v>
      </c>
      <c r="N6513" t="str">
        <f>Tabela_tudo[[#This Row],[Médico]]&amp;" ("&amp;Tabela_tudo[[#This Row],[Obs]]&amp;")"</f>
        <v>BG ()</v>
      </c>
    </row>
    <row r="6514" spans="1:14" x14ac:dyDescent="0.3">
      <c r="A6514" s="1">
        <v>45118</v>
      </c>
      <c r="B6514" t="s">
        <v>16</v>
      </c>
      <c r="C6514" t="s">
        <v>46</v>
      </c>
      <c r="D6514" s="8"/>
      <c r="E6514" s="8"/>
      <c r="M6514" t="s">
        <v>478</v>
      </c>
      <c r="N6514" t="str">
        <f>Tabela_tudo[[#This Row],[Médico]]&amp;" ("&amp;Tabela_tudo[[#This Row],[Obs]]&amp;")"</f>
        <v>PP ()</v>
      </c>
    </row>
    <row r="6515" spans="1:14" x14ac:dyDescent="0.3">
      <c r="A6515" s="1">
        <v>45118</v>
      </c>
      <c r="B6515" t="s">
        <v>44</v>
      </c>
      <c r="C6515" t="s">
        <v>8</v>
      </c>
      <c r="D6515" s="8"/>
      <c r="E6515" s="8"/>
      <c r="M6515" t="s">
        <v>478</v>
      </c>
      <c r="N6515" t="str">
        <f>Tabela_tudo[[#This Row],[Médico]]&amp;" ("&amp;Tabela_tudo[[#This Row],[Obs]]&amp;")"</f>
        <v>REI ()</v>
      </c>
    </row>
    <row r="6516" spans="1:14" x14ac:dyDescent="0.3">
      <c r="A6516" s="1">
        <v>45117</v>
      </c>
      <c r="B6516" t="s">
        <v>17</v>
      </c>
      <c r="C6516" t="s">
        <v>51</v>
      </c>
      <c r="D6516" s="8"/>
      <c r="E6516" s="8"/>
      <c r="M6516" t="s">
        <v>478</v>
      </c>
      <c r="N6516" t="str">
        <f>Tabela_tudo[[#This Row],[Médico]]&amp;" ("&amp;Tabela_tudo[[#This Row],[Obs]]&amp;")"</f>
        <v>FAB ()</v>
      </c>
    </row>
    <row r="6517" spans="1:14" x14ac:dyDescent="0.3">
      <c r="A6517" s="1">
        <v>45118</v>
      </c>
      <c r="B6517" t="s">
        <v>29</v>
      </c>
      <c r="C6517" t="s">
        <v>13</v>
      </c>
      <c r="D6517" s="8"/>
      <c r="E6517" s="8"/>
      <c r="M6517" t="s">
        <v>478</v>
      </c>
      <c r="N6517" t="str">
        <f>Tabela_tudo[[#This Row],[Médico]]&amp;" ("&amp;Tabela_tudo[[#This Row],[Obs]]&amp;")"</f>
        <v>JOA ()</v>
      </c>
    </row>
    <row r="6518" spans="1:14" x14ac:dyDescent="0.3">
      <c r="A6518" s="1">
        <v>45118</v>
      </c>
      <c r="B6518" t="s">
        <v>72</v>
      </c>
      <c r="C6518" t="s">
        <v>15</v>
      </c>
      <c r="D6518" s="8"/>
      <c r="E6518" s="8"/>
      <c r="M6518" t="s">
        <v>478</v>
      </c>
      <c r="N6518" t="str">
        <f>Tabela_tudo[[#This Row],[Médico]]&amp;" ("&amp;Tabela_tudo[[#This Row],[Obs]]&amp;")"</f>
        <v>GRA ()</v>
      </c>
    </row>
    <row r="6519" spans="1:14" x14ac:dyDescent="0.3">
      <c r="A6519" s="1">
        <v>45110</v>
      </c>
      <c r="B6519" t="s">
        <v>63</v>
      </c>
      <c r="C6519" t="s">
        <v>13</v>
      </c>
      <c r="D6519" s="8"/>
      <c r="E6519" s="8"/>
      <c r="M6519" t="s">
        <v>478</v>
      </c>
      <c r="N6519" t="str">
        <f>Tabela_tudo[[#This Row],[Médico]]&amp;" ("&amp;Tabela_tudo[[#This Row],[Obs]]&amp;")"</f>
        <v>FQ ()</v>
      </c>
    </row>
    <row r="6520" spans="1:14" x14ac:dyDescent="0.3">
      <c r="A6520" s="1">
        <v>45110</v>
      </c>
      <c r="B6520" t="s">
        <v>47</v>
      </c>
      <c r="C6520" t="s">
        <v>15</v>
      </c>
      <c r="D6520" s="8"/>
      <c r="E6520" s="8"/>
      <c r="M6520" t="s">
        <v>478</v>
      </c>
      <c r="N6520" t="str">
        <f>Tabela_tudo[[#This Row],[Médico]]&amp;" ("&amp;Tabela_tudo[[#This Row],[Obs]]&amp;")"</f>
        <v>VIN ()</v>
      </c>
    </row>
    <row r="6521" spans="1:14" x14ac:dyDescent="0.3">
      <c r="A6521" s="1">
        <v>45110</v>
      </c>
      <c r="B6521" t="s">
        <v>73</v>
      </c>
      <c r="C6521" t="s">
        <v>8</v>
      </c>
      <c r="D6521" s="8"/>
      <c r="E6521" s="8"/>
      <c r="M6521" t="s">
        <v>478</v>
      </c>
      <c r="N6521" t="str">
        <f>Tabela_tudo[[#This Row],[Médico]]&amp;" ("&amp;Tabela_tudo[[#This Row],[Obs]]&amp;")"</f>
        <v>RT ()</v>
      </c>
    </row>
    <row r="6522" spans="1:14" x14ac:dyDescent="0.3">
      <c r="A6522" s="1">
        <v>45118</v>
      </c>
      <c r="B6522" t="s">
        <v>21</v>
      </c>
      <c r="C6522" t="s">
        <v>30</v>
      </c>
      <c r="D6522" s="8"/>
      <c r="E6522" s="8"/>
      <c r="M6522" t="s">
        <v>478</v>
      </c>
      <c r="N6522" t="str">
        <f>Tabela_tudo[[#This Row],[Médico]]&amp;" ("&amp;Tabela_tudo[[#This Row],[Obs]]&amp;")"</f>
        <v>RA ()</v>
      </c>
    </row>
    <row r="6523" spans="1:14" x14ac:dyDescent="0.3">
      <c r="A6523" s="1">
        <v>45118</v>
      </c>
      <c r="B6523" t="s">
        <v>47</v>
      </c>
      <c r="C6523" t="s">
        <v>18</v>
      </c>
      <c r="D6523" s="8"/>
      <c r="E6523" s="8"/>
      <c r="M6523" t="s">
        <v>478</v>
      </c>
      <c r="N6523" t="str">
        <f>Tabela_tudo[[#This Row],[Médico]]&amp;" ("&amp;Tabela_tudo[[#This Row],[Obs]]&amp;")"</f>
        <v>VIN ()</v>
      </c>
    </row>
    <row r="6524" spans="1:14" x14ac:dyDescent="0.3">
      <c r="A6524" s="1">
        <v>45118</v>
      </c>
      <c r="B6524" t="s">
        <v>85</v>
      </c>
      <c r="C6524" t="s">
        <v>49</v>
      </c>
      <c r="D6524" s="8"/>
      <c r="E6524" s="8"/>
      <c r="M6524" t="s">
        <v>478</v>
      </c>
      <c r="N6524" t="str">
        <f>Tabela_tudo[[#This Row],[Médico]]&amp;" ("&amp;Tabela_tudo[[#This Row],[Obs]]&amp;")"</f>
        <v>ELF ()</v>
      </c>
    </row>
    <row r="6525" spans="1:14" x14ac:dyDescent="0.3">
      <c r="A6525" s="1">
        <v>45118</v>
      </c>
      <c r="B6525" t="s">
        <v>75</v>
      </c>
      <c r="C6525" t="s">
        <v>51</v>
      </c>
      <c r="D6525" s="8"/>
      <c r="E6525" s="8"/>
      <c r="M6525" t="s">
        <v>478</v>
      </c>
      <c r="N6525" t="str">
        <f>Tabela_tudo[[#This Row],[Médico]]&amp;" ("&amp;Tabela_tudo[[#This Row],[Obs]]&amp;")"</f>
        <v>KOP ()</v>
      </c>
    </row>
    <row r="6526" spans="1:14" x14ac:dyDescent="0.3">
      <c r="A6526" s="1">
        <v>45078</v>
      </c>
      <c r="B6526" t="s">
        <v>68</v>
      </c>
      <c r="C6526" t="s">
        <v>13</v>
      </c>
      <c r="D6526" s="8"/>
      <c r="E6526" s="8"/>
      <c r="M6526" t="s">
        <v>478</v>
      </c>
      <c r="N6526" t="str">
        <f>Tabela_tudo[[#This Row],[Médico]]&amp;" ("&amp;Tabela_tudo[[#This Row],[Obs]]&amp;")"</f>
        <v>PED ()</v>
      </c>
    </row>
    <row r="6527" spans="1:14" x14ac:dyDescent="0.3">
      <c r="A6527" s="1">
        <v>45078</v>
      </c>
      <c r="B6527" t="s">
        <v>52</v>
      </c>
      <c r="C6527" t="s">
        <v>15</v>
      </c>
      <c r="D6527" s="8"/>
      <c r="E6527" s="8"/>
      <c r="M6527" t="s">
        <v>478</v>
      </c>
      <c r="N6527" t="str">
        <f>Tabela_tudo[[#This Row],[Médico]]&amp;" ("&amp;Tabela_tudo[[#This Row],[Obs]]&amp;")"</f>
        <v>AEL ()</v>
      </c>
    </row>
    <row r="6528" spans="1:14" x14ac:dyDescent="0.3">
      <c r="A6528" s="1">
        <v>45078</v>
      </c>
      <c r="B6528" t="s">
        <v>84</v>
      </c>
      <c r="C6528" t="s">
        <v>8</v>
      </c>
      <c r="D6528" s="8"/>
      <c r="E6528" s="8"/>
      <c r="M6528" t="s">
        <v>478</v>
      </c>
      <c r="N6528" t="str">
        <f>Tabela_tudo[[#This Row],[Médico]]&amp;" ("&amp;Tabela_tudo[[#This Row],[Obs]]&amp;")"</f>
        <v>ANO ()</v>
      </c>
    </row>
    <row r="6529" spans="1:14" x14ac:dyDescent="0.3">
      <c r="A6529" s="1">
        <v>45071</v>
      </c>
      <c r="B6529" t="s">
        <v>34</v>
      </c>
      <c r="C6529" t="s">
        <v>51</v>
      </c>
      <c r="D6529" s="8"/>
      <c r="E6529" s="8"/>
      <c r="M6529" t="s">
        <v>478</v>
      </c>
      <c r="N6529" t="str">
        <f>Tabela_tudo[[#This Row],[Médico]]&amp;" ("&amp;Tabela_tudo[[#This Row],[Obs]]&amp;")"</f>
        <v>LIP ()</v>
      </c>
    </row>
    <row r="6530" spans="1:14" x14ac:dyDescent="0.3">
      <c r="A6530" s="1">
        <v>45071</v>
      </c>
      <c r="B6530" t="s">
        <v>14</v>
      </c>
      <c r="C6530" t="s">
        <v>46</v>
      </c>
      <c r="D6530" s="8"/>
      <c r="E6530" s="8"/>
      <c r="M6530" t="s">
        <v>478</v>
      </c>
      <c r="N6530" t="str">
        <f>Tabela_tudo[[#This Row],[Médico]]&amp;" ("&amp;Tabela_tudo[[#This Row],[Obs]]&amp;")"</f>
        <v>PW ()</v>
      </c>
    </row>
    <row r="6531" spans="1:14" x14ac:dyDescent="0.3">
      <c r="A6531" s="1">
        <v>45071</v>
      </c>
      <c r="B6531" t="s">
        <v>32</v>
      </c>
      <c r="C6531" t="s">
        <v>18</v>
      </c>
      <c r="D6531" s="8"/>
      <c r="E6531" s="8"/>
      <c r="M6531" t="s">
        <v>478</v>
      </c>
      <c r="N6531" t="str">
        <f>Tabela_tudo[[#This Row],[Médico]]&amp;" ("&amp;Tabela_tudo[[#This Row],[Obs]]&amp;")"</f>
        <v>JS ()</v>
      </c>
    </row>
    <row r="6532" spans="1:14" x14ac:dyDescent="0.3">
      <c r="A6532" s="1">
        <v>45071</v>
      </c>
      <c r="B6532" t="s">
        <v>48</v>
      </c>
      <c r="C6532" t="s">
        <v>49</v>
      </c>
      <c r="D6532" s="8"/>
      <c r="E6532" s="8"/>
      <c r="M6532" t="s">
        <v>478</v>
      </c>
      <c r="N6532" t="str">
        <f>Tabela_tudo[[#This Row],[Médico]]&amp;" ("&amp;Tabela_tudo[[#This Row],[Obs]]&amp;")"</f>
        <v>MAF ()</v>
      </c>
    </row>
    <row r="6533" spans="1:14" x14ac:dyDescent="0.3">
      <c r="A6533" s="1">
        <v>45078</v>
      </c>
      <c r="B6533" t="s">
        <v>85</v>
      </c>
      <c r="C6533" t="s">
        <v>49</v>
      </c>
      <c r="D6533" s="8"/>
      <c r="E6533" s="8"/>
      <c r="M6533" t="s">
        <v>478</v>
      </c>
      <c r="N6533" t="str">
        <f>Tabela_tudo[[#This Row],[Médico]]&amp;" ("&amp;Tabela_tudo[[#This Row],[Obs]]&amp;")"</f>
        <v>ELF ()</v>
      </c>
    </row>
    <row r="6534" spans="1:14" x14ac:dyDescent="0.3">
      <c r="A6534" s="1">
        <v>45078</v>
      </c>
      <c r="B6534" t="s">
        <v>34</v>
      </c>
      <c r="C6534" t="s">
        <v>51</v>
      </c>
      <c r="D6534" s="8"/>
      <c r="E6534" s="8"/>
      <c r="M6534" t="s">
        <v>478</v>
      </c>
      <c r="N6534" t="str">
        <f>Tabela_tudo[[#This Row],[Médico]]&amp;" ("&amp;Tabela_tudo[[#This Row],[Obs]]&amp;")"</f>
        <v>LIP ()</v>
      </c>
    </row>
    <row r="6535" spans="1:14" x14ac:dyDescent="0.3">
      <c r="A6535" s="1">
        <v>45072</v>
      </c>
      <c r="B6535" t="s">
        <v>37</v>
      </c>
      <c r="C6535" t="s">
        <v>13</v>
      </c>
      <c r="D6535" s="8"/>
      <c r="E6535" s="8"/>
      <c r="M6535" t="s">
        <v>478</v>
      </c>
      <c r="N6535" t="str">
        <f>Tabela_tudo[[#This Row],[Médico]]&amp;" ("&amp;Tabela_tudo[[#This Row],[Obs]]&amp;")"</f>
        <v>EBB ()</v>
      </c>
    </row>
    <row r="6536" spans="1:14" x14ac:dyDescent="0.3">
      <c r="A6536" s="1">
        <v>45078</v>
      </c>
      <c r="B6536" t="s">
        <v>94</v>
      </c>
      <c r="C6536" t="s">
        <v>18</v>
      </c>
      <c r="D6536" s="8"/>
      <c r="E6536" s="8"/>
      <c r="M6536" t="s">
        <v>478</v>
      </c>
      <c r="N6536" t="str">
        <f>Tabela_tudo[[#This Row],[Médico]]&amp;" ("&amp;Tabela_tudo[[#This Row],[Obs]]&amp;")"</f>
        <v>TOT ()</v>
      </c>
    </row>
    <row r="6537" spans="1:14" x14ac:dyDescent="0.3">
      <c r="A6537" s="1">
        <v>45078</v>
      </c>
      <c r="B6537" t="s">
        <v>12</v>
      </c>
      <c r="C6537" t="s">
        <v>43</v>
      </c>
      <c r="D6537" s="8"/>
      <c r="E6537" s="8"/>
      <c r="M6537" t="s">
        <v>478</v>
      </c>
      <c r="N6537" t="str">
        <f>Tabela_tudo[[#This Row],[Médico]]&amp;" ("&amp;Tabela_tudo[[#This Row],[Obs]]&amp;")"</f>
        <v>EDU ()</v>
      </c>
    </row>
    <row r="6538" spans="1:14" x14ac:dyDescent="0.3">
      <c r="A6538" s="1">
        <v>45078</v>
      </c>
      <c r="B6538" t="s">
        <v>52</v>
      </c>
      <c r="C6538" t="s">
        <v>45</v>
      </c>
      <c r="D6538" s="8"/>
      <c r="E6538" s="8"/>
      <c r="M6538" t="s">
        <v>478</v>
      </c>
      <c r="N6538" t="str">
        <f>Tabela_tudo[[#This Row],[Médico]]&amp;" ("&amp;Tabela_tudo[[#This Row],[Obs]]&amp;")"</f>
        <v>AEL ()</v>
      </c>
    </row>
    <row r="6539" spans="1:14" x14ac:dyDescent="0.3">
      <c r="A6539" s="1">
        <v>45078</v>
      </c>
      <c r="B6539" t="s">
        <v>14</v>
      </c>
      <c r="C6539" t="s">
        <v>46</v>
      </c>
      <c r="D6539" s="8"/>
      <c r="E6539" s="8"/>
      <c r="M6539" t="s">
        <v>478</v>
      </c>
      <c r="N6539" t="str">
        <f>Tabela_tudo[[#This Row],[Médico]]&amp;" ("&amp;Tabela_tudo[[#This Row],[Obs]]&amp;")"</f>
        <v>PW ()</v>
      </c>
    </row>
    <row r="6540" spans="1:14" x14ac:dyDescent="0.3">
      <c r="A6540" s="1">
        <v>45071</v>
      </c>
      <c r="B6540" t="s">
        <v>52</v>
      </c>
      <c r="C6540" t="s">
        <v>45</v>
      </c>
      <c r="D6540" s="8"/>
      <c r="E6540" s="8"/>
      <c r="M6540" t="s">
        <v>478</v>
      </c>
      <c r="N6540" t="str">
        <f>Tabela_tudo[[#This Row],[Médico]]&amp;" ("&amp;Tabela_tudo[[#This Row],[Obs]]&amp;")"</f>
        <v>AEL ()</v>
      </c>
    </row>
    <row r="6541" spans="1:14" x14ac:dyDescent="0.3">
      <c r="A6541" s="1">
        <v>45077</v>
      </c>
      <c r="B6541" t="s">
        <v>73</v>
      </c>
      <c r="C6541" t="s">
        <v>51</v>
      </c>
      <c r="D6541" s="8"/>
      <c r="E6541" s="8"/>
      <c r="M6541" t="s">
        <v>478</v>
      </c>
      <c r="N6541" t="str">
        <f>Tabela_tudo[[#This Row],[Médico]]&amp;" ("&amp;Tabela_tudo[[#This Row],[Obs]]&amp;")"</f>
        <v>RT ()</v>
      </c>
    </row>
    <row r="6542" spans="1:14" x14ac:dyDescent="0.3">
      <c r="A6542" s="1">
        <v>45017</v>
      </c>
      <c r="B6542" t="s">
        <v>25</v>
      </c>
      <c r="C6542" t="s">
        <v>13</v>
      </c>
      <c r="D6542" s="8"/>
      <c r="E6542" s="8"/>
      <c r="M6542" t="s">
        <v>478</v>
      </c>
      <c r="N6542" t="str">
        <f>Tabela_tudo[[#This Row],[Médico]]&amp;" ("&amp;Tabela_tudo[[#This Row],[Obs]]&amp;")"</f>
        <v>HEN ()</v>
      </c>
    </row>
    <row r="6543" spans="1:14" x14ac:dyDescent="0.3">
      <c r="A6543" s="1">
        <v>45017</v>
      </c>
      <c r="B6543" t="s">
        <v>20</v>
      </c>
      <c r="C6543" t="s">
        <v>15</v>
      </c>
      <c r="D6543" s="8"/>
      <c r="E6543" s="8"/>
      <c r="M6543" t="s">
        <v>478</v>
      </c>
      <c r="N6543" t="str">
        <f>Tabela_tudo[[#This Row],[Médico]]&amp;" ("&amp;Tabela_tudo[[#This Row],[Obs]]&amp;")"</f>
        <v>ROB ()</v>
      </c>
    </row>
    <row r="6544" spans="1:14" x14ac:dyDescent="0.3">
      <c r="A6544" s="1">
        <v>45077</v>
      </c>
      <c r="B6544" t="s">
        <v>85</v>
      </c>
      <c r="C6544" t="s">
        <v>49</v>
      </c>
      <c r="D6544" s="8"/>
      <c r="E6544" s="8"/>
      <c r="M6544" t="s">
        <v>478</v>
      </c>
      <c r="N6544" t="str">
        <f>Tabela_tudo[[#This Row],[Médico]]&amp;" ("&amp;Tabela_tudo[[#This Row],[Obs]]&amp;")"</f>
        <v>ELF ()</v>
      </c>
    </row>
    <row r="6545" spans="1:14" x14ac:dyDescent="0.3">
      <c r="A6545" s="1">
        <v>45077</v>
      </c>
      <c r="B6545" t="s">
        <v>66</v>
      </c>
      <c r="C6545" t="s">
        <v>45</v>
      </c>
      <c r="D6545" s="8"/>
      <c r="E6545" s="8"/>
      <c r="M6545" t="s">
        <v>478</v>
      </c>
      <c r="N6545" t="str">
        <f>Tabela_tudo[[#This Row],[Médico]]&amp;" ("&amp;Tabela_tudo[[#This Row],[Obs]]&amp;")"</f>
        <v>MOZ ()</v>
      </c>
    </row>
    <row r="6546" spans="1:14" x14ac:dyDescent="0.3">
      <c r="A6546" s="1">
        <v>45077</v>
      </c>
      <c r="B6546" t="s">
        <v>68</v>
      </c>
      <c r="C6546" t="s">
        <v>46</v>
      </c>
      <c r="D6546" s="8"/>
      <c r="E6546" s="8"/>
      <c r="M6546" t="s">
        <v>478</v>
      </c>
      <c r="N6546" t="str">
        <f>Tabela_tudo[[#This Row],[Médico]]&amp;" ("&amp;Tabela_tudo[[#This Row],[Obs]]&amp;")"</f>
        <v>PED ()</v>
      </c>
    </row>
    <row r="6547" spans="1:14" x14ac:dyDescent="0.3">
      <c r="A6547" s="1">
        <v>45077</v>
      </c>
      <c r="B6547" t="s">
        <v>47</v>
      </c>
      <c r="C6547" t="s">
        <v>18</v>
      </c>
      <c r="D6547" s="8"/>
      <c r="E6547" s="8"/>
      <c r="M6547" t="s">
        <v>478</v>
      </c>
      <c r="N6547" t="str">
        <f>Tabela_tudo[[#This Row],[Médico]]&amp;" ("&amp;Tabela_tudo[[#This Row],[Obs]]&amp;")"</f>
        <v>VIN ()</v>
      </c>
    </row>
    <row r="6548" spans="1:14" x14ac:dyDescent="0.3">
      <c r="A6548" s="1">
        <v>45071</v>
      </c>
      <c r="B6548" t="s">
        <v>63</v>
      </c>
      <c r="C6548" t="s">
        <v>15</v>
      </c>
      <c r="D6548" s="8"/>
      <c r="E6548" s="8"/>
      <c r="M6548" t="s">
        <v>478</v>
      </c>
      <c r="N6548" t="str">
        <f>Tabela_tudo[[#This Row],[Médico]]&amp;" ("&amp;Tabela_tudo[[#This Row],[Obs]]&amp;")"</f>
        <v>FQ ()</v>
      </c>
    </row>
    <row r="6549" spans="1:14" x14ac:dyDescent="0.3">
      <c r="A6549" s="1">
        <v>45071</v>
      </c>
      <c r="B6549" t="s">
        <v>33</v>
      </c>
      <c r="C6549" t="s">
        <v>8</v>
      </c>
      <c r="D6549" s="8"/>
      <c r="E6549" s="8"/>
      <c r="M6549" t="s">
        <v>478</v>
      </c>
      <c r="N6549" t="str">
        <f>Tabela_tudo[[#This Row],[Médico]]&amp;" ("&amp;Tabela_tudo[[#This Row],[Obs]]&amp;")"</f>
        <v>DIF ()</v>
      </c>
    </row>
    <row r="6550" spans="1:14" x14ac:dyDescent="0.3">
      <c r="A6550" s="1">
        <v>45071</v>
      </c>
      <c r="B6550" t="s">
        <v>64</v>
      </c>
      <c r="C6550" t="s">
        <v>43</v>
      </c>
      <c r="D6550" s="8"/>
      <c r="E6550" s="8"/>
      <c r="M6550" t="s">
        <v>478</v>
      </c>
      <c r="N6550" t="str">
        <f>Tabela_tudo[[#This Row],[Médico]]&amp;" ("&amp;Tabela_tudo[[#This Row],[Obs]]&amp;")"</f>
        <v>SAR ()</v>
      </c>
    </row>
    <row r="6551" spans="1:14" x14ac:dyDescent="0.3">
      <c r="A6551" s="1">
        <v>45071</v>
      </c>
      <c r="B6551" t="s">
        <v>71</v>
      </c>
      <c r="C6551" t="s">
        <v>13</v>
      </c>
      <c r="D6551" s="8"/>
      <c r="E6551" s="8"/>
      <c r="M6551" t="s">
        <v>478</v>
      </c>
      <c r="N6551" t="str">
        <f>Tabela_tudo[[#This Row],[Médico]]&amp;" ("&amp;Tabela_tudo[[#This Row],[Obs]]&amp;")"</f>
        <v>BRU ()</v>
      </c>
    </row>
    <row r="6552" spans="1:14" x14ac:dyDescent="0.3">
      <c r="A6552" s="1">
        <v>45017</v>
      </c>
      <c r="B6552" t="s">
        <v>7</v>
      </c>
      <c r="C6552" t="s">
        <v>8</v>
      </c>
      <c r="D6552" s="8"/>
      <c r="E6552" s="8"/>
      <c r="M6552" t="s">
        <v>478</v>
      </c>
      <c r="N6552" t="str">
        <f>Tabela_tudo[[#This Row],[Médico]]&amp;" ("&amp;Tabela_tudo[[#This Row],[Obs]]&amp;")"</f>
        <v>ARI ()</v>
      </c>
    </row>
    <row r="6553" spans="1:14" x14ac:dyDescent="0.3">
      <c r="A6553" s="1">
        <v>45017</v>
      </c>
      <c r="B6553" t="s">
        <v>14</v>
      </c>
      <c r="C6553" t="s">
        <v>30</v>
      </c>
      <c r="D6553" s="8"/>
      <c r="E6553" s="8"/>
      <c r="M6553" t="s">
        <v>478</v>
      </c>
      <c r="N6553" t="str">
        <f>Tabela_tudo[[#This Row],[Médico]]&amp;" ("&amp;Tabela_tudo[[#This Row],[Obs]]&amp;")"</f>
        <v>PW ()</v>
      </c>
    </row>
    <row r="6554" spans="1:14" x14ac:dyDescent="0.3">
      <c r="A6554" s="1">
        <v>45017</v>
      </c>
      <c r="B6554" t="s">
        <v>12</v>
      </c>
      <c r="C6554" t="s">
        <v>43</v>
      </c>
      <c r="D6554" s="8"/>
      <c r="E6554" s="8"/>
      <c r="M6554" t="s">
        <v>478</v>
      </c>
      <c r="N6554" t="str">
        <f>Tabela_tudo[[#This Row],[Médico]]&amp;" ("&amp;Tabela_tudo[[#This Row],[Obs]]&amp;")"</f>
        <v>EDU ()</v>
      </c>
    </row>
    <row r="6555" spans="1:14" x14ac:dyDescent="0.3">
      <c r="A6555" s="1">
        <v>45079</v>
      </c>
      <c r="B6555" t="s">
        <v>94</v>
      </c>
      <c r="C6555" t="s">
        <v>18</v>
      </c>
      <c r="D6555" s="8"/>
      <c r="E6555" s="8"/>
      <c r="M6555" t="s">
        <v>478</v>
      </c>
      <c r="N6555" t="str">
        <f>Tabela_tudo[[#This Row],[Médico]]&amp;" ("&amp;Tabela_tudo[[#This Row],[Obs]]&amp;")"</f>
        <v>TOT ()</v>
      </c>
    </row>
    <row r="6556" spans="1:14" x14ac:dyDescent="0.3">
      <c r="A6556" s="1">
        <v>45079</v>
      </c>
      <c r="B6556" t="s">
        <v>85</v>
      </c>
      <c r="C6556" t="s">
        <v>49</v>
      </c>
      <c r="D6556" s="8"/>
      <c r="E6556" s="8"/>
      <c r="M6556" t="s">
        <v>478</v>
      </c>
      <c r="N6556" t="str">
        <f>Tabela_tudo[[#This Row],[Médico]]&amp;" ("&amp;Tabela_tudo[[#This Row],[Obs]]&amp;")"</f>
        <v>ELF ()</v>
      </c>
    </row>
    <row r="6557" spans="1:14" x14ac:dyDescent="0.3">
      <c r="A6557" s="1">
        <v>45079</v>
      </c>
      <c r="B6557" t="s">
        <v>34</v>
      </c>
      <c r="C6557" t="s">
        <v>51</v>
      </c>
      <c r="D6557" s="8"/>
      <c r="E6557" s="8"/>
      <c r="M6557" t="s">
        <v>478</v>
      </c>
      <c r="N6557" t="str">
        <f>Tabela_tudo[[#This Row],[Médico]]&amp;" ("&amp;Tabela_tudo[[#This Row],[Obs]]&amp;")"</f>
        <v>LIP ()</v>
      </c>
    </row>
    <row r="6558" spans="1:14" x14ac:dyDescent="0.3">
      <c r="A6558" s="1">
        <v>45079</v>
      </c>
      <c r="B6558" t="s">
        <v>14</v>
      </c>
      <c r="C6558" t="s">
        <v>46</v>
      </c>
      <c r="D6558" s="8"/>
      <c r="E6558" s="8"/>
      <c r="M6558" t="s">
        <v>478</v>
      </c>
      <c r="N6558" t="str">
        <f>Tabela_tudo[[#This Row],[Médico]]&amp;" ("&amp;Tabela_tudo[[#This Row],[Obs]]&amp;")"</f>
        <v>PW ()</v>
      </c>
    </row>
    <row r="6559" spans="1:14" x14ac:dyDescent="0.3">
      <c r="A6559" s="1">
        <v>45079</v>
      </c>
      <c r="B6559" t="s">
        <v>72</v>
      </c>
      <c r="C6559" t="s">
        <v>18</v>
      </c>
      <c r="D6559" s="8"/>
      <c r="E6559" s="8"/>
      <c r="M6559" t="s">
        <v>478</v>
      </c>
      <c r="N6559" t="str">
        <f>Tabela_tudo[[#This Row],[Médico]]&amp;" ("&amp;Tabela_tudo[[#This Row],[Obs]]&amp;")"</f>
        <v>GRA ()</v>
      </c>
    </row>
    <row r="6560" spans="1:14" x14ac:dyDescent="0.3">
      <c r="A6560" s="1">
        <v>45079</v>
      </c>
      <c r="B6560" t="s">
        <v>85</v>
      </c>
      <c r="C6560" t="s">
        <v>49</v>
      </c>
      <c r="D6560" s="8"/>
      <c r="E6560" s="8"/>
      <c r="M6560" t="s">
        <v>478</v>
      </c>
      <c r="N6560" t="str">
        <f>Tabela_tudo[[#This Row],[Médico]]&amp;" ("&amp;Tabela_tudo[[#This Row],[Obs]]&amp;")"</f>
        <v>ELF ()</v>
      </c>
    </row>
    <row r="6561" spans="1:14" x14ac:dyDescent="0.3">
      <c r="A6561" s="1">
        <v>45079</v>
      </c>
      <c r="B6561" t="s">
        <v>17</v>
      </c>
      <c r="C6561" t="s">
        <v>51</v>
      </c>
      <c r="D6561" s="8"/>
      <c r="E6561" s="8"/>
      <c r="M6561" t="s">
        <v>478</v>
      </c>
      <c r="N6561" t="str">
        <f>Tabela_tudo[[#This Row],[Médico]]&amp;" ("&amp;Tabela_tudo[[#This Row],[Obs]]&amp;")"</f>
        <v>FAB ()</v>
      </c>
    </row>
    <row r="6562" spans="1:14" x14ac:dyDescent="0.3">
      <c r="A6562" s="1">
        <v>45081</v>
      </c>
      <c r="B6562" t="s">
        <v>50</v>
      </c>
      <c r="C6562" t="s">
        <v>8</v>
      </c>
      <c r="D6562" s="8"/>
      <c r="E6562" s="8"/>
      <c r="M6562" t="s">
        <v>478</v>
      </c>
      <c r="N6562" t="str">
        <f>Tabela_tudo[[#This Row],[Médico]]&amp;" ("&amp;Tabela_tudo[[#This Row],[Obs]]&amp;")"</f>
        <v>PJP ()</v>
      </c>
    </row>
    <row r="6563" spans="1:14" x14ac:dyDescent="0.3">
      <c r="A6563" s="1">
        <v>45081</v>
      </c>
      <c r="B6563" t="s">
        <v>63</v>
      </c>
      <c r="C6563" t="s">
        <v>78</v>
      </c>
      <c r="D6563" s="8"/>
      <c r="E6563" s="8"/>
      <c r="M6563" t="s">
        <v>478</v>
      </c>
      <c r="N6563" t="str">
        <f>Tabela_tudo[[#This Row],[Médico]]&amp;" ("&amp;Tabela_tudo[[#This Row],[Obs]]&amp;")"</f>
        <v>FQ ()</v>
      </c>
    </row>
    <row r="6564" spans="1:14" x14ac:dyDescent="0.3">
      <c r="A6564" s="1">
        <v>45082</v>
      </c>
      <c r="B6564" t="s">
        <v>73</v>
      </c>
      <c r="C6564" t="s">
        <v>13</v>
      </c>
      <c r="D6564" s="8"/>
      <c r="E6564" s="8"/>
      <c r="M6564" t="s">
        <v>478</v>
      </c>
      <c r="N6564" t="str">
        <f>Tabela_tudo[[#This Row],[Médico]]&amp;" ("&amp;Tabela_tudo[[#This Row],[Obs]]&amp;")"</f>
        <v>RT ()</v>
      </c>
    </row>
    <row r="6565" spans="1:14" x14ac:dyDescent="0.3">
      <c r="A6565" s="1">
        <v>45081</v>
      </c>
      <c r="B6565" t="s">
        <v>21</v>
      </c>
      <c r="C6565" t="s">
        <v>13</v>
      </c>
      <c r="D6565" s="8"/>
      <c r="E6565" s="8"/>
      <c r="M6565" t="s">
        <v>478</v>
      </c>
      <c r="N6565" t="str">
        <f>Tabela_tudo[[#This Row],[Médico]]&amp;" ("&amp;Tabela_tudo[[#This Row],[Obs]]&amp;")"</f>
        <v>RA ()</v>
      </c>
    </row>
    <row r="6566" spans="1:14" x14ac:dyDescent="0.3">
      <c r="A6566" s="1">
        <v>45080</v>
      </c>
      <c r="B6566" t="s">
        <v>50</v>
      </c>
      <c r="C6566" t="s">
        <v>13</v>
      </c>
      <c r="D6566" s="8"/>
      <c r="E6566" s="8"/>
      <c r="M6566" t="s">
        <v>478</v>
      </c>
      <c r="N6566" t="str">
        <f>Tabela_tudo[[#This Row],[Médico]]&amp;" ("&amp;Tabela_tudo[[#This Row],[Obs]]&amp;")"</f>
        <v>PJP ()</v>
      </c>
    </row>
    <row r="6567" spans="1:14" x14ac:dyDescent="0.3">
      <c r="A6567" s="1">
        <v>45080</v>
      </c>
      <c r="B6567" t="s">
        <v>63</v>
      </c>
      <c r="C6567" t="s">
        <v>8</v>
      </c>
      <c r="D6567" s="8"/>
      <c r="E6567" s="8"/>
      <c r="M6567" t="s">
        <v>478</v>
      </c>
      <c r="N6567" t="str">
        <f>Tabela_tudo[[#This Row],[Médico]]&amp;" ("&amp;Tabela_tudo[[#This Row],[Obs]]&amp;")"</f>
        <v>FQ ()</v>
      </c>
    </row>
    <row r="6568" spans="1:14" x14ac:dyDescent="0.3">
      <c r="A6568" s="1">
        <v>45080</v>
      </c>
      <c r="B6568" t="s">
        <v>21</v>
      </c>
      <c r="C6568" t="s">
        <v>78</v>
      </c>
      <c r="D6568" s="8"/>
      <c r="E6568" s="8"/>
      <c r="M6568" t="s">
        <v>478</v>
      </c>
      <c r="N6568" t="str">
        <f>Tabela_tudo[[#This Row],[Médico]]&amp;" ("&amp;Tabela_tudo[[#This Row],[Obs]]&amp;")"</f>
        <v>RA ()</v>
      </c>
    </row>
    <row r="6569" spans="1:14" x14ac:dyDescent="0.3">
      <c r="A6569" s="1">
        <v>45079</v>
      </c>
      <c r="B6569" t="s">
        <v>16</v>
      </c>
      <c r="C6569" t="s">
        <v>46</v>
      </c>
      <c r="D6569" s="8"/>
      <c r="E6569" s="8"/>
      <c r="M6569" t="s">
        <v>478</v>
      </c>
      <c r="N6569" t="str">
        <f>Tabela_tudo[[#This Row],[Médico]]&amp;" ("&amp;Tabela_tudo[[#This Row],[Obs]]&amp;")"</f>
        <v>PP ()</v>
      </c>
    </row>
    <row r="6570" spans="1:14" x14ac:dyDescent="0.3">
      <c r="A6570" s="1">
        <v>45072</v>
      </c>
      <c r="B6570" t="s">
        <v>14</v>
      </c>
      <c r="C6570" t="s">
        <v>46</v>
      </c>
      <c r="D6570" s="8"/>
      <c r="E6570" s="8"/>
      <c r="M6570" t="s">
        <v>478</v>
      </c>
      <c r="N6570" t="str">
        <f>Tabela_tudo[[#This Row],[Médico]]&amp;" ("&amp;Tabela_tudo[[#This Row],[Obs]]&amp;")"</f>
        <v>PW ()</v>
      </c>
    </row>
    <row r="6571" spans="1:14" x14ac:dyDescent="0.3">
      <c r="A6571" s="1">
        <v>45072</v>
      </c>
      <c r="B6571" t="s">
        <v>63</v>
      </c>
      <c r="C6571" t="s">
        <v>18</v>
      </c>
      <c r="D6571" s="8"/>
      <c r="E6571" s="8"/>
      <c r="M6571" t="s">
        <v>478</v>
      </c>
      <c r="N6571" t="str">
        <f>Tabela_tudo[[#This Row],[Médico]]&amp;" ("&amp;Tabela_tudo[[#This Row],[Obs]]&amp;")"</f>
        <v>FQ ()</v>
      </c>
    </row>
    <row r="6572" spans="1:14" x14ac:dyDescent="0.3">
      <c r="A6572" s="1">
        <v>45072</v>
      </c>
      <c r="B6572" t="s">
        <v>48</v>
      </c>
      <c r="C6572" t="s">
        <v>49</v>
      </c>
      <c r="D6572" s="8"/>
      <c r="E6572" s="8"/>
      <c r="M6572" t="s">
        <v>478</v>
      </c>
      <c r="N6572" t="str">
        <f>Tabela_tudo[[#This Row],[Médico]]&amp;" ("&amp;Tabela_tudo[[#This Row],[Obs]]&amp;")"</f>
        <v>MAF ()</v>
      </c>
    </row>
    <row r="6573" spans="1:14" x14ac:dyDescent="0.3">
      <c r="A6573" s="1">
        <v>45072</v>
      </c>
      <c r="B6573" t="s">
        <v>52</v>
      </c>
      <c r="C6573" t="s">
        <v>45</v>
      </c>
      <c r="D6573" s="8"/>
      <c r="E6573" s="8"/>
      <c r="M6573" t="s">
        <v>478</v>
      </c>
      <c r="N6573" t="str">
        <f>Tabela_tudo[[#This Row],[Médico]]&amp;" ("&amp;Tabela_tudo[[#This Row],[Obs]]&amp;")"</f>
        <v>AEL ()</v>
      </c>
    </row>
    <row r="6574" spans="1:14" x14ac:dyDescent="0.3">
      <c r="A6574" s="1">
        <v>45072</v>
      </c>
      <c r="B6574" t="s">
        <v>29</v>
      </c>
      <c r="C6574" t="s">
        <v>15</v>
      </c>
      <c r="D6574" s="8"/>
      <c r="E6574" s="8"/>
      <c r="M6574" t="s">
        <v>478</v>
      </c>
      <c r="N6574" t="str">
        <f>Tabela_tudo[[#This Row],[Médico]]&amp;" ("&amp;Tabela_tudo[[#This Row],[Obs]]&amp;")"</f>
        <v>JOA ()</v>
      </c>
    </row>
    <row r="6575" spans="1:14" x14ac:dyDescent="0.3">
      <c r="A6575" s="1">
        <v>45072</v>
      </c>
      <c r="B6575" t="s">
        <v>52</v>
      </c>
      <c r="C6575" t="s">
        <v>8</v>
      </c>
      <c r="D6575" s="8"/>
      <c r="E6575" s="8"/>
      <c r="M6575" t="s">
        <v>478</v>
      </c>
      <c r="N6575" t="str">
        <f>Tabela_tudo[[#This Row],[Médico]]&amp;" ("&amp;Tabela_tudo[[#This Row],[Obs]]&amp;")"</f>
        <v>AEL ()</v>
      </c>
    </row>
    <row r="6576" spans="1:14" x14ac:dyDescent="0.3">
      <c r="A6576" s="1">
        <v>45072</v>
      </c>
      <c r="B6576" t="s">
        <v>64</v>
      </c>
      <c r="C6576" t="s">
        <v>43</v>
      </c>
      <c r="D6576" s="8"/>
      <c r="E6576" s="8"/>
      <c r="M6576" t="s">
        <v>478</v>
      </c>
      <c r="N6576" t="str">
        <f>Tabela_tudo[[#This Row],[Médico]]&amp;" ("&amp;Tabela_tudo[[#This Row],[Obs]]&amp;")"</f>
        <v>SAR ()</v>
      </c>
    </row>
    <row r="6577" spans="1:14" x14ac:dyDescent="0.3">
      <c r="A6577" s="1">
        <v>45079</v>
      </c>
      <c r="B6577" t="s">
        <v>71</v>
      </c>
      <c r="C6577" t="s">
        <v>8</v>
      </c>
      <c r="D6577" s="8"/>
      <c r="E6577" s="8"/>
      <c r="M6577" t="s">
        <v>478</v>
      </c>
      <c r="N6577" t="str">
        <f>Tabela_tudo[[#This Row],[Médico]]&amp;" ("&amp;Tabela_tudo[[#This Row],[Obs]]&amp;")"</f>
        <v>BRU ()</v>
      </c>
    </row>
    <row r="6578" spans="1:14" x14ac:dyDescent="0.3">
      <c r="A6578" s="1">
        <v>45079</v>
      </c>
      <c r="B6578" t="s">
        <v>64</v>
      </c>
      <c r="C6578" t="s">
        <v>43</v>
      </c>
      <c r="D6578" s="8"/>
      <c r="E6578" s="8"/>
      <c r="M6578" t="s">
        <v>478</v>
      </c>
      <c r="N6578" t="str">
        <f>Tabela_tudo[[#This Row],[Médico]]&amp;" ("&amp;Tabela_tudo[[#This Row],[Obs]]&amp;")"</f>
        <v>SAR ()</v>
      </c>
    </row>
    <row r="6579" spans="1:14" x14ac:dyDescent="0.3">
      <c r="A6579" s="1">
        <v>45079</v>
      </c>
      <c r="B6579" t="s">
        <v>66</v>
      </c>
      <c r="C6579" t="s">
        <v>45</v>
      </c>
      <c r="D6579" s="8"/>
      <c r="E6579" s="8"/>
      <c r="M6579" t="s">
        <v>478</v>
      </c>
      <c r="N6579" t="str">
        <f>Tabela_tudo[[#This Row],[Médico]]&amp;" ("&amp;Tabela_tudo[[#This Row],[Obs]]&amp;")"</f>
        <v>MOZ ()</v>
      </c>
    </row>
    <row r="6580" spans="1:14" x14ac:dyDescent="0.3">
      <c r="A6580" s="1">
        <v>45079</v>
      </c>
      <c r="B6580" t="s">
        <v>34</v>
      </c>
      <c r="C6580" t="s">
        <v>15</v>
      </c>
      <c r="D6580" s="8"/>
      <c r="E6580" s="8"/>
      <c r="M6580" t="s">
        <v>478</v>
      </c>
      <c r="N6580" t="str">
        <f>Tabela_tudo[[#This Row],[Médico]]&amp;" ("&amp;Tabela_tudo[[#This Row],[Obs]]&amp;")"</f>
        <v>LIP ()</v>
      </c>
    </row>
    <row r="6581" spans="1:14" x14ac:dyDescent="0.3">
      <c r="A6581" s="1">
        <v>45072</v>
      </c>
      <c r="B6581" t="s">
        <v>17</v>
      </c>
      <c r="C6581" t="s">
        <v>51</v>
      </c>
      <c r="D6581" s="8"/>
      <c r="E6581" s="8"/>
      <c r="M6581" t="s">
        <v>478</v>
      </c>
      <c r="N6581" t="str">
        <f>Tabela_tudo[[#This Row],[Médico]]&amp;" ("&amp;Tabela_tudo[[#This Row],[Obs]]&amp;")"</f>
        <v>FAB ()</v>
      </c>
    </row>
    <row r="6582" spans="1:14" x14ac:dyDescent="0.3">
      <c r="A6582" s="1">
        <v>45072</v>
      </c>
      <c r="B6582" t="s">
        <v>68</v>
      </c>
      <c r="C6582" t="s">
        <v>30</v>
      </c>
      <c r="D6582" s="8"/>
      <c r="E6582" s="8"/>
      <c r="F6582" t="s">
        <v>115</v>
      </c>
      <c r="M6582" t="s">
        <v>478</v>
      </c>
      <c r="N6582" t="str">
        <f>Tabela_tudo[[#This Row],[Médico]]&amp;" ("&amp;Tabela_tudo[[#This Row],[Obs]]&amp;")"</f>
        <v>PED (A CRITÉRIO DO ESCALADOR)</v>
      </c>
    </row>
    <row r="6583" spans="1:14" x14ac:dyDescent="0.3">
      <c r="A6583" s="1">
        <v>45079</v>
      </c>
      <c r="B6583" t="s">
        <v>48</v>
      </c>
      <c r="C6583" t="s">
        <v>13</v>
      </c>
      <c r="D6583" s="8"/>
      <c r="E6583" s="8"/>
      <c r="M6583" t="s">
        <v>478</v>
      </c>
      <c r="N6583" t="str">
        <f>Tabela_tudo[[#This Row],[Médico]]&amp;" ("&amp;Tabela_tudo[[#This Row],[Obs]]&amp;")"</f>
        <v>MAF ()</v>
      </c>
    </row>
    <row r="6584" spans="1:14" x14ac:dyDescent="0.3">
      <c r="A6584" s="1">
        <v>45077</v>
      </c>
      <c r="B6584" t="s">
        <v>29</v>
      </c>
      <c r="C6584" t="s">
        <v>43</v>
      </c>
      <c r="D6584" s="8"/>
      <c r="E6584" s="8"/>
      <c r="M6584" t="s">
        <v>478</v>
      </c>
      <c r="N6584" t="str">
        <f>Tabela_tudo[[#This Row],[Médico]]&amp;" ("&amp;Tabela_tudo[[#This Row],[Obs]]&amp;")"</f>
        <v>JOA ()</v>
      </c>
    </row>
    <row r="6585" spans="1:14" x14ac:dyDescent="0.3">
      <c r="A6585" s="1">
        <v>45068</v>
      </c>
      <c r="B6585" t="s">
        <v>47</v>
      </c>
      <c r="C6585" t="s">
        <v>18</v>
      </c>
      <c r="D6585" s="8"/>
      <c r="E6585" s="8"/>
      <c r="M6585" t="s">
        <v>478</v>
      </c>
      <c r="N6585" t="str">
        <f>Tabela_tudo[[#This Row],[Médico]]&amp;" ("&amp;Tabela_tudo[[#This Row],[Obs]]&amp;")"</f>
        <v>VIN ()</v>
      </c>
    </row>
    <row r="6586" spans="1:14" x14ac:dyDescent="0.3">
      <c r="A6586" s="1">
        <v>45068</v>
      </c>
      <c r="B6586" t="s">
        <v>44</v>
      </c>
      <c r="C6586" t="s">
        <v>45</v>
      </c>
      <c r="D6586" s="8"/>
      <c r="E6586" s="8"/>
      <c r="M6586" t="s">
        <v>478</v>
      </c>
      <c r="N6586" t="str">
        <f>Tabela_tudo[[#This Row],[Médico]]&amp;" ("&amp;Tabela_tudo[[#This Row],[Obs]]&amp;")"</f>
        <v>REI ()</v>
      </c>
    </row>
    <row r="6587" spans="1:14" x14ac:dyDescent="0.3">
      <c r="A6587" s="1">
        <v>45070</v>
      </c>
      <c r="B6587" t="s">
        <v>68</v>
      </c>
      <c r="C6587" t="s">
        <v>15</v>
      </c>
      <c r="D6587" s="8"/>
      <c r="E6587" s="8"/>
      <c r="M6587" t="s">
        <v>478</v>
      </c>
      <c r="N6587" t="str">
        <f>Tabela_tudo[[#This Row],[Médico]]&amp;" ("&amp;Tabela_tudo[[#This Row],[Obs]]&amp;")"</f>
        <v>PED ()</v>
      </c>
    </row>
    <row r="6588" spans="1:14" x14ac:dyDescent="0.3">
      <c r="A6588" s="1">
        <v>45068</v>
      </c>
      <c r="B6588" t="s">
        <v>48</v>
      </c>
      <c r="C6588" t="s">
        <v>49</v>
      </c>
      <c r="D6588" s="8"/>
      <c r="E6588" s="8"/>
      <c r="M6588" t="s">
        <v>478</v>
      </c>
      <c r="N6588" t="str">
        <f>Tabela_tudo[[#This Row],[Médico]]&amp;" ("&amp;Tabela_tudo[[#This Row],[Obs]]&amp;")"</f>
        <v>MAF ()</v>
      </c>
    </row>
    <row r="6589" spans="1:14" x14ac:dyDescent="0.3">
      <c r="A6589" s="1">
        <v>45068</v>
      </c>
      <c r="B6589" t="s">
        <v>34</v>
      </c>
      <c r="C6589" t="s">
        <v>8</v>
      </c>
      <c r="D6589" s="8"/>
      <c r="E6589" s="8"/>
      <c r="M6589" t="s">
        <v>478</v>
      </c>
      <c r="N6589" t="str">
        <f>Tabela_tudo[[#This Row],[Médico]]&amp;" ("&amp;Tabela_tudo[[#This Row],[Obs]]&amp;")"</f>
        <v>LIP ()</v>
      </c>
    </row>
    <row r="6590" spans="1:14" x14ac:dyDescent="0.3">
      <c r="A6590" s="1">
        <v>45068</v>
      </c>
      <c r="B6590" t="s">
        <v>37</v>
      </c>
      <c r="C6590" t="s">
        <v>30</v>
      </c>
      <c r="D6590" s="8"/>
      <c r="E6590" s="8"/>
      <c r="M6590" t="s">
        <v>478</v>
      </c>
      <c r="N6590" t="str">
        <f>Tabela_tudo[[#This Row],[Médico]]&amp;" ("&amp;Tabela_tudo[[#This Row],[Obs]]&amp;")"</f>
        <v>EBB ()</v>
      </c>
    </row>
    <row r="6591" spans="1:14" x14ac:dyDescent="0.3">
      <c r="A6591" s="1">
        <v>45070</v>
      </c>
      <c r="B6591" t="s">
        <v>37</v>
      </c>
      <c r="C6591" t="s">
        <v>43</v>
      </c>
      <c r="D6591" s="8"/>
      <c r="E6591" s="8"/>
      <c r="M6591" t="s">
        <v>478</v>
      </c>
      <c r="N6591" t="str">
        <f>Tabela_tudo[[#This Row],[Médico]]&amp;" ("&amp;Tabela_tudo[[#This Row],[Obs]]&amp;")"</f>
        <v>EBB ()</v>
      </c>
    </row>
    <row r="6592" spans="1:14" x14ac:dyDescent="0.3">
      <c r="A6592" s="1">
        <v>45070</v>
      </c>
      <c r="B6592" t="s">
        <v>48</v>
      </c>
      <c r="C6592" t="s">
        <v>49</v>
      </c>
      <c r="D6592" s="8"/>
      <c r="E6592" s="8"/>
      <c r="M6592" t="s">
        <v>478</v>
      </c>
      <c r="N6592" t="str">
        <f>Tabela_tudo[[#This Row],[Médico]]&amp;" ("&amp;Tabela_tudo[[#This Row],[Obs]]&amp;")"</f>
        <v>MAF ()</v>
      </c>
    </row>
    <row r="6593" spans="1:14" x14ac:dyDescent="0.3">
      <c r="A6593" s="1">
        <v>45070</v>
      </c>
      <c r="B6593" t="s">
        <v>73</v>
      </c>
      <c r="C6593" t="s">
        <v>51</v>
      </c>
      <c r="D6593" s="8"/>
      <c r="E6593" s="8"/>
      <c r="M6593" t="s">
        <v>478</v>
      </c>
      <c r="N6593" t="str">
        <f>Tabela_tudo[[#This Row],[Médico]]&amp;" ("&amp;Tabela_tudo[[#This Row],[Obs]]&amp;")"</f>
        <v>RT ()</v>
      </c>
    </row>
    <row r="6594" spans="1:14" x14ac:dyDescent="0.3">
      <c r="A6594" s="1">
        <v>45073</v>
      </c>
      <c r="B6594" t="s">
        <v>72</v>
      </c>
      <c r="C6594" t="s">
        <v>13</v>
      </c>
      <c r="D6594" s="8"/>
      <c r="E6594" s="8"/>
      <c r="M6594" t="s">
        <v>478</v>
      </c>
      <c r="N6594" t="str">
        <f>Tabela_tudo[[#This Row],[Médico]]&amp;" ("&amp;Tabela_tudo[[#This Row],[Obs]]&amp;")"</f>
        <v>GRA ()</v>
      </c>
    </row>
    <row r="6595" spans="1:14" x14ac:dyDescent="0.3">
      <c r="A6595" s="1">
        <v>45070</v>
      </c>
      <c r="B6595" t="s">
        <v>66</v>
      </c>
      <c r="C6595" t="s">
        <v>45</v>
      </c>
      <c r="D6595" s="8"/>
      <c r="E6595" s="8"/>
      <c r="M6595" t="s">
        <v>478</v>
      </c>
      <c r="N6595" t="str">
        <f>Tabela_tudo[[#This Row],[Médico]]&amp;" ("&amp;Tabela_tudo[[#This Row],[Obs]]&amp;")"</f>
        <v>MOZ ()</v>
      </c>
    </row>
    <row r="6596" spans="1:14" x14ac:dyDescent="0.3">
      <c r="A6596" s="1">
        <v>45070</v>
      </c>
      <c r="B6596" t="s">
        <v>68</v>
      </c>
      <c r="C6596" t="s">
        <v>46</v>
      </c>
      <c r="D6596" s="8"/>
      <c r="E6596" s="8"/>
      <c r="M6596" t="s">
        <v>478</v>
      </c>
      <c r="N6596" t="str">
        <f>Tabela_tudo[[#This Row],[Médico]]&amp;" ("&amp;Tabela_tudo[[#This Row],[Obs]]&amp;")"</f>
        <v>PED ()</v>
      </c>
    </row>
    <row r="6597" spans="1:14" x14ac:dyDescent="0.3">
      <c r="A6597" s="1">
        <v>45070</v>
      </c>
      <c r="B6597" t="s">
        <v>72</v>
      </c>
      <c r="C6597" t="s">
        <v>18</v>
      </c>
      <c r="D6597" s="8"/>
      <c r="E6597" s="8"/>
      <c r="M6597" t="s">
        <v>478</v>
      </c>
      <c r="N6597" t="str">
        <f>Tabela_tudo[[#This Row],[Médico]]&amp;" ("&amp;Tabela_tudo[[#This Row],[Obs]]&amp;")"</f>
        <v>GRA ()</v>
      </c>
    </row>
    <row r="6598" spans="1:14" x14ac:dyDescent="0.3">
      <c r="A6598" s="1">
        <v>45070</v>
      </c>
      <c r="B6598" t="s">
        <v>66</v>
      </c>
      <c r="C6598" t="s">
        <v>13</v>
      </c>
      <c r="D6598" s="8"/>
      <c r="E6598" s="8"/>
      <c r="M6598" t="s">
        <v>478</v>
      </c>
      <c r="N6598" t="str">
        <f>Tabela_tudo[[#This Row],[Médico]]&amp;" ("&amp;Tabela_tudo[[#This Row],[Obs]]&amp;")"</f>
        <v>MOZ ()</v>
      </c>
    </row>
    <row r="6599" spans="1:14" x14ac:dyDescent="0.3">
      <c r="A6599" s="1">
        <v>45068</v>
      </c>
      <c r="B6599" t="s">
        <v>33</v>
      </c>
      <c r="C6599" t="s">
        <v>15</v>
      </c>
      <c r="D6599" s="8"/>
      <c r="E6599" s="8"/>
      <c r="M6599" t="s">
        <v>478</v>
      </c>
      <c r="N6599" t="str">
        <f>Tabela_tudo[[#This Row],[Médico]]&amp;" ("&amp;Tabela_tudo[[#This Row],[Obs]]&amp;")"</f>
        <v>DIF ()</v>
      </c>
    </row>
    <row r="6600" spans="1:14" x14ac:dyDescent="0.3">
      <c r="A6600" s="1">
        <v>45044</v>
      </c>
      <c r="B6600" t="s">
        <v>12</v>
      </c>
      <c r="C6600" t="s">
        <v>13</v>
      </c>
      <c r="D6600" s="8"/>
      <c r="E6600" s="8"/>
      <c r="M6600" t="s">
        <v>478</v>
      </c>
      <c r="N6600" t="str">
        <f>Tabela_tudo[[#This Row],[Médico]]&amp;" ("&amp;Tabela_tudo[[#This Row],[Obs]]&amp;")"</f>
        <v>EDU ()</v>
      </c>
    </row>
    <row r="6601" spans="1:14" x14ac:dyDescent="0.3">
      <c r="A6601" s="1">
        <v>45068</v>
      </c>
      <c r="B6601" t="s">
        <v>12</v>
      </c>
      <c r="C6601" t="s">
        <v>43</v>
      </c>
      <c r="D6601" s="8"/>
      <c r="E6601" s="8"/>
      <c r="M6601" t="s">
        <v>478</v>
      </c>
      <c r="N6601" t="str">
        <f>Tabela_tudo[[#This Row],[Médico]]&amp;" ("&amp;Tabela_tudo[[#This Row],[Obs]]&amp;")"</f>
        <v>EDU ()</v>
      </c>
    </row>
    <row r="6602" spans="1:14" x14ac:dyDescent="0.3">
      <c r="A6602" s="1">
        <v>45044</v>
      </c>
      <c r="B6602" t="s">
        <v>14</v>
      </c>
      <c r="C6602" t="s">
        <v>15</v>
      </c>
      <c r="D6602" s="8"/>
      <c r="E6602" s="8"/>
      <c r="M6602" t="s">
        <v>478</v>
      </c>
      <c r="N6602" t="str">
        <f>Tabela_tudo[[#This Row],[Médico]]&amp;" ("&amp;Tabela_tudo[[#This Row],[Obs]]&amp;")"</f>
        <v>PW ()</v>
      </c>
    </row>
    <row r="6603" spans="1:14" x14ac:dyDescent="0.3">
      <c r="A6603" s="1">
        <v>45044</v>
      </c>
      <c r="B6603" t="s">
        <v>16</v>
      </c>
      <c r="C6603" t="s">
        <v>10</v>
      </c>
      <c r="D6603" s="8"/>
      <c r="E6603" s="8"/>
      <c r="M6603" t="s">
        <v>478</v>
      </c>
      <c r="N6603" t="str">
        <f>Tabela_tudo[[#This Row],[Médico]]&amp;" ("&amp;Tabela_tudo[[#This Row],[Obs]]&amp;")"</f>
        <v>PP ()</v>
      </c>
    </row>
    <row r="6604" spans="1:14" x14ac:dyDescent="0.3">
      <c r="A6604" s="1">
        <v>45043</v>
      </c>
      <c r="B6604" t="s">
        <v>7</v>
      </c>
      <c r="C6604" t="s">
        <v>8</v>
      </c>
      <c r="D6604" s="8"/>
      <c r="E6604" s="8"/>
      <c r="M6604" t="s">
        <v>478</v>
      </c>
      <c r="N6604" t="str">
        <f>Tabela_tudo[[#This Row],[Médico]]&amp;" ("&amp;Tabela_tudo[[#This Row],[Obs]]&amp;")"</f>
        <v>ARI ()</v>
      </c>
    </row>
    <row r="6605" spans="1:14" x14ac:dyDescent="0.3">
      <c r="A6605" s="1">
        <v>45042</v>
      </c>
      <c r="B6605" t="s">
        <v>20</v>
      </c>
      <c r="C6605" t="s">
        <v>13</v>
      </c>
      <c r="D6605" s="8"/>
      <c r="E6605" s="8"/>
      <c r="M6605" t="s">
        <v>478</v>
      </c>
      <c r="N6605" t="str">
        <f>Tabela_tudo[[#This Row],[Médico]]&amp;" ("&amp;Tabela_tudo[[#This Row],[Obs]]&amp;")"</f>
        <v>ROB ()</v>
      </c>
    </row>
    <row r="6606" spans="1:14" x14ac:dyDescent="0.3">
      <c r="A6606" s="1">
        <v>45070</v>
      </c>
      <c r="B6606" t="s">
        <v>20</v>
      </c>
      <c r="C6606" t="s">
        <v>30</v>
      </c>
      <c r="D6606" s="8"/>
      <c r="E6606" s="8"/>
      <c r="M6606" t="s">
        <v>478</v>
      </c>
      <c r="N6606" t="str">
        <f>Tabela_tudo[[#This Row],[Médico]]&amp;" ("&amp;Tabela_tudo[[#This Row],[Obs]]&amp;")"</f>
        <v>ROB ()</v>
      </c>
    </row>
    <row r="6607" spans="1:14" x14ac:dyDescent="0.3">
      <c r="A6607" s="1">
        <v>45070</v>
      </c>
      <c r="B6607" t="s">
        <v>29</v>
      </c>
      <c r="C6607" t="s">
        <v>8</v>
      </c>
      <c r="D6607" s="8"/>
      <c r="E6607" s="8"/>
      <c r="M6607" t="s">
        <v>478</v>
      </c>
      <c r="N6607" t="str">
        <f>Tabela_tudo[[#This Row],[Médico]]&amp;" ("&amp;Tabela_tudo[[#This Row],[Obs]]&amp;")"</f>
        <v>JOA ()</v>
      </c>
    </row>
    <row r="6608" spans="1:14" x14ac:dyDescent="0.3">
      <c r="A6608" s="1">
        <v>45068</v>
      </c>
      <c r="B6608" t="s">
        <v>50</v>
      </c>
      <c r="C6608" t="s">
        <v>51</v>
      </c>
      <c r="D6608" s="8"/>
      <c r="E6608" s="8"/>
      <c r="M6608" t="s">
        <v>478</v>
      </c>
      <c r="N6608" t="str">
        <f>Tabela_tudo[[#This Row],[Médico]]&amp;" ("&amp;Tabela_tudo[[#This Row],[Obs]]&amp;")"</f>
        <v>PJP ()</v>
      </c>
    </row>
    <row r="6609" spans="1:14" x14ac:dyDescent="0.3">
      <c r="A6609" s="1">
        <v>45068</v>
      </c>
      <c r="B6609" t="s">
        <v>32</v>
      </c>
      <c r="C6609" t="s">
        <v>13</v>
      </c>
      <c r="D6609" s="8"/>
      <c r="E6609" s="8"/>
      <c r="M6609" t="s">
        <v>478</v>
      </c>
      <c r="N6609" t="str">
        <f>Tabela_tudo[[#This Row],[Médico]]&amp;" ("&amp;Tabela_tudo[[#This Row],[Obs]]&amp;")"</f>
        <v>JS ()</v>
      </c>
    </row>
    <row r="6610" spans="1:14" x14ac:dyDescent="0.3">
      <c r="A6610" s="1">
        <v>45041</v>
      </c>
      <c r="B6610" t="s">
        <v>29</v>
      </c>
      <c r="C6610" t="s">
        <v>30</v>
      </c>
      <c r="D6610" s="8"/>
      <c r="E6610" s="8"/>
      <c r="M6610" t="s">
        <v>478</v>
      </c>
      <c r="N6610" t="str">
        <f>Tabela_tudo[[#This Row],[Médico]]&amp;" ("&amp;Tabela_tudo[[#This Row],[Obs]]&amp;")"</f>
        <v>JOA ()</v>
      </c>
    </row>
    <row r="6611" spans="1:14" x14ac:dyDescent="0.3">
      <c r="A6611" s="1">
        <v>45044</v>
      </c>
      <c r="B6611" t="s">
        <v>17</v>
      </c>
      <c r="C6611" t="s">
        <v>18</v>
      </c>
      <c r="D6611" s="8"/>
      <c r="E6611" s="8"/>
      <c r="M6611" t="s">
        <v>478</v>
      </c>
      <c r="N6611" t="str">
        <f>Tabela_tudo[[#This Row],[Médico]]&amp;" ("&amp;Tabela_tudo[[#This Row],[Obs]]&amp;")"</f>
        <v>FAB ()</v>
      </c>
    </row>
    <row r="6612" spans="1:14" x14ac:dyDescent="0.3">
      <c r="A6612" s="1">
        <v>45042</v>
      </c>
      <c r="B6612" t="s">
        <v>21</v>
      </c>
      <c r="C6612" t="s">
        <v>22</v>
      </c>
      <c r="D6612" s="8"/>
      <c r="E6612" s="8"/>
      <c r="M6612" t="s">
        <v>478</v>
      </c>
      <c r="N6612" t="str">
        <f>Tabela_tudo[[#This Row],[Médico]]&amp;" ("&amp;Tabela_tudo[[#This Row],[Obs]]&amp;")"</f>
        <v>RA ()</v>
      </c>
    </row>
    <row r="6613" spans="1:14" x14ac:dyDescent="0.3">
      <c r="A6613" s="1">
        <v>45068</v>
      </c>
      <c r="B6613" t="s">
        <v>21</v>
      </c>
      <c r="C6613" t="s">
        <v>46</v>
      </c>
      <c r="D6613" s="8"/>
      <c r="E6613" s="8"/>
      <c r="M6613" t="s">
        <v>478</v>
      </c>
      <c r="N6613" t="str">
        <f>Tabela_tudo[[#This Row],[Médico]]&amp;" ("&amp;Tabela_tudo[[#This Row],[Obs]]&amp;")"</f>
        <v>RA ()</v>
      </c>
    </row>
    <row r="6614" spans="1:14" x14ac:dyDescent="0.3">
      <c r="A6614" s="1">
        <v>45069</v>
      </c>
      <c r="B6614" t="s">
        <v>23</v>
      </c>
      <c r="C6614" t="s">
        <v>22</v>
      </c>
      <c r="D6614" s="8">
        <v>0.54166666666666663</v>
      </c>
      <c r="E6614" s="8">
        <v>0.83333333333333337</v>
      </c>
      <c r="M6614" t="s">
        <v>478</v>
      </c>
      <c r="N6614" t="str">
        <f>Tabela_tudo[[#This Row],[Médico]]&amp;" ("&amp;Tabela_tudo[[#This Row],[Obs]]&amp;")"</f>
        <v>BG ()</v>
      </c>
    </row>
    <row r="6615" spans="1:14" x14ac:dyDescent="0.3">
      <c r="A6615" s="1">
        <v>45069</v>
      </c>
      <c r="B6615" t="s">
        <v>29</v>
      </c>
      <c r="C6615" t="s">
        <v>43</v>
      </c>
      <c r="D6615" s="8"/>
      <c r="E6615" s="8"/>
      <c r="M6615" t="s">
        <v>478</v>
      </c>
      <c r="N6615" t="str">
        <f>Tabela_tudo[[#This Row],[Médico]]&amp;" ("&amp;Tabela_tudo[[#This Row],[Obs]]&amp;")"</f>
        <v>JOA ()</v>
      </c>
    </row>
    <row r="6616" spans="1:14" x14ac:dyDescent="0.3">
      <c r="A6616" s="1">
        <v>45069</v>
      </c>
      <c r="B6616" t="s">
        <v>23</v>
      </c>
      <c r="C6616" t="s">
        <v>45</v>
      </c>
      <c r="D6616" s="8"/>
      <c r="E6616" s="8"/>
      <c r="M6616" t="s">
        <v>478</v>
      </c>
      <c r="N6616" t="str">
        <f>Tabela_tudo[[#This Row],[Médico]]&amp;" ("&amp;Tabela_tudo[[#This Row],[Obs]]&amp;")"</f>
        <v>BG ()</v>
      </c>
    </row>
    <row r="6617" spans="1:14" x14ac:dyDescent="0.3">
      <c r="A6617" s="1">
        <v>45069</v>
      </c>
      <c r="B6617" t="s">
        <v>37</v>
      </c>
      <c r="C6617" t="s">
        <v>30</v>
      </c>
      <c r="D6617" s="8"/>
      <c r="E6617" s="8"/>
      <c r="M6617" t="s">
        <v>478</v>
      </c>
      <c r="N6617" t="str">
        <f>Tabela_tudo[[#This Row],[Médico]]&amp;" ("&amp;Tabela_tudo[[#This Row],[Obs]]&amp;")"</f>
        <v>EBB ()</v>
      </c>
    </row>
    <row r="6618" spans="1:14" x14ac:dyDescent="0.3">
      <c r="A6618" s="1">
        <v>45069</v>
      </c>
      <c r="B6618" t="s">
        <v>63</v>
      </c>
      <c r="C6618" t="s">
        <v>13</v>
      </c>
      <c r="D6618" s="8"/>
      <c r="E6618" s="8"/>
      <c r="M6618" t="s">
        <v>478</v>
      </c>
      <c r="N6618" t="str">
        <f>Tabela_tudo[[#This Row],[Médico]]&amp;" ("&amp;Tabela_tudo[[#This Row],[Obs]]&amp;")"</f>
        <v>FQ ()</v>
      </c>
    </row>
    <row r="6619" spans="1:14" x14ac:dyDescent="0.3">
      <c r="A6619" s="1">
        <v>45069</v>
      </c>
      <c r="B6619" t="s">
        <v>50</v>
      </c>
      <c r="C6619" t="s">
        <v>15</v>
      </c>
      <c r="D6619" s="8"/>
      <c r="E6619" s="8"/>
      <c r="M6619" t="s">
        <v>478</v>
      </c>
      <c r="N6619" t="str">
        <f>Tabela_tudo[[#This Row],[Médico]]&amp;" ("&amp;Tabela_tudo[[#This Row],[Obs]]&amp;")"</f>
        <v>PJP ()</v>
      </c>
    </row>
    <row r="6620" spans="1:14" x14ac:dyDescent="0.3">
      <c r="A6620" s="1">
        <v>45069</v>
      </c>
      <c r="B6620" t="s">
        <v>48</v>
      </c>
      <c r="C6620" t="s">
        <v>8</v>
      </c>
      <c r="D6620" s="8"/>
      <c r="E6620" s="8"/>
      <c r="M6620" t="s">
        <v>478</v>
      </c>
      <c r="N6620" t="str">
        <f>Tabela_tudo[[#This Row],[Médico]]&amp;" ("&amp;Tabela_tudo[[#This Row],[Obs]]&amp;")"</f>
        <v>MAF ()</v>
      </c>
    </row>
    <row r="6621" spans="1:14" x14ac:dyDescent="0.3">
      <c r="A6621" s="1">
        <v>45077</v>
      </c>
      <c r="B6621" t="s">
        <v>50</v>
      </c>
      <c r="C6621" t="s">
        <v>13</v>
      </c>
      <c r="D6621" s="8"/>
      <c r="E6621" s="8"/>
      <c r="M6621" t="s">
        <v>478</v>
      </c>
      <c r="N6621" t="str">
        <f>Tabela_tudo[[#This Row],[Médico]]&amp;" ("&amp;Tabela_tudo[[#This Row],[Obs]]&amp;")"</f>
        <v>PJP ()</v>
      </c>
    </row>
    <row r="6622" spans="1:14" x14ac:dyDescent="0.3">
      <c r="A6622" s="1">
        <v>45077</v>
      </c>
      <c r="B6622" t="s">
        <v>29</v>
      </c>
      <c r="C6622" t="s">
        <v>15</v>
      </c>
      <c r="D6622" s="8"/>
      <c r="E6622" s="8"/>
      <c r="M6622" t="s">
        <v>478</v>
      </c>
      <c r="N6622" t="str">
        <f>Tabela_tudo[[#This Row],[Médico]]&amp;" ("&amp;Tabela_tudo[[#This Row],[Obs]]&amp;")"</f>
        <v>JOA ()</v>
      </c>
    </row>
    <row r="6623" spans="1:14" x14ac:dyDescent="0.3">
      <c r="A6623" s="1">
        <v>45077</v>
      </c>
      <c r="B6623" t="s">
        <v>64</v>
      </c>
      <c r="C6623" t="s">
        <v>8</v>
      </c>
      <c r="D6623" s="8"/>
      <c r="E6623" s="8"/>
      <c r="M6623" t="s">
        <v>478</v>
      </c>
      <c r="N6623" t="str">
        <f>Tabela_tudo[[#This Row],[Médico]]&amp;" ("&amp;Tabela_tudo[[#This Row],[Obs]]&amp;")"</f>
        <v>SAR ()</v>
      </c>
    </row>
    <row r="6624" spans="1:14" x14ac:dyDescent="0.3">
      <c r="A6624" s="1">
        <v>45069</v>
      </c>
      <c r="B6624" t="s">
        <v>75</v>
      </c>
      <c r="C6624" t="s">
        <v>51</v>
      </c>
      <c r="D6624" s="8"/>
      <c r="E6624" s="8"/>
      <c r="M6624" t="s">
        <v>478</v>
      </c>
      <c r="N6624" t="str">
        <f>Tabela_tudo[[#This Row],[Médico]]&amp;" ("&amp;Tabela_tudo[[#This Row],[Obs]]&amp;")"</f>
        <v>KOP ()</v>
      </c>
    </row>
    <row r="6625" spans="1:14" x14ac:dyDescent="0.3">
      <c r="A6625" s="1">
        <v>45069</v>
      </c>
      <c r="B6625" t="s">
        <v>16</v>
      </c>
      <c r="C6625" t="s">
        <v>46</v>
      </c>
      <c r="D6625" s="8"/>
      <c r="E6625" s="8"/>
      <c r="M6625" t="s">
        <v>478</v>
      </c>
      <c r="N6625" t="str">
        <f>Tabela_tudo[[#This Row],[Médico]]&amp;" ("&amp;Tabela_tudo[[#This Row],[Obs]]&amp;")"</f>
        <v>PP ()</v>
      </c>
    </row>
    <row r="6626" spans="1:14" x14ac:dyDescent="0.3">
      <c r="A6626" s="1">
        <v>45069</v>
      </c>
      <c r="B6626" t="s">
        <v>94</v>
      </c>
      <c r="C6626" t="s">
        <v>18</v>
      </c>
      <c r="D6626" s="8"/>
      <c r="E6626" s="8"/>
      <c r="M6626" t="s">
        <v>478</v>
      </c>
      <c r="N6626" t="str">
        <f>Tabela_tudo[[#This Row],[Médico]]&amp;" ("&amp;Tabela_tudo[[#This Row],[Obs]]&amp;")"</f>
        <v>TOT ()</v>
      </c>
    </row>
    <row r="6627" spans="1:14" x14ac:dyDescent="0.3">
      <c r="A6627" s="1">
        <v>45069</v>
      </c>
      <c r="B6627" t="s">
        <v>48</v>
      </c>
      <c r="C6627" t="s">
        <v>49</v>
      </c>
      <c r="D6627" s="8"/>
      <c r="E6627" s="8"/>
      <c r="M6627" t="s">
        <v>478</v>
      </c>
      <c r="N6627" t="str">
        <f>Tabela_tudo[[#This Row],[Médico]]&amp;" ("&amp;Tabela_tudo[[#This Row],[Obs]]&amp;")"</f>
        <v>MAF ()</v>
      </c>
    </row>
    <row r="6628" spans="1:14" x14ac:dyDescent="0.3">
      <c r="A6628" s="1">
        <v>45075</v>
      </c>
      <c r="B6628" t="s">
        <v>50</v>
      </c>
      <c r="C6628" t="s">
        <v>51</v>
      </c>
      <c r="D6628" s="8"/>
      <c r="E6628" s="8"/>
      <c r="M6628" t="s">
        <v>478</v>
      </c>
      <c r="N6628" t="str">
        <f>Tabela_tudo[[#This Row],[Médico]]&amp;" ("&amp;Tabela_tudo[[#This Row],[Obs]]&amp;")"</f>
        <v>PJP ()</v>
      </c>
    </row>
    <row r="6629" spans="1:14" x14ac:dyDescent="0.3">
      <c r="A6629" s="1">
        <v>45074</v>
      </c>
      <c r="B6629" t="s">
        <v>75</v>
      </c>
      <c r="C6629" t="s">
        <v>78</v>
      </c>
      <c r="D6629" s="8"/>
      <c r="E6629" s="8"/>
      <c r="M6629" t="s">
        <v>478</v>
      </c>
      <c r="N6629" t="str">
        <f>Tabela_tudo[[#This Row],[Médico]]&amp;" ("&amp;Tabela_tudo[[#This Row],[Obs]]&amp;")"</f>
        <v>KOP ()</v>
      </c>
    </row>
    <row r="6630" spans="1:14" x14ac:dyDescent="0.3">
      <c r="A6630" s="1">
        <v>45075</v>
      </c>
      <c r="B6630" t="s">
        <v>71</v>
      </c>
      <c r="C6630" t="s">
        <v>13</v>
      </c>
      <c r="D6630" s="8"/>
      <c r="E6630" s="8"/>
      <c r="M6630" t="s">
        <v>478</v>
      </c>
      <c r="N6630" t="str">
        <f>Tabela_tudo[[#This Row],[Médico]]&amp;" ("&amp;Tabela_tudo[[#This Row],[Obs]]&amp;")"</f>
        <v>BRU ()</v>
      </c>
    </row>
    <row r="6631" spans="1:14" x14ac:dyDescent="0.3">
      <c r="A6631" s="1">
        <v>45075</v>
      </c>
      <c r="B6631" t="s">
        <v>68</v>
      </c>
      <c r="C6631" t="s">
        <v>15</v>
      </c>
      <c r="D6631" s="8"/>
      <c r="E6631" s="8"/>
      <c r="M6631" t="s">
        <v>478</v>
      </c>
      <c r="N6631" t="str">
        <f>Tabela_tudo[[#This Row],[Médico]]&amp;" ("&amp;Tabela_tudo[[#This Row],[Obs]]&amp;")"</f>
        <v>PED ()</v>
      </c>
    </row>
    <row r="6632" spans="1:14" x14ac:dyDescent="0.3">
      <c r="A6632" s="1">
        <v>45074</v>
      </c>
      <c r="B6632" t="s">
        <v>72</v>
      </c>
      <c r="C6632" t="s">
        <v>8</v>
      </c>
      <c r="D6632" s="8"/>
      <c r="E6632" s="8"/>
      <c r="M6632" t="s">
        <v>478</v>
      </c>
      <c r="N6632" t="str">
        <f>Tabela_tudo[[#This Row],[Médico]]&amp;" ("&amp;Tabela_tudo[[#This Row],[Obs]]&amp;")"</f>
        <v>GRA ()</v>
      </c>
    </row>
    <row r="6633" spans="1:14" x14ac:dyDescent="0.3">
      <c r="A6633" s="1">
        <v>45073</v>
      </c>
      <c r="B6633" t="s">
        <v>75</v>
      </c>
      <c r="C6633" t="s">
        <v>8</v>
      </c>
      <c r="D6633" s="8"/>
      <c r="E6633" s="8"/>
      <c r="M6633" t="s">
        <v>478</v>
      </c>
      <c r="N6633" t="str">
        <f>Tabela_tudo[[#This Row],[Médico]]&amp;" ("&amp;Tabela_tudo[[#This Row],[Obs]]&amp;")"</f>
        <v>KOP ()</v>
      </c>
    </row>
    <row r="6634" spans="1:14" x14ac:dyDescent="0.3">
      <c r="A6634" s="1">
        <v>45073</v>
      </c>
      <c r="B6634" t="s">
        <v>73</v>
      </c>
      <c r="C6634" t="s">
        <v>78</v>
      </c>
      <c r="D6634" s="8"/>
      <c r="E6634" s="8"/>
      <c r="M6634" t="s">
        <v>478</v>
      </c>
      <c r="N6634" t="str">
        <f>Tabela_tudo[[#This Row],[Médico]]&amp;" ("&amp;Tabela_tudo[[#This Row],[Obs]]&amp;")"</f>
        <v>RT ()</v>
      </c>
    </row>
    <row r="6635" spans="1:14" x14ac:dyDescent="0.3">
      <c r="A6635" s="1">
        <v>45074</v>
      </c>
      <c r="B6635" t="s">
        <v>73</v>
      </c>
      <c r="C6635" t="s">
        <v>13</v>
      </c>
      <c r="D6635" s="8"/>
      <c r="E6635" s="8"/>
      <c r="M6635" t="s">
        <v>478</v>
      </c>
      <c r="N6635" t="str">
        <f>Tabela_tudo[[#This Row],[Médico]]&amp;" ("&amp;Tabela_tudo[[#This Row],[Obs]]&amp;")"</f>
        <v>RT ()</v>
      </c>
    </row>
    <row r="6636" spans="1:14" x14ac:dyDescent="0.3">
      <c r="A6636" s="1">
        <v>45075</v>
      </c>
      <c r="B6636" t="s">
        <v>21</v>
      </c>
      <c r="C6636" t="s">
        <v>46</v>
      </c>
      <c r="D6636" s="8"/>
      <c r="E6636" s="8"/>
      <c r="M6636" t="s">
        <v>478</v>
      </c>
      <c r="N6636" t="str">
        <f>Tabela_tudo[[#This Row],[Médico]]&amp;" ("&amp;Tabela_tudo[[#This Row],[Obs]]&amp;")"</f>
        <v>RA ()</v>
      </c>
    </row>
    <row r="6637" spans="1:14" x14ac:dyDescent="0.3">
      <c r="A6637" s="1">
        <v>45075</v>
      </c>
      <c r="B6637" t="s">
        <v>32</v>
      </c>
      <c r="C6637" t="s">
        <v>18</v>
      </c>
      <c r="D6637" s="8"/>
      <c r="E6637" s="8"/>
      <c r="M6637" t="s">
        <v>478</v>
      </c>
      <c r="N6637" t="str">
        <f>Tabela_tudo[[#This Row],[Médico]]&amp;" ("&amp;Tabela_tudo[[#This Row],[Obs]]&amp;")"</f>
        <v>JS ()</v>
      </c>
    </row>
    <row r="6638" spans="1:14" x14ac:dyDescent="0.3">
      <c r="A6638" s="1">
        <v>45075</v>
      </c>
      <c r="B6638" t="s">
        <v>85</v>
      </c>
      <c r="C6638" t="s">
        <v>49</v>
      </c>
      <c r="D6638" s="8"/>
      <c r="E6638" s="8"/>
      <c r="M6638" t="s">
        <v>478</v>
      </c>
      <c r="N6638" t="str">
        <f>Tabela_tudo[[#This Row],[Médico]]&amp;" ("&amp;Tabela_tudo[[#This Row],[Obs]]&amp;")"</f>
        <v>ELF ()</v>
      </c>
    </row>
    <row r="6639" spans="1:14" x14ac:dyDescent="0.3">
      <c r="A6639" s="1">
        <v>45075</v>
      </c>
      <c r="B6639" t="s">
        <v>44</v>
      </c>
      <c r="C6639" t="s">
        <v>45</v>
      </c>
      <c r="D6639" s="8"/>
      <c r="E6639" s="8"/>
      <c r="M6639" t="s">
        <v>478</v>
      </c>
      <c r="N6639" t="str">
        <f>Tabela_tudo[[#This Row],[Médico]]&amp;" ("&amp;Tabela_tudo[[#This Row],[Obs]]&amp;")"</f>
        <v>REI ()</v>
      </c>
    </row>
    <row r="6640" spans="1:14" x14ac:dyDescent="0.3">
      <c r="A6640" s="1">
        <v>45075</v>
      </c>
      <c r="B6640" t="s">
        <v>32</v>
      </c>
      <c r="C6640" t="s">
        <v>8</v>
      </c>
      <c r="D6640" s="8"/>
      <c r="E6640" s="8"/>
      <c r="M6640" t="s">
        <v>478</v>
      </c>
      <c r="N6640" t="str">
        <f>Tabela_tudo[[#This Row],[Médico]]&amp;" ("&amp;Tabela_tudo[[#This Row],[Obs]]&amp;")"</f>
        <v>JS ()</v>
      </c>
    </row>
    <row r="6641" spans="1:14" x14ac:dyDescent="0.3">
      <c r="A6641" s="1">
        <v>45075</v>
      </c>
      <c r="B6641" t="s">
        <v>50</v>
      </c>
      <c r="C6641" t="s">
        <v>30</v>
      </c>
      <c r="D6641" s="8"/>
      <c r="E6641" s="8"/>
      <c r="M6641" t="s">
        <v>478</v>
      </c>
      <c r="N6641" t="str">
        <f>Tabela_tudo[[#This Row],[Médico]]&amp;" ("&amp;Tabela_tudo[[#This Row],[Obs]]&amp;")"</f>
        <v>PJP ()</v>
      </c>
    </row>
    <row r="6642" spans="1:14" x14ac:dyDescent="0.3">
      <c r="A6642" s="1">
        <v>45075</v>
      </c>
      <c r="B6642" t="s">
        <v>84</v>
      </c>
      <c r="C6642" t="s">
        <v>43</v>
      </c>
      <c r="D6642" s="8"/>
      <c r="E6642" s="8"/>
      <c r="M6642" t="s">
        <v>478</v>
      </c>
      <c r="N6642" t="str">
        <f>Tabela_tudo[[#This Row],[Médico]]&amp;" ("&amp;Tabela_tudo[[#This Row],[Obs]]&amp;")"</f>
        <v>ANO ()</v>
      </c>
    </row>
    <row r="6643" spans="1:14" x14ac:dyDescent="0.3">
      <c r="A6643" s="1">
        <v>45091</v>
      </c>
      <c r="B6643" t="s">
        <v>75</v>
      </c>
      <c r="C6643" t="s">
        <v>13</v>
      </c>
      <c r="D6643" s="8"/>
      <c r="E6643" s="8"/>
      <c r="M6643" t="s">
        <v>478</v>
      </c>
      <c r="N6643" t="str">
        <f>Tabela_tudo[[#This Row],[Médico]]&amp;" ("&amp;Tabela_tudo[[#This Row],[Obs]]&amp;")"</f>
        <v>KOP ()</v>
      </c>
    </row>
    <row r="6644" spans="1:14" x14ac:dyDescent="0.3">
      <c r="A6644" s="1">
        <v>45091</v>
      </c>
      <c r="B6644" t="s">
        <v>71</v>
      </c>
      <c r="C6644" t="s">
        <v>15</v>
      </c>
      <c r="D6644" s="8"/>
      <c r="E6644" s="8"/>
      <c r="M6644" t="s">
        <v>478</v>
      </c>
      <c r="N6644" t="str">
        <f>Tabela_tudo[[#This Row],[Médico]]&amp;" ("&amp;Tabela_tudo[[#This Row],[Obs]]&amp;")"</f>
        <v>BRU ()</v>
      </c>
    </row>
    <row r="6645" spans="1:14" x14ac:dyDescent="0.3">
      <c r="A6645" s="1">
        <v>45091</v>
      </c>
      <c r="B6645" t="s">
        <v>44</v>
      </c>
      <c r="C6645" t="s">
        <v>8</v>
      </c>
      <c r="D6645" s="8"/>
      <c r="E6645" s="8"/>
      <c r="M6645" t="s">
        <v>478</v>
      </c>
      <c r="N6645" t="str">
        <f>Tabela_tudo[[#This Row],[Médico]]&amp;" ("&amp;Tabela_tudo[[#This Row],[Obs]]&amp;")"</f>
        <v>REI ()</v>
      </c>
    </row>
    <row r="6646" spans="1:14" x14ac:dyDescent="0.3">
      <c r="A6646" s="1">
        <v>45090</v>
      </c>
      <c r="B6646" t="s">
        <v>50</v>
      </c>
      <c r="C6646" t="s">
        <v>124</v>
      </c>
      <c r="D6646" s="8">
        <v>0.79166666666666663</v>
      </c>
      <c r="E6646" s="8">
        <v>0.83333333333333337</v>
      </c>
      <c r="K6646" t="s">
        <v>565</v>
      </c>
      <c r="M6646" t="s">
        <v>478</v>
      </c>
      <c r="N6646" t="str">
        <f>Tabela_tudo[[#This Row],[Médico]]&amp;" ("&amp;Tabela_tudo[[#This Row],[Obs]]&amp;")"</f>
        <v>PJP ()</v>
      </c>
    </row>
    <row r="6647" spans="1:14" x14ac:dyDescent="0.3">
      <c r="A6647" s="1">
        <v>45090</v>
      </c>
      <c r="B6647" t="s">
        <v>72</v>
      </c>
      <c r="C6647" t="s">
        <v>18</v>
      </c>
      <c r="D6647" s="8"/>
      <c r="E6647" s="8"/>
      <c r="M6647" t="s">
        <v>478</v>
      </c>
      <c r="N6647" t="str">
        <f>Tabela_tudo[[#This Row],[Médico]]&amp;" ("&amp;Tabela_tudo[[#This Row],[Obs]]&amp;")"</f>
        <v>GRA ()</v>
      </c>
    </row>
    <row r="6648" spans="1:14" x14ac:dyDescent="0.3">
      <c r="A6648" s="1">
        <v>45090</v>
      </c>
      <c r="B6648" t="s">
        <v>48</v>
      </c>
      <c r="C6648" t="s">
        <v>49</v>
      </c>
      <c r="D6648" s="8"/>
      <c r="E6648" s="8"/>
      <c r="M6648" t="s">
        <v>478</v>
      </c>
      <c r="N6648" t="str">
        <f>Tabela_tudo[[#This Row],[Médico]]&amp;" ("&amp;Tabela_tudo[[#This Row],[Obs]]&amp;")"</f>
        <v>MAF ()</v>
      </c>
    </row>
    <row r="6649" spans="1:14" x14ac:dyDescent="0.3">
      <c r="A6649" s="1">
        <v>45090</v>
      </c>
      <c r="B6649" t="s">
        <v>75</v>
      </c>
      <c r="C6649" t="s">
        <v>51</v>
      </c>
      <c r="D6649" s="8"/>
      <c r="E6649" s="8"/>
      <c r="M6649" t="s">
        <v>478</v>
      </c>
      <c r="N6649" t="str">
        <f>Tabela_tudo[[#This Row],[Médico]]&amp;" ("&amp;Tabela_tudo[[#This Row],[Obs]]&amp;")"</f>
        <v>KOP ()</v>
      </c>
    </row>
    <row r="6650" spans="1:14" x14ac:dyDescent="0.3">
      <c r="A6650" s="1">
        <v>45091</v>
      </c>
      <c r="B6650" t="s">
        <v>68</v>
      </c>
      <c r="C6650" t="s">
        <v>46</v>
      </c>
      <c r="D6650" s="8"/>
      <c r="E6650" s="8"/>
      <c r="M6650" t="s">
        <v>478</v>
      </c>
      <c r="N6650" t="str">
        <f>Tabela_tudo[[#This Row],[Médico]]&amp;" ("&amp;Tabela_tudo[[#This Row],[Obs]]&amp;")"</f>
        <v>PED ()</v>
      </c>
    </row>
    <row r="6651" spans="1:14" x14ac:dyDescent="0.3">
      <c r="A6651" s="1">
        <v>45091</v>
      </c>
      <c r="B6651" t="s">
        <v>94</v>
      </c>
      <c r="C6651" t="s">
        <v>18</v>
      </c>
      <c r="D6651" s="8"/>
      <c r="E6651" s="8"/>
      <c r="M6651" t="s">
        <v>478</v>
      </c>
      <c r="N6651" t="str">
        <f>Tabela_tudo[[#This Row],[Médico]]&amp;" ("&amp;Tabela_tudo[[#This Row],[Obs]]&amp;")"</f>
        <v>TOT ()</v>
      </c>
    </row>
    <row r="6652" spans="1:14" x14ac:dyDescent="0.3">
      <c r="A6652" s="1">
        <v>45091</v>
      </c>
      <c r="B6652" t="s">
        <v>48</v>
      </c>
      <c r="C6652" t="s">
        <v>49</v>
      </c>
      <c r="D6652" s="8"/>
      <c r="E6652" s="8"/>
      <c r="M6652" t="s">
        <v>478</v>
      </c>
      <c r="N6652" t="str">
        <f>Tabela_tudo[[#This Row],[Médico]]&amp;" ("&amp;Tabela_tudo[[#This Row],[Obs]]&amp;")"</f>
        <v>MAF ()</v>
      </c>
    </row>
    <row r="6653" spans="1:14" x14ac:dyDescent="0.3">
      <c r="A6653" s="1">
        <v>45091</v>
      </c>
      <c r="B6653" t="s">
        <v>52</v>
      </c>
      <c r="C6653" t="s">
        <v>45</v>
      </c>
      <c r="D6653" s="8"/>
      <c r="E6653" s="8"/>
      <c r="M6653" t="s">
        <v>478</v>
      </c>
      <c r="N6653" t="str">
        <f>Tabela_tudo[[#This Row],[Médico]]&amp;" ("&amp;Tabela_tudo[[#This Row],[Obs]]&amp;")"</f>
        <v>AEL ()</v>
      </c>
    </row>
    <row r="6654" spans="1:14" x14ac:dyDescent="0.3">
      <c r="A6654" s="1">
        <v>45091</v>
      </c>
      <c r="B6654" t="s">
        <v>7</v>
      </c>
      <c r="C6654" t="s">
        <v>30</v>
      </c>
      <c r="D6654" s="8"/>
      <c r="E6654" s="8"/>
      <c r="M6654" t="s">
        <v>478</v>
      </c>
      <c r="N6654" t="str">
        <f>Tabela_tudo[[#This Row],[Médico]]&amp;" ("&amp;Tabela_tudo[[#This Row],[Obs]]&amp;")"</f>
        <v>ARI ()</v>
      </c>
    </row>
    <row r="6655" spans="1:14" x14ac:dyDescent="0.3">
      <c r="A6655" s="1">
        <v>45091</v>
      </c>
      <c r="B6655" t="s">
        <v>29</v>
      </c>
      <c r="C6655" t="s">
        <v>30</v>
      </c>
      <c r="D6655" s="8"/>
      <c r="E6655" s="8"/>
      <c r="M6655" t="s">
        <v>478</v>
      </c>
      <c r="N6655" t="str">
        <f>Tabela_tudo[[#This Row],[Médico]]&amp;" ("&amp;Tabela_tudo[[#This Row],[Obs]]&amp;")"</f>
        <v>JOA ()</v>
      </c>
    </row>
    <row r="6656" spans="1:14" x14ac:dyDescent="0.3">
      <c r="A6656" s="1">
        <v>45091</v>
      </c>
      <c r="B6656" t="s">
        <v>84</v>
      </c>
      <c r="C6656" t="s">
        <v>43</v>
      </c>
      <c r="D6656" s="8"/>
      <c r="E6656" s="8"/>
      <c r="M6656" t="s">
        <v>478</v>
      </c>
      <c r="N6656" t="str">
        <f>Tabela_tudo[[#This Row],[Médico]]&amp;" ("&amp;Tabela_tudo[[#This Row],[Obs]]&amp;")"</f>
        <v>ANO ()</v>
      </c>
    </row>
    <row r="6657" spans="1:14" x14ac:dyDescent="0.3">
      <c r="A6657" s="1">
        <v>45090</v>
      </c>
      <c r="B6657" t="s">
        <v>16</v>
      </c>
      <c r="C6657" t="s">
        <v>46</v>
      </c>
      <c r="D6657" s="8"/>
      <c r="E6657" s="8"/>
      <c r="M6657" t="s">
        <v>478</v>
      </c>
      <c r="N6657" t="str">
        <f>Tabela_tudo[[#This Row],[Médico]]&amp;" ("&amp;Tabela_tudo[[#This Row],[Obs]]&amp;")"</f>
        <v>PP ()</v>
      </c>
    </row>
    <row r="6658" spans="1:14" x14ac:dyDescent="0.3">
      <c r="A6658" s="1">
        <v>45089</v>
      </c>
      <c r="B6658" t="s">
        <v>48</v>
      </c>
      <c r="C6658" t="s">
        <v>49</v>
      </c>
      <c r="D6658" s="8"/>
      <c r="E6658" s="8"/>
      <c r="M6658" t="s">
        <v>478</v>
      </c>
      <c r="N6658" t="str">
        <f>Tabela_tudo[[#This Row],[Médico]]&amp;" ("&amp;Tabela_tudo[[#This Row],[Obs]]&amp;")"</f>
        <v>MAF ()</v>
      </c>
    </row>
    <row r="6659" spans="1:14" x14ac:dyDescent="0.3">
      <c r="A6659" s="1">
        <v>45089</v>
      </c>
      <c r="B6659" t="s">
        <v>50</v>
      </c>
      <c r="C6659" t="s">
        <v>51</v>
      </c>
      <c r="D6659" s="8"/>
      <c r="E6659" s="8"/>
      <c r="M6659" t="s">
        <v>478</v>
      </c>
      <c r="N6659" t="str">
        <f>Tabela_tudo[[#This Row],[Médico]]&amp;" ("&amp;Tabela_tudo[[#This Row],[Obs]]&amp;")"</f>
        <v>PJP ()</v>
      </c>
    </row>
    <row r="6660" spans="1:14" x14ac:dyDescent="0.3">
      <c r="A6660" s="1">
        <v>45090</v>
      </c>
      <c r="B6660" t="s">
        <v>85</v>
      </c>
      <c r="C6660" t="s">
        <v>13</v>
      </c>
      <c r="D6660" s="8"/>
      <c r="E6660" s="8"/>
      <c r="M6660" t="s">
        <v>478</v>
      </c>
      <c r="N6660" t="str">
        <f>Tabela_tudo[[#This Row],[Médico]]&amp;" ("&amp;Tabela_tudo[[#This Row],[Obs]]&amp;")"</f>
        <v>ELF ()</v>
      </c>
    </row>
    <row r="6661" spans="1:14" x14ac:dyDescent="0.3">
      <c r="A6661" s="1">
        <v>45089</v>
      </c>
      <c r="B6661" t="s">
        <v>32</v>
      </c>
      <c r="C6661" t="s">
        <v>18</v>
      </c>
      <c r="D6661" s="8"/>
      <c r="E6661" s="8"/>
      <c r="M6661" t="s">
        <v>478</v>
      </c>
      <c r="N6661" t="str">
        <f>Tabela_tudo[[#This Row],[Médico]]&amp;" ("&amp;Tabela_tudo[[#This Row],[Obs]]&amp;")"</f>
        <v>JS ()</v>
      </c>
    </row>
    <row r="6662" spans="1:14" x14ac:dyDescent="0.3">
      <c r="A6662" s="1">
        <v>45089</v>
      </c>
      <c r="B6662" t="s">
        <v>64</v>
      </c>
      <c r="C6662" t="s">
        <v>43</v>
      </c>
      <c r="D6662" s="8"/>
      <c r="E6662" s="8"/>
      <c r="M6662" t="s">
        <v>478</v>
      </c>
      <c r="N6662" t="str">
        <f>Tabela_tudo[[#This Row],[Médico]]&amp;" ("&amp;Tabela_tudo[[#This Row],[Obs]]&amp;")"</f>
        <v>SAR ()</v>
      </c>
    </row>
    <row r="6663" spans="1:14" x14ac:dyDescent="0.3">
      <c r="A6663" s="1">
        <v>45089</v>
      </c>
      <c r="B6663" t="s">
        <v>44</v>
      </c>
      <c r="C6663" t="s">
        <v>45</v>
      </c>
      <c r="D6663" s="8"/>
      <c r="E6663" s="8"/>
      <c r="M6663" t="s">
        <v>478</v>
      </c>
      <c r="N6663" t="str">
        <f>Tabela_tudo[[#This Row],[Médico]]&amp;" ("&amp;Tabela_tudo[[#This Row],[Obs]]&amp;")"</f>
        <v>REI ()</v>
      </c>
    </row>
    <row r="6664" spans="1:14" x14ac:dyDescent="0.3">
      <c r="A6664" s="1">
        <v>45089</v>
      </c>
      <c r="B6664" t="s">
        <v>21</v>
      </c>
      <c r="C6664" t="s">
        <v>46</v>
      </c>
      <c r="D6664" s="8"/>
      <c r="E6664" s="8"/>
      <c r="M6664" t="s">
        <v>478</v>
      </c>
      <c r="N6664" t="str">
        <f>Tabela_tudo[[#This Row],[Médico]]&amp;" ("&amp;Tabela_tudo[[#This Row],[Obs]]&amp;")"</f>
        <v>RA ()</v>
      </c>
    </row>
    <row r="6665" spans="1:14" x14ac:dyDescent="0.3">
      <c r="A6665" s="1">
        <v>45090</v>
      </c>
      <c r="B6665" t="s">
        <v>23</v>
      </c>
      <c r="C6665" t="s">
        <v>22</v>
      </c>
      <c r="D6665" s="8">
        <v>0.54166666666666663</v>
      </c>
      <c r="E6665" s="8">
        <v>0.79166666666666663</v>
      </c>
      <c r="M6665" t="s">
        <v>478</v>
      </c>
      <c r="N6665" t="str">
        <f>Tabela_tudo[[#This Row],[Médico]]&amp;" ("&amp;Tabela_tudo[[#This Row],[Obs]]&amp;")"</f>
        <v>BG ()</v>
      </c>
    </row>
    <row r="6666" spans="1:14" x14ac:dyDescent="0.3">
      <c r="A6666" s="1">
        <v>45090</v>
      </c>
      <c r="B6666" t="s">
        <v>142</v>
      </c>
      <c r="C6666" t="s">
        <v>43</v>
      </c>
      <c r="D6666" s="8"/>
      <c r="E6666" s="8"/>
      <c r="M6666" t="s">
        <v>478</v>
      </c>
      <c r="N6666" t="str">
        <f>Tabela_tudo[[#This Row],[Médico]]&amp;" ("&amp;Tabela_tudo[[#This Row],[Obs]]&amp;")"</f>
        <v>VIV ()</v>
      </c>
    </row>
    <row r="6667" spans="1:14" x14ac:dyDescent="0.3">
      <c r="A6667" s="1">
        <v>45090</v>
      </c>
      <c r="B6667" t="s">
        <v>23</v>
      </c>
      <c r="C6667" t="s">
        <v>45</v>
      </c>
      <c r="D6667" s="8"/>
      <c r="E6667" s="8"/>
      <c r="M6667" t="s">
        <v>478</v>
      </c>
      <c r="N6667" t="str">
        <f>Tabela_tudo[[#This Row],[Médico]]&amp;" ("&amp;Tabela_tudo[[#This Row],[Obs]]&amp;")"</f>
        <v>BG ()</v>
      </c>
    </row>
    <row r="6668" spans="1:14" x14ac:dyDescent="0.3">
      <c r="A6668" s="1">
        <v>45090</v>
      </c>
      <c r="B6668" t="s">
        <v>29</v>
      </c>
      <c r="C6668" t="s">
        <v>30</v>
      </c>
      <c r="D6668" s="8"/>
      <c r="E6668" s="8"/>
      <c r="M6668" t="s">
        <v>478</v>
      </c>
      <c r="N6668" t="str">
        <f>Tabela_tudo[[#This Row],[Médico]]&amp;" ("&amp;Tabela_tudo[[#This Row],[Obs]]&amp;")"</f>
        <v>JOA ()</v>
      </c>
    </row>
    <row r="6669" spans="1:14" x14ac:dyDescent="0.3">
      <c r="A6669" s="1">
        <v>45090</v>
      </c>
      <c r="B6669" t="s">
        <v>48</v>
      </c>
      <c r="C6669" t="s">
        <v>15</v>
      </c>
      <c r="D6669" s="8"/>
      <c r="E6669" s="8"/>
      <c r="M6669" t="s">
        <v>478</v>
      </c>
      <c r="N6669" t="str">
        <f>Tabela_tudo[[#This Row],[Médico]]&amp;" ("&amp;Tabela_tudo[[#This Row],[Obs]]&amp;")"</f>
        <v>MAF ()</v>
      </c>
    </row>
    <row r="6670" spans="1:14" x14ac:dyDescent="0.3">
      <c r="A6670" s="1">
        <v>45090</v>
      </c>
      <c r="B6670" t="s">
        <v>72</v>
      </c>
      <c r="C6670" t="s">
        <v>8</v>
      </c>
      <c r="D6670" s="8"/>
      <c r="E6670" s="8"/>
      <c r="M6670" t="s">
        <v>478</v>
      </c>
      <c r="N6670" t="str">
        <f>Tabela_tudo[[#This Row],[Médico]]&amp;" ("&amp;Tabela_tudo[[#This Row],[Obs]]&amp;")"</f>
        <v>GRA ()</v>
      </c>
    </row>
    <row r="6671" spans="1:14" x14ac:dyDescent="0.3">
      <c r="A6671" s="1">
        <v>45090</v>
      </c>
      <c r="B6671" t="s">
        <v>7</v>
      </c>
      <c r="C6671" t="s">
        <v>30</v>
      </c>
      <c r="D6671" s="8"/>
      <c r="E6671" s="8"/>
      <c r="M6671" t="s">
        <v>478</v>
      </c>
      <c r="N6671" t="str">
        <f>Tabela_tudo[[#This Row],[Médico]]&amp;" ("&amp;Tabela_tudo[[#This Row],[Obs]]&amp;")"</f>
        <v>ARI ()</v>
      </c>
    </row>
    <row r="6672" spans="1:14" x14ac:dyDescent="0.3">
      <c r="A6672" s="1">
        <v>45093</v>
      </c>
      <c r="B6672" t="s">
        <v>37</v>
      </c>
      <c r="C6672" t="s">
        <v>43</v>
      </c>
      <c r="D6672" s="8"/>
      <c r="E6672" s="8"/>
      <c r="M6672" t="s">
        <v>478</v>
      </c>
      <c r="N6672" t="str">
        <f>Tabela_tudo[[#This Row],[Médico]]&amp;" ("&amp;Tabela_tudo[[#This Row],[Obs]]&amp;")"</f>
        <v>EBB ()</v>
      </c>
    </row>
    <row r="6673" spans="1:14" x14ac:dyDescent="0.3">
      <c r="A6673" s="1">
        <v>45093</v>
      </c>
      <c r="B6673" t="s">
        <v>52</v>
      </c>
      <c r="C6673" t="s">
        <v>45</v>
      </c>
      <c r="D6673" s="8"/>
      <c r="E6673" s="8"/>
      <c r="M6673" t="s">
        <v>478</v>
      </c>
      <c r="N6673" t="str">
        <f>Tabela_tudo[[#This Row],[Médico]]&amp;" ("&amp;Tabela_tudo[[#This Row],[Obs]]&amp;")"</f>
        <v>AEL ()</v>
      </c>
    </row>
    <row r="6674" spans="1:14" x14ac:dyDescent="0.3">
      <c r="A6674" s="1">
        <v>45093</v>
      </c>
      <c r="B6674" t="s">
        <v>14</v>
      </c>
      <c r="C6674" t="s">
        <v>46</v>
      </c>
      <c r="D6674" s="8"/>
      <c r="E6674" s="8"/>
      <c r="M6674" t="s">
        <v>478</v>
      </c>
      <c r="N6674" t="str">
        <f>Tabela_tudo[[#This Row],[Médico]]&amp;" ("&amp;Tabela_tudo[[#This Row],[Obs]]&amp;")"</f>
        <v>PW ()</v>
      </c>
    </row>
    <row r="6675" spans="1:14" x14ac:dyDescent="0.3">
      <c r="A6675" s="1">
        <v>45093</v>
      </c>
      <c r="B6675" t="s">
        <v>75</v>
      </c>
      <c r="C6675" t="s">
        <v>30</v>
      </c>
      <c r="D6675" s="8"/>
      <c r="E6675" s="8"/>
      <c r="M6675" t="s">
        <v>478</v>
      </c>
      <c r="N6675" t="str">
        <f>Tabela_tudo[[#This Row],[Médico]]&amp;" ("&amp;Tabela_tudo[[#This Row],[Obs]]&amp;")"</f>
        <v>KOP ()</v>
      </c>
    </row>
    <row r="6676" spans="1:14" x14ac:dyDescent="0.3">
      <c r="A6676" s="1">
        <v>45093</v>
      </c>
      <c r="B6676" t="s">
        <v>94</v>
      </c>
      <c r="C6676" t="s">
        <v>8</v>
      </c>
      <c r="D6676" s="8"/>
      <c r="E6676" s="8"/>
      <c r="M6676" t="s">
        <v>478</v>
      </c>
      <c r="N6676" t="str">
        <f>Tabela_tudo[[#This Row],[Médico]]&amp;" ("&amp;Tabela_tudo[[#This Row],[Obs]]&amp;")"</f>
        <v>TOT ()</v>
      </c>
    </row>
    <row r="6677" spans="1:14" x14ac:dyDescent="0.3">
      <c r="A6677" s="1">
        <v>45093</v>
      </c>
      <c r="B6677" t="s">
        <v>7</v>
      </c>
      <c r="C6677" t="s">
        <v>30</v>
      </c>
      <c r="D6677" s="8"/>
      <c r="E6677" s="8"/>
      <c r="M6677" t="s">
        <v>478</v>
      </c>
      <c r="N6677" t="str">
        <f>Tabela_tudo[[#This Row],[Médico]]&amp;" ("&amp;Tabela_tudo[[#This Row],[Obs]]&amp;")"</f>
        <v>ARI ()</v>
      </c>
    </row>
    <row r="6678" spans="1:14" x14ac:dyDescent="0.3">
      <c r="A6678" s="1">
        <v>45093</v>
      </c>
      <c r="B6678" t="s">
        <v>29</v>
      </c>
      <c r="C6678" t="s">
        <v>30</v>
      </c>
      <c r="D6678" s="8"/>
      <c r="E6678" s="8"/>
      <c r="M6678" t="s">
        <v>478</v>
      </c>
      <c r="N6678" t="str">
        <f>Tabela_tudo[[#This Row],[Médico]]&amp;" ("&amp;Tabela_tudo[[#This Row],[Obs]]&amp;")"</f>
        <v>JOA ()</v>
      </c>
    </row>
    <row r="6679" spans="1:14" x14ac:dyDescent="0.3">
      <c r="A6679" s="1">
        <v>45094</v>
      </c>
      <c r="B6679" t="s">
        <v>85</v>
      </c>
      <c r="C6679" t="s">
        <v>8</v>
      </c>
      <c r="D6679" s="8"/>
      <c r="E6679" s="8"/>
      <c r="M6679" t="s">
        <v>478</v>
      </c>
      <c r="N6679" t="str">
        <f>Tabela_tudo[[#This Row],[Médico]]&amp;" ("&amp;Tabela_tudo[[#This Row],[Obs]]&amp;")"</f>
        <v>ELF ()</v>
      </c>
    </row>
    <row r="6680" spans="1:14" x14ac:dyDescent="0.3">
      <c r="A6680" s="1">
        <v>45094</v>
      </c>
      <c r="B6680" t="s">
        <v>34</v>
      </c>
      <c r="C6680" t="s">
        <v>78</v>
      </c>
      <c r="D6680" s="8"/>
      <c r="E6680" s="8"/>
      <c r="M6680" t="s">
        <v>478</v>
      </c>
      <c r="N6680" t="str">
        <f>Tabela_tudo[[#This Row],[Médico]]&amp;" ("&amp;Tabela_tudo[[#This Row],[Obs]]&amp;")"</f>
        <v>LIP ()</v>
      </c>
    </row>
    <row r="6681" spans="1:14" x14ac:dyDescent="0.3">
      <c r="A6681" s="1">
        <v>45095</v>
      </c>
      <c r="B6681" t="s">
        <v>34</v>
      </c>
      <c r="C6681" t="s">
        <v>13</v>
      </c>
      <c r="D6681" s="8"/>
      <c r="E6681" s="8"/>
      <c r="M6681" t="s">
        <v>478</v>
      </c>
      <c r="N6681" t="str">
        <f>Tabela_tudo[[#This Row],[Médico]]&amp;" ("&amp;Tabela_tudo[[#This Row],[Obs]]&amp;")"</f>
        <v>LIP ()</v>
      </c>
    </row>
    <row r="6682" spans="1:14" x14ac:dyDescent="0.3">
      <c r="A6682" s="1">
        <v>45094</v>
      </c>
      <c r="B6682" t="s">
        <v>142</v>
      </c>
      <c r="C6682" t="s">
        <v>13</v>
      </c>
      <c r="D6682" s="8"/>
      <c r="E6682" s="8"/>
      <c r="M6682" t="s">
        <v>478</v>
      </c>
      <c r="N6682" t="str">
        <f>Tabela_tudo[[#This Row],[Médico]]&amp;" ("&amp;Tabela_tudo[[#This Row],[Obs]]&amp;")"</f>
        <v>VIV ()</v>
      </c>
    </row>
    <row r="6683" spans="1:14" x14ac:dyDescent="0.3">
      <c r="A6683" s="1">
        <v>45093</v>
      </c>
      <c r="B6683" t="s">
        <v>47</v>
      </c>
      <c r="C6683" t="s">
        <v>18</v>
      </c>
      <c r="D6683" s="8"/>
      <c r="E6683" s="8"/>
      <c r="M6683" t="s">
        <v>478</v>
      </c>
      <c r="N6683" t="str">
        <f>Tabela_tudo[[#This Row],[Médico]]&amp;" ("&amp;Tabela_tudo[[#This Row],[Obs]]&amp;")"</f>
        <v>VIN ()</v>
      </c>
    </row>
    <row r="6684" spans="1:14" x14ac:dyDescent="0.3">
      <c r="A6684" s="1">
        <v>45093</v>
      </c>
      <c r="B6684" t="s">
        <v>48</v>
      </c>
      <c r="C6684" t="s">
        <v>49</v>
      </c>
      <c r="D6684" s="8"/>
      <c r="E6684" s="8"/>
      <c r="M6684" t="s">
        <v>478</v>
      </c>
      <c r="N6684" t="str">
        <f>Tabela_tudo[[#This Row],[Médico]]&amp;" ("&amp;Tabela_tudo[[#This Row],[Obs]]&amp;")"</f>
        <v>MAF ()</v>
      </c>
    </row>
    <row r="6685" spans="1:14" x14ac:dyDescent="0.3">
      <c r="A6685" s="1">
        <v>45093</v>
      </c>
      <c r="B6685" t="s">
        <v>17</v>
      </c>
      <c r="C6685" t="s">
        <v>51</v>
      </c>
      <c r="D6685" s="8"/>
      <c r="E6685" s="8"/>
      <c r="M6685" t="s">
        <v>478</v>
      </c>
      <c r="N6685" t="str">
        <f>Tabela_tudo[[#This Row],[Médico]]&amp;" ("&amp;Tabela_tudo[[#This Row],[Obs]]&amp;")"</f>
        <v>FAB ()</v>
      </c>
    </row>
    <row r="6686" spans="1:14" x14ac:dyDescent="0.3">
      <c r="A6686" s="1">
        <v>45093</v>
      </c>
      <c r="B6686" t="s">
        <v>47</v>
      </c>
      <c r="C6686" t="s">
        <v>15</v>
      </c>
      <c r="D6686" s="8"/>
      <c r="E6686" s="8"/>
      <c r="M6686" t="s">
        <v>478</v>
      </c>
      <c r="N6686" t="str">
        <f>Tabela_tudo[[#This Row],[Médico]]&amp;" ("&amp;Tabela_tudo[[#This Row],[Obs]]&amp;")"</f>
        <v>VIN ()</v>
      </c>
    </row>
    <row r="6687" spans="1:14" x14ac:dyDescent="0.3">
      <c r="A6687" s="1">
        <v>45092</v>
      </c>
      <c r="B6687" t="s">
        <v>7</v>
      </c>
      <c r="C6687" t="s">
        <v>30</v>
      </c>
      <c r="D6687" s="8"/>
      <c r="E6687" s="8"/>
      <c r="M6687" t="s">
        <v>478</v>
      </c>
      <c r="N6687" t="str">
        <f>Tabela_tudo[[#This Row],[Médico]]&amp;" ("&amp;Tabela_tudo[[#This Row],[Obs]]&amp;")"</f>
        <v>ARI ()</v>
      </c>
    </row>
    <row r="6688" spans="1:14" x14ac:dyDescent="0.3">
      <c r="A6688" s="1">
        <v>45092</v>
      </c>
      <c r="B6688" t="s">
        <v>29</v>
      </c>
      <c r="C6688" t="s">
        <v>30</v>
      </c>
      <c r="D6688" s="8"/>
      <c r="E6688" s="8"/>
      <c r="M6688" t="s">
        <v>478</v>
      </c>
      <c r="N6688" t="str">
        <f>Tabela_tudo[[#This Row],[Médico]]&amp;" ("&amp;Tabela_tudo[[#This Row],[Obs]]&amp;")"</f>
        <v>JOA ()</v>
      </c>
    </row>
    <row r="6689" spans="1:14" x14ac:dyDescent="0.3">
      <c r="A6689" s="1">
        <v>45092</v>
      </c>
      <c r="B6689" t="s">
        <v>20</v>
      </c>
      <c r="C6689" t="s">
        <v>30</v>
      </c>
      <c r="D6689" s="8"/>
      <c r="E6689" s="8"/>
      <c r="M6689" t="s">
        <v>478</v>
      </c>
      <c r="N6689" t="str">
        <f>Tabela_tudo[[#This Row],[Médico]]&amp;" ("&amp;Tabela_tudo[[#This Row],[Obs]]&amp;")"</f>
        <v>ROB ()</v>
      </c>
    </row>
    <row r="6690" spans="1:14" x14ac:dyDescent="0.3">
      <c r="A6690" s="1">
        <v>45092</v>
      </c>
      <c r="B6690" t="s">
        <v>84</v>
      </c>
      <c r="C6690" t="s">
        <v>8</v>
      </c>
      <c r="D6690" s="8"/>
      <c r="E6690" s="8"/>
      <c r="M6690" t="s">
        <v>478</v>
      </c>
      <c r="N6690" t="str">
        <f>Tabela_tudo[[#This Row],[Médico]]&amp;" ("&amp;Tabela_tudo[[#This Row],[Obs]]&amp;")"</f>
        <v>ANO ()</v>
      </c>
    </row>
    <row r="6691" spans="1:14" x14ac:dyDescent="0.3">
      <c r="A6691" s="1">
        <v>45091</v>
      </c>
      <c r="B6691" t="s">
        <v>73</v>
      </c>
      <c r="C6691" t="s">
        <v>51</v>
      </c>
      <c r="D6691" s="8"/>
      <c r="E6691" s="8"/>
      <c r="M6691" t="s">
        <v>478</v>
      </c>
      <c r="N6691" t="str">
        <f>Tabela_tudo[[#This Row],[Médico]]&amp;" ("&amp;Tabela_tudo[[#This Row],[Obs]]&amp;")"</f>
        <v>RT ()</v>
      </c>
    </row>
    <row r="6692" spans="1:14" x14ac:dyDescent="0.3">
      <c r="A6692" s="1">
        <v>45092</v>
      </c>
      <c r="B6692" t="s">
        <v>94</v>
      </c>
      <c r="C6692" t="s">
        <v>13</v>
      </c>
      <c r="D6692" s="8"/>
      <c r="E6692" s="8"/>
      <c r="M6692" t="s">
        <v>478</v>
      </c>
      <c r="N6692" t="str">
        <f>Tabela_tudo[[#This Row],[Médico]]&amp;" ("&amp;Tabela_tudo[[#This Row],[Obs]]&amp;")"</f>
        <v>TOT ()</v>
      </c>
    </row>
    <row r="6693" spans="1:14" x14ac:dyDescent="0.3">
      <c r="A6693" s="1">
        <v>45092</v>
      </c>
      <c r="B6693" t="s">
        <v>68</v>
      </c>
      <c r="C6693" t="s">
        <v>15</v>
      </c>
      <c r="D6693" s="8"/>
      <c r="E6693" s="8"/>
      <c r="M6693" t="s">
        <v>478</v>
      </c>
      <c r="N6693" t="str">
        <f>Tabela_tudo[[#This Row],[Médico]]&amp;" ("&amp;Tabela_tudo[[#This Row],[Obs]]&amp;")"</f>
        <v>PED ()</v>
      </c>
    </row>
    <row r="6694" spans="1:14" x14ac:dyDescent="0.3">
      <c r="A6694" s="1">
        <v>45092</v>
      </c>
      <c r="B6694" t="s">
        <v>85</v>
      </c>
      <c r="C6694" t="s">
        <v>49</v>
      </c>
      <c r="D6694" s="8"/>
      <c r="E6694" s="8"/>
      <c r="M6694" t="s">
        <v>478</v>
      </c>
      <c r="N6694" t="str">
        <f>Tabela_tudo[[#This Row],[Médico]]&amp;" ("&amp;Tabela_tudo[[#This Row],[Obs]]&amp;")"</f>
        <v>ELF ()</v>
      </c>
    </row>
    <row r="6695" spans="1:14" x14ac:dyDescent="0.3">
      <c r="A6695" s="1">
        <v>45092</v>
      </c>
      <c r="B6695" t="s">
        <v>34</v>
      </c>
      <c r="C6695" t="s">
        <v>51</v>
      </c>
      <c r="D6695" s="8"/>
      <c r="E6695" s="8"/>
      <c r="M6695" t="s">
        <v>478</v>
      </c>
      <c r="N6695" t="str">
        <f>Tabela_tudo[[#This Row],[Médico]]&amp;" ("&amp;Tabela_tudo[[#This Row],[Obs]]&amp;")"</f>
        <v>LIP ()</v>
      </c>
    </row>
    <row r="6696" spans="1:14" x14ac:dyDescent="0.3">
      <c r="A6696" s="1">
        <v>45093</v>
      </c>
      <c r="B6696" t="s">
        <v>72</v>
      </c>
      <c r="C6696" t="s">
        <v>13</v>
      </c>
      <c r="D6696" s="8"/>
      <c r="E6696" s="8"/>
      <c r="M6696" t="s">
        <v>478</v>
      </c>
      <c r="N6696" t="str">
        <f>Tabela_tudo[[#This Row],[Médico]]&amp;" ("&amp;Tabela_tudo[[#This Row],[Obs]]&amp;")"</f>
        <v>GRA ()</v>
      </c>
    </row>
    <row r="6697" spans="1:14" x14ac:dyDescent="0.3">
      <c r="A6697" s="1">
        <v>45092</v>
      </c>
      <c r="B6697" t="s">
        <v>63</v>
      </c>
      <c r="C6697" t="s">
        <v>18</v>
      </c>
      <c r="D6697" s="8"/>
      <c r="E6697" s="8"/>
      <c r="M6697" t="s">
        <v>478</v>
      </c>
      <c r="N6697" t="str">
        <f>Tabela_tudo[[#This Row],[Médico]]&amp;" ("&amp;Tabela_tudo[[#This Row],[Obs]]&amp;")"</f>
        <v>FQ ()</v>
      </c>
    </row>
    <row r="6698" spans="1:14" x14ac:dyDescent="0.3">
      <c r="A6698" s="1">
        <v>45092</v>
      </c>
      <c r="B6698" t="s">
        <v>12</v>
      </c>
      <c r="C6698" t="s">
        <v>43</v>
      </c>
      <c r="D6698" s="8"/>
      <c r="E6698" s="8"/>
      <c r="M6698" t="s">
        <v>478</v>
      </c>
      <c r="N6698" t="str">
        <f>Tabela_tudo[[#This Row],[Médico]]&amp;" ("&amp;Tabela_tudo[[#This Row],[Obs]]&amp;")"</f>
        <v>EDU ()</v>
      </c>
    </row>
    <row r="6699" spans="1:14" x14ac:dyDescent="0.3">
      <c r="A6699" s="1">
        <v>45092</v>
      </c>
      <c r="B6699" t="s">
        <v>52</v>
      </c>
      <c r="C6699" t="s">
        <v>45</v>
      </c>
      <c r="D6699" s="8"/>
      <c r="E6699" s="8"/>
      <c r="M6699" t="s">
        <v>478</v>
      </c>
      <c r="N6699" t="str">
        <f>Tabela_tudo[[#This Row],[Médico]]&amp;" ("&amp;Tabela_tudo[[#This Row],[Obs]]&amp;")"</f>
        <v>AEL ()</v>
      </c>
    </row>
    <row r="6700" spans="1:14" x14ac:dyDescent="0.3">
      <c r="A6700" s="1">
        <v>45092</v>
      </c>
      <c r="B6700" t="s">
        <v>14</v>
      </c>
      <c r="C6700" t="s">
        <v>46</v>
      </c>
      <c r="D6700" s="8"/>
      <c r="E6700" s="8"/>
      <c r="M6700" t="s">
        <v>478</v>
      </c>
      <c r="N6700" t="str">
        <f>Tabela_tudo[[#This Row],[Médico]]&amp;" ("&amp;Tabela_tudo[[#This Row],[Obs]]&amp;")"</f>
        <v>PW ()</v>
      </c>
    </row>
    <row r="6701" spans="1:14" x14ac:dyDescent="0.3">
      <c r="A6701" s="1">
        <v>45089</v>
      </c>
      <c r="B6701" t="s">
        <v>29</v>
      </c>
      <c r="C6701" t="s">
        <v>30</v>
      </c>
      <c r="D6701" s="8"/>
      <c r="E6701" s="8"/>
      <c r="M6701" t="s">
        <v>478</v>
      </c>
      <c r="N6701" t="str">
        <f>Tabela_tudo[[#This Row],[Médico]]&amp;" ("&amp;Tabela_tudo[[#This Row],[Obs]]&amp;")"</f>
        <v>JOA ()</v>
      </c>
    </row>
    <row r="6702" spans="1:14" x14ac:dyDescent="0.3">
      <c r="A6702" s="1">
        <v>45076</v>
      </c>
      <c r="B6702" t="s">
        <v>75</v>
      </c>
      <c r="C6702" t="s">
        <v>15</v>
      </c>
      <c r="D6702" s="8"/>
      <c r="E6702" s="8"/>
      <c r="M6702" t="s">
        <v>478</v>
      </c>
      <c r="N6702" t="str">
        <f>Tabela_tudo[[#This Row],[Médico]]&amp;" ("&amp;Tabela_tudo[[#This Row],[Obs]]&amp;")"</f>
        <v>KOP ()</v>
      </c>
    </row>
    <row r="6703" spans="1:14" x14ac:dyDescent="0.3">
      <c r="A6703" s="1">
        <v>45076</v>
      </c>
      <c r="B6703" t="s">
        <v>85</v>
      </c>
      <c r="C6703" t="s">
        <v>8</v>
      </c>
      <c r="D6703" s="8"/>
      <c r="E6703" s="8"/>
      <c r="M6703" t="s">
        <v>478</v>
      </c>
      <c r="N6703" t="str">
        <f>Tabela_tudo[[#This Row],[Médico]]&amp;" ("&amp;Tabela_tudo[[#This Row],[Obs]]&amp;")"</f>
        <v>ELF ()</v>
      </c>
    </row>
    <row r="6704" spans="1:14" x14ac:dyDescent="0.3">
      <c r="A6704" s="1">
        <v>45076</v>
      </c>
      <c r="B6704" t="s">
        <v>12</v>
      </c>
      <c r="C6704" t="s">
        <v>43</v>
      </c>
      <c r="D6704" s="8"/>
      <c r="E6704" s="8"/>
      <c r="M6704" t="s">
        <v>478</v>
      </c>
      <c r="N6704" t="str">
        <f>Tabela_tudo[[#This Row],[Médico]]&amp;" ("&amp;Tabela_tudo[[#This Row],[Obs]]&amp;")"</f>
        <v>EDU ()</v>
      </c>
    </row>
    <row r="6705" spans="1:14" x14ac:dyDescent="0.3">
      <c r="A6705" s="1">
        <v>45076</v>
      </c>
      <c r="B6705" t="s">
        <v>52</v>
      </c>
      <c r="C6705" t="s">
        <v>13</v>
      </c>
      <c r="D6705" s="8"/>
      <c r="E6705" s="8"/>
      <c r="M6705" t="s">
        <v>478</v>
      </c>
      <c r="N6705" t="str">
        <f>Tabela_tudo[[#This Row],[Médico]]&amp;" ("&amp;Tabela_tudo[[#This Row],[Obs]]&amp;")"</f>
        <v>AEL ()</v>
      </c>
    </row>
    <row r="6706" spans="1:14" x14ac:dyDescent="0.3">
      <c r="A6706" s="1">
        <v>45083</v>
      </c>
      <c r="B6706" t="s">
        <v>71</v>
      </c>
      <c r="C6706" t="s">
        <v>49</v>
      </c>
      <c r="D6706" s="8"/>
      <c r="E6706" s="8"/>
      <c r="M6706" t="s">
        <v>478</v>
      </c>
      <c r="N6706" t="str">
        <f>Tabela_tudo[[#This Row],[Médico]]&amp;" ("&amp;Tabela_tudo[[#This Row],[Obs]]&amp;")"</f>
        <v>BRU ()</v>
      </c>
    </row>
    <row r="6707" spans="1:14" x14ac:dyDescent="0.3">
      <c r="A6707" s="1">
        <v>45083</v>
      </c>
      <c r="B6707" t="s">
        <v>75</v>
      </c>
      <c r="C6707" t="s">
        <v>51</v>
      </c>
      <c r="D6707" s="8"/>
      <c r="E6707" s="8"/>
      <c r="M6707" t="s">
        <v>478</v>
      </c>
      <c r="N6707" t="str">
        <f>Tabela_tudo[[#This Row],[Médico]]&amp;" ("&amp;Tabela_tudo[[#This Row],[Obs]]&amp;")"</f>
        <v>KOP ()</v>
      </c>
    </row>
    <row r="6708" spans="1:14" x14ac:dyDescent="0.3">
      <c r="A6708" s="1">
        <v>45083</v>
      </c>
      <c r="B6708" t="s">
        <v>25</v>
      </c>
      <c r="C6708" t="s">
        <v>124</v>
      </c>
      <c r="D6708" s="8">
        <v>0.83333333333333337</v>
      </c>
      <c r="E6708" s="8">
        <v>0.91666666666666663</v>
      </c>
      <c r="F6708" t="s">
        <v>125</v>
      </c>
      <c r="K6708" t="s">
        <v>565</v>
      </c>
      <c r="M6708" t="s">
        <v>478</v>
      </c>
      <c r="N6708" t="str">
        <f>Tabela_tudo[[#This Row],[Médico]]&amp;" ("&amp;Tabela_tudo[[#This Row],[Obs]]&amp;")"</f>
        <v>HEN (8° FORUM MORTALIDADE )</v>
      </c>
    </row>
    <row r="6709" spans="1:14" x14ac:dyDescent="0.3">
      <c r="A6709" s="1">
        <v>45076</v>
      </c>
      <c r="B6709" t="s">
        <v>75</v>
      </c>
      <c r="C6709" t="s">
        <v>51</v>
      </c>
      <c r="D6709" s="8"/>
      <c r="E6709" s="8"/>
      <c r="M6709" t="s">
        <v>478</v>
      </c>
      <c r="N6709" t="str">
        <f>Tabela_tudo[[#This Row],[Médico]]&amp;" ("&amp;Tabela_tudo[[#This Row],[Obs]]&amp;")"</f>
        <v>KOP ()</v>
      </c>
    </row>
    <row r="6710" spans="1:14" x14ac:dyDescent="0.3">
      <c r="A6710" s="1">
        <v>45084</v>
      </c>
      <c r="B6710" t="s">
        <v>50</v>
      </c>
      <c r="C6710" t="s">
        <v>13</v>
      </c>
      <c r="D6710" s="8"/>
      <c r="E6710" s="8"/>
      <c r="M6710" t="s">
        <v>478</v>
      </c>
      <c r="N6710" t="str">
        <f>Tabela_tudo[[#This Row],[Médico]]&amp;" ("&amp;Tabela_tudo[[#This Row],[Obs]]&amp;")"</f>
        <v>PJP ()</v>
      </c>
    </row>
    <row r="6711" spans="1:14" x14ac:dyDescent="0.3">
      <c r="A6711" s="1">
        <v>45084</v>
      </c>
      <c r="B6711" t="s">
        <v>37</v>
      </c>
      <c r="C6711" t="s">
        <v>15</v>
      </c>
      <c r="D6711" s="8"/>
      <c r="E6711" s="8"/>
      <c r="M6711" t="s">
        <v>478</v>
      </c>
      <c r="N6711" t="str">
        <f>Tabela_tudo[[#This Row],[Médico]]&amp;" ("&amp;Tabela_tudo[[#This Row],[Obs]]&amp;")"</f>
        <v>EBB ()</v>
      </c>
    </row>
    <row r="6712" spans="1:14" x14ac:dyDescent="0.3">
      <c r="A6712" s="1">
        <v>45076</v>
      </c>
      <c r="B6712" t="s">
        <v>85</v>
      </c>
      <c r="C6712" t="s">
        <v>49</v>
      </c>
      <c r="D6712" s="8"/>
      <c r="E6712" s="8"/>
      <c r="M6712" t="s">
        <v>478</v>
      </c>
      <c r="N6712" t="str">
        <f>Tabela_tudo[[#This Row],[Médico]]&amp;" ("&amp;Tabela_tudo[[#This Row],[Obs]]&amp;")"</f>
        <v>ELF ()</v>
      </c>
    </row>
    <row r="6713" spans="1:14" x14ac:dyDescent="0.3">
      <c r="A6713" s="1">
        <v>45076</v>
      </c>
      <c r="B6713" t="s">
        <v>23</v>
      </c>
      <c r="C6713" t="s">
        <v>45</v>
      </c>
      <c r="D6713" s="8"/>
      <c r="E6713" s="8"/>
      <c r="M6713" t="s">
        <v>478</v>
      </c>
      <c r="N6713" t="str">
        <f>Tabela_tudo[[#This Row],[Médico]]&amp;" ("&amp;Tabela_tudo[[#This Row],[Obs]]&amp;")"</f>
        <v>BG ()</v>
      </c>
    </row>
    <row r="6714" spans="1:14" x14ac:dyDescent="0.3">
      <c r="A6714" s="1">
        <v>45076</v>
      </c>
      <c r="B6714" t="s">
        <v>16</v>
      </c>
      <c r="C6714" t="s">
        <v>46</v>
      </c>
      <c r="D6714" s="8"/>
      <c r="E6714" s="8"/>
      <c r="M6714" t="s">
        <v>478</v>
      </c>
      <c r="N6714" t="str">
        <f>Tabela_tudo[[#This Row],[Médico]]&amp;" ("&amp;Tabela_tudo[[#This Row],[Obs]]&amp;")"</f>
        <v>PP ()</v>
      </c>
    </row>
    <row r="6715" spans="1:14" x14ac:dyDescent="0.3">
      <c r="A6715" s="1">
        <v>45076</v>
      </c>
      <c r="B6715" t="s">
        <v>63</v>
      </c>
      <c r="C6715" t="s">
        <v>18</v>
      </c>
      <c r="D6715" s="8"/>
      <c r="E6715" s="8"/>
      <c r="M6715" t="s">
        <v>478</v>
      </c>
      <c r="N6715" t="str">
        <f>Tabela_tudo[[#This Row],[Médico]]&amp;" ("&amp;Tabela_tudo[[#This Row],[Obs]]&amp;")"</f>
        <v>FQ ()</v>
      </c>
    </row>
    <row r="6716" spans="1:14" x14ac:dyDescent="0.3">
      <c r="A6716" s="1">
        <v>45083</v>
      </c>
      <c r="B6716" t="s">
        <v>47</v>
      </c>
      <c r="C6716" t="s">
        <v>18</v>
      </c>
      <c r="D6716" s="8"/>
      <c r="E6716" s="8"/>
      <c r="M6716" t="s">
        <v>478</v>
      </c>
      <c r="N6716" t="str">
        <f>Tabela_tudo[[#This Row],[Médico]]&amp;" ("&amp;Tabela_tudo[[#This Row],[Obs]]&amp;")"</f>
        <v>VIN ()</v>
      </c>
    </row>
    <row r="6717" spans="1:14" x14ac:dyDescent="0.3">
      <c r="A6717" s="1">
        <v>45082</v>
      </c>
      <c r="B6717" t="s">
        <v>21</v>
      </c>
      <c r="C6717" t="s">
        <v>46</v>
      </c>
      <c r="D6717" s="8"/>
      <c r="E6717" s="8"/>
      <c r="M6717" t="s">
        <v>478</v>
      </c>
      <c r="N6717" t="str">
        <f>Tabela_tudo[[#This Row],[Médico]]&amp;" ("&amp;Tabela_tudo[[#This Row],[Obs]]&amp;")"</f>
        <v>RA ()</v>
      </c>
    </row>
    <row r="6718" spans="1:14" x14ac:dyDescent="0.3">
      <c r="A6718" s="1">
        <v>45082</v>
      </c>
      <c r="B6718" t="s">
        <v>72</v>
      </c>
      <c r="C6718" t="s">
        <v>18</v>
      </c>
      <c r="D6718" s="8"/>
      <c r="E6718" s="8"/>
      <c r="M6718" t="s">
        <v>478</v>
      </c>
      <c r="N6718" t="str">
        <f>Tabela_tudo[[#This Row],[Médico]]&amp;" ("&amp;Tabela_tudo[[#This Row],[Obs]]&amp;")"</f>
        <v>GRA ()</v>
      </c>
    </row>
    <row r="6719" spans="1:14" x14ac:dyDescent="0.3">
      <c r="A6719" s="1">
        <v>45082</v>
      </c>
      <c r="B6719" t="s">
        <v>71</v>
      </c>
      <c r="C6719" t="s">
        <v>49</v>
      </c>
      <c r="D6719" s="8"/>
      <c r="E6719" s="8"/>
      <c r="M6719" t="s">
        <v>478</v>
      </c>
      <c r="N6719" t="str">
        <f>Tabela_tudo[[#This Row],[Médico]]&amp;" ("&amp;Tabela_tudo[[#This Row],[Obs]]&amp;")"</f>
        <v>BRU ()</v>
      </c>
    </row>
    <row r="6720" spans="1:14" x14ac:dyDescent="0.3">
      <c r="A6720" s="1">
        <v>45082</v>
      </c>
      <c r="B6720" t="s">
        <v>44</v>
      </c>
      <c r="C6720" t="s">
        <v>45</v>
      </c>
      <c r="D6720" s="8"/>
      <c r="E6720" s="8"/>
      <c r="M6720" t="s">
        <v>478</v>
      </c>
      <c r="N6720" t="str">
        <f>Tabela_tudo[[#This Row],[Médico]]&amp;" ("&amp;Tabela_tudo[[#This Row],[Obs]]&amp;")"</f>
        <v>REI ()</v>
      </c>
    </row>
    <row r="6721" spans="1:14" x14ac:dyDescent="0.3">
      <c r="A6721" s="1">
        <v>45082</v>
      </c>
      <c r="B6721" t="s">
        <v>68</v>
      </c>
      <c r="C6721" t="s">
        <v>15</v>
      </c>
      <c r="D6721" s="8"/>
      <c r="E6721" s="8"/>
      <c r="M6721" t="s">
        <v>478</v>
      </c>
      <c r="N6721" t="str">
        <f>Tabela_tudo[[#This Row],[Médico]]&amp;" ("&amp;Tabela_tudo[[#This Row],[Obs]]&amp;")"</f>
        <v>PED ()</v>
      </c>
    </row>
    <row r="6722" spans="1:14" x14ac:dyDescent="0.3">
      <c r="A6722" s="1">
        <v>45082</v>
      </c>
      <c r="B6722" t="s">
        <v>29</v>
      </c>
      <c r="C6722" t="s">
        <v>8</v>
      </c>
      <c r="D6722" s="8"/>
      <c r="E6722" s="8"/>
      <c r="M6722" t="s">
        <v>478</v>
      </c>
      <c r="N6722" t="str">
        <f>Tabela_tudo[[#This Row],[Médico]]&amp;" ("&amp;Tabela_tudo[[#This Row],[Obs]]&amp;")"</f>
        <v>JOA ()</v>
      </c>
    </row>
    <row r="6723" spans="1:14" x14ac:dyDescent="0.3">
      <c r="A6723" s="1">
        <v>45082</v>
      </c>
      <c r="B6723" t="s">
        <v>84</v>
      </c>
      <c r="C6723" t="s">
        <v>43</v>
      </c>
      <c r="D6723" s="8"/>
      <c r="E6723" s="8"/>
      <c r="M6723" t="s">
        <v>478</v>
      </c>
      <c r="N6723" t="str">
        <f>Tabela_tudo[[#This Row],[Médico]]&amp;" ("&amp;Tabela_tudo[[#This Row],[Obs]]&amp;")"</f>
        <v>ANO ()</v>
      </c>
    </row>
    <row r="6724" spans="1:14" x14ac:dyDescent="0.3">
      <c r="A6724" s="1">
        <v>45083</v>
      </c>
      <c r="B6724" t="s">
        <v>37</v>
      </c>
      <c r="C6724" t="s">
        <v>43</v>
      </c>
      <c r="D6724" s="8"/>
      <c r="E6724" s="8"/>
      <c r="M6724" t="s">
        <v>478</v>
      </c>
      <c r="N6724" t="str">
        <f>Tabela_tudo[[#This Row],[Médico]]&amp;" ("&amp;Tabela_tudo[[#This Row],[Obs]]&amp;")"</f>
        <v>EBB ()</v>
      </c>
    </row>
    <row r="6725" spans="1:14" x14ac:dyDescent="0.3">
      <c r="A6725" s="1">
        <v>45083</v>
      </c>
      <c r="B6725" t="s">
        <v>23</v>
      </c>
      <c r="C6725" t="s">
        <v>45</v>
      </c>
      <c r="D6725" s="8"/>
      <c r="E6725" s="8"/>
      <c r="M6725" t="s">
        <v>478</v>
      </c>
      <c r="N6725" t="str">
        <f>Tabela_tudo[[#This Row],[Médico]]&amp;" ("&amp;Tabela_tudo[[#This Row],[Obs]]&amp;")"</f>
        <v>BG ()</v>
      </c>
    </row>
    <row r="6726" spans="1:14" x14ac:dyDescent="0.3">
      <c r="A6726" s="1">
        <v>45083</v>
      </c>
      <c r="B6726" t="s">
        <v>16</v>
      </c>
      <c r="C6726" t="s">
        <v>46</v>
      </c>
      <c r="D6726" s="8"/>
      <c r="E6726" s="8"/>
      <c r="M6726" t="s">
        <v>478</v>
      </c>
      <c r="N6726" t="str">
        <f>Tabela_tudo[[#This Row],[Médico]]&amp;" ("&amp;Tabela_tudo[[#This Row],[Obs]]&amp;")"</f>
        <v>PP ()</v>
      </c>
    </row>
    <row r="6727" spans="1:14" x14ac:dyDescent="0.3">
      <c r="A6727" s="1">
        <v>45083</v>
      </c>
      <c r="B6727" t="s">
        <v>50</v>
      </c>
      <c r="C6727" t="s">
        <v>8</v>
      </c>
      <c r="D6727" s="8"/>
      <c r="E6727" s="8"/>
      <c r="M6727" t="s">
        <v>478</v>
      </c>
      <c r="N6727" t="str">
        <f>Tabela_tudo[[#This Row],[Médico]]&amp;" ("&amp;Tabela_tudo[[#This Row],[Obs]]&amp;")"</f>
        <v>PJP ()</v>
      </c>
    </row>
    <row r="6728" spans="1:14" x14ac:dyDescent="0.3">
      <c r="A6728" s="1">
        <v>45082</v>
      </c>
      <c r="B6728" t="s">
        <v>50</v>
      </c>
      <c r="C6728" t="s">
        <v>51</v>
      </c>
      <c r="D6728" s="8"/>
      <c r="E6728" s="8"/>
      <c r="M6728" t="s">
        <v>478</v>
      </c>
      <c r="N6728" t="str">
        <f>Tabela_tudo[[#This Row],[Médico]]&amp;" ("&amp;Tabela_tudo[[#This Row],[Obs]]&amp;")"</f>
        <v>PJP ()</v>
      </c>
    </row>
    <row r="6729" spans="1:14" x14ac:dyDescent="0.3">
      <c r="A6729" s="1">
        <v>45083</v>
      </c>
      <c r="B6729" t="s">
        <v>72</v>
      </c>
      <c r="C6729" t="s">
        <v>13</v>
      </c>
      <c r="D6729" s="8"/>
      <c r="E6729" s="8"/>
      <c r="M6729" t="s">
        <v>478</v>
      </c>
      <c r="N6729" t="str">
        <f>Tabela_tudo[[#This Row],[Médico]]&amp;" ("&amp;Tabela_tudo[[#This Row],[Obs]]&amp;")"</f>
        <v>GRA ()</v>
      </c>
    </row>
    <row r="6730" spans="1:14" x14ac:dyDescent="0.3">
      <c r="A6730" s="1">
        <v>45083</v>
      </c>
      <c r="B6730" t="s">
        <v>75</v>
      </c>
      <c r="C6730" t="s">
        <v>15</v>
      </c>
      <c r="D6730" s="8"/>
      <c r="E6730" s="8"/>
      <c r="M6730" t="s">
        <v>478</v>
      </c>
      <c r="N6730" t="str">
        <f>Tabela_tudo[[#This Row],[Médico]]&amp;" ("&amp;Tabela_tudo[[#This Row],[Obs]]&amp;")"</f>
        <v>KOP ()</v>
      </c>
    </row>
    <row r="6731" spans="1:14" x14ac:dyDescent="0.3">
      <c r="A6731" s="1">
        <v>45087</v>
      </c>
      <c r="B6731" t="s">
        <v>94</v>
      </c>
      <c r="C6731" t="s">
        <v>13</v>
      </c>
      <c r="D6731" s="8"/>
      <c r="E6731" s="8"/>
      <c r="M6731" t="s">
        <v>478</v>
      </c>
      <c r="N6731" t="str">
        <f>Tabela_tudo[[#This Row],[Médico]]&amp;" ("&amp;Tabela_tudo[[#This Row],[Obs]]&amp;")"</f>
        <v>TOT ()</v>
      </c>
    </row>
    <row r="6732" spans="1:14" x14ac:dyDescent="0.3">
      <c r="A6732" s="1">
        <v>45087</v>
      </c>
      <c r="B6732" t="s">
        <v>32</v>
      </c>
      <c r="C6732" t="s">
        <v>8</v>
      </c>
      <c r="D6732" s="8"/>
      <c r="E6732" s="8"/>
      <c r="M6732" t="s">
        <v>478</v>
      </c>
      <c r="N6732" t="str">
        <f>Tabela_tudo[[#This Row],[Médico]]&amp;" ("&amp;Tabela_tudo[[#This Row],[Obs]]&amp;")"</f>
        <v>JS ()</v>
      </c>
    </row>
    <row r="6733" spans="1:14" x14ac:dyDescent="0.3">
      <c r="A6733" s="1">
        <v>45087</v>
      </c>
      <c r="B6733" t="s">
        <v>72</v>
      </c>
      <c r="C6733" t="s">
        <v>78</v>
      </c>
      <c r="D6733" s="8"/>
      <c r="E6733" s="8"/>
      <c r="M6733" t="s">
        <v>478</v>
      </c>
      <c r="N6733" t="str">
        <f>Tabela_tudo[[#This Row],[Médico]]&amp;" ("&amp;Tabela_tudo[[#This Row],[Obs]]&amp;")"</f>
        <v>GRA ()</v>
      </c>
    </row>
    <row r="6734" spans="1:14" x14ac:dyDescent="0.3">
      <c r="A6734" s="1">
        <v>45086</v>
      </c>
      <c r="B6734" t="s">
        <v>17</v>
      </c>
      <c r="C6734" t="s">
        <v>51</v>
      </c>
      <c r="D6734" s="8"/>
      <c r="E6734" s="8"/>
      <c r="M6734" t="s">
        <v>478</v>
      </c>
      <c r="N6734" t="str">
        <f>Tabela_tudo[[#This Row],[Médico]]&amp;" ("&amp;Tabela_tudo[[#This Row],[Obs]]&amp;")"</f>
        <v>FAB ()</v>
      </c>
    </row>
    <row r="6735" spans="1:14" x14ac:dyDescent="0.3">
      <c r="A6735" s="1">
        <v>45086</v>
      </c>
      <c r="B6735" t="s">
        <v>68</v>
      </c>
      <c r="C6735" t="s">
        <v>46</v>
      </c>
      <c r="D6735" s="8"/>
      <c r="E6735" s="8"/>
      <c r="M6735" t="s">
        <v>478</v>
      </c>
      <c r="N6735" t="str">
        <f>Tabela_tudo[[#This Row],[Médico]]&amp;" ("&amp;Tabela_tudo[[#This Row],[Obs]]&amp;")"</f>
        <v>PED ()</v>
      </c>
    </row>
    <row r="6736" spans="1:14" x14ac:dyDescent="0.3">
      <c r="A6736" s="1">
        <v>45086</v>
      </c>
      <c r="B6736" t="s">
        <v>94</v>
      </c>
      <c r="C6736" t="s">
        <v>18</v>
      </c>
      <c r="D6736" s="8"/>
      <c r="E6736" s="8"/>
      <c r="M6736" t="s">
        <v>478</v>
      </c>
      <c r="N6736" t="str">
        <f>Tabela_tudo[[#This Row],[Médico]]&amp;" ("&amp;Tabela_tudo[[#This Row],[Obs]]&amp;")"</f>
        <v>TOT ()</v>
      </c>
    </row>
    <row r="6737" spans="1:14" x14ac:dyDescent="0.3">
      <c r="A6737" s="1">
        <v>45086</v>
      </c>
      <c r="B6737" t="s">
        <v>71</v>
      </c>
      <c r="C6737" t="s">
        <v>49</v>
      </c>
      <c r="D6737" s="8"/>
      <c r="E6737" s="8"/>
      <c r="M6737" t="s">
        <v>478</v>
      </c>
      <c r="N6737" t="str">
        <f>Tabela_tudo[[#This Row],[Médico]]&amp;" ("&amp;Tabela_tudo[[#This Row],[Obs]]&amp;")"</f>
        <v>BRU ()</v>
      </c>
    </row>
    <row r="6738" spans="1:14" x14ac:dyDescent="0.3">
      <c r="A6738" s="1">
        <v>45089</v>
      </c>
      <c r="B6738" t="s">
        <v>44</v>
      </c>
      <c r="C6738" t="s">
        <v>15</v>
      </c>
      <c r="D6738" s="8"/>
      <c r="E6738" s="8"/>
      <c r="M6738" t="s">
        <v>478</v>
      </c>
      <c r="N6738" t="str">
        <f>Tabela_tudo[[#This Row],[Médico]]&amp;" ("&amp;Tabela_tudo[[#This Row],[Obs]]&amp;")"</f>
        <v>REI ()</v>
      </c>
    </row>
    <row r="6739" spans="1:14" x14ac:dyDescent="0.3">
      <c r="A6739" s="1">
        <v>45089</v>
      </c>
      <c r="B6739" t="s">
        <v>34</v>
      </c>
      <c r="C6739" t="s">
        <v>8</v>
      </c>
      <c r="D6739" s="8"/>
      <c r="E6739" s="8"/>
      <c r="M6739" t="s">
        <v>478</v>
      </c>
      <c r="N6739" t="str">
        <f>Tabela_tudo[[#This Row],[Médico]]&amp;" ("&amp;Tabela_tudo[[#This Row],[Obs]]&amp;")"</f>
        <v>LIP ()</v>
      </c>
    </row>
    <row r="6740" spans="1:14" x14ac:dyDescent="0.3">
      <c r="A6740" s="1">
        <v>45089</v>
      </c>
      <c r="B6740" t="s">
        <v>7</v>
      </c>
      <c r="C6740" t="s">
        <v>30</v>
      </c>
      <c r="D6740" s="8"/>
      <c r="E6740" s="8"/>
      <c r="M6740" t="s">
        <v>478</v>
      </c>
      <c r="N6740" t="str">
        <f>Tabela_tudo[[#This Row],[Médico]]&amp;" ("&amp;Tabela_tudo[[#This Row],[Obs]]&amp;")"</f>
        <v>ARI ()</v>
      </c>
    </row>
    <row r="6741" spans="1:14" x14ac:dyDescent="0.3">
      <c r="A6741" s="1">
        <v>45089</v>
      </c>
      <c r="B6741" t="s">
        <v>50</v>
      </c>
      <c r="C6741" t="s">
        <v>13</v>
      </c>
      <c r="D6741" s="8"/>
      <c r="E6741" s="8"/>
      <c r="M6741" t="s">
        <v>478</v>
      </c>
      <c r="N6741" t="str">
        <f>Tabela_tudo[[#This Row],[Médico]]&amp;" ("&amp;Tabela_tudo[[#This Row],[Obs]]&amp;")"</f>
        <v>PJP ()</v>
      </c>
    </row>
    <row r="6742" spans="1:14" x14ac:dyDescent="0.3">
      <c r="A6742" s="1">
        <v>45088</v>
      </c>
      <c r="B6742" t="s">
        <v>72</v>
      </c>
      <c r="C6742" t="s">
        <v>13</v>
      </c>
      <c r="D6742" s="8"/>
      <c r="E6742" s="8"/>
      <c r="M6742" t="s">
        <v>478</v>
      </c>
      <c r="N6742" t="str">
        <f>Tabela_tudo[[#This Row],[Médico]]&amp;" ("&amp;Tabela_tudo[[#This Row],[Obs]]&amp;")"</f>
        <v>GRA ()</v>
      </c>
    </row>
    <row r="6743" spans="1:14" x14ac:dyDescent="0.3">
      <c r="A6743" s="1">
        <v>45088</v>
      </c>
      <c r="B6743" t="s">
        <v>94</v>
      </c>
      <c r="C6743" t="s">
        <v>8</v>
      </c>
      <c r="D6743" s="8"/>
      <c r="E6743" s="8"/>
      <c r="M6743" t="s">
        <v>478</v>
      </c>
      <c r="N6743" t="str">
        <f>Tabela_tudo[[#This Row],[Médico]]&amp;" ("&amp;Tabela_tudo[[#This Row],[Obs]]&amp;")"</f>
        <v>TOT ()</v>
      </c>
    </row>
    <row r="6744" spans="1:14" x14ac:dyDescent="0.3">
      <c r="A6744" s="1">
        <v>45088</v>
      </c>
      <c r="B6744" t="s">
        <v>32</v>
      </c>
      <c r="C6744" t="s">
        <v>78</v>
      </c>
      <c r="D6744" s="8"/>
      <c r="E6744" s="8"/>
      <c r="M6744" t="s">
        <v>478</v>
      </c>
      <c r="N6744" t="str">
        <f>Tabela_tudo[[#This Row],[Médico]]&amp;" ("&amp;Tabela_tudo[[#This Row],[Obs]]&amp;")"</f>
        <v>JS ()</v>
      </c>
    </row>
    <row r="6745" spans="1:14" x14ac:dyDescent="0.3">
      <c r="A6745" s="1">
        <v>45086</v>
      </c>
      <c r="B6745" t="s">
        <v>66</v>
      </c>
      <c r="C6745" t="s">
        <v>45</v>
      </c>
      <c r="D6745" s="8"/>
      <c r="E6745" s="8"/>
      <c r="M6745" t="s">
        <v>478</v>
      </c>
      <c r="N6745" t="str">
        <f>Tabela_tudo[[#This Row],[Médico]]&amp;" ("&amp;Tabela_tudo[[#This Row],[Obs]]&amp;")"</f>
        <v>MOZ ()</v>
      </c>
    </row>
    <row r="6746" spans="1:14" x14ac:dyDescent="0.3">
      <c r="A6746" s="1">
        <v>45084</v>
      </c>
      <c r="B6746" t="s">
        <v>63</v>
      </c>
      <c r="C6746" t="s">
        <v>18</v>
      </c>
      <c r="D6746" s="8"/>
      <c r="E6746" s="8"/>
      <c r="M6746" t="s">
        <v>478</v>
      </c>
      <c r="N6746" t="str">
        <f>Tabela_tudo[[#This Row],[Médico]]&amp;" ("&amp;Tabela_tudo[[#This Row],[Obs]]&amp;")"</f>
        <v>FQ ()</v>
      </c>
    </row>
    <row r="6747" spans="1:14" x14ac:dyDescent="0.3">
      <c r="A6747" s="1">
        <v>45084</v>
      </c>
      <c r="B6747" t="s">
        <v>71</v>
      </c>
      <c r="C6747" t="s">
        <v>49</v>
      </c>
      <c r="D6747" s="8"/>
      <c r="E6747" s="8"/>
      <c r="M6747" t="s">
        <v>478</v>
      </c>
      <c r="N6747" t="str">
        <f>Tabela_tudo[[#This Row],[Médico]]&amp;" ("&amp;Tabela_tudo[[#This Row],[Obs]]&amp;")"</f>
        <v>BRU ()</v>
      </c>
    </row>
    <row r="6748" spans="1:14" x14ac:dyDescent="0.3">
      <c r="A6748" s="1">
        <v>45084</v>
      </c>
      <c r="B6748" t="s">
        <v>73</v>
      </c>
      <c r="C6748" t="s">
        <v>51</v>
      </c>
      <c r="D6748" s="8"/>
      <c r="E6748" s="8"/>
      <c r="M6748" t="s">
        <v>478</v>
      </c>
      <c r="N6748" t="str">
        <f>Tabela_tudo[[#This Row],[Médico]]&amp;" ("&amp;Tabela_tudo[[#This Row],[Obs]]&amp;")"</f>
        <v>RT ()</v>
      </c>
    </row>
    <row r="6749" spans="1:14" x14ac:dyDescent="0.3">
      <c r="A6749" s="1">
        <v>45084</v>
      </c>
      <c r="B6749" t="s">
        <v>68</v>
      </c>
      <c r="C6749" t="s">
        <v>46</v>
      </c>
      <c r="D6749" s="8"/>
      <c r="E6749" s="8"/>
      <c r="M6749" t="s">
        <v>478</v>
      </c>
      <c r="N6749" t="str">
        <f>Tabela_tudo[[#This Row],[Médico]]&amp;" ("&amp;Tabela_tudo[[#This Row],[Obs]]&amp;")"</f>
        <v>PED ()</v>
      </c>
    </row>
    <row r="6750" spans="1:14" x14ac:dyDescent="0.3">
      <c r="A6750" s="1">
        <v>45084</v>
      </c>
      <c r="B6750" t="s">
        <v>44</v>
      </c>
      <c r="C6750" t="s">
        <v>8</v>
      </c>
      <c r="D6750" s="8"/>
      <c r="E6750" s="8"/>
      <c r="M6750" t="s">
        <v>478</v>
      </c>
      <c r="N6750" t="str">
        <f>Tabela_tudo[[#This Row],[Médico]]&amp;" ("&amp;Tabela_tudo[[#This Row],[Obs]]&amp;")"</f>
        <v>REI ()</v>
      </c>
    </row>
    <row r="6751" spans="1:14" x14ac:dyDescent="0.3">
      <c r="A6751" s="1">
        <v>45084</v>
      </c>
      <c r="B6751" t="s">
        <v>29</v>
      </c>
      <c r="C6751" t="s">
        <v>43</v>
      </c>
      <c r="D6751" s="8"/>
      <c r="E6751" s="8"/>
      <c r="M6751" t="s">
        <v>478</v>
      </c>
      <c r="N6751" t="str">
        <f>Tabela_tudo[[#This Row],[Médico]]&amp;" ("&amp;Tabela_tudo[[#This Row],[Obs]]&amp;")"</f>
        <v>JOA ()</v>
      </c>
    </row>
    <row r="6752" spans="1:14" x14ac:dyDescent="0.3">
      <c r="A6752" s="1">
        <v>45084</v>
      </c>
      <c r="B6752" t="s">
        <v>66</v>
      </c>
      <c r="C6752" t="s">
        <v>45</v>
      </c>
      <c r="D6752" s="8"/>
      <c r="E6752" s="8"/>
      <c r="M6752" t="s">
        <v>478</v>
      </c>
      <c r="N6752" t="str">
        <f>Tabela_tudo[[#This Row],[Médico]]&amp;" ("&amp;Tabela_tudo[[#This Row],[Obs]]&amp;")"</f>
        <v>MOZ ()</v>
      </c>
    </row>
    <row r="6753" spans="1:14" x14ac:dyDescent="0.3">
      <c r="A6753" s="1">
        <v>45086</v>
      </c>
      <c r="B6753" t="s">
        <v>37</v>
      </c>
      <c r="C6753" t="s">
        <v>15</v>
      </c>
      <c r="D6753" s="8"/>
      <c r="E6753" s="8"/>
      <c r="M6753" t="s">
        <v>478</v>
      </c>
      <c r="N6753" t="str">
        <f>Tabela_tudo[[#This Row],[Médico]]&amp;" ("&amp;Tabela_tudo[[#This Row],[Obs]]&amp;")"</f>
        <v>EBB ()</v>
      </c>
    </row>
    <row r="6754" spans="1:14" x14ac:dyDescent="0.3">
      <c r="A6754" s="1">
        <v>45086</v>
      </c>
      <c r="B6754" t="s">
        <v>48</v>
      </c>
      <c r="C6754" t="s">
        <v>8</v>
      </c>
      <c r="D6754" s="8"/>
      <c r="E6754" s="8"/>
      <c r="M6754" t="s">
        <v>478</v>
      </c>
      <c r="N6754" t="str">
        <f>Tabela_tudo[[#This Row],[Médico]]&amp;" ("&amp;Tabela_tudo[[#This Row],[Obs]]&amp;")"</f>
        <v>MAF ()</v>
      </c>
    </row>
    <row r="6755" spans="1:14" x14ac:dyDescent="0.3">
      <c r="A6755" s="1">
        <v>45086</v>
      </c>
      <c r="B6755" t="s">
        <v>37</v>
      </c>
      <c r="C6755" t="s">
        <v>43</v>
      </c>
      <c r="D6755" s="8"/>
      <c r="E6755" s="8"/>
      <c r="M6755" t="s">
        <v>478</v>
      </c>
      <c r="N6755" t="str">
        <f>Tabela_tudo[[#This Row],[Médico]]&amp;" ("&amp;Tabela_tudo[[#This Row],[Obs]]&amp;")"</f>
        <v>EBB ()</v>
      </c>
    </row>
    <row r="6756" spans="1:14" x14ac:dyDescent="0.3">
      <c r="A6756" s="1">
        <v>45086</v>
      </c>
      <c r="B6756" t="s">
        <v>75</v>
      </c>
      <c r="C6756" t="s">
        <v>13</v>
      </c>
      <c r="D6756" s="8"/>
      <c r="E6756" s="8"/>
      <c r="M6756" t="s">
        <v>478</v>
      </c>
      <c r="N6756" t="str">
        <f>Tabela_tudo[[#This Row],[Médico]]&amp;" ("&amp;Tabela_tudo[[#This Row],[Obs]]&amp;")"</f>
        <v>KOP ()</v>
      </c>
    </row>
    <row r="6757" spans="1:14" x14ac:dyDescent="0.3">
      <c r="A6757" s="1">
        <v>45085</v>
      </c>
      <c r="B6757" t="s">
        <v>73</v>
      </c>
      <c r="C6757" t="s">
        <v>13</v>
      </c>
      <c r="D6757" s="8"/>
      <c r="E6757" s="8"/>
      <c r="M6757" t="s">
        <v>478</v>
      </c>
      <c r="N6757" t="str">
        <f>Tabela_tudo[[#This Row],[Médico]]&amp;" ("&amp;Tabela_tudo[[#This Row],[Obs]]&amp;")"</f>
        <v>RT ()</v>
      </c>
    </row>
    <row r="6758" spans="1:14" x14ac:dyDescent="0.3">
      <c r="A6758" s="1">
        <v>45085</v>
      </c>
      <c r="B6758" t="s">
        <v>84</v>
      </c>
      <c r="C6758" t="s">
        <v>8</v>
      </c>
      <c r="D6758" s="8"/>
      <c r="E6758" s="8"/>
      <c r="M6758" t="s">
        <v>478</v>
      </c>
      <c r="N6758" t="str">
        <f>Tabela_tudo[[#This Row],[Médico]]&amp;" ("&amp;Tabela_tudo[[#This Row],[Obs]]&amp;")"</f>
        <v>ANO ()</v>
      </c>
    </row>
    <row r="6759" spans="1:14" x14ac:dyDescent="0.3">
      <c r="A6759" s="1">
        <v>45085</v>
      </c>
      <c r="B6759" t="s">
        <v>32</v>
      </c>
      <c r="C6759" t="s">
        <v>78</v>
      </c>
      <c r="D6759" s="8"/>
      <c r="E6759" s="8"/>
      <c r="M6759" t="s">
        <v>478</v>
      </c>
      <c r="N6759" t="str">
        <f>Tabela_tudo[[#This Row],[Médico]]&amp;" ("&amp;Tabela_tudo[[#This Row],[Obs]]&amp;")"</f>
        <v>JS ()</v>
      </c>
    </row>
    <row r="6760" spans="1:14" x14ac:dyDescent="0.3">
      <c r="A6760" s="1">
        <v>45107</v>
      </c>
      <c r="B6760" t="s">
        <v>48</v>
      </c>
      <c r="C6760" t="s">
        <v>13</v>
      </c>
      <c r="D6760" s="8"/>
      <c r="E6760" s="8"/>
      <c r="M6760" t="s">
        <v>478</v>
      </c>
      <c r="N6760" t="str">
        <f>Tabela_tudo[[#This Row],[Médico]]&amp;" ("&amp;Tabela_tudo[[#This Row],[Obs]]&amp;")"</f>
        <v>MAF ()</v>
      </c>
    </row>
    <row r="6761" spans="1:14" x14ac:dyDescent="0.3">
      <c r="A6761" s="1">
        <v>45135</v>
      </c>
      <c r="B6761" t="s">
        <v>66</v>
      </c>
      <c r="C6761" t="s">
        <v>45</v>
      </c>
      <c r="D6761" s="8"/>
      <c r="E6761" s="8"/>
      <c r="M6761" t="s">
        <v>478</v>
      </c>
      <c r="N6761" t="str">
        <f>Tabela_tudo[[#This Row],[Médico]]&amp;" ("&amp;Tabela_tudo[[#This Row],[Obs]]&amp;")"</f>
        <v>MOZ ()</v>
      </c>
    </row>
    <row r="6762" spans="1:14" x14ac:dyDescent="0.3">
      <c r="A6762" s="1">
        <v>45135</v>
      </c>
      <c r="B6762" t="s">
        <v>16</v>
      </c>
      <c r="C6762" t="s">
        <v>46</v>
      </c>
      <c r="D6762" s="8"/>
      <c r="E6762" s="8"/>
      <c r="M6762" t="s">
        <v>478</v>
      </c>
      <c r="N6762" t="str">
        <f>Tabela_tudo[[#This Row],[Médico]]&amp;" ("&amp;Tabela_tudo[[#This Row],[Obs]]&amp;")"</f>
        <v>PP ()</v>
      </c>
    </row>
    <row r="6763" spans="1:14" x14ac:dyDescent="0.3">
      <c r="A6763" s="1">
        <v>45135</v>
      </c>
      <c r="B6763" t="s">
        <v>12</v>
      </c>
      <c r="C6763" t="s">
        <v>30</v>
      </c>
      <c r="D6763" s="8"/>
      <c r="E6763" s="8"/>
      <c r="F6763" t="s">
        <v>251</v>
      </c>
      <c r="M6763" t="s">
        <v>478</v>
      </c>
      <c r="N6763" t="str">
        <f>Tabela_tudo[[#This Row],[Médico]]&amp;" ("&amp;Tabela_tudo[[#This Row],[Obs]]&amp;")"</f>
        <v>EDU (A CRITÉRIO DO ESCALADOR LIBERAR)</v>
      </c>
    </row>
    <row r="6764" spans="1:14" x14ac:dyDescent="0.3">
      <c r="A6764" s="1">
        <v>45135</v>
      </c>
      <c r="B6764" t="s">
        <v>142</v>
      </c>
      <c r="C6764" t="s">
        <v>43</v>
      </c>
      <c r="D6764" s="8"/>
      <c r="E6764" s="8"/>
      <c r="M6764" t="s">
        <v>478</v>
      </c>
      <c r="N6764" t="str">
        <f>Tabela_tudo[[#This Row],[Médico]]&amp;" ("&amp;Tabela_tudo[[#This Row],[Obs]]&amp;")"</f>
        <v>VIV ()</v>
      </c>
    </row>
    <row r="6765" spans="1:14" x14ac:dyDescent="0.3">
      <c r="A6765" s="1">
        <v>45135</v>
      </c>
      <c r="B6765" t="s">
        <v>63</v>
      </c>
      <c r="C6765" t="s">
        <v>18</v>
      </c>
      <c r="D6765" s="8"/>
      <c r="E6765" s="8"/>
      <c r="M6765" t="s">
        <v>478</v>
      </c>
      <c r="N6765" t="str">
        <f>Tabela_tudo[[#This Row],[Médico]]&amp;" ("&amp;Tabela_tudo[[#This Row],[Obs]]&amp;")"</f>
        <v>FQ ()</v>
      </c>
    </row>
    <row r="6766" spans="1:14" x14ac:dyDescent="0.3">
      <c r="A6766" s="1">
        <v>45136</v>
      </c>
      <c r="B6766" t="s">
        <v>47</v>
      </c>
      <c r="C6766" t="s">
        <v>13</v>
      </c>
      <c r="D6766" s="8"/>
      <c r="E6766" s="8"/>
      <c r="M6766" t="s">
        <v>478</v>
      </c>
      <c r="N6766" t="str">
        <f>Tabela_tudo[[#This Row],[Médico]]&amp;" ("&amp;Tabela_tudo[[#This Row],[Obs]]&amp;")"</f>
        <v>VIN ()</v>
      </c>
    </row>
    <row r="6767" spans="1:14" x14ac:dyDescent="0.3">
      <c r="A6767" s="1">
        <v>45136</v>
      </c>
      <c r="B6767" t="s">
        <v>85</v>
      </c>
      <c r="C6767" t="s">
        <v>8</v>
      </c>
      <c r="D6767" s="8"/>
      <c r="E6767" s="8"/>
      <c r="M6767" t="s">
        <v>478</v>
      </c>
      <c r="N6767" t="str">
        <f>Tabela_tudo[[#This Row],[Médico]]&amp;" ("&amp;Tabela_tudo[[#This Row],[Obs]]&amp;")"</f>
        <v>ELF ()</v>
      </c>
    </row>
    <row r="6768" spans="1:14" x14ac:dyDescent="0.3">
      <c r="A6768" s="1">
        <v>45135</v>
      </c>
      <c r="B6768" t="s">
        <v>48</v>
      </c>
      <c r="C6768" t="s">
        <v>49</v>
      </c>
      <c r="D6768" s="8"/>
      <c r="E6768" s="8"/>
      <c r="M6768" t="s">
        <v>478</v>
      </c>
      <c r="N6768" t="str">
        <f>Tabela_tudo[[#This Row],[Médico]]&amp;" ("&amp;Tabela_tudo[[#This Row],[Obs]]&amp;")"</f>
        <v>MAF ()</v>
      </c>
    </row>
    <row r="6769" spans="1:14" x14ac:dyDescent="0.3">
      <c r="A6769" s="1">
        <v>45135</v>
      </c>
      <c r="B6769" t="s">
        <v>17</v>
      </c>
      <c r="C6769" t="s">
        <v>51</v>
      </c>
      <c r="D6769" s="8"/>
      <c r="E6769" s="8"/>
      <c r="M6769" t="s">
        <v>478</v>
      </c>
      <c r="N6769" t="str">
        <f>Tabela_tudo[[#This Row],[Médico]]&amp;" ("&amp;Tabela_tudo[[#This Row],[Obs]]&amp;")"</f>
        <v>FAB ()</v>
      </c>
    </row>
    <row r="6770" spans="1:14" x14ac:dyDescent="0.3">
      <c r="A6770" s="1">
        <v>45132</v>
      </c>
      <c r="B6770" t="s">
        <v>75</v>
      </c>
      <c r="C6770" t="s">
        <v>51</v>
      </c>
      <c r="D6770" s="8"/>
      <c r="E6770" s="8"/>
      <c r="M6770" t="s">
        <v>478</v>
      </c>
      <c r="N6770" t="str">
        <f>Tabela_tudo[[#This Row],[Médico]]&amp;" ("&amp;Tabela_tudo[[#This Row],[Obs]]&amp;")"</f>
        <v>KOP ()</v>
      </c>
    </row>
    <row r="6771" spans="1:14" x14ac:dyDescent="0.3">
      <c r="A6771" s="1">
        <v>45132</v>
      </c>
      <c r="B6771" t="s">
        <v>85</v>
      </c>
      <c r="C6771" t="s">
        <v>124</v>
      </c>
      <c r="D6771" s="8">
        <v>0.83333333333333337</v>
      </c>
      <c r="E6771" s="8">
        <v>0.91666666666666663</v>
      </c>
      <c r="K6771" t="s">
        <v>565</v>
      </c>
      <c r="M6771" t="s">
        <v>478</v>
      </c>
      <c r="N6771" t="str">
        <f>Tabela_tudo[[#This Row],[Médico]]&amp;" ("&amp;Tabela_tudo[[#This Row],[Obs]]&amp;")"</f>
        <v>ELF ()</v>
      </c>
    </row>
    <row r="6772" spans="1:14" x14ac:dyDescent="0.3">
      <c r="A6772" s="1">
        <v>45132</v>
      </c>
      <c r="B6772" t="s">
        <v>94</v>
      </c>
      <c r="C6772" t="s">
        <v>18</v>
      </c>
      <c r="D6772" s="8"/>
      <c r="E6772" s="8"/>
      <c r="M6772" t="s">
        <v>478</v>
      </c>
      <c r="N6772" t="str">
        <f>Tabela_tudo[[#This Row],[Médico]]&amp;" ("&amp;Tabela_tudo[[#This Row],[Obs]]&amp;")"</f>
        <v>TOT ()</v>
      </c>
    </row>
    <row r="6773" spans="1:14" x14ac:dyDescent="0.3">
      <c r="A6773" s="1">
        <v>45132</v>
      </c>
      <c r="B6773" t="s">
        <v>48</v>
      </c>
      <c r="C6773" t="s">
        <v>49</v>
      </c>
      <c r="D6773" s="8"/>
      <c r="E6773" s="8"/>
      <c r="M6773" t="s">
        <v>478</v>
      </c>
      <c r="N6773" t="str">
        <f>Tabela_tudo[[#This Row],[Médico]]&amp;" ("&amp;Tabela_tudo[[#This Row],[Obs]]&amp;")"</f>
        <v>MAF ()</v>
      </c>
    </row>
    <row r="6774" spans="1:14" x14ac:dyDescent="0.3">
      <c r="A6774" s="1">
        <v>45132</v>
      </c>
      <c r="B6774" t="s">
        <v>249</v>
      </c>
      <c r="C6774" t="s">
        <v>30</v>
      </c>
      <c r="D6774" s="8"/>
      <c r="E6774" s="8"/>
      <c r="M6774" t="s">
        <v>478</v>
      </c>
      <c r="N6774" t="str">
        <f>Tabela_tudo[[#This Row],[Médico]]&amp;" ("&amp;Tabela_tudo[[#This Row],[Obs]]&amp;")"</f>
        <v>ISE ()</v>
      </c>
    </row>
    <row r="6775" spans="1:14" x14ac:dyDescent="0.3">
      <c r="A6775" s="1">
        <v>45135</v>
      </c>
      <c r="B6775" t="s">
        <v>72</v>
      </c>
      <c r="C6775" t="s">
        <v>15</v>
      </c>
      <c r="D6775" s="8"/>
      <c r="E6775" s="8"/>
      <c r="M6775" t="s">
        <v>478</v>
      </c>
      <c r="N6775" t="str">
        <f>Tabela_tudo[[#This Row],[Médico]]&amp;" ("&amp;Tabela_tudo[[#This Row],[Obs]]&amp;")"</f>
        <v>GRA ()</v>
      </c>
    </row>
    <row r="6776" spans="1:14" x14ac:dyDescent="0.3">
      <c r="A6776" s="1">
        <v>45135</v>
      </c>
      <c r="B6776" t="s">
        <v>75</v>
      </c>
      <c r="C6776" t="s">
        <v>8</v>
      </c>
      <c r="D6776" s="8"/>
      <c r="E6776" s="8"/>
      <c r="M6776" t="s">
        <v>478</v>
      </c>
      <c r="N6776" t="str">
        <f>Tabela_tudo[[#This Row],[Médico]]&amp;" ("&amp;Tabela_tudo[[#This Row],[Obs]]&amp;")"</f>
        <v>KOP ()</v>
      </c>
    </row>
    <row r="6777" spans="1:14" x14ac:dyDescent="0.3">
      <c r="A6777" s="1">
        <v>45132</v>
      </c>
      <c r="B6777" t="s">
        <v>12</v>
      </c>
      <c r="C6777" t="s">
        <v>22</v>
      </c>
      <c r="D6777" s="8">
        <v>0.35416666666666669</v>
      </c>
      <c r="E6777" s="8">
        <v>0.4375</v>
      </c>
      <c r="M6777" t="s">
        <v>478</v>
      </c>
      <c r="N6777" t="str">
        <f>Tabela_tudo[[#This Row],[Médico]]&amp;" ("&amp;Tabela_tudo[[#This Row],[Obs]]&amp;")"</f>
        <v>EDU ()</v>
      </c>
    </row>
    <row r="6778" spans="1:14" x14ac:dyDescent="0.3">
      <c r="A6778" s="1">
        <v>45135</v>
      </c>
      <c r="B6778" t="s">
        <v>142</v>
      </c>
      <c r="C6778" t="s">
        <v>13</v>
      </c>
      <c r="D6778" s="8"/>
      <c r="E6778" s="8"/>
      <c r="M6778" t="s">
        <v>478</v>
      </c>
      <c r="N6778" t="str">
        <f>Tabela_tudo[[#This Row],[Médico]]&amp;" ("&amp;Tabela_tudo[[#This Row],[Obs]]&amp;")"</f>
        <v>VIV ()</v>
      </c>
    </row>
    <row r="6779" spans="1:14" x14ac:dyDescent="0.3">
      <c r="A6779" s="1">
        <v>45133</v>
      </c>
      <c r="B6779" t="s">
        <v>71</v>
      </c>
      <c r="C6779" t="s">
        <v>13</v>
      </c>
      <c r="D6779" s="8"/>
      <c r="E6779" s="8"/>
      <c r="M6779" t="s">
        <v>478</v>
      </c>
      <c r="N6779" t="str">
        <f>Tabela_tudo[[#This Row],[Médico]]&amp;" ("&amp;Tabela_tudo[[#This Row],[Obs]]&amp;")"</f>
        <v>BRU ()</v>
      </c>
    </row>
    <row r="6780" spans="1:14" x14ac:dyDescent="0.3">
      <c r="A6780" s="1">
        <v>45133</v>
      </c>
      <c r="B6780" t="s">
        <v>94</v>
      </c>
      <c r="C6780" t="s">
        <v>15</v>
      </c>
      <c r="D6780" s="8"/>
      <c r="E6780" s="8"/>
      <c r="M6780" t="s">
        <v>478</v>
      </c>
      <c r="N6780" t="str">
        <f>Tabela_tudo[[#This Row],[Médico]]&amp;" ("&amp;Tabela_tudo[[#This Row],[Obs]]&amp;")"</f>
        <v>TOT ()</v>
      </c>
    </row>
    <row r="6781" spans="1:14" x14ac:dyDescent="0.3">
      <c r="A6781" s="1">
        <v>45131</v>
      </c>
      <c r="B6781" t="s">
        <v>48</v>
      </c>
      <c r="C6781" t="s">
        <v>49</v>
      </c>
      <c r="D6781" s="8"/>
      <c r="E6781" s="8"/>
      <c r="M6781" t="s">
        <v>478</v>
      </c>
      <c r="N6781" t="str">
        <f>Tabela_tudo[[#This Row],[Médico]]&amp;" ("&amp;Tabela_tudo[[#This Row],[Obs]]&amp;")"</f>
        <v>MAF ()</v>
      </c>
    </row>
    <row r="6782" spans="1:14" x14ac:dyDescent="0.3">
      <c r="A6782" s="1">
        <v>45131</v>
      </c>
      <c r="B6782" t="s">
        <v>50</v>
      </c>
      <c r="C6782" t="s">
        <v>51</v>
      </c>
      <c r="D6782" s="8"/>
      <c r="E6782" s="8"/>
      <c r="M6782" t="s">
        <v>478</v>
      </c>
      <c r="N6782" t="str">
        <f>Tabela_tudo[[#This Row],[Médico]]&amp;" ("&amp;Tabela_tudo[[#This Row],[Obs]]&amp;")"</f>
        <v>PJP ()</v>
      </c>
    </row>
    <row r="6783" spans="1:14" x14ac:dyDescent="0.3">
      <c r="A6783" s="1">
        <v>45133</v>
      </c>
      <c r="B6783" t="s">
        <v>33</v>
      </c>
      <c r="C6783" t="s">
        <v>8</v>
      </c>
      <c r="D6783" s="8"/>
      <c r="E6783" s="8"/>
      <c r="M6783" t="s">
        <v>478</v>
      </c>
      <c r="N6783" t="str">
        <f>Tabela_tudo[[#This Row],[Médico]]&amp;" ("&amp;Tabela_tudo[[#This Row],[Obs]]&amp;")"</f>
        <v>DIF ()</v>
      </c>
    </row>
    <row r="6784" spans="1:14" x14ac:dyDescent="0.3">
      <c r="A6784" s="1">
        <v>45133</v>
      </c>
      <c r="B6784" t="s">
        <v>68</v>
      </c>
      <c r="C6784" t="s">
        <v>46</v>
      </c>
      <c r="D6784" s="8"/>
      <c r="E6784" s="8"/>
      <c r="M6784" t="s">
        <v>478</v>
      </c>
      <c r="N6784" t="str">
        <f>Tabela_tudo[[#This Row],[Médico]]&amp;" ("&amp;Tabela_tudo[[#This Row],[Obs]]&amp;")"</f>
        <v>PED ()</v>
      </c>
    </row>
    <row r="6785" spans="1:14" x14ac:dyDescent="0.3">
      <c r="A6785" s="1">
        <v>45133</v>
      </c>
      <c r="B6785" t="s">
        <v>72</v>
      </c>
      <c r="C6785" t="s">
        <v>18</v>
      </c>
      <c r="D6785" s="8"/>
      <c r="E6785" s="8"/>
      <c r="M6785" t="s">
        <v>478</v>
      </c>
      <c r="N6785" t="str">
        <f>Tabela_tudo[[#This Row],[Médico]]&amp;" ("&amp;Tabela_tudo[[#This Row],[Obs]]&amp;")"</f>
        <v>GRA ()</v>
      </c>
    </row>
    <row r="6786" spans="1:14" x14ac:dyDescent="0.3">
      <c r="A6786" s="1">
        <v>45133</v>
      </c>
      <c r="B6786" t="s">
        <v>33</v>
      </c>
      <c r="C6786" t="s">
        <v>43</v>
      </c>
      <c r="D6786" s="8"/>
      <c r="E6786" s="8"/>
      <c r="M6786" t="s">
        <v>478</v>
      </c>
      <c r="N6786" t="str">
        <f>Tabela_tudo[[#This Row],[Médico]]&amp;" ("&amp;Tabela_tudo[[#This Row],[Obs]]&amp;")"</f>
        <v>DIF ()</v>
      </c>
    </row>
    <row r="6787" spans="1:14" x14ac:dyDescent="0.3">
      <c r="A6787" s="1">
        <v>45133</v>
      </c>
      <c r="B6787" t="s">
        <v>66</v>
      </c>
      <c r="C6787" t="s">
        <v>45</v>
      </c>
      <c r="D6787" s="8"/>
      <c r="E6787" s="8"/>
      <c r="M6787" t="s">
        <v>478</v>
      </c>
      <c r="N6787" t="str">
        <f>Tabela_tudo[[#This Row],[Médico]]&amp;" ("&amp;Tabela_tudo[[#This Row],[Obs]]&amp;")"</f>
        <v>MOZ ()</v>
      </c>
    </row>
    <row r="6788" spans="1:14" x14ac:dyDescent="0.3">
      <c r="A6788" s="1">
        <v>45131</v>
      </c>
      <c r="B6788" t="s">
        <v>44</v>
      </c>
      <c r="C6788" t="s">
        <v>15</v>
      </c>
      <c r="D6788" s="8"/>
      <c r="E6788" s="8"/>
      <c r="M6788" t="s">
        <v>478</v>
      </c>
      <c r="N6788" t="str">
        <f>Tabela_tudo[[#This Row],[Médico]]&amp;" ("&amp;Tabela_tudo[[#This Row],[Obs]]&amp;")"</f>
        <v>REI ()</v>
      </c>
    </row>
    <row r="6789" spans="1:14" x14ac:dyDescent="0.3">
      <c r="A6789" s="1">
        <v>45131</v>
      </c>
      <c r="B6789" t="s">
        <v>71</v>
      </c>
      <c r="C6789" t="s">
        <v>8</v>
      </c>
      <c r="D6789" s="8"/>
      <c r="E6789" s="8"/>
      <c r="M6789" t="s">
        <v>478</v>
      </c>
      <c r="N6789" t="str">
        <f>Tabela_tudo[[#This Row],[Médico]]&amp;" ("&amp;Tabela_tudo[[#This Row],[Obs]]&amp;")"</f>
        <v>BRU ()</v>
      </c>
    </row>
    <row r="6790" spans="1:14" x14ac:dyDescent="0.3">
      <c r="A6790" s="1">
        <v>45136</v>
      </c>
      <c r="B6790" t="s">
        <v>94</v>
      </c>
      <c r="C6790" t="s">
        <v>78</v>
      </c>
      <c r="D6790" s="8"/>
      <c r="E6790" s="8"/>
      <c r="M6790" t="s">
        <v>478</v>
      </c>
      <c r="N6790" t="str">
        <f>Tabela_tudo[[#This Row],[Médico]]&amp;" ("&amp;Tabela_tudo[[#This Row],[Obs]]&amp;")"</f>
        <v>TOT ()</v>
      </c>
    </row>
    <row r="6791" spans="1:14" x14ac:dyDescent="0.3">
      <c r="A6791" s="1">
        <v>45131</v>
      </c>
      <c r="B6791" t="s">
        <v>68</v>
      </c>
      <c r="C6791" t="s">
        <v>13</v>
      </c>
      <c r="D6791" s="8"/>
      <c r="E6791" s="8"/>
      <c r="M6791" t="s">
        <v>478</v>
      </c>
      <c r="N6791" t="str">
        <f>Tabela_tudo[[#This Row],[Médico]]&amp;" ("&amp;Tabela_tudo[[#This Row],[Obs]]&amp;")"</f>
        <v>PED ()</v>
      </c>
    </row>
    <row r="6792" spans="1:14" x14ac:dyDescent="0.3">
      <c r="A6792" s="1">
        <v>45141</v>
      </c>
      <c r="B6792" t="s">
        <v>23</v>
      </c>
      <c r="C6792" t="s">
        <v>30</v>
      </c>
      <c r="D6792" s="8"/>
      <c r="E6792" s="8"/>
      <c r="M6792" t="s">
        <v>478</v>
      </c>
      <c r="N6792" t="str">
        <f>Tabela_tudo[[#This Row],[Médico]]&amp;" ("&amp;Tabela_tudo[[#This Row],[Obs]]&amp;")"</f>
        <v>BG ()</v>
      </c>
    </row>
    <row r="6793" spans="1:14" x14ac:dyDescent="0.3">
      <c r="A6793" s="1">
        <v>45131</v>
      </c>
      <c r="B6793" t="s">
        <v>21</v>
      </c>
      <c r="C6793" t="s">
        <v>46</v>
      </c>
      <c r="D6793" s="8"/>
      <c r="E6793" s="8"/>
      <c r="M6793" t="s">
        <v>478</v>
      </c>
      <c r="N6793" t="str">
        <f>Tabela_tudo[[#This Row],[Médico]]&amp;" ("&amp;Tabela_tudo[[#This Row],[Obs]]&amp;")"</f>
        <v>RA ()</v>
      </c>
    </row>
    <row r="6794" spans="1:14" x14ac:dyDescent="0.3">
      <c r="A6794" s="1">
        <v>45131</v>
      </c>
      <c r="B6794" t="s">
        <v>47</v>
      </c>
      <c r="C6794" t="s">
        <v>18</v>
      </c>
      <c r="D6794" s="8"/>
      <c r="E6794" s="8"/>
      <c r="M6794" t="s">
        <v>478</v>
      </c>
      <c r="N6794" t="str">
        <f>Tabela_tudo[[#This Row],[Médico]]&amp;" ("&amp;Tabela_tudo[[#This Row],[Obs]]&amp;")"</f>
        <v>VIN ()</v>
      </c>
    </row>
    <row r="6795" spans="1:14" x14ac:dyDescent="0.3">
      <c r="A6795" s="1">
        <v>45131</v>
      </c>
      <c r="B6795" t="s">
        <v>12</v>
      </c>
      <c r="C6795" t="s">
        <v>43</v>
      </c>
      <c r="D6795" s="8"/>
      <c r="E6795" s="8"/>
      <c r="M6795" t="s">
        <v>478</v>
      </c>
      <c r="N6795" t="str">
        <f>Tabela_tudo[[#This Row],[Médico]]&amp;" ("&amp;Tabela_tudo[[#This Row],[Obs]]&amp;")"</f>
        <v>EDU ()</v>
      </c>
    </row>
    <row r="6796" spans="1:14" x14ac:dyDescent="0.3">
      <c r="A6796" s="1">
        <v>45131</v>
      </c>
      <c r="B6796" t="s">
        <v>44</v>
      </c>
      <c r="C6796" t="s">
        <v>45</v>
      </c>
      <c r="D6796" s="8"/>
      <c r="E6796" s="8"/>
      <c r="M6796" t="s">
        <v>478</v>
      </c>
      <c r="N6796" t="str">
        <f>Tabela_tudo[[#This Row],[Médico]]&amp;" ("&amp;Tabela_tudo[[#This Row],[Obs]]&amp;")"</f>
        <v>REI ()</v>
      </c>
    </row>
    <row r="6797" spans="1:14" x14ac:dyDescent="0.3">
      <c r="A6797" s="1">
        <v>45120</v>
      </c>
      <c r="B6797" t="s">
        <v>34</v>
      </c>
      <c r="C6797" t="s">
        <v>8</v>
      </c>
      <c r="D6797" s="8"/>
      <c r="E6797" s="8"/>
      <c r="M6797" t="s">
        <v>478</v>
      </c>
      <c r="N6797" t="str">
        <f>Tabela_tudo[[#This Row],[Médico]]&amp;" ("&amp;Tabela_tudo[[#This Row],[Obs]]&amp;")"</f>
        <v>LIP ()</v>
      </c>
    </row>
    <row r="6798" spans="1:14" x14ac:dyDescent="0.3">
      <c r="A6798" s="1">
        <v>45120</v>
      </c>
      <c r="B6798" t="s">
        <v>84</v>
      </c>
      <c r="C6798" t="s">
        <v>43</v>
      </c>
      <c r="D6798" s="8"/>
      <c r="E6798" s="8"/>
      <c r="M6798" t="s">
        <v>478</v>
      </c>
      <c r="N6798" t="str">
        <f>Tabela_tudo[[#This Row],[Médico]]&amp;" ("&amp;Tabela_tudo[[#This Row],[Obs]]&amp;")"</f>
        <v>ANO ()</v>
      </c>
    </row>
    <row r="6799" spans="1:14" x14ac:dyDescent="0.3">
      <c r="A6799" s="1">
        <v>45120</v>
      </c>
      <c r="B6799" t="s">
        <v>142</v>
      </c>
      <c r="C6799" t="s">
        <v>13</v>
      </c>
      <c r="D6799" s="8"/>
      <c r="E6799" s="8"/>
      <c r="M6799" t="s">
        <v>478</v>
      </c>
      <c r="N6799" t="str">
        <f>Tabela_tudo[[#This Row],[Médico]]&amp;" ("&amp;Tabela_tudo[[#This Row],[Obs]]&amp;")"</f>
        <v>VIV ()</v>
      </c>
    </row>
    <row r="6800" spans="1:14" x14ac:dyDescent="0.3">
      <c r="A6800" s="1">
        <v>45120</v>
      </c>
      <c r="B6800" t="s">
        <v>75</v>
      </c>
      <c r="C6800" t="s">
        <v>15</v>
      </c>
      <c r="D6800" s="8"/>
      <c r="E6800" s="8"/>
      <c r="M6800" t="s">
        <v>478</v>
      </c>
      <c r="N6800" t="str">
        <f>Tabela_tudo[[#This Row],[Médico]]&amp;" ("&amp;Tabela_tudo[[#This Row],[Obs]]&amp;")"</f>
        <v>KOP ()</v>
      </c>
    </row>
    <row r="6801" spans="1:14" x14ac:dyDescent="0.3">
      <c r="A6801" s="1">
        <v>45120</v>
      </c>
      <c r="B6801" t="s">
        <v>52</v>
      </c>
      <c r="C6801" t="s">
        <v>45</v>
      </c>
      <c r="D6801" s="8"/>
      <c r="E6801" s="8"/>
      <c r="M6801" t="s">
        <v>478</v>
      </c>
      <c r="N6801" t="str">
        <f>Tabela_tudo[[#This Row],[Médico]]&amp;" ("&amp;Tabela_tudo[[#This Row],[Obs]]&amp;")"</f>
        <v>AEL ()</v>
      </c>
    </row>
    <row r="6802" spans="1:14" x14ac:dyDescent="0.3">
      <c r="A6802" s="1">
        <v>45120</v>
      </c>
      <c r="B6802" t="s">
        <v>85</v>
      </c>
      <c r="C6802" t="s">
        <v>49</v>
      </c>
      <c r="D6802" s="8"/>
      <c r="E6802" s="8"/>
      <c r="M6802" t="s">
        <v>478</v>
      </c>
      <c r="N6802" t="str">
        <f>Tabela_tudo[[#This Row],[Médico]]&amp;" ("&amp;Tabela_tudo[[#This Row],[Obs]]&amp;")"</f>
        <v>ELF ()</v>
      </c>
    </row>
    <row r="6803" spans="1:14" x14ac:dyDescent="0.3">
      <c r="A6803" s="1">
        <v>45120</v>
      </c>
      <c r="B6803" t="s">
        <v>34</v>
      </c>
      <c r="C6803" t="s">
        <v>51</v>
      </c>
      <c r="D6803" s="8"/>
      <c r="E6803" s="8"/>
      <c r="M6803" t="s">
        <v>478</v>
      </c>
      <c r="N6803" t="str">
        <f>Tabela_tudo[[#This Row],[Médico]]&amp;" ("&amp;Tabela_tudo[[#This Row],[Obs]]&amp;")"</f>
        <v>LIP ()</v>
      </c>
    </row>
    <row r="6804" spans="1:14" x14ac:dyDescent="0.3">
      <c r="A6804" s="1">
        <v>45120</v>
      </c>
      <c r="B6804" t="s">
        <v>14</v>
      </c>
      <c r="C6804" t="s">
        <v>46</v>
      </c>
      <c r="D6804" s="8"/>
      <c r="E6804" s="8"/>
      <c r="M6804" t="s">
        <v>478</v>
      </c>
      <c r="N6804" t="str">
        <f>Tabela_tudo[[#This Row],[Médico]]&amp;" ("&amp;Tabela_tudo[[#This Row],[Obs]]&amp;")"</f>
        <v>PW ()</v>
      </c>
    </row>
    <row r="6805" spans="1:14" x14ac:dyDescent="0.3">
      <c r="A6805" s="1">
        <v>45120</v>
      </c>
      <c r="B6805" t="s">
        <v>32</v>
      </c>
      <c r="C6805" t="s">
        <v>18</v>
      </c>
      <c r="D6805" s="8"/>
      <c r="E6805" s="8"/>
      <c r="M6805" t="s">
        <v>478</v>
      </c>
      <c r="N6805" t="str">
        <f>Tabela_tudo[[#This Row],[Médico]]&amp;" ("&amp;Tabela_tudo[[#This Row],[Obs]]&amp;")"</f>
        <v>JS ()</v>
      </c>
    </row>
    <row r="6806" spans="1:14" x14ac:dyDescent="0.3">
      <c r="A6806" s="1">
        <v>45125</v>
      </c>
      <c r="B6806" t="s">
        <v>50</v>
      </c>
      <c r="C6806" t="s">
        <v>8</v>
      </c>
      <c r="D6806" s="8"/>
      <c r="E6806" s="8"/>
      <c r="M6806" t="s">
        <v>478</v>
      </c>
      <c r="N6806" t="str">
        <f>Tabela_tudo[[#This Row],[Médico]]&amp;" ("&amp;Tabela_tudo[[#This Row],[Obs]]&amp;")"</f>
        <v>PJP ()</v>
      </c>
    </row>
    <row r="6807" spans="1:14" x14ac:dyDescent="0.3">
      <c r="A6807" s="1">
        <v>45125</v>
      </c>
      <c r="B6807" t="s">
        <v>33</v>
      </c>
      <c r="C6807" t="s">
        <v>43</v>
      </c>
      <c r="D6807" s="8"/>
      <c r="E6807" s="8"/>
      <c r="M6807" t="s">
        <v>478</v>
      </c>
      <c r="N6807" t="str">
        <f>Tabela_tudo[[#This Row],[Médico]]&amp;" ("&amp;Tabela_tudo[[#This Row],[Obs]]&amp;")"</f>
        <v>DIF ()</v>
      </c>
    </row>
    <row r="6808" spans="1:14" x14ac:dyDescent="0.3">
      <c r="A6808" s="1">
        <v>45125</v>
      </c>
      <c r="B6808" t="s">
        <v>29</v>
      </c>
      <c r="C6808" t="s">
        <v>13</v>
      </c>
      <c r="D6808" s="8"/>
      <c r="E6808" s="8"/>
      <c r="M6808" t="s">
        <v>478</v>
      </c>
      <c r="N6808" t="str">
        <f>Tabela_tudo[[#This Row],[Médico]]&amp;" ("&amp;Tabela_tudo[[#This Row],[Obs]]&amp;")"</f>
        <v>JOA ()</v>
      </c>
    </row>
    <row r="6809" spans="1:14" x14ac:dyDescent="0.3">
      <c r="A6809" s="1">
        <v>45125</v>
      </c>
      <c r="B6809" t="s">
        <v>34</v>
      </c>
      <c r="C6809" t="s">
        <v>15</v>
      </c>
      <c r="D6809" s="8"/>
      <c r="E6809" s="8"/>
      <c r="M6809" t="s">
        <v>478</v>
      </c>
      <c r="N6809" t="str">
        <f>Tabela_tudo[[#This Row],[Médico]]&amp;" ("&amp;Tabela_tudo[[#This Row],[Obs]]&amp;")"</f>
        <v>LIP ()</v>
      </c>
    </row>
    <row r="6810" spans="1:14" x14ac:dyDescent="0.3">
      <c r="A6810" s="1">
        <v>45125</v>
      </c>
      <c r="B6810" t="s">
        <v>23</v>
      </c>
      <c r="C6810" t="s">
        <v>45</v>
      </c>
      <c r="D6810" s="8"/>
      <c r="E6810" s="8"/>
      <c r="M6810" t="s">
        <v>478</v>
      </c>
      <c r="N6810" t="str">
        <f>Tabela_tudo[[#This Row],[Médico]]&amp;" ("&amp;Tabela_tudo[[#This Row],[Obs]]&amp;")"</f>
        <v>BG ()</v>
      </c>
    </row>
    <row r="6811" spans="1:14" x14ac:dyDescent="0.3">
      <c r="A6811" s="1">
        <v>45125</v>
      </c>
      <c r="B6811" t="s">
        <v>71</v>
      </c>
      <c r="C6811" t="s">
        <v>49</v>
      </c>
      <c r="D6811" s="8"/>
      <c r="E6811" s="8"/>
      <c r="M6811" t="s">
        <v>478</v>
      </c>
      <c r="N6811" t="str">
        <f>Tabela_tudo[[#This Row],[Médico]]&amp;" ("&amp;Tabela_tudo[[#This Row],[Obs]]&amp;")"</f>
        <v>BRU ()</v>
      </c>
    </row>
    <row r="6812" spans="1:14" x14ac:dyDescent="0.3">
      <c r="A6812" s="1">
        <v>45125</v>
      </c>
      <c r="B6812" t="s">
        <v>75</v>
      </c>
      <c r="C6812" t="s">
        <v>51</v>
      </c>
      <c r="D6812" s="8"/>
      <c r="E6812" s="8"/>
      <c r="M6812" t="s">
        <v>478</v>
      </c>
      <c r="N6812" t="str">
        <f>Tabela_tudo[[#This Row],[Médico]]&amp;" ("&amp;Tabela_tudo[[#This Row],[Obs]]&amp;")"</f>
        <v>KOP ()</v>
      </c>
    </row>
    <row r="6813" spans="1:14" x14ac:dyDescent="0.3">
      <c r="A6813" s="1">
        <v>45125</v>
      </c>
      <c r="B6813" t="s">
        <v>16</v>
      </c>
      <c r="C6813" t="s">
        <v>46</v>
      </c>
      <c r="D6813" s="8"/>
      <c r="E6813" s="8"/>
      <c r="M6813" t="s">
        <v>478</v>
      </c>
      <c r="N6813" t="str">
        <f>Tabela_tudo[[#This Row],[Médico]]&amp;" ("&amp;Tabela_tudo[[#This Row],[Obs]]&amp;")"</f>
        <v>PP ()</v>
      </c>
    </row>
    <row r="6814" spans="1:14" x14ac:dyDescent="0.3">
      <c r="A6814" s="1">
        <v>45125</v>
      </c>
      <c r="B6814" t="s">
        <v>72</v>
      </c>
      <c r="C6814" t="s">
        <v>18</v>
      </c>
      <c r="D6814" s="8"/>
      <c r="E6814" s="8"/>
      <c r="M6814" t="s">
        <v>478</v>
      </c>
      <c r="N6814" t="str">
        <f>Tabela_tudo[[#This Row],[Médico]]&amp;" ("&amp;Tabela_tudo[[#This Row],[Obs]]&amp;")"</f>
        <v>GRA ()</v>
      </c>
    </row>
    <row r="6815" spans="1:14" x14ac:dyDescent="0.3">
      <c r="A6815" s="1">
        <v>45124</v>
      </c>
      <c r="B6815" t="s">
        <v>64</v>
      </c>
      <c r="C6815" t="s">
        <v>30</v>
      </c>
      <c r="D6815" s="8"/>
      <c r="E6815" s="8"/>
      <c r="M6815" t="s">
        <v>478</v>
      </c>
      <c r="N6815" t="str">
        <f>Tabela_tudo[[#This Row],[Médico]]&amp;" ("&amp;Tabela_tudo[[#This Row],[Obs]]&amp;")"</f>
        <v>SAR ()</v>
      </c>
    </row>
    <row r="6816" spans="1:14" x14ac:dyDescent="0.3">
      <c r="A6816" s="1">
        <v>45132</v>
      </c>
      <c r="B6816" t="s">
        <v>34</v>
      </c>
      <c r="C6816" t="s">
        <v>13</v>
      </c>
      <c r="D6816" s="8"/>
      <c r="E6816" s="8"/>
      <c r="M6816" t="s">
        <v>478</v>
      </c>
      <c r="N6816" t="str">
        <f>Tabela_tudo[[#This Row],[Médico]]&amp;" ("&amp;Tabela_tudo[[#This Row],[Obs]]&amp;")"</f>
        <v>LIP ()</v>
      </c>
    </row>
    <row r="6817" spans="1:14" x14ac:dyDescent="0.3">
      <c r="A6817" s="1">
        <v>45124</v>
      </c>
      <c r="B6817" t="s">
        <v>71</v>
      </c>
      <c r="C6817" t="s">
        <v>49</v>
      </c>
      <c r="D6817" s="8"/>
      <c r="E6817" s="8"/>
      <c r="M6817" t="s">
        <v>478</v>
      </c>
      <c r="N6817" t="str">
        <f>Tabela_tudo[[#This Row],[Médico]]&amp;" ("&amp;Tabela_tudo[[#This Row],[Obs]]&amp;")"</f>
        <v>BRU ()</v>
      </c>
    </row>
    <row r="6818" spans="1:14" x14ac:dyDescent="0.3">
      <c r="A6818" s="1">
        <v>45124</v>
      </c>
      <c r="B6818" t="s">
        <v>50</v>
      </c>
      <c r="C6818" t="s">
        <v>51</v>
      </c>
      <c r="D6818" s="8"/>
      <c r="E6818" s="8"/>
      <c r="M6818" t="s">
        <v>478</v>
      </c>
      <c r="N6818" t="str">
        <f>Tabela_tudo[[#This Row],[Médico]]&amp;" ("&amp;Tabela_tudo[[#This Row],[Obs]]&amp;")"</f>
        <v>PJP ()</v>
      </c>
    </row>
    <row r="6819" spans="1:14" x14ac:dyDescent="0.3">
      <c r="A6819" s="1">
        <v>45132</v>
      </c>
      <c r="B6819" t="s">
        <v>48</v>
      </c>
      <c r="C6819" t="s">
        <v>15</v>
      </c>
      <c r="D6819" s="8"/>
      <c r="E6819" s="8"/>
      <c r="M6819" t="s">
        <v>478</v>
      </c>
      <c r="N6819" t="str">
        <f>Tabela_tudo[[#This Row],[Médico]]&amp;" ("&amp;Tabela_tudo[[#This Row],[Obs]]&amp;")"</f>
        <v>MAF ()</v>
      </c>
    </row>
    <row r="6820" spans="1:14" x14ac:dyDescent="0.3">
      <c r="A6820" s="1">
        <v>45132</v>
      </c>
      <c r="B6820" t="s">
        <v>23</v>
      </c>
      <c r="C6820" t="s">
        <v>45</v>
      </c>
      <c r="D6820" s="8"/>
      <c r="E6820" s="8"/>
      <c r="M6820" t="s">
        <v>478</v>
      </c>
      <c r="N6820" t="str">
        <f>Tabela_tudo[[#This Row],[Médico]]&amp;" ("&amp;Tabela_tudo[[#This Row],[Obs]]&amp;")"</f>
        <v>BG ()</v>
      </c>
    </row>
    <row r="6821" spans="1:14" x14ac:dyDescent="0.3">
      <c r="A6821" s="1">
        <v>45132</v>
      </c>
      <c r="B6821" t="s">
        <v>16</v>
      </c>
      <c r="C6821" t="s">
        <v>46</v>
      </c>
      <c r="D6821" s="8"/>
      <c r="E6821" s="8"/>
      <c r="M6821" t="s">
        <v>478</v>
      </c>
      <c r="N6821" t="str">
        <f>Tabela_tudo[[#This Row],[Médico]]&amp;" ("&amp;Tabela_tudo[[#This Row],[Obs]]&amp;")"</f>
        <v>PP ()</v>
      </c>
    </row>
    <row r="6822" spans="1:14" x14ac:dyDescent="0.3">
      <c r="A6822" s="1">
        <v>45132</v>
      </c>
      <c r="B6822" t="s">
        <v>52</v>
      </c>
      <c r="C6822" t="s">
        <v>8</v>
      </c>
      <c r="D6822" s="8"/>
      <c r="E6822" s="8"/>
      <c r="M6822" t="s">
        <v>478</v>
      </c>
      <c r="N6822" t="str">
        <f>Tabela_tudo[[#This Row],[Médico]]&amp;" ("&amp;Tabela_tudo[[#This Row],[Obs]]&amp;")"</f>
        <v>AEL ()</v>
      </c>
    </row>
    <row r="6823" spans="1:14" x14ac:dyDescent="0.3">
      <c r="A6823" s="1">
        <v>45132</v>
      </c>
      <c r="B6823" t="s">
        <v>142</v>
      </c>
      <c r="C6823" t="s">
        <v>43</v>
      </c>
      <c r="D6823" s="8"/>
      <c r="E6823" s="8"/>
      <c r="M6823" t="s">
        <v>478</v>
      </c>
      <c r="N6823" t="str">
        <f>Tabela_tudo[[#This Row],[Médico]]&amp;" ("&amp;Tabela_tudo[[#This Row],[Obs]]&amp;")"</f>
        <v>VIV ()</v>
      </c>
    </row>
    <row r="6824" spans="1:14" x14ac:dyDescent="0.3">
      <c r="A6824" s="1">
        <v>45124</v>
      </c>
      <c r="B6824" t="s">
        <v>48</v>
      </c>
      <c r="C6824" t="s">
        <v>13</v>
      </c>
      <c r="D6824" s="8"/>
      <c r="E6824" s="8"/>
      <c r="M6824" t="s">
        <v>478</v>
      </c>
      <c r="N6824" t="str">
        <f>Tabela_tudo[[#This Row],[Médico]]&amp;" ("&amp;Tabela_tudo[[#This Row],[Obs]]&amp;")"</f>
        <v>MAF ()</v>
      </c>
    </row>
    <row r="6825" spans="1:14" x14ac:dyDescent="0.3">
      <c r="A6825" s="1">
        <v>45124</v>
      </c>
      <c r="B6825" t="s">
        <v>32</v>
      </c>
      <c r="C6825" t="s">
        <v>15</v>
      </c>
      <c r="D6825" s="8"/>
      <c r="E6825" s="8"/>
      <c r="M6825" t="s">
        <v>478</v>
      </c>
      <c r="N6825" t="str">
        <f>Tabela_tudo[[#This Row],[Médico]]&amp;" ("&amp;Tabela_tudo[[#This Row],[Obs]]&amp;")"</f>
        <v>JS ()</v>
      </c>
    </row>
    <row r="6826" spans="1:14" x14ac:dyDescent="0.3">
      <c r="A6826" s="1">
        <v>45120</v>
      </c>
      <c r="B6826" t="s">
        <v>85</v>
      </c>
      <c r="C6826" t="s">
        <v>30</v>
      </c>
      <c r="D6826" s="8"/>
      <c r="E6826" s="8"/>
      <c r="M6826" t="s">
        <v>478</v>
      </c>
      <c r="N6826" t="str">
        <f>Tabela_tudo[[#This Row],[Médico]]&amp;" ("&amp;Tabela_tudo[[#This Row],[Obs]]&amp;")"</f>
        <v>ELF ()</v>
      </c>
    </row>
    <row r="6827" spans="1:14" x14ac:dyDescent="0.3">
      <c r="A6827" s="1">
        <v>45120</v>
      </c>
      <c r="B6827" t="s">
        <v>25</v>
      </c>
      <c r="C6827" t="s">
        <v>30</v>
      </c>
      <c r="D6827" s="8"/>
      <c r="E6827" s="8"/>
      <c r="M6827" t="s">
        <v>478</v>
      </c>
      <c r="N6827" t="str">
        <f>Tabela_tudo[[#This Row],[Médico]]&amp;" ("&amp;Tabela_tudo[[#This Row],[Obs]]&amp;")"</f>
        <v>HEN ()</v>
      </c>
    </row>
    <row r="6828" spans="1:14" x14ac:dyDescent="0.3">
      <c r="A6828" s="1">
        <v>45124</v>
      </c>
      <c r="B6828" t="s">
        <v>66</v>
      </c>
      <c r="C6828" t="s">
        <v>8</v>
      </c>
      <c r="D6828" s="8"/>
      <c r="E6828" s="8"/>
      <c r="M6828" t="s">
        <v>478</v>
      </c>
      <c r="N6828" t="str">
        <f>Tabela_tudo[[#This Row],[Médico]]&amp;" ("&amp;Tabela_tudo[[#This Row],[Obs]]&amp;")"</f>
        <v>MOZ ()</v>
      </c>
    </row>
    <row r="6829" spans="1:14" x14ac:dyDescent="0.3">
      <c r="A6829" s="1">
        <v>45124</v>
      </c>
      <c r="B6829" t="s">
        <v>21</v>
      </c>
      <c r="C6829" t="s">
        <v>46</v>
      </c>
      <c r="D6829" s="8"/>
      <c r="E6829" s="8"/>
      <c r="M6829" t="s">
        <v>478</v>
      </c>
      <c r="N6829" t="str">
        <f>Tabela_tudo[[#This Row],[Médico]]&amp;" ("&amp;Tabela_tudo[[#This Row],[Obs]]&amp;")"</f>
        <v>RA ()</v>
      </c>
    </row>
    <row r="6830" spans="1:14" x14ac:dyDescent="0.3">
      <c r="A6830" s="1">
        <v>45124</v>
      </c>
      <c r="B6830" t="s">
        <v>32</v>
      </c>
      <c r="C6830" t="s">
        <v>18</v>
      </c>
      <c r="D6830" s="8"/>
      <c r="E6830" s="8"/>
      <c r="M6830" t="s">
        <v>478</v>
      </c>
      <c r="N6830" t="str">
        <f>Tabela_tudo[[#This Row],[Médico]]&amp;" ("&amp;Tabela_tudo[[#This Row],[Obs]]&amp;")"</f>
        <v>JS ()</v>
      </c>
    </row>
    <row r="6831" spans="1:14" x14ac:dyDescent="0.3">
      <c r="A6831" s="1">
        <v>45124</v>
      </c>
      <c r="B6831" t="s">
        <v>29</v>
      </c>
      <c r="C6831" t="s">
        <v>43</v>
      </c>
      <c r="D6831" s="8"/>
      <c r="E6831" s="8"/>
      <c r="M6831" t="s">
        <v>478</v>
      </c>
      <c r="N6831" t="str">
        <f>Tabela_tudo[[#This Row],[Médico]]&amp;" ("&amp;Tabela_tudo[[#This Row],[Obs]]&amp;")"</f>
        <v>JOA ()</v>
      </c>
    </row>
    <row r="6832" spans="1:14" x14ac:dyDescent="0.3">
      <c r="A6832" s="1">
        <v>45124</v>
      </c>
      <c r="B6832" t="s">
        <v>44</v>
      </c>
      <c r="C6832" t="s">
        <v>45</v>
      </c>
      <c r="D6832" s="8"/>
      <c r="E6832" s="8"/>
      <c r="M6832" t="s">
        <v>478</v>
      </c>
      <c r="N6832" t="str">
        <f>Tabela_tudo[[#This Row],[Médico]]&amp;" ("&amp;Tabela_tudo[[#This Row],[Obs]]&amp;")"</f>
        <v>REI ()</v>
      </c>
    </row>
    <row r="6833" spans="1:14" x14ac:dyDescent="0.3">
      <c r="A6833" s="1">
        <v>45133</v>
      </c>
      <c r="B6833" t="s">
        <v>48</v>
      </c>
      <c r="C6833" t="s">
        <v>49</v>
      </c>
      <c r="D6833" s="8"/>
      <c r="E6833" s="8"/>
      <c r="M6833" t="s">
        <v>478</v>
      </c>
      <c r="N6833" t="str">
        <f>Tabela_tudo[[#This Row],[Médico]]&amp;" ("&amp;Tabela_tudo[[#This Row],[Obs]]&amp;")"</f>
        <v>MAF ()</v>
      </c>
    </row>
    <row r="6834" spans="1:14" x14ac:dyDescent="0.3">
      <c r="A6834" s="1">
        <v>45140</v>
      </c>
      <c r="B6834" t="s">
        <v>68</v>
      </c>
      <c r="C6834" t="s">
        <v>46</v>
      </c>
      <c r="D6834" s="8"/>
      <c r="E6834" s="8"/>
      <c r="M6834" t="s">
        <v>478</v>
      </c>
      <c r="N6834" t="str">
        <f>Tabela_tudo[[#This Row],[Médico]]&amp;" ("&amp;Tabela_tudo[[#This Row],[Obs]]&amp;")"</f>
        <v>PED ()</v>
      </c>
    </row>
    <row r="6835" spans="1:14" x14ac:dyDescent="0.3">
      <c r="A6835" s="1">
        <v>45140</v>
      </c>
      <c r="B6835" t="s">
        <v>47</v>
      </c>
      <c r="C6835" t="s">
        <v>18</v>
      </c>
      <c r="D6835" s="8"/>
      <c r="E6835" s="8"/>
      <c r="M6835" t="s">
        <v>478</v>
      </c>
      <c r="N6835" t="str">
        <f>Tabela_tudo[[#This Row],[Médico]]&amp;" ("&amp;Tabela_tudo[[#This Row],[Obs]]&amp;")"</f>
        <v>VIN ()</v>
      </c>
    </row>
    <row r="6836" spans="1:14" x14ac:dyDescent="0.3">
      <c r="A6836" s="1">
        <v>45140</v>
      </c>
      <c r="B6836" t="s">
        <v>33</v>
      </c>
      <c r="C6836" t="s">
        <v>43</v>
      </c>
      <c r="D6836" s="8"/>
      <c r="E6836" s="8"/>
      <c r="M6836" t="s">
        <v>478</v>
      </c>
      <c r="N6836" t="str">
        <f>Tabela_tudo[[#This Row],[Médico]]&amp;" ("&amp;Tabela_tudo[[#This Row],[Obs]]&amp;")"</f>
        <v>DIF ()</v>
      </c>
    </row>
    <row r="6837" spans="1:14" x14ac:dyDescent="0.3">
      <c r="A6837" s="1">
        <v>45140</v>
      </c>
      <c r="B6837" t="s">
        <v>66</v>
      </c>
      <c r="C6837" t="s">
        <v>45</v>
      </c>
      <c r="D6837" s="8"/>
      <c r="E6837" s="8"/>
      <c r="M6837" t="s">
        <v>478</v>
      </c>
      <c r="N6837" t="str">
        <f>Tabela_tudo[[#This Row],[Médico]]&amp;" ("&amp;Tabela_tudo[[#This Row],[Obs]]&amp;")"</f>
        <v>MOZ ()</v>
      </c>
    </row>
    <row r="6838" spans="1:14" x14ac:dyDescent="0.3">
      <c r="A6838" s="1">
        <v>45140</v>
      </c>
      <c r="B6838" t="s">
        <v>85</v>
      </c>
      <c r="C6838" t="s">
        <v>49</v>
      </c>
      <c r="D6838" s="8"/>
      <c r="E6838" s="8"/>
      <c r="M6838" t="s">
        <v>478</v>
      </c>
      <c r="N6838" t="str">
        <f>Tabela_tudo[[#This Row],[Médico]]&amp;" ("&amp;Tabela_tudo[[#This Row],[Obs]]&amp;")"</f>
        <v>ELF ()</v>
      </c>
    </row>
    <row r="6839" spans="1:14" x14ac:dyDescent="0.3">
      <c r="A6839" s="1">
        <v>45142</v>
      </c>
      <c r="B6839" t="s">
        <v>66</v>
      </c>
      <c r="C6839" t="s">
        <v>15</v>
      </c>
      <c r="D6839" s="8"/>
      <c r="E6839" s="8"/>
      <c r="M6839" t="s">
        <v>478</v>
      </c>
      <c r="N6839" t="str">
        <f>Tabela_tudo[[#This Row],[Médico]]&amp;" ("&amp;Tabela_tudo[[#This Row],[Obs]]&amp;")"</f>
        <v>MOZ ()</v>
      </c>
    </row>
    <row r="6840" spans="1:14" x14ac:dyDescent="0.3">
      <c r="A6840" s="1">
        <v>45142</v>
      </c>
      <c r="B6840" t="s">
        <v>94</v>
      </c>
      <c r="C6840" t="s">
        <v>8</v>
      </c>
      <c r="D6840" s="8"/>
      <c r="E6840" s="8"/>
      <c r="M6840" t="s">
        <v>478</v>
      </c>
      <c r="N6840" t="str">
        <f>Tabela_tudo[[#This Row],[Médico]]&amp;" ("&amp;Tabela_tudo[[#This Row],[Obs]]&amp;")"</f>
        <v>TOT ()</v>
      </c>
    </row>
    <row r="6841" spans="1:14" x14ac:dyDescent="0.3">
      <c r="A6841" s="1">
        <v>45140</v>
      </c>
      <c r="B6841" t="s">
        <v>73</v>
      </c>
      <c r="C6841" t="s">
        <v>51</v>
      </c>
      <c r="D6841" s="8"/>
      <c r="E6841" s="8"/>
      <c r="M6841" t="s">
        <v>478</v>
      </c>
      <c r="N6841" t="str">
        <f>Tabela_tudo[[#This Row],[Médico]]&amp;" ("&amp;Tabela_tudo[[#This Row],[Obs]]&amp;")"</f>
        <v>RT ()</v>
      </c>
    </row>
    <row r="6842" spans="1:14" x14ac:dyDescent="0.3">
      <c r="A6842" s="1">
        <v>45142</v>
      </c>
      <c r="B6842" t="s">
        <v>33</v>
      </c>
      <c r="C6842" t="s">
        <v>13</v>
      </c>
      <c r="D6842" s="8"/>
      <c r="E6842" s="8"/>
      <c r="M6842" t="s">
        <v>478</v>
      </c>
      <c r="N6842" t="str">
        <f>Tabela_tudo[[#This Row],[Médico]]&amp;" ("&amp;Tabela_tudo[[#This Row],[Obs]]&amp;")"</f>
        <v>DIF ()</v>
      </c>
    </row>
    <row r="6843" spans="1:14" x14ac:dyDescent="0.3">
      <c r="A6843" s="1">
        <v>45139</v>
      </c>
      <c r="B6843" t="s">
        <v>23</v>
      </c>
      <c r="C6843" t="s">
        <v>124</v>
      </c>
      <c r="D6843" s="8">
        <v>0.79166666666666663</v>
      </c>
      <c r="E6843" s="8">
        <v>0.91666666666666663</v>
      </c>
      <c r="F6843" t="s">
        <v>273</v>
      </c>
      <c r="K6843" t="s">
        <v>565</v>
      </c>
      <c r="M6843" t="s">
        <v>478</v>
      </c>
      <c r="N6843" t="str">
        <f>Tabela_tudo[[#This Row],[Médico]]&amp;" ("&amp;Tabela_tudo[[#This Row],[Obs]]&amp;")"</f>
        <v>BG (FORUM MM + CASSIANA )</v>
      </c>
    </row>
    <row r="6844" spans="1:14" x14ac:dyDescent="0.3">
      <c r="A6844" s="1">
        <v>45139</v>
      </c>
      <c r="B6844" t="s">
        <v>29</v>
      </c>
      <c r="C6844" t="s">
        <v>22</v>
      </c>
      <c r="D6844" s="8">
        <v>0.54166666666666663</v>
      </c>
      <c r="E6844" s="8">
        <v>0.75</v>
      </c>
      <c r="M6844" t="s">
        <v>478</v>
      </c>
      <c r="N6844" t="str">
        <f>Tabela_tudo[[#This Row],[Médico]]&amp;" ("&amp;Tabela_tudo[[#This Row],[Obs]]&amp;")"</f>
        <v>JOA ()</v>
      </c>
    </row>
    <row r="6845" spans="1:14" x14ac:dyDescent="0.3">
      <c r="A6845" s="1">
        <v>45139</v>
      </c>
      <c r="B6845" t="s">
        <v>85</v>
      </c>
      <c r="C6845" t="s">
        <v>49</v>
      </c>
      <c r="D6845" s="8"/>
      <c r="E6845" s="8"/>
      <c r="M6845" t="s">
        <v>478</v>
      </c>
      <c r="N6845" t="str">
        <f>Tabela_tudo[[#This Row],[Médico]]&amp;" ("&amp;Tabela_tudo[[#This Row],[Obs]]&amp;")"</f>
        <v>ELF ()</v>
      </c>
    </row>
    <row r="6846" spans="1:14" x14ac:dyDescent="0.3">
      <c r="A6846" s="1">
        <v>45139</v>
      </c>
      <c r="B6846" t="s">
        <v>75</v>
      </c>
      <c r="C6846" t="s">
        <v>51</v>
      </c>
      <c r="D6846" s="8"/>
      <c r="E6846" s="8"/>
      <c r="M6846" t="s">
        <v>478</v>
      </c>
      <c r="N6846" t="str">
        <f>Tabela_tudo[[#This Row],[Médico]]&amp;" ("&amp;Tabela_tudo[[#This Row],[Obs]]&amp;")"</f>
        <v>KOP ()</v>
      </c>
    </row>
    <row r="6847" spans="1:14" x14ac:dyDescent="0.3">
      <c r="A6847" s="1">
        <v>45140</v>
      </c>
      <c r="B6847" t="s">
        <v>68</v>
      </c>
      <c r="C6847" t="s">
        <v>13</v>
      </c>
      <c r="D6847" s="8"/>
      <c r="E6847" s="8"/>
      <c r="M6847" t="s">
        <v>478</v>
      </c>
      <c r="N6847" t="str">
        <f>Tabela_tudo[[#This Row],[Médico]]&amp;" ("&amp;Tabela_tudo[[#This Row],[Obs]]&amp;")"</f>
        <v>PED ()</v>
      </c>
    </row>
    <row r="6848" spans="1:14" x14ac:dyDescent="0.3">
      <c r="A6848" s="1">
        <v>45140</v>
      </c>
      <c r="B6848" t="s">
        <v>29</v>
      </c>
      <c r="C6848" t="s">
        <v>30</v>
      </c>
      <c r="D6848" s="8"/>
      <c r="E6848" s="8"/>
      <c r="M6848" t="s">
        <v>478</v>
      </c>
      <c r="N6848" t="str">
        <f>Tabela_tudo[[#This Row],[Médico]]&amp;" ("&amp;Tabela_tudo[[#This Row],[Obs]]&amp;")"</f>
        <v>JOA ()</v>
      </c>
    </row>
    <row r="6849" spans="1:14" x14ac:dyDescent="0.3">
      <c r="A6849" s="1">
        <v>45140</v>
      </c>
      <c r="B6849" t="s">
        <v>37</v>
      </c>
      <c r="C6849" t="s">
        <v>30</v>
      </c>
      <c r="D6849" s="8"/>
      <c r="E6849" s="8"/>
      <c r="M6849" t="s">
        <v>478</v>
      </c>
      <c r="N6849" t="str">
        <f>Tabela_tudo[[#This Row],[Médico]]&amp;" ("&amp;Tabela_tudo[[#This Row],[Obs]]&amp;")"</f>
        <v>EBB ()</v>
      </c>
    </row>
    <row r="6850" spans="1:14" x14ac:dyDescent="0.3">
      <c r="A6850" s="1">
        <v>45140</v>
      </c>
      <c r="B6850" t="s">
        <v>44</v>
      </c>
      <c r="C6850" t="s">
        <v>15</v>
      </c>
      <c r="D6850" s="8"/>
      <c r="E6850" s="8"/>
      <c r="M6850" t="s">
        <v>478</v>
      </c>
      <c r="N6850" t="str">
        <f>Tabela_tudo[[#This Row],[Médico]]&amp;" ("&amp;Tabela_tudo[[#This Row],[Obs]]&amp;")"</f>
        <v>REI ()</v>
      </c>
    </row>
    <row r="6851" spans="1:14" x14ac:dyDescent="0.3">
      <c r="A6851" s="1">
        <v>45140</v>
      </c>
      <c r="B6851" t="s">
        <v>64</v>
      </c>
      <c r="C6851" t="s">
        <v>8</v>
      </c>
      <c r="D6851" s="8"/>
      <c r="E6851" s="8"/>
      <c r="M6851" t="s">
        <v>478</v>
      </c>
      <c r="N6851" t="str">
        <f>Tabela_tudo[[#This Row],[Médico]]&amp;" ("&amp;Tabela_tudo[[#This Row],[Obs]]&amp;")"</f>
        <v>SAR ()</v>
      </c>
    </row>
    <row r="6852" spans="1:14" x14ac:dyDescent="0.3">
      <c r="A6852" s="1">
        <v>45141</v>
      </c>
      <c r="B6852" t="s">
        <v>29</v>
      </c>
      <c r="C6852" t="s">
        <v>30</v>
      </c>
      <c r="D6852" s="8"/>
      <c r="E6852" s="8"/>
      <c r="M6852" t="s">
        <v>478</v>
      </c>
      <c r="N6852" t="str">
        <f>Tabela_tudo[[#This Row],[Médico]]&amp;" ("&amp;Tabela_tudo[[#This Row],[Obs]]&amp;")"</f>
        <v>JOA ()</v>
      </c>
    </row>
    <row r="6853" spans="1:14" x14ac:dyDescent="0.3">
      <c r="A6853" s="1">
        <v>45141</v>
      </c>
      <c r="B6853" t="s">
        <v>64</v>
      </c>
      <c r="C6853" t="s">
        <v>43</v>
      </c>
      <c r="D6853" s="8"/>
      <c r="E6853" s="8"/>
      <c r="M6853" t="s">
        <v>478</v>
      </c>
      <c r="N6853" t="str">
        <f>Tabela_tudo[[#This Row],[Médico]]&amp;" ("&amp;Tabela_tudo[[#This Row],[Obs]]&amp;")"</f>
        <v>SAR ()</v>
      </c>
    </row>
    <row r="6854" spans="1:14" x14ac:dyDescent="0.3">
      <c r="A6854" s="1">
        <v>45141</v>
      </c>
      <c r="B6854" t="s">
        <v>37</v>
      </c>
      <c r="C6854" t="s">
        <v>15</v>
      </c>
      <c r="D6854" s="8"/>
      <c r="E6854" s="8"/>
      <c r="M6854" t="s">
        <v>478</v>
      </c>
      <c r="N6854" t="str">
        <f>Tabela_tudo[[#This Row],[Médico]]&amp;" ("&amp;Tabela_tudo[[#This Row],[Obs]]&amp;")"</f>
        <v>EBB ()</v>
      </c>
    </row>
    <row r="6855" spans="1:14" x14ac:dyDescent="0.3">
      <c r="A6855" s="1">
        <v>45141</v>
      </c>
      <c r="B6855" t="s">
        <v>68</v>
      </c>
      <c r="C6855" t="s">
        <v>8</v>
      </c>
      <c r="D6855" s="8"/>
      <c r="E6855" s="8"/>
      <c r="M6855" t="s">
        <v>478</v>
      </c>
      <c r="N6855" t="str">
        <f>Tabela_tudo[[#This Row],[Médico]]&amp;" ("&amp;Tabela_tudo[[#This Row],[Obs]]&amp;")"</f>
        <v>PED ()</v>
      </c>
    </row>
    <row r="6856" spans="1:14" x14ac:dyDescent="0.3">
      <c r="A6856" s="1">
        <v>45141</v>
      </c>
      <c r="B6856" t="s">
        <v>52</v>
      </c>
      <c r="C6856" t="s">
        <v>45</v>
      </c>
      <c r="D6856" s="8"/>
      <c r="E6856" s="8"/>
      <c r="M6856" t="s">
        <v>478</v>
      </c>
      <c r="N6856" t="str">
        <f>Tabela_tudo[[#This Row],[Médico]]&amp;" ("&amp;Tabela_tudo[[#This Row],[Obs]]&amp;")"</f>
        <v>AEL ()</v>
      </c>
    </row>
    <row r="6857" spans="1:14" x14ac:dyDescent="0.3">
      <c r="A6857" s="1">
        <v>45141</v>
      </c>
      <c r="B6857" t="s">
        <v>85</v>
      </c>
      <c r="C6857" t="s">
        <v>49</v>
      </c>
      <c r="D6857" s="8"/>
      <c r="E6857" s="8"/>
      <c r="M6857" t="s">
        <v>478</v>
      </c>
      <c r="N6857" t="str">
        <f>Tabela_tudo[[#This Row],[Médico]]&amp;" ("&amp;Tabela_tudo[[#This Row],[Obs]]&amp;")"</f>
        <v>ELF ()</v>
      </c>
    </row>
    <row r="6858" spans="1:14" x14ac:dyDescent="0.3">
      <c r="A6858" s="1">
        <v>45141</v>
      </c>
      <c r="B6858" t="s">
        <v>34</v>
      </c>
      <c r="C6858" t="s">
        <v>51</v>
      </c>
      <c r="D6858" s="8"/>
      <c r="E6858" s="8"/>
      <c r="M6858" t="s">
        <v>478</v>
      </c>
      <c r="N6858" t="str">
        <f>Tabela_tudo[[#This Row],[Médico]]&amp;" ("&amp;Tabela_tudo[[#This Row],[Obs]]&amp;")"</f>
        <v>LIP ()</v>
      </c>
    </row>
    <row r="6859" spans="1:14" x14ac:dyDescent="0.3">
      <c r="A6859" s="1">
        <v>45141</v>
      </c>
      <c r="B6859" t="s">
        <v>14</v>
      </c>
      <c r="C6859" t="s">
        <v>46</v>
      </c>
      <c r="D6859" s="8"/>
      <c r="E6859" s="8"/>
      <c r="F6859" t="s">
        <v>287</v>
      </c>
      <c r="M6859" t="s">
        <v>478</v>
      </c>
      <c r="N6859" t="str">
        <f>Tabela_tudo[[#This Row],[Médico]]&amp;" ("&amp;Tabela_tudo[[#This Row],[Obs]]&amp;")"</f>
        <v>PW (FÉRIAS - AVISAR ESCALADOR)</v>
      </c>
    </row>
    <row r="6860" spans="1:14" x14ac:dyDescent="0.3">
      <c r="A6860" s="1">
        <v>45141</v>
      </c>
      <c r="B6860" t="s">
        <v>94</v>
      </c>
      <c r="C6860" t="s">
        <v>18</v>
      </c>
      <c r="D6860" s="8"/>
      <c r="E6860" s="8"/>
      <c r="M6860" t="s">
        <v>478</v>
      </c>
      <c r="N6860" t="str">
        <f>Tabela_tudo[[#This Row],[Médico]]&amp;" ("&amp;Tabela_tudo[[#This Row],[Obs]]&amp;")"</f>
        <v>TOT ()</v>
      </c>
    </row>
    <row r="6861" spans="1:14" x14ac:dyDescent="0.3">
      <c r="A6861" s="1">
        <v>45142</v>
      </c>
      <c r="B6861" t="s">
        <v>52</v>
      </c>
      <c r="C6861" t="s">
        <v>45</v>
      </c>
      <c r="D6861" s="8"/>
      <c r="E6861" s="8"/>
      <c r="M6861" t="s">
        <v>478</v>
      </c>
      <c r="N6861" t="str">
        <f>Tabela_tudo[[#This Row],[Médico]]&amp;" ("&amp;Tabela_tudo[[#This Row],[Obs]]&amp;")"</f>
        <v>AEL ()</v>
      </c>
    </row>
    <row r="6862" spans="1:14" x14ac:dyDescent="0.3">
      <c r="A6862" s="1">
        <v>45142</v>
      </c>
      <c r="B6862" t="s">
        <v>68</v>
      </c>
      <c r="C6862" t="s">
        <v>46</v>
      </c>
      <c r="D6862" s="8"/>
      <c r="E6862" s="8"/>
      <c r="M6862" t="s">
        <v>478</v>
      </c>
      <c r="N6862" t="str">
        <f>Tabela_tudo[[#This Row],[Médico]]&amp;" ("&amp;Tabela_tudo[[#This Row],[Obs]]&amp;")"</f>
        <v>PED ()</v>
      </c>
    </row>
    <row r="6863" spans="1:14" x14ac:dyDescent="0.3">
      <c r="A6863" s="1">
        <v>45142</v>
      </c>
      <c r="B6863" t="s">
        <v>29</v>
      </c>
      <c r="C6863" t="s">
        <v>30</v>
      </c>
      <c r="D6863" s="8"/>
      <c r="E6863" s="8"/>
      <c r="M6863" t="s">
        <v>478</v>
      </c>
      <c r="N6863" t="str">
        <f>Tabela_tudo[[#This Row],[Médico]]&amp;" ("&amp;Tabela_tudo[[#This Row],[Obs]]&amp;")"</f>
        <v>JOA ()</v>
      </c>
    </row>
    <row r="6864" spans="1:14" x14ac:dyDescent="0.3">
      <c r="A6864" s="1">
        <v>45142</v>
      </c>
      <c r="B6864" t="s">
        <v>84</v>
      </c>
      <c r="C6864" t="s">
        <v>43</v>
      </c>
      <c r="D6864" s="8"/>
      <c r="E6864" s="8"/>
      <c r="M6864" t="s">
        <v>478</v>
      </c>
      <c r="N6864" t="str">
        <f>Tabela_tudo[[#This Row],[Médico]]&amp;" ("&amp;Tabela_tudo[[#This Row],[Obs]]&amp;")"</f>
        <v>ANO ()</v>
      </c>
    </row>
    <row r="6865" spans="1:14" x14ac:dyDescent="0.3">
      <c r="A6865" s="1">
        <v>45142</v>
      </c>
      <c r="B6865" t="s">
        <v>72</v>
      </c>
      <c r="C6865" t="s">
        <v>18</v>
      </c>
      <c r="D6865" s="8"/>
      <c r="E6865" s="8"/>
      <c r="M6865" t="s">
        <v>478</v>
      </c>
      <c r="N6865" t="str">
        <f>Tabela_tudo[[#This Row],[Médico]]&amp;" ("&amp;Tabela_tudo[[#This Row],[Obs]]&amp;")"</f>
        <v>GRA ()</v>
      </c>
    </row>
    <row r="6866" spans="1:14" x14ac:dyDescent="0.3">
      <c r="A6866" s="1">
        <v>45142</v>
      </c>
      <c r="B6866" t="s">
        <v>47</v>
      </c>
      <c r="C6866" t="s">
        <v>30</v>
      </c>
      <c r="D6866" s="8"/>
      <c r="E6866" s="8"/>
      <c r="M6866" t="s">
        <v>478</v>
      </c>
      <c r="N6866" t="str">
        <f>Tabela_tudo[[#This Row],[Médico]]&amp;" ("&amp;Tabela_tudo[[#This Row],[Obs]]&amp;")"</f>
        <v>VIN ()</v>
      </c>
    </row>
    <row r="6867" spans="1:14" x14ac:dyDescent="0.3">
      <c r="A6867" s="1">
        <v>45141</v>
      </c>
      <c r="B6867" t="s">
        <v>73</v>
      </c>
      <c r="C6867" t="s">
        <v>13</v>
      </c>
      <c r="D6867" s="8"/>
      <c r="E6867" s="8"/>
      <c r="M6867" t="s">
        <v>478</v>
      </c>
      <c r="N6867" t="str">
        <f>Tabela_tudo[[#This Row],[Médico]]&amp;" ("&amp;Tabela_tudo[[#This Row],[Obs]]&amp;")"</f>
        <v>RT ()</v>
      </c>
    </row>
    <row r="6868" spans="1:14" x14ac:dyDescent="0.3">
      <c r="A6868" s="1">
        <v>45142</v>
      </c>
      <c r="B6868" t="s">
        <v>85</v>
      </c>
      <c r="C6868" t="s">
        <v>49</v>
      </c>
      <c r="D6868" s="8"/>
      <c r="E6868" s="8"/>
      <c r="M6868" t="s">
        <v>478</v>
      </c>
      <c r="N6868" t="str">
        <f>Tabela_tudo[[#This Row],[Médico]]&amp;" ("&amp;Tabela_tudo[[#This Row],[Obs]]&amp;")"</f>
        <v>ELF ()</v>
      </c>
    </row>
    <row r="6869" spans="1:14" x14ac:dyDescent="0.3">
      <c r="A6869" s="1">
        <v>45142</v>
      </c>
      <c r="B6869" t="s">
        <v>17</v>
      </c>
      <c r="C6869" t="s">
        <v>51</v>
      </c>
      <c r="D6869" s="8"/>
      <c r="E6869" s="8"/>
      <c r="M6869" t="s">
        <v>478</v>
      </c>
      <c r="N6869" t="str">
        <f>Tabela_tudo[[#This Row],[Médico]]&amp;" ("&amp;Tabela_tudo[[#This Row],[Obs]]&amp;")"</f>
        <v>FAB ()</v>
      </c>
    </row>
    <row r="6870" spans="1:14" x14ac:dyDescent="0.3">
      <c r="A6870" s="1">
        <v>45134</v>
      </c>
      <c r="B6870" t="s">
        <v>48</v>
      </c>
      <c r="C6870" t="s">
        <v>49</v>
      </c>
      <c r="D6870" s="8"/>
      <c r="E6870" s="8"/>
      <c r="M6870" t="s">
        <v>478</v>
      </c>
      <c r="N6870" t="str">
        <f>Tabela_tudo[[#This Row],[Médico]]&amp;" ("&amp;Tabela_tudo[[#This Row],[Obs]]&amp;")"</f>
        <v>MAF ()</v>
      </c>
    </row>
    <row r="6871" spans="1:14" x14ac:dyDescent="0.3">
      <c r="A6871" s="1">
        <v>45134</v>
      </c>
      <c r="B6871" t="s">
        <v>34</v>
      </c>
      <c r="C6871" t="s">
        <v>51</v>
      </c>
      <c r="D6871" s="8"/>
      <c r="E6871" s="8"/>
      <c r="M6871" t="s">
        <v>478</v>
      </c>
      <c r="N6871" t="str">
        <f>Tabela_tudo[[#This Row],[Médico]]&amp;" ("&amp;Tabela_tudo[[#This Row],[Obs]]&amp;")"</f>
        <v>LIP ()</v>
      </c>
    </row>
    <row r="6872" spans="1:14" x14ac:dyDescent="0.3">
      <c r="A6872" s="1">
        <v>45134</v>
      </c>
      <c r="B6872" t="s">
        <v>14</v>
      </c>
      <c r="C6872" t="s">
        <v>46</v>
      </c>
      <c r="D6872" s="8"/>
      <c r="E6872" s="8"/>
      <c r="M6872" t="s">
        <v>478</v>
      </c>
      <c r="N6872" t="str">
        <f>Tabela_tudo[[#This Row],[Médico]]&amp;" ("&amp;Tabela_tudo[[#This Row],[Obs]]&amp;")"</f>
        <v>PW ()</v>
      </c>
    </row>
    <row r="6873" spans="1:14" x14ac:dyDescent="0.3">
      <c r="A6873" s="1">
        <v>45134</v>
      </c>
      <c r="B6873" t="s">
        <v>32</v>
      </c>
      <c r="C6873" t="s">
        <v>18</v>
      </c>
      <c r="D6873" s="8"/>
      <c r="E6873" s="8"/>
      <c r="M6873" t="s">
        <v>478</v>
      </c>
      <c r="N6873" t="str">
        <f>Tabela_tudo[[#This Row],[Médico]]&amp;" ("&amp;Tabela_tudo[[#This Row],[Obs]]&amp;")"</f>
        <v>JS ()</v>
      </c>
    </row>
    <row r="6874" spans="1:14" x14ac:dyDescent="0.3">
      <c r="A6874" s="1">
        <v>45134</v>
      </c>
      <c r="B6874" t="s">
        <v>52</v>
      </c>
      <c r="C6874" t="s">
        <v>30</v>
      </c>
      <c r="D6874" s="8"/>
      <c r="E6874" s="8"/>
      <c r="M6874" t="s">
        <v>478</v>
      </c>
      <c r="N6874" t="str">
        <f>Tabela_tudo[[#This Row],[Médico]]&amp;" ("&amp;Tabela_tudo[[#This Row],[Obs]]&amp;")"</f>
        <v>AEL ()</v>
      </c>
    </row>
    <row r="6875" spans="1:14" x14ac:dyDescent="0.3">
      <c r="A6875" s="1">
        <v>45138</v>
      </c>
      <c r="B6875" t="s">
        <v>73</v>
      </c>
      <c r="C6875" t="s">
        <v>8</v>
      </c>
      <c r="D6875" s="8"/>
      <c r="E6875" s="8"/>
      <c r="M6875" t="s">
        <v>478</v>
      </c>
      <c r="N6875" t="str">
        <f>Tabela_tudo[[#This Row],[Médico]]&amp;" ("&amp;Tabela_tudo[[#This Row],[Obs]]&amp;")"</f>
        <v>RT ()</v>
      </c>
    </row>
    <row r="6876" spans="1:14" x14ac:dyDescent="0.3">
      <c r="A6876" s="1">
        <v>45138</v>
      </c>
      <c r="B6876" t="s">
        <v>29</v>
      </c>
      <c r="C6876" t="s">
        <v>43</v>
      </c>
      <c r="D6876" s="8"/>
      <c r="E6876" s="8"/>
      <c r="M6876" t="s">
        <v>478</v>
      </c>
      <c r="N6876" t="str">
        <f>Tabela_tudo[[#This Row],[Médico]]&amp;" ("&amp;Tabela_tudo[[#This Row],[Obs]]&amp;")"</f>
        <v>JOA ()</v>
      </c>
    </row>
    <row r="6877" spans="1:14" x14ac:dyDescent="0.3">
      <c r="A6877" s="1">
        <v>45138</v>
      </c>
      <c r="B6877" t="s">
        <v>32</v>
      </c>
      <c r="C6877" t="s">
        <v>13</v>
      </c>
      <c r="D6877" s="8"/>
      <c r="E6877" s="8"/>
      <c r="M6877" t="s">
        <v>478</v>
      </c>
      <c r="N6877" t="str">
        <f>Tabela_tudo[[#This Row],[Médico]]&amp;" ("&amp;Tabela_tudo[[#This Row],[Obs]]&amp;")"</f>
        <v>JS ()</v>
      </c>
    </row>
    <row r="6878" spans="1:14" x14ac:dyDescent="0.3">
      <c r="A6878" s="1">
        <v>45138</v>
      </c>
      <c r="B6878" t="s">
        <v>33</v>
      </c>
      <c r="C6878" t="s">
        <v>15</v>
      </c>
      <c r="D6878" s="8"/>
      <c r="E6878" s="8"/>
      <c r="M6878" t="s">
        <v>478</v>
      </c>
      <c r="N6878" t="str">
        <f>Tabela_tudo[[#This Row],[Médico]]&amp;" ("&amp;Tabela_tudo[[#This Row],[Obs]]&amp;")"</f>
        <v>DIF ()</v>
      </c>
    </row>
    <row r="6879" spans="1:14" x14ac:dyDescent="0.3">
      <c r="A6879" s="1">
        <v>45144</v>
      </c>
      <c r="B6879" t="s">
        <v>12</v>
      </c>
      <c r="C6879" t="s">
        <v>8</v>
      </c>
      <c r="D6879" s="8"/>
      <c r="E6879" s="8"/>
      <c r="M6879" t="s">
        <v>478</v>
      </c>
      <c r="N6879" t="str">
        <f>Tabela_tudo[[#This Row],[Médico]]&amp;" ("&amp;Tabela_tudo[[#This Row],[Obs]]&amp;")"</f>
        <v>EDU ()</v>
      </c>
    </row>
    <row r="6880" spans="1:14" x14ac:dyDescent="0.3">
      <c r="A6880" s="1">
        <v>45144</v>
      </c>
      <c r="B6880" t="s">
        <v>44</v>
      </c>
      <c r="C6880" t="s">
        <v>78</v>
      </c>
      <c r="D6880" s="8"/>
      <c r="E6880" s="8"/>
      <c r="M6880" t="s">
        <v>478</v>
      </c>
      <c r="N6880" t="str">
        <f>Tabela_tudo[[#This Row],[Médico]]&amp;" ("&amp;Tabela_tudo[[#This Row],[Obs]]&amp;")"</f>
        <v>REI ()</v>
      </c>
    </row>
    <row r="6881" spans="1:14" x14ac:dyDescent="0.3">
      <c r="A6881" s="1">
        <v>45133</v>
      </c>
      <c r="B6881" t="s">
        <v>73</v>
      </c>
      <c r="C6881" t="s">
        <v>51</v>
      </c>
      <c r="D6881" s="8"/>
      <c r="E6881" s="8"/>
      <c r="M6881" t="s">
        <v>478</v>
      </c>
      <c r="N6881" t="str">
        <f>Tabela_tudo[[#This Row],[Médico]]&amp;" ("&amp;Tabela_tudo[[#This Row],[Obs]]&amp;")"</f>
        <v>RT ()</v>
      </c>
    </row>
    <row r="6882" spans="1:14" x14ac:dyDescent="0.3">
      <c r="A6882" s="1">
        <v>45144</v>
      </c>
      <c r="B6882" t="s">
        <v>17</v>
      </c>
      <c r="C6882" t="s">
        <v>13</v>
      </c>
      <c r="D6882" s="8"/>
      <c r="E6882" s="8"/>
      <c r="M6882" t="s">
        <v>478</v>
      </c>
      <c r="N6882" t="str">
        <f>Tabela_tudo[[#This Row],[Médico]]&amp;" ("&amp;Tabela_tudo[[#This Row],[Obs]]&amp;")"</f>
        <v>FAB ()</v>
      </c>
    </row>
    <row r="6883" spans="1:14" x14ac:dyDescent="0.3">
      <c r="A6883" s="1">
        <v>45134</v>
      </c>
      <c r="B6883" t="s">
        <v>50</v>
      </c>
      <c r="C6883" t="s">
        <v>13</v>
      </c>
      <c r="D6883" s="8"/>
      <c r="E6883" s="8"/>
      <c r="M6883" t="s">
        <v>478</v>
      </c>
      <c r="N6883" t="str">
        <f>Tabela_tudo[[#This Row],[Médico]]&amp;" ("&amp;Tabela_tudo[[#This Row],[Obs]]&amp;")"</f>
        <v>PJP ()</v>
      </c>
    </row>
    <row r="6884" spans="1:14" x14ac:dyDescent="0.3">
      <c r="A6884" s="1">
        <v>45134</v>
      </c>
      <c r="B6884" t="s">
        <v>12</v>
      </c>
      <c r="C6884" t="s">
        <v>43</v>
      </c>
      <c r="D6884" s="8"/>
      <c r="E6884" s="8"/>
      <c r="M6884" t="s">
        <v>478</v>
      </c>
      <c r="N6884" t="str">
        <f>Tabela_tudo[[#This Row],[Médico]]&amp;" ("&amp;Tabela_tudo[[#This Row],[Obs]]&amp;")"</f>
        <v>EDU ()</v>
      </c>
    </row>
    <row r="6885" spans="1:14" x14ac:dyDescent="0.3">
      <c r="A6885" s="1">
        <v>45134</v>
      </c>
      <c r="B6885" t="s">
        <v>52</v>
      </c>
      <c r="C6885" t="s">
        <v>45</v>
      </c>
      <c r="D6885" s="8"/>
      <c r="E6885" s="8"/>
      <c r="M6885" t="s">
        <v>478</v>
      </c>
      <c r="N6885" t="str">
        <f>Tabela_tudo[[#This Row],[Médico]]&amp;" ("&amp;Tabela_tudo[[#This Row],[Obs]]&amp;")"</f>
        <v>AEL ()</v>
      </c>
    </row>
    <row r="6886" spans="1:14" x14ac:dyDescent="0.3">
      <c r="A6886" s="1">
        <v>45134</v>
      </c>
      <c r="B6886" t="s">
        <v>66</v>
      </c>
      <c r="C6886" t="s">
        <v>15</v>
      </c>
      <c r="D6886" s="8"/>
      <c r="E6886" s="8"/>
      <c r="M6886" t="s">
        <v>478</v>
      </c>
      <c r="N6886" t="str">
        <f>Tabela_tudo[[#This Row],[Médico]]&amp;" ("&amp;Tabela_tudo[[#This Row],[Obs]]&amp;")"</f>
        <v>MOZ ()</v>
      </c>
    </row>
    <row r="6887" spans="1:14" x14ac:dyDescent="0.3">
      <c r="A6887" s="1">
        <v>45134</v>
      </c>
      <c r="B6887" t="s">
        <v>72</v>
      </c>
      <c r="C6887" t="s">
        <v>8</v>
      </c>
      <c r="D6887" s="8"/>
      <c r="E6887" s="8"/>
      <c r="M6887" t="s">
        <v>478</v>
      </c>
      <c r="N6887" t="str">
        <f>Tabela_tudo[[#This Row],[Médico]]&amp;" ("&amp;Tabela_tudo[[#This Row],[Obs]]&amp;")"</f>
        <v>GRA ()</v>
      </c>
    </row>
    <row r="6888" spans="1:14" x14ac:dyDescent="0.3">
      <c r="A6888" s="1">
        <v>45139</v>
      </c>
      <c r="B6888" t="s">
        <v>72</v>
      </c>
      <c r="C6888" t="s">
        <v>30</v>
      </c>
      <c r="D6888" s="8"/>
      <c r="E6888" s="8"/>
      <c r="M6888" t="s">
        <v>478</v>
      </c>
      <c r="N6888" t="str">
        <f>Tabela_tudo[[#This Row],[Médico]]&amp;" ("&amp;Tabela_tudo[[#This Row],[Obs]]&amp;")"</f>
        <v>GRA ()</v>
      </c>
    </row>
    <row r="6889" spans="1:14" x14ac:dyDescent="0.3">
      <c r="A6889" s="1">
        <v>45139</v>
      </c>
      <c r="B6889" t="s">
        <v>37</v>
      </c>
      <c r="C6889" t="s">
        <v>30</v>
      </c>
      <c r="D6889" s="8"/>
      <c r="E6889" s="8"/>
      <c r="M6889" t="s">
        <v>478</v>
      </c>
      <c r="N6889" t="str">
        <f>Tabela_tudo[[#This Row],[Médico]]&amp;" ("&amp;Tabela_tudo[[#This Row],[Obs]]&amp;")"</f>
        <v>EBB ()</v>
      </c>
    </row>
    <row r="6890" spans="1:14" x14ac:dyDescent="0.3">
      <c r="A6890" s="1">
        <v>45139</v>
      </c>
      <c r="B6890" t="s">
        <v>63</v>
      </c>
      <c r="C6890" t="s">
        <v>15</v>
      </c>
      <c r="D6890" s="8"/>
      <c r="E6890" s="8"/>
      <c r="M6890" t="s">
        <v>478</v>
      </c>
      <c r="N6890" t="str">
        <f>Tabela_tudo[[#This Row],[Médico]]&amp;" ("&amp;Tabela_tudo[[#This Row],[Obs]]&amp;")"</f>
        <v>FQ ()</v>
      </c>
    </row>
    <row r="6891" spans="1:14" x14ac:dyDescent="0.3">
      <c r="A6891" s="1">
        <v>45139</v>
      </c>
      <c r="B6891" t="s">
        <v>48</v>
      </c>
      <c r="C6891" t="s">
        <v>8</v>
      </c>
      <c r="D6891" s="8"/>
      <c r="E6891" s="8"/>
      <c r="M6891" t="s">
        <v>478</v>
      </c>
      <c r="N6891" t="str">
        <f>Tabela_tudo[[#This Row],[Médico]]&amp;" ("&amp;Tabela_tudo[[#This Row],[Obs]]&amp;")"</f>
        <v>MAF ()</v>
      </c>
    </row>
    <row r="6892" spans="1:14" x14ac:dyDescent="0.3">
      <c r="A6892" s="1">
        <v>45139</v>
      </c>
      <c r="B6892" t="s">
        <v>23</v>
      </c>
      <c r="C6892" t="s">
        <v>22</v>
      </c>
      <c r="D6892" s="8">
        <v>0.54166666666666663</v>
      </c>
      <c r="E6892" s="8">
        <v>0.75</v>
      </c>
      <c r="M6892" t="s">
        <v>478</v>
      </c>
      <c r="N6892" t="str">
        <f>Tabela_tudo[[#This Row],[Médico]]&amp;" ("&amp;Tabela_tudo[[#This Row],[Obs]]&amp;")"</f>
        <v>BG ()</v>
      </c>
    </row>
    <row r="6893" spans="1:14" x14ac:dyDescent="0.3">
      <c r="A6893" s="1">
        <v>45139</v>
      </c>
      <c r="B6893" t="s">
        <v>16</v>
      </c>
      <c r="C6893" t="s">
        <v>46</v>
      </c>
      <c r="D6893" s="8"/>
      <c r="E6893" s="8"/>
      <c r="M6893" t="s">
        <v>478</v>
      </c>
      <c r="N6893" t="str">
        <f>Tabela_tudo[[#This Row],[Médico]]&amp;" ("&amp;Tabela_tudo[[#This Row],[Obs]]&amp;")"</f>
        <v>PP ()</v>
      </c>
    </row>
    <row r="6894" spans="1:14" x14ac:dyDescent="0.3">
      <c r="A6894" s="1">
        <v>45139</v>
      </c>
      <c r="B6894" t="s">
        <v>63</v>
      </c>
      <c r="C6894" t="s">
        <v>18</v>
      </c>
      <c r="D6894" s="8"/>
      <c r="E6894" s="8"/>
      <c r="M6894" t="s">
        <v>478</v>
      </c>
      <c r="N6894" t="str">
        <f>Tabela_tudo[[#This Row],[Médico]]&amp;" ("&amp;Tabela_tudo[[#This Row],[Obs]]&amp;")"</f>
        <v>FQ ()</v>
      </c>
    </row>
    <row r="6895" spans="1:14" x14ac:dyDescent="0.3">
      <c r="A6895" s="1">
        <v>45139</v>
      </c>
      <c r="B6895" t="s">
        <v>37</v>
      </c>
      <c r="C6895" t="s">
        <v>43</v>
      </c>
      <c r="D6895" s="8"/>
      <c r="E6895" s="8"/>
      <c r="M6895" t="s">
        <v>478</v>
      </c>
      <c r="N6895" t="str">
        <f>Tabela_tudo[[#This Row],[Médico]]&amp;" ("&amp;Tabela_tudo[[#This Row],[Obs]]&amp;")"</f>
        <v>EBB ()</v>
      </c>
    </row>
    <row r="6896" spans="1:14" x14ac:dyDescent="0.3">
      <c r="A6896" s="1">
        <v>45139</v>
      </c>
      <c r="B6896" t="s">
        <v>23</v>
      </c>
      <c r="C6896" t="s">
        <v>45</v>
      </c>
      <c r="D6896" s="8"/>
      <c r="E6896" s="8"/>
      <c r="M6896" t="s">
        <v>478</v>
      </c>
      <c r="N6896" t="str">
        <f>Tabela_tudo[[#This Row],[Médico]]&amp;" ("&amp;Tabela_tudo[[#This Row],[Obs]]&amp;")"</f>
        <v>BG ()</v>
      </c>
    </row>
    <row r="6897" spans="1:14" x14ac:dyDescent="0.3">
      <c r="A6897" s="1">
        <v>45138</v>
      </c>
      <c r="B6897" t="s">
        <v>32</v>
      </c>
      <c r="C6897" t="s">
        <v>18</v>
      </c>
      <c r="D6897" s="8"/>
      <c r="E6897" s="8"/>
      <c r="M6897" t="s">
        <v>478</v>
      </c>
      <c r="N6897" t="str">
        <f>Tabela_tudo[[#This Row],[Médico]]&amp;" ("&amp;Tabela_tudo[[#This Row],[Obs]]&amp;")"</f>
        <v>JS ()</v>
      </c>
    </row>
    <row r="6898" spans="1:14" x14ac:dyDescent="0.3">
      <c r="A6898" s="1">
        <v>45138</v>
      </c>
      <c r="B6898" t="s">
        <v>85</v>
      </c>
      <c r="C6898" t="s">
        <v>49</v>
      </c>
      <c r="D6898" s="8"/>
      <c r="E6898" s="8"/>
      <c r="M6898" t="s">
        <v>478</v>
      </c>
      <c r="N6898" t="str">
        <f>Tabela_tudo[[#This Row],[Médico]]&amp;" ("&amp;Tabela_tudo[[#This Row],[Obs]]&amp;")"</f>
        <v>ELF ()</v>
      </c>
    </row>
    <row r="6899" spans="1:14" x14ac:dyDescent="0.3">
      <c r="A6899" s="1">
        <v>45138</v>
      </c>
      <c r="B6899" t="s">
        <v>44</v>
      </c>
      <c r="C6899" t="s">
        <v>45</v>
      </c>
      <c r="D6899" s="8"/>
      <c r="E6899" s="8"/>
      <c r="M6899" t="s">
        <v>478</v>
      </c>
      <c r="N6899" t="str">
        <f>Tabela_tudo[[#This Row],[Médico]]&amp;" ("&amp;Tabela_tudo[[#This Row],[Obs]]&amp;")"</f>
        <v>REI ()</v>
      </c>
    </row>
    <row r="6900" spans="1:14" x14ac:dyDescent="0.3">
      <c r="A6900" s="1">
        <v>45138</v>
      </c>
      <c r="B6900" t="s">
        <v>21</v>
      </c>
      <c r="C6900" t="s">
        <v>46</v>
      </c>
      <c r="D6900" s="8"/>
      <c r="E6900" s="8"/>
      <c r="M6900" t="s">
        <v>478</v>
      </c>
      <c r="N6900" t="str">
        <f>Tabela_tudo[[#This Row],[Médico]]&amp;" ("&amp;Tabela_tudo[[#This Row],[Obs]]&amp;")"</f>
        <v>RA ()</v>
      </c>
    </row>
    <row r="6901" spans="1:14" x14ac:dyDescent="0.3">
      <c r="A6901" s="1">
        <v>45138</v>
      </c>
      <c r="B6901" t="s">
        <v>50</v>
      </c>
      <c r="C6901" t="s">
        <v>51</v>
      </c>
      <c r="D6901" s="8"/>
      <c r="E6901" s="8"/>
      <c r="M6901" t="s">
        <v>478</v>
      </c>
      <c r="N6901" t="str">
        <f>Tabela_tudo[[#This Row],[Médico]]&amp;" ("&amp;Tabela_tudo[[#This Row],[Obs]]&amp;")"</f>
        <v>PJP ()</v>
      </c>
    </row>
    <row r="6902" spans="1:14" x14ac:dyDescent="0.3">
      <c r="A6902" s="1">
        <v>45138</v>
      </c>
      <c r="B6902" t="s">
        <v>37</v>
      </c>
      <c r="C6902" t="s">
        <v>30</v>
      </c>
      <c r="D6902" s="8"/>
      <c r="E6902" s="8"/>
      <c r="M6902" t="s">
        <v>478</v>
      </c>
      <c r="N6902" t="str">
        <f>Tabela_tudo[[#This Row],[Médico]]&amp;" ("&amp;Tabela_tudo[[#This Row],[Obs]]&amp;")"</f>
        <v>EBB ()</v>
      </c>
    </row>
    <row r="6903" spans="1:14" x14ac:dyDescent="0.3">
      <c r="A6903" s="1">
        <v>45139</v>
      </c>
      <c r="B6903" t="s">
        <v>71</v>
      </c>
      <c r="C6903" t="s">
        <v>13</v>
      </c>
      <c r="D6903" s="8"/>
      <c r="E6903" s="8"/>
      <c r="M6903" t="s">
        <v>478</v>
      </c>
      <c r="N6903" t="str">
        <f>Tabela_tudo[[#This Row],[Médico]]&amp;" ("&amp;Tabela_tudo[[#This Row],[Obs]]&amp;")"</f>
        <v>BRU ()</v>
      </c>
    </row>
    <row r="6904" spans="1:14" x14ac:dyDescent="0.3">
      <c r="A6904" s="1">
        <v>45138</v>
      </c>
      <c r="B6904" t="s">
        <v>72</v>
      </c>
      <c r="C6904" t="s">
        <v>30</v>
      </c>
      <c r="D6904" s="8"/>
      <c r="E6904" s="8"/>
      <c r="M6904" t="s">
        <v>478</v>
      </c>
      <c r="N6904" t="str">
        <f>Tabela_tudo[[#This Row],[Médico]]&amp;" ("&amp;Tabela_tudo[[#This Row],[Obs]]&amp;")"</f>
        <v>GRA ()</v>
      </c>
    </row>
    <row r="6905" spans="1:14" x14ac:dyDescent="0.3">
      <c r="A6905" s="1">
        <v>45138</v>
      </c>
      <c r="B6905" t="s">
        <v>71</v>
      </c>
      <c r="C6905" t="s">
        <v>30</v>
      </c>
      <c r="D6905" s="8"/>
      <c r="E6905" s="8"/>
      <c r="M6905" t="s">
        <v>478</v>
      </c>
      <c r="N6905" t="str">
        <f>Tabela_tudo[[#This Row],[Médico]]&amp;" ("&amp;Tabela_tudo[[#This Row],[Obs]]&amp;")"</f>
        <v>BRU ()</v>
      </c>
    </row>
    <row r="6906" spans="1:14" x14ac:dyDescent="0.3">
      <c r="A6906" s="1">
        <v>45107</v>
      </c>
      <c r="B6906" t="s">
        <v>64</v>
      </c>
      <c r="C6906" t="s">
        <v>43</v>
      </c>
      <c r="D6906" s="8"/>
      <c r="E6906" s="8"/>
      <c r="M6906" t="s">
        <v>478</v>
      </c>
      <c r="N6906" t="str">
        <f>Tabela_tudo[[#This Row],[Médico]]&amp;" ("&amp;Tabela_tudo[[#This Row],[Obs]]&amp;")"</f>
        <v>SAR ()</v>
      </c>
    </row>
    <row r="6907" spans="1:14" x14ac:dyDescent="0.3">
      <c r="A6907" s="1">
        <v>45121</v>
      </c>
      <c r="B6907" t="s">
        <v>94</v>
      </c>
      <c r="C6907" t="s">
        <v>18</v>
      </c>
      <c r="D6907" s="8"/>
      <c r="E6907" s="8"/>
      <c r="M6907" t="s">
        <v>478</v>
      </c>
      <c r="N6907" t="str">
        <f>Tabela_tudo[[#This Row],[Médico]]&amp;" ("&amp;Tabela_tudo[[#This Row],[Obs]]&amp;")"</f>
        <v>TOT ()</v>
      </c>
    </row>
    <row r="6908" spans="1:14" x14ac:dyDescent="0.3">
      <c r="A6908" s="1">
        <v>45107</v>
      </c>
      <c r="B6908" t="s">
        <v>17</v>
      </c>
      <c r="C6908" t="s">
        <v>51</v>
      </c>
      <c r="D6908" s="8"/>
      <c r="E6908" s="8"/>
      <c r="M6908" t="s">
        <v>478</v>
      </c>
      <c r="N6908" t="str">
        <f>Tabela_tudo[[#This Row],[Médico]]&amp;" ("&amp;Tabela_tudo[[#This Row],[Obs]]&amp;")"</f>
        <v>FAB ()</v>
      </c>
    </row>
    <row r="6909" spans="1:14" x14ac:dyDescent="0.3">
      <c r="A6909" s="1">
        <v>45107</v>
      </c>
      <c r="B6909" t="s">
        <v>16</v>
      </c>
      <c r="C6909" t="s">
        <v>46</v>
      </c>
      <c r="D6909" s="8"/>
      <c r="E6909" s="8"/>
      <c r="M6909" t="s">
        <v>478</v>
      </c>
      <c r="N6909" t="str">
        <f>Tabela_tudo[[#This Row],[Médico]]&amp;" ("&amp;Tabela_tudo[[#This Row],[Obs]]&amp;")"</f>
        <v>PP ()</v>
      </c>
    </row>
    <row r="6910" spans="1:14" x14ac:dyDescent="0.3">
      <c r="A6910" s="1">
        <v>45107</v>
      </c>
      <c r="B6910" t="s">
        <v>23</v>
      </c>
      <c r="C6910" t="s">
        <v>43</v>
      </c>
      <c r="D6910" s="8"/>
      <c r="E6910" s="8"/>
      <c r="M6910" t="s">
        <v>478</v>
      </c>
      <c r="N6910" t="str">
        <f>Tabela_tudo[[#This Row],[Médico]]&amp;" ("&amp;Tabela_tudo[[#This Row],[Obs]]&amp;")"</f>
        <v>BG ()</v>
      </c>
    </row>
    <row r="6911" spans="1:14" x14ac:dyDescent="0.3">
      <c r="A6911" s="1">
        <v>45121</v>
      </c>
      <c r="B6911" t="s">
        <v>44</v>
      </c>
      <c r="C6911" t="s">
        <v>45</v>
      </c>
      <c r="D6911" s="8"/>
      <c r="E6911" s="8"/>
      <c r="M6911" t="s">
        <v>478</v>
      </c>
      <c r="N6911" t="str">
        <f>Tabela_tudo[[#This Row],[Médico]]&amp;" ("&amp;Tabela_tudo[[#This Row],[Obs]]&amp;")"</f>
        <v>REI ()</v>
      </c>
    </row>
    <row r="6912" spans="1:14" x14ac:dyDescent="0.3">
      <c r="A6912" s="1">
        <v>45121</v>
      </c>
      <c r="B6912" t="s">
        <v>64</v>
      </c>
      <c r="C6912" t="s">
        <v>43</v>
      </c>
      <c r="D6912" s="8"/>
      <c r="E6912" s="8"/>
      <c r="M6912" t="s">
        <v>478</v>
      </c>
      <c r="N6912" t="str">
        <f>Tabela_tudo[[#This Row],[Médico]]&amp;" ("&amp;Tabela_tudo[[#This Row],[Obs]]&amp;")"</f>
        <v>SAR ()</v>
      </c>
    </row>
    <row r="6913" spans="1:14" x14ac:dyDescent="0.3">
      <c r="A6913" s="1">
        <v>45107</v>
      </c>
      <c r="B6913" t="s">
        <v>85</v>
      </c>
      <c r="C6913" t="s">
        <v>30</v>
      </c>
      <c r="D6913" s="8"/>
      <c r="E6913" s="8"/>
      <c r="M6913" t="s">
        <v>478</v>
      </c>
      <c r="N6913" t="str">
        <f>Tabela_tudo[[#This Row],[Médico]]&amp;" ("&amp;Tabela_tudo[[#This Row],[Obs]]&amp;")"</f>
        <v>ELF ()</v>
      </c>
    </row>
    <row r="6914" spans="1:14" x14ac:dyDescent="0.3">
      <c r="A6914" s="1">
        <v>45121</v>
      </c>
      <c r="B6914" t="s">
        <v>17</v>
      </c>
      <c r="C6914" t="s">
        <v>51</v>
      </c>
      <c r="D6914" s="8"/>
      <c r="E6914" s="8"/>
      <c r="M6914" t="s">
        <v>478</v>
      </c>
      <c r="N6914" t="str">
        <f>Tabela_tudo[[#This Row],[Médico]]&amp;" ("&amp;Tabela_tudo[[#This Row],[Obs]]&amp;")"</f>
        <v>FAB ()</v>
      </c>
    </row>
    <row r="6915" spans="1:14" x14ac:dyDescent="0.3">
      <c r="A6915" s="1">
        <v>45121</v>
      </c>
      <c r="B6915" t="s">
        <v>71</v>
      </c>
      <c r="C6915" t="s">
        <v>49</v>
      </c>
      <c r="D6915" s="8"/>
      <c r="E6915" s="8"/>
      <c r="M6915" t="s">
        <v>478</v>
      </c>
      <c r="N6915" t="str">
        <f>Tabela_tudo[[#This Row],[Médico]]&amp;" ("&amp;Tabela_tudo[[#This Row],[Obs]]&amp;")"</f>
        <v>BRU ()</v>
      </c>
    </row>
    <row r="6916" spans="1:14" x14ac:dyDescent="0.3">
      <c r="A6916" s="1">
        <v>45121</v>
      </c>
      <c r="B6916" t="s">
        <v>63</v>
      </c>
      <c r="C6916" t="s">
        <v>13</v>
      </c>
      <c r="D6916" s="8"/>
      <c r="E6916" s="8"/>
      <c r="M6916" t="s">
        <v>478</v>
      </c>
      <c r="N6916" t="str">
        <f>Tabela_tudo[[#This Row],[Médico]]&amp;" ("&amp;Tabela_tudo[[#This Row],[Obs]]&amp;")"</f>
        <v>FQ ()</v>
      </c>
    </row>
    <row r="6917" spans="1:14" x14ac:dyDescent="0.3">
      <c r="A6917" s="1">
        <v>45121</v>
      </c>
      <c r="B6917" t="s">
        <v>84</v>
      </c>
      <c r="C6917" t="s">
        <v>8</v>
      </c>
      <c r="D6917" s="8"/>
      <c r="E6917" s="8"/>
      <c r="M6917" t="s">
        <v>478</v>
      </c>
      <c r="N6917" t="str">
        <f>Tabela_tudo[[#This Row],[Médico]]&amp;" ("&amp;Tabela_tudo[[#This Row],[Obs]]&amp;")"</f>
        <v>ANO ()</v>
      </c>
    </row>
    <row r="6918" spans="1:14" x14ac:dyDescent="0.3">
      <c r="A6918" s="1">
        <v>45107</v>
      </c>
      <c r="B6918" t="s">
        <v>14</v>
      </c>
      <c r="C6918" t="s">
        <v>30</v>
      </c>
      <c r="D6918" s="8"/>
      <c r="E6918" s="8"/>
      <c r="M6918" t="s">
        <v>478</v>
      </c>
      <c r="N6918" t="str">
        <f>Tabela_tudo[[#This Row],[Médico]]&amp;" ("&amp;Tabela_tudo[[#This Row],[Obs]]&amp;")"</f>
        <v>PW ()</v>
      </c>
    </row>
    <row r="6919" spans="1:14" x14ac:dyDescent="0.3">
      <c r="A6919" s="1">
        <v>45121</v>
      </c>
      <c r="B6919" t="s">
        <v>68</v>
      </c>
      <c r="C6919" t="s">
        <v>15</v>
      </c>
      <c r="D6919" s="8"/>
      <c r="E6919" s="8"/>
      <c r="M6919" t="s">
        <v>478</v>
      </c>
      <c r="N6919" t="str">
        <f>Tabela_tudo[[#This Row],[Médico]]&amp;" ("&amp;Tabela_tudo[[#This Row],[Obs]]&amp;")"</f>
        <v>PED ()</v>
      </c>
    </row>
    <row r="6920" spans="1:14" x14ac:dyDescent="0.3">
      <c r="A6920" s="1">
        <v>45107</v>
      </c>
      <c r="B6920" t="s">
        <v>71</v>
      </c>
      <c r="C6920" t="s">
        <v>49</v>
      </c>
      <c r="D6920" s="8"/>
      <c r="E6920" s="8"/>
      <c r="M6920" t="s">
        <v>478</v>
      </c>
      <c r="N6920" t="str">
        <f>Tabela_tudo[[#This Row],[Médico]]&amp;" ("&amp;Tabela_tudo[[#This Row],[Obs]]&amp;")"</f>
        <v>BRU ()</v>
      </c>
    </row>
    <row r="6921" spans="1:14" x14ac:dyDescent="0.3">
      <c r="A6921" s="1">
        <v>45107</v>
      </c>
      <c r="B6921" t="s">
        <v>63</v>
      </c>
      <c r="C6921" t="s">
        <v>8</v>
      </c>
      <c r="D6921" s="8"/>
      <c r="E6921" s="8"/>
      <c r="M6921" t="s">
        <v>478</v>
      </c>
      <c r="N6921" t="str">
        <f>Tabela_tudo[[#This Row],[Médico]]&amp;" ("&amp;Tabela_tudo[[#This Row],[Obs]]&amp;")"</f>
        <v>FQ ()</v>
      </c>
    </row>
    <row r="6922" spans="1:14" x14ac:dyDescent="0.3">
      <c r="A6922" s="1">
        <v>45121</v>
      </c>
      <c r="B6922" t="s">
        <v>16</v>
      </c>
      <c r="C6922" t="s">
        <v>46</v>
      </c>
      <c r="D6922" s="8"/>
      <c r="E6922" s="8"/>
      <c r="M6922" t="s">
        <v>478</v>
      </c>
      <c r="N6922" t="str">
        <f>Tabela_tudo[[#This Row],[Médico]]&amp;" ("&amp;Tabela_tudo[[#This Row],[Obs]]&amp;")"</f>
        <v>PP ()</v>
      </c>
    </row>
    <row r="6923" spans="1:14" x14ac:dyDescent="0.3">
      <c r="A6923" s="1">
        <v>45121</v>
      </c>
      <c r="B6923" t="s">
        <v>25</v>
      </c>
      <c r="C6923" t="s">
        <v>30</v>
      </c>
      <c r="D6923" s="8"/>
      <c r="E6923" s="8"/>
      <c r="M6923" t="s">
        <v>478</v>
      </c>
      <c r="N6923" t="str">
        <f>Tabela_tudo[[#This Row],[Médico]]&amp;" ("&amp;Tabela_tudo[[#This Row],[Obs]]&amp;")"</f>
        <v>HEN ()</v>
      </c>
    </row>
    <row r="6924" spans="1:14" x14ac:dyDescent="0.3">
      <c r="A6924" s="1">
        <v>45107</v>
      </c>
      <c r="B6924" t="s">
        <v>72</v>
      </c>
      <c r="C6924" t="s">
        <v>18</v>
      </c>
      <c r="D6924" s="8"/>
      <c r="E6924" s="8"/>
      <c r="M6924" t="s">
        <v>478</v>
      </c>
      <c r="N6924" t="str">
        <f>Tabela_tudo[[#This Row],[Médico]]&amp;" ("&amp;Tabela_tudo[[#This Row],[Obs]]&amp;")"</f>
        <v>GRA ()</v>
      </c>
    </row>
    <row r="6925" spans="1:14" x14ac:dyDescent="0.3">
      <c r="A6925" s="1">
        <v>45107</v>
      </c>
      <c r="B6925" t="s">
        <v>71</v>
      </c>
      <c r="C6925" t="s">
        <v>15</v>
      </c>
      <c r="D6925" s="8"/>
      <c r="E6925" s="8"/>
      <c r="M6925" t="s">
        <v>478</v>
      </c>
      <c r="N6925" t="str">
        <f>Tabela_tudo[[#This Row],[Médico]]&amp;" ("&amp;Tabela_tudo[[#This Row],[Obs]]&amp;")"</f>
        <v>BRU ()</v>
      </c>
    </row>
    <row r="6926" spans="1:14" x14ac:dyDescent="0.3">
      <c r="A6926" s="1">
        <v>45191</v>
      </c>
      <c r="B6926" t="s">
        <v>79</v>
      </c>
      <c r="C6926" t="s">
        <v>465</v>
      </c>
      <c r="D6926" s="8"/>
      <c r="E6926" s="8"/>
      <c r="F6926" t="s">
        <v>486</v>
      </c>
      <c r="M6926" t="s">
        <v>481</v>
      </c>
      <c r="N6926" t="str">
        <f>Tabela_tudo[[#This Row],[Médico]]&amp;" ("&amp;Tabela_tudo[[#This Row],[Obs]]&amp;")"</f>
        <v>MTB (JARGS)</v>
      </c>
    </row>
    <row r="6927" spans="1:14" x14ac:dyDescent="0.3">
      <c r="A6927" s="1">
        <v>45227</v>
      </c>
      <c r="B6927" t="s">
        <v>69</v>
      </c>
      <c r="C6927" t="s">
        <v>13</v>
      </c>
      <c r="D6927" s="8"/>
      <c r="E6927" s="8"/>
      <c r="M6927" t="s">
        <v>479</v>
      </c>
      <c r="N6927" t="str">
        <f>Tabela_tudo[[#This Row],[Médico]]&amp;" ("&amp;Tabela_tudo[[#This Row],[Obs]]&amp;")"</f>
        <v>PRE ()</v>
      </c>
    </row>
    <row r="6928" spans="1:14" x14ac:dyDescent="0.3">
      <c r="A6928" s="1">
        <v>45193</v>
      </c>
      <c r="B6928" t="s">
        <v>103</v>
      </c>
      <c r="C6928" t="s">
        <v>465</v>
      </c>
      <c r="D6928" s="8"/>
      <c r="E6928" s="8"/>
      <c r="F6928" t="s">
        <v>486</v>
      </c>
      <c r="M6928" t="s">
        <v>481</v>
      </c>
      <c r="N6928" t="str">
        <f>Tabela_tudo[[#This Row],[Médico]]&amp;" ("&amp;Tabela_tudo[[#This Row],[Obs]]&amp;")"</f>
        <v>CAD (JARGS)</v>
      </c>
    </row>
    <row r="6929" spans="1:14" x14ac:dyDescent="0.3">
      <c r="A6929" s="1">
        <v>45088</v>
      </c>
      <c r="B6929" t="s">
        <v>112</v>
      </c>
      <c r="C6929" t="s">
        <v>8</v>
      </c>
      <c r="D6929" s="8"/>
      <c r="E6929" s="8"/>
      <c r="M6929" t="s">
        <v>479</v>
      </c>
      <c r="N6929" t="str">
        <f>Tabela_tudo[[#This Row],[Médico]]&amp;" ("&amp;Tabela_tudo[[#This Row],[Obs]]&amp;")"</f>
        <v>FLE ()</v>
      </c>
    </row>
    <row r="6930" spans="1:14" x14ac:dyDescent="0.3">
      <c r="A6930" s="1">
        <v>45192</v>
      </c>
      <c r="B6930" t="s">
        <v>103</v>
      </c>
      <c r="C6930" t="s">
        <v>465</v>
      </c>
      <c r="D6930" s="8"/>
      <c r="E6930" s="8"/>
      <c r="F6930" t="s">
        <v>486</v>
      </c>
      <c r="M6930" t="s">
        <v>481</v>
      </c>
      <c r="N6930" t="str">
        <f>Tabela_tudo[[#This Row],[Médico]]&amp;" ("&amp;Tabela_tudo[[#This Row],[Obs]]&amp;")"</f>
        <v>CAD (JARGS)</v>
      </c>
    </row>
    <row r="6931" spans="1:14" x14ac:dyDescent="0.3">
      <c r="A6931" s="1">
        <v>45138</v>
      </c>
      <c r="B6931" t="s">
        <v>35</v>
      </c>
      <c r="C6931" t="s">
        <v>41</v>
      </c>
      <c r="D6931" s="8"/>
      <c r="E6931" s="8"/>
      <c r="M6931" t="s">
        <v>479</v>
      </c>
      <c r="N6931" t="str">
        <f>Tabela_tudo[[#This Row],[Médico]]&amp;" ("&amp;Tabela_tudo[[#This Row],[Obs]]&amp;")"</f>
        <v>FLA ()</v>
      </c>
    </row>
    <row r="6932" spans="1:14" x14ac:dyDescent="0.3">
      <c r="A6932" s="1">
        <v>45191</v>
      </c>
      <c r="B6932" t="s">
        <v>103</v>
      </c>
      <c r="C6932" t="s">
        <v>465</v>
      </c>
      <c r="D6932" s="8"/>
      <c r="E6932" s="8"/>
      <c r="F6932" t="s">
        <v>486</v>
      </c>
      <c r="M6932" t="s">
        <v>481</v>
      </c>
      <c r="N6932" t="str">
        <f>Tabela_tudo[[#This Row],[Médico]]&amp;" ("&amp;Tabela_tudo[[#This Row],[Obs]]&amp;")"</f>
        <v>CAD (JARGS)</v>
      </c>
    </row>
    <row r="6933" spans="1:14" x14ac:dyDescent="0.3">
      <c r="A6933" s="1">
        <v>45088</v>
      </c>
      <c r="B6933" t="s">
        <v>40</v>
      </c>
      <c r="C6933" t="s">
        <v>78</v>
      </c>
      <c r="D6933" s="8"/>
      <c r="E6933" s="8"/>
      <c r="M6933" t="s">
        <v>481</v>
      </c>
      <c r="N6933" t="str">
        <f>Tabela_tudo[[#This Row],[Médico]]&amp;" ("&amp;Tabela_tudo[[#This Row],[Obs]]&amp;")"</f>
        <v>EMA ()</v>
      </c>
    </row>
    <row r="6934" spans="1:14" x14ac:dyDescent="0.3">
      <c r="A6934" s="1">
        <v>45191</v>
      </c>
      <c r="B6934" t="s">
        <v>9</v>
      </c>
      <c r="C6934" t="s">
        <v>465</v>
      </c>
      <c r="D6934" s="8"/>
      <c r="E6934" s="8"/>
      <c r="F6934" t="s">
        <v>486</v>
      </c>
      <c r="M6934" t="s">
        <v>481</v>
      </c>
      <c r="N6934" t="str">
        <f>Tabela_tudo[[#This Row],[Médico]]&amp;" ("&amp;Tabela_tudo[[#This Row],[Obs]]&amp;")"</f>
        <v>KRE (JARGS)</v>
      </c>
    </row>
    <row r="6935" spans="1:14" x14ac:dyDescent="0.3">
      <c r="A6935" s="1">
        <v>45149</v>
      </c>
      <c r="B6935" t="s">
        <v>109</v>
      </c>
      <c r="C6935" t="s">
        <v>41</v>
      </c>
      <c r="D6935" s="8"/>
      <c r="E6935" s="8"/>
      <c r="M6935" t="s">
        <v>479</v>
      </c>
      <c r="N6935" t="str">
        <f>Tabela_tudo[[#This Row],[Médico]]&amp;" ("&amp;Tabela_tudo[[#This Row],[Obs]]&amp;")"</f>
        <v>CA ()</v>
      </c>
    </row>
    <row r="6936" spans="1:14" x14ac:dyDescent="0.3">
      <c r="A6936" s="1">
        <v>45193</v>
      </c>
      <c r="B6936" t="s">
        <v>40</v>
      </c>
      <c r="C6936" t="s">
        <v>465</v>
      </c>
      <c r="D6936" s="8"/>
      <c r="E6936" s="8"/>
      <c r="F6936" t="s">
        <v>486</v>
      </c>
      <c r="M6936" t="s">
        <v>481</v>
      </c>
      <c r="N6936" t="str">
        <f>Tabela_tudo[[#This Row],[Médico]]&amp;" ("&amp;Tabela_tudo[[#This Row],[Obs]]&amp;")"</f>
        <v>EMA (JARGS)</v>
      </c>
    </row>
    <row r="6937" spans="1:14" x14ac:dyDescent="0.3">
      <c r="A6937" s="1">
        <v>45138</v>
      </c>
      <c r="B6937" t="s">
        <v>36</v>
      </c>
      <c r="C6937" t="s">
        <v>41</v>
      </c>
      <c r="D6937" s="8"/>
      <c r="E6937" s="8"/>
      <c r="M6937" t="s">
        <v>481</v>
      </c>
      <c r="N6937" t="str">
        <f>Tabela_tudo[[#This Row],[Médico]]&amp;" ("&amp;Tabela_tudo[[#This Row],[Obs]]&amp;")"</f>
        <v>DRI ()</v>
      </c>
    </row>
    <row r="6938" spans="1:14" x14ac:dyDescent="0.3">
      <c r="A6938" s="1">
        <v>45193</v>
      </c>
      <c r="B6938" t="s">
        <v>9</v>
      </c>
      <c r="C6938" t="s">
        <v>465</v>
      </c>
      <c r="D6938" s="8"/>
      <c r="E6938" s="8"/>
      <c r="F6938" t="s">
        <v>486</v>
      </c>
      <c r="M6938" t="s">
        <v>481</v>
      </c>
      <c r="N6938" t="str">
        <f>Tabela_tudo[[#This Row],[Médico]]&amp;" ("&amp;Tabela_tudo[[#This Row],[Obs]]&amp;")"</f>
        <v>KRE (JARGS)</v>
      </c>
    </row>
    <row r="6939" spans="1:14" x14ac:dyDescent="0.3">
      <c r="A6939" s="1">
        <v>45227</v>
      </c>
      <c r="B6939" t="s">
        <v>96</v>
      </c>
      <c r="C6939" t="s">
        <v>8</v>
      </c>
      <c r="D6939" s="8"/>
      <c r="E6939" s="8"/>
      <c r="M6939" t="s">
        <v>477</v>
      </c>
      <c r="N6939" t="str">
        <f>Tabela_tudo[[#This Row],[Médico]]&amp;" ("&amp;Tabela_tudo[[#This Row],[Obs]]&amp;")"</f>
        <v>VF ()</v>
      </c>
    </row>
    <row r="6940" spans="1:14" x14ac:dyDescent="0.3">
      <c r="A6940" s="1">
        <v>45192</v>
      </c>
      <c r="B6940" t="s">
        <v>9</v>
      </c>
      <c r="C6940" t="s">
        <v>465</v>
      </c>
      <c r="D6940" s="8"/>
      <c r="E6940" s="8"/>
      <c r="F6940" t="s">
        <v>486</v>
      </c>
      <c r="M6940" t="s">
        <v>481</v>
      </c>
      <c r="N6940" t="str">
        <f>Tabela_tudo[[#This Row],[Médico]]&amp;" ("&amp;Tabela_tudo[[#This Row],[Obs]]&amp;")"</f>
        <v>KRE (JARGS)</v>
      </c>
    </row>
    <row r="6941" spans="1:14" x14ac:dyDescent="0.3">
      <c r="A6941" s="1">
        <v>45138</v>
      </c>
      <c r="B6941" t="s">
        <v>40</v>
      </c>
      <c r="C6941" t="s">
        <v>10</v>
      </c>
      <c r="D6941" s="8"/>
      <c r="E6941" s="8"/>
      <c r="M6941" t="s">
        <v>481</v>
      </c>
      <c r="N6941" t="str">
        <f>Tabela_tudo[[#This Row],[Médico]]&amp;" ("&amp;Tabela_tudo[[#This Row],[Obs]]&amp;")"</f>
        <v>EMA ()</v>
      </c>
    </row>
    <row r="6942" spans="1:14" x14ac:dyDescent="0.3">
      <c r="A6942" s="1">
        <v>45192</v>
      </c>
      <c r="B6942" t="s">
        <v>96</v>
      </c>
      <c r="C6942" t="s">
        <v>465</v>
      </c>
      <c r="D6942" s="8"/>
      <c r="E6942" s="8"/>
      <c r="F6942" t="s">
        <v>486</v>
      </c>
      <c r="M6942" t="s">
        <v>477</v>
      </c>
      <c r="N6942" t="str">
        <f>Tabela_tudo[[#This Row],[Médico]]&amp;" ("&amp;Tabela_tudo[[#This Row],[Obs]]&amp;")"</f>
        <v>VF (JARGS)</v>
      </c>
    </row>
    <row r="6943" spans="1:14" x14ac:dyDescent="0.3">
      <c r="A6943" s="1">
        <v>45089</v>
      </c>
      <c r="B6943" t="s">
        <v>9</v>
      </c>
      <c r="C6943" t="s">
        <v>10</v>
      </c>
      <c r="D6943" s="8"/>
      <c r="E6943" s="8"/>
      <c r="M6943" t="s">
        <v>481</v>
      </c>
      <c r="N6943" t="str">
        <f>Tabela_tudo[[#This Row],[Médico]]&amp;" ("&amp;Tabela_tudo[[#This Row],[Obs]]&amp;")"</f>
        <v>KRE ()</v>
      </c>
    </row>
    <row r="6944" spans="1:14" x14ac:dyDescent="0.3">
      <c r="A6944" s="1">
        <v>45191</v>
      </c>
      <c r="B6944" t="s">
        <v>96</v>
      </c>
      <c r="C6944" t="s">
        <v>465</v>
      </c>
      <c r="D6944" s="8"/>
      <c r="E6944" s="8"/>
      <c r="F6944" t="s">
        <v>486</v>
      </c>
      <c r="M6944" t="s">
        <v>477</v>
      </c>
      <c r="N6944" t="str">
        <f>Tabela_tudo[[#This Row],[Médico]]&amp;" ("&amp;Tabela_tudo[[#This Row],[Obs]]&amp;")"</f>
        <v>VF (JARGS)</v>
      </c>
    </row>
    <row r="6945" spans="1:14" x14ac:dyDescent="0.3">
      <c r="A6945" s="1">
        <v>45089</v>
      </c>
      <c r="B6945" t="s">
        <v>36</v>
      </c>
      <c r="C6945" t="s">
        <v>10</v>
      </c>
      <c r="D6945" s="8"/>
      <c r="E6945" s="8"/>
      <c r="M6945" t="s">
        <v>481</v>
      </c>
      <c r="N6945" t="str">
        <f>Tabela_tudo[[#This Row],[Médico]]&amp;" ("&amp;Tabela_tudo[[#This Row],[Obs]]&amp;")"</f>
        <v>DRI ()</v>
      </c>
    </row>
    <row r="6946" spans="1:14" x14ac:dyDescent="0.3">
      <c r="A6946" s="1">
        <v>45193</v>
      </c>
      <c r="B6946" t="s">
        <v>39</v>
      </c>
      <c r="C6946" t="s">
        <v>465</v>
      </c>
      <c r="D6946" s="8"/>
      <c r="E6946" s="8"/>
      <c r="F6946" t="s">
        <v>486</v>
      </c>
      <c r="M6946" t="s">
        <v>479</v>
      </c>
      <c r="N6946" t="str">
        <f>Tabela_tudo[[#This Row],[Médico]]&amp;" ("&amp;Tabela_tudo[[#This Row],[Obs]]&amp;")"</f>
        <v>KLA (JARGS)</v>
      </c>
    </row>
    <row r="6947" spans="1:14" x14ac:dyDescent="0.3">
      <c r="A6947" s="1">
        <v>45089</v>
      </c>
      <c r="B6947" t="s">
        <v>98</v>
      </c>
      <c r="C6947" t="s">
        <v>13</v>
      </c>
      <c r="D6947" s="8"/>
      <c r="E6947" s="8"/>
      <c r="M6947" t="s">
        <v>479</v>
      </c>
      <c r="N6947" t="str">
        <f>Tabela_tudo[[#This Row],[Médico]]&amp;" ("&amp;Tabela_tudo[[#This Row],[Obs]]&amp;")"</f>
        <v>NIC ()</v>
      </c>
    </row>
    <row r="6948" spans="1:14" x14ac:dyDescent="0.3">
      <c r="A6948" s="1">
        <v>45193</v>
      </c>
      <c r="B6948" t="s">
        <v>96</v>
      </c>
      <c r="C6948" t="s">
        <v>465</v>
      </c>
      <c r="D6948" s="8"/>
      <c r="E6948" s="8"/>
      <c r="F6948" t="s">
        <v>486</v>
      </c>
      <c r="M6948" t="s">
        <v>477</v>
      </c>
      <c r="N6948" t="str">
        <f>Tabela_tudo[[#This Row],[Médico]]&amp;" ("&amp;Tabela_tudo[[#This Row],[Obs]]&amp;")"</f>
        <v>VF (JARGS)</v>
      </c>
    </row>
    <row r="6949" spans="1:14" x14ac:dyDescent="0.3">
      <c r="A6949" s="1">
        <v>45089</v>
      </c>
      <c r="B6949" t="s">
        <v>59</v>
      </c>
      <c r="C6949" t="s">
        <v>8</v>
      </c>
      <c r="D6949" s="8"/>
      <c r="E6949" s="8"/>
      <c r="M6949" t="s">
        <v>477</v>
      </c>
      <c r="N6949" t="str">
        <f>Tabela_tudo[[#This Row],[Médico]]&amp;" ("&amp;Tabela_tudo[[#This Row],[Obs]]&amp;")"</f>
        <v>WEN ()</v>
      </c>
    </row>
    <row r="6950" spans="1:14" x14ac:dyDescent="0.3">
      <c r="A6950" s="1">
        <v>45193</v>
      </c>
      <c r="B6950" t="s">
        <v>27</v>
      </c>
      <c r="C6950" t="s">
        <v>465</v>
      </c>
      <c r="D6950" s="8"/>
      <c r="E6950" s="8"/>
      <c r="F6950" t="s">
        <v>486</v>
      </c>
      <c r="M6950" t="s">
        <v>481</v>
      </c>
      <c r="N6950" t="str">
        <f>Tabela_tudo[[#This Row],[Médico]]&amp;" ("&amp;Tabela_tudo[[#This Row],[Obs]]&amp;")"</f>
        <v>KIL (JARGS)</v>
      </c>
    </row>
    <row r="6951" spans="1:14" x14ac:dyDescent="0.3">
      <c r="A6951" s="1">
        <v>45138</v>
      </c>
      <c r="B6951" t="s">
        <v>60</v>
      </c>
      <c r="C6951" t="s">
        <v>41</v>
      </c>
      <c r="D6951" s="8"/>
      <c r="E6951" s="8"/>
      <c r="M6951" t="s">
        <v>477</v>
      </c>
      <c r="N6951" t="str">
        <f>Tabela_tudo[[#This Row],[Médico]]&amp;" ("&amp;Tabela_tudo[[#This Row],[Obs]]&amp;")"</f>
        <v>BMT ()</v>
      </c>
    </row>
    <row r="6952" spans="1:14" x14ac:dyDescent="0.3">
      <c r="A6952" s="1">
        <v>45193</v>
      </c>
      <c r="B6952" t="s">
        <v>79</v>
      </c>
      <c r="C6952" t="s">
        <v>465</v>
      </c>
      <c r="D6952" s="8"/>
      <c r="E6952" s="8"/>
      <c r="F6952" t="s">
        <v>486</v>
      </c>
      <c r="M6952" t="s">
        <v>481</v>
      </c>
      <c r="N6952" t="str">
        <f>Tabela_tudo[[#This Row],[Médico]]&amp;" ("&amp;Tabela_tudo[[#This Row],[Obs]]&amp;")"</f>
        <v>MTB (JARGS)</v>
      </c>
    </row>
    <row r="6953" spans="1:14" x14ac:dyDescent="0.3">
      <c r="A6953" s="1">
        <v>45208</v>
      </c>
      <c r="B6953" t="s">
        <v>112</v>
      </c>
      <c r="C6953" t="s">
        <v>41</v>
      </c>
      <c r="D6953" s="8"/>
      <c r="E6953" s="8"/>
      <c r="M6953" t="s">
        <v>479</v>
      </c>
      <c r="N6953" t="str">
        <f>Tabela_tudo[[#This Row],[Médico]]&amp;" ("&amp;Tabela_tudo[[#This Row],[Obs]]&amp;")"</f>
        <v>FLE ()</v>
      </c>
    </row>
    <row r="6954" spans="1:14" x14ac:dyDescent="0.3">
      <c r="A6954" s="1">
        <v>45192</v>
      </c>
      <c r="B6954" t="s">
        <v>79</v>
      </c>
      <c r="C6954" t="s">
        <v>465</v>
      </c>
      <c r="D6954" s="8"/>
      <c r="E6954" s="8"/>
      <c r="F6954" t="s">
        <v>486</v>
      </c>
      <c r="M6954" t="s">
        <v>481</v>
      </c>
      <c r="N6954" t="str">
        <f>Tabela_tudo[[#This Row],[Médico]]&amp;" ("&amp;Tabela_tudo[[#This Row],[Obs]]&amp;")"</f>
        <v>MTB (JARGS)</v>
      </c>
    </row>
    <row r="6955" spans="1:14" x14ac:dyDescent="0.3">
      <c r="A6955" s="1">
        <v>45208</v>
      </c>
      <c r="B6955" t="s">
        <v>79</v>
      </c>
      <c r="C6955" t="s">
        <v>41</v>
      </c>
      <c r="D6955" s="8"/>
      <c r="E6955" s="8"/>
      <c r="M6955" t="s">
        <v>481</v>
      </c>
      <c r="N6955" t="str">
        <f>Tabela_tudo[[#This Row],[Médico]]&amp;" ("&amp;Tabela_tudo[[#This Row],[Obs]]&amp;")"</f>
        <v>MTB ()</v>
      </c>
    </row>
    <row r="6956" spans="1:14" x14ac:dyDescent="0.3">
      <c r="A6956" s="1">
        <v>45192</v>
      </c>
      <c r="B6956" t="s">
        <v>27</v>
      </c>
      <c r="C6956" t="s">
        <v>465</v>
      </c>
      <c r="D6956" s="8"/>
      <c r="E6956" s="8"/>
      <c r="F6956" t="s">
        <v>486</v>
      </c>
      <c r="M6956" t="s">
        <v>481</v>
      </c>
      <c r="N6956" t="str">
        <f>Tabela_tudo[[#This Row],[Médico]]&amp;" ("&amp;Tabela_tudo[[#This Row],[Obs]]&amp;")"</f>
        <v>KIL (JARGS)</v>
      </c>
    </row>
    <row r="6957" spans="1:14" x14ac:dyDescent="0.3">
      <c r="A6957" s="1">
        <v>45208</v>
      </c>
      <c r="B6957" t="s">
        <v>60</v>
      </c>
      <c r="C6957" t="s">
        <v>41</v>
      </c>
      <c r="D6957" s="8"/>
      <c r="E6957" s="8"/>
      <c r="M6957" t="s">
        <v>477</v>
      </c>
      <c r="N6957" t="str">
        <f>Tabela_tudo[[#This Row],[Médico]]&amp;" ("&amp;Tabela_tudo[[#This Row],[Obs]]&amp;")"</f>
        <v>BMT ()</v>
      </c>
    </row>
    <row r="6958" spans="1:14" x14ac:dyDescent="0.3">
      <c r="A6958" s="1">
        <v>45191</v>
      </c>
      <c r="B6958" t="s">
        <v>27</v>
      </c>
      <c r="C6958" t="s">
        <v>465</v>
      </c>
      <c r="D6958" s="8"/>
      <c r="E6958" s="8"/>
      <c r="F6958" t="s">
        <v>486</v>
      </c>
      <c r="M6958" t="s">
        <v>481</v>
      </c>
      <c r="N6958" t="str">
        <f>Tabela_tudo[[#This Row],[Médico]]&amp;" ("&amp;Tabela_tudo[[#This Row],[Obs]]&amp;")"</f>
        <v>KIL (JARGS)</v>
      </c>
    </row>
    <row r="6959" spans="1:14" x14ac:dyDescent="0.3">
      <c r="A6959" s="1">
        <v>45149</v>
      </c>
      <c r="B6959" t="s">
        <v>27</v>
      </c>
      <c r="C6959" t="s">
        <v>10</v>
      </c>
      <c r="D6959" s="8"/>
      <c r="E6959" s="8"/>
      <c r="M6959" t="s">
        <v>481</v>
      </c>
      <c r="N6959" t="str">
        <f>Tabela_tudo[[#This Row],[Médico]]&amp;" ("&amp;Tabela_tudo[[#This Row],[Obs]]&amp;")"</f>
        <v>KIL ()</v>
      </c>
    </row>
    <row r="6960" spans="1:14" x14ac:dyDescent="0.3">
      <c r="A6960" s="1">
        <v>45177</v>
      </c>
      <c r="B6960" t="s">
        <v>59</v>
      </c>
      <c r="C6960" t="s">
        <v>465</v>
      </c>
      <c r="D6960" s="8"/>
      <c r="E6960" s="8"/>
      <c r="F6960" t="s">
        <v>472</v>
      </c>
      <c r="M6960" t="s">
        <v>477</v>
      </c>
      <c r="N6960" t="str">
        <f>Tabela_tudo[[#This Row],[Médico]]&amp;" ("&amp;Tabela_tudo[[#This Row],[Obs]]&amp;")"</f>
        <v>WEN (CLASA)</v>
      </c>
    </row>
    <row r="6961" spans="1:14" x14ac:dyDescent="0.3">
      <c r="A6961" s="1">
        <v>45205</v>
      </c>
      <c r="B6961" t="s">
        <v>149</v>
      </c>
      <c r="C6961" t="s">
        <v>13</v>
      </c>
      <c r="D6961" s="8"/>
      <c r="E6961" s="8"/>
      <c r="M6961" t="s">
        <v>477</v>
      </c>
      <c r="N6961" t="str">
        <f>Tabela_tudo[[#This Row],[Médico]]&amp;" ("&amp;Tabela_tudo[[#This Row],[Obs]]&amp;")"</f>
        <v>NF ()</v>
      </c>
    </row>
    <row r="6962" spans="1:14" x14ac:dyDescent="0.3">
      <c r="A6962" s="1">
        <v>45192</v>
      </c>
      <c r="B6962" t="s">
        <v>149</v>
      </c>
      <c r="C6962" t="s">
        <v>465</v>
      </c>
      <c r="D6962" s="8"/>
      <c r="E6962" s="8"/>
      <c r="F6962" t="s">
        <v>486</v>
      </c>
      <c r="M6962" t="s">
        <v>477</v>
      </c>
      <c r="N6962" t="str">
        <f>Tabela_tudo[[#This Row],[Médico]]&amp;" ("&amp;Tabela_tudo[[#This Row],[Obs]]&amp;")"</f>
        <v>NF (JARGS)</v>
      </c>
    </row>
    <row r="6963" spans="1:14" x14ac:dyDescent="0.3">
      <c r="A6963" s="1">
        <v>45149</v>
      </c>
      <c r="B6963" t="s">
        <v>79</v>
      </c>
      <c r="C6963" t="s">
        <v>10</v>
      </c>
      <c r="D6963" s="8"/>
      <c r="E6963" s="8"/>
      <c r="M6963" t="s">
        <v>481</v>
      </c>
      <c r="N6963" t="str">
        <f>Tabela_tudo[[#This Row],[Médico]]&amp;" ("&amp;Tabela_tudo[[#This Row],[Obs]]&amp;")"</f>
        <v>MTB ()</v>
      </c>
    </row>
    <row r="6964" spans="1:14" x14ac:dyDescent="0.3">
      <c r="A6964" s="1">
        <v>45176</v>
      </c>
      <c r="B6964" t="s">
        <v>59</v>
      </c>
      <c r="C6964" t="s">
        <v>465</v>
      </c>
      <c r="D6964" s="8"/>
      <c r="E6964" s="8"/>
      <c r="F6964" t="s">
        <v>472</v>
      </c>
      <c r="M6964" t="s">
        <v>477</v>
      </c>
      <c r="N6964" t="str">
        <f>Tabela_tudo[[#This Row],[Médico]]&amp;" ("&amp;Tabela_tudo[[#This Row],[Obs]]&amp;")"</f>
        <v>WEN (CLASA)</v>
      </c>
    </row>
    <row r="6965" spans="1:14" x14ac:dyDescent="0.3">
      <c r="A6965" s="1">
        <v>45217</v>
      </c>
      <c r="B6965" t="s">
        <v>9</v>
      </c>
      <c r="C6965" t="s">
        <v>10</v>
      </c>
      <c r="D6965" s="8"/>
      <c r="E6965" s="8"/>
      <c r="M6965" t="s">
        <v>481</v>
      </c>
      <c r="N6965" t="str">
        <f>Tabela_tudo[[#This Row],[Médico]]&amp;" ("&amp;Tabela_tudo[[#This Row],[Obs]]&amp;")"</f>
        <v>KRE ()</v>
      </c>
    </row>
    <row r="6966" spans="1:14" x14ac:dyDescent="0.3">
      <c r="A6966" s="1">
        <v>45191</v>
      </c>
      <c r="B6966" t="s">
        <v>61</v>
      </c>
      <c r="C6966" t="s">
        <v>465</v>
      </c>
      <c r="D6966" s="8"/>
      <c r="E6966" s="8"/>
      <c r="F6966" t="s">
        <v>486</v>
      </c>
      <c r="M6966" t="s">
        <v>477</v>
      </c>
      <c r="N6966" t="str">
        <f>Tabela_tudo[[#This Row],[Médico]]&amp;" ("&amp;Tabela_tudo[[#This Row],[Obs]]&amp;")"</f>
        <v>AD (JARGS)</v>
      </c>
    </row>
    <row r="6967" spans="1:14" x14ac:dyDescent="0.3">
      <c r="A6967" s="1">
        <v>45208</v>
      </c>
      <c r="B6967" t="s">
        <v>98</v>
      </c>
      <c r="C6967" t="s">
        <v>13</v>
      </c>
      <c r="D6967" s="8"/>
      <c r="E6967" s="8"/>
      <c r="M6967" t="s">
        <v>479</v>
      </c>
      <c r="N6967" t="str">
        <f>Tabela_tudo[[#This Row],[Médico]]&amp;" ("&amp;Tabela_tudo[[#This Row],[Obs]]&amp;")"</f>
        <v>NIC ()</v>
      </c>
    </row>
    <row r="6968" spans="1:14" x14ac:dyDescent="0.3">
      <c r="A6968" s="1">
        <v>45193</v>
      </c>
      <c r="B6968" t="s">
        <v>149</v>
      </c>
      <c r="C6968" t="s">
        <v>465</v>
      </c>
      <c r="D6968" s="8"/>
      <c r="E6968" s="8"/>
      <c r="F6968" t="s">
        <v>486</v>
      </c>
      <c r="M6968" t="s">
        <v>477</v>
      </c>
      <c r="N6968" t="str">
        <f>Tabela_tudo[[#This Row],[Médico]]&amp;" ("&amp;Tabela_tudo[[#This Row],[Obs]]&amp;")"</f>
        <v>NF (JARGS)</v>
      </c>
    </row>
    <row r="6969" spans="1:14" x14ac:dyDescent="0.3">
      <c r="A6969" s="1">
        <v>45149</v>
      </c>
      <c r="B6969" t="s">
        <v>83</v>
      </c>
      <c r="C6969" t="s">
        <v>41</v>
      </c>
      <c r="D6969" s="8"/>
      <c r="E6969" s="8"/>
      <c r="M6969" t="s">
        <v>477</v>
      </c>
      <c r="N6969" t="str">
        <f>Tabela_tudo[[#This Row],[Médico]]&amp;" ("&amp;Tabela_tudo[[#This Row],[Obs]]&amp;")"</f>
        <v>MG ()</v>
      </c>
    </row>
    <row r="6970" spans="1:14" x14ac:dyDescent="0.3">
      <c r="A6970" s="1">
        <v>45191</v>
      </c>
      <c r="B6970" t="s">
        <v>149</v>
      </c>
      <c r="C6970" t="s">
        <v>465</v>
      </c>
      <c r="D6970" s="8"/>
      <c r="E6970" s="8"/>
      <c r="F6970" t="s">
        <v>486</v>
      </c>
      <c r="M6970" t="s">
        <v>477</v>
      </c>
      <c r="N6970" t="str">
        <f>Tabela_tudo[[#This Row],[Médico]]&amp;" ("&amp;Tabela_tudo[[#This Row],[Obs]]&amp;")"</f>
        <v>NF (JARGS)</v>
      </c>
    </row>
    <row r="6971" spans="1:14" x14ac:dyDescent="0.3">
      <c r="A6971" s="1">
        <v>45088</v>
      </c>
      <c r="B6971" t="s">
        <v>62</v>
      </c>
      <c r="C6971" t="s">
        <v>13</v>
      </c>
      <c r="D6971" s="8"/>
      <c r="E6971" s="8"/>
      <c r="M6971" t="s">
        <v>477</v>
      </c>
      <c r="N6971" t="str">
        <f>Tabela_tudo[[#This Row],[Médico]]&amp;" ("&amp;Tabela_tudo[[#This Row],[Obs]]&amp;")"</f>
        <v>RKS ()</v>
      </c>
    </row>
    <row r="6972" spans="1:14" x14ac:dyDescent="0.3">
      <c r="A6972" s="1">
        <v>45178</v>
      </c>
      <c r="B6972" t="s">
        <v>59</v>
      </c>
      <c r="C6972" t="s">
        <v>465</v>
      </c>
      <c r="D6972" s="8"/>
      <c r="E6972" s="8"/>
      <c r="F6972" t="s">
        <v>472</v>
      </c>
      <c r="M6972" t="s">
        <v>477</v>
      </c>
      <c r="N6972" t="str">
        <f>Tabela_tudo[[#This Row],[Médico]]&amp;" ("&amp;Tabela_tudo[[#This Row],[Obs]]&amp;")"</f>
        <v>WEN (CLASA)</v>
      </c>
    </row>
    <row r="6973" spans="1:14" x14ac:dyDescent="0.3">
      <c r="A6973" s="1">
        <v>45208</v>
      </c>
      <c r="B6973" t="s">
        <v>40</v>
      </c>
      <c r="C6973" t="s">
        <v>8</v>
      </c>
      <c r="D6973" s="8"/>
      <c r="E6973" s="8"/>
      <c r="M6973" t="s">
        <v>481</v>
      </c>
      <c r="N6973" t="str">
        <f>Tabela_tudo[[#This Row],[Médico]]&amp;" ("&amp;Tabela_tudo[[#This Row],[Obs]]&amp;")"</f>
        <v>EMA ()</v>
      </c>
    </row>
    <row r="6974" spans="1:14" x14ac:dyDescent="0.3">
      <c r="A6974" s="1">
        <v>45179</v>
      </c>
      <c r="B6974" t="s">
        <v>59</v>
      </c>
      <c r="C6974" t="s">
        <v>465</v>
      </c>
      <c r="D6974" s="8"/>
      <c r="E6974" s="8"/>
      <c r="F6974" t="s">
        <v>472</v>
      </c>
      <c r="M6974" t="s">
        <v>477</v>
      </c>
      <c r="N6974" t="str">
        <f>Tabela_tudo[[#This Row],[Médico]]&amp;" ("&amp;Tabela_tudo[[#This Row],[Obs]]&amp;")"</f>
        <v>WEN (CLASA)</v>
      </c>
    </row>
    <row r="6975" spans="1:14" x14ac:dyDescent="0.3">
      <c r="A6975" s="1">
        <v>45208</v>
      </c>
      <c r="B6975" t="s">
        <v>9</v>
      </c>
      <c r="C6975" t="s">
        <v>10</v>
      </c>
      <c r="D6975" s="8"/>
      <c r="E6975" s="8"/>
      <c r="M6975" t="s">
        <v>481</v>
      </c>
      <c r="N6975" t="str">
        <f>Tabela_tudo[[#This Row],[Médico]]&amp;" ("&amp;Tabela_tudo[[#This Row],[Obs]]&amp;")"</f>
        <v>KRE ()</v>
      </c>
    </row>
    <row r="6976" spans="1:14" x14ac:dyDescent="0.3">
      <c r="A6976" s="1">
        <v>45191</v>
      </c>
      <c r="B6976" t="s">
        <v>60</v>
      </c>
      <c r="C6976" t="s">
        <v>465</v>
      </c>
      <c r="D6976" s="8"/>
      <c r="E6976" s="8"/>
      <c r="F6976" t="s">
        <v>486</v>
      </c>
      <c r="M6976" t="s">
        <v>477</v>
      </c>
      <c r="N6976" t="str">
        <f>Tabela_tudo[[#This Row],[Médico]]&amp;" ("&amp;Tabela_tudo[[#This Row],[Obs]]&amp;")"</f>
        <v>BMT (JARGS)</v>
      </c>
    </row>
    <row r="6977" spans="1:14" x14ac:dyDescent="0.3">
      <c r="A6977" s="1">
        <v>45208</v>
      </c>
      <c r="B6977" t="s">
        <v>35</v>
      </c>
      <c r="C6977" t="s">
        <v>10</v>
      </c>
      <c r="D6977" s="8"/>
      <c r="E6977" s="8"/>
      <c r="M6977" t="s">
        <v>479</v>
      </c>
      <c r="N6977" t="str">
        <f>Tabela_tudo[[#This Row],[Médico]]&amp;" ("&amp;Tabela_tudo[[#This Row],[Obs]]&amp;")"</f>
        <v>FLA ()</v>
      </c>
    </row>
    <row r="6978" spans="1:14" x14ac:dyDescent="0.3">
      <c r="A6978" s="1">
        <v>45193</v>
      </c>
      <c r="B6978" t="s">
        <v>60</v>
      </c>
      <c r="C6978" t="s">
        <v>465</v>
      </c>
      <c r="D6978" s="8"/>
      <c r="E6978" s="8"/>
      <c r="F6978" t="s">
        <v>486</v>
      </c>
      <c r="M6978" t="s">
        <v>477</v>
      </c>
      <c r="N6978" t="str">
        <f>Tabela_tudo[[#This Row],[Médico]]&amp;" ("&amp;Tabela_tudo[[#This Row],[Obs]]&amp;")"</f>
        <v>BMT (JARGS)</v>
      </c>
    </row>
    <row r="6979" spans="1:14" x14ac:dyDescent="0.3">
      <c r="A6979" s="1">
        <v>45208</v>
      </c>
      <c r="B6979" t="s">
        <v>27</v>
      </c>
      <c r="C6979" t="s">
        <v>10</v>
      </c>
      <c r="D6979" s="8"/>
      <c r="E6979" s="8"/>
      <c r="M6979" t="s">
        <v>481</v>
      </c>
      <c r="N6979" t="str">
        <f>Tabela_tudo[[#This Row],[Médico]]&amp;" ("&amp;Tabela_tudo[[#This Row],[Obs]]&amp;")"</f>
        <v>KIL ()</v>
      </c>
    </row>
    <row r="6980" spans="1:14" x14ac:dyDescent="0.3">
      <c r="A6980" s="1">
        <v>45192</v>
      </c>
      <c r="B6980" t="s">
        <v>60</v>
      </c>
      <c r="C6980" t="s">
        <v>465</v>
      </c>
      <c r="D6980" s="8"/>
      <c r="E6980" s="8"/>
      <c r="F6980" t="s">
        <v>486</v>
      </c>
      <c r="M6980" t="s">
        <v>477</v>
      </c>
      <c r="N6980" t="str">
        <f>Tabela_tudo[[#This Row],[Médico]]&amp;" ("&amp;Tabela_tudo[[#This Row],[Obs]]&amp;")"</f>
        <v>BMT (JARGS)</v>
      </c>
    </row>
    <row r="6981" spans="1:14" x14ac:dyDescent="0.3">
      <c r="A6981" s="1">
        <v>45089</v>
      </c>
      <c r="B6981" t="s">
        <v>109</v>
      </c>
      <c r="C6981" t="s">
        <v>10</v>
      </c>
      <c r="D6981" s="8"/>
      <c r="E6981" s="8"/>
      <c r="M6981" t="s">
        <v>479</v>
      </c>
      <c r="N6981" t="str">
        <f>Tabela_tudo[[#This Row],[Médico]]&amp;" ("&amp;Tabela_tudo[[#This Row],[Obs]]&amp;")"</f>
        <v>CA ()</v>
      </c>
    </row>
    <row r="6982" spans="1:14" x14ac:dyDescent="0.3">
      <c r="A6982" s="1">
        <v>45192</v>
      </c>
      <c r="B6982" t="s">
        <v>61</v>
      </c>
      <c r="C6982" t="s">
        <v>465</v>
      </c>
      <c r="D6982" s="8"/>
      <c r="E6982" s="8"/>
      <c r="F6982" t="s">
        <v>486</v>
      </c>
      <c r="M6982" t="s">
        <v>477</v>
      </c>
      <c r="N6982" t="str">
        <f>Tabela_tudo[[#This Row],[Médico]]&amp;" ("&amp;Tabela_tudo[[#This Row],[Obs]]&amp;")"</f>
        <v>AD (JARGS)</v>
      </c>
    </row>
    <row r="6983" spans="1:14" x14ac:dyDescent="0.3">
      <c r="A6983" s="1">
        <v>45090</v>
      </c>
      <c r="B6983" t="s">
        <v>36</v>
      </c>
      <c r="C6983" t="s">
        <v>10</v>
      </c>
      <c r="D6983" s="8"/>
      <c r="E6983" s="8"/>
      <c r="M6983" t="s">
        <v>481</v>
      </c>
      <c r="N6983" t="str">
        <f>Tabela_tudo[[#This Row],[Médico]]&amp;" ("&amp;Tabela_tudo[[#This Row],[Obs]]&amp;")"</f>
        <v>DRI ()</v>
      </c>
    </row>
    <row r="6984" spans="1:14" x14ac:dyDescent="0.3">
      <c r="A6984" s="1">
        <v>45192</v>
      </c>
      <c r="B6984" t="s">
        <v>98</v>
      </c>
      <c r="C6984" t="s">
        <v>465</v>
      </c>
      <c r="D6984" s="8"/>
      <c r="E6984" s="8"/>
      <c r="F6984" t="s">
        <v>486</v>
      </c>
      <c r="M6984" t="s">
        <v>479</v>
      </c>
      <c r="N6984" t="str">
        <f>Tabela_tudo[[#This Row],[Médico]]&amp;" ("&amp;Tabela_tudo[[#This Row],[Obs]]&amp;")"</f>
        <v>NIC (JARGS)</v>
      </c>
    </row>
    <row r="6985" spans="1:14" x14ac:dyDescent="0.3">
      <c r="A6985" s="1">
        <v>45090</v>
      </c>
      <c r="B6985" t="s">
        <v>9</v>
      </c>
      <c r="C6985" t="s">
        <v>10</v>
      </c>
      <c r="D6985" s="8"/>
      <c r="E6985" s="8"/>
      <c r="M6985" t="s">
        <v>481</v>
      </c>
      <c r="N6985" t="str">
        <f>Tabela_tudo[[#This Row],[Médico]]&amp;" ("&amp;Tabela_tudo[[#This Row],[Obs]]&amp;")"</f>
        <v>KRE ()</v>
      </c>
    </row>
    <row r="6986" spans="1:14" x14ac:dyDescent="0.3">
      <c r="A6986" s="1">
        <v>45191</v>
      </c>
      <c r="B6986" t="s">
        <v>98</v>
      </c>
      <c r="C6986" t="s">
        <v>465</v>
      </c>
      <c r="D6986" s="8"/>
      <c r="E6986" s="8"/>
      <c r="F6986" t="s">
        <v>486</v>
      </c>
      <c r="M6986" t="s">
        <v>479</v>
      </c>
      <c r="N6986" t="str">
        <f>Tabela_tudo[[#This Row],[Médico]]&amp;" ("&amp;Tabela_tudo[[#This Row],[Obs]]&amp;")"</f>
        <v>NIC (JARGS)</v>
      </c>
    </row>
    <row r="6987" spans="1:14" x14ac:dyDescent="0.3">
      <c r="A6987" s="1">
        <v>45223</v>
      </c>
      <c r="B6987" t="s">
        <v>103</v>
      </c>
      <c r="C6987" t="s">
        <v>41</v>
      </c>
      <c r="D6987" s="8"/>
      <c r="E6987" s="8"/>
      <c r="M6987" t="s">
        <v>481</v>
      </c>
      <c r="N6987" t="str">
        <f>Tabela_tudo[[#This Row],[Médico]]&amp;" ("&amp;Tabela_tudo[[#This Row],[Obs]]&amp;")"</f>
        <v>CAD ()</v>
      </c>
    </row>
    <row r="6988" spans="1:14" x14ac:dyDescent="0.3">
      <c r="A6988" s="1">
        <v>45193</v>
      </c>
      <c r="B6988" t="s">
        <v>98</v>
      </c>
      <c r="C6988" t="s">
        <v>465</v>
      </c>
      <c r="D6988" s="8"/>
      <c r="E6988" s="8"/>
      <c r="F6988" t="s">
        <v>486</v>
      </c>
      <c r="M6988" t="s">
        <v>479</v>
      </c>
      <c r="N6988" t="str">
        <f>Tabela_tudo[[#This Row],[Médico]]&amp;" ("&amp;Tabela_tudo[[#This Row],[Obs]]&amp;")"</f>
        <v>NIC (JARGS)</v>
      </c>
    </row>
    <row r="6989" spans="1:14" x14ac:dyDescent="0.3">
      <c r="A6989" s="1">
        <v>45223</v>
      </c>
      <c r="B6989" t="s">
        <v>96</v>
      </c>
      <c r="C6989" t="s">
        <v>41</v>
      </c>
      <c r="D6989" s="8"/>
      <c r="E6989" s="8"/>
      <c r="M6989" t="s">
        <v>477</v>
      </c>
      <c r="N6989" t="str">
        <f>Tabela_tudo[[#This Row],[Médico]]&amp;" ("&amp;Tabela_tudo[[#This Row],[Obs]]&amp;")"</f>
        <v>VF ()</v>
      </c>
    </row>
    <row r="6990" spans="1:14" x14ac:dyDescent="0.3">
      <c r="A6990" s="1">
        <v>45192</v>
      </c>
      <c r="B6990" t="s">
        <v>40</v>
      </c>
      <c r="C6990" t="s">
        <v>465</v>
      </c>
      <c r="D6990" s="8"/>
      <c r="E6990" s="8"/>
      <c r="F6990" t="s">
        <v>486</v>
      </c>
      <c r="M6990" t="s">
        <v>481</v>
      </c>
      <c r="N6990" t="str">
        <f>Tabela_tudo[[#This Row],[Médico]]&amp;" ("&amp;Tabela_tudo[[#This Row],[Obs]]&amp;")"</f>
        <v>EMA (JARGS)</v>
      </c>
    </row>
    <row r="6991" spans="1:14" x14ac:dyDescent="0.3">
      <c r="A6991" s="1">
        <v>45158</v>
      </c>
      <c r="B6991" t="s">
        <v>39</v>
      </c>
      <c r="C6991" t="s">
        <v>13</v>
      </c>
      <c r="D6991" s="8"/>
      <c r="E6991" s="8"/>
      <c r="M6991" t="s">
        <v>479</v>
      </c>
      <c r="N6991" t="str">
        <f>Tabela_tudo[[#This Row],[Médico]]&amp;" ("&amp;Tabela_tudo[[#This Row],[Obs]]&amp;")"</f>
        <v>KLA ()</v>
      </c>
    </row>
    <row r="6992" spans="1:14" x14ac:dyDescent="0.3">
      <c r="A6992" s="1">
        <v>45191</v>
      </c>
      <c r="B6992" t="s">
        <v>40</v>
      </c>
      <c r="C6992" t="s">
        <v>465</v>
      </c>
      <c r="D6992" s="8"/>
      <c r="E6992" s="8"/>
      <c r="F6992" t="s">
        <v>486</v>
      </c>
      <c r="M6992" t="s">
        <v>481</v>
      </c>
      <c r="N6992" t="str">
        <f>Tabela_tudo[[#This Row],[Médico]]&amp;" ("&amp;Tabela_tudo[[#This Row],[Obs]]&amp;")"</f>
        <v>EMA (JARGS)</v>
      </c>
    </row>
    <row r="6993" spans="1:14" x14ac:dyDescent="0.3">
      <c r="A6993" s="1">
        <v>45090</v>
      </c>
      <c r="B6993" t="s">
        <v>40</v>
      </c>
      <c r="C6993" t="s">
        <v>8</v>
      </c>
      <c r="D6993" s="8"/>
      <c r="E6993" s="8"/>
      <c r="M6993" t="s">
        <v>481</v>
      </c>
      <c r="N6993" t="str">
        <f>Tabela_tudo[[#This Row],[Médico]]&amp;" ("&amp;Tabela_tudo[[#This Row],[Obs]]&amp;")"</f>
        <v>EMA ()</v>
      </c>
    </row>
    <row r="6994" spans="1:14" x14ac:dyDescent="0.3">
      <c r="A6994" s="1">
        <v>45192</v>
      </c>
      <c r="B6994" t="s">
        <v>39</v>
      </c>
      <c r="C6994" t="s">
        <v>465</v>
      </c>
      <c r="D6994" s="8"/>
      <c r="E6994" s="8"/>
      <c r="F6994" t="s">
        <v>486</v>
      </c>
      <c r="M6994" t="s">
        <v>479</v>
      </c>
      <c r="N6994" t="str">
        <f>Tabela_tudo[[#This Row],[Médico]]&amp;" ("&amp;Tabela_tudo[[#This Row],[Obs]]&amp;")"</f>
        <v>KLA (JARGS)</v>
      </c>
    </row>
    <row r="6995" spans="1:14" x14ac:dyDescent="0.3">
      <c r="A6995" s="1">
        <v>45158</v>
      </c>
      <c r="B6995" t="s">
        <v>38</v>
      </c>
      <c r="C6995" t="s">
        <v>78</v>
      </c>
      <c r="D6995" s="8"/>
      <c r="E6995" s="8"/>
      <c r="M6995" t="s">
        <v>481</v>
      </c>
      <c r="N6995" t="str">
        <f>Tabela_tudo[[#This Row],[Médico]]&amp;" ("&amp;Tabela_tudo[[#This Row],[Obs]]&amp;")"</f>
        <v>ORO ()</v>
      </c>
    </row>
    <row r="6996" spans="1:14" x14ac:dyDescent="0.3">
      <c r="A6996" s="1">
        <v>45191</v>
      </c>
      <c r="B6996" t="s">
        <v>109</v>
      </c>
      <c r="C6996" t="s">
        <v>465</v>
      </c>
      <c r="D6996" s="8"/>
      <c r="E6996" s="8"/>
      <c r="F6996" t="s">
        <v>486</v>
      </c>
      <c r="M6996" t="s">
        <v>479</v>
      </c>
      <c r="N6996" t="str">
        <f>Tabela_tudo[[#This Row],[Médico]]&amp;" ("&amp;Tabela_tudo[[#This Row],[Obs]]&amp;")"</f>
        <v>CA (JARGS)</v>
      </c>
    </row>
    <row r="6997" spans="1:14" x14ac:dyDescent="0.3">
      <c r="A6997" s="1">
        <v>45158</v>
      </c>
      <c r="B6997" t="s">
        <v>80</v>
      </c>
      <c r="C6997" t="s">
        <v>8</v>
      </c>
      <c r="D6997" s="8"/>
      <c r="E6997" s="8"/>
      <c r="M6997" t="s">
        <v>477</v>
      </c>
      <c r="N6997" t="str">
        <f>Tabela_tudo[[#This Row],[Médico]]&amp;" ("&amp;Tabela_tudo[[#This Row],[Obs]]&amp;")"</f>
        <v>REC ()</v>
      </c>
    </row>
    <row r="6998" spans="1:14" x14ac:dyDescent="0.3">
      <c r="A6998" s="1">
        <v>45193</v>
      </c>
      <c r="B6998" t="s">
        <v>61</v>
      </c>
      <c r="C6998" t="s">
        <v>465</v>
      </c>
      <c r="D6998" s="8"/>
      <c r="E6998" s="8"/>
      <c r="F6998" t="s">
        <v>486</v>
      </c>
      <c r="M6998" t="s">
        <v>477</v>
      </c>
      <c r="N6998" t="str">
        <f>Tabela_tudo[[#This Row],[Médico]]&amp;" ("&amp;Tabela_tudo[[#This Row],[Obs]]&amp;")"</f>
        <v>AD (JARGS)</v>
      </c>
    </row>
    <row r="6999" spans="1:14" x14ac:dyDescent="0.3">
      <c r="A6999" s="1">
        <v>45223</v>
      </c>
      <c r="B6999" t="s">
        <v>38</v>
      </c>
      <c r="C6999" t="s">
        <v>8</v>
      </c>
      <c r="D6999" s="8"/>
      <c r="E6999" s="8"/>
      <c r="M6999" t="s">
        <v>481</v>
      </c>
      <c r="N6999" t="str">
        <f>Tabela_tudo[[#This Row],[Médico]]&amp;" ("&amp;Tabela_tudo[[#This Row],[Obs]]&amp;")"</f>
        <v>ORO ()</v>
      </c>
    </row>
    <row r="7000" spans="1:14" x14ac:dyDescent="0.3">
      <c r="A7000" s="1">
        <v>45192</v>
      </c>
      <c r="B7000" t="s">
        <v>109</v>
      </c>
      <c r="C7000" t="s">
        <v>465</v>
      </c>
      <c r="D7000" s="8"/>
      <c r="E7000" s="8"/>
      <c r="F7000" t="s">
        <v>486</v>
      </c>
      <c r="M7000" t="s">
        <v>479</v>
      </c>
      <c r="N7000" t="str">
        <f>Tabela_tudo[[#This Row],[Médico]]&amp;" ("&amp;Tabela_tudo[[#This Row],[Obs]]&amp;")"</f>
        <v>CA (JARGS)</v>
      </c>
    </row>
    <row r="7001" spans="1:14" x14ac:dyDescent="0.3">
      <c r="A7001" s="1">
        <v>45090</v>
      </c>
      <c r="B7001" t="s">
        <v>59</v>
      </c>
      <c r="C7001" t="s">
        <v>41</v>
      </c>
      <c r="D7001" s="8"/>
      <c r="E7001" s="8"/>
      <c r="M7001" t="s">
        <v>477</v>
      </c>
      <c r="N7001" t="str">
        <f>Tabela_tudo[[#This Row],[Médico]]&amp;" ("&amp;Tabela_tudo[[#This Row],[Obs]]&amp;")"</f>
        <v>WEN ()</v>
      </c>
    </row>
    <row r="7002" spans="1:14" x14ac:dyDescent="0.3">
      <c r="A7002" s="1">
        <v>45191</v>
      </c>
      <c r="B7002" t="s">
        <v>39</v>
      </c>
      <c r="C7002" t="s">
        <v>465</v>
      </c>
      <c r="D7002" s="8"/>
      <c r="E7002" s="8"/>
      <c r="F7002" t="s">
        <v>486</v>
      </c>
      <c r="M7002" t="s">
        <v>479</v>
      </c>
      <c r="N7002" t="str">
        <f>Tabela_tudo[[#This Row],[Médico]]&amp;" ("&amp;Tabela_tudo[[#This Row],[Obs]]&amp;")"</f>
        <v>KLA (JARGS)</v>
      </c>
    </row>
    <row r="7003" spans="1:14" x14ac:dyDescent="0.3">
      <c r="A7003" s="1">
        <v>45090</v>
      </c>
      <c r="B7003" t="s">
        <v>98</v>
      </c>
      <c r="C7003" t="s">
        <v>41</v>
      </c>
      <c r="D7003" s="8"/>
      <c r="E7003" s="8"/>
      <c r="M7003" t="s">
        <v>479</v>
      </c>
      <c r="N7003" t="str">
        <f>Tabela_tudo[[#This Row],[Médico]]&amp;" ("&amp;Tabela_tudo[[#This Row],[Obs]]&amp;")"</f>
        <v>NIC ()</v>
      </c>
    </row>
    <row r="7004" spans="1:14" x14ac:dyDescent="0.3">
      <c r="A7004" s="1">
        <v>45193</v>
      </c>
      <c r="B7004" t="s">
        <v>109</v>
      </c>
      <c r="C7004" t="s">
        <v>465</v>
      </c>
      <c r="D7004" s="8"/>
      <c r="E7004" s="8"/>
      <c r="F7004" t="s">
        <v>486</v>
      </c>
      <c r="M7004" t="s">
        <v>479</v>
      </c>
      <c r="N7004" t="str">
        <f>Tabela_tudo[[#This Row],[Médico]]&amp;" ("&amp;Tabela_tudo[[#This Row],[Obs]]&amp;")"</f>
        <v>CA (JARGS)</v>
      </c>
    </row>
    <row r="7005" spans="1:14" x14ac:dyDescent="0.3">
      <c r="A7005" s="1">
        <v>45090</v>
      </c>
      <c r="B7005" t="s">
        <v>109</v>
      </c>
      <c r="C7005" t="s">
        <v>10</v>
      </c>
      <c r="D7005" s="8"/>
      <c r="E7005" s="8"/>
      <c r="M7005" t="s">
        <v>479</v>
      </c>
      <c r="N7005" t="str">
        <f>Tabela_tudo[[#This Row],[Médico]]&amp;" ("&amp;Tabela_tudo[[#This Row],[Obs]]&amp;")"</f>
        <v>CA ()</v>
      </c>
    </row>
    <row r="7006" spans="1:14" x14ac:dyDescent="0.3">
      <c r="A7006" s="1">
        <v>45226</v>
      </c>
      <c r="B7006" t="s">
        <v>109</v>
      </c>
      <c r="C7006" t="s">
        <v>464</v>
      </c>
      <c r="D7006" s="8"/>
      <c r="E7006" s="8"/>
      <c r="M7006" t="s">
        <v>479</v>
      </c>
      <c r="N7006" t="str">
        <f>Tabela_tudo[[#This Row],[Médico]]&amp;" ("&amp;Tabela_tudo[[#This Row],[Obs]]&amp;")"</f>
        <v>CA ()</v>
      </c>
    </row>
    <row r="7007" spans="1:14" x14ac:dyDescent="0.3">
      <c r="A7007" s="1">
        <v>45223</v>
      </c>
      <c r="B7007" t="s">
        <v>27</v>
      </c>
      <c r="C7007" t="s">
        <v>10</v>
      </c>
      <c r="D7007" s="8"/>
      <c r="E7007" s="8"/>
      <c r="M7007" t="s">
        <v>481</v>
      </c>
      <c r="N7007" t="str">
        <f>Tabela_tudo[[#This Row],[Médico]]&amp;" ("&amp;Tabela_tudo[[#This Row],[Obs]]&amp;")"</f>
        <v>KIL ()</v>
      </c>
    </row>
    <row r="7008" spans="1:14" x14ac:dyDescent="0.3">
      <c r="A7008" s="1">
        <v>45227</v>
      </c>
      <c r="B7008" t="s">
        <v>109</v>
      </c>
      <c r="C7008" t="s">
        <v>464</v>
      </c>
      <c r="D7008" s="8"/>
      <c r="E7008" s="8"/>
      <c r="M7008" t="s">
        <v>479</v>
      </c>
      <c r="N7008" t="str">
        <f>Tabela_tudo[[#This Row],[Médico]]&amp;" ("&amp;Tabela_tudo[[#This Row],[Obs]]&amp;")"</f>
        <v>CA ()</v>
      </c>
    </row>
    <row r="7009" spans="1:14" x14ac:dyDescent="0.3">
      <c r="A7009" s="1">
        <v>45223</v>
      </c>
      <c r="B7009" t="s">
        <v>9</v>
      </c>
      <c r="C7009" t="s">
        <v>10</v>
      </c>
      <c r="D7009" s="8"/>
      <c r="E7009" s="8"/>
      <c r="M7009" t="s">
        <v>481</v>
      </c>
      <c r="N7009" t="str">
        <f>Tabela_tudo[[#This Row],[Médico]]&amp;" ("&amp;Tabela_tudo[[#This Row],[Obs]]&amp;")"</f>
        <v>KRE ()</v>
      </c>
    </row>
    <row r="7010" spans="1:14" x14ac:dyDescent="0.3">
      <c r="A7010" s="1">
        <v>45228</v>
      </c>
      <c r="B7010" t="s">
        <v>109</v>
      </c>
      <c r="C7010" t="s">
        <v>464</v>
      </c>
      <c r="D7010" s="8"/>
      <c r="E7010" s="8"/>
      <c r="M7010" t="s">
        <v>479</v>
      </c>
      <c r="N7010" t="str">
        <f>Tabela_tudo[[#This Row],[Médico]]&amp;" ("&amp;Tabela_tudo[[#This Row],[Obs]]&amp;")"</f>
        <v>CA ()</v>
      </c>
    </row>
    <row r="7011" spans="1:14" x14ac:dyDescent="0.3">
      <c r="A7011" s="1">
        <v>45223</v>
      </c>
      <c r="B7011" t="s">
        <v>62</v>
      </c>
      <c r="C7011" t="s">
        <v>13</v>
      </c>
      <c r="D7011" s="8"/>
      <c r="E7011" s="8"/>
      <c r="M7011" t="s">
        <v>477</v>
      </c>
      <c r="N7011" t="str">
        <f>Tabela_tudo[[#This Row],[Médico]]&amp;" ("&amp;Tabela_tudo[[#This Row],[Obs]]&amp;")"</f>
        <v>RKS ()</v>
      </c>
    </row>
    <row r="7012" spans="1:14" x14ac:dyDescent="0.3">
      <c r="A7012" s="1">
        <v>45223</v>
      </c>
      <c r="B7012" t="s">
        <v>109</v>
      </c>
      <c r="C7012" t="s">
        <v>464</v>
      </c>
      <c r="D7012" s="8"/>
      <c r="E7012" s="8"/>
      <c r="M7012" t="s">
        <v>479</v>
      </c>
      <c r="N7012" t="str">
        <f>Tabela_tudo[[#This Row],[Médico]]&amp;" ("&amp;Tabela_tudo[[#This Row],[Obs]]&amp;")"</f>
        <v>CA ()</v>
      </c>
    </row>
    <row r="7013" spans="1:14" x14ac:dyDescent="0.3">
      <c r="A7013" s="1">
        <v>45104</v>
      </c>
      <c r="B7013" t="s">
        <v>62</v>
      </c>
      <c r="C7013" t="s">
        <v>13</v>
      </c>
      <c r="D7013" s="8"/>
      <c r="E7013" s="8"/>
      <c r="M7013" t="s">
        <v>477</v>
      </c>
      <c r="N7013" t="str">
        <f>Tabela_tudo[[#This Row],[Médico]]&amp;" ("&amp;Tabela_tudo[[#This Row],[Obs]]&amp;")"</f>
        <v>RKS ()</v>
      </c>
    </row>
    <row r="7014" spans="1:14" x14ac:dyDescent="0.3">
      <c r="A7014" s="1">
        <v>45224</v>
      </c>
      <c r="B7014" t="s">
        <v>109</v>
      </c>
      <c r="C7014" t="s">
        <v>464</v>
      </c>
      <c r="D7014" s="8"/>
      <c r="E7014" s="8"/>
      <c r="M7014" t="s">
        <v>479</v>
      </c>
      <c r="N7014" t="str">
        <f>Tabela_tudo[[#This Row],[Médico]]&amp;" ("&amp;Tabela_tudo[[#This Row],[Obs]]&amp;")"</f>
        <v>CA ()</v>
      </c>
    </row>
    <row r="7015" spans="1:14" x14ac:dyDescent="0.3">
      <c r="A7015" s="1">
        <v>45205</v>
      </c>
      <c r="B7015" t="s">
        <v>27</v>
      </c>
      <c r="C7015" t="s">
        <v>10</v>
      </c>
      <c r="D7015" s="8"/>
      <c r="E7015" s="8"/>
      <c r="M7015" t="s">
        <v>481</v>
      </c>
      <c r="N7015" t="str">
        <f>Tabela_tudo[[#This Row],[Médico]]&amp;" ("&amp;Tabela_tudo[[#This Row],[Obs]]&amp;")"</f>
        <v>KIL ()</v>
      </c>
    </row>
    <row r="7016" spans="1:14" x14ac:dyDescent="0.3">
      <c r="A7016" s="1">
        <v>45225</v>
      </c>
      <c r="B7016" t="s">
        <v>109</v>
      </c>
      <c r="C7016" t="s">
        <v>464</v>
      </c>
      <c r="D7016" s="8"/>
      <c r="E7016" s="8"/>
      <c r="M7016" t="s">
        <v>479</v>
      </c>
      <c r="N7016" t="str">
        <f>Tabela_tudo[[#This Row],[Médico]]&amp;" ("&amp;Tabela_tudo[[#This Row],[Obs]]&amp;")"</f>
        <v>CA ()</v>
      </c>
    </row>
    <row r="7017" spans="1:14" x14ac:dyDescent="0.3">
      <c r="A7017" s="1">
        <v>45205</v>
      </c>
      <c r="B7017" t="s">
        <v>35</v>
      </c>
      <c r="C7017" t="s">
        <v>10</v>
      </c>
      <c r="D7017" s="8"/>
      <c r="E7017" s="8"/>
      <c r="M7017" t="s">
        <v>479</v>
      </c>
      <c r="N7017" t="str">
        <f>Tabela_tudo[[#This Row],[Médico]]&amp;" ("&amp;Tabela_tudo[[#This Row],[Obs]]&amp;")"</f>
        <v>FLA ()</v>
      </c>
    </row>
    <row r="7018" spans="1:14" x14ac:dyDescent="0.3">
      <c r="A7018" s="1">
        <v>45229</v>
      </c>
      <c r="B7018" t="s">
        <v>109</v>
      </c>
      <c r="C7018" t="s">
        <v>464</v>
      </c>
      <c r="D7018" s="8"/>
      <c r="E7018" s="8"/>
      <c r="M7018" t="s">
        <v>479</v>
      </c>
      <c r="N7018" t="str">
        <f>Tabela_tudo[[#This Row],[Médico]]&amp;" ("&amp;Tabela_tudo[[#This Row],[Obs]]&amp;")"</f>
        <v>CA ()</v>
      </c>
    </row>
    <row r="7019" spans="1:14" x14ac:dyDescent="0.3">
      <c r="A7019" s="1">
        <v>45227</v>
      </c>
      <c r="B7019" t="s">
        <v>103</v>
      </c>
      <c r="C7019" t="s">
        <v>78</v>
      </c>
      <c r="D7019" s="8"/>
      <c r="E7019" s="8"/>
      <c r="M7019" t="s">
        <v>481</v>
      </c>
      <c r="N7019" t="str">
        <f>Tabela_tudo[[#This Row],[Médico]]&amp;" ("&amp;Tabela_tudo[[#This Row],[Obs]]&amp;")"</f>
        <v>CAD ()</v>
      </c>
    </row>
    <row r="7020" spans="1:14" x14ac:dyDescent="0.3">
      <c r="A7020" s="1">
        <v>45217</v>
      </c>
      <c r="B7020" t="s">
        <v>79</v>
      </c>
      <c r="C7020" t="s">
        <v>464</v>
      </c>
      <c r="D7020" s="8"/>
      <c r="E7020" s="8"/>
      <c r="M7020" t="s">
        <v>481</v>
      </c>
      <c r="N7020" t="str">
        <f>Tabela_tudo[[#This Row],[Médico]]&amp;" ("&amp;Tabela_tudo[[#This Row],[Obs]]&amp;")"</f>
        <v>MTB ()</v>
      </c>
    </row>
    <row r="7021" spans="1:14" x14ac:dyDescent="0.3">
      <c r="A7021" s="1">
        <v>45205</v>
      </c>
      <c r="B7021" t="s">
        <v>109</v>
      </c>
      <c r="C7021" t="s">
        <v>8</v>
      </c>
      <c r="D7021" s="8"/>
      <c r="E7021" s="8"/>
      <c r="M7021" t="s">
        <v>479</v>
      </c>
      <c r="N7021" t="str">
        <f>Tabela_tudo[[#This Row],[Médico]]&amp;" ("&amp;Tabela_tudo[[#This Row],[Obs]]&amp;")"</f>
        <v>CA ()</v>
      </c>
    </row>
    <row r="7022" spans="1:14" x14ac:dyDescent="0.3">
      <c r="A7022" s="1">
        <v>45218</v>
      </c>
      <c r="B7022" t="s">
        <v>79</v>
      </c>
      <c r="C7022" t="s">
        <v>464</v>
      </c>
      <c r="D7022" s="8"/>
      <c r="E7022" s="8"/>
      <c r="M7022" t="s">
        <v>481</v>
      </c>
      <c r="N7022" t="str">
        <f>Tabela_tudo[[#This Row],[Médico]]&amp;" ("&amp;Tabela_tudo[[#This Row],[Obs]]&amp;")"</f>
        <v>MTB ()</v>
      </c>
    </row>
    <row r="7023" spans="1:14" x14ac:dyDescent="0.3">
      <c r="A7023" s="1">
        <v>45205</v>
      </c>
      <c r="B7023" t="s">
        <v>59</v>
      </c>
      <c r="C7023" t="s">
        <v>41</v>
      </c>
      <c r="D7023" s="8"/>
      <c r="E7023" s="8"/>
      <c r="M7023" t="s">
        <v>477</v>
      </c>
      <c r="N7023" t="str">
        <f>Tabela_tudo[[#This Row],[Médico]]&amp;" ("&amp;Tabela_tudo[[#This Row],[Obs]]&amp;")"</f>
        <v>WEN ()</v>
      </c>
    </row>
    <row r="7024" spans="1:14" x14ac:dyDescent="0.3">
      <c r="A7024" s="1">
        <v>45219</v>
      </c>
      <c r="B7024" t="s">
        <v>79</v>
      </c>
      <c r="C7024" t="s">
        <v>464</v>
      </c>
      <c r="D7024" s="8"/>
      <c r="E7024" s="8"/>
      <c r="M7024" t="s">
        <v>481</v>
      </c>
      <c r="N7024" t="str">
        <f>Tabela_tudo[[#This Row],[Médico]]&amp;" ("&amp;Tabela_tudo[[#This Row],[Obs]]&amp;")"</f>
        <v>MTB ()</v>
      </c>
    </row>
    <row r="7025" spans="1:14" x14ac:dyDescent="0.3">
      <c r="A7025" s="1">
        <v>45089</v>
      </c>
      <c r="B7025" t="s">
        <v>62</v>
      </c>
      <c r="C7025" t="s">
        <v>41</v>
      </c>
      <c r="D7025" s="8"/>
      <c r="E7025" s="8"/>
      <c r="M7025" t="s">
        <v>477</v>
      </c>
      <c r="N7025" t="str">
        <f>Tabela_tudo[[#This Row],[Médico]]&amp;" ("&amp;Tabela_tudo[[#This Row],[Obs]]&amp;")"</f>
        <v>RKS ()</v>
      </c>
    </row>
    <row r="7026" spans="1:14" x14ac:dyDescent="0.3">
      <c r="A7026" s="1">
        <v>45230</v>
      </c>
      <c r="B7026" t="s">
        <v>109</v>
      </c>
      <c r="C7026" t="s">
        <v>464</v>
      </c>
      <c r="D7026" s="8"/>
      <c r="E7026" s="8"/>
      <c r="M7026" t="s">
        <v>479</v>
      </c>
      <c r="N7026" t="str">
        <f>Tabela_tudo[[#This Row],[Médico]]&amp;" ("&amp;Tabela_tudo[[#This Row],[Obs]]&amp;")"</f>
        <v>CA ()</v>
      </c>
    </row>
    <row r="7027" spans="1:14" x14ac:dyDescent="0.3">
      <c r="A7027" s="1">
        <v>45205</v>
      </c>
      <c r="B7027" t="s">
        <v>9</v>
      </c>
      <c r="C7027" t="s">
        <v>10</v>
      </c>
      <c r="D7027" s="8"/>
      <c r="E7027" s="8"/>
      <c r="M7027" t="s">
        <v>481</v>
      </c>
      <c r="N7027" t="str">
        <f>Tabela_tudo[[#This Row],[Médico]]&amp;" ("&amp;Tabela_tudo[[#This Row],[Obs]]&amp;")"</f>
        <v>KRE ()</v>
      </c>
    </row>
    <row r="7028" spans="1:14" x14ac:dyDescent="0.3">
      <c r="A7028" s="1">
        <v>45215</v>
      </c>
      <c r="B7028" t="s">
        <v>79</v>
      </c>
      <c r="C7028" t="s">
        <v>464</v>
      </c>
      <c r="D7028" s="8"/>
      <c r="E7028" s="8"/>
      <c r="M7028" t="s">
        <v>481</v>
      </c>
      <c r="N7028" t="str">
        <f>Tabela_tudo[[#This Row],[Médico]]&amp;" ("&amp;Tabela_tudo[[#This Row],[Obs]]&amp;")"</f>
        <v>MTB ()</v>
      </c>
    </row>
    <row r="7029" spans="1:14" x14ac:dyDescent="0.3">
      <c r="A7029" s="1">
        <v>45205</v>
      </c>
      <c r="B7029" t="s">
        <v>39</v>
      </c>
      <c r="C7029" t="s">
        <v>41</v>
      </c>
      <c r="D7029" s="8"/>
      <c r="E7029" s="8"/>
      <c r="M7029" t="s">
        <v>479</v>
      </c>
      <c r="N7029" t="str">
        <f>Tabela_tudo[[#This Row],[Médico]]&amp;" ("&amp;Tabela_tudo[[#This Row],[Obs]]&amp;")"</f>
        <v>KLA ()</v>
      </c>
    </row>
    <row r="7030" spans="1:14" x14ac:dyDescent="0.3">
      <c r="A7030" s="1">
        <v>45216</v>
      </c>
      <c r="B7030" t="s">
        <v>79</v>
      </c>
      <c r="C7030" t="s">
        <v>464</v>
      </c>
      <c r="D7030" s="8"/>
      <c r="E7030" s="8"/>
      <c r="M7030" t="s">
        <v>481</v>
      </c>
      <c r="N7030" t="str">
        <f>Tabela_tudo[[#This Row],[Médico]]&amp;" ("&amp;Tabela_tudo[[#This Row],[Obs]]&amp;")"</f>
        <v>MTB ()</v>
      </c>
    </row>
    <row r="7031" spans="1:14" x14ac:dyDescent="0.3">
      <c r="A7031" s="1">
        <v>45169</v>
      </c>
      <c r="B7031" t="s">
        <v>40</v>
      </c>
      <c r="C7031" t="s">
        <v>8</v>
      </c>
      <c r="D7031" s="8"/>
      <c r="E7031" s="8"/>
      <c r="M7031" t="s">
        <v>481</v>
      </c>
      <c r="N7031" t="str">
        <f>Tabela_tudo[[#This Row],[Médico]]&amp;" ("&amp;Tabela_tudo[[#This Row],[Obs]]&amp;")"</f>
        <v>EMA ()</v>
      </c>
    </row>
    <row r="7032" spans="1:14" x14ac:dyDescent="0.3">
      <c r="A7032" s="1">
        <v>45222</v>
      </c>
      <c r="B7032" t="s">
        <v>109</v>
      </c>
      <c r="C7032" t="s">
        <v>464</v>
      </c>
      <c r="D7032" s="8"/>
      <c r="E7032" s="8"/>
      <c r="M7032" t="s">
        <v>479</v>
      </c>
      <c r="N7032" t="str">
        <f>Tabela_tudo[[#This Row],[Médico]]&amp;" ("&amp;Tabela_tudo[[#This Row],[Obs]]&amp;")"</f>
        <v>CA ()</v>
      </c>
    </row>
    <row r="7033" spans="1:14" x14ac:dyDescent="0.3">
      <c r="A7033" s="1">
        <v>45104</v>
      </c>
      <c r="B7033" t="s">
        <v>9</v>
      </c>
      <c r="C7033" t="s">
        <v>10</v>
      </c>
      <c r="D7033" s="8"/>
      <c r="E7033" s="8"/>
      <c r="M7033" t="s">
        <v>481</v>
      </c>
      <c r="N7033" t="str">
        <f>Tabela_tudo[[#This Row],[Médico]]&amp;" ("&amp;Tabela_tudo[[#This Row],[Obs]]&amp;")"</f>
        <v>KRE ()</v>
      </c>
    </row>
    <row r="7034" spans="1:14" x14ac:dyDescent="0.3">
      <c r="A7034" s="1">
        <v>45228</v>
      </c>
      <c r="B7034" t="s">
        <v>60</v>
      </c>
      <c r="C7034" t="s">
        <v>464</v>
      </c>
      <c r="D7034" s="8"/>
      <c r="E7034" s="8"/>
      <c r="M7034" t="s">
        <v>477</v>
      </c>
      <c r="N7034" t="str">
        <f>Tabela_tudo[[#This Row],[Médico]]&amp;" ("&amp;Tabela_tudo[[#This Row],[Obs]]&amp;")"</f>
        <v>BMT ()</v>
      </c>
    </row>
    <row r="7035" spans="1:14" x14ac:dyDescent="0.3">
      <c r="A7035" s="1">
        <v>45090</v>
      </c>
      <c r="B7035" t="s">
        <v>96</v>
      </c>
      <c r="C7035" t="s">
        <v>13</v>
      </c>
      <c r="D7035" s="8"/>
      <c r="E7035" s="8"/>
      <c r="M7035" t="s">
        <v>477</v>
      </c>
      <c r="N7035" t="str">
        <f>Tabela_tudo[[#This Row],[Médico]]&amp;" ("&amp;Tabela_tudo[[#This Row],[Obs]]&amp;")"</f>
        <v>VF ()</v>
      </c>
    </row>
    <row r="7036" spans="1:14" x14ac:dyDescent="0.3">
      <c r="A7036" s="1">
        <v>45229</v>
      </c>
      <c r="B7036" t="s">
        <v>60</v>
      </c>
      <c r="C7036" t="s">
        <v>464</v>
      </c>
      <c r="D7036" s="8"/>
      <c r="E7036" s="8"/>
      <c r="M7036" t="s">
        <v>477</v>
      </c>
      <c r="N7036" t="str">
        <f>Tabela_tudo[[#This Row],[Médico]]&amp;" ("&amp;Tabela_tudo[[#This Row],[Obs]]&amp;")"</f>
        <v>BMT ()</v>
      </c>
    </row>
    <row r="7037" spans="1:14" x14ac:dyDescent="0.3">
      <c r="A7037" s="1">
        <v>45104</v>
      </c>
      <c r="B7037" t="s">
        <v>109</v>
      </c>
      <c r="C7037" t="s">
        <v>8</v>
      </c>
      <c r="D7037" s="8"/>
      <c r="E7037" s="8"/>
      <c r="M7037" t="s">
        <v>479</v>
      </c>
      <c r="N7037" t="str">
        <f>Tabela_tudo[[#This Row],[Médico]]&amp;" ("&amp;Tabela_tudo[[#This Row],[Obs]]&amp;")"</f>
        <v>CA ()</v>
      </c>
    </row>
    <row r="7038" spans="1:14" x14ac:dyDescent="0.3">
      <c r="A7038" s="1">
        <v>45230</v>
      </c>
      <c r="B7038" t="s">
        <v>60</v>
      </c>
      <c r="C7038" t="s">
        <v>464</v>
      </c>
      <c r="D7038" s="8"/>
      <c r="E7038" s="8"/>
      <c r="M7038" t="s">
        <v>477</v>
      </c>
      <c r="N7038" t="str">
        <f>Tabela_tudo[[#This Row],[Médico]]&amp;" ("&amp;Tabela_tudo[[#This Row],[Obs]]&amp;")"</f>
        <v>BMT ()</v>
      </c>
    </row>
    <row r="7039" spans="1:14" x14ac:dyDescent="0.3">
      <c r="A7039" s="1">
        <v>45089</v>
      </c>
      <c r="B7039" t="s">
        <v>40</v>
      </c>
      <c r="C7039" t="s">
        <v>41</v>
      </c>
      <c r="D7039" s="8"/>
      <c r="E7039" s="8"/>
      <c r="M7039" t="s">
        <v>481</v>
      </c>
      <c r="N7039" t="str">
        <f>Tabela_tudo[[#This Row],[Médico]]&amp;" ("&amp;Tabela_tudo[[#This Row],[Obs]]&amp;")"</f>
        <v>EMA ()</v>
      </c>
    </row>
    <row r="7040" spans="1:14" x14ac:dyDescent="0.3">
      <c r="A7040" s="1">
        <v>45225</v>
      </c>
      <c r="B7040" t="s">
        <v>60</v>
      </c>
      <c r="C7040" t="s">
        <v>464</v>
      </c>
      <c r="D7040" s="8"/>
      <c r="E7040" s="8"/>
      <c r="M7040" t="s">
        <v>477</v>
      </c>
      <c r="N7040" t="str">
        <f>Tabela_tudo[[#This Row],[Médico]]&amp;" ("&amp;Tabela_tudo[[#This Row],[Obs]]&amp;")"</f>
        <v>BMT ()</v>
      </c>
    </row>
    <row r="7041" spans="1:14" x14ac:dyDescent="0.3">
      <c r="A7041" s="1">
        <v>45089</v>
      </c>
      <c r="B7041" t="s">
        <v>112</v>
      </c>
      <c r="C7041" t="s">
        <v>41</v>
      </c>
      <c r="D7041" s="8"/>
      <c r="E7041" s="8"/>
      <c r="M7041" t="s">
        <v>479</v>
      </c>
      <c r="N7041" t="str">
        <f>Tabela_tudo[[#This Row],[Médico]]&amp;" ("&amp;Tabela_tudo[[#This Row],[Obs]]&amp;")"</f>
        <v>FLE ()</v>
      </c>
    </row>
    <row r="7042" spans="1:14" x14ac:dyDescent="0.3">
      <c r="A7042" s="1">
        <v>45226</v>
      </c>
      <c r="B7042" t="s">
        <v>60</v>
      </c>
      <c r="C7042" t="s">
        <v>464</v>
      </c>
      <c r="D7042" s="8"/>
      <c r="E7042" s="8"/>
      <c r="M7042" t="s">
        <v>477</v>
      </c>
      <c r="N7042" t="str">
        <f>Tabela_tudo[[#This Row],[Médico]]&amp;" ("&amp;Tabela_tudo[[#This Row],[Obs]]&amp;")"</f>
        <v>BMT ()</v>
      </c>
    </row>
    <row r="7043" spans="1:14" x14ac:dyDescent="0.3">
      <c r="A7043" s="1">
        <v>45138</v>
      </c>
      <c r="B7043" t="s">
        <v>98</v>
      </c>
      <c r="C7043" t="s">
        <v>13</v>
      </c>
      <c r="D7043" s="8"/>
      <c r="E7043" s="8"/>
      <c r="M7043" t="s">
        <v>479</v>
      </c>
      <c r="N7043" t="str">
        <f>Tabela_tudo[[#This Row],[Médico]]&amp;" ("&amp;Tabela_tudo[[#This Row],[Obs]]&amp;")"</f>
        <v>NIC ()</v>
      </c>
    </row>
    <row r="7044" spans="1:14" x14ac:dyDescent="0.3">
      <c r="A7044" s="1">
        <v>45227</v>
      </c>
      <c r="B7044" t="s">
        <v>60</v>
      </c>
      <c r="C7044" t="s">
        <v>464</v>
      </c>
      <c r="D7044" s="8"/>
      <c r="E7044" s="8"/>
      <c r="M7044" t="s">
        <v>477</v>
      </c>
      <c r="N7044" t="str">
        <f>Tabela_tudo[[#This Row],[Médico]]&amp;" ("&amp;Tabela_tudo[[#This Row],[Obs]]&amp;")"</f>
        <v>BMT ()</v>
      </c>
    </row>
    <row r="7045" spans="1:14" x14ac:dyDescent="0.3">
      <c r="A7045" s="1">
        <v>45138</v>
      </c>
      <c r="B7045" t="s">
        <v>149</v>
      </c>
      <c r="C7045" t="s">
        <v>8</v>
      </c>
      <c r="D7045" s="8"/>
      <c r="E7045" s="8"/>
      <c r="M7045" t="s">
        <v>477</v>
      </c>
      <c r="N7045" t="str">
        <f>Tabela_tudo[[#This Row],[Médico]]&amp;" ("&amp;Tabela_tudo[[#This Row],[Obs]]&amp;")"</f>
        <v>NF ()</v>
      </c>
    </row>
    <row r="7046" spans="1:14" x14ac:dyDescent="0.3">
      <c r="A7046" s="1">
        <v>45215</v>
      </c>
      <c r="B7046" t="s">
        <v>109</v>
      </c>
      <c r="C7046" t="s">
        <v>464</v>
      </c>
      <c r="D7046" s="8"/>
      <c r="E7046" s="8"/>
      <c r="M7046" t="s">
        <v>479</v>
      </c>
      <c r="N7046" t="str">
        <f>Tabela_tudo[[#This Row],[Médico]]&amp;" ("&amp;Tabela_tudo[[#This Row],[Obs]]&amp;")"</f>
        <v>CA ()</v>
      </c>
    </row>
    <row r="7047" spans="1:14" x14ac:dyDescent="0.3">
      <c r="A7047" s="1">
        <v>45087</v>
      </c>
      <c r="B7047" t="s">
        <v>109</v>
      </c>
      <c r="C7047" t="s">
        <v>10</v>
      </c>
      <c r="D7047" s="8"/>
      <c r="E7047" s="8"/>
      <c r="M7047" t="s">
        <v>479</v>
      </c>
      <c r="N7047" t="str">
        <f>Tabela_tudo[[#This Row],[Médico]]&amp;" ("&amp;Tabela_tudo[[#This Row],[Obs]]&amp;")"</f>
        <v>CA ()</v>
      </c>
    </row>
    <row r="7048" spans="1:14" x14ac:dyDescent="0.3">
      <c r="A7048" s="1">
        <v>45219</v>
      </c>
      <c r="B7048" t="s">
        <v>109</v>
      </c>
      <c r="C7048" t="s">
        <v>464</v>
      </c>
      <c r="D7048" s="8"/>
      <c r="E7048" s="8"/>
      <c r="M7048" t="s">
        <v>479</v>
      </c>
      <c r="N7048" t="str">
        <f>Tabela_tudo[[#This Row],[Médico]]&amp;" ("&amp;Tabela_tudo[[#This Row],[Obs]]&amp;")"</f>
        <v>CA ()</v>
      </c>
    </row>
    <row r="7049" spans="1:14" x14ac:dyDescent="0.3">
      <c r="A7049" s="1">
        <v>45085</v>
      </c>
      <c r="B7049" t="s">
        <v>38</v>
      </c>
      <c r="C7049" t="s">
        <v>78</v>
      </c>
      <c r="D7049" s="8"/>
      <c r="E7049" s="8"/>
      <c r="M7049" t="s">
        <v>481</v>
      </c>
      <c r="N7049" t="str">
        <f>Tabela_tudo[[#This Row],[Médico]]&amp;" ("&amp;Tabela_tudo[[#This Row],[Obs]]&amp;")"</f>
        <v>ORO ()</v>
      </c>
    </row>
    <row r="7050" spans="1:14" x14ac:dyDescent="0.3">
      <c r="A7050" s="1">
        <v>45220</v>
      </c>
      <c r="B7050" t="s">
        <v>109</v>
      </c>
      <c r="C7050" t="s">
        <v>464</v>
      </c>
      <c r="D7050" s="8"/>
      <c r="E7050" s="8"/>
      <c r="M7050" t="s">
        <v>479</v>
      </c>
      <c r="N7050" t="str">
        <f>Tabela_tudo[[#This Row],[Médico]]&amp;" ("&amp;Tabela_tudo[[#This Row],[Obs]]&amp;")"</f>
        <v>CA ()</v>
      </c>
    </row>
    <row r="7051" spans="1:14" x14ac:dyDescent="0.3">
      <c r="A7051" s="1">
        <v>45085</v>
      </c>
      <c r="B7051" t="s">
        <v>42</v>
      </c>
      <c r="C7051" t="s">
        <v>8</v>
      </c>
      <c r="D7051" s="8"/>
      <c r="E7051" s="8"/>
      <c r="M7051" t="s">
        <v>479</v>
      </c>
      <c r="N7051" t="str">
        <f>Tabela_tudo[[#This Row],[Médico]]&amp;" ("&amp;Tabela_tudo[[#This Row],[Obs]]&amp;")"</f>
        <v>SAK ()</v>
      </c>
    </row>
    <row r="7052" spans="1:14" x14ac:dyDescent="0.3">
      <c r="A7052" s="1">
        <v>45221</v>
      </c>
      <c r="B7052" t="s">
        <v>109</v>
      </c>
      <c r="C7052" t="s">
        <v>464</v>
      </c>
      <c r="D7052" s="8"/>
      <c r="E7052" s="8"/>
      <c r="M7052" t="s">
        <v>479</v>
      </c>
      <c r="N7052" t="str">
        <f>Tabela_tudo[[#This Row],[Médico]]&amp;" ("&amp;Tabela_tudo[[#This Row],[Obs]]&amp;")"</f>
        <v>CA ()</v>
      </c>
    </row>
    <row r="7053" spans="1:14" x14ac:dyDescent="0.3">
      <c r="A7053" s="1">
        <v>45085</v>
      </c>
      <c r="B7053" t="s">
        <v>36</v>
      </c>
      <c r="C7053" t="s">
        <v>10</v>
      </c>
      <c r="D7053" s="8"/>
      <c r="E7053" s="8"/>
      <c r="M7053" t="s">
        <v>481</v>
      </c>
      <c r="N7053" t="str">
        <f>Tabela_tudo[[#This Row],[Médico]]&amp;" ("&amp;Tabela_tudo[[#This Row],[Obs]]&amp;")"</f>
        <v>DRI ()</v>
      </c>
    </row>
    <row r="7054" spans="1:14" x14ac:dyDescent="0.3">
      <c r="A7054" s="1">
        <v>45216</v>
      </c>
      <c r="B7054" t="s">
        <v>109</v>
      </c>
      <c r="C7054" t="s">
        <v>464</v>
      </c>
      <c r="D7054" s="8"/>
      <c r="E7054" s="8"/>
      <c r="M7054" t="s">
        <v>479</v>
      </c>
      <c r="N7054" t="str">
        <f>Tabela_tudo[[#This Row],[Médico]]&amp;" ("&amp;Tabela_tudo[[#This Row],[Obs]]&amp;")"</f>
        <v>CA ()</v>
      </c>
    </row>
    <row r="7055" spans="1:14" x14ac:dyDescent="0.3">
      <c r="A7055" s="1">
        <v>45085</v>
      </c>
      <c r="B7055" t="s">
        <v>9</v>
      </c>
      <c r="C7055" t="s">
        <v>10</v>
      </c>
      <c r="D7055" s="8"/>
      <c r="E7055" s="8"/>
      <c r="M7055" t="s">
        <v>481</v>
      </c>
      <c r="N7055" t="str">
        <f>Tabela_tudo[[#This Row],[Médico]]&amp;" ("&amp;Tabela_tudo[[#This Row],[Obs]]&amp;")"</f>
        <v>KRE ()</v>
      </c>
    </row>
    <row r="7056" spans="1:14" x14ac:dyDescent="0.3">
      <c r="A7056" s="1">
        <v>45217</v>
      </c>
      <c r="B7056" t="s">
        <v>109</v>
      </c>
      <c r="C7056" t="s">
        <v>464</v>
      </c>
      <c r="D7056" s="8"/>
      <c r="E7056" s="8"/>
      <c r="M7056" t="s">
        <v>479</v>
      </c>
      <c r="N7056" t="str">
        <f>Tabela_tudo[[#This Row],[Médico]]&amp;" ("&amp;Tabela_tudo[[#This Row],[Obs]]&amp;")"</f>
        <v>CA ()</v>
      </c>
    </row>
    <row r="7057" spans="1:14" x14ac:dyDescent="0.3">
      <c r="A7057" s="1">
        <v>45104</v>
      </c>
      <c r="B7057" t="s">
        <v>35</v>
      </c>
      <c r="C7057" t="s">
        <v>41</v>
      </c>
      <c r="D7057" s="8"/>
      <c r="E7057" s="8"/>
      <c r="M7057" t="s">
        <v>479</v>
      </c>
      <c r="N7057" t="str">
        <f>Tabela_tudo[[#This Row],[Médico]]&amp;" ("&amp;Tabela_tudo[[#This Row],[Obs]]&amp;")"</f>
        <v>FLA ()</v>
      </c>
    </row>
    <row r="7058" spans="1:14" x14ac:dyDescent="0.3">
      <c r="A7058" s="1">
        <v>45218</v>
      </c>
      <c r="B7058" t="s">
        <v>109</v>
      </c>
      <c r="C7058" t="s">
        <v>464</v>
      </c>
      <c r="D7058" s="8"/>
      <c r="E7058" s="8"/>
      <c r="M7058" t="s">
        <v>479</v>
      </c>
      <c r="N7058" t="str">
        <f>Tabela_tudo[[#This Row],[Médico]]&amp;" ("&amp;Tabela_tudo[[#This Row],[Obs]]&amp;")"</f>
        <v>CA ()</v>
      </c>
    </row>
    <row r="7059" spans="1:14" x14ac:dyDescent="0.3">
      <c r="A7059" s="1">
        <v>45216</v>
      </c>
      <c r="B7059" t="s">
        <v>61</v>
      </c>
      <c r="C7059" t="s">
        <v>13</v>
      </c>
      <c r="D7059" s="8"/>
      <c r="E7059" s="8"/>
      <c r="M7059" t="s">
        <v>477</v>
      </c>
      <c r="N7059" t="str">
        <f>Tabela_tudo[[#This Row],[Médico]]&amp;" ("&amp;Tabela_tudo[[#This Row],[Obs]]&amp;")"</f>
        <v>AD ()</v>
      </c>
    </row>
    <row r="7060" spans="1:14" x14ac:dyDescent="0.3">
      <c r="A7060" s="1">
        <v>45221</v>
      </c>
      <c r="B7060" t="s">
        <v>112</v>
      </c>
      <c r="C7060" t="s">
        <v>464</v>
      </c>
      <c r="D7060" s="8"/>
      <c r="E7060" s="8"/>
      <c r="M7060" t="s">
        <v>479</v>
      </c>
      <c r="N7060" t="str">
        <f>Tabela_tudo[[#This Row],[Médico]]&amp;" ("&amp;Tabela_tudo[[#This Row],[Obs]]&amp;")"</f>
        <v>FLE ()</v>
      </c>
    </row>
    <row r="7061" spans="1:14" x14ac:dyDescent="0.3">
      <c r="A7061" s="1">
        <v>45085</v>
      </c>
      <c r="B7061" t="s">
        <v>61</v>
      </c>
      <c r="C7061" t="s">
        <v>13</v>
      </c>
      <c r="D7061" s="8"/>
      <c r="E7061" s="8"/>
      <c r="M7061" t="s">
        <v>477</v>
      </c>
      <c r="N7061" t="str">
        <f>Tabela_tudo[[#This Row],[Médico]]&amp;" ("&amp;Tabela_tudo[[#This Row],[Obs]]&amp;")"</f>
        <v>AD ()</v>
      </c>
    </row>
    <row r="7062" spans="1:14" x14ac:dyDescent="0.3">
      <c r="A7062" s="1">
        <v>45222</v>
      </c>
      <c r="B7062" t="s">
        <v>112</v>
      </c>
      <c r="C7062" t="s">
        <v>464</v>
      </c>
      <c r="D7062" s="8"/>
      <c r="E7062" s="8"/>
      <c r="M7062" t="s">
        <v>479</v>
      </c>
      <c r="N7062" t="str">
        <f>Tabela_tudo[[#This Row],[Médico]]&amp;" ("&amp;Tabela_tudo[[#This Row],[Obs]]&amp;")"</f>
        <v>FLE ()</v>
      </c>
    </row>
    <row r="7063" spans="1:14" x14ac:dyDescent="0.3">
      <c r="A7063" s="1">
        <v>45104</v>
      </c>
      <c r="B7063" t="s">
        <v>27</v>
      </c>
      <c r="C7063" t="s">
        <v>41</v>
      </c>
      <c r="D7063" s="8"/>
      <c r="E7063" s="8"/>
      <c r="M7063" t="s">
        <v>481</v>
      </c>
      <c r="N7063" t="str">
        <f>Tabela_tudo[[#This Row],[Médico]]&amp;" ("&amp;Tabela_tudo[[#This Row],[Obs]]&amp;")"</f>
        <v>KIL ()</v>
      </c>
    </row>
    <row r="7064" spans="1:14" x14ac:dyDescent="0.3">
      <c r="A7064" s="1">
        <v>45223</v>
      </c>
      <c r="B7064" t="s">
        <v>112</v>
      </c>
      <c r="C7064" t="s">
        <v>464</v>
      </c>
      <c r="D7064" s="8"/>
      <c r="E7064" s="8"/>
      <c r="M7064" t="s">
        <v>479</v>
      </c>
      <c r="N7064" t="str">
        <f>Tabela_tudo[[#This Row],[Médico]]&amp;" ("&amp;Tabela_tudo[[#This Row],[Obs]]&amp;")"</f>
        <v>FLE ()</v>
      </c>
    </row>
    <row r="7065" spans="1:14" x14ac:dyDescent="0.3">
      <c r="A7065" s="1">
        <v>45085</v>
      </c>
      <c r="B7065" t="s">
        <v>27</v>
      </c>
      <c r="C7065" t="s">
        <v>41</v>
      </c>
      <c r="D7065" s="8"/>
      <c r="E7065" s="8"/>
      <c r="M7065" t="s">
        <v>481</v>
      </c>
      <c r="N7065" t="str">
        <f>Tabela_tudo[[#This Row],[Médico]]&amp;" ("&amp;Tabela_tudo[[#This Row],[Obs]]&amp;")"</f>
        <v>KIL ()</v>
      </c>
    </row>
    <row r="7066" spans="1:14" x14ac:dyDescent="0.3">
      <c r="A7066" s="1">
        <v>45218</v>
      </c>
      <c r="B7066" t="s">
        <v>112</v>
      </c>
      <c r="C7066" t="s">
        <v>464</v>
      </c>
      <c r="D7066" s="8"/>
      <c r="E7066" s="8"/>
      <c r="M7066" t="s">
        <v>479</v>
      </c>
      <c r="N7066" t="str">
        <f>Tabela_tudo[[#This Row],[Médico]]&amp;" ("&amp;Tabela_tudo[[#This Row],[Obs]]&amp;")"</f>
        <v>FLE ()</v>
      </c>
    </row>
    <row r="7067" spans="1:14" x14ac:dyDescent="0.3">
      <c r="A7067" s="1">
        <v>45214</v>
      </c>
      <c r="B7067" t="s">
        <v>57</v>
      </c>
      <c r="C7067" t="s">
        <v>13</v>
      </c>
      <c r="D7067" s="8"/>
      <c r="E7067" s="8"/>
      <c r="M7067" t="s">
        <v>477</v>
      </c>
      <c r="N7067" t="str">
        <f>Tabela_tudo[[#This Row],[Médico]]&amp;" ("&amp;Tabela_tudo[[#This Row],[Obs]]&amp;")"</f>
        <v>BED ()</v>
      </c>
    </row>
    <row r="7068" spans="1:14" x14ac:dyDescent="0.3">
      <c r="A7068" s="1">
        <v>45219</v>
      </c>
      <c r="B7068" t="s">
        <v>112</v>
      </c>
      <c r="C7068" t="s">
        <v>464</v>
      </c>
      <c r="D7068" s="8"/>
      <c r="E7068" s="8"/>
      <c r="M7068" t="s">
        <v>479</v>
      </c>
      <c r="N7068" t="str">
        <f>Tabela_tudo[[#This Row],[Médico]]&amp;" ("&amp;Tabela_tudo[[#This Row],[Obs]]&amp;")"</f>
        <v>FLE ()</v>
      </c>
    </row>
    <row r="7069" spans="1:14" x14ac:dyDescent="0.3">
      <c r="A7069" s="1">
        <v>45193</v>
      </c>
      <c r="B7069" t="s">
        <v>62</v>
      </c>
      <c r="C7069" t="s">
        <v>8</v>
      </c>
      <c r="D7069" s="8"/>
      <c r="E7069" s="8"/>
      <c r="M7069" t="s">
        <v>477</v>
      </c>
      <c r="N7069" t="str">
        <f>Tabela_tudo[[#This Row],[Médico]]&amp;" ("&amp;Tabela_tudo[[#This Row],[Obs]]&amp;")"</f>
        <v>RKS ()</v>
      </c>
    </row>
    <row r="7070" spans="1:14" x14ac:dyDescent="0.3">
      <c r="A7070" s="1">
        <v>45220</v>
      </c>
      <c r="B7070" t="s">
        <v>112</v>
      </c>
      <c r="C7070" t="s">
        <v>464</v>
      </c>
      <c r="D7070" s="8"/>
      <c r="E7070" s="8"/>
      <c r="M7070" t="s">
        <v>479</v>
      </c>
      <c r="N7070" t="str">
        <f>Tabela_tudo[[#This Row],[Médico]]&amp;" ("&amp;Tabela_tudo[[#This Row],[Obs]]&amp;")"</f>
        <v>FLE ()</v>
      </c>
    </row>
    <row r="7071" spans="1:14" x14ac:dyDescent="0.3">
      <c r="A7071" s="1">
        <v>45193</v>
      </c>
      <c r="B7071" t="s">
        <v>97</v>
      </c>
      <c r="C7071" t="s">
        <v>13</v>
      </c>
      <c r="D7071" s="8"/>
      <c r="E7071" s="8"/>
      <c r="M7071" t="s">
        <v>479</v>
      </c>
      <c r="N7071" t="str">
        <f>Tabela_tudo[[#This Row],[Médico]]&amp;" ("&amp;Tabela_tudo[[#This Row],[Obs]]&amp;")"</f>
        <v>HAR ()</v>
      </c>
    </row>
    <row r="7072" spans="1:14" x14ac:dyDescent="0.3">
      <c r="A7072" s="1">
        <v>45224</v>
      </c>
      <c r="B7072" t="s">
        <v>112</v>
      </c>
      <c r="C7072" t="s">
        <v>464</v>
      </c>
      <c r="D7072" s="8"/>
      <c r="E7072" s="8"/>
      <c r="M7072" t="s">
        <v>479</v>
      </c>
      <c r="N7072" t="str">
        <f>Tabela_tudo[[#This Row],[Médico]]&amp;" ("&amp;Tabela_tudo[[#This Row],[Obs]]&amp;")"</f>
        <v>FLE ()</v>
      </c>
    </row>
    <row r="7073" spans="1:14" x14ac:dyDescent="0.3">
      <c r="A7073" s="1">
        <v>45085</v>
      </c>
      <c r="B7073" t="s">
        <v>35</v>
      </c>
      <c r="C7073" t="s">
        <v>41</v>
      </c>
      <c r="D7073" s="8"/>
      <c r="E7073" s="8"/>
      <c r="M7073" t="s">
        <v>479</v>
      </c>
      <c r="N7073" t="str">
        <f>Tabela_tudo[[#This Row],[Médico]]&amp;" ("&amp;Tabela_tudo[[#This Row],[Obs]]&amp;")"</f>
        <v>FLA ()</v>
      </c>
    </row>
    <row r="7074" spans="1:14" x14ac:dyDescent="0.3">
      <c r="A7074" s="1">
        <v>45228</v>
      </c>
      <c r="B7074" t="s">
        <v>112</v>
      </c>
      <c r="C7074" t="s">
        <v>464</v>
      </c>
      <c r="D7074" s="8"/>
      <c r="E7074" s="8"/>
      <c r="M7074" t="s">
        <v>479</v>
      </c>
      <c r="N7074" t="str">
        <f>Tabela_tudo[[#This Row],[Médico]]&amp;" ("&amp;Tabela_tudo[[#This Row],[Obs]]&amp;")"</f>
        <v>FLE ()</v>
      </c>
    </row>
    <row r="7075" spans="1:14" x14ac:dyDescent="0.3">
      <c r="A7075" s="1">
        <v>45085</v>
      </c>
      <c r="B7075" t="s">
        <v>109</v>
      </c>
      <c r="C7075" t="s">
        <v>10</v>
      </c>
      <c r="D7075" s="8"/>
      <c r="E7075" s="8"/>
      <c r="M7075" t="s">
        <v>479</v>
      </c>
      <c r="N7075" t="str">
        <f>Tabela_tudo[[#This Row],[Médico]]&amp;" ("&amp;Tabela_tudo[[#This Row],[Obs]]&amp;")"</f>
        <v>CA ()</v>
      </c>
    </row>
    <row r="7076" spans="1:14" x14ac:dyDescent="0.3">
      <c r="A7076" s="1">
        <v>45229</v>
      </c>
      <c r="B7076" t="s">
        <v>112</v>
      </c>
      <c r="C7076" t="s">
        <v>464</v>
      </c>
      <c r="D7076" s="8"/>
      <c r="E7076" s="8"/>
      <c r="M7076" t="s">
        <v>479</v>
      </c>
      <c r="N7076" t="str">
        <f>Tabela_tudo[[#This Row],[Médico]]&amp;" ("&amp;Tabela_tudo[[#This Row],[Obs]]&amp;")"</f>
        <v>FLE ()</v>
      </c>
    </row>
    <row r="7077" spans="1:14" x14ac:dyDescent="0.3">
      <c r="A7077" s="1">
        <v>45214</v>
      </c>
      <c r="B7077" t="s">
        <v>38</v>
      </c>
      <c r="C7077" t="s">
        <v>8</v>
      </c>
      <c r="D7077" s="8"/>
      <c r="E7077" s="8"/>
      <c r="M7077" t="s">
        <v>481</v>
      </c>
      <c r="N7077" t="str">
        <f>Tabela_tudo[[#This Row],[Médico]]&amp;" ("&amp;Tabela_tudo[[#This Row],[Obs]]&amp;")"</f>
        <v>ORO ()</v>
      </c>
    </row>
    <row r="7078" spans="1:14" x14ac:dyDescent="0.3">
      <c r="A7078" s="1">
        <v>45230</v>
      </c>
      <c r="B7078" t="s">
        <v>112</v>
      </c>
      <c r="C7078" t="s">
        <v>464</v>
      </c>
      <c r="D7078" s="8"/>
      <c r="E7078" s="8"/>
      <c r="M7078" t="s">
        <v>479</v>
      </c>
      <c r="N7078" t="str">
        <f>Tabela_tudo[[#This Row],[Médico]]&amp;" ("&amp;Tabela_tudo[[#This Row],[Obs]]&amp;")"</f>
        <v>FLE ()</v>
      </c>
    </row>
    <row r="7079" spans="1:14" x14ac:dyDescent="0.3">
      <c r="A7079" s="1">
        <v>45214</v>
      </c>
      <c r="B7079" t="s">
        <v>39</v>
      </c>
      <c r="C7079" t="s">
        <v>78</v>
      </c>
      <c r="D7079" s="8"/>
      <c r="E7079" s="8"/>
      <c r="M7079" t="s">
        <v>479</v>
      </c>
      <c r="N7079" t="str">
        <f>Tabela_tudo[[#This Row],[Médico]]&amp;" ("&amp;Tabela_tudo[[#This Row],[Obs]]&amp;")"</f>
        <v>KLA ()</v>
      </c>
    </row>
    <row r="7080" spans="1:14" x14ac:dyDescent="0.3">
      <c r="A7080" s="1">
        <v>45225</v>
      </c>
      <c r="B7080" t="s">
        <v>112</v>
      </c>
      <c r="C7080" t="s">
        <v>464</v>
      </c>
      <c r="D7080" s="8"/>
      <c r="E7080" s="8"/>
      <c r="M7080" t="s">
        <v>479</v>
      </c>
      <c r="N7080" t="str">
        <f>Tabela_tudo[[#This Row],[Médico]]&amp;" ("&amp;Tabela_tudo[[#This Row],[Obs]]&amp;")"</f>
        <v>FLE ()</v>
      </c>
    </row>
    <row r="7081" spans="1:14" x14ac:dyDescent="0.3">
      <c r="A7081" s="1">
        <v>45084</v>
      </c>
      <c r="B7081" t="s">
        <v>109</v>
      </c>
      <c r="C7081" t="s">
        <v>10</v>
      </c>
      <c r="D7081" s="8"/>
      <c r="E7081" s="8"/>
      <c r="M7081" t="s">
        <v>479</v>
      </c>
      <c r="N7081" t="str">
        <f>Tabela_tudo[[#This Row],[Médico]]&amp;" ("&amp;Tabela_tudo[[#This Row],[Obs]]&amp;")"</f>
        <v>CA ()</v>
      </c>
    </row>
    <row r="7082" spans="1:14" x14ac:dyDescent="0.3">
      <c r="A7082" s="1">
        <v>45226</v>
      </c>
      <c r="B7082" t="s">
        <v>112</v>
      </c>
      <c r="C7082" t="s">
        <v>464</v>
      </c>
      <c r="D7082" s="8"/>
      <c r="E7082" s="8"/>
      <c r="M7082" t="s">
        <v>479</v>
      </c>
      <c r="N7082" t="str">
        <f>Tabela_tudo[[#This Row],[Médico]]&amp;" ("&amp;Tabela_tudo[[#This Row],[Obs]]&amp;")"</f>
        <v>FLE ()</v>
      </c>
    </row>
    <row r="7083" spans="1:14" x14ac:dyDescent="0.3">
      <c r="A7083" s="1">
        <v>45084</v>
      </c>
      <c r="B7083" t="s">
        <v>36</v>
      </c>
      <c r="C7083" t="s">
        <v>10</v>
      </c>
      <c r="D7083" s="8"/>
      <c r="E7083" s="8"/>
      <c r="M7083" t="s">
        <v>481</v>
      </c>
      <c r="N7083" t="str">
        <f>Tabela_tudo[[#This Row],[Médico]]&amp;" ("&amp;Tabela_tudo[[#This Row],[Obs]]&amp;")"</f>
        <v>DRI ()</v>
      </c>
    </row>
    <row r="7084" spans="1:14" x14ac:dyDescent="0.3">
      <c r="A7084" s="1">
        <v>45227</v>
      </c>
      <c r="B7084" t="s">
        <v>112</v>
      </c>
      <c r="C7084" t="s">
        <v>464</v>
      </c>
      <c r="D7084" s="8"/>
      <c r="E7084" s="8"/>
      <c r="M7084" t="s">
        <v>479</v>
      </c>
      <c r="N7084" t="str">
        <f>Tabela_tudo[[#This Row],[Médico]]&amp;" ("&amp;Tabela_tudo[[#This Row],[Obs]]&amp;")"</f>
        <v>FLE ()</v>
      </c>
    </row>
    <row r="7085" spans="1:14" x14ac:dyDescent="0.3">
      <c r="A7085" s="1">
        <v>45084</v>
      </c>
      <c r="B7085" t="s">
        <v>96</v>
      </c>
      <c r="C7085" t="s">
        <v>41</v>
      </c>
      <c r="D7085" s="8"/>
      <c r="E7085" s="8"/>
      <c r="M7085" t="s">
        <v>477</v>
      </c>
      <c r="N7085" t="str">
        <f>Tabela_tudo[[#This Row],[Médico]]&amp;" ("&amp;Tabela_tudo[[#This Row],[Obs]]&amp;")"</f>
        <v>VF ()</v>
      </c>
    </row>
    <row r="7086" spans="1:14" x14ac:dyDescent="0.3">
      <c r="A7086" s="1">
        <v>45217</v>
      </c>
      <c r="B7086" t="s">
        <v>112</v>
      </c>
      <c r="C7086" t="s">
        <v>464</v>
      </c>
      <c r="D7086" s="8"/>
      <c r="E7086" s="8"/>
      <c r="M7086" t="s">
        <v>479</v>
      </c>
      <c r="N7086" t="str">
        <f>Tabela_tudo[[#This Row],[Médico]]&amp;" ("&amp;Tabela_tudo[[#This Row],[Obs]]&amp;")"</f>
        <v>FLE ()</v>
      </c>
    </row>
    <row r="7087" spans="1:14" x14ac:dyDescent="0.3">
      <c r="A7087" s="1">
        <v>45084</v>
      </c>
      <c r="B7087" t="s">
        <v>79</v>
      </c>
      <c r="C7087" t="s">
        <v>41</v>
      </c>
      <c r="D7087" s="8"/>
      <c r="E7087" s="8"/>
      <c r="M7087" t="s">
        <v>481</v>
      </c>
      <c r="N7087" t="str">
        <f>Tabela_tudo[[#This Row],[Médico]]&amp;" ("&amp;Tabela_tudo[[#This Row],[Obs]]&amp;")"</f>
        <v>MTB ()</v>
      </c>
    </row>
    <row r="7088" spans="1:14" x14ac:dyDescent="0.3">
      <c r="A7088" s="1">
        <v>45223</v>
      </c>
      <c r="B7088" t="s">
        <v>79</v>
      </c>
      <c r="C7088" t="s">
        <v>464</v>
      </c>
      <c r="D7088" s="8"/>
      <c r="E7088" s="8"/>
      <c r="M7088" t="s">
        <v>481</v>
      </c>
      <c r="N7088" t="str">
        <f>Tabela_tudo[[#This Row],[Médico]]&amp;" ("&amp;Tabela_tudo[[#This Row],[Obs]]&amp;")"</f>
        <v>MTB ()</v>
      </c>
    </row>
    <row r="7089" spans="1:14" x14ac:dyDescent="0.3">
      <c r="A7089" s="1">
        <v>45217</v>
      </c>
      <c r="B7089" t="s">
        <v>96</v>
      </c>
      <c r="C7089" t="s">
        <v>8</v>
      </c>
      <c r="D7089" s="8"/>
      <c r="E7089" s="8"/>
      <c r="M7089" t="s">
        <v>477</v>
      </c>
      <c r="N7089" t="str">
        <f>Tabela_tudo[[#This Row],[Médico]]&amp;" ("&amp;Tabela_tudo[[#This Row],[Obs]]&amp;")"</f>
        <v>VF ()</v>
      </c>
    </row>
    <row r="7090" spans="1:14" x14ac:dyDescent="0.3">
      <c r="A7090" s="1">
        <v>45224</v>
      </c>
      <c r="B7090" t="s">
        <v>79</v>
      </c>
      <c r="C7090" t="s">
        <v>464</v>
      </c>
      <c r="D7090" s="8"/>
      <c r="E7090" s="8"/>
      <c r="M7090" t="s">
        <v>481</v>
      </c>
      <c r="N7090" t="str">
        <f>Tabela_tudo[[#This Row],[Médico]]&amp;" ("&amp;Tabela_tudo[[#This Row],[Obs]]&amp;")"</f>
        <v>MTB ()</v>
      </c>
    </row>
    <row r="7091" spans="1:14" x14ac:dyDescent="0.3">
      <c r="A7091" s="1">
        <v>45217</v>
      </c>
      <c r="B7091" t="s">
        <v>27</v>
      </c>
      <c r="C7091" t="s">
        <v>10</v>
      </c>
      <c r="D7091" s="8"/>
      <c r="E7091" s="8"/>
      <c r="M7091" t="s">
        <v>481</v>
      </c>
      <c r="N7091" t="str">
        <f>Tabela_tudo[[#This Row],[Médico]]&amp;" ("&amp;Tabela_tudo[[#This Row],[Obs]]&amp;")"</f>
        <v>KIL ()</v>
      </c>
    </row>
    <row r="7092" spans="1:14" x14ac:dyDescent="0.3">
      <c r="A7092" s="1">
        <v>45225</v>
      </c>
      <c r="B7092" t="s">
        <v>79</v>
      </c>
      <c r="C7092" t="s">
        <v>464</v>
      </c>
      <c r="D7092" s="8"/>
      <c r="E7092" s="8"/>
      <c r="M7092" t="s">
        <v>481</v>
      </c>
      <c r="N7092" t="str">
        <f>Tabela_tudo[[#This Row],[Médico]]&amp;" ("&amp;Tabela_tudo[[#This Row],[Obs]]&amp;")"</f>
        <v>MTB ()</v>
      </c>
    </row>
    <row r="7093" spans="1:14" x14ac:dyDescent="0.3">
      <c r="A7093" s="1">
        <v>45084</v>
      </c>
      <c r="B7093" t="s">
        <v>9</v>
      </c>
      <c r="C7093" t="s">
        <v>10</v>
      </c>
      <c r="D7093" s="8"/>
      <c r="E7093" s="8"/>
      <c r="M7093" t="s">
        <v>481</v>
      </c>
      <c r="N7093" t="str">
        <f>Tabela_tudo[[#This Row],[Médico]]&amp;" ("&amp;Tabela_tudo[[#This Row],[Obs]]&amp;")"</f>
        <v>KRE ()</v>
      </c>
    </row>
    <row r="7094" spans="1:14" x14ac:dyDescent="0.3">
      <c r="A7094" s="1">
        <v>45220</v>
      </c>
      <c r="B7094" t="s">
        <v>79</v>
      </c>
      <c r="C7094" t="s">
        <v>464</v>
      </c>
      <c r="D7094" s="8"/>
      <c r="E7094" s="8"/>
      <c r="M7094" t="s">
        <v>481</v>
      </c>
      <c r="N7094" t="str">
        <f>Tabela_tudo[[#This Row],[Médico]]&amp;" ("&amp;Tabela_tudo[[#This Row],[Obs]]&amp;")"</f>
        <v>MTB ()</v>
      </c>
    </row>
    <row r="7095" spans="1:14" x14ac:dyDescent="0.3">
      <c r="A7095" s="1">
        <v>45217</v>
      </c>
      <c r="B7095" t="s">
        <v>97</v>
      </c>
      <c r="C7095" t="s">
        <v>13</v>
      </c>
      <c r="D7095" s="8"/>
      <c r="E7095" s="8"/>
      <c r="M7095" t="s">
        <v>479</v>
      </c>
      <c r="N7095" t="str">
        <f>Tabela_tudo[[#This Row],[Médico]]&amp;" ("&amp;Tabela_tudo[[#This Row],[Obs]]&amp;")"</f>
        <v>HAR ()</v>
      </c>
    </row>
    <row r="7096" spans="1:14" x14ac:dyDescent="0.3">
      <c r="A7096" s="1">
        <v>45221</v>
      </c>
      <c r="B7096" t="s">
        <v>79</v>
      </c>
      <c r="C7096" t="s">
        <v>464</v>
      </c>
      <c r="D7096" s="8"/>
      <c r="E7096" s="8"/>
      <c r="M7096" t="s">
        <v>481</v>
      </c>
      <c r="N7096" t="str">
        <f>Tabela_tudo[[#This Row],[Médico]]&amp;" ("&amp;Tabela_tudo[[#This Row],[Obs]]&amp;")"</f>
        <v>MTB ()</v>
      </c>
    </row>
    <row r="7097" spans="1:14" x14ac:dyDescent="0.3">
      <c r="A7097" s="1">
        <v>45216</v>
      </c>
      <c r="B7097" t="s">
        <v>9</v>
      </c>
      <c r="C7097" t="s">
        <v>10</v>
      </c>
      <c r="D7097" s="8"/>
      <c r="E7097" s="8"/>
      <c r="M7097" t="s">
        <v>481</v>
      </c>
      <c r="N7097" t="str">
        <f>Tabela_tudo[[#This Row],[Médico]]&amp;" ("&amp;Tabela_tudo[[#This Row],[Obs]]&amp;")"</f>
        <v>KRE ()</v>
      </c>
    </row>
    <row r="7098" spans="1:14" x14ac:dyDescent="0.3">
      <c r="A7098" s="1">
        <v>45222</v>
      </c>
      <c r="B7098" t="s">
        <v>79</v>
      </c>
      <c r="C7098" t="s">
        <v>464</v>
      </c>
      <c r="D7098" s="8"/>
      <c r="E7098" s="8"/>
      <c r="M7098" t="s">
        <v>481</v>
      </c>
      <c r="N7098" t="str">
        <f>Tabela_tudo[[#This Row],[Médico]]&amp;" ("&amp;Tabela_tudo[[#This Row],[Obs]]&amp;")"</f>
        <v>MTB ()</v>
      </c>
    </row>
    <row r="7099" spans="1:14" x14ac:dyDescent="0.3">
      <c r="A7099" s="1">
        <v>45216</v>
      </c>
      <c r="B7099" t="s">
        <v>80</v>
      </c>
      <c r="C7099" t="s">
        <v>41</v>
      </c>
      <c r="D7099" s="8"/>
      <c r="E7099" s="8"/>
      <c r="M7099" t="s">
        <v>477</v>
      </c>
      <c r="N7099" t="str">
        <f>Tabela_tudo[[#This Row],[Médico]]&amp;" ("&amp;Tabela_tudo[[#This Row],[Obs]]&amp;")"</f>
        <v>REC ()</v>
      </c>
    </row>
    <row r="7100" spans="1:14" x14ac:dyDescent="0.3">
      <c r="A7100" s="1">
        <v>45226</v>
      </c>
      <c r="B7100" t="s">
        <v>79</v>
      </c>
      <c r="C7100" t="s">
        <v>464</v>
      </c>
      <c r="D7100" s="8"/>
      <c r="E7100" s="8"/>
      <c r="M7100" t="s">
        <v>481</v>
      </c>
      <c r="N7100" t="str">
        <f>Tabela_tudo[[#This Row],[Médico]]&amp;" ("&amp;Tabela_tudo[[#This Row],[Obs]]&amp;")"</f>
        <v>MTB ()</v>
      </c>
    </row>
    <row r="7101" spans="1:14" x14ac:dyDescent="0.3">
      <c r="A7101" s="1">
        <v>45216</v>
      </c>
      <c r="B7101" t="s">
        <v>36</v>
      </c>
      <c r="C7101" t="s">
        <v>8</v>
      </c>
      <c r="D7101" s="8"/>
      <c r="E7101" s="8"/>
      <c r="M7101" t="s">
        <v>481</v>
      </c>
      <c r="N7101" t="str">
        <f>Tabela_tudo[[#This Row],[Médico]]&amp;" ("&amp;Tabela_tudo[[#This Row],[Obs]]&amp;")"</f>
        <v>DRI ()</v>
      </c>
    </row>
    <row r="7102" spans="1:14" x14ac:dyDescent="0.3">
      <c r="A7102" s="1">
        <v>45230</v>
      </c>
      <c r="B7102" t="s">
        <v>79</v>
      </c>
      <c r="C7102" t="s">
        <v>464</v>
      </c>
      <c r="D7102" s="8"/>
      <c r="E7102" s="8"/>
      <c r="M7102" t="s">
        <v>481</v>
      </c>
      <c r="N7102" t="str">
        <f>Tabela_tudo[[#This Row],[Médico]]&amp;" ("&amp;Tabela_tudo[[#This Row],[Obs]]&amp;")"</f>
        <v>MTB ()</v>
      </c>
    </row>
    <row r="7103" spans="1:14" x14ac:dyDescent="0.3">
      <c r="A7103" s="1">
        <v>45216</v>
      </c>
      <c r="B7103" t="s">
        <v>27</v>
      </c>
      <c r="C7103" t="s">
        <v>10</v>
      </c>
      <c r="D7103" s="8"/>
      <c r="E7103" s="8"/>
      <c r="M7103" t="s">
        <v>481</v>
      </c>
      <c r="N7103" t="str">
        <f>Tabela_tudo[[#This Row],[Médico]]&amp;" ("&amp;Tabela_tudo[[#This Row],[Obs]]&amp;")"</f>
        <v>KIL ()</v>
      </c>
    </row>
    <row r="7104" spans="1:14" x14ac:dyDescent="0.3">
      <c r="A7104" s="1">
        <v>45215</v>
      </c>
      <c r="B7104" t="s">
        <v>112</v>
      </c>
      <c r="C7104" t="s">
        <v>464</v>
      </c>
      <c r="D7104" s="8"/>
      <c r="E7104" s="8"/>
      <c r="M7104" t="s">
        <v>479</v>
      </c>
      <c r="N7104" t="str">
        <f>Tabela_tudo[[#This Row],[Médico]]&amp;" ("&amp;Tabela_tudo[[#This Row],[Obs]]&amp;")"</f>
        <v>FLE ()</v>
      </c>
    </row>
    <row r="7105" spans="1:14" x14ac:dyDescent="0.3">
      <c r="A7105" s="1">
        <v>45139</v>
      </c>
      <c r="B7105" t="s">
        <v>57</v>
      </c>
      <c r="C7105" t="s">
        <v>13</v>
      </c>
      <c r="D7105" s="8"/>
      <c r="E7105" s="8"/>
      <c r="M7105" t="s">
        <v>477</v>
      </c>
      <c r="N7105" t="str">
        <f>Tabela_tudo[[#This Row],[Médico]]&amp;" ("&amp;Tabela_tudo[[#This Row],[Obs]]&amp;")"</f>
        <v>BED ()</v>
      </c>
    </row>
    <row r="7106" spans="1:14" x14ac:dyDescent="0.3">
      <c r="A7106" s="1">
        <v>45216</v>
      </c>
      <c r="B7106" t="s">
        <v>112</v>
      </c>
      <c r="C7106" t="s">
        <v>464</v>
      </c>
      <c r="D7106" s="8"/>
      <c r="E7106" s="8"/>
      <c r="M7106" t="s">
        <v>479</v>
      </c>
      <c r="N7106" t="str">
        <f>Tabela_tudo[[#This Row],[Médico]]&amp;" ("&amp;Tabela_tudo[[#This Row],[Obs]]&amp;")"</f>
        <v>FLE ()</v>
      </c>
    </row>
    <row r="7107" spans="1:14" x14ac:dyDescent="0.3">
      <c r="A7107" s="1">
        <v>45139</v>
      </c>
      <c r="B7107" t="s">
        <v>39</v>
      </c>
      <c r="C7107" t="s">
        <v>8</v>
      </c>
      <c r="D7107" s="8"/>
      <c r="E7107" s="8"/>
      <c r="M7107" t="s">
        <v>479</v>
      </c>
      <c r="N7107" t="str">
        <f>Tabela_tudo[[#This Row],[Médico]]&amp;" ("&amp;Tabela_tudo[[#This Row],[Obs]]&amp;")"</f>
        <v>KLA ()</v>
      </c>
    </row>
    <row r="7108" spans="1:14" x14ac:dyDescent="0.3">
      <c r="A7108" s="1">
        <v>45227</v>
      </c>
      <c r="B7108" t="s">
        <v>79</v>
      </c>
      <c r="C7108" t="s">
        <v>464</v>
      </c>
      <c r="D7108" s="8"/>
      <c r="E7108" s="8"/>
      <c r="M7108" t="s">
        <v>481</v>
      </c>
      <c r="N7108" t="str">
        <f>Tabela_tudo[[#This Row],[Médico]]&amp;" ("&amp;Tabela_tudo[[#This Row],[Obs]]&amp;")"</f>
        <v>MTB ()</v>
      </c>
    </row>
    <row r="7109" spans="1:14" x14ac:dyDescent="0.3">
      <c r="A7109" s="1">
        <v>45216</v>
      </c>
      <c r="B7109" t="s">
        <v>103</v>
      </c>
      <c r="C7109" t="s">
        <v>41</v>
      </c>
      <c r="D7109" s="8"/>
      <c r="E7109" s="8"/>
      <c r="M7109" t="s">
        <v>481</v>
      </c>
      <c r="N7109" t="str">
        <f>Tabela_tudo[[#This Row],[Médico]]&amp;" ("&amp;Tabela_tudo[[#This Row],[Obs]]&amp;")"</f>
        <v>CAD ()</v>
      </c>
    </row>
    <row r="7110" spans="1:14" x14ac:dyDescent="0.3">
      <c r="A7110" s="1">
        <v>45228</v>
      </c>
      <c r="B7110" t="s">
        <v>79</v>
      </c>
      <c r="C7110" t="s">
        <v>464</v>
      </c>
      <c r="D7110" s="8"/>
      <c r="E7110" s="8"/>
      <c r="M7110" t="s">
        <v>481</v>
      </c>
      <c r="N7110" t="str">
        <f>Tabela_tudo[[#This Row],[Médico]]&amp;" ("&amp;Tabela_tudo[[#This Row],[Obs]]&amp;")"</f>
        <v>MTB ()</v>
      </c>
    </row>
    <row r="7111" spans="1:14" x14ac:dyDescent="0.3">
      <c r="A7111" s="1">
        <v>45166</v>
      </c>
      <c r="B7111" t="s">
        <v>38</v>
      </c>
      <c r="C7111" t="s">
        <v>13</v>
      </c>
      <c r="D7111" s="8"/>
      <c r="E7111" s="8"/>
      <c r="M7111" t="s">
        <v>481</v>
      </c>
      <c r="N7111" t="str">
        <f>Tabela_tudo[[#This Row],[Médico]]&amp;" ("&amp;Tabela_tudo[[#This Row],[Obs]]&amp;")"</f>
        <v>ORO ()</v>
      </c>
    </row>
    <row r="7112" spans="1:14" x14ac:dyDescent="0.3">
      <c r="A7112" s="1">
        <v>45229</v>
      </c>
      <c r="B7112" t="s">
        <v>79</v>
      </c>
      <c r="C7112" t="s">
        <v>464</v>
      </c>
      <c r="D7112" s="8"/>
      <c r="E7112" s="8"/>
      <c r="M7112" t="s">
        <v>481</v>
      </c>
      <c r="N7112" t="str">
        <f>Tabela_tudo[[#This Row],[Médico]]&amp;" ("&amp;Tabela_tudo[[#This Row],[Obs]]&amp;")"</f>
        <v>MTB ()</v>
      </c>
    </row>
    <row r="7113" spans="1:14" x14ac:dyDescent="0.3">
      <c r="A7113" s="1">
        <v>45213</v>
      </c>
      <c r="B7113" t="s">
        <v>9</v>
      </c>
      <c r="C7113" t="s">
        <v>10</v>
      </c>
      <c r="D7113" s="8"/>
      <c r="E7113" s="8"/>
      <c r="M7113" t="s">
        <v>481</v>
      </c>
      <c r="N7113" t="str">
        <f>Tabela_tudo[[#This Row],[Médico]]&amp;" ("&amp;Tabela_tudo[[#This Row],[Obs]]&amp;")"</f>
        <v>KRE ()</v>
      </c>
    </row>
    <row r="7114" spans="1:14" x14ac:dyDescent="0.3">
      <c r="A7114" s="1">
        <v>45224</v>
      </c>
      <c r="B7114" t="s">
        <v>60</v>
      </c>
      <c r="C7114" t="s">
        <v>464</v>
      </c>
      <c r="D7114" s="8"/>
      <c r="E7114" s="8"/>
      <c r="M7114" t="s">
        <v>477</v>
      </c>
      <c r="N7114" t="str">
        <f>Tabela_tudo[[#This Row],[Médico]]&amp;" ("&amp;Tabela_tudo[[#This Row],[Obs]]&amp;")"</f>
        <v>BMT ()</v>
      </c>
    </row>
    <row r="7115" spans="1:14" x14ac:dyDescent="0.3">
      <c r="A7115" s="1">
        <v>45209</v>
      </c>
      <c r="B7115" t="s">
        <v>9</v>
      </c>
      <c r="C7115" t="s">
        <v>10</v>
      </c>
      <c r="D7115" s="8"/>
      <c r="E7115" s="8"/>
      <c r="M7115" t="s">
        <v>481</v>
      </c>
      <c r="N7115" t="str">
        <f>Tabela_tudo[[#This Row],[Médico]]&amp;" ("&amp;Tabela_tudo[[#This Row],[Obs]]&amp;")"</f>
        <v>KRE ()</v>
      </c>
    </row>
    <row r="7116" spans="1:14" x14ac:dyDescent="0.3">
      <c r="A7116" s="1">
        <v>45202</v>
      </c>
      <c r="B7116" t="s">
        <v>42</v>
      </c>
      <c r="C7116" t="s">
        <v>464</v>
      </c>
      <c r="D7116" s="8"/>
      <c r="E7116" s="8"/>
      <c r="M7116" t="s">
        <v>479</v>
      </c>
      <c r="N7116" t="str">
        <f>Tabela_tudo[[#This Row],[Médico]]&amp;" ("&amp;Tabela_tudo[[#This Row],[Obs]]&amp;")"</f>
        <v>SAK ()</v>
      </c>
    </row>
    <row r="7117" spans="1:14" x14ac:dyDescent="0.3">
      <c r="A7117" s="1">
        <v>45209</v>
      </c>
      <c r="B7117" t="s">
        <v>98</v>
      </c>
      <c r="C7117" t="s">
        <v>41</v>
      </c>
      <c r="D7117" s="8"/>
      <c r="E7117" s="8"/>
      <c r="M7117" t="s">
        <v>479</v>
      </c>
      <c r="N7117" t="str">
        <f>Tabela_tudo[[#This Row],[Médico]]&amp;" ("&amp;Tabela_tudo[[#This Row],[Obs]]&amp;")"</f>
        <v>NIC ()</v>
      </c>
    </row>
    <row r="7118" spans="1:14" x14ac:dyDescent="0.3">
      <c r="A7118" s="1">
        <v>45203</v>
      </c>
      <c r="B7118" t="s">
        <v>42</v>
      </c>
      <c r="C7118" t="s">
        <v>464</v>
      </c>
      <c r="D7118" s="8"/>
      <c r="E7118" s="8"/>
      <c r="M7118" t="s">
        <v>479</v>
      </c>
      <c r="N7118" t="str">
        <f>Tabela_tudo[[#This Row],[Médico]]&amp;" ("&amp;Tabela_tudo[[#This Row],[Obs]]&amp;")"</f>
        <v>SAK ()</v>
      </c>
    </row>
    <row r="7119" spans="1:14" x14ac:dyDescent="0.3">
      <c r="A7119" s="1">
        <v>45209</v>
      </c>
      <c r="B7119" t="s">
        <v>27</v>
      </c>
      <c r="C7119" t="s">
        <v>10</v>
      </c>
      <c r="D7119" s="8"/>
      <c r="E7119" s="8"/>
      <c r="M7119" t="s">
        <v>481</v>
      </c>
      <c r="N7119" t="str">
        <f>Tabela_tudo[[#This Row],[Médico]]&amp;" ("&amp;Tabela_tudo[[#This Row],[Obs]]&amp;")"</f>
        <v>KIL ()</v>
      </c>
    </row>
    <row r="7120" spans="1:14" x14ac:dyDescent="0.3">
      <c r="A7120" s="1">
        <v>45204</v>
      </c>
      <c r="B7120" t="s">
        <v>42</v>
      </c>
      <c r="C7120" t="s">
        <v>464</v>
      </c>
      <c r="D7120" s="8"/>
      <c r="E7120" s="8"/>
      <c r="M7120" t="s">
        <v>479</v>
      </c>
      <c r="N7120" t="str">
        <f>Tabela_tudo[[#This Row],[Médico]]&amp;" ("&amp;Tabela_tudo[[#This Row],[Obs]]&amp;")"</f>
        <v>SAK ()</v>
      </c>
    </row>
    <row r="7121" spans="1:14" x14ac:dyDescent="0.3">
      <c r="A7121" s="1">
        <v>45209</v>
      </c>
      <c r="B7121" t="s">
        <v>35</v>
      </c>
      <c r="C7121" t="s">
        <v>10</v>
      </c>
      <c r="D7121" s="8"/>
      <c r="E7121" s="8"/>
      <c r="M7121" t="s">
        <v>479</v>
      </c>
      <c r="N7121" t="str">
        <f>Tabela_tudo[[#This Row],[Médico]]&amp;" ("&amp;Tabela_tudo[[#This Row],[Obs]]&amp;")"</f>
        <v>FLA ()</v>
      </c>
    </row>
    <row r="7122" spans="1:14" x14ac:dyDescent="0.3">
      <c r="A7122" s="1">
        <v>45214</v>
      </c>
      <c r="B7122" t="s">
        <v>62</v>
      </c>
      <c r="C7122" t="s">
        <v>464</v>
      </c>
      <c r="D7122" s="8"/>
      <c r="E7122" s="8"/>
      <c r="M7122" t="s">
        <v>477</v>
      </c>
      <c r="N7122" t="str">
        <f>Tabela_tudo[[#This Row],[Médico]]&amp;" ("&amp;Tabela_tudo[[#This Row],[Obs]]&amp;")"</f>
        <v>RKS ()</v>
      </c>
    </row>
    <row r="7123" spans="1:14" x14ac:dyDescent="0.3">
      <c r="A7123" s="1">
        <v>45149</v>
      </c>
      <c r="B7123" t="s">
        <v>39</v>
      </c>
      <c r="C7123" t="s">
        <v>8</v>
      </c>
      <c r="D7123" s="8"/>
      <c r="E7123" s="8"/>
      <c r="M7123" t="s">
        <v>479</v>
      </c>
      <c r="N7123" t="str">
        <f>Tabela_tudo[[#This Row],[Médico]]&amp;" ("&amp;Tabela_tudo[[#This Row],[Obs]]&amp;")"</f>
        <v>KLA ()</v>
      </c>
    </row>
    <row r="7124" spans="1:14" x14ac:dyDescent="0.3">
      <c r="A7124" s="1">
        <v>45200</v>
      </c>
      <c r="B7124" t="s">
        <v>42</v>
      </c>
      <c r="C7124" t="s">
        <v>464</v>
      </c>
      <c r="D7124" s="8"/>
      <c r="E7124" s="8"/>
      <c r="M7124" t="s">
        <v>479</v>
      </c>
      <c r="N7124" t="str">
        <f>Tabela_tudo[[#This Row],[Médico]]&amp;" ("&amp;Tabela_tudo[[#This Row],[Obs]]&amp;")"</f>
        <v>SAK ()</v>
      </c>
    </row>
    <row r="7125" spans="1:14" x14ac:dyDescent="0.3">
      <c r="A7125" s="1">
        <v>45149</v>
      </c>
      <c r="B7125" t="s">
        <v>80</v>
      </c>
      <c r="C7125" t="s">
        <v>13</v>
      </c>
      <c r="D7125" s="8"/>
      <c r="E7125" s="8"/>
      <c r="M7125" t="s">
        <v>477</v>
      </c>
      <c r="N7125" t="str">
        <f>Tabela_tudo[[#This Row],[Médico]]&amp;" ("&amp;Tabela_tudo[[#This Row],[Obs]]&amp;")"</f>
        <v>REC ()</v>
      </c>
    </row>
    <row r="7126" spans="1:14" x14ac:dyDescent="0.3">
      <c r="A7126" s="1">
        <v>45201</v>
      </c>
      <c r="B7126" t="s">
        <v>42</v>
      </c>
      <c r="C7126" t="s">
        <v>464</v>
      </c>
      <c r="D7126" s="8"/>
      <c r="E7126" s="8"/>
      <c r="M7126" t="s">
        <v>479</v>
      </c>
      <c r="N7126" t="str">
        <f>Tabela_tudo[[#This Row],[Médico]]&amp;" ("&amp;Tabela_tudo[[#This Row],[Obs]]&amp;")"</f>
        <v>SAK ()</v>
      </c>
    </row>
    <row r="7127" spans="1:14" x14ac:dyDescent="0.3">
      <c r="A7127" s="1">
        <v>45209</v>
      </c>
      <c r="B7127" t="s">
        <v>40</v>
      </c>
      <c r="C7127" t="s">
        <v>41</v>
      </c>
      <c r="D7127" s="8"/>
      <c r="E7127" s="8"/>
      <c r="M7127" t="s">
        <v>481</v>
      </c>
      <c r="N7127" t="str">
        <f>Tabela_tudo[[#This Row],[Médico]]&amp;" ("&amp;Tabela_tudo[[#This Row],[Obs]]&amp;")"</f>
        <v>EMA ()</v>
      </c>
    </row>
    <row r="7128" spans="1:14" x14ac:dyDescent="0.3">
      <c r="A7128" s="1">
        <v>45205</v>
      </c>
      <c r="B7128" t="s">
        <v>42</v>
      </c>
      <c r="C7128" t="s">
        <v>464</v>
      </c>
      <c r="D7128" s="8"/>
      <c r="E7128" s="8"/>
      <c r="M7128" t="s">
        <v>479</v>
      </c>
      <c r="N7128" t="str">
        <f>Tabela_tudo[[#This Row],[Médico]]&amp;" ("&amp;Tabela_tudo[[#This Row],[Obs]]&amp;")"</f>
        <v>SAK ()</v>
      </c>
    </row>
    <row r="7129" spans="1:14" x14ac:dyDescent="0.3">
      <c r="A7129" s="1">
        <v>45149</v>
      </c>
      <c r="B7129" t="s">
        <v>40</v>
      </c>
      <c r="C7129" t="s">
        <v>10</v>
      </c>
      <c r="D7129" s="8"/>
      <c r="E7129" s="8"/>
      <c r="M7129" t="s">
        <v>481</v>
      </c>
      <c r="N7129" t="str">
        <f>Tabela_tudo[[#This Row],[Médico]]&amp;" ("&amp;Tabela_tudo[[#This Row],[Obs]]&amp;")"</f>
        <v>EMA ()</v>
      </c>
    </row>
    <row r="7130" spans="1:14" x14ac:dyDescent="0.3">
      <c r="A7130" s="1">
        <v>45209</v>
      </c>
      <c r="B7130" t="s">
        <v>42</v>
      </c>
      <c r="C7130" t="s">
        <v>464</v>
      </c>
      <c r="D7130" s="8"/>
      <c r="E7130" s="8"/>
      <c r="M7130" t="s">
        <v>479</v>
      </c>
      <c r="N7130" t="str">
        <f>Tabela_tudo[[#This Row],[Médico]]&amp;" ("&amp;Tabela_tudo[[#This Row],[Obs]]&amp;")"</f>
        <v>SAK ()</v>
      </c>
    </row>
    <row r="7131" spans="1:14" x14ac:dyDescent="0.3">
      <c r="A7131" s="1">
        <v>45087</v>
      </c>
      <c r="B7131" t="s">
        <v>40</v>
      </c>
      <c r="C7131" t="s">
        <v>78</v>
      </c>
      <c r="D7131" s="8"/>
      <c r="E7131" s="8"/>
      <c r="M7131" t="s">
        <v>481</v>
      </c>
      <c r="N7131" t="str">
        <f>Tabela_tudo[[#This Row],[Médico]]&amp;" ("&amp;Tabela_tudo[[#This Row],[Obs]]&amp;")"</f>
        <v>EMA ()</v>
      </c>
    </row>
    <row r="7132" spans="1:14" x14ac:dyDescent="0.3">
      <c r="A7132" s="1">
        <v>45210</v>
      </c>
      <c r="B7132" t="s">
        <v>42</v>
      </c>
      <c r="C7132" t="s">
        <v>464</v>
      </c>
      <c r="D7132" s="8"/>
      <c r="E7132" s="8"/>
      <c r="M7132" t="s">
        <v>479</v>
      </c>
      <c r="N7132" t="str">
        <f>Tabela_tudo[[#This Row],[Médico]]&amp;" ("&amp;Tabela_tudo[[#This Row],[Obs]]&amp;")"</f>
        <v>SAK ()</v>
      </c>
    </row>
    <row r="7133" spans="1:14" x14ac:dyDescent="0.3">
      <c r="A7133" s="1">
        <v>45087</v>
      </c>
      <c r="B7133" t="s">
        <v>112</v>
      </c>
      <c r="C7133" t="s">
        <v>8</v>
      </c>
      <c r="D7133" s="8"/>
      <c r="E7133" s="8"/>
      <c r="M7133" t="s">
        <v>479</v>
      </c>
      <c r="N7133" t="str">
        <f>Tabela_tudo[[#This Row],[Médico]]&amp;" ("&amp;Tabela_tudo[[#This Row],[Obs]]&amp;")"</f>
        <v>FLE ()</v>
      </c>
    </row>
    <row r="7134" spans="1:14" x14ac:dyDescent="0.3">
      <c r="A7134" s="1">
        <v>45211</v>
      </c>
      <c r="B7134" t="s">
        <v>42</v>
      </c>
      <c r="C7134" t="s">
        <v>464</v>
      </c>
      <c r="D7134" s="8"/>
      <c r="E7134" s="8"/>
      <c r="M7134" t="s">
        <v>479</v>
      </c>
      <c r="N7134" t="str">
        <f>Tabela_tudo[[#This Row],[Médico]]&amp;" ("&amp;Tabela_tudo[[#This Row],[Obs]]&amp;")"</f>
        <v>SAK ()</v>
      </c>
    </row>
    <row r="7135" spans="1:14" x14ac:dyDescent="0.3">
      <c r="A7135" s="1">
        <v>45087</v>
      </c>
      <c r="B7135" t="s">
        <v>36</v>
      </c>
      <c r="C7135" t="s">
        <v>10</v>
      </c>
      <c r="D7135" s="8"/>
      <c r="E7135" s="8"/>
      <c r="M7135" t="s">
        <v>481</v>
      </c>
      <c r="N7135" t="str">
        <f>Tabela_tudo[[#This Row],[Médico]]&amp;" ("&amp;Tabela_tudo[[#This Row],[Obs]]&amp;")"</f>
        <v>DRI ()</v>
      </c>
    </row>
    <row r="7136" spans="1:14" x14ac:dyDescent="0.3">
      <c r="A7136" s="1">
        <v>45206</v>
      </c>
      <c r="B7136" t="s">
        <v>42</v>
      </c>
      <c r="C7136" t="s">
        <v>464</v>
      </c>
      <c r="D7136" s="8"/>
      <c r="E7136" s="8"/>
      <c r="M7136" t="s">
        <v>479</v>
      </c>
      <c r="N7136" t="str">
        <f>Tabela_tudo[[#This Row],[Médico]]&amp;" ("&amp;Tabela_tudo[[#This Row],[Obs]]&amp;")"</f>
        <v>SAK ()</v>
      </c>
    </row>
    <row r="7137" spans="1:14" x14ac:dyDescent="0.3">
      <c r="A7137" s="1">
        <v>45087</v>
      </c>
      <c r="B7137" t="s">
        <v>9</v>
      </c>
      <c r="C7137" t="s">
        <v>10</v>
      </c>
      <c r="D7137" s="8"/>
      <c r="E7137" s="8"/>
      <c r="M7137" t="s">
        <v>481</v>
      </c>
      <c r="N7137" t="str">
        <f>Tabela_tudo[[#This Row],[Médico]]&amp;" ("&amp;Tabela_tudo[[#This Row],[Obs]]&amp;")"</f>
        <v>KRE ()</v>
      </c>
    </row>
    <row r="7138" spans="1:14" x14ac:dyDescent="0.3">
      <c r="A7138" s="1">
        <v>45207</v>
      </c>
      <c r="B7138" t="s">
        <v>42</v>
      </c>
      <c r="C7138" t="s">
        <v>464</v>
      </c>
      <c r="D7138" s="8"/>
      <c r="E7138" s="8"/>
      <c r="M7138" t="s">
        <v>479</v>
      </c>
      <c r="N7138" t="str">
        <f>Tabela_tudo[[#This Row],[Médico]]&amp;" ("&amp;Tabela_tudo[[#This Row],[Obs]]&amp;")"</f>
        <v>SAK ()</v>
      </c>
    </row>
    <row r="7139" spans="1:14" x14ac:dyDescent="0.3">
      <c r="A7139" s="1">
        <v>45209</v>
      </c>
      <c r="B7139" t="s">
        <v>83</v>
      </c>
      <c r="C7139" t="s">
        <v>13</v>
      </c>
      <c r="D7139" s="8"/>
      <c r="E7139" s="8"/>
      <c r="M7139" t="s">
        <v>477</v>
      </c>
      <c r="N7139" t="str">
        <f>Tabela_tudo[[#This Row],[Médico]]&amp;" ("&amp;Tabela_tudo[[#This Row],[Obs]]&amp;")"</f>
        <v>MG ()</v>
      </c>
    </row>
    <row r="7140" spans="1:14" x14ac:dyDescent="0.3">
      <c r="A7140" s="1">
        <v>45208</v>
      </c>
      <c r="B7140" t="s">
        <v>42</v>
      </c>
      <c r="C7140" t="s">
        <v>464</v>
      </c>
      <c r="D7140" s="8"/>
      <c r="E7140" s="8"/>
      <c r="M7140" t="s">
        <v>479</v>
      </c>
      <c r="N7140" t="str">
        <f>Tabela_tudo[[#This Row],[Médico]]&amp;" ("&amp;Tabela_tudo[[#This Row],[Obs]]&amp;")"</f>
        <v>SAK ()</v>
      </c>
    </row>
    <row r="7141" spans="1:14" x14ac:dyDescent="0.3">
      <c r="A7141" s="1">
        <v>45209</v>
      </c>
      <c r="B7141" t="s">
        <v>39</v>
      </c>
      <c r="C7141" t="s">
        <v>8</v>
      </c>
      <c r="D7141" s="8"/>
      <c r="E7141" s="8"/>
      <c r="M7141" t="s">
        <v>479</v>
      </c>
      <c r="N7141" t="str">
        <f>Tabela_tudo[[#This Row],[Médico]]&amp;" ("&amp;Tabela_tudo[[#This Row],[Obs]]&amp;")"</f>
        <v>KLA ()</v>
      </c>
    </row>
    <row r="7142" spans="1:14" x14ac:dyDescent="0.3">
      <c r="A7142" s="1">
        <v>45213</v>
      </c>
      <c r="B7142" t="s">
        <v>62</v>
      </c>
      <c r="C7142" t="s">
        <v>464</v>
      </c>
      <c r="D7142" s="8"/>
      <c r="E7142" s="8"/>
      <c r="M7142" t="s">
        <v>477</v>
      </c>
      <c r="N7142" t="str">
        <f>Tabela_tudo[[#This Row],[Médico]]&amp;" ("&amp;Tabela_tudo[[#This Row],[Obs]]&amp;")"</f>
        <v>RKS ()</v>
      </c>
    </row>
    <row r="7143" spans="1:14" x14ac:dyDescent="0.3">
      <c r="A7143" s="1">
        <v>45087</v>
      </c>
      <c r="B7143" t="s">
        <v>62</v>
      </c>
      <c r="C7143" t="s">
        <v>13</v>
      </c>
      <c r="D7143" s="8"/>
      <c r="E7143" s="8"/>
      <c r="M7143" t="s">
        <v>477</v>
      </c>
      <c r="N7143" t="str">
        <f>Tabela_tudo[[#This Row],[Médico]]&amp;" ("&amp;Tabela_tudo[[#This Row],[Obs]]&amp;")"</f>
        <v>RKS ()</v>
      </c>
    </row>
    <row r="7144" spans="1:14" x14ac:dyDescent="0.3">
      <c r="A7144" s="1">
        <v>45203</v>
      </c>
      <c r="B7144" t="s">
        <v>62</v>
      </c>
      <c r="C7144" t="s">
        <v>464</v>
      </c>
      <c r="D7144" s="8"/>
      <c r="E7144" s="8"/>
      <c r="M7144" t="s">
        <v>477</v>
      </c>
      <c r="N7144" t="str">
        <f>Tabela_tudo[[#This Row],[Médico]]&amp;" ("&amp;Tabela_tudo[[#This Row],[Obs]]&amp;")"</f>
        <v>RKS ()</v>
      </c>
    </row>
    <row r="7145" spans="1:14" x14ac:dyDescent="0.3">
      <c r="A7145" s="1">
        <v>45149</v>
      </c>
      <c r="B7145" t="s">
        <v>36</v>
      </c>
      <c r="C7145" t="s">
        <v>10</v>
      </c>
      <c r="D7145" s="8"/>
      <c r="E7145" s="8"/>
      <c r="M7145" t="s">
        <v>481</v>
      </c>
      <c r="N7145" t="str">
        <f>Tabela_tudo[[#This Row],[Médico]]&amp;" ("&amp;Tabela_tudo[[#This Row],[Obs]]&amp;")"</f>
        <v>DRI ()</v>
      </c>
    </row>
    <row r="7146" spans="1:14" x14ac:dyDescent="0.3">
      <c r="A7146" s="1">
        <v>45204</v>
      </c>
      <c r="B7146" t="s">
        <v>62</v>
      </c>
      <c r="C7146" t="s">
        <v>464</v>
      </c>
      <c r="D7146" s="8"/>
      <c r="E7146" s="8"/>
      <c r="M7146" t="s">
        <v>477</v>
      </c>
      <c r="N7146" t="str">
        <f>Tabela_tudo[[#This Row],[Médico]]&amp;" ("&amp;Tabela_tudo[[#This Row],[Obs]]&amp;")"</f>
        <v>RKS ()</v>
      </c>
    </row>
    <row r="7147" spans="1:14" x14ac:dyDescent="0.3">
      <c r="A7147" s="1">
        <v>45193</v>
      </c>
      <c r="B7147" t="s">
        <v>36</v>
      </c>
      <c r="C7147" t="s">
        <v>78</v>
      </c>
      <c r="D7147" s="8"/>
      <c r="E7147" s="8"/>
      <c r="M7147" t="s">
        <v>481</v>
      </c>
      <c r="N7147" t="str">
        <f>Tabela_tudo[[#This Row],[Médico]]&amp;" ("&amp;Tabela_tudo[[#This Row],[Obs]]&amp;")"</f>
        <v>DRI ()</v>
      </c>
    </row>
    <row r="7148" spans="1:14" x14ac:dyDescent="0.3">
      <c r="A7148" s="1">
        <v>45205</v>
      </c>
      <c r="B7148" t="s">
        <v>62</v>
      </c>
      <c r="C7148" t="s">
        <v>464</v>
      </c>
      <c r="D7148" s="8"/>
      <c r="E7148" s="8"/>
      <c r="M7148" t="s">
        <v>477</v>
      </c>
      <c r="N7148" t="str">
        <f>Tabela_tudo[[#This Row],[Médico]]&amp;" ("&amp;Tabela_tudo[[#This Row],[Obs]]&amp;")"</f>
        <v>RKS ()</v>
      </c>
    </row>
    <row r="7149" spans="1:14" x14ac:dyDescent="0.3">
      <c r="A7149" s="1">
        <v>45213</v>
      </c>
      <c r="B7149" t="s">
        <v>57</v>
      </c>
      <c r="C7149" t="s">
        <v>13</v>
      </c>
      <c r="D7149" s="8"/>
      <c r="E7149" s="8"/>
      <c r="M7149" t="s">
        <v>477</v>
      </c>
      <c r="N7149" t="str">
        <f>Tabela_tudo[[#This Row],[Médico]]&amp;" ("&amp;Tabela_tudo[[#This Row],[Obs]]&amp;")"</f>
        <v>BED ()</v>
      </c>
    </row>
    <row r="7150" spans="1:14" x14ac:dyDescent="0.3">
      <c r="A7150" s="1">
        <v>45200</v>
      </c>
      <c r="B7150" t="s">
        <v>62</v>
      </c>
      <c r="C7150" t="s">
        <v>464</v>
      </c>
      <c r="D7150" s="8"/>
      <c r="E7150" s="8"/>
      <c r="M7150" t="s">
        <v>477</v>
      </c>
      <c r="N7150" t="str">
        <f>Tabela_tudo[[#This Row],[Médico]]&amp;" ("&amp;Tabela_tudo[[#This Row],[Obs]]&amp;")"</f>
        <v>RKS ()</v>
      </c>
    </row>
    <row r="7151" spans="1:14" x14ac:dyDescent="0.3">
      <c r="A7151" s="1">
        <v>45086</v>
      </c>
      <c r="B7151" t="s">
        <v>83</v>
      </c>
      <c r="C7151" t="s">
        <v>8</v>
      </c>
      <c r="D7151" s="8"/>
      <c r="E7151" s="8"/>
      <c r="M7151" t="s">
        <v>477</v>
      </c>
      <c r="N7151" t="str">
        <f>Tabela_tudo[[#This Row],[Médico]]&amp;" ("&amp;Tabela_tudo[[#This Row],[Obs]]&amp;")"</f>
        <v>MG ()</v>
      </c>
    </row>
    <row r="7152" spans="1:14" x14ac:dyDescent="0.3">
      <c r="A7152" s="1">
        <v>45201</v>
      </c>
      <c r="B7152" t="s">
        <v>62</v>
      </c>
      <c r="C7152" t="s">
        <v>464</v>
      </c>
      <c r="D7152" s="8"/>
      <c r="E7152" s="8"/>
      <c r="M7152" t="s">
        <v>477</v>
      </c>
      <c r="N7152" t="str">
        <f>Tabela_tudo[[#This Row],[Médico]]&amp;" ("&amp;Tabela_tudo[[#This Row],[Obs]]&amp;")"</f>
        <v>RKS ()</v>
      </c>
    </row>
    <row r="7153" spans="1:14" x14ac:dyDescent="0.3">
      <c r="A7153" s="1">
        <v>45086</v>
      </c>
      <c r="B7153" t="s">
        <v>103</v>
      </c>
      <c r="C7153" t="s">
        <v>13</v>
      </c>
      <c r="D7153" s="8"/>
      <c r="E7153" s="8"/>
      <c r="M7153" t="s">
        <v>481</v>
      </c>
      <c r="N7153" t="str">
        <f>Tabela_tudo[[#This Row],[Médico]]&amp;" ("&amp;Tabela_tudo[[#This Row],[Obs]]&amp;")"</f>
        <v>CAD ()</v>
      </c>
    </row>
    <row r="7154" spans="1:14" x14ac:dyDescent="0.3">
      <c r="A7154" s="1">
        <v>45202</v>
      </c>
      <c r="B7154" t="s">
        <v>62</v>
      </c>
      <c r="C7154" t="s">
        <v>464</v>
      </c>
      <c r="D7154" s="8"/>
      <c r="E7154" s="8"/>
      <c r="M7154" t="s">
        <v>477</v>
      </c>
      <c r="N7154" t="str">
        <f>Tabela_tudo[[#This Row],[Médico]]&amp;" ("&amp;Tabela_tudo[[#This Row],[Obs]]&amp;")"</f>
        <v>RKS ()</v>
      </c>
    </row>
    <row r="7155" spans="1:14" x14ac:dyDescent="0.3">
      <c r="A7155" s="1">
        <v>45213</v>
      </c>
      <c r="B7155" t="s">
        <v>27</v>
      </c>
      <c r="C7155" t="s">
        <v>10</v>
      </c>
      <c r="D7155" s="8"/>
      <c r="E7155" s="8"/>
      <c r="M7155" t="s">
        <v>481</v>
      </c>
      <c r="N7155" t="str">
        <f>Tabela_tudo[[#This Row],[Médico]]&amp;" ("&amp;Tabela_tudo[[#This Row],[Obs]]&amp;")"</f>
        <v>KIL ()</v>
      </c>
    </row>
    <row r="7156" spans="1:14" x14ac:dyDescent="0.3">
      <c r="A7156" s="1">
        <v>45206</v>
      </c>
      <c r="B7156" t="s">
        <v>62</v>
      </c>
      <c r="C7156" t="s">
        <v>464</v>
      </c>
      <c r="D7156" s="8"/>
      <c r="E7156" s="8"/>
      <c r="M7156" t="s">
        <v>477</v>
      </c>
      <c r="N7156" t="str">
        <f>Tabela_tudo[[#This Row],[Médico]]&amp;" ("&amp;Tabela_tudo[[#This Row],[Obs]]&amp;")"</f>
        <v>RKS ()</v>
      </c>
    </row>
    <row r="7157" spans="1:14" x14ac:dyDescent="0.3">
      <c r="A7157" s="1">
        <v>45213</v>
      </c>
      <c r="B7157" t="s">
        <v>35</v>
      </c>
      <c r="C7157" t="s">
        <v>10</v>
      </c>
      <c r="D7157" s="8"/>
      <c r="E7157" s="8"/>
      <c r="M7157" t="s">
        <v>479</v>
      </c>
      <c r="N7157" t="str">
        <f>Tabela_tudo[[#This Row],[Médico]]&amp;" ("&amp;Tabela_tudo[[#This Row],[Obs]]&amp;")"</f>
        <v>FLA ()</v>
      </c>
    </row>
    <row r="7158" spans="1:14" x14ac:dyDescent="0.3">
      <c r="A7158" s="1">
        <v>45210</v>
      </c>
      <c r="B7158" t="s">
        <v>62</v>
      </c>
      <c r="C7158" t="s">
        <v>464</v>
      </c>
      <c r="D7158" s="8"/>
      <c r="E7158" s="8"/>
      <c r="M7158" t="s">
        <v>477</v>
      </c>
      <c r="N7158" t="str">
        <f>Tabela_tudo[[#This Row],[Médico]]&amp;" ("&amp;Tabela_tudo[[#This Row],[Obs]]&amp;")"</f>
        <v>RKS ()</v>
      </c>
    </row>
    <row r="7159" spans="1:14" x14ac:dyDescent="0.3">
      <c r="A7159" s="1">
        <v>45213</v>
      </c>
      <c r="B7159" t="s">
        <v>38</v>
      </c>
      <c r="C7159" t="s">
        <v>8</v>
      </c>
      <c r="D7159" s="8"/>
      <c r="E7159" s="8"/>
      <c r="M7159" t="s">
        <v>481</v>
      </c>
      <c r="N7159" t="str">
        <f>Tabela_tudo[[#This Row],[Médico]]&amp;" ("&amp;Tabela_tudo[[#This Row],[Obs]]&amp;")"</f>
        <v>ORO ()</v>
      </c>
    </row>
    <row r="7160" spans="1:14" x14ac:dyDescent="0.3">
      <c r="A7160" s="1">
        <v>45211</v>
      </c>
      <c r="B7160" t="s">
        <v>62</v>
      </c>
      <c r="C7160" t="s">
        <v>464</v>
      </c>
      <c r="D7160" s="8"/>
      <c r="E7160" s="8"/>
      <c r="M7160" t="s">
        <v>477</v>
      </c>
      <c r="N7160" t="str">
        <f>Tabela_tudo[[#This Row],[Médico]]&amp;" ("&amp;Tabela_tudo[[#This Row],[Obs]]&amp;")"</f>
        <v>RKS ()</v>
      </c>
    </row>
    <row r="7161" spans="1:14" x14ac:dyDescent="0.3">
      <c r="A7161" s="1">
        <v>45213</v>
      </c>
      <c r="B7161" t="s">
        <v>39</v>
      </c>
      <c r="C7161" t="s">
        <v>78</v>
      </c>
      <c r="D7161" s="8"/>
      <c r="E7161" s="8"/>
      <c r="M7161" t="s">
        <v>479</v>
      </c>
      <c r="N7161" t="str">
        <f>Tabela_tudo[[#This Row],[Médico]]&amp;" ("&amp;Tabela_tudo[[#This Row],[Obs]]&amp;")"</f>
        <v>KLA ()</v>
      </c>
    </row>
    <row r="7162" spans="1:14" x14ac:dyDescent="0.3">
      <c r="A7162" s="1">
        <v>45212</v>
      </c>
      <c r="B7162" t="s">
        <v>62</v>
      </c>
      <c r="C7162" t="s">
        <v>464</v>
      </c>
      <c r="D7162" s="8"/>
      <c r="E7162" s="8"/>
      <c r="M7162" t="s">
        <v>477</v>
      </c>
      <c r="N7162" t="str">
        <f>Tabela_tudo[[#This Row],[Médico]]&amp;" ("&amp;Tabela_tudo[[#This Row],[Obs]]&amp;")"</f>
        <v>RKS ()</v>
      </c>
    </row>
    <row r="7163" spans="1:14" x14ac:dyDescent="0.3">
      <c r="A7163" s="1">
        <v>45104</v>
      </c>
      <c r="B7163" t="s">
        <v>98</v>
      </c>
      <c r="C7163" t="s">
        <v>10</v>
      </c>
      <c r="D7163" s="8"/>
      <c r="E7163" s="8"/>
      <c r="M7163" t="s">
        <v>479</v>
      </c>
      <c r="N7163" t="str">
        <f>Tabela_tudo[[#This Row],[Médico]]&amp;" ("&amp;Tabela_tudo[[#This Row],[Obs]]&amp;")"</f>
        <v>NIC ()</v>
      </c>
    </row>
    <row r="7164" spans="1:14" x14ac:dyDescent="0.3">
      <c r="A7164" s="1">
        <v>45207</v>
      </c>
      <c r="B7164" t="s">
        <v>62</v>
      </c>
      <c r="C7164" t="s">
        <v>464</v>
      </c>
      <c r="D7164" s="8"/>
      <c r="E7164" s="8"/>
      <c r="M7164" t="s">
        <v>477</v>
      </c>
      <c r="N7164" t="str">
        <f>Tabela_tudo[[#This Row],[Médico]]&amp;" ("&amp;Tabela_tudo[[#This Row],[Obs]]&amp;")"</f>
        <v>RKS ()</v>
      </c>
    </row>
    <row r="7165" spans="1:14" x14ac:dyDescent="0.3">
      <c r="A7165" s="1">
        <v>45086</v>
      </c>
      <c r="B7165" t="s">
        <v>42</v>
      </c>
      <c r="C7165" t="s">
        <v>41</v>
      </c>
      <c r="D7165" s="8"/>
      <c r="E7165" s="8"/>
      <c r="M7165" t="s">
        <v>479</v>
      </c>
      <c r="N7165" t="str">
        <f>Tabela_tudo[[#This Row],[Médico]]&amp;" ("&amp;Tabela_tudo[[#This Row],[Obs]]&amp;")"</f>
        <v>SAK ()</v>
      </c>
    </row>
    <row r="7166" spans="1:14" x14ac:dyDescent="0.3">
      <c r="A7166" s="1">
        <v>45208</v>
      </c>
      <c r="B7166" t="s">
        <v>62</v>
      </c>
      <c r="C7166" t="s">
        <v>464</v>
      </c>
      <c r="D7166" s="8"/>
      <c r="E7166" s="8"/>
      <c r="M7166" t="s">
        <v>477</v>
      </c>
      <c r="N7166" t="str">
        <f>Tabela_tudo[[#This Row],[Médico]]&amp;" ("&amp;Tabela_tudo[[#This Row],[Obs]]&amp;")"</f>
        <v>RKS ()</v>
      </c>
    </row>
    <row r="7167" spans="1:14" x14ac:dyDescent="0.3">
      <c r="A7167" s="1">
        <v>45104</v>
      </c>
      <c r="B7167" t="s">
        <v>36</v>
      </c>
      <c r="C7167" t="s">
        <v>10</v>
      </c>
      <c r="D7167" s="8"/>
      <c r="E7167" s="8"/>
      <c r="M7167" t="s">
        <v>481</v>
      </c>
      <c r="N7167" t="str">
        <f>Tabela_tudo[[#This Row],[Médico]]&amp;" ("&amp;Tabela_tudo[[#This Row],[Obs]]&amp;")"</f>
        <v>DRI ()</v>
      </c>
    </row>
    <row r="7168" spans="1:14" x14ac:dyDescent="0.3">
      <c r="A7168" s="1">
        <v>45209</v>
      </c>
      <c r="B7168" t="s">
        <v>62</v>
      </c>
      <c r="C7168" t="s">
        <v>464</v>
      </c>
      <c r="D7168" s="8"/>
      <c r="E7168" s="8"/>
      <c r="M7168" t="s">
        <v>477</v>
      </c>
      <c r="N7168" t="str">
        <f>Tabela_tudo[[#This Row],[Médico]]&amp;" ("&amp;Tabela_tudo[[#This Row],[Obs]]&amp;")"</f>
        <v>RKS ()</v>
      </c>
    </row>
    <row r="7169" spans="1:14" x14ac:dyDescent="0.3">
      <c r="A7169" s="1">
        <v>45169</v>
      </c>
      <c r="B7169" t="s">
        <v>69</v>
      </c>
      <c r="C7169" t="s">
        <v>13</v>
      </c>
      <c r="D7169" s="8"/>
      <c r="E7169" s="8"/>
      <c r="M7169" t="s">
        <v>479</v>
      </c>
      <c r="N7169" t="str">
        <f>Tabela_tudo[[#This Row],[Médico]]&amp;" ("&amp;Tabela_tudo[[#This Row],[Obs]]&amp;")"</f>
        <v>PRE ()</v>
      </c>
    </row>
    <row r="7170" spans="1:14" x14ac:dyDescent="0.3">
      <c r="A7170" s="1">
        <v>45214</v>
      </c>
      <c r="B7170" t="s">
        <v>97</v>
      </c>
      <c r="C7170" t="s">
        <v>464</v>
      </c>
      <c r="D7170" s="8"/>
      <c r="E7170" s="8"/>
      <c r="M7170" t="s">
        <v>479</v>
      </c>
      <c r="N7170" t="str">
        <f>Tabela_tudo[[#This Row],[Médico]]&amp;" ("&amp;Tabela_tudo[[#This Row],[Obs]]&amp;")"</f>
        <v>HAR ()</v>
      </c>
    </row>
    <row r="7171" spans="1:14" x14ac:dyDescent="0.3">
      <c r="A7171" s="1">
        <v>45086</v>
      </c>
      <c r="B7171" t="s">
        <v>36</v>
      </c>
      <c r="C7171" t="s">
        <v>10</v>
      </c>
      <c r="D7171" s="8"/>
      <c r="E7171" s="8"/>
      <c r="M7171" t="s">
        <v>481</v>
      </c>
      <c r="N7171" t="str">
        <f>Tabela_tudo[[#This Row],[Médico]]&amp;" ("&amp;Tabela_tudo[[#This Row],[Obs]]&amp;")"</f>
        <v>DRI ()</v>
      </c>
    </row>
    <row r="7172" spans="1:14" x14ac:dyDescent="0.3">
      <c r="A7172" s="1">
        <v>45215</v>
      </c>
      <c r="B7172" t="s">
        <v>60</v>
      </c>
      <c r="C7172" t="s">
        <v>464</v>
      </c>
      <c r="D7172" s="8"/>
      <c r="E7172" s="8"/>
      <c r="M7172" t="s">
        <v>477</v>
      </c>
      <c r="N7172" t="str">
        <f>Tabela_tudo[[#This Row],[Médico]]&amp;" ("&amp;Tabela_tudo[[#This Row],[Obs]]&amp;")"</f>
        <v>BMT ()</v>
      </c>
    </row>
    <row r="7173" spans="1:14" x14ac:dyDescent="0.3">
      <c r="A7173" s="1">
        <v>45086</v>
      </c>
      <c r="B7173" t="s">
        <v>9</v>
      </c>
      <c r="C7173" t="s">
        <v>10</v>
      </c>
      <c r="D7173" s="8"/>
      <c r="E7173" s="8"/>
      <c r="M7173" t="s">
        <v>481</v>
      </c>
      <c r="N7173" t="str">
        <f>Tabela_tudo[[#This Row],[Médico]]&amp;" ("&amp;Tabela_tudo[[#This Row],[Obs]]&amp;")"</f>
        <v>KRE ()</v>
      </c>
    </row>
    <row r="7174" spans="1:14" x14ac:dyDescent="0.3">
      <c r="A7174" s="1">
        <v>45216</v>
      </c>
      <c r="B7174" t="s">
        <v>60</v>
      </c>
      <c r="C7174" t="s">
        <v>464</v>
      </c>
      <c r="D7174" s="8"/>
      <c r="E7174" s="8"/>
      <c r="M7174" t="s">
        <v>477</v>
      </c>
      <c r="N7174" t="str">
        <f>Tabela_tudo[[#This Row],[Médico]]&amp;" ("&amp;Tabela_tudo[[#This Row],[Obs]]&amp;")"</f>
        <v>BMT ()</v>
      </c>
    </row>
    <row r="7175" spans="1:14" x14ac:dyDescent="0.3">
      <c r="A7175" s="1">
        <v>45086</v>
      </c>
      <c r="B7175" t="s">
        <v>61</v>
      </c>
      <c r="C7175" t="s">
        <v>41</v>
      </c>
      <c r="D7175" s="8"/>
      <c r="E7175" s="8"/>
      <c r="M7175" t="s">
        <v>477</v>
      </c>
      <c r="N7175" t="str">
        <f>Tabela_tudo[[#This Row],[Médico]]&amp;" ("&amp;Tabela_tudo[[#This Row],[Obs]]&amp;")"</f>
        <v>AD ()</v>
      </c>
    </row>
    <row r="7176" spans="1:14" x14ac:dyDescent="0.3">
      <c r="A7176" s="1">
        <v>45211</v>
      </c>
      <c r="B7176" t="s">
        <v>97</v>
      </c>
      <c r="C7176" t="s">
        <v>464</v>
      </c>
      <c r="D7176" s="8"/>
      <c r="E7176" s="8"/>
      <c r="M7176" t="s">
        <v>479</v>
      </c>
      <c r="N7176" t="str">
        <f>Tabela_tudo[[#This Row],[Médico]]&amp;" ("&amp;Tabela_tudo[[#This Row],[Obs]]&amp;")"</f>
        <v>HAR ()</v>
      </c>
    </row>
    <row r="7177" spans="1:14" x14ac:dyDescent="0.3">
      <c r="A7177" s="1">
        <v>45086</v>
      </c>
      <c r="B7177" t="s">
        <v>109</v>
      </c>
      <c r="C7177" t="s">
        <v>10</v>
      </c>
      <c r="D7177" s="8"/>
      <c r="E7177" s="8"/>
      <c r="M7177" t="s">
        <v>479</v>
      </c>
      <c r="N7177" t="str">
        <f>Tabela_tudo[[#This Row],[Médico]]&amp;" ("&amp;Tabela_tudo[[#This Row],[Obs]]&amp;")"</f>
        <v>CA ()</v>
      </c>
    </row>
    <row r="7178" spans="1:14" x14ac:dyDescent="0.3">
      <c r="A7178" s="1">
        <v>45212</v>
      </c>
      <c r="B7178" t="s">
        <v>97</v>
      </c>
      <c r="C7178" t="s">
        <v>464</v>
      </c>
      <c r="D7178" s="8"/>
      <c r="E7178" s="8"/>
      <c r="M7178" t="s">
        <v>479</v>
      </c>
      <c r="N7178" t="str">
        <f>Tabela_tudo[[#This Row],[Médico]]&amp;" ("&amp;Tabela_tudo[[#This Row],[Obs]]&amp;")"</f>
        <v>HAR ()</v>
      </c>
    </row>
    <row r="7179" spans="1:14" x14ac:dyDescent="0.3">
      <c r="A7179" s="1">
        <v>45153</v>
      </c>
      <c r="B7179" t="s">
        <v>38</v>
      </c>
      <c r="C7179" t="s">
        <v>13</v>
      </c>
      <c r="D7179" s="8"/>
      <c r="E7179" s="8"/>
      <c r="M7179" t="s">
        <v>481</v>
      </c>
      <c r="N7179" t="str">
        <f>Tabela_tudo[[#This Row],[Médico]]&amp;" ("&amp;Tabela_tudo[[#This Row],[Obs]]&amp;")"</f>
        <v>ORO ()</v>
      </c>
    </row>
    <row r="7180" spans="1:14" x14ac:dyDescent="0.3">
      <c r="A7180" s="1">
        <v>45213</v>
      </c>
      <c r="B7180" t="s">
        <v>97</v>
      </c>
      <c r="C7180" t="s">
        <v>464</v>
      </c>
      <c r="D7180" s="8"/>
      <c r="E7180" s="8"/>
      <c r="M7180" t="s">
        <v>479</v>
      </c>
      <c r="N7180" t="str">
        <f>Tabela_tudo[[#This Row],[Médico]]&amp;" ("&amp;Tabela_tudo[[#This Row],[Obs]]&amp;")"</f>
        <v>HAR ()</v>
      </c>
    </row>
    <row r="7181" spans="1:14" x14ac:dyDescent="0.3">
      <c r="A7181" s="1">
        <v>45154</v>
      </c>
      <c r="B7181" t="s">
        <v>38</v>
      </c>
      <c r="C7181" t="s">
        <v>41</v>
      </c>
      <c r="D7181" s="8"/>
      <c r="E7181" s="8"/>
      <c r="M7181" t="s">
        <v>481</v>
      </c>
      <c r="N7181" t="str">
        <f>Tabela_tudo[[#This Row],[Médico]]&amp;" ("&amp;Tabela_tudo[[#This Row],[Obs]]&amp;")"</f>
        <v>ORO ()</v>
      </c>
    </row>
    <row r="7182" spans="1:14" x14ac:dyDescent="0.3">
      <c r="A7182" s="1">
        <v>45217</v>
      </c>
      <c r="B7182" t="s">
        <v>60</v>
      </c>
      <c r="C7182" t="s">
        <v>464</v>
      </c>
      <c r="D7182" s="8"/>
      <c r="E7182" s="8"/>
      <c r="M7182" t="s">
        <v>477</v>
      </c>
      <c r="N7182" t="str">
        <f>Tabela_tudo[[#This Row],[Médico]]&amp;" ("&amp;Tabela_tudo[[#This Row],[Obs]]&amp;")"</f>
        <v>BMT ()</v>
      </c>
    </row>
    <row r="7183" spans="1:14" x14ac:dyDescent="0.3">
      <c r="A7183" s="1">
        <v>45154</v>
      </c>
      <c r="B7183" t="s">
        <v>27</v>
      </c>
      <c r="C7183" t="s">
        <v>10</v>
      </c>
      <c r="D7183" s="8"/>
      <c r="E7183" s="8"/>
      <c r="M7183" t="s">
        <v>481</v>
      </c>
      <c r="N7183" t="str">
        <f>Tabela_tudo[[#This Row],[Médico]]&amp;" ("&amp;Tabela_tudo[[#This Row],[Obs]]&amp;")"</f>
        <v>KIL ()</v>
      </c>
    </row>
    <row r="7184" spans="1:14" x14ac:dyDescent="0.3">
      <c r="A7184" s="1">
        <v>45221</v>
      </c>
      <c r="B7184" t="s">
        <v>60</v>
      </c>
      <c r="C7184" t="s">
        <v>464</v>
      </c>
      <c r="D7184" s="8"/>
      <c r="E7184" s="8"/>
      <c r="M7184" t="s">
        <v>477</v>
      </c>
      <c r="N7184" t="str">
        <f>Tabela_tudo[[#This Row],[Médico]]&amp;" ("&amp;Tabela_tudo[[#This Row],[Obs]]&amp;")"</f>
        <v>BMT ()</v>
      </c>
    </row>
    <row r="7185" spans="1:14" x14ac:dyDescent="0.3">
      <c r="A7185" s="1">
        <v>45094</v>
      </c>
      <c r="B7185" t="s">
        <v>83</v>
      </c>
      <c r="C7185" t="s">
        <v>13</v>
      </c>
      <c r="D7185" s="8"/>
      <c r="E7185" s="8"/>
      <c r="M7185" t="s">
        <v>477</v>
      </c>
      <c r="N7185" t="str">
        <f>Tabela_tudo[[#This Row],[Médico]]&amp;" ("&amp;Tabela_tudo[[#This Row],[Obs]]&amp;")"</f>
        <v>MG ()</v>
      </c>
    </row>
    <row r="7186" spans="1:14" x14ac:dyDescent="0.3">
      <c r="A7186" s="1">
        <v>45222</v>
      </c>
      <c r="B7186" t="s">
        <v>60</v>
      </c>
      <c r="C7186" t="s">
        <v>464</v>
      </c>
      <c r="D7186" s="8"/>
      <c r="E7186" s="8"/>
      <c r="M7186" t="s">
        <v>477</v>
      </c>
      <c r="N7186" t="str">
        <f>Tabela_tudo[[#This Row],[Médico]]&amp;" ("&amp;Tabela_tudo[[#This Row],[Obs]]&amp;")"</f>
        <v>BMT ()</v>
      </c>
    </row>
    <row r="7187" spans="1:14" x14ac:dyDescent="0.3">
      <c r="A7187" s="1">
        <v>45154</v>
      </c>
      <c r="B7187" t="s">
        <v>42</v>
      </c>
      <c r="C7187" t="s">
        <v>41</v>
      </c>
      <c r="D7187" s="8"/>
      <c r="E7187" s="8"/>
      <c r="M7187" t="s">
        <v>479</v>
      </c>
      <c r="N7187" t="str">
        <f>Tabela_tudo[[#This Row],[Médico]]&amp;" ("&amp;Tabela_tudo[[#This Row],[Obs]]&amp;")"</f>
        <v>SAK ()</v>
      </c>
    </row>
    <row r="7188" spans="1:14" x14ac:dyDescent="0.3">
      <c r="A7188" s="1">
        <v>45223</v>
      </c>
      <c r="B7188" t="s">
        <v>60</v>
      </c>
      <c r="C7188" t="s">
        <v>464</v>
      </c>
      <c r="D7188" s="8"/>
      <c r="E7188" s="8"/>
      <c r="M7188" t="s">
        <v>477</v>
      </c>
      <c r="N7188" t="str">
        <f>Tabela_tudo[[#This Row],[Médico]]&amp;" ("&amp;Tabela_tudo[[#This Row],[Obs]]&amp;")"</f>
        <v>BMT ()</v>
      </c>
    </row>
    <row r="7189" spans="1:14" x14ac:dyDescent="0.3">
      <c r="A7189" s="1">
        <v>45154</v>
      </c>
      <c r="B7189" t="s">
        <v>40</v>
      </c>
      <c r="C7189" t="s">
        <v>10</v>
      </c>
      <c r="D7189" s="8"/>
      <c r="E7189" s="8"/>
      <c r="M7189" t="s">
        <v>481</v>
      </c>
      <c r="N7189" t="str">
        <f>Tabela_tudo[[#This Row],[Médico]]&amp;" ("&amp;Tabela_tudo[[#This Row],[Obs]]&amp;")"</f>
        <v>EMA ()</v>
      </c>
    </row>
    <row r="7190" spans="1:14" x14ac:dyDescent="0.3">
      <c r="A7190" s="1">
        <v>45218</v>
      </c>
      <c r="B7190" t="s">
        <v>60</v>
      </c>
      <c r="C7190" t="s">
        <v>464</v>
      </c>
      <c r="D7190" s="8"/>
      <c r="E7190" s="8"/>
      <c r="M7190" t="s">
        <v>477</v>
      </c>
      <c r="N7190" t="str">
        <f>Tabela_tudo[[#This Row],[Médico]]&amp;" ("&amp;Tabela_tudo[[#This Row],[Obs]]&amp;")"</f>
        <v>BMT ()</v>
      </c>
    </row>
    <row r="7191" spans="1:14" x14ac:dyDescent="0.3">
      <c r="A7191" s="1">
        <v>45121</v>
      </c>
      <c r="B7191" t="s">
        <v>38</v>
      </c>
      <c r="C7191" t="s">
        <v>13</v>
      </c>
      <c r="D7191" s="8"/>
      <c r="E7191" s="8"/>
      <c r="M7191" t="s">
        <v>481</v>
      </c>
      <c r="N7191" t="str">
        <f>Tabela_tudo[[#This Row],[Médico]]&amp;" ("&amp;Tabela_tudo[[#This Row],[Obs]]&amp;")"</f>
        <v>ORO ()</v>
      </c>
    </row>
    <row r="7192" spans="1:14" x14ac:dyDescent="0.3">
      <c r="A7192" s="1">
        <v>45219</v>
      </c>
      <c r="B7192" t="s">
        <v>60</v>
      </c>
      <c r="C7192" t="s">
        <v>464</v>
      </c>
      <c r="D7192" s="8"/>
      <c r="E7192" s="8"/>
      <c r="M7192" t="s">
        <v>477</v>
      </c>
      <c r="N7192" t="str">
        <f>Tabela_tudo[[#This Row],[Médico]]&amp;" ("&amp;Tabela_tudo[[#This Row],[Obs]]&amp;")"</f>
        <v>BMT ()</v>
      </c>
    </row>
    <row r="7193" spans="1:14" x14ac:dyDescent="0.3">
      <c r="A7193" s="1">
        <v>45154</v>
      </c>
      <c r="B7193" t="s">
        <v>79</v>
      </c>
      <c r="C7193" t="s">
        <v>10</v>
      </c>
      <c r="D7193" s="8"/>
      <c r="E7193" s="8"/>
      <c r="M7193" t="s">
        <v>481</v>
      </c>
      <c r="N7193" t="str">
        <f>Tabela_tudo[[#This Row],[Médico]]&amp;" ("&amp;Tabela_tudo[[#This Row],[Obs]]&amp;")"</f>
        <v>MTB ()</v>
      </c>
    </row>
    <row r="7194" spans="1:14" x14ac:dyDescent="0.3">
      <c r="A7194" s="1">
        <v>45220</v>
      </c>
      <c r="B7194" t="s">
        <v>60</v>
      </c>
      <c r="C7194" t="s">
        <v>464</v>
      </c>
      <c r="D7194" s="8"/>
      <c r="E7194" s="8"/>
      <c r="M7194" t="s">
        <v>477</v>
      </c>
      <c r="N7194" t="str">
        <f>Tabela_tudo[[#This Row],[Médico]]&amp;" ("&amp;Tabela_tudo[[#This Row],[Obs]]&amp;")"</f>
        <v>BMT ()</v>
      </c>
    </row>
    <row r="7195" spans="1:14" x14ac:dyDescent="0.3">
      <c r="A7195" s="1">
        <v>45154</v>
      </c>
      <c r="B7195" t="s">
        <v>36</v>
      </c>
      <c r="C7195" t="s">
        <v>10</v>
      </c>
      <c r="D7195" s="8"/>
      <c r="E7195" s="8"/>
      <c r="M7195" t="s">
        <v>481</v>
      </c>
      <c r="N7195" t="str">
        <f>Tabela_tudo[[#This Row],[Médico]]&amp;" ("&amp;Tabela_tudo[[#This Row],[Obs]]&amp;")"</f>
        <v>DRI ()</v>
      </c>
    </row>
    <row r="7196" spans="1:14" x14ac:dyDescent="0.3">
      <c r="A7196" s="1">
        <v>45210</v>
      </c>
      <c r="B7196" t="s">
        <v>97</v>
      </c>
      <c r="C7196" t="s">
        <v>464</v>
      </c>
      <c r="D7196" s="8"/>
      <c r="E7196" s="8"/>
      <c r="M7196" t="s">
        <v>479</v>
      </c>
      <c r="N7196" t="str">
        <f>Tabela_tudo[[#This Row],[Médico]]&amp;" ("&amp;Tabela_tudo[[#This Row],[Obs]]&amp;")"</f>
        <v>HAR ()</v>
      </c>
    </row>
    <row r="7197" spans="1:14" x14ac:dyDescent="0.3">
      <c r="A7197" s="1">
        <v>45204</v>
      </c>
      <c r="B7197" t="s">
        <v>109</v>
      </c>
      <c r="C7197" t="s">
        <v>41</v>
      </c>
      <c r="D7197" s="8"/>
      <c r="E7197" s="8"/>
      <c r="M7197" t="s">
        <v>479</v>
      </c>
      <c r="N7197" t="str">
        <f>Tabela_tudo[[#This Row],[Médico]]&amp;" ("&amp;Tabela_tudo[[#This Row],[Obs]]&amp;")"</f>
        <v>CA ()</v>
      </c>
    </row>
    <row r="7198" spans="1:14" x14ac:dyDescent="0.3">
      <c r="A7198" s="1">
        <v>45200</v>
      </c>
      <c r="B7198" t="s">
        <v>97</v>
      </c>
      <c r="C7198" t="s">
        <v>464</v>
      </c>
      <c r="D7198" s="8"/>
      <c r="E7198" s="8"/>
      <c r="M7198" t="s">
        <v>479</v>
      </c>
      <c r="N7198" t="str">
        <f>Tabela_tudo[[#This Row],[Médico]]&amp;" ("&amp;Tabela_tudo[[#This Row],[Obs]]&amp;")"</f>
        <v>HAR ()</v>
      </c>
    </row>
    <row r="7199" spans="1:14" x14ac:dyDescent="0.3">
      <c r="A7199" s="1">
        <v>45094</v>
      </c>
      <c r="B7199" t="s">
        <v>98</v>
      </c>
      <c r="C7199" t="s">
        <v>10</v>
      </c>
      <c r="D7199" s="8"/>
      <c r="E7199" s="8"/>
      <c r="M7199" t="s">
        <v>479</v>
      </c>
      <c r="N7199" t="str">
        <f>Tabela_tudo[[#This Row],[Médico]]&amp;" ("&amp;Tabela_tudo[[#This Row],[Obs]]&amp;")"</f>
        <v>NIC ()</v>
      </c>
    </row>
    <row r="7200" spans="1:14" x14ac:dyDescent="0.3">
      <c r="A7200" s="1">
        <v>45201</v>
      </c>
      <c r="B7200" t="s">
        <v>97</v>
      </c>
      <c r="C7200" t="s">
        <v>464</v>
      </c>
      <c r="D7200" s="8"/>
      <c r="E7200" s="8"/>
      <c r="M7200" t="s">
        <v>479</v>
      </c>
      <c r="N7200" t="str">
        <f>Tabela_tudo[[#This Row],[Médico]]&amp;" ("&amp;Tabela_tudo[[#This Row],[Obs]]&amp;")"</f>
        <v>HAR ()</v>
      </c>
    </row>
    <row r="7201" spans="1:14" x14ac:dyDescent="0.3">
      <c r="A7201" s="1">
        <v>45204</v>
      </c>
      <c r="B7201" t="s">
        <v>9</v>
      </c>
      <c r="C7201" t="s">
        <v>10</v>
      </c>
      <c r="D7201" s="8"/>
      <c r="E7201" s="8"/>
      <c r="M7201" t="s">
        <v>481</v>
      </c>
      <c r="N7201" t="str">
        <f>Tabela_tudo[[#This Row],[Médico]]&amp;" ("&amp;Tabela_tudo[[#This Row],[Obs]]&amp;")"</f>
        <v>KRE ()</v>
      </c>
    </row>
    <row r="7202" spans="1:14" x14ac:dyDescent="0.3">
      <c r="A7202" s="1">
        <v>45202</v>
      </c>
      <c r="B7202" t="s">
        <v>97</v>
      </c>
      <c r="C7202" t="s">
        <v>464</v>
      </c>
      <c r="D7202" s="8"/>
      <c r="E7202" s="8"/>
      <c r="M7202" t="s">
        <v>479</v>
      </c>
      <c r="N7202" t="str">
        <f>Tabela_tudo[[#This Row],[Médico]]&amp;" ("&amp;Tabela_tudo[[#This Row],[Obs]]&amp;")"</f>
        <v>HAR ()</v>
      </c>
    </row>
    <row r="7203" spans="1:14" x14ac:dyDescent="0.3">
      <c r="A7203" s="1">
        <v>45204</v>
      </c>
      <c r="B7203" t="s">
        <v>149</v>
      </c>
      <c r="C7203" t="s">
        <v>41</v>
      </c>
      <c r="D7203" s="8"/>
      <c r="E7203" s="8"/>
      <c r="M7203" t="s">
        <v>477</v>
      </c>
      <c r="N7203" t="str">
        <f>Tabela_tudo[[#This Row],[Médico]]&amp;" ("&amp;Tabela_tudo[[#This Row],[Obs]]&amp;")"</f>
        <v>NF ()</v>
      </c>
    </row>
    <row r="7204" spans="1:14" x14ac:dyDescent="0.3">
      <c r="A7204" s="1">
        <v>45212</v>
      </c>
      <c r="B7204" t="s">
        <v>42</v>
      </c>
      <c r="C7204" t="s">
        <v>464</v>
      </c>
      <c r="D7204" s="8"/>
      <c r="E7204" s="8"/>
      <c r="M7204" t="s">
        <v>479</v>
      </c>
      <c r="N7204" t="str">
        <f>Tabela_tudo[[#This Row],[Médico]]&amp;" ("&amp;Tabela_tudo[[#This Row],[Obs]]&amp;")"</f>
        <v>SAK ()</v>
      </c>
    </row>
    <row r="7205" spans="1:14" x14ac:dyDescent="0.3">
      <c r="A7205" s="1">
        <v>45094</v>
      </c>
      <c r="B7205" t="s">
        <v>27</v>
      </c>
      <c r="C7205" t="s">
        <v>78</v>
      </c>
      <c r="D7205" s="8"/>
      <c r="E7205" s="8"/>
      <c r="M7205" t="s">
        <v>481</v>
      </c>
      <c r="N7205" t="str">
        <f>Tabela_tudo[[#This Row],[Médico]]&amp;" ("&amp;Tabela_tudo[[#This Row],[Obs]]&amp;")"</f>
        <v>KIL ()</v>
      </c>
    </row>
    <row r="7206" spans="1:14" x14ac:dyDescent="0.3">
      <c r="A7206" s="1">
        <v>45213</v>
      </c>
      <c r="B7206" t="s">
        <v>42</v>
      </c>
      <c r="C7206" t="s">
        <v>464</v>
      </c>
      <c r="D7206" s="8"/>
      <c r="E7206" s="8"/>
      <c r="M7206" t="s">
        <v>479</v>
      </c>
      <c r="N7206" t="str">
        <f>Tabela_tudo[[#This Row],[Médico]]&amp;" ("&amp;Tabela_tudo[[#This Row],[Obs]]&amp;")"</f>
        <v>SAK ()</v>
      </c>
    </row>
    <row r="7207" spans="1:14" x14ac:dyDescent="0.3">
      <c r="A7207" s="1">
        <v>45094</v>
      </c>
      <c r="B7207" t="s">
        <v>109</v>
      </c>
      <c r="C7207" t="s">
        <v>8</v>
      </c>
      <c r="D7207" s="8"/>
      <c r="E7207" s="8"/>
      <c r="M7207" t="s">
        <v>479</v>
      </c>
      <c r="N7207" t="str">
        <f>Tabela_tudo[[#This Row],[Médico]]&amp;" ("&amp;Tabela_tudo[[#This Row],[Obs]]&amp;")"</f>
        <v>CA ()</v>
      </c>
    </row>
    <row r="7208" spans="1:14" x14ac:dyDescent="0.3">
      <c r="A7208" s="1">
        <v>45214</v>
      </c>
      <c r="B7208" t="s">
        <v>42</v>
      </c>
      <c r="C7208" t="s">
        <v>464</v>
      </c>
      <c r="D7208" s="8"/>
      <c r="E7208" s="8"/>
      <c r="M7208" t="s">
        <v>479</v>
      </c>
      <c r="N7208" t="str">
        <f>Tabela_tudo[[#This Row],[Médico]]&amp;" ("&amp;Tabela_tudo[[#This Row],[Obs]]&amp;")"</f>
        <v>SAK ()</v>
      </c>
    </row>
    <row r="7209" spans="1:14" x14ac:dyDescent="0.3">
      <c r="A7209" s="1">
        <v>45094</v>
      </c>
      <c r="B7209" t="s">
        <v>36</v>
      </c>
      <c r="C7209" t="s">
        <v>10</v>
      </c>
      <c r="D7209" s="8"/>
      <c r="E7209" s="8"/>
      <c r="M7209" t="s">
        <v>481</v>
      </c>
      <c r="N7209" t="str">
        <f>Tabela_tudo[[#This Row],[Médico]]&amp;" ("&amp;Tabela_tudo[[#This Row],[Obs]]&amp;")"</f>
        <v>DRI ()</v>
      </c>
    </row>
    <row r="7210" spans="1:14" x14ac:dyDescent="0.3">
      <c r="A7210" s="1">
        <v>45203</v>
      </c>
      <c r="B7210" t="s">
        <v>97</v>
      </c>
      <c r="C7210" t="s">
        <v>464</v>
      </c>
      <c r="D7210" s="8"/>
      <c r="E7210" s="8"/>
      <c r="M7210" t="s">
        <v>479</v>
      </c>
      <c r="N7210" t="str">
        <f>Tabela_tudo[[#This Row],[Médico]]&amp;" ("&amp;Tabela_tudo[[#This Row],[Obs]]&amp;")"</f>
        <v>HAR ()</v>
      </c>
    </row>
    <row r="7211" spans="1:14" x14ac:dyDescent="0.3">
      <c r="A7211" s="1">
        <v>45094</v>
      </c>
      <c r="B7211" t="s">
        <v>9</v>
      </c>
      <c r="C7211" t="s">
        <v>10</v>
      </c>
      <c r="D7211" s="8"/>
      <c r="E7211" s="8"/>
      <c r="M7211" t="s">
        <v>481</v>
      </c>
      <c r="N7211" t="str">
        <f>Tabela_tudo[[#This Row],[Médico]]&amp;" ("&amp;Tabela_tudo[[#This Row],[Obs]]&amp;")"</f>
        <v>KRE ()</v>
      </c>
    </row>
    <row r="7212" spans="1:14" x14ac:dyDescent="0.3">
      <c r="A7212" s="1">
        <v>45207</v>
      </c>
      <c r="B7212" t="s">
        <v>97</v>
      </c>
      <c r="C7212" t="s">
        <v>464</v>
      </c>
      <c r="D7212" s="8"/>
      <c r="E7212" s="8"/>
      <c r="M7212" t="s">
        <v>479</v>
      </c>
      <c r="N7212" t="str">
        <f>Tabela_tudo[[#This Row],[Médico]]&amp;" ("&amp;Tabela_tudo[[#This Row],[Obs]]&amp;")"</f>
        <v>HAR ()</v>
      </c>
    </row>
    <row r="7213" spans="1:14" x14ac:dyDescent="0.3">
      <c r="A7213" s="1">
        <v>45207</v>
      </c>
      <c r="B7213" t="s">
        <v>60</v>
      </c>
      <c r="C7213" t="s">
        <v>13</v>
      </c>
      <c r="D7213" s="8"/>
      <c r="E7213" s="8"/>
      <c r="M7213" t="s">
        <v>477</v>
      </c>
      <c r="N7213" t="str">
        <f>Tabela_tudo[[#This Row],[Médico]]&amp;" ("&amp;Tabela_tudo[[#This Row],[Obs]]&amp;")"</f>
        <v>BMT ()</v>
      </c>
    </row>
    <row r="7214" spans="1:14" x14ac:dyDescent="0.3">
      <c r="A7214" s="1">
        <v>45208</v>
      </c>
      <c r="B7214" t="s">
        <v>97</v>
      </c>
      <c r="C7214" t="s">
        <v>464</v>
      </c>
      <c r="D7214" s="8"/>
      <c r="E7214" s="8"/>
      <c r="M7214" t="s">
        <v>479</v>
      </c>
      <c r="N7214" t="str">
        <f>Tabela_tudo[[#This Row],[Médico]]&amp;" ("&amp;Tabela_tudo[[#This Row],[Obs]]&amp;")"</f>
        <v>HAR ()</v>
      </c>
    </row>
    <row r="7215" spans="1:14" x14ac:dyDescent="0.3">
      <c r="A7215" s="1">
        <v>45093</v>
      </c>
      <c r="B7215" t="s">
        <v>98</v>
      </c>
      <c r="C7215" t="s">
        <v>10</v>
      </c>
      <c r="D7215" s="8"/>
      <c r="E7215" s="8"/>
      <c r="M7215" t="s">
        <v>479</v>
      </c>
      <c r="N7215" t="str">
        <f>Tabela_tudo[[#This Row],[Médico]]&amp;" ("&amp;Tabela_tudo[[#This Row],[Obs]]&amp;")"</f>
        <v>NIC ()</v>
      </c>
    </row>
    <row r="7216" spans="1:14" x14ac:dyDescent="0.3">
      <c r="A7216" s="1">
        <v>45209</v>
      </c>
      <c r="B7216" t="s">
        <v>97</v>
      </c>
      <c r="C7216" t="s">
        <v>464</v>
      </c>
      <c r="D7216" s="8"/>
      <c r="E7216" s="8"/>
      <c r="M7216" t="s">
        <v>479</v>
      </c>
      <c r="N7216" t="str">
        <f>Tabela_tudo[[#This Row],[Médico]]&amp;" ("&amp;Tabela_tudo[[#This Row],[Obs]]&amp;")"</f>
        <v>HAR ()</v>
      </c>
    </row>
    <row r="7217" spans="1:14" x14ac:dyDescent="0.3">
      <c r="A7217" s="1">
        <v>45093</v>
      </c>
      <c r="B7217" t="s">
        <v>36</v>
      </c>
      <c r="C7217" t="s">
        <v>10</v>
      </c>
      <c r="D7217" s="8"/>
      <c r="E7217" s="8"/>
      <c r="M7217" t="s">
        <v>481</v>
      </c>
      <c r="N7217" t="str">
        <f>Tabela_tudo[[#This Row],[Médico]]&amp;" ("&amp;Tabela_tudo[[#This Row],[Obs]]&amp;")"</f>
        <v>DRI ()</v>
      </c>
    </row>
    <row r="7218" spans="1:14" x14ac:dyDescent="0.3">
      <c r="A7218" s="1">
        <v>45204</v>
      </c>
      <c r="B7218" t="s">
        <v>97</v>
      </c>
      <c r="C7218" t="s">
        <v>464</v>
      </c>
      <c r="D7218" s="8"/>
      <c r="E7218" s="8"/>
      <c r="M7218" t="s">
        <v>479</v>
      </c>
      <c r="N7218" t="str">
        <f>Tabela_tudo[[#This Row],[Médico]]&amp;" ("&amp;Tabela_tudo[[#This Row],[Obs]]&amp;")"</f>
        <v>HAR ()</v>
      </c>
    </row>
    <row r="7219" spans="1:14" x14ac:dyDescent="0.3">
      <c r="A7219" s="1">
        <v>45206</v>
      </c>
      <c r="B7219" t="s">
        <v>9</v>
      </c>
      <c r="C7219" t="s">
        <v>10</v>
      </c>
      <c r="D7219" s="8"/>
      <c r="E7219" s="8"/>
      <c r="M7219" t="s">
        <v>481</v>
      </c>
      <c r="N7219" t="str">
        <f>Tabela_tudo[[#This Row],[Médico]]&amp;" ("&amp;Tabela_tudo[[#This Row],[Obs]]&amp;")"</f>
        <v>KRE ()</v>
      </c>
    </row>
    <row r="7220" spans="1:14" x14ac:dyDescent="0.3">
      <c r="A7220" s="1">
        <v>45205</v>
      </c>
      <c r="B7220" t="s">
        <v>97</v>
      </c>
      <c r="C7220" t="s">
        <v>464</v>
      </c>
      <c r="D7220" s="8"/>
      <c r="E7220" s="8"/>
      <c r="M7220" t="s">
        <v>479</v>
      </c>
      <c r="N7220" t="str">
        <f>Tabela_tudo[[#This Row],[Médico]]&amp;" ("&amp;Tabela_tudo[[#This Row],[Obs]]&amp;")"</f>
        <v>HAR ()</v>
      </c>
    </row>
    <row r="7221" spans="1:14" x14ac:dyDescent="0.3">
      <c r="A7221" s="1">
        <v>45206</v>
      </c>
      <c r="B7221" t="s">
        <v>27</v>
      </c>
      <c r="C7221" t="s">
        <v>10</v>
      </c>
      <c r="D7221" s="8"/>
      <c r="E7221" s="8"/>
      <c r="M7221" t="s">
        <v>481</v>
      </c>
      <c r="N7221" t="str">
        <f>Tabela_tudo[[#This Row],[Médico]]&amp;" ("&amp;Tabela_tudo[[#This Row],[Obs]]&amp;")"</f>
        <v>KIL ()</v>
      </c>
    </row>
    <row r="7222" spans="1:14" x14ac:dyDescent="0.3">
      <c r="A7222" s="1">
        <v>45206</v>
      </c>
      <c r="B7222" t="s">
        <v>97</v>
      </c>
      <c r="C7222" t="s">
        <v>464</v>
      </c>
      <c r="D7222" s="8"/>
      <c r="E7222" s="8"/>
      <c r="M7222" t="s">
        <v>479</v>
      </c>
      <c r="N7222" t="str">
        <f>Tabela_tudo[[#This Row],[Médico]]&amp;" ("&amp;Tabela_tudo[[#This Row],[Obs]]&amp;")"</f>
        <v>HAR ()</v>
      </c>
    </row>
    <row r="7223" spans="1:14" x14ac:dyDescent="0.3">
      <c r="A7223" s="1">
        <v>45211</v>
      </c>
      <c r="B7223" t="s">
        <v>36</v>
      </c>
      <c r="C7223" t="s">
        <v>8</v>
      </c>
      <c r="D7223" s="8"/>
      <c r="E7223" s="8"/>
      <c r="M7223" t="s">
        <v>481</v>
      </c>
      <c r="N7223" t="str">
        <f>Tabela_tudo[[#This Row],[Médico]]&amp;" ("&amp;Tabela_tudo[[#This Row],[Obs]]&amp;")"</f>
        <v>DRI ()</v>
      </c>
    </row>
    <row r="7224" spans="1:14" x14ac:dyDescent="0.3">
      <c r="A7224" s="1">
        <v>45193</v>
      </c>
      <c r="B7224" t="s">
        <v>80</v>
      </c>
      <c r="C7224" t="s">
        <v>465</v>
      </c>
      <c r="D7224" s="8"/>
      <c r="E7224" s="8"/>
      <c r="F7224" t="s">
        <v>486</v>
      </c>
      <c r="M7224" t="s">
        <v>477</v>
      </c>
      <c r="N7224" t="str">
        <f>Tabela_tudo[[#This Row],[Médico]]&amp;" ("&amp;Tabela_tudo[[#This Row],[Obs]]&amp;")"</f>
        <v>REC (JARGS)</v>
      </c>
    </row>
    <row r="7225" spans="1:14" x14ac:dyDescent="0.3">
      <c r="A7225" s="1">
        <v>45211</v>
      </c>
      <c r="B7225" t="s">
        <v>96</v>
      </c>
      <c r="C7225" t="s">
        <v>78</v>
      </c>
      <c r="D7225" s="8"/>
      <c r="E7225" s="8"/>
      <c r="M7225" t="s">
        <v>477</v>
      </c>
      <c r="N7225" t="str">
        <f>Tabela_tudo[[#This Row],[Médico]]&amp;" ("&amp;Tabela_tudo[[#This Row],[Obs]]&amp;")"</f>
        <v>VF ()</v>
      </c>
    </row>
    <row r="7226" spans="1:14" x14ac:dyDescent="0.3">
      <c r="A7226" s="1">
        <v>45137</v>
      </c>
      <c r="B7226" t="s">
        <v>38</v>
      </c>
      <c r="C7226" t="s">
        <v>464</v>
      </c>
      <c r="D7226" s="8"/>
      <c r="E7226" s="8"/>
      <c r="M7226" t="s">
        <v>481</v>
      </c>
      <c r="N7226" t="str">
        <f>Tabela_tudo[[#This Row],[Médico]]&amp;" ("&amp;Tabela_tudo[[#This Row],[Obs]]&amp;")"</f>
        <v>ORO ()</v>
      </c>
    </row>
    <row r="7227" spans="1:14" x14ac:dyDescent="0.3">
      <c r="A7227" s="1">
        <v>45093</v>
      </c>
      <c r="B7227" t="s">
        <v>9</v>
      </c>
      <c r="C7227" t="s">
        <v>10</v>
      </c>
      <c r="D7227" s="8"/>
      <c r="E7227" s="8"/>
      <c r="M7227" t="s">
        <v>481</v>
      </c>
      <c r="N7227" t="str">
        <f>Tabela_tudo[[#This Row],[Médico]]&amp;" ("&amp;Tabela_tudo[[#This Row],[Obs]]&amp;")"</f>
        <v>KRE ()</v>
      </c>
    </row>
    <row r="7228" spans="1:14" x14ac:dyDescent="0.3">
      <c r="A7228" s="1">
        <v>45123</v>
      </c>
      <c r="B7228" t="s">
        <v>112</v>
      </c>
      <c r="C7228" t="s">
        <v>464</v>
      </c>
      <c r="D7228" s="8"/>
      <c r="E7228" s="8"/>
      <c r="M7228" t="s">
        <v>479</v>
      </c>
      <c r="N7228" t="str">
        <f>Tabela_tudo[[#This Row],[Médico]]&amp;" ("&amp;Tabela_tudo[[#This Row],[Obs]]&amp;")"</f>
        <v>FLE ()</v>
      </c>
    </row>
    <row r="7229" spans="1:14" x14ac:dyDescent="0.3">
      <c r="A7229" s="1">
        <v>45211</v>
      </c>
      <c r="B7229" t="s">
        <v>69</v>
      </c>
      <c r="C7229" t="s">
        <v>13</v>
      </c>
      <c r="D7229" s="8"/>
      <c r="E7229" s="8"/>
      <c r="M7229" t="s">
        <v>479</v>
      </c>
      <c r="N7229" t="str">
        <f>Tabela_tudo[[#This Row],[Médico]]&amp;" ("&amp;Tabela_tudo[[#This Row],[Obs]]&amp;")"</f>
        <v>PRE ()</v>
      </c>
    </row>
    <row r="7230" spans="1:14" x14ac:dyDescent="0.3">
      <c r="A7230" s="1">
        <v>45124</v>
      </c>
      <c r="B7230" t="s">
        <v>112</v>
      </c>
      <c r="C7230" t="s">
        <v>464</v>
      </c>
      <c r="D7230" s="8"/>
      <c r="E7230" s="8"/>
      <c r="M7230" t="s">
        <v>479</v>
      </c>
      <c r="N7230" t="str">
        <f>Tabela_tudo[[#This Row],[Médico]]&amp;" ("&amp;Tabela_tudo[[#This Row],[Obs]]&amp;")"</f>
        <v>FLE ()</v>
      </c>
    </row>
    <row r="7231" spans="1:14" x14ac:dyDescent="0.3">
      <c r="A7231" s="1">
        <v>45093</v>
      </c>
      <c r="B7231" t="s">
        <v>97</v>
      </c>
      <c r="C7231" t="s">
        <v>41</v>
      </c>
      <c r="D7231" s="8"/>
      <c r="E7231" s="8"/>
      <c r="M7231" t="s">
        <v>479</v>
      </c>
      <c r="N7231" t="str">
        <f>Tabela_tudo[[#This Row],[Médico]]&amp;" ("&amp;Tabela_tudo[[#This Row],[Obs]]&amp;")"</f>
        <v>HAR ()</v>
      </c>
    </row>
    <row r="7232" spans="1:14" x14ac:dyDescent="0.3">
      <c r="A7232" s="1">
        <v>45136</v>
      </c>
      <c r="B7232" t="s">
        <v>38</v>
      </c>
      <c r="C7232" t="s">
        <v>464</v>
      </c>
      <c r="D7232" s="8"/>
      <c r="E7232" s="8"/>
      <c r="M7232" t="s">
        <v>481</v>
      </c>
      <c r="N7232" t="str">
        <f>Tabela_tudo[[#This Row],[Médico]]&amp;" ("&amp;Tabela_tudo[[#This Row],[Obs]]&amp;")"</f>
        <v>ORO ()</v>
      </c>
    </row>
    <row r="7233" spans="1:14" x14ac:dyDescent="0.3">
      <c r="A7233" s="1">
        <v>45093</v>
      </c>
      <c r="B7233" t="s">
        <v>60</v>
      </c>
      <c r="C7233" t="s">
        <v>41</v>
      </c>
      <c r="D7233" s="8"/>
      <c r="E7233" s="8"/>
      <c r="M7233" t="s">
        <v>477</v>
      </c>
      <c r="N7233" t="str">
        <f>Tabela_tudo[[#This Row],[Médico]]&amp;" ("&amp;Tabela_tudo[[#This Row],[Obs]]&amp;")"</f>
        <v>BMT ()</v>
      </c>
    </row>
    <row r="7234" spans="1:14" x14ac:dyDescent="0.3">
      <c r="A7234" s="1">
        <v>45133</v>
      </c>
      <c r="B7234" t="s">
        <v>38</v>
      </c>
      <c r="C7234" t="s">
        <v>464</v>
      </c>
      <c r="D7234" s="8"/>
      <c r="E7234" s="8"/>
      <c r="M7234" t="s">
        <v>481</v>
      </c>
      <c r="N7234" t="str">
        <f>Tabela_tudo[[#This Row],[Médico]]&amp;" ("&amp;Tabela_tudo[[#This Row],[Obs]]&amp;")"</f>
        <v>ORO ()</v>
      </c>
    </row>
    <row r="7235" spans="1:14" x14ac:dyDescent="0.3">
      <c r="A7235" s="1">
        <v>45207</v>
      </c>
      <c r="B7235" t="s">
        <v>79</v>
      </c>
      <c r="C7235" t="s">
        <v>8</v>
      </c>
      <c r="D7235" s="8"/>
      <c r="E7235" s="8"/>
      <c r="M7235" t="s">
        <v>481</v>
      </c>
      <c r="N7235" t="str">
        <f>Tabela_tudo[[#This Row],[Médico]]&amp;" ("&amp;Tabela_tudo[[#This Row],[Obs]]&amp;")"</f>
        <v>MTB ()</v>
      </c>
    </row>
    <row r="7236" spans="1:14" x14ac:dyDescent="0.3">
      <c r="A7236" s="1">
        <v>45134</v>
      </c>
      <c r="B7236" t="s">
        <v>38</v>
      </c>
      <c r="C7236" t="s">
        <v>464</v>
      </c>
      <c r="D7236" s="8"/>
      <c r="E7236" s="8"/>
      <c r="M7236" t="s">
        <v>481</v>
      </c>
      <c r="N7236" t="str">
        <f>Tabela_tudo[[#This Row],[Médico]]&amp;" ("&amp;Tabela_tudo[[#This Row],[Obs]]&amp;")"</f>
        <v>ORO ()</v>
      </c>
    </row>
    <row r="7237" spans="1:14" x14ac:dyDescent="0.3">
      <c r="A7237" s="1">
        <v>45207</v>
      </c>
      <c r="B7237" t="s">
        <v>112</v>
      </c>
      <c r="C7237" t="s">
        <v>78</v>
      </c>
      <c r="D7237" s="8"/>
      <c r="E7237" s="8"/>
      <c r="M7237" t="s">
        <v>479</v>
      </c>
      <c r="N7237" t="str">
        <f>Tabela_tudo[[#This Row],[Médico]]&amp;" ("&amp;Tabela_tudo[[#This Row],[Obs]]&amp;")"</f>
        <v>FLE ()</v>
      </c>
    </row>
    <row r="7238" spans="1:14" x14ac:dyDescent="0.3">
      <c r="A7238" s="1">
        <v>45135</v>
      </c>
      <c r="B7238" t="s">
        <v>38</v>
      </c>
      <c r="C7238" t="s">
        <v>464</v>
      </c>
      <c r="D7238" s="8"/>
      <c r="E7238" s="8"/>
      <c r="M7238" t="s">
        <v>481</v>
      </c>
      <c r="N7238" t="str">
        <f>Tabela_tudo[[#This Row],[Médico]]&amp;" ("&amp;Tabela_tudo[[#This Row],[Obs]]&amp;")"</f>
        <v>ORO ()</v>
      </c>
    </row>
    <row r="7239" spans="1:14" x14ac:dyDescent="0.3">
      <c r="A7239" s="1">
        <v>45206</v>
      </c>
      <c r="B7239" t="s">
        <v>112</v>
      </c>
      <c r="C7239" t="s">
        <v>78</v>
      </c>
      <c r="D7239" s="8"/>
      <c r="E7239" s="8"/>
      <c r="M7239" t="s">
        <v>479</v>
      </c>
      <c r="N7239" t="str">
        <f>Tabela_tudo[[#This Row],[Médico]]&amp;" ("&amp;Tabela_tudo[[#This Row],[Obs]]&amp;")"</f>
        <v>FLE ()</v>
      </c>
    </row>
    <row r="7240" spans="1:14" x14ac:dyDescent="0.3">
      <c r="A7240" s="1">
        <v>45129</v>
      </c>
      <c r="B7240" t="s">
        <v>112</v>
      </c>
      <c r="C7240" t="s">
        <v>464</v>
      </c>
      <c r="D7240" s="8"/>
      <c r="E7240" s="8"/>
      <c r="M7240" t="s">
        <v>479</v>
      </c>
      <c r="N7240" t="str">
        <f>Tabela_tudo[[#This Row],[Médico]]&amp;" ("&amp;Tabela_tudo[[#This Row],[Obs]]&amp;")"</f>
        <v>FLE ()</v>
      </c>
    </row>
    <row r="7241" spans="1:14" x14ac:dyDescent="0.3">
      <c r="A7241" s="1">
        <v>45206</v>
      </c>
      <c r="B7241" t="s">
        <v>35</v>
      </c>
      <c r="C7241" t="s">
        <v>10</v>
      </c>
      <c r="D7241" s="8"/>
      <c r="E7241" s="8"/>
      <c r="M7241" t="s">
        <v>479</v>
      </c>
      <c r="N7241" t="str">
        <f>Tabela_tudo[[#This Row],[Médico]]&amp;" ("&amp;Tabela_tudo[[#This Row],[Obs]]&amp;")"</f>
        <v>FLA ()</v>
      </c>
    </row>
    <row r="7242" spans="1:14" x14ac:dyDescent="0.3">
      <c r="A7242" s="1">
        <v>45130</v>
      </c>
      <c r="B7242" t="s">
        <v>112</v>
      </c>
      <c r="C7242" t="s">
        <v>464</v>
      </c>
      <c r="D7242" s="8"/>
      <c r="E7242" s="8"/>
      <c r="M7242" t="s">
        <v>479</v>
      </c>
      <c r="N7242" t="str">
        <f>Tabela_tudo[[#This Row],[Médico]]&amp;" ("&amp;Tabela_tudo[[#This Row],[Obs]]&amp;")"</f>
        <v>FLE ()</v>
      </c>
    </row>
    <row r="7243" spans="1:14" x14ac:dyDescent="0.3">
      <c r="A7243" s="1">
        <v>45206</v>
      </c>
      <c r="B7243" t="s">
        <v>60</v>
      </c>
      <c r="C7243" t="s">
        <v>13</v>
      </c>
      <c r="D7243" s="8"/>
      <c r="E7243" s="8"/>
      <c r="M7243" t="s">
        <v>477</v>
      </c>
      <c r="N7243" t="str">
        <f>Tabela_tudo[[#This Row],[Médico]]&amp;" ("&amp;Tabela_tudo[[#This Row],[Obs]]&amp;")"</f>
        <v>BMT ()</v>
      </c>
    </row>
    <row r="7244" spans="1:14" x14ac:dyDescent="0.3">
      <c r="A7244" s="1">
        <v>45131</v>
      </c>
      <c r="B7244" t="s">
        <v>112</v>
      </c>
      <c r="C7244" t="s">
        <v>464</v>
      </c>
      <c r="D7244" s="8"/>
      <c r="E7244" s="8"/>
      <c r="M7244" t="s">
        <v>479</v>
      </c>
      <c r="N7244" t="str">
        <f>Tabela_tudo[[#This Row],[Médico]]&amp;" ("&amp;Tabela_tudo[[#This Row],[Obs]]&amp;")"</f>
        <v>FLE ()</v>
      </c>
    </row>
    <row r="7245" spans="1:14" x14ac:dyDescent="0.3">
      <c r="A7245" s="1">
        <v>45206</v>
      </c>
      <c r="B7245" t="s">
        <v>79</v>
      </c>
      <c r="C7245" t="s">
        <v>8</v>
      </c>
      <c r="D7245" s="8"/>
      <c r="E7245" s="8"/>
      <c r="M7245" t="s">
        <v>481</v>
      </c>
      <c r="N7245" t="str">
        <f>Tabela_tudo[[#This Row],[Médico]]&amp;" ("&amp;Tabela_tudo[[#This Row],[Obs]]&amp;")"</f>
        <v>MTB ()</v>
      </c>
    </row>
    <row r="7246" spans="1:14" x14ac:dyDescent="0.3">
      <c r="A7246" s="1">
        <v>45128</v>
      </c>
      <c r="B7246" t="s">
        <v>112</v>
      </c>
      <c r="C7246" t="s">
        <v>464</v>
      </c>
      <c r="D7246" s="8"/>
      <c r="E7246" s="8"/>
      <c r="M7246" t="s">
        <v>479</v>
      </c>
      <c r="N7246" t="str">
        <f>Tabela_tudo[[#This Row],[Médico]]&amp;" ("&amp;Tabela_tudo[[#This Row],[Obs]]&amp;")"</f>
        <v>FLE ()</v>
      </c>
    </row>
    <row r="7247" spans="1:14" x14ac:dyDescent="0.3">
      <c r="A7247" s="1">
        <v>45203</v>
      </c>
      <c r="B7247" t="s">
        <v>79</v>
      </c>
      <c r="C7247" t="s">
        <v>41</v>
      </c>
      <c r="D7247" s="8"/>
      <c r="E7247" s="8"/>
      <c r="M7247" t="s">
        <v>481</v>
      </c>
      <c r="N7247" t="str">
        <f>Tabela_tudo[[#This Row],[Médico]]&amp;" ("&amp;Tabela_tudo[[#This Row],[Obs]]&amp;")"</f>
        <v>MTB ()</v>
      </c>
    </row>
    <row r="7248" spans="1:14" x14ac:dyDescent="0.3">
      <c r="A7248" s="1">
        <v>45125</v>
      </c>
      <c r="B7248" t="s">
        <v>112</v>
      </c>
      <c r="C7248" t="s">
        <v>464</v>
      </c>
      <c r="D7248" s="8"/>
      <c r="E7248" s="8"/>
      <c r="M7248" t="s">
        <v>479</v>
      </c>
      <c r="N7248" t="str">
        <f>Tabela_tudo[[#This Row],[Médico]]&amp;" ("&amp;Tabela_tudo[[#This Row],[Obs]]&amp;")"</f>
        <v>FLE ()</v>
      </c>
    </row>
    <row r="7249" spans="1:14" x14ac:dyDescent="0.3">
      <c r="A7249" s="1">
        <v>45096</v>
      </c>
      <c r="B7249" t="s">
        <v>27</v>
      </c>
      <c r="C7249" t="s">
        <v>41</v>
      </c>
      <c r="D7249" s="8"/>
      <c r="E7249" s="8"/>
      <c r="M7249" t="s">
        <v>481</v>
      </c>
      <c r="N7249" t="str">
        <f>Tabela_tudo[[#This Row],[Médico]]&amp;" ("&amp;Tabela_tudo[[#This Row],[Obs]]&amp;")"</f>
        <v>KIL ()</v>
      </c>
    </row>
    <row r="7250" spans="1:14" x14ac:dyDescent="0.3">
      <c r="A7250" s="1">
        <v>45126</v>
      </c>
      <c r="B7250" t="s">
        <v>112</v>
      </c>
      <c r="C7250" t="s">
        <v>464</v>
      </c>
      <c r="D7250" s="8"/>
      <c r="E7250" s="8"/>
      <c r="M7250" t="s">
        <v>479</v>
      </c>
      <c r="N7250" t="str">
        <f>Tabela_tudo[[#This Row],[Médico]]&amp;" ("&amp;Tabela_tudo[[#This Row],[Obs]]&amp;")"</f>
        <v>FLE ()</v>
      </c>
    </row>
    <row r="7251" spans="1:14" x14ac:dyDescent="0.3">
      <c r="A7251" s="1">
        <v>45203</v>
      </c>
      <c r="B7251" t="s">
        <v>9</v>
      </c>
      <c r="C7251" t="s">
        <v>10</v>
      </c>
      <c r="D7251" s="8"/>
      <c r="E7251" s="8"/>
      <c r="M7251" t="s">
        <v>481</v>
      </c>
      <c r="N7251" t="str">
        <f>Tabela_tudo[[#This Row],[Médico]]&amp;" ("&amp;Tabela_tudo[[#This Row],[Obs]]&amp;")"</f>
        <v>KRE ()</v>
      </c>
    </row>
    <row r="7252" spans="1:14" x14ac:dyDescent="0.3">
      <c r="A7252" s="1">
        <v>45127</v>
      </c>
      <c r="B7252" t="s">
        <v>112</v>
      </c>
      <c r="C7252" t="s">
        <v>464</v>
      </c>
      <c r="D7252" s="8"/>
      <c r="E7252" s="8"/>
      <c r="M7252" t="s">
        <v>479</v>
      </c>
      <c r="N7252" t="str">
        <f>Tabela_tudo[[#This Row],[Médico]]&amp;" ("&amp;Tabela_tudo[[#This Row],[Obs]]&amp;")"</f>
        <v>FLE ()</v>
      </c>
    </row>
    <row r="7253" spans="1:14" x14ac:dyDescent="0.3">
      <c r="A7253" s="1">
        <v>45203</v>
      </c>
      <c r="B7253" t="s">
        <v>80</v>
      </c>
      <c r="C7253" t="s">
        <v>41</v>
      </c>
      <c r="D7253" s="8"/>
      <c r="E7253" s="8"/>
      <c r="M7253" t="s">
        <v>477</v>
      </c>
      <c r="N7253" t="str">
        <f>Tabela_tudo[[#This Row],[Médico]]&amp;" ("&amp;Tabela_tudo[[#This Row],[Obs]]&amp;")"</f>
        <v>REC ()</v>
      </c>
    </row>
    <row r="7254" spans="1:14" x14ac:dyDescent="0.3">
      <c r="A7254" s="1">
        <v>45123</v>
      </c>
      <c r="B7254" t="s">
        <v>38</v>
      </c>
      <c r="C7254" t="s">
        <v>464</v>
      </c>
      <c r="D7254" s="8"/>
      <c r="E7254" s="8"/>
      <c r="M7254" t="s">
        <v>481</v>
      </c>
      <c r="N7254" t="str">
        <f>Tabela_tudo[[#This Row],[Médico]]&amp;" ("&amp;Tabela_tudo[[#This Row],[Obs]]&amp;")"</f>
        <v>ORO ()</v>
      </c>
    </row>
    <row r="7255" spans="1:14" x14ac:dyDescent="0.3">
      <c r="A7255" s="1">
        <v>45096</v>
      </c>
      <c r="B7255" t="s">
        <v>98</v>
      </c>
      <c r="C7255" t="s">
        <v>10</v>
      </c>
      <c r="D7255" s="8"/>
      <c r="E7255" s="8"/>
      <c r="M7255" t="s">
        <v>479</v>
      </c>
      <c r="N7255" t="str">
        <f>Tabela_tudo[[#This Row],[Médico]]&amp;" ("&amp;Tabela_tudo[[#This Row],[Obs]]&amp;")"</f>
        <v>NIC ()</v>
      </c>
    </row>
    <row r="7256" spans="1:14" x14ac:dyDescent="0.3">
      <c r="A7256" s="1">
        <v>45124</v>
      </c>
      <c r="B7256" t="s">
        <v>38</v>
      </c>
      <c r="C7256" t="s">
        <v>464</v>
      </c>
      <c r="D7256" s="8"/>
      <c r="E7256" s="8"/>
      <c r="M7256" t="s">
        <v>481</v>
      </c>
      <c r="N7256" t="str">
        <f>Tabela_tudo[[#This Row],[Médico]]&amp;" ("&amp;Tabela_tudo[[#This Row],[Obs]]&amp;")"</f>
        <v>ORO ()</v>
      </c>
    </row>
    <row r="7257" spans="1:14" x14ac:dyDescent="0.3">
      <c r="A7257" s="1">
        <v>45096</v>
      </c>
      <c r="B7257" t="s">
        <v>36</v>
      </c>
      <c r="C7257" t="s">
        <v>10</v>
      </c>
      <c r="D7257" s="8"/>
      <c r="E7257" s="8"/>
      <c r="M7257" t="s">
        <v>481</v>
      </c>
      <c r="N7257" t="str">
        <f>Tabela_tudo[[#This Row],[Médico]]&amp;" ("&amp;Tabela_tudo[[#This Row],[Obs]]&amp;")"</f>
        <v>DRI ()</v>
      </c>
    </row>
    <row r="7258" spans="1:14" x14ac:dyDescent="0.3">
      <c r="A7258" s="1">
        <v>45125</v>
      </c>
      <c r="B7258" t="s">
        <v>38</v>
      </c>
      <c r="C7258" t="s">
        <v>464</v>
      </c>
      <c r="D7258" s="8"/>
      <c r="E7258" s="8"/>
      <c r="M7258" t="s">
        <v>481</v>
      </c>
      <c r="N7258" t="str">
        <f>Tabela_tudo[[#This Row],[Médico]]&amp;" ("&amp;Tabela_tudo[[#This Row],[Obs]]&amp;")"</f>
        <v>ORO ()</v>
      </c>
    </row>
    <row r="7259" spans="1:14" x14ac:dyDescent="0.3">
      <c r="A7259" s="1">
        <v>45096</v>
      </c>
      <c r="B7259" t="s">
        <v>109</v>
      </c>
      <c r="C7259" t="s">
        <v>41</v>
      </c>
      <c r="D7259" s="8"/>
      <c r="E7259" s="8"/>
      <c r="M7259" t="s">
        <v>479</v>
      </c>
      <c r="N7259" t="str">
        <f>Tabela_tudo[[#This Row],[Médico]]&amp;" ("&amp;Tabela_tudo[[#This Row],[Obs]]&amp;")"</f>
        <v>CA ()</v>
      </c>
    </row>
    <row r="7260" spans="1:14" x14ac:dyDescent="0.3">
      <c r="A7260" s="1">
        <v>45137</v>
      </c>
      <c r="B7260" t="s">
        <v>27</v>
      </c>
      <c r="C7260" t="s">
        <v>464</v>
      </c>
      <c r="D7260" s="8"/>
      <c r="E7260" s="8"/>
      <c r="M7260" t="s">
        <v>481</v>
      </c>
      <c r="N7260" t="str">
        <f>Tabela_tudo[[#This Row],[Médico]]&amp;" ("&amp;Tabela_tudo[[#This Row],[Obs]]&amp;")"</f>
        <v>KIL ()</v>
      </c>
    </row>
    <row r="7261" spans="1:14" x14ac:dyDescent="0.3">
      <c r="A7261" s="1">
        <v>45096</v>
      </c>
      <c r="B7261" t="s">
        <v>83</v>
      </c>
      <c r="C7261" t="s">
        <v>41</v>
      </c>
      <c r="D7261" s="8"/>
      <c r="E7261" s="8"/>
      <c r="M7261" t="s">
        <v>477</v>
      </c>
      <c r="N7261" t="str">
        <f>Tabela_tudo[[#This Row],[Médico]]&amp;" ("&amp;Tabela_tudo[[#This Row],[Obs]]&amp;")"</f>
        <v>MG ()</v>
      </c>
    </row>
    <row r="7262" spans="1:14" x14ac:dyDescent="0.3">
      <c r="A7262" s="1">
        <v>45134</v>
      </c>
      <c r="B7262" t="s">
        <v>27</v>
      </c>
      <c r="C7262" t="s">
        <v>464</v>
      </c>
      <c r="D7262" s="8"/>
      <c r="E7262" s="8"/>
      <c r="M7262" t="s">
        <v>481</v>
      </c>
      <c r="N7262" t="str">
        <f>Tabela_tudo[[#This Row],[Médico]]&amp;" ("&amp;Tabela_tudo[[#This Row],[Obs]]&amp;")"</f>
        <v>KIL ()</v>
      </c>
    </row>
    <row r="7263" spans="1:14" x14ac:dyDescent="0.3">
      <c r="A7263" s="1">
        <v>45103</v>
      </c>
      <c r="B7263" t="s">
        <v>39</v>
      </c>
      <c r="C7263" t="s">
        <v>41</v>
      </c>
      <c r="D7263" s="8"/>
      <c r="E7263" s="8"/>
      <c r="M7263" t="s">
        <v>479</v>
      </c>
      <c r="N7263" t="str">
        <f>Tabela_tudo[[#This Row],[Médico]]&amp;" ("&amp;Tabela_tudo[[#This Row],[Obs]]&amp;")"</f>
        <v>KLA ()</v>
      </c>
    </row>
    <row r="7264" spans="1:14" x14ac:dyDescent="0.3">
      <c r="A7264" s="1">
        <v>45135</v>
      </c>
      <c r="B7264" t="s">
        <v>27</v>
      </c>
      <c r="C7264" t="s">
        <v>464</v>
      </c>
      <c r="D7264" s="8"/>
      <c r="E7264" s="8"/>
      <c r="M7264" t="s">
        <v>481</v>
      </c>
      <c r="N7264" t="str">
        <f>Tabela_tudo[[#This Row],[Médico]]&amp;" ("&amp;Tabela_tudo[[#This Row],[Obs]]&amp;")"</f>
        <v>KIL ()</v>
      </c>
    </row>
    <row r="7265" spans="1:14" x14ac:dyDescent="0.3">
      <c r="A7265" s="1">
        <v>45103</v>
      </c>
      <c r="B7265" t="s">
        <v>79</v>
      </c>
      <c r="C7265" t="s">
        <v>10</v>
      </c>
      <c r="D7265" s="8"/>
      <c r="E7265" s="8"/>
      <c r="M7265" t="s">
        <v>481</v>
      </c>
      <c r="N7265" t="str">
        <f>Tabela_tudo[[#This Row],[Médico]]&amp;" ("&amp;Tabela_tudo[[#This Row],[Obs]]&amp;")"</f>
        <v>MTB ()</v>
      </c>
    </row>
    <row r="7266" spans="1:14" x14ac:dyDescent="0.3">
      <c r="A7266" s="1">
        <v>45136</v>
      </c>
      <c r="B7266" t="s">
        <v>27</v>
      </c>
      <c r="C7266" t="s">
        <v>464</v>
      </c>
      <c r="D7266" s="8"/>
      <c r="E7266" s="8"/>
      <c r="M7266" t="s">
        <v>481</v>
      </c>
      <c r="N7266" t="str">
        <f>Tabela_tudo[[#This Row],[Médico]]&amp;" ("&amp;Tabela_tudo[[#This Row],[Obs]]&amp;")"</f>
        <v>KIL ()</v>
      </c>
    </row>
    <row r="7267" spans="1:14" x14ac:dyDescent="0.3">
      <c r="A7267" s="1">
        <v>45155</v>
      </c>
      <c r="B7267" t="s">
        <v>97</v>
      </c>
      <c r="C7267" t="s">
        <v>8</v>
      </c>
      <c r="D7267" s="8"/>
      <c r="E7267" s="8"/>
      <c r="M7267" t="s">
        <v>479</v>
      </c>
      <c r="N7267" t="str">
        <f>Tabela_tudo[[#This Row],[Médico]]&amp;" ("&amp;Tabela_tudo[[#This Row],[Obs]]&amp;")"</f>
        <v>HAR ()</v>
      </c>
    </row>
    <row r="7268" spans="1:14" x14ac:dyDescent="0.3">
      <c r="A7268" s="1">
        <v>45130</v>
      </c>
      <c r="B7268" t="s">
        <v>38</v>
      </c>
      <c r="C7268" t="s">
        <v>464</v>
      </c>
      <c r="D7268" s="8"/>
      <c r="E7268" s="8"/>
      <c r="M7268" t="s">
        <v>481</v>
      </c>
      <c r="N7268" t="str">
        <f>Tabela_tudo[[#This Row],[Médico]]&amp;" ("&amp;Tabela_tudo[[#This Row],[Obs]]&amp;")"</f>
        <v>ORO ()</v>
      </c>
    </row>
    <row r="7269" spans="1:14" x14ac:dyDescent="0.3">
      <c r="A7269" s="1">
        <v>45155</v>
      </c>
      <c r="B7269" t="s">
        <v>96</v>
      </c>
      <c r="C7269" t="s">
        <v>13</v>
      </c>
      <c r="D7269" s="8"/>
      <c r="E7269" s="8"/>
      <c r="M7269" t="s">
        <v>477</v>
      </c>
      <c r="N7269" t="str">
        <f>Tabela_tudo[[#This Row],[Médico]]&amp;" ("&amp;Tabela_tudo[[#This Row],[Obs]]&amp;")"</f>
        <v>VF ()</v>
      </c>
    </row>
    <row r="7270" spans="1:14" x14ac:dyDescent="0.3">
      <c r="A7270" s="1">
        <v>45131</v>
      </c>
      <c r="B7270" t="s">
        <v>38</v>
      </c>
      <c r="C7270" t="s">
        <v>464</v>
      </c>
      <c r="D7270" s="8"/>
      <c r="E7270" s="8"/>
      <c r="M7270" t="s">
        <v>481</v>
      </c>
      <c r="N7270" t="str">
        <f>Tabela_tudo[[#This Row],[Médico]]&amp;" ("&amp;Tabela_tudo[[#This Row],[Obs]]&amp;")"</f>
        <v>ORO ()</v>
      </c>
    </row>
    <row r="7271" spans="1:14" x14ac:dyDescent="0.3">
      <c r="A7271" s="1">
        <v>45203</v>
      </c>
      <c r="B7271" t="s">
        <v>27</v>
      </c>
      <c r="C7271" t="s">
        <v>10</v>
      </c>
      <c r="D7271" s="8"/>
      <c r="E7271" s="8"/>
      <c r="M7271" t="s">
        <v>481</v>
      </c>
      <c r="N7271" t="str">
        <f>Tabela_tudo[[#This Row],[Médico]]&amp;" ("&amp;Tabela_tudo[[#This Row],[Obs]]&amp;")"</f>
        <v>KIL ()</v>
      </c>
    </row>
    <row r="7272" spans="1:14" x14ac:dyDescent="0.3">
      <c r="A7272" s="1">
        <v>45132</v>
      </c>
      <c r="B7272" t="s">
        <v>38</v>
      </c>
      <c r="C7272" t="s">
        <v>464</v>
      </c>
      <c r="D7272" s="8"/>
      <c r="E7272" s="8"/>
      <c r="M7272" t="s">
        <v>481</v>
      </c>
      <c r="N7272" t="str">
        <f>Tabela_tudo[[#This Row],[Médico]]&amp;" ("&amp;Tabela_tudo[[#This Row],[Obs]]&amp;")"</f>
        <v>ORO ()</v>
      </c>
    </row>
    <row r="7273" spans="1:14" x14ac:dyDescent="0.3">
      <c r="A7273" s="1">
        <v>45203</v>
      </c>
      <c r="B7273" t="s">
        <v>35</v>
      </c>
      <c r="C7273" t="s">
        <v>10</v>
      </c>
      <c r="D7273" s="8"/>
      <c r="E7273" s="8"/>
      <c r="M7273" t="s">
        <v>479</v>
      </c>
      <c r="N7273" t="str">
        <f>Tabela_tudo[[#This Row],[Médico]]&amp;" ("&amp;Tabela_tudo[[#This Row],[Obs]]&amp;")"</f>
        <v>FLA ()</v>
      </c>
    </row>
    <row r="7274" spans="1:14" x14ac:dyDescent="0.3">
      <c r="A7274" s="1">
        <v>45129</v>
      </c>
      <c r="B7274" t="s">
        <v>38</v>
      </c>
      <c r="C7274" t="s">
        <v>464</v>
      </c>
      <c r="D7274" s="8"/>
      <c r="E7274" s="8"/>
      <c r="M7274" t="s">
        <v>481</v>
      </c>
      <c r="N7274" t="str">
        <f>Tabela_tudo[[#This Row],[Médico]]&amp;" ("&amp;Tabela_tudo[[#This Row],[Obs]]&amp;")"</f>
        <v>ORO ()</v>
      </c>
    </row>
    <row r="7275" spans="1:14" x14ac:dyDescent="0.3">
      <c r="A7275" s="1">
        <v>45203</v>
      </c>
      <c r="B7275" t="s">
        <v>40</v>
      </c>
      <c r="C7275" t="s">
        <v>13</v>
      </c>
      <c r="D7275" s="8"/>
      <c r="E7275" s="8"/>
      <c r="M7275" t="s">
        <v>481</v>
      </c>
      <c r="N7275" t="str">
        <f>Tabela_tudo[[#This Row],[Médico]]&amp;" ("&amp;Tabela_tudo[[#This Row],[Obs]]&amp;")"</f>
        <v>EMA ()</v>
      </c>
    </row>
    <row r="7276" spans="1:14" x14ac:dyDescent="0.3">
      <c r="A7276" s="1">
        <v>45126</v>
      </c>
      <c r="B7276" t="s">
        <v>38</v>
      </c>
      <c r="C7276" t="s">
        <v>464</v>
      </c>
      <c r="D7276" s="8"/>
      <c r="E7276" s="8"/>
      <c r="M7276" t="s">
        <v>481</v>
      </c>
      <c r="N7276" t="str">
        <f>Tabela_tudo[[#This Row],[Médico]]&amp;" ("&amp;Tabela_tudo[[#This Row],[Obs]]&amp;")"</f>
        <v>ORO ()</v>
      </c>
    </row>
    <row r="7277" spans="1:14" x14ac:dyDescent="0.3">
      <c r="A7277" s="1">
        <v>45203</v>
      </c>
      <c r="B7277" t="s">
        <v>98</v>
      </c>
      <c r="C7277" t="s">
        <v>8</v>
      </c>
      <c r="D7277" s="8"/>
      <c r="E7277" s="8"/>
      <c r="M7277" t="s">
        <v>479</v>
      </c>
      <c r="N7277" t="str">
        <f>Tabela_tudo[[#This Row],[Médico]]&amp;" ("&amp;Tabela_tudo[[#This Row],[Obs]]&amp;")"</f>
        <v>NIC ()</v>
      </c>
    </row>
    <row r="7278" spans="1:14" x14ac:dyDescent="0.3">
      <c r="A7278" s="1">
        <v>45127</v>
      </c>
      <c r="B7278" t="s">
        <v>38</v>
      </c>
      <c r="C7278" t="s">
        <v>464</v>
      </c>
      <c r="D7278" s="8"/>
      <c r="E7278" s="8"/>
      <c r="M7278" t="s">
        <v>481</v>
      </c>
      <c r="N7278" t="str">
        <f>Tabela_tudo[[#This Row],[Médico]]&amp;" ("&amp;Tabela_tudo[[#This Row],[Obs]]&amp;")"</f>
        <v>ORO ()</v>
      </c>
    </row>
    <row r="7279" spans="1:14" x14ac:dyDescent="0.3">
      <c r="A7279" s="1">
        <v>45096</v>
      </c>
      <c r="B7279" t="s">
        <v>9</v>
      </c>
      <c r="C7279" t="s">
        <v>10</v>
      </c>
      <c r="D7279" s="8"/>
      <c r="E7279" s="8"/>
      <c r="M7279" t="s">
        <v>481</v>
      </c>
      <c r="N7279" t="str">
        <f>Tabela_tudo[[#This Row],[Médico]]&amp;" ("&amp;Tabela_tudo[[#This Row],[Obs]]&amp;")"</f>
        <v>KRE ()</v>
      </c>
    </row>
    <row r="7280" spans="1:14" x14ac:dyDescent="0.3">
      <c r="A7280" s="1">
        <v>45128</v>
      </c>
      <c r="B7280" t="s">
        <v>38</v>
      </c>
      <c r="C7280" t="s">
        <v>464</v>
      </c>
      <c r="D7280" s="8"/>
      <c r="E7280" s="8"/>
      <c r="M7280" t="s">
        <v>481</v>
      </c>
      <c r="N7280" t="str">
        <f>Tabela_tudo[[#This Row],[Médico]]&amp;" ("&amp;Tabela_tudo[[#This Row],[Obs]]&amp;")"</f>
        <v>ORO ()</v>
      </c>
    </row>
    <row r="7281" spans="1:14" x14ac:dyDescent="0.3">
      <c r="A7281" s="1">
        <v>45204</v>
      </c>
      <c r="B7281" t="s">
        <v>39</v>
      </c>
      <c r="C7281" t="s">
        <v>13</v>
      </c>
      <c r="D7281" s="8"/>
      <c r="E7281" s="8"/>
      <c r="M7281" t="s">
        <v>479</v>
      </c>
      <c r="N7281" t="str">
        <f>Tabela_tudo[[#This Row],[Médico]]&amp;" ("&amp;Tabela_tudo[[#This Row],[Obs]]&amp;")"</f>
        <v>KLA ()</v>
      </c>
    </row>
    <row r="7282" spans="1:14" x14ac:dyDescent="0.3">
      <c r="A7282" s="1">
        <v>45135</v>
      </c>
      <c r="B7282" t="s">
        <v>96</v>
      </c>
      <c r="C7282" t="s">
        <v>464</v>
      </c>
      <c r="D7282" s="8"/>
      <c r="E7282" s="8"/>
      <c r="M7282" t="s">
        <v>477</v>
      </c>
      <c r="N7282" t="str">
        <f>Tabela_tudo[[#This Row],[Médico]]&amp;" ("&amp;Tabela_tudo[[#This Row],[Obs]]&amp;")"</f>
        <v>VF ()</v>
      </c>
    </row>
    <row r="7283" spans="1:14" x14ac:dyDescent="0.3">
      <c r="A7283" s="1">
        <v>45121</v>
      </c>
      <c r="B7283" t="s">
        <v>96</v>
      </c>
      <c r="C7283" t="s">
        <v>8</v>
      </c>
      <c r="D7283" s="8"/>
      <c r="E7283" s="8"/>
      <c r="M7283" t="s">
        <v>477</v>
      </c>
      <c r="N7283" t="str">
        <f>Tabela_tudo[[#This Row],[Médico]]&amp;" ("&amp;Tabela_tudo[[#This Row],[Obs]]&amp;")"</f>
        <v>VF ()</v>
      </c>
    </row>
    <row r="7284" spans="1:14" x14ac:dyDescent="0.3">
      <c r="A7284" s="1">
        <v>45136</v>
      </c>
      <c r="B7284" t="s">
        <v>96</v>
      </c>
      <c r="C7284" t="s">
        <v>464</v>
      </c>
      <c r="D7284" s="8"/>
      <c r="E7284" s="8"/>
      <c r="M7284" t="s">
        <v>477</v>
      </c>
      <c r="N7284" t="str">
        <f>Tabela_tudo[[#This Row],[Médico]]&amp;" ("&amp;Tabela_tudo[[#This Row],[Obs]]&amp;")"</f>
        <v>VF ()</v>
      </c>
    </row>
    <row r="7285" spans="1:14" x14ac:dyDescent="0.3">
      <c r="A7285" s="1">
        <v>45133</v>
      </c>
      <c r="B7285" t="s">
        <v>35</v>
      </c>
      <c r="C7285" t="s">
        <v>41</v>
      </c>
      <c r="D7285" s="8"/>
      <c r="E7285" s="8"/>
      <c r="M7285" t="s">
        <v>479</v>
      </c>
      <c r="N7285" t="str">
        <f>Tabela_tudo[[#This Row],[Médico]]&amp;" ("&amp;Tabela_tudo[[#This Row],[Obs]]&amp;")"</f>
        <v>FLA ()</v>
      </c>
    </row>
    <row r="7286" spans="1:14" x14ac:dyDescent="0.3">
      <c r="A7286" s="1">
        <v>45137</v>
      </c>
      <c r="B7286" t="s">
        <v>96</v>
      </c>
      <c r="C7286" t="s">
        <v>464</v>
      </c>
      <c r="D7286" s="8"/>
      <c r="E7286" s="8"/>
      <c r="M7286" t="s">
        <v>477</v>
      </c>
      <c r="N7286" t="str">
        <f>Tabela_tudo[[#This Row],[Médico]]&amp;" ("&amp;Tabela_tudo[[#This Row],[Obs]]&amp;")"</f>
        <v>VF ()</v>
      </c>
    </row>
    <row r="7287" spans="1:14" x14ac:dyDescent="0.3">
      <c r="A7287" s="1">
        <v>45133</v>
      </c>
      <c r="B7287" t="s">
        <v>9</v>
      </c>
      <c r="C7287" t="s">
        <v>41</v>
      </c>
      <c r="D7287" s="8"/>
      <c r="E7287" s="8"/>
      <c r="M7287" t="s">
        <v>481</v>
      </c>
      <c r="N7287" t="str">
        <f>Tabela_tudo[[#This Row],[Médico]]&amp;" ("&amp;Tabela_tudo[[#This Row],[Obs]]&amp;")"</f>
        <v>KRE ()</v>
      </c>
    </row>
    <row r="7288" spans="1:14" x14ac:dyDescent="0.3">
      <c r="A7288" s="1">
        <v>45134</v>
      </c>
      <c r="B7288" t="s">
        <v>96</v>
      </c>
      <c r="C7288" t="s">
        <v>464</v>
      </c>
      <c r="D7288" s="8"/>
      <c r="E7288" s="8"/>
      <c r="M7288" t="s">
        <v>477</v>
      </c>
      <c r="N7288" t="str">
        <f>Tabela_tudo[[#This Row],[Médico]]&amp;" ("&amp;Tabela_tudo[[#This Row],[Obs]]&amp;")"</f>
        <v>VF ()</v>
      </c>
    </row>
    <row r="7289" spans="1:14" x14ac:dyDescent="0.3">
      <c r="A7289" s="1">
        <v>45204</v>
      </c>
      <c r="B7289" t="s">
        <v>27</v>
      </c>
      <c r="C7289" t="s">
        <v>10</v>
      </c>
      <c r="D7289" s="8"/>
      <c r="E7289" s="8"/>
      <c r="M7289" t="s">
        <v>481</v>
      </c>
      <c r="N7289" t="str">
        <f>Tabela_tudo[[#This Row],[Médico]]&amp;" ("&amp;Tabela_tudo[[#This Row],[Obs]]&amp;")"</f>
        <v>KIL ()</v>
      </c>
    </row>
    <row r="7290" spans="1:14" x14ac:dyDescent="0.3">
      <c r="A7290" s="1">
        <v>45131</v>
      </c>
      <c r="B7290" t="s">
        <v>96</v>
      </c>
      <c r="C7290" t="s">
        <v>464</v>
      </c>
      <c r="D7290" s="8"/>
      <c r="E7290" s="8"/>
      <c r="M7290" t="s">
        <v>477</v>
      </c>
      <c r="N7290" t="str">
        <f>Tabela_tudo[[#This Row],[Médico]]&amp;" ("&amp;Tabela_tudo[[#This Row],[Obs]]&amp;")"</f>
        <v>VF ()</v>
      </c>
    </row>
    <row r="7291" spans="1:14" x14ac:dyDescent="0.3">
      <c r="A7291" s="1">
        <v>45204</v>
      </c>
      <c r="B7291" t="s">
        <v>35</v>
      </c>
      <c r="C7291" t="s">
        <v>10</v>
      </c>
      <c r="D7291" s="8"/>
      <c r="E7291" s="8"/>
      <c r="M7291" t="s">
        <v>479</v>
      </c>
      <c r="N7291" t="str">
        <f>Tabela_tudo[[#This Row],[Médico]]&amp;" ("&amp;Tabela_tudo[[#This Row],[Obs]]&amp;")"</f>
        <v>FLA ()</v>
      </c>
    </row>
    <row r="7292" spans="1:14" x14ac:dyDescent="0.3">
      <c r="A7292" s="1">
        <v>45132</v>
      </c>
      <c r="B7292" t="s">
        <v>96</v>
      </c>
      <c r="C7292" t="s">
        <v>464</v>
      </c>
      <c r="D7292" s="8"/>
      <c r="E7292" s="8"/>
      <c r="M7292" t="s">
        <v>477</v>
      </c>
      <c r="N7292" t="str">
        <f>Tabela_tudo[[#This Row],[Médico]]&amp;" ("&amp;Tabela_tudo[[#This Row],[Obs]]&amp;")"</f>
        <v>VF ()</v>
      </c>
    </row>
    <row r="7293" spans="1:14" x14ac:dyDescent="0.3">
      <c r="A7293" s="1">
        <v>45098</v>
      </c>
      <c r="B7293" t="s">
        <v>112</v>
      </c>
      <c r="C7293" t="s">
        <v>13</v>
      </c>
      <c r="D7293" s="8"/>
      <c r="E7293" s="8"/>
      <c r="M7293" t="s">
        <v>479</v>
      </c>
      <c r="N7293" t="str">
        <f>Tabela_tudo[[#This Row],[Médico]]&amp;" ("&amp;Tabela_tudo[[#This Row],[Obs]]&amp;")"</f>
        <v>FLE ()</v>
      </c>
    </row>
    <row r="7294" spans="1:14" x14ac:dyDescent="0.3">
      <c r="A7294" s="1">
        <v>45133</v>
      </c>
      <c r="B7294" t="s">
        <v>96</v>
      </c>
      <c r="C7294" t="s">
        <v>464</v>
      </c>
      <c r="D7294" s="8"/>
      <c r="E7294" s="8"/>
      <c r="M7294" t="s">
        <v>477</v>
      </c>
      <c r="N7294" t="str">
        <f>Tabela_tudo[[#This Row],[Médico]]&amp;" ("&amp;Tabela_tudo[[#This Row],[Obs]]&amp;")"</f>
        <v>VF ()</v>
      </c>
    </row>
    <row r="7295" spans="1:14" x14ac:dyDescent="0.3">
      <c r="A7295" s="1">
        <v>45204</v>
      </c>
      <c r="B7295" t="s">
        <v>59</v>
      </c>
      <c r="C7295" t="s">
        <v>8</v>
      </c>
      <c r="D7295" s="8"/>
      <c r="E7295" s="8"/>
      <c r="M7295" t="s">
        <v>477</v>
      </c>
      <c r="N7295" t="str">
        <f>Tabela_tudo[[#This Row],[Médico]]&amp;" ("&amp;Tabela_tudo[[#This Row],[Obs]]&amp;")"</f>
        <v>WEN ()</v>
      </c>
    </row>
    <row r="7296" spans="1:14" x14ac:dyDescent="0.3">
      <c r="A7296" s="1">
        <v>45158</v>
      </c>
      <c r="B7296" t="s">
        <v>57</v>
      </c>
      <c r="C7296" t="s">
        <v>464</v>
      </c>
      <c r="D7296" s="8"/>
      <c r="E7296" s="8"/>
      <c r="M7296" t="s">
        <v>477</v>
      </c>
      <c r="N7296" t="str">
        <f>Tabela_tudo[[#This Row],[Médico]]&amp;" ("&amp;Tabela_tudo[[#This Row],[Obs]]&amp;")"</f>
        <v>BED ()</v>
      </c>
    </row>
    <row r="7297" spans="1:14" x14ac:dyDescent="0.3">
      <c r="A7297" s="1">
        <v>45096</v>
      </c>
      <c r="B7297" t="s">
        <v>69</v>
      </c>
      <c r="C7297" t="s">
        <v>13</v>
      </c>
      <c r="D7297" s="8"/>
      <c r="E7297" s="8"/>
      <c r="M7297" t="s">
        <v>479</v>
      </c>
      <c r="N7297" t="str">
        <f>Tabela_tudo[[#This Row],[Médico]]&amp;" ("&amp;Tabela_tudo[[#This Row],[Obs]]&amp;")"</f>
        <v>PRE ()</v>
      </c>
    </row>
    <row r="7298" spans="1:14" x14ac:dyDescent="0.3">
      <c r="A7298" s="1">
        <v>45159</v>
      </c>
      <c r="B7298" t="s">
        <v>57</v>
      </c>
      <c r="C7298" t="s">
        <v>464</v>
      </c>
      <c r="D7298" s="8"/>
      <c r="E7298" s="8"/>
      <c r="M7298" t="s">
        <v>477</v>
      </c>
      <c r="N7298" t="str">
        <f>Tabela_tudo[[#This Row],[Médico]]&amp;" ("&amp;Tabela_tudo[[#This Row],[Obs]]&amp;")"</f>
        <v>BED ()</v>
      </c>
    </row>
    <row r="7299" spans="1:14" x14ac:dyDescent="0.3">
      <c r="A7299" s="1">
        <v>45133</v>
      </c>
      <c r="B7299" t="s">
        <v>61</v>
      </c>
      <c r="C7299" t="s">
        <v>8</v>
      </c>
      <c r="D7299" s="8"/>
      <c r="E7299" s="8"/>
      <c r="M7299" t="s">
        <v>477</v>
      </c>
      <c r="N7299" t="str">
        <f>Tabela_tudo[[#This Row],[Médico]]&amp;" ("&amp;Tabela_tudo[[#This Row],[Obs]]&amp;")"</f>
        <v>AD ()</v>
      </c>
    </row>
    <row r="7300" spans="1:14" x14ac:dyDescent="0.3">
      <c r="A7300" s="1">
        <v>45160</v>
      </c>
      <c r="B7300" t="s">
        <v>57</v>
      </c>
      <c r="C7300" t="s">
        <v>464</v>
      </c>
      <c r="D7300" s="8"/>
      <c r="E7300" s="8"/>
      <c r="M7300" t="s">
        <v>477</v>
      </c>
      <c r="N7300" t="str">
        <f>Tabela_tudo[[#This Row],[Médico]]&amp;" ("&amp;Tabela_tudo[[#This Row],[Obs]]&amp;")"</f>
        <v>BED ()</v>
      </c>
    </row>
    <row r="7301" spans="1:14" x14ac:dyDescent="0.3">
      <c r="A7301" s="1">
        <v>45133</v>
      </c>
      <c r="B7301" t="s">
        <v>36</v>
      </c>
      <c r="C7301" t="s">
        <v>13</v>
      </c>
      <c r="D7301" s="8"/>
      <c r="E7301" s="8"/>
      <c r="M7301" t="s">
        <v>481</v>
      </c>
      <c r="N7301" t="str">
        <f>Tabela_tudo[[#This Row],[Médico]]&amp;" ("&amp;Tabela_tudo[[#This Row],[Obs]]&amp;")"</f>
        <v>DRI ()</v>
      </c>
    </row>
    <row r="7302" spans="1:14" x14ac:dyDescent="0.3">
      <c r="A7302" s="1">
        <v>45157</v>
      </c>
      <c r="B7302" t="s">
        <v>57</v>
      </c>
      <c r="C7302" t="s">
        <v>464</v>
      </c>
      <c r="D7302" s="8"/>
      <c r="E7302" s="8"/>
      <c r="M7302" t="s">
        <v>477</v>
      </c>
      <c r="N7302" t="str">
        <f>Tabela_tudo[[#This Row],[Médico]]&amp;" ("&amp;Tabela_tudo[[#This Row],[Obs]]&amp;")"</f>
        <v>BED ()</v>
      </c>
    </row>
    <row r="7303" spans="1:14" x14ac:dyDescent="0.3">
      <c r="A7303" s="1">
        <v>45096</v>
      </c>
      <c r="B7303" t="s">
        <v>80</v>
      </c>
      <c r="C7303" t="s">
        <v>8</v>
      </c>
      <c r="D7303" s="8"/>
      <c r="E7303" s="8"/>
      <c r="M7303" t="s">
        <v>477</v>
      </c>
      <c r="N7303" t="str">
        <f>Tabela_tudo[[#This Row],[Médico]]&amp;" ("&amp;Tabela_tudo[[#This Row],[Obs]]&amp;")"</f>
        <v>REC ()</v>
      </c>
    </row>
    <row r="7304" spans="1:14" x14ac:dyDescent="0.3">
      <c r="A7304" s="1">
        <v>45154</v>
      </c>
      <c r="B7304" t="s">
        <v>57</v>
      </c>
      <c r="C7304" t="s">
        <v>464</v>
      </c>
      <c r="D7304" s="8"/>
      <c r="E7304" s="8"/>
      <c r="M7304" t="s">
        <v>477</v>
      </c>
      <c r="N7304" t="str">
        <f>Tabela_tudo[[#This Row],[Médico]]&amp;" ("&amp;Tabela_tudo[[#This Row],[Obs]]&amp;")"</f>
        <v>BED ()</v>
      </c>
    </row>
    <row r="7305" spans="1:14" x14ac:dyDescent="0.3">
      <c r="A7305" s="1">
        <v>45095</v>
      </c>
      <c r="B7305" t="s">
        <v>109</v>
      </c>
      <c r="C7305" t="s">
        <v>8</v>
      </c>
      <c r="D7305" s="8"/>
      <c r="E7305" s="8"/>
      <c r="M7305" t="s">
        <v>479</v>
      </c>
      <c r="N7305" t="str">
        <f>Tabela_tudo[[#This Row],[Médico]]&amp;" ("&amp;Tabela_tudo[[#This Row],[Obs]]&amp;")"</f>
        <v>CA ()</v>
      </c>
    </row>
    <row r="7306" spans="1:14" x14ac:dyDescent="0.3">
      <c r="A7306" s="1">
        <v>45155</v>
      </c>
      <c r="B7306" t="s">
        <v>57</v>
      </c>
      <c r="C7306" t="s">
        <v>464</v>
      </c>
      <c r="D7306" s="8"/>
      <c r="E7306" s="8"/>
      <c r="M7306" t="s">
        <v>477</v>
      </c>
      <c r="N7306" t="str">
        <f>Tabela_tudo[[#This Row],[Médico]]&amp;" ("&amp;Tabela_tudo[[#This Row],[Obs]]&amp;")"</f>
        <v>BED ()</v>
      </c>
    </row>
    <row r="7307" spans="1:14" x14ac:dyDescent="0.3">
      <c r="A7307" s="1">
        <v>45095</v>
      </c>
      <c r="B7307" t="s">
        <v>83</v>
      </c>
      <c r="C7307" t="s">
        <v>13</v>
      </c>
      <c r="D7307" s="8"/>
      <c r="E7307" s="8"/>
      <c r="M7307" t="s">
        <v>477</v>
      </c>
      <c r="N7307" t="str">
        <f>Tabela_tudo[[#This Row],[Médico]]&amp;" ("&amp;Tabela_tudo[[#This Row],[Obs]]&amp;")"</f>
        <v>MG ()</v>
      </c>
    </row>
    <row r="7308" spans="1:14" x14ac:dyDescent="0.3">
      <c r="A7308" s="1">
        <v>45156</v>
      </c>
      <c r="B7308" t="s">
        <v>57</v>
      </c>
      <c r="C7308" t="s">
        <v>464</v>
      </c>
      <c r="D7308" s="8"/>
      <c r="E7308" s="8"/>
      <c r="M7308" t="s">
        <v>477</v>
      </c>
      <c r="N7308" t="str">
        <f>Tabela_tudo[[#This Row],[Médico]]&amp;" ("&amp;Tabela_tudo[[#This Row],[Obs]]&amp;")"</f>
        <v>BED ()</v>
      </c>
    </row>
    <row r="7309" spans="1:14" x14ac:dyDescent="0.3">
      <c r="A7309" s="1">
        <v>45133</v>
      </c>
      <c r="B7309" t="s">
        <v>40</v>
      </c>
      <c r="C7309" t="s">
        <v>10</v>
      </c>
      <c r="D7309" s="8"/>
      <c r="E7309" s="8"/>
      <c r="M7309" t="s">
        <v>481</v>
      </c>
      <c r="N7309" t="str">
        <f>Tabela_tudo[[#This Row],[Médico]]&amp;" ("&amp;Tabela_tudo[[#This Row],[Obs]]&amp;")"</f>
        <v>EMA ()</v>
      </c>
    </row>
    <row r="7310" spans="1:14" x14ac:dyDescent="0.3">
      <c r="A7310" s="1">
        <v>45136</v>
      </c>
      <c r="B7310" t="s">
        <v>112</v>
      </c>
      <c r="C7310" t="s">
        <v>464</v>
      </c>
      <c r="D7310" s="8"/>
      <c r="E7310" s="8"/>
      <c r="M7310" t="s">
        <v>479</v>
      </c>
      <c r="N7310" t="str">
        <f>Tabela_tudo[[#This Row],[Médico]]&amp;" ("&amp;Tabela_tudo[[#This Row],[Obs]]&amp;")"</f>
        <v>FLE ()</v>
      </c>
    </row>
    <row r="7311" spans="1:14" x14ac:dyDescent="0.3">
      <c r="A7311" s="1">
        <v>45095</v>
      </c>
      <c r="B7311" t="s">
        <v>27</v>
      </c>
      <c r="C7311" t="s">
        <v>78</v>
      </c>
      <c r="D7311" s="8"/>
      <c r="E7311" s="8"/>
      <c r="M7311" t="s">
        <v>481</v>
      </c>
      <c r="N7311" t="str">
        <f>Tabela_tudo[[#This Row],[Médico]]&amp;" ("&amp;Tabela_tudo[[#This Row],[Obs]]&amp;")"</f>
        <v>KIL ()</v>
      </c>
    </row>
    <row r="7312" spans="1:14" x14ac:dyDescent="0.3">
      <c r="A7312" s="1">
        <v>45137</v>
      </c>
      <c r="B7312" t="s">
        <v>112</v>
      </c>
      <c r="C7312" t="s">
        <v>464</v>
      </c>
      <c r="D7312" s="8"/>
      <c r="E7312" s="8"/>
      <c r="M7312" t="s">
        <v>479</v>
      </c>
      <c r="N7312" t="str">
        <f>Tabela_tudo[[#This Row],[Médico]]&amp;" ("&amp;Tabela_tudo[[#This Row],[Obs]]&amp;")"</f>
        <v>FLE ()</v>
      </c>
    </row>
    <row r="7313" spans="1:14" x14ac:dyDescent="0.3">
      <c r="A7313" s="1">
        <v>45211</v>
      </c>
      <c r="B7313" t="s">
        <v>27</v>
      </c>
      <c r="C7313" t="s">
        <v>10</v>
      </c>
      <c r="D7313" s="8"/>
      <c r="E7313" s="8"/>
      <c r="M7313" t="s">
        <v>481</v>
      </c>
      <c r="N7313" t="str">
        <f>Tabela_tudo[[#This Row],[Médico]]&amp;" ("&amp;Tabela_tudo[[#This Row],[Obs]]&amp;")"</f>
        <v>KIL ()</v>
      </c>
    </row>
    <row r="7314" spans="1:14" x14ac:dyDescent="0.3">
      <c r="A7314" s="1">
        <v>45123</v>
      </c>
      <c r="B7314" t="s">
        <v>96</v>
      </c>
      <c r="C7314" t="s">
        <v>464</v>
      </c>
      <c r="D7314" s="8"/>
      <c r="E7314" s="8"/>
      <c r="M7314" t="s">
        <v>477</v>
      </c>
      <c r="N7314" t="str">
        <f>Tabela_tudo[[#This Row],[Médico]]&amp;" ("&amp;Tabela_tudo[[#This Row],[Obs]]&amp;")"</f>
        <v>VF ()</v>
      </c>
    </row>
    <row r="7315" spans="1:14" x14ac:dyDescent="0.3">
      <c r="A7315" s="1">
        <v>45215</v>
      </c>
      <c r="B7315" t="s">
        <v>39</v>
      </c>
      <c r="C7315" t="s">
        <v>41</v>
      </c>
      <c r="D7315" s="8"/>
      <c r="E7315" s="8"/>
      <c r="M7315" t="s">
        <v>479</v>
      </c>
      <c r="N7315" t="str">
        <f>Tabela_tudo[[#This Row],[Médico]]&amp;" ("&amp;Tabela_tudo[[#This Row],[Obs]]&amp;")"</f>
        <v>KLA ()</v>
      </c>
    </row>
    <row r="7316" spans="1:14" x14ac:dyDescent="0.3">
      <c r="A7316" s="1">
        <v>45135</v>
      </c>
      <c r="B7316" t="s">
        <v>112</v>
      </c>
      <c r="C7316" t="s">
        <v>464</v>
      </c>
      <c r="D7316" s="8"/>
      <c r="E7316" s="8"/>
      <c r="M7316" t="s">
        <v>479</v>
      </c>
      <c r="N7316" t="str">
        <f>Tabela_tudo[[#This Row],[Médico]]&amp;" ("&amp;Tabela_tudo[[#This Row],[Obs]]&amp;")"</f>
        <v>FLE ()</v>
      </c>
    </row>
    <row r="7317" spans="1:14" x14ac:dyDescent="0.3">
      <c r="A7317" s="1">
        <v>45091</v>
      </c>
      <c r="B7317" t="s">
        <v>36</v>
      </c>
      <c r="C7317" t="s">
        <v>10</v>
      </c>
      <c r="D7317" s="8"/>
      <c r="E7317" s="8"/>
      <c r="M7317" t="s">
        <v>481</v>
      </c>
      <c r="N7317" t="str">
        <f>Tabela_tudo[[#This Row],[Médico]]&amp;" ("&amp;Tabela_tudo[[#This Row],[Obs]]&amp;")"</f>
        <v>DRI ()</v>
      </c>
    </row>
    <row r="7318" spans="1:14" x14ac:dyDescent="0.3">
      <c r="A7318" s="1">
        <v>45132</v>
      </c>
      <c r="B7318" t="s">
        <v>112</v>
      </c>
      <c r="C7318" t="s">
        <v>464</v>
      </c>
      <c r="D7318" s="8"/>
      <c r="E7318" s="8"/>
      <c r="M7318" t="s">
        <v>479</v>
      </c>
      <c r="N7318" t="str">
        <f>Tabela_tudo[[#This Row],[Médico]]&amp;" ("&amp;Tabela_tudo[[#This Row],[Obs]]&amp;")"</f>
        <v>FLE ()</v>
      </c>
    </row>
    <row r="7319" spans="1:14" x14ac:dyDescent="0.3">
      <c r="A7319" s="1">
        <v>45215</v>
      </c>
      <c r="B7319" t="s">
        <v>57</v>
      </c>
      <c r="C7319" t="s">
        <v>41</v>
      </c>
      <c r="D7319" s="8"/>
      <c r="E7319" s="8"/>
      <c r="M7319" t="s">
        <v>477</v>
      </c>
      <c r="N7319" t="str">
        <f>Tabela_tudo[[#This Row],[Médico]]&amp;" ("&amp;Tabela_tudo[[#This Row],[Obs]]&amp;")"</f>
        <v>BED ()</v>
      </c>
    </row>
    <row r="7320" spans="1:14" x14ac:dyDescent="0.3">
      <c r="A7320" s="1">
        <v>45133</v>
      </c>
      <c r="B7320" t="s">
        <v>112</v>
      </c>
      <c r="C7320" t="s">
        <v>464</v>
      </c>
      <c r="D7320" s="8"/>
      <c r="E7320" s="8"/>
      <c r="M7320" t="s">
        <v>479</v>
      </c>
      <c r="N7320" t="str">
        <f>Tabela_tudo[[#This Row],[Médico]]&amp;" ("&amp;Tabela_tudo[[#This Row],[Obs]]&amp;")"</f>
        <v>FLE ()</v>
      </c>
    </row>
    <row r="7321" spans="1:14" x14ac:dyDescent="0.3">
      <c r="A7321" s="1">
        <v>45215</v>
      </c>
      <c r="B7321" t="s">
        <v>38</v>
      </c>
      <c r="C7321" t="s">
        <v>41</v>
      </c>
      <c r="D7321" s="8"/>
      <c r="E7321" s="8"/>
      <c r="M7321" t="s">
        <v>481</v>
      </c>
      <c r="N7321" t="str">
        <f>Tabela_tudo[[#This Row],[Médico]]&amp;" ("&amp;Tabela_tudo[[#This Row],[Obs]]&amp;")"</f>
        <v>ORO ()</v>
      </c>
    </row>
    <row r="7322" spans="1:14" x14ac:dyDescent="0.3">
      <c r="A7322" s="1">
        <v>45134</v>
      </c>
      <c r="B7322" t="s">
        <v>112</v>
      </c>
      <c r="C7322" t="s">
        <v>464</v>
      </c>
      <c r="D7322" s="8"/>
      <c r="E7322" s="8"/>
      <c r="M7322" t="s">
        <v>479</v>
      </c>
      <c r="N7322" t="str">
        <f>Tabela_tudo[[#This Row],[Médico]]&amp;" ("&amp;Tabela_tudo[[#This Row],[Obs]]&amp;")"</f>
        <v>FLE ()</v>
      </c>
    </row>
    <row r="7323" spans="1:14" x14ac:dyDescent="0.3">
      <c r="A7323" s="1">
        <v>45153</v>
      </c>
      <c r="B7323" t="s">
        <v>62</v>
      </c>
      <c r="C7323" t="s">
        <v>41</v>
      </c>
      <c r="D7323" s="8"/>
      <c r="E7323" s="8"/>
      <c r="M7323" t="s">
        <v>477</v>
      </c>
      <c r="N7323" t="str">
        <f>Tabela_tudo[[#This Row],[Médico]]&amp;" ("&amp;Tabela_tudo[[#This Row],[Obs]]&amp;")"</f>
        <v>RKS ()</v>
      </c>
    </row>
    <row r="7324" spans="1:14" x14ac:dyDescent="0.3">
      <c r="A7324" s="1">
        <v>45128</v>
      </c>
      <c r="B7324" t="s">
        <v>96</v>
      </c>
      <c r="C7324" t="s">
        <v>464</v>
      </c>
      <c r="D7324" s="8"/>
      <c r="E7324" s="8"/>
      <c r="M7324" t="s">
        <v>477</v>
      </c>
      <c r="N7324" t="str">
        <f>Tabela_tudo[[#This Row],[Médico]]&amp;" ("&amp;Tabela_tudo[[#This Row],[Obs]]&amp;")"</f>
        <v>VF ()</v>
      </c>
    </row>
    <row r="7325" spans="1:14" x14ac:dyDescent="0.3">
      <c r="A7325" s="1">
        <v>45221</v>
      </c>
      <c r="B7325" t="s">
        <v>80</v>
      </c>
      <c r="C7325" t="s">
        <v>13</v>
      </c>
      <c r="D7325" s="8"/>
      <c r="E7325" s="8"/>
      <c r="M7325" t="s">
        <v>477</v>
      </c>
      <c r="N7325" t="str">
        <f>Tabela_tudo[[#This Row],[Médico]]&amp;" ("&amp;Tabela_tudo[[#This Row],[Obs]]&amp;")"</f>
        <v>REC ()</v>
      </c>
    </row>
    <row r="7326" spans="1:14" x14ac:dyDescent="0.3">
      <c r="A7326" s="1">
        <v>45129</v>
      </c>
      <c r="B7326" t="s">
        <v>96</v>
      </c>
      <c r="C7326" t="s">
        <v>464</v>
      </c>
      <c r="D7326" s="8"/>
      <c r="E7326" s="8"/>
      <c r="M7326" t="s">
        <v>477</v>
      </c>
      <c r="N7326" t="str">
        <f>Tabela_tudo[[#This Row],[Médico]]&amp;" ("&amp;Tabela_tudo[[#This Row],[Obs]]&amp;")"</f>
        <v>VF ()</v>
      </c>
    </row>
    <row r="7327" spans="1:14" x14ac:dyDescent="0.3">
      <c r="A7327" s="1">
        <v>45091</v>
      </c>
      <c r="B7327" t="s">
        <v>9</v>
      </c>
      <c r="C7327" t="s">
        <v>10</v>
      </c>
      <c r="D7327" s="8"/>
      <c r="E7327" s="8"/>
      <c r="M7327" t="s">
        <v>481</v>
      </c>
      <c r="N7327" t="str">
        <f>Tabela_tudo[[#This Row],[Médico]]&amp;" ("&amp;Tabela_tudo[[#This Row],[Obs]]&amp;")"</f>
        <v>KRE ()</v>
      </c>
    </row>
    <row r="7328" spans="1:14" x14ac:dyDescent="0.3">
      <c r="A7328" s="1">
        <v>45130</v>
      </c>
      <c r="B7328" t="s">
        <v>96</v>
      </c>
      <c r="C7328" t="s">
        <v>464</v>
      </c>
      <c r="D7328" s="8"/>
      <c r="E7328" s="8"/>
      <c r="M7328" t="s">
        <v>477</v>
      </c>
      <c r="N7328" t="str">
        <f>Tabela_tudo[[#This Row],[Médico]]&amp;" ("&amp;Tabela_tudo[[#This Row],[Obs]]&amp;")"</f>
        <v>VF ()</v>
      </c>
    </row>
    <row r="7329" spans="1:14" x14ac:dyDescent="0.3">
      <c r="A7329" s="1">
        <v>45153</v>
      </c>
      <c r="B7329" t="s">
        <v>69</v>
      </c>
      <c r="C7329" t="s">
        <v>41</v>
      </c>
      <c r="D7329" s="8"/>
      <c r="E7329" s="8"/>
      <c r="M7329" t="s">
        <v>479</v>
      </c>
      <c r="N7329" t="str">
        <f>Tabela_tudo[[#This Row],[Médico]]&amp;" ("&amp;Tabela_tudo[[#This Row],[Obs]]&amp;")"</f>
        <v>PRE ()</v>
      </c>
    </row>
    <row r="7330" spans="1:14" x14ac:dyDescent="0.3">
      <c r="A7330" s="1">
        <v>45127</v>
      </c>
      <c r="B7330" t="s">
        <v>96</v>
      </c>
      <c r="C7330" t="s">
        <v>464</v>
      </c>
      <c r="D7330" s="8"/>
      <c r="E7330" s="8"/>
      <c r="M7330" t="s">
        <v>477</v>
      </c>
      <c r="N7330" t="str">
        <f>Tabela_tudo[[#This Row],[Médico]]&amp;" ("&amp;Tabela_tudo[[#This Row],[Obs]]&amp;")"</f>
        <v>VF ()</v>
      </c>
    </row>
    <row r="7331" spans="1:14" x14ac:dyDescent="0.3">
      <c r="A7331" s="1">
        <v>45091</v>
      </c>
      <c r="B7331" t="s">
        <v>96</v>
      </c>
      <c r="C7331" t="s">
        <v>41</v>
      </c>
      <c r="D7331" s="8"/>
      <c r="E7331" s="8"/>
      <c r="M7331" t="s">
        <v>477</v>
      </c>
      <c r="N7331" t="str">
        <f>Tabela_tudo[[#This Row],[Médico]]&amp;" ("&amp;Tabela_tudo[[#This Row],[Obs]]&amp;")"</f>
        <v>VF ()</v>
      </c>
    </row>
    <row r="7332" spans="1:14" x14ac:dyDescent="0.3">
      <c r="A7332" s="1">
        <v>45124</v>
      </c>
      <c r="B7332" t="s">
        <v>96</v>
      </c>
      <c r="C7332" t="s">
        <v>464</v>
      </c>
      <c r="D7332" s="8"/>
      <c r="E7332" s="8"/>
      <c r="M7332" t="s">
        <v>477</v>
      </c>
      <c r="N7332" t="str">
        <f>Tabela_tudo[[#This Row],[Médico]]&amp;" ("&amp;Tabela_tudo[[#This Row],[Obs]]&amp;")"</f>
        <v>VF ()</v>
      </c>
    </row>
    <row r="7333" spans="1:14" x14ac:dyDescent="0.3">
      <c r="A7333" s="1">
        <v>45091</v>
      </c>
      <c r="B7333" t="s">
        <v>109</v>
      </c>
      <c r="C7333" t="s">
        <v>10</v>
      </c>
      <c r="D7333" s="8"/>
      <c r="E7333" s="8"/>
      <c r="M7333" t="s">
        <v>479</v>
      </c>
      <c r="N7333" t="str">
        <f>Tabela_tudo[[#This Row],[Médico]]&amp;" ("&amp;Tabela_tudo[[#This Row],[Obs]]&amp;")"</f>
        <v>CA ()</v>
      </c>
    </row>
    <row r="7334" spans="1:14" x14ac:dyDescent="0.3">
      <c r="A7334" s="1">
        <v>45125</v>
      </c>
      <c r="B7334" t="s">
        <v>96</v>
      </c>
      <c r="C7334" t="s">
        <v>464</v>
      </c>
      <c r="D7334" s="8"/>
      <c r="E7334" s="8"/>
      <c r="M7334" t="s">
        <v>477</v>
      </c>
      <c r="N7334" t="str">
        <f>Tabela_tudo[[#This Row],[Médico]]&amp;" ("&amp;Tabela_tudo[[#This Row],[Obs]]&amp;")"</f>
        <v>VF ()</v>
      </c>
    </row>
    <row r="7335" spans="1:14" x14ac:dyDescent="0.3">
      <c r="A7335" s="1">
        <v>45169</v>
      </c>
      <c r="B7335" t="s">
        <v>79</v>
      </c>
      <c r="C7335" t="s">
        <v>10</v>
      </c>
      <c r="D7335" s="8"/>
      <c r="E7335" s="8"/>
      <c r="M7335" t="s">
        <v>481</v>
      </c>
      <c r="N7335" t="str">
        <f>Tabela_tudo[[#This Row],[Médico]]&amp;" ("&amp;Tabela_tudo[[#This Row],[Obs]]&amp;")"</f>
        <v>MTB ()</v>
      </c>
    </row>
    <row r="7336" spans="1:14" x14ac:dyDescent="0.3">
      <c r="A7336" s="1">
        <v>45126</v>
      </c>
      <c r="B7336" t="s">
        <v>96</v>
      </c>
      <c r="C7336" t="s">
        <v>464</v>
      </c>
      <c r="D7336" s="8"/>
      <c r="E7336" s="8"/>
      <c r="M7336" t="s">
        <v>477</v>
      </c>
      <c r="N7336" t="str">
        <f>Tabela_tudo[[#This Row],[Médico]]&amp;" ("&amp;Tabela_tudo[[#This Row],[Obs]]&amp;")"</f>
        <v>VF ()</v>
      </c>
    </row>
    <row r="7337" spans="1:14" x14ac:dyDescent="0.3">
      <c r="A7337" s="1">
        <v>45091</v>
      </c>
      <c r="B7337" t="s">
        <v>40</v>
      </c>
      <c r="C7337" t="s">
        <v>41</v>
      </c>
      <c r="D7337" s="8"/>
      <c r="E7337" s="8"/>
      <c r="M7337" t="s">
        <v>481</v>
      </c>
      <c r="N7337" t="str">
        <f>Tabela_tudo[[#This Row],[Médico]]&amp;" ("&amp;Tabela_tudo[[#This Row],[Obs]]&amp;")"</f>
        <v>EMA ()</v>
      </c>
    </row>
    <row r="7338" spans="1:14" x14ac:dyDescent="0.3">
      <c r="A7338" s="1">
        <v>45111</v>
      </c>
      <c r="B7338" t="s">
        <v>62</v>
      </c>
      <c r="C7338" t="s">
        <v>464</v>
      </c>
      <c r="D7338" s="8"/>
      <c r="E7338" s="8"/>
      <c r="M7338" t="s">
        <v>477</v>
      </c>
      <c r="N7338" t="str">
        <f>Tabela_tudo[[#This Row],[Médico]]&amp;" ("&amp;Tabela_tudo[[#This Row],[Obs]]&amp;")"</f>
        <v>RKS ()</v>
      </c>
    </row>
    <row r="7339" spans="1:14" x14ac:dyDescent="0.3">
      <c r="A7339" s="1">
        <v>45215</v>
      </c>
      <c r="B7339" t="s">
        <v>27</v>
      </c>
      <c r="C7339" t="s">
        <v>10</v>
      </c>
      <c r="D7339" s="8"/>
      <c r="E7339" s="8"/>
      <c r="M7339" t="s">
        <v>481</v>
      </c>
      <c r="N7339" t="str">
        <f>Tabela_tudo[[#This Row],[Médico]]&amp;" ("&amp;Tabela_tudo[[#This Row],[Obs]]&amp;")"</f>
        <v>KIL ()</v>
      </c>
    </row>
    <row r="7340" spans="1:14" x14ac:dyDescent="0.3">
      <c r="A7340" s="1">
        <v>45112</v>
      </c>
      <c r="B7340" t="s">
        <v>62</v>
      </c>
      <c r="C7340" t="s">
        <v>464</v>
      </c>
      <c r="D7340" s="8"/>
      <c r="E7340" s="8"/>
      <c r="M7340" t="s">
        <v>477</v>
      </c>
      <c r="N7340" t="str">
        <f>Tabela_tudo[[#This Row],[Médico]]&amp;" ("&amp;Tabela_tudo[[#This Row],[Obs]]&amp;")"</f>
        <v>RKS ()</v>
      </c>
    </row>
    <row r="7341" spans="1:14" x14ac:dyDescent="0.3">
      <c r="A7341" s="1">
        <v>45215</v>
      </c>
      <c r="B7341" t="s">
        <v>9</v>
      </c>
      <c r="C7341" t="s">
        <v>10</v>
      </c>
      <c r="D7341" s="8"/>
      <c r="E7341" s="8"/>
      <c r="M7341" t="s">
        <v>481</v>
      </c>
      <c r="N7341" t="str">
        <f>Tabela_tudo[[#This Row],[Médico]]&amp;" ("&amp;Tabela_tudo[[#This Row],[Obs]]&amp;")"</f>
        <v>KRE ()</v>
      </c>
    </row>
    <row r="7342" spans="1:14" x14ac:dyDescent="0.3">
      <c r="A7342" s="1">
        <v>45113</v>
      </c>
      <c r="B7342" t="s">
        <v>62</v>
      </c>
      <c r="C7342" t="s">
        <v>464</v>
      </c>
      <c r="D7342" s="8"/>
      <c r="E7342" s="8"/>
      <c r="M7342" t="s">
        <v>477</v>
      </c>
      <c r="N7342" t="str">
        <f>Tabela_tudo[[#This Row],[Médico]]&amp;" ("&amp;Tabela_tudo[[#This Row],[Obs]]&amp;")"</f>
        <v>RKS ()</v>
      </c>
    </row>
    <row r="7343" spans="1:14" x14ac:dyDescent="0.3">
      <c r="A7343" s="1">
        <v>45215</v>
      </c>
      <c r="B7343" t="s">
        <v>80</v>
      </c>
      <c r="C7343" t="s">
        <v>13</v>
      </c>
      <c r="D7343" s="8"/>
      <c r="E7343" s="8"/>
      <c r="M7343" t="s">
        <v>477</v>
      </c>
      <c r="N7343" t="str">
        <f>Tabela_tudo[[#This Row],[Médico]]&amp;" ("&amp;Tabela_tudo[[#This Row],[Obs]]&amp;")"</f>
        <v>REC ()</v>
      </c>
    </row>
    <row r="7344" spans="1:14" x14ac:dyDescent="0.3">
      <c r="A7344" s="1">
        <v>45110</v>
      </c>
      <c r="B7344" t="s">
        <v>62</v>
      </c>
      <c r="C7344" t="s">
        <v>464</v>
      </c>
      <c r="D7344" s="8"/>
      <c r="E7344" s="8"/>
      <c r="M7344" t="s">
        <v>477</v>
      </c>
      <c r="N7344" t="str">
        <f>Tabela_tudo[[#This Row],[Médico]]&amp;" ("&amp;Tabela_tudo[[#This Row],[Obs]]&amp;")"</f>
        <v>RKS ()</v>
      </c>
    </row>
    <row r="7345" spans="1:14" x14ac:dyDescent="0.3">
      <c r="A7345" s="1">
        <v>45215</v>
      </c>
      <c r="B7345" t="s">
        <v>103</v>
      </c>
      <c r="C7345" t="s">
        <v>8</v>
      </c>
      <c r="D7345" s="8"/>
      <c r="E7345" s="8"/>
      <c r="M7345" t="s">
        <v>481</v>
      </c>
      <c r="N7345" t="str">
        <f>Tabela_tudo[[#This Row],[Médico]]&amp;" ("&amp;Tabela_tudo[[#This Row],[Obs]]&amp;")"</f>
        <v>CAD ()</v>
      </c>
    </row>
    <row r="7346" spans="1:14" x14ac:dyDescent="0.3">
      <c r="A7346" s="1">
        <v>45122</v>
      </c>
      <c r="B7346" t="s">
        <v>36</v>
      </c>
      <c r="C7346" t="s">
        <v>464</v>
      </c>
      <c r="D7346" s="8"/>
      <c r="E7346" s="8"/>
      <c r="M7346" t="s">
        <v>481</v>
      </c>
      <c r="N7346" t="str">
        <f>Tabela_tudo[[#This Row],[Médico]]&amp;" ("&amp;Tabela_tudo[[#This Row],[Obs]]&amp;")"</f>
        <v>DRI ()</v>
      </c>
    </row>
    <row r="7347" spans="1:14" x14ac:dyDescent="0.3">
      <c r="A7347" s="1">
        <v>45221</v>
      </c>
      <c r="B7347" t="s">
        <v>35</v>
      </c>
      <c r="C7347" t="s">
        <v>8</v>
      </c>
      <c r="D7347" s="8"/>
      <c r="E7347" s="8"/>
      <c r="M7347" t="s">
        <v>479</v>
      </c>
      <c r="N7347" t="str">
        <f>Tabela_tudo[[#This Row],[Médico]]&amp;" ("&amp;Tabela_tudo[[#This Row],[Obs]]&amp;")"</f>
        <v>FLA ()</v>
      </c>
    </row>
    <row r="7348" spans="1:14" x14ac:dyDescent="0.3">
      <c r="A7348" s="1">
        <v>45108</v>
      </c>
      <c r="B7348" t="s">
        <v>62</v>
      </c>
      <c r="C7348" t="s">
        <v>464</v>
      </c>
      <c r="D7348" s="8"/>
      <c r="E7348" s="8"/>
      <c r="M7348" t="s">
        <v>477</v>
      </c>
      <c r="N7348" t="str">
        <f>Tabela_tudo[[#This Row],[Médico]]&amp;" ("&amp;Tabela_tudo[[#This Row],[Obs]]&amp;")"</f>
        <v>RKS ()</v>
      </c>
    </row>
    <row r="7349" spans="1:14" x14ac:dyDescent="0.3">
      <c r="A7349" s="1">
        <v>45153</v>
      </c>
      <c r="B7349" t="s">
        <v>36</v>
      </c>
      <c r="C7349" t="s">
        <v>10</v>
      </c>
      <c r="D7349" s="8"/>
      <c r="E7349" s="8"/>
      <c r="M7349" t="s">
        <v>481</v>
      </c>
      <c r="N7349" t="str">
        <f>Tabela_tudo[[#This Row],[Médico]]&amp;" ("&amp;Tabela_tudo[[#This Row],[Obs]]&amp;")"</f>
        <v>DRI ()</v>
      </c>
    </row>
    <row r="7350" spans="1:14" x14ac:dyDescent="0.3">
      <c r="A7350" s="1">
        <v>45109</v>
      </c>
      <c r="B7350" t="s">
        <v>62</v>
      </c>
      <c r="C7350" t="s">
        <v>464</v>
      </c>
      <c r="D7350" s="8"/>
      <c r="E7350" s="8"/>
      <c r="M7350" t="s">
        <v>477</v>
      </c>
      <c r="N7350" t="str">
        <f>Tabela_tudo[[#This Row],[Médico]]&amp;" ("&amp;Tabela_tudo[[#This Row],[Obs]]&amp;")"</f>
        <v>RKS ()</v>
      </c>
    </row>
    <row r="7351" spans="1:14" x14ac:dyDescent="0.3">
      <c r="A7351" s="1">
        <v>45153</v>
      </c>
      <c r="B7351" t="s">
        <v>40</v>
      </c>
      <c r="C7351" t="s">
        <v>10</v>
      </c>
      <c r="D7351" s="8"/>
      <c r="E7351" s="8"/>
      <c r="M7351" t="s">
        <v>481</v>
      </c>
      <c r="N7351" t="str">
        <f>Tabela_tudo[[#This Row],[Médico]]&amp;" ("&amp;Tabela_tudo[[#This Row],[Obs]]&amp;")"</f>
        <v>EMA ()</v>
      </c>
    </row>
    <row r="7352" spans="1:14" x14ac:dyDescent="0.3">
      <c r="A7352" s="1">
        <v>45118</v>
      </c>
      <c r="B7352" t="s">
        <v>62</v>
      </c>
      <c r="C7352" t="s">
        <v>464</v>
      </c>
      <c r="D7352" s="8"/>
      <c r="E7352" s="8"/>
      <c r="M7352" t="s">
        <v>477</v>
      </c>
      <c r="N7352" t="str">
        <f>Tabela_tudo[[#This Row],[Médico]]&amp;" ("&amp;Tabela_tudo[[#This Row],[Obs]]&amp;")"</f>
        <v>RKS ()</v>
      </c>
    </row>
    <row r="7353" spans="1:14" x14ac:dyDescent="0.3">
      <c r="A7353" s="1">
        <v>45220</v>
      </c>
      <c r="B7353" t="s">
        <v>9</v>
      </c>
      <c r="C7353" t="s">
        <v>10</v>
      </c>
      <c r="D7353" s="8"/>
      <c r="E7353" s="8"/>
      <c r="M7353" t="s">
        <v>481</v>
      </c>
      <c r="N7353" t="str">
        <f>Tabela_tudo[[#This Row],[Médico]]&amp;" ("&amp;Tabela_tudo[[#This Row],[Obs]]&amp;")"</f>
        <v>KRE ()</v>
      </c>
    </row>
    <row r="7354" spans="1:14" x14ac:dyDescent="0.3">
      <c r="A7354" s="1">
        <v>45119</v>
      </c>
      <c r="B7354" t="s">
        <v>62</v>
      </c>
      <c r="C7354" t="s">
        <v>464</v>
      </c>
      <c r="D7354" s="8"/>
      <c r="E7354" s="8"/>
      <c r="M7354" t="s">
        <v>477</v>
      </c>
      <c r="N7354" t="str">
        <f>Tabela_tudo[[#This Row],[Médico]]&amp;" ("&amp;Tabela_tudo[[#This Row],[Obs]]&amp;")"</f>
        <v>RKS ()</v>
      </c>
    </row>
    <row r="7355" spans="1:14" x14ac:dyDescent="0.3">
      <c r="A7355" s="1">
        <v>45153</v>
      </c>
      <c r="B7355" t="s">
        <v>79</v>
      </c>
      <c r="C7355" t="s">
        <v>10</v>
      </c>
      <c r="D7355" s="8"/>
      <c r="E7355" s="8"/>
      <c r="M7355" t="s">
        <v>481</v>
      </c>
      <c r="N7355" t="str">
        <f>Tabela_tudo[[#This Row],[Médico]]&amp;" ("&amp;Tabela_tudo[[#This Row],[Obs]]&amp;")"</f>
        <v>MTB ()</v>
      </c>
    </row>
    <row r="7356" spans="1:14" x14ac:dyDescent="0.3">
      <c r="A7356" s="1">
        <v>45120</v>
      </c>
      <c r="B7356" t="s">
        <v>62</v>
      </c>
      <c r="C7356" t="s">
        <v>464</v>
      </c>
      <c r="D7356" s="8"/>
      <c r="E7356" s="8"/>
      <c r="M7356" t="s">
        <v>477</v>
      </c>
      <c r="N7356" t="str">
        <f>Tabela_tudo[[#This Row],[Médico]]&amp;" ("&amp;Tabela_tudo[[#This Row],[Obs]]&amp;")"</f>
        <v>RKS ()</v>
      </c>
    </row>
    <row r="7357" spans="1:14" x14ac:dyDescent="0.3">
      <c r="A7357" s="1">
        <v>45228</v>
      </c>
      <c r="B7357" t="s">
        <v>103</v>
      </c>
      <c r="C7357" t="s">
        <v>78</v>
      </c>
      <c r="D7357" s="8"/>
      <c r="E7357" s="8"/>
      <c r="M7357" t="s">
        <v>481</v>
      </c>
      <c r="N7357" t="str">
        <f>Tabela_tudo[[#This Row],[Médico]]&amp;" ("&amp;Tabela_tudo[[#This Row],[Obs]]&amp;")"</f>
        <v>CAD ()</v>
      </c>
    </row>
    <row r="7358" spans="1:14" x14ac:dyDescent="0.3">
      <c r="A7358" s="1">
        <v>45117</v>
      </c>
      <c r="B7358" t="s">
        <v>62</v>
      </c>
      <c r="C7358" t="s">
        <v>464</v>
      </c>
      <c r="D7358" s="8"/>
      <c r="E7358" s="8"/>
      <c r="M7358" t="s">
        <v>477</v>
      </c>
      <c r="N7358" t="str">
        <f>Tabela_tudo[[#This Row],[Médico]]&amp;" ("&amp;Tabela_tudo[[#This Row],[Obs]]&amp;")"</f>
        <v>RKS ()</v>
      </c>
    </row>
    <row r="7359" spans="1:14" x14ac:dyDescent="0.3">
      <c r="A7359" s="1">
        <v>45153</v>
      </c>
      <c r="B7359" t="s">
        <v>42</v>
      </c>
      <c r="C7359" t="s">
        <v>8</v>
      </c>
      <c r="D7359" s="8"/>
      <c r="E7359" s="8"/>
      <c r="M7359" t="s">
        <v>479</v>
      </c>
      <c r="N7359" t="str">
        <f>Tabela_tudo[[#This Row],[Médico]]&amp;" ("&amp;Tabela_tudo[[#This Row],[Obs]]&amp;")"</f>
        <v>SAK ()</v>
      </c>
    </row>
    <row r="7360" spans="1:14" x14ac:dyDescent="0.3">
      <c r="A7360" s="1">
        <v>45114</v>
      </c>
      <c r="B7360" t="s">
        <v>62</v>
      </c>
      <c r="C7360" t="s">
        <v>464</v>
      </c>
      <c r="D7360" s="8"/>
      <c r="E7360" s="8"/>
      <c r="M7360" t="s">
        <v>477</v>
      </c>
      <c r="N7360" t="str">
        <f>Tabela_tudo[[#This Row],[Médico]]&amp;" ("&amp;Tabela_tudo[[#This Row],[Obs]]&amp;")"</f>
        <v>RKS ()</v>
      </c>
    </row>
    <row r="7361" spans="1:14" x14ac:dyDescent="0.3">
      <c r="A7361" s="1">
        <v>45228</v>
      </c>
      <c r="B7361" t="s">
        <v>69</v>
      </c>
      <c r="C7361" t="s">
        <v>13</v>
      </c>
      <c r="D7361" s="8"/>
      <c r="E7361" s="8"/>
      <c r="M7361" t="s">
        <v>479</v>
      </c>
      <c r="N7361" t="str">
        <f>Tabela_tudo[[#This Row],[Médico]]&amp;" ("&amp;Tabela_tudo[[#This Row],[Obs]]&amp;")"</f>
        <v>PRE ()</v>
      </c>
    </row>
    <row r="7362" spans="1:14" x14ac:dyDescent="0.3">
      <c r="A7362" s="1">
        <v>45115</v>
      </c>
      <c r="B7362" t="s">
        <v>62</v>
      </c>
      <c r="C7362" t="s">
        <v>464</v>
      </c>
      <c r="D7362" s="8"/>
      <c r="E7362" s="8"/>
      <c r="M7362" t="s">
        <v>477</v>
      </c>
      <c r="N7362" t="str">
        <f>Tabela_tudo[[#This Row],[Médico]]&amp;" ("&amp;Tabela_tudo[[#This Row],[Obs]]&amp;")"</f>
        <v>RKS ()</v>
      </c>
    </row>
    <row r="7363" spans="1:14" x14ac:dyDescent="0.3">
      <c r="A7363" s="1">
        <v>45228</v>
      </c>
      <c r="B7363" t="s">
        <v>96</v>
      </c>
      <c r="C7363" t="s">
        <v>8</v>
      </c>
      <c r="D7363" s="8"/>
      <c r="E7363" s="8"/>
      <c r="M7363" t="s">
        <v>477</v>
      </c>
      <c r="N7363" t="str">
        <f>Tabela_tudo[[#This Row],[Médico]]&amp;" ("&amp;Tabela_tudo[[#This Row],[Obs]]&amp;")"</f>
        <v>VF ()</v>
      </c>
    </row>
    <row r="7364" spans="1:14" x14ac:dyDescent="0.3">
      <c r="A7364" s="1">
        <v>45116</v>
      </c>
      <c r="B7364" t="s">
        <v>62</v>
      </c>
      <c r="C7364" t="s">
        <v>464</v>
      </c>
      <c r="D7364" s="8"/>
      <c r="E7364" s="8"/>
      <c r="M7364" t="s">
        <v>477</v>
      </c>
      <c r="N7364" t="str">
        <f>Tabela_tudo[[#This Row],[Médico]]&amp;" ("&amp;Tabela_tudo[[#This Row],[Obs]]&amp;")"</f>
        <v>RKS ()</v>
      </c>
    </row>
    <row r="7365" spans="1:14" x14ac:dyDescent="0.3">
      <c r="A7365" s="1">
        <v>45091</v>
      </c>
      <c r="B7365" t="s">
        <v>39</v>
      </c>
      <c r="C7365" t="s">
        <v>13</v>
      </c>
      <c r="D7365" s="8"/>
      <c r="E7365" s="8"/>
      <c r="M7365" t="s">
        <v>479</v>
      </c>
      <c r="N7365" t="str">
        <f>Tabela_tudo[[#This Row],[Médico]]&amp;" ("&amp;Tabela_tudo[[#This Row],[Obs]]&amp;")"</f>
        <v>KLA ()</v>
      </c>
    </row>
    <row r="7366" spans="1:14" x14ac:dyDescent="0.3">
      <c r="A7366" s="1">
        <v>45112</v>
      </c>
      <c r="B7366" t="s">
        <v>36</v>
      </c>
      <c r="C7366" t="s">
        <v>464</v>
      </c>
      <c r="D7366" s="8"/>
      <c r="E7366" s="8"/>
      <c r="M7366" t="s">
        <v>481</v>
      </c>
      <c r="N7366" t="str">
        <f>Tabela_tudo[[#This Row],[Médico]]&amp;" ("&amp;Tabela_tudo[[#This Row],[Obs]]&amp;")"</f>
        <v>DRI ()</v>
      </c>
    </row>
    <row r="7367" spans="1:14" x14ac:dyDescent="0.3">
      <c r="A7367" s="1">
        <v>45153</v>
      </c>
      <c r="B7367" t="s">
        <v>27</v>
      </c>
      <c r="C7367" t="s">
        <v>10</v>
      </c>
      <c r="D7367" s="8"/>
      <c r="E7367" s="8"/>
      <c r="M7367" t="s">
        <v>481</v>
      </c>
      <c r="N7367" t="str">
        <f>Tabela_tudo[[#This Row],[Médico]]&amp;" ("&amp;Tabela_tudo[[#This Row],[Obs]]&amp;")"</f>
        <v>KIL ()</v>
      </c>
    </row>
    <row r="7368" spans="1:14" x14ac:dyDescent="0.3">
      <c r="A7368" s="1">
        <v>45113</v>
      </c>
      <c r="B7368" t="s">
        <v>36</v>
      </c>
      <c r="C7368" t="s">
        <v>464</v>
      </c>
      <c r="D7368" s="8"/>
      <c r="E7368" s="8"/>
      <c r="M7368" t="s">
        <v>481</v>
      </c>
      <c r="N7368" t="str">
        <f>Tabela_tudo[[#This Row],[Médico]]&amp;" ("&amp;Tabela_tudo[[#This Row],[Obs]]&amp;")"</f>
        <v>DRI ()</v>
      </c>
    </row>
    <row r="7369" spans="1:14" x14ac:dyDescent="0.3">
      <c r="A7369" s="1">
        <v>45221</v>
      </c>
      <c r="B7369" t="s">
        <v>40</v>
      </c>
      <c r="C7369" t="s">
        <v>78</v>
      </c>
      <c r="D7369" s="8"/>
      <c r="E7369" s="8"/>
      <c r="M7369" t="s">
        <v>481</v>
      </c>
      <c r="N7369" t="str">
        <f>Tabela_tudo[[#This Row],[Médico]]&amp;" ("&amp;Tabela_tudo[[#This Row],[Obs]]&amp;")"</f>
        <v>EMA ()</v>
      </c>
    </row>
    <row r="7370" spans="1:14" x14ac:dyDescent="0.3">
      <c r="A7370" s="1">
        <v>45114</v>
      </c>
      <c r="B7370" t="s">
        <v>36</v>
      </c>
      <c r="C7370" t="s">
        <v>464</v>
      </c>
      <c r="D7370" s="8"/>
      <c r="E7370" s="8"/>
      <c r="M7370" t="s">
        <v>481</v>
      </c>
      <c r="N7370" t="str">
        <f>Tabela_tudo[[#This Row],[Médico]]&amp;" ("&amp;Tabela_tudo[[#This Row],[Obs]]&amp;")"</f>
        <v>DRI ()</v>
      </c>
    </row>
    <row r="7371" spans="1:14" x14ac:dyDescent="0.3">
      <c r="A7371" s="1">
        <v>45091</v>
      </c>
      <c r="B7371" t="s">
        <v>149</v>
      </c>
      <c r="C7371" t="s">
        <v>8</v>
      </c>
      <c r="D7371" s="8"/>
      <c r="E7371" s="8"/>
      <c r="M7371" t="s">
        <v>477</v>
      </c>
      <c r="N7371" t="str">
        <f>Tabela_tudo[[#This Row],[Médico]]&amp;" ("&amp;Tabela_tudo[[#This Row],[Obs]]&amp;")"</f>
        <v>NF ()</v>
      </c>
    </row>
    <row r="7372" spans="1:14" x14ac:dyDescent="0.3">
      <c r="A7372" s="1">
        <v>45111</v>
      </c>
      <c r="B7372" t="s">
        <v>36</v>
      </c>
      <c r="C7372" t="s">
        <v>464</v>
      </c>
      <c r="D7372" s="8"/>
      <c r="E7372" s="8"/>
      <c r="M7372" t="s">
        <v>481</v>
      </c>
      <c r="N7372" t="str">
        <f>Tabela_tudo[[#This Row],[Médico]]&amp;" ("&amp;Tabela_tudo[[#This Row],[Obs]]&amp;")"</f>
        <v>DRI ()</v>
      </c>
    </row>
    <row r="7373" spans="1:14" x14ac:dyDescent="0.3">
      <c r="A7373" s="1">
        <v>45220</v>
      </c>
      <c r="B7373" t="s">
        <v>40</v>
      </c>
      <c r="C7373" t="s">
        <v>78</v>
      </c>
      <c r="D7373" s="8"/>
      <c r="E7373" s="8"/>
      <c r="M7373" t="s">
        <v>481</v>
      </c>
      <c r="N7373" t="str">
        <f>Tabela_tudo[[#This Row],[Médico]]&amp;" ("&amp;Tabela_tudo[[#This Row],[Obs]]&amp;")"</f>
        <v>EMA ()</v>
      </c>
    </row>
    <row r="7374" spans="1:14" x14ac:dyDescent="0.3">
      <c r="A7374" s="1">
        <v>45108</v>
      </c>
      <c r="B7374" t="s">
        <v>36</v>
      </c>
      <c r="C7374" t="s">
        <v>464</v>
      </c>
      <c r="D7374" s="8"/>
      <c r="E7374" s="8"/>
      <c r="M7374" t="s">
        <v>481</v>
      </c>
      <c r="N7374" t="str">
        <f>Tabela_tudo[[#This Row],[Médico]]&amp;" ("&amp;Tabela_tudo[[#This Row],[Obs]]&amp;")"</f>
        <v>DRI ()</v>
      </c>
    </row>
    <row r="7375" spans="1:14" x14ac:dyDescent="0.3">
      <c r="A7375" s="1">
        <v>45220</v>
      </c>
      <c r="B7375" t="s">
        <v>27</v>
      </c>
      <c r="C7375" t="s">
        <v>10</v>
      </c>
      <c r="D7375" s="8"/>
      <c r="E7375" s="8"/>
      <c r="M7375" t="s">
        <v>481</v>
      </c>
      <c r="N7375" t="str">
        <f>Tabela_tudo[[#This Row],[Médico]]&amp;" ("&amp;Tabela_tudo[[#This Row],[Obs]]&amp;")"</f>
        <v>KIL ()</v>
      </c>
    </row>
    <row r="7376" spans="1:14" x14ac:dyDescent="0.3">
      <c r="A7376" s="1">
        <v>45109</v>
      </c>
      <c r="B7376" t="s">
        <v>36</v>
      </c>
      <c r="C7376" t="s">
        <v>464</v>
      </c>
      <c r="D7376" s="8"/>
      <c r="E7376" s="8"/>
      <c r="M7376" t="s">
        <v>481</v>
      </c>
      <c r="N7376" t="str">
        <f>Tabela_tudo[[#This Row],[Médico]]&amp;" ("&amp;Tabela_tudo[[#This Row],[Obs]]&amp;")"</f>
        <v>DRI ()</v>
      </c>
    </row>
    <row r="7377" spans="1:14" x14ac:dyDescent="0.3">
      <c r="A7377" s="1">
        <v>45220</v>
      </c>
      <c r="B7377" t="s">
        <v>80</v>
      </c>
      <c r="C7377" t="s">
        <v>13</v>
      </c>
      <c r="D7377" s="8"/>
      <c r="E7377" s="8"/>
      <c r="M7377" t="s">
        <v>477</v>
      </c>
      <c r="N7377" t="str">
        <f>Tabela_tudo[[#This Row],[Médico]]&amp;" ("&amp;Tabela_tudo[[#This Row],[Obs]]&amp;")"</f>
        <v>REC ()</v>
      </c>
    </row>
    <row r="7378" spans="1:14" x14ac:dyDescent="0.3">
      <c r="A7378" s="1">
        <v>45110</v>
      </c>
      <c r="B7378" t="s">
        <v>36</v>
      </c>
      <c r="C7378" t="s">
        <v>464</v>
      </c>
      <c r="D7378" s="8"/>
      <c r="E7378" s="8"/>
      <c r="M7378" t="s">
        <v>481</v>
      </c>
      <c r="N7378" t="str">
        <f>Tabela_tudo[[#This Row],[Médico]]&amp;" ("&amp;Tabela_tudo[[#This Row],[Obs]]&amp;")"</f>
        <v>DRI ()</v>
      </c>
    </row>
    <row r="7379" spans="1:14" x14ac:dyDescent="0.3">
      <c r="A7379" s="1">
        <v>45220</v>
      </c>
      <c r="B7379" t="s">
        <v>35</v>
      </c>
      <c r="C7379" t="s">
        <v>8</v>
      </c>
      <c r="D7379" s="8"/>
      <c r="E7379" s="8"/>
      <c r="M7379" t="s">
        <v>479</v>
      </c>
      <c r="N7379" t="str">
        <f>Tabela_tudo[[#This Row],[Médico]]&amp;" ("&amp;Tabela_tudo[[#This Row],[Obs]]&amp;")"</f>
        <v>FLA ()</v>
      </c>
    </row>
    <row r="7380" spans="1:14" x14ac:dyDescent="0.3">
      <c r="A7380" s="1">
        <v>45119</v>
      </c>
      <c r="B7380" t="s">
        <v>36</v>
      </c>
      <c r="C7380" t="s">
        <v>464</v>
      </c>
      <c r="D7380" s="8"/>
      <c r="E7380" s="8"/>
      <c r="M7380" t="s">
        <v>481</v>
      </c>
      <c r="N7380" t="str">
        <f>Tabela_tudo[[#This Row],[Médico]]&amp;" ("&amp;Tabela_tudo[[#This Row],[Obs]]&amp;")"</f>
        <v>DRI ()</v>
      </c>
    </row>
    <row r="7381" spans="1:14" x14ac:dyDescent="0.3">
      <c r="A7381" s="1">
        <v>45212</v>
      </c>
      <c r="B7381" t="s">
        <v>79</v>
      </c>
      <c r="C7381" t="s">
        <v>8</v>
      </c>
      <c r="D7381" s="8"/>
      <c r="E7381" s="8"/>
      <c r="M7381" t="s">
        <v>481</v>
      </c>
      <c r="N7381" t="str">
        <f>Tabela_tudo[[#This Row],[Médico]]&amp;" ("&amp;Tabela_tudo[[#This Row],[Obs]]&amp;")"</f>
        <v>MTB ()</v>
      </c>
    </row>
    <row r="7382" spans="1:14" x14ac:dyDescent="0.3">
      <c r="A7382" s="1">
        <v>45120</v>
      </c>
      <c r="B7382" t="s">
        <v>36</v>
      </c>
      <c r="C7382" t="s">
        <v>464</v>
      </c>
      <c r="D7382" s="8"/>
      <c r="E7382" s="8"/>
      <c r="M7382" t="s">
        <v>481</v>
      </c>
      <c r="N7382" t="str">
        <f>Tabela_tudo[[#This Row],[Médico]]&amp;" ("&amp;Tabela_tudo[[#This Row],[Obs]]&amp;")"</f>
        <v>DRI ()</v>
      </c>
    </row>
    <row r="7383" spans="1:14" x14ac:dyDescent="0.3">
      <c r="A7383" s="1">
        <v>45212</v>
      </c>
      <c r="B7383" t="s">
        <v>27</v>
      </c>
      <c r="C7383" t="s">
        <v>10</v>
      </c>
      <c r="D7383" s="8"/>
      <c r="E7383" s="8"/>
      <c r="M7383" t="s">
        <v>481</v>
      </c>
      <c r="N7383" t="str">
        <f>Tabela_tudo[[#This Row],[Médico]]&amp;" ("&amp;Tabela_tudo[[#This Row],[Obs]]&amp;")"</f>
        <v>KIL ()</v>
      </c>
    </row>
    <row r="7384" spans="1:14" x14ac:dyDescent="0.3">
      <c r="A7384" s="1">
        <v>45121</v>
      </c>
      <c r="B7384" t="s">
        <v>36</v>
      </c>
      <c r="C7384" t="s">
        <v>464</v>
      </c>
      <c r="D7384" s="8"/>
      <c r="E7384" s="8"/>
      <c r="M7384" t="s">
        <v>481</v>
      </c>
      <c r="N7384" t="str">
        <f>Tabela_tudo[[#This Row],[Médico]]&amp;" ("&amp;Tabela_tudo[[#This Row],[Obs]]&amp;")"</f>
        <v>DRI ()</v>
      </c>
    </row>
    <row r="7385" spans="1:14" x14ac:dyDescent="0.3">
      <c r="A7385" s="1">
        <v>45144</v>
      </c>
      <c r="B7385" t="s">
        <v>112</v>
      </c>
      <c r="C7385" t="s">
        <v>8</v>
      </c>
      <c r="D7385" s="8"/>
      <c r="E7385" s="8"/>
      <c r="M7385" t="s">
        <v>479</v>
      </c>
      <c r="N7385" t="str">
        <f>Tabela_tudo[[#This Row],[Médico]]&amp;" ("&amp;Tabela_tudo[[#This Row],[Obs]]&amp;")"</f>
        <v>FLE ()</v>
      </c>
    </row>
    <row r="7386" spans="1:14" x14ac:dyDescent="0.3">
      <c r="A7386" s="1">
        <v>45118</v>
      </c>
      <c r="B7386" t="s">
        <v>36</v>
      </c>
      <c r="C7386" t="s">
        <v>464</v>
      </c>
      <c r="D7386" s="8"/>
      <c r="E7386" s="8"/>
      <c r="M7386" t="s">
        <v>481</v>
      </c>
      <c r="N7386" t="str">
        <f>Tabela_tudo[[#This Row],[Médico]]&amp;" ("&amp;Tabela_tudo[[#This Row],[Obs]]&amp;")"</f>
        <v>DRI ()</v>
      </c>
    </row>
    <row r="7387" spans="1:14" x14ac:dyDescent="0.3">
      <c r="A7387" s="1">
        <v>45212</v>
      </c>
      <c r="B7387" t="s">
        <v>80</v>
      </c>
      <c r="C7387" t="s">
        <v>13</v>
      </c>
      <c r="D7387" s="8"/>
      <c r="E7387" s="8"/>
      <c r="M7387" t="s">
        <v>477</v>
      </c>
      <c r="N7387" t="str">
        <f>Tabela_tudo[[#This Row],[Médico]]&amp;" ("&amp;Tabela_tudo[[#This Row],[Obs]]&amp;")"</f>
        <v>REC ()</v>
      </c>
    </row>
    <row r="7388" spans="1:14" x14ac:dyDescent="0.3">
      <c r="A7388" s="1">
        <v>45115</v>
      </c>
      <c r="B7388" t="s">
        <v>36</v>
      </c>
      <c r="C7388" t="s">
        <v>464</v>
      </c>
      <c r="D7388" s="8"/>
      <c r="E7388" s="8"/>
      <c r="M7388" t="s">
        <v>481</v>
      </c>
      <c r="N7388" t="str">
        <f>Tabela_tudo[[#This Row],[Médico]]&amp;" ("&amp;Tabela_tudo[[#This Row],[Obs]]&amp;")"</f>
        <v>DRI ()</v>
      </c>
    </row>
    <row r="7389" spans="1:14" x14ac:dyDescent="0.3">
      <c r="A7389" s="1">
        <v>45212</v>
      </c>
      <c r="B7389" t="s">
        <v>69</v>
      </c>
      <c r="C7389" t="s">
        <v>41</v>
      </c>
      <c r="D7389" s="8"/>
      <c r="E7389" s="8"/>
      <c r="M7389" t="s">
        <v>479</v>
      </c>
      <c r="N7389" t="str">
        <f>Tabela_tudo[[#This Row],[Médico]]&amp;" ("&amp;Tabela_tudo[[#This Row],[Obs]]&amp;")"</f>
        <v>PRE ()</v>
      </c>
    </row>
    <row r="7390" spans="1:14" x14ac:dyDescent="0.3">
      <c r="A7390" s="1">
        <v>45116</v>
      </c>
      <c r="B7390" t="s">
        <v>36</v>
      </c>
      <c r="C7390" t="s">
        <v>464</v>
      </c>
      <c r="D7390" s="8"/>
      <c r="E7390" s="8"/>
      <c r="M7390" t="s">
        <v>481</v>
      </c>
      <c r="N7390" t="str">
        <f>Tabela_tudo[[#This Row],[Médico]]&amp;" ("&amp;Tabela_tudo[[#This Row],[Obs]]&amp;")"</f>
        <v>DRI ()</v>
      </c>
    </row>
    <row r="7391" spans="1:14" x14ac:dyDescent="0.3">
      <c r="A7391" s="1">
        <v>45212</v>
      </c>
      <c r="B7391" t="s">
        <v>36</v>
      </c>
      <c r="C7391" t="s">
        <v>41</v>
      </c>
      <c r="D7391" s="8"/>
      <c r="E7391" s="8"/>
      <c r="M7391" t="s">
        <v>481</v>
      </c>
      <c r="N7391" t="str">
        <f>Tabela_tudo[[#This Row],[Médico]]&amp;" ("&amp;Tabela_tudo[[#This Row],[Obs]]&amp;")"</f>
        <v>DRI ()</v>
      </c>
    </row>
    <row r="7392" spans="1:14" x14ac:dyDescent="0.3">
      <c r="A7392" s="1">
        <v>45117</v>
      </c>
      <c r="B7392" t="s">
        <v>36</v>
      </c>
      <c r="C7392" t="s">
        <v>464</v>
      </c>
      <c r="D7392" s="8"/>
      <c r="E7392" s="8"/>
      <c r="M7392" t="s">
        <v>481</v>
      </c>
      <c r="N7392" t="str">
        <f>Tabela_tudo[[#This Row],[Médico]]&amp;" ("&amp;Tabela_tudo[[#This Row],[Obs]]&amp;")"</f>
        <v>DRI ()</v>
      </c>
    </row>
    <row r="7393" spans="1:14" x14ac:dyDescent="0.3">
      <c r="A7393" s="1">
        <v>45212</v>
      </c>
      <c r="B7393" t="s">
        <v>35</v>
      </c>
      <c r="C7393" t="s">
        <v>10</v>
      </c>
      <c r="D7393" s="8"/>
      <c r="E7393" s="8"/>
      <c r="M7393" t="s">
        <v>479</v>
      </c>
      <c r="N7393" t="str">
        <f>Tabela_tudo[[#This Row],[Médico]]&amp;" ("&amp;Tabela_tudo[[#This Row],[Obs]]&amp;")"</f>
        <v>FLA ()</v>
      </c>
    </row>
    <row r="7394" spans="1:14" x14ac:dyDescent="0.3">
      <c r="A7394" s="1">
        <v>45124</v>
      </c>
      <c r="B7394" t="s">
        <v>27</v>
      </c>
      <c r="C7394" t="s">
        <v>464</v>
      </c>
      <c r="D7394" s="8"/>
      <c r="E7394" s="8"/>
      <c r="M7394" t="s">
        <v>481</v>
      </c>
      <c r="N7394" t="str">
        <f>Tabela_tudo[[#This Row],[Médico]]&amp;" ("&amp;Tabela_tudo[[#This Row],[Obs]]&amp;")"</f>
        <v>KIL ()</v>
      </c>
    </row>
    <row r="7395" spans="1:14" x14ac:dyDescent="0.3">
      <c r="A7395" s="1">
        <v>45212</v>
      </c>
      <c r="B7395" t="s">
        <v>9</v>
      </c>
      <c r="C7395" t="s">
        <v>10</v>
      </c>
      <c r="D7395" s="8"/>
      <c r="E7395" s="8"/>
      <c r="M7395" t="s">
        <v>481</v>
      </c>
      <c r="N7395" t="str">
        <f>Tabela_tudo[[#This Row],[Médico]]&amp;" ("&amp;Tabela_tudo[[#This Row],[Obs]]&amp;")"</f>
        <v>KRE ()</v>
      </c>
    </row>
    <row r="7396" spans="1:14" x14ac:dyDescent="0.3">
      <c r="A7396" s="1">
        <v>45125</v>
      </c>
      <c r="B7396" t="s">
        <v>27</v>
      </c>
      <c r="C7396" t="s">
        <v>464</v>
      </c>
      <c r="D7396" s="8"/>
      <c r="E7396" s="8"/>
      <c r="M7396" t="s">
        <v>481</v>
      </c>
      <c r="N7396" t="str">
        <f>Tabela_tudo[[#This Row],[Médico]]&amp;" ("&amp;Tabela_tudo[[#This Row],[Obs]]&amp;")"</f>
        <v>KIL ()</v>
      </c>
    </row>
    <row r="7397" spans="1:14" x14ac:dyDescent="0.3">
      <c r="A7397" s="1">
        <v>45093</v>
      </c>
      <c r="B7397" t="s">
        <v>57</v>
      </c>
      <c r="C7397" t="s">
        <v>8</v>
      </c>
      <c r="D7397" s="8"/>
      <c r="E7397" s="8"/>
      <c r="M7397" t="s">
        <v>477</v>
      </c>
      <c r="N7397" t="str">
        <f>Tabela_tudo[[#This Row],[Médico]]&amp;" ("&amp;Tabela_tudo[[#This Row],[Obs]]&amp;")"</f>
        <v>BED ()</v>
      </c>
    </row>
    <row r="7398" spans="1:14" x14ac:dyDescent="0.3">
      <c r="A7398" s="1">
        <v>45126</v>
      </c>
      <c r="B7398" t="s">
        <v>27</v>
      </c>
      <c r="C7398" t="s">
        <v>464</v>
      </c>
      <c r="D7398" s="8"/>
      <c r="E7398" s="8"/>
      <c r="M7398" t="s">
        <v>481</v>
      </c>
      <c r="N7398" t="str">
        <f>Tabela_tudo[[#This Row],[Médico]]&amp;" ("&amp;Tabela_tudo[[#This Row],[Obs]]&amp;")"</f>
        <v>KIL ()</v>
      </c>
    </row>
    <row r="7399" spans="1:14" x14ac:dyDescent="0.3">
      <c r="A7399" s="1">
        <v>45093</v>
      </c>
      <c r="B7399" t="s">
        <v>69</v>
      </c>
      <c r="C7399" t="s">
        <v>13</v>
      </c>
      <c r="D7399" s="8"/>
      <c r="E7399" s="8"/>
      <c r="M7399" t="s">
        <v>479</v>
      </c>
      <c r="N7399" t="str">
        <f>Tabela_tudo[[#This Row],[Médico]]&amp;" ("&amp;Tabela_tudo[[#This Row],[Obs]]&amp;")"</f>
        <v>PRE ()</v>
      </c>
    </row>
    <row r="7400" spans="1:14" x14ac:dyDescent="0.3">
      <c r="A7400" s="1">
        <v>45123</v>
      </c>
      <c r="B7400" t="s">
        <v>27</v>
      </c>
      <c r="C7400" t="s">
        <v>464</v>
      </c>
      <c r="D7400" s="8"/>
      <c r="E7400" s="8"/>
      <c r="M7400" t="s">
        <v>481</v>
      </c>
      <c r="N7400" t="str">
        <f>Tabela_tudo[[#This Row],[Médico]]&amp;" ("&amp;Tabela_tudo[[#This Row],[Obs]]&amp;")"</f>
        <v>KIL ()</v>
      </c>
    </row>
    <row r="7401" spans="1:14" x14ac:dyDescent="0.3">
      <c r="A7401" s="1">
        <v>45211</v>
      </c>
      <c r="B7401" t="s">
        <v>35</v>
      </c>
      <c r="C7401" t="s">
        <v>10</v>
      </c>
      <c r="D7401" s="8"/>
      <c r="E7401" s="8"/>
      <c r="M7401" t="s">
        <v>479</v>
      </c>
      <c r="N7401" t="str">
        <f>Tabela_tudo[[#This Row],[Médico]]&amp;" ("&amp;Tabela_tudo[[#This Row],[Obs]]&amp;")"</f>
        <v>FLA ()</v>
      </c>
    </row>
    <row r="7402" spans="1:14" x14ac:dyDescent="0.3">
      <c r="A7402" s="1">
        <v>45120</v>
      </c>
      <c r="B7402" t="s">
        <v>149</v>
      </c>
      <c r="C7402" t="s">
        <v>464</v>
      </c>
      <c r="D7402" s="8"/>
      <c r="E7402" s="8"/>
      <c r="M7402" t="s">
        <v>477</v>
      </c>
      <c r="N7402" t="str">
        <f>Tabela_tudo[[#This Row],[Médico]]&amp;" ("&amp;Tabela_tudo[[#This Row],[Obs]]&amp;")"</f>
        <v>NF ()</v>
      </c>
    </row>
    <row r="7403" spans="1:14" x14ac:dyDescent="0.3">
      <c r="A7403" s="1">
        <v>45211</v>
      </c>
      <c r="B7403" t="s">
        <v>9</v>
      </c>
      <c r="C7403" t="s">
        <v>10</v>
      </c>
      <c r="D7403" s="8"/>
      <c r="E7403" s="8"/>
      <c r="M7403" t="s">
        <v>481</v>
      </c>
      <c r="N7403" t="str">
        <f>Tabela_tudo[[#This Row],[Médico]]&amp;" ("&amp;Tabela_tudo[[#This Row],[Obs]]&amp;")"</f>
        <v>KRE ()</v>
      </c>
    </row>
    <row r="7404" spans="1:14" x14ac:dyDescent="0.3">
      <c r="A7404" s="1">
        <v>45121</v>
      </c>
      <c r="B7404" t="s">
        <v>149</v>
      </c>
      <c r="C7404" t="s">
        <v>464</v>
      </c>
      <c r="D7404" s="8"/>
      <c r="E7404" s="8"/>
      <c r="M7404" t="s">
        <v>477</v>
      </c>
      <c r="N7404" t="str">
        <f>Tabela_tudo[[#This Row],[Médico]]&amp;" ("&amp;Tabela_tudo[[#This Row],[Obs]]&amp;")"</f>
        <v>NF ()</v>
      </c>
    </row>
    <row r="7405" spans="1:14" x14ac:dyDescent="0.3">
      <c r="A7405" s="1">
        <v>45103</v>
      </c>
      <c r="B7405" t="s">
        <v>61</v>
      </c>
      <c r="C7405" t="s">
        <v>124</v>
      </c>
      <c r="D7405" s="8">
        <v>0.54166666666666663</v>
      </c>
      <c r="E7405" s="8">
        <v>0.625</v>
      </c>
      <c r="F7405" t="s">
        <v>120</v>
      </c>
      <c r="M7405" t="s">
        <v>477</v>
      </c>
      <c r="N7405" t="str">
        <f>Tabela_tudo[[#This Row],[Médico]]&amp;" ("&amp;Tabela_tudo[[#This Row],[Obs]]&amp;")"</f>
        <v>AD (SERVIÇO PSICOLOGIA UNISINOS )</v>
      </c>
    </row>
    <row r="7406" spans="1:14" x14ac:dyDescent="0.3">
      <c r="A7406" s="1">
        <v>45122</v>
      </c>
      <c r="B7406" t="s">
        <v>149</v>
      </c>
      <c r="C7406" t="s">
        <v>464</v>
      </c>
      <c r="D7406" s="8"/>
      <c r="E7406" s="8"/>
      <c r="M7406" t="s">
        <v>477</v>
      </c>
      <c r="N7406" t="str">
        <f>Tabela_tudo[[#This Row],[Médico]]&amp;" ("&amp;Tabela_tudo[[#This Row],[Obs]]&amp;")"</f>
        <v>NF ()</v>
      </c>
    </row>
    <row r="7407" spans="1:14" x14ac:dyDescent="0.3">
      <c r="A7407" s="1">
        <v>45144</v>
      </c>
      <c r="B7407" t="s">
        <v>69</v>
      </c>
      <c r="C7407" t="s">
        <v>13</v>
      </c>
      <c r="D7407" s="8"/>
      <c r="E7407" s="8"/>
      <c r="M7407" t="s">
        <v>479</v>
      </c>
      <c r="N7407" t="str">
        <f>Tabela_tudo[[#This Row],[Médico]]&amp;" ("&amp;Tabela_tudo[[#This Row],[Obs]]&amp;")"</f>
        <v>PRE ()</v>
      </c>
    </row>
    <row r="7408" spans="1:14" x14ac:dyDescent="0.3">
      <c r="A7408" s="1">
        <v>45131</v>
      </c>
      <c r="B7408" t="s">
        <v>27</v>
      </c>
      <c r="C7408" t="s">
        <v>464</v>
      </c>
      <c r="D7408" s="8"/>
      <c r="E7408" s="8"/>
      <c r="M7408" t="s">
        <v>481</v>
      </c>
      <c r="N7408" t="str">
        <f>Tabela_tudo[[#This Row],[Médico]]&amp;" ("&amp;Tabela_tudo[[#This Row],[Obs]]&amp;")"</f>
        <v>KIL ()</v>
      </c>
    </row>
    <row r="7409" spans="1:14" x14ac:dyDescent="0.3">
      <c r="A7409" s="1">
        <v>45154</v>
      </c>
      <c r="B7409" t="s">
        <v>149</v>
      </c>
      <c r="C7409" t="s">
        <v>8</v>
      </c>
      <c r="D7409" s="8"/>
      <c r="E7409" s="8"/>
      <c r="M7409" t="s">
        <v>477</v>
      </c>
      <c r="N7409" t="str">
        <f>Tabela_tudo[[#This Row],[Médico]]&amp;" ("&amp;Tabela_tudo[[#This Row],[Obs]]&amp;")"</f>
        <v>NF ()</v>
      </c>
    </row>
    <row r="7410" spans="1:14" x14ac:dyDescent="0.3">
      <c r="A7410" s="1">
        <v>45132</v>
      </c>
      <c r="B7410" t="s">
        <v>27</v>
      </c>
      <c r="C7410" t="s">
        <v>464</v>
      </c>
      <c r="D7410" s="8"/>
      <c r="E7410" s="8"/>
      <c r="M7410" t="s">
        <v>481</v>
      </c>
      <c r="N7410" t="str">
        <f>Tabela_tudo[[#This Row],[Médico]]&amp;" ("&amp;Tabela_tudo[[#This Row],[Obs]]&amp;")"</f>
        <v>KIL ()</v>
      </c>
    </row>
    <row r="7411" spans="1:14" x14ac:dyDescent="0.3">
      <c r="A7411" s="1">
        <v>45154</v>
      </c>
      <c r="B7411" t="s">
        <v>109</v>
      </c>
      <c r="C7411" t="s">
        <v>13</v>
      </c>
      <c r="D7411" s="8"/>
      <c r="E7411" s="8"/>
      <c r="M7411" t="s">
        <v>479</v>
      </c>
      <c r="N7411" t="str">
        <f>Tabela_tudo[[#This Row],[Médico]]&amp;" ("&amp;Tabela_tudo[[#This Row],[Obs]]&amp;")"</f>
        <v>CA ()</v>
      </c>
    </row>
    <row r="7412" spans="1:14" x14ac:dyDescent="0.3">
      <c r="A7412" s="1">
        <v>45133</v>
      </c>
      <c r="B7412" t="s">
        <v>27</v>
      </c>
      <c r="C7412" t="s">
        <v>464</v>
      </c>
      <c r="D7412" s="8"/>
      <c r="E7412" s="8"/>
      <c r="M7412" t="s">
        <v>481</v>
      </c>
      <c r="N7412" t="str">
        <f>Tabela_tudo[[#This Row],[Médico]]&amp;" ("&amp;Tabela_tudo[[#This Row],[Obs]]&amp;")"</f>
        <v>KIL ()</v>
      </c>
    </row>
    <row r="7413" spans="1:14" x14ac:dyDescent="0.3">
      <c r="A7413" s="1">
        <v>45144</v>
      </c>
      <c r="B7413" t="s">
        <v>96</v>
      </c>
      <c r="C7413" t="s">
        <v>78</v>
      </c>
      <c r="D7413" s="8"/>
      <c r="E7413" s="8"/>
      <c r="M7413" t="s">
        <v>477</v>
      </c>
      <c r="N7413" t="str">
        <f>Tabela_tudo[[#This Row],[Médico]]&amp;" ("&amp;Tabela_tudo[[#This Row],[Obs]]&amp;")"</f>
        <v>VF ()</v>
      </c>
    </row>
    <row r="7414" spans="1:14" x14ac:dyDescent="0.3">
      <c r="A7414" s="1">
        <v>45130</v>
      </c>
      <c r="B7414" t="s">
        <v>27</v>
      </c>
      <c r="C7414" t="s">
        <v>464</v>
      </c>
      <c r="D7414" s="8"/>
      <c r="E7414" s="8"/>
      <c r="M7414" t="s">
        <v>481</v>
      </c>
      <c r="N7414" t="str">
        <f>Tabela_tudo[[#This Row],[Médico]]&amp;" ("&amp;Tabela_tudo[[#This Row],[Obs]]&amp;")"</f>
        <v>KIL ()</v>
      </c>
    </row>
    <row r="7415" spans="1:14" x14ac:dyDescent="0.3">
      <c r="A7415" s="1">
        <v>45134</v>
      </c>
      <c r="B7415" t="s">
        <v>40</v>
      </c>
      <c r="C7415" t="s">
        <v>10</v>
      </c>
      <c r="D7415" s="8"/>
      <c r="E7415" s="8"/>
      <c r="M7415" t="s">
        <v>481</v>
      </c>
      <c r="N7415" t="str">
        <f>Tabela_tudo[[#This Row],[Médico]]&amp;" ("&amp;Tabela_tudo[[#This Row],[Obs]]&amp;")"</f>
        <v>EMA ()</v>
      </c>
    </row>
    <row r="7416" spans="1:14" x14ac:dyDescent="0.3">
      <c r="A7416" s="1">
        <v>45127</v>
      </c>
      <c r="B7416" t="s">
        <v>27</v>
      </c>
      <c r="C7416" t="s">
        <v>464</v>
      </c>
      <c r="D7416" s="8"/>
      <c r="E7416" s="8"/>
      <c r="M7416" t="s">
        <v>481</v>
      </c>
      <c r="N7416" t="str">
        <f>Tabela_tudo[[#This Row],[Médico]]&amp;" ("&amp;Tabela_tudo[[#This Row],[Obs]]&amp;")"</f>
        <v>KIL ()</v>
      </c>
    </row>
    <row r="7417" spans="1:14" x14ac:dyDescent="0.3">
      <c r="A7417" s="1">
        <v>45134</v>
      </c>
      <c r="B7417" t="s">
        <v>36</v>
      </c>
      <c r="C7417" t="s">
        <v>41</v>
      </c>
      <c r="D7417" s="8"/>
      <c r="E7417" s="8"/>
      <c r="M7417" t="s">
        <v>481</v>
      </c>
      <c r="N7417" t="str">
        <f>Tabela_tudo[[#This Row],[Médico]]&amp;" ("&amp;Tabela_tudo[[#This Row],[Obs]]&amp;")"</f>
        <v>DRI ()</v>
      </c>
    </row>
    <row r="7418" spans="1:14" x14ac:dyDescent="0.3">
      <c r="A7418" s="1">
        <v>45128</v>
      </c>
      <c r="B7418" t="s">
        <v>27</v>
      </c>
      <c r="C7418" t="s">
        <v>464</v>
      </c>
      <c r="D7418" s="8"/>
      <c r="E7418" s="8"/>
      <c r="M7418" t="s">
        <v>481</v>
      </c>
      <c r="N7418" t="str">
        <f>Tabela_tudo[[#This Row],[Médico]]&amp;" ("&amp;Tabela_tudo[[#This Row],[Obs]]&amp;")"</f>
        <v>KIL ()</v>
      </c>
    </row>
    <row r="7419" spans="1:14" x14ac:dyDescent="0.3">
      <c r="A7419" s="1">
        <v>45134</v>
      </c>
      <c r="B7419" t="s">
        <v>149</v>
      </c>
      <c r="C7419" t="s">
        <v>13</v>
      </c>
      <c r="D7419" s="8"/>
      <c r="E7419" s="8"/>
      <c r="M7419" t="s">
        <v>477</v>
      </c>
      <c r="N7419" t="str">
        <f>Tabela_tudo[[#This Row],[Médico]]&amp;" ("&amp;Tabela_tudo[[#This Row],[Obs]]&amp;")"</f>
        <v>NF ()</v>
      </c>
    </row>
    <row r="7420" spans="1:14" x14ac:dyDescent="0.3">
      <c r="A7420" s="1">
        <v>45129</v>
      </c>
      <c r="B7420" t="s">
        <v>27</v>
      </c>
      <c r="C7420" t="s">
        <v>464</v>
      </c>
      <c r="D7420" s="8"/>
      <c r="E7420" s="8"/>
      <c r="M7420" t="s">
        <v>481</v>
      </c>
      <c r="N7420" t="str">
        <f>Tabela_tudo[[#This Row],[Médico]]&amp;" ("&amp;Tabela_tudo[[#This Row],[Obs]]&amp;")"</f>
        <v>KIL ()</v>
      </c>
    </row>
    <row r="7421" spans="1:14" x14ac:dyDescent="0.3">
      <c r="A7421" s="1">
        <v>45134</v>
      </c>
      <c r="B7421" t="s">
        <v>79</v>
      </c>
      <c r="C7421" t="s">
        <v>8</v>
      </c>
      <c r="D7421" s="8"/>
      <c r="E7421" s="8"/>
      <c r="M7421" t="s">
        <v>481</v>
      </c>
      <c r="N7421" t="str">
        <f>Tabela_tudo[[#This Row],[Médico]]&amp;" ("&amp;Tabela_tudo[[#This Row],[Obs]]&amp;")"</f>
        <v>MTB ()</v>
      </c>
    </row>
    <row r="7422" spans="1:14" x14ac:dyDescent="0.3">
      <c r="A7422" s="1">
        <v>45110</v>
      </c>
      <c r="B7422" t="s">
        <v>149</v>
      </c>
      <c r="C7422" t="s">
        <v>464</v>
      </c>
      <c r="D7422" s="8"/>
      <c r="E7422" s="8"/>
      <c r="M7422" t="s">
        <v>477</v>
      </c>
      <c r="N7422" t="str">
        <f>Tabela_tudo[[#This Row],[Médico]]&amp;" ("&amp;Tabela_tudo[[#This Row],[Obs]]&amp;")"</f>
        <v>NF ()</v>
      </c>
    </row>
    <row r="7423" spans="1:14" x14ac:dyDescent="0.3">
      <c r="A7423" s="1">
        <v>45169</v>
      </c>
      <c r="B7423" t="s">
        <v>36</v>
      </c>
      <c r="C7423" t="s">
        <v>10</v>
      </c>
      <c r="D7423" s="8"/>
      <c r="E7423" s="8"/>
      <c r="M7423" t="s">
        <v>481</v>
      </c>
      <c r="N7423" t="str">
        <f>Tabela_tudo[[#This Row],[Médico]]&amp;" ("&amp;Tabela_tudo[[#This Row],[Obs]]&amp;")"</f>
        <v>DRI ()</v>
      </c>
    </row>
    <row r="7424" spans="1:14" x14ac:dyDescent="0.3">
      <c r="A7424" s="1">
        <v>45111</v>
      </c>
      <c r="B7424" t="s">
        <v>149</v>
      </c>
      <c r="C7424" t="s">
        <v>464</v>
      </c>
      <c r="D7424" s="8"/>
      <c r="E7424" s="8"/>
      <c r="M7424" t="s">
        <v>477</v>
      </c>
      <c r="N7424" t="str">
        <f>Tabela_tudo[[#This Row],[Médico]]&amp;" ("&amp;Tabela_tudo[[#This Row],[Obs]]&amp;")"</f>
        <v>NF ()</v>
      </c>
    </row>
    <row r="7425" spans="1:14" x14ac:dyDescent="0.3">
      <c r="A7425" s="1">
        <v>45169</v>
      </c>
      <c r="B7425" t="s">
        <v>27</v>
      </c>
      <c r="C7425" t="s">
        <v>10</v>
      </c>
      <c r="D7425" s="8"/>
      <c r="E7425" s="8"/>
      <c r="M7425" t="s">
        <v>481</v>
      </c>
      <c r="N7425" t="str">
        <f>Tabela_tudo[[#This Row],[Médico]]&amp;" ("&amp;Tabela_tudo[[#This Row],[Obs]]&amp;")"</f>
        <v>KIL ()</v>
      </c>
    </row>
    <row r="7426" spans="1:14" x14ac:dyDescent="0.3">
      <c r="A7426" s="1">
        <v>45112</v>
      </c>
      <c r="B7426" t="s">
        <v>149</v>
      </c>
      <c r="C7426" t="s">
        <v>464</v>
      </c>
      <c r="D7426" s="8"/>
      <c r="E7426" s="8"/>
      <c r="M7426" t="s">
        <v>477</v>
      </c>
      <c r="N7426" t="str">
        <f>Tabela_tudo[[#This Row],[Médico]]&amp;" ("&amp;Tabela_tudo[[#This Row],[Obs]]&amp;")"</f>
        <v>NF ()</v>
      </c>
    </row>
    <row r="7427" spans="1:14" x14ac:dyDescent="0.3">
      <c r="A7427" s="1">
        <v>45134</v>
      </c>
      <c r="B7427" t="s">
        <v>61</v>
      </c>
      <c r="C7427" t="s">
        <v>41</v>
      </c>
      <c r="D7427" s="8"/>
      <c r="E7427" s="8"/>
      <c r="M7427" t="s">
        <v>477</v>
      </c>
      <c r="N7427" t="str">
        <f>Tabela_tudo[[#This Row],[Médico]]&amp;" ("&amp;Tabela_tudo[[#This Row],[Obs]]&amp;")"</f>
        <v>AD ()</v>
      </c>
    </row>
    <row r="7428" spans="1:14" x14ac:dyDescent="0.3">
      <c r="A7428" s="1">
        <v>45109</v>
      </c>
      <c r="B7428" t="s">
        <v>149</v>
      </c>
      <c r="C7428" t="s">
        <v>464</v>
      </c>
      <c r="D7428" s="8"/>
      <c r="E7428" s="8"/>
      <c r="M7428" t="s">
        <v>477</v>
      </c>
      <c r="N7428" t="str">
        <f>Tabela_tudo[[#This Row],[Médico]]&amp;" ("&amp;Tabela_tudo[[#This Row],[Obs]]&amp;")"</f>
        <v>NF ()</v>
      </c>
    </row>
    <row r="7429" spans="1:14" x14ac:dyDescent="0.3">
      <c r="A7429" s="1">
        <v>45169</v>
      </c>
      <c r="B7429" t="s">
        <v>59</v>
      </c>
      <c r="C7429" t="s">
        <v>41</v>
      </c>
      <c r="D7429" s="8"/>
      <c r="E7429" s="8"/>
      <c r="M7429" t="s">
        <v>477</v>
      </c>
      <c r="N7429" t="str">
        <f>Tabela_tudo[[#This Row],[Médico]]&amp;" ("&amp;Tabela_tudo[[#This Row],[Obs]]&amp;")"</f>
        <v>WEN ()</v>
      </c>
    </row>
    <row r="7430" spans="1:14" x14ac:dyDescent="0.3">
      <c r="A7430" s="1">
        <v>45121</v>
      </c>
      <c r="B7430" t="s">
        <v>62</v>
      </c>
      <c r="C7430" t="s">
        <v>464</v>
      </c>
      <c r="D7430" s="8"/>
      <c r="E7430" s="8"/>
      <c r="M7430" t="s">
        <v>477</v>
      </c>
      <c r="N7430" t="str">
        <f>Tabela_tudo[[#This Row],[Médico]]&amp;" ("&amp;Tabela_tudo[[#This Row],[Obs]]&amp;")"</f>
        <v>RKS ()</v>
      </c>
    </row>
    <row r="7431" spans="1:14" x14ac:dyDescent="0.3">
      <c r="A7431" s="1">
        <v>45092</v>
      </c>
      <c r="B7431" t="s">
        <v>109</v>
      </c>
      <c r="C7431" t="s">
        <v>10</v>
      </c>
      <c r="D7431" s="8"/>
      <c r="E7431" s="8"/>
      <c r="M7431" t="s">
        <v>479</v>
      </c>
      <c r="N7431" t="str">
        <f>Tabela_tudo[[#This Row],[Médico]]&amp;" ("&amp;Tabela_tudo[[#This Row],[Obs]]&amp;")"</f>
        <v>CA ()</v>
      </c>
    </row>
    <row r="7432" spans="1:14" x14ac:dyDescent="0.3">
      <c r="A7432" s="1">
        <v>45122</v>
      </c>
      <c r="B7432" t="s">
        <v>62</v>
      </c>
      <c r="C7432" t="s">
        <v>464</v>
      </c>
      <c r="D7432" s="8"/>
      <c r="E7432" s="8"/>
      <c r="M7432" t="s">
        <v>477</v>
      </c>
      <c r="N7432" t="str">
        <f>Tabela_tudo[[#This Row],[Médico]]&amp;" ("&amp;Tabela_tudo[[#This Row],[Obs]]&amp;")"</f>
        <v>RKS ()</v>
      </c>
    </row>
    <row r="7433" spans="1:14" x14ac:dyDescent="0.3">
      <c r="A7433" s="1">
        <v>45092</v>
      </c>
      <c r="B7433" t="s">
        <v>36</v>
      </c>
      <c r="C7433" t="s">
        <v>10</v>
      </c>
      <c r="D7433" s="8"/>
      <c r="E7433" s="8"/>
      <c r="M7433" t="s">
        <v>481</v>
      </c>
      <c r="N7433" t="str">
        <f>Tabela_tudo[[#This Row],[Médico]]&amp;" ("&amp;Tabela_tudo[[#This Row],[Obs]]&amp;")"</f>
        <v>DRI ()</v>
      </c>
    </row>
    <row r="7434" spans="1:14" x14ac:dyDescent="0.3">
      <c r="A7434" s="1">
        <v>45108</v>
      </c>
      <c r="B7434" t="s">
        <v>149</v>
      </c>
      <c r="C7434" t="s">
        <v>464</v>
      </c>
      <c r="D7434" s="8"/>
      <c r="E7434" s="8"/>
      <c r="M7434" t="s">
        <v>477</v>
      </c>
      <c r="N7434" t="str">
        <f>Tabela_tudo[[#This Row],[Médico]]&amp;" ("&amp;Tabela_tudo[[#This Row],[Obs]]&amp;")"</f>
        <v>NF ()</v>
      </c>
    </row>
    <row r="7435" spans="1:14" x14ac:dyDescent="0.3">
      <c r="A7435" s="1">
        <v>45092</v>
      </c>
      <c r="B7435" t="s">
        <v>149</v>
      </c>
      <c r="C7435" t="s">
        <v>41</v>
      </c>
      <c r="D7435" s="8"/>
      <c r="E7435" s="8"/>
      <c r="M7435" t="s">
        <v>477</v>
      </c>
      <c r="N7435" t="str">
        <f>Tabela_tudo[[#This Row],[Médico]]&amp;" ("&amp;Tabela_tudo[[#This Row],[Obs]]&amp;")"</f>
        <v>NF ()</v>
      </c>
    </row>
    <row r="7436" spans="1:14" x14ac:dyDescent="0.3">
      <c r="A7436" s="1">
        <v>45117</v>
      </c>
      <c r="B7436" t="s">
        <v>149</v>
      </c>
      <c r="C7436" t="s">
        <v>464</v>
      </c>
      <c r="D7436" s="8"/>
      <c r="E7436" s="8"/>
      <c r="M7436" t="s">
        <v>477</v>
      </c>
      <c r="N7436" t="str">
        <f>Tabela_tudo[[#This Row],[Médico]]&amp;" ("&amp;Tabela_tudo[[#This Row],[Obs]]&amp;")"</f>
        <v>NF ()</v>
      </c>
    </row>
    <row r="7437" spans="1:14" x14ac:dyDescent="0.3">
      <c r="A7437" s="1">
        <v>45092</v>
      </c>
      <c r="B7437" t="s">
        <v>39</v>
      </c>
      <c r="C7437" t="s">
        <v>41</v>
      </c>
      <c r="D7437" s="8"/>
      <c r="E7437" s="8"/>
      <c r="M7437" t="s">
        <v>479</v>
      </c>
      <c r="N7437" t="str">
        <f>Tabela_tudo[[#This Row],[Médico]]&amp;" ("&amp;Tabela_tudo[[#This Row],[Obs]]&amp;")"</f>
        <v>KLA ()</v>
      </c>
    </row>
    <row r="7438" spans="1:14" x14ac:dyDescent="0.3">
      <c r="A7438" s="1">
        <v>45118</v>
      </c>
      <c r="B7438" t="s">
        <v>149</v>
      </c>
      <c r="C7438" t="s">
        <v>464</v>
      </c>
      <c r="D7438" s="8"/>
      <c r="E7438" s="8"/>
      <c r="M7438" t="s">
        <v>477</v>
      </c>
      <c r="N7438" t="str">
        <f>Tabela_tudo[[#This Row],[Médico]]&amp;" ("&amp;Tabela_tudo[[#This Row],[Obs]]&amp;")"</f>
        <v>NF ()</v>
      </c>
    </row>
    <row r="7439" spans="1:14" x14ac:dyDescent="0.3">
      <c r="A7439" s="1">
        <v>45092</v>
      </c>
      <c r="B7439" t="s">
        <v>97</v>
      </c>
      <c r="C7439" t="s">
        <v>8</v>
      </c>
      <c r="D7439" s="8"/>
      <c r="E7439" s="8"/>
      <c r="M7439" t="s">
        <v>479</v>
      </c>
      <c r="N7439" t="str">
        <f>Tabela_tudo[[#This Row],[Médico]]&amp;" ("&amp;Tabela_tudo[[#This Row],[Obs]]&amp;")"</f>
        <v>HAR ()</v>
      </c>
    </row>
    <row r="7440" spans="1:14" x14ac:dyDescent="0.3">
      <c r="A7440" s="1">
        <v>45119</v>
      </c>
      <c r="B7440" t="s">
        <v>149</v>
      </c>
      <c r="C7440" t="s">
        <v>464</v>
      </c>
      <c r="D7440" s="8"/>
      <c r="E7440" s="8"/>
      <c r="M7440" t="s">
        <v>477</v>
      </c>
      <c r="N7440" t="str">
        <f>Tabela_tudo[[#This Row],[Médico]]&amp;" ("&amp;Tabela_tudo[[#This Row],[Obs]]&amp;")"</f>
        <v>NF ()</v>
      </c>
    </row>
    <row r="7441" spans="1:14" x14ac:dyDescent="0.3">
      <c r="A7441" s="1">
        <v>45092</v>
      </c>
      <c r="B7441" t="s">
        <v>60</v>
      </c>
      <c r="C7441" t="s">
        <v>13</v>
      </c>
      <c r="D7441" s="8"/>
      <c r="E7441" s="8"/>
      <c r="M7441" t="s">
        <v>477</v>
      </c>
      <c r="N7441" t="str">
        <f>Tabela_tudo[[#This Row],[Médico]]&amp;" ("&amp;Tabela_tudo[[#This Row],[Obs]]&amp;")"</f>
        <v>BMT ()</v>
      </c>
    </row>
    <row r="7442" spans="1:14" x14ac:dyDescent="0.3">
      <c r="A7442" s="1">
        <v>45116</v>
      </c>
      <c r="B7442" t="s">
        <v>149</v>
      </c>
      <c r="C7442" t="s">
        <v>464</v>
      </c>
      <c r="D7442" s="8"/>
      <c r="E7442" s="8"/>
      <c r="M7442" t="s">
        <v>477</v>
      </c>
      <c r="N7442" t="str">
        <f>Tabela_tudo[[#This Row],[Médico]]&amp;" ("&amp;Tabela_tudo[[#This Row],[Obs]]&amp;")"</f>
        <v>NF ()</v>
      </c>
    </row>
    <row r="7443" spans="1:14" x14ac:dyDescent="0.3">
      <c r="A7443" s="1">
        <v>45092</v>
      </c>
      <c r="B7443" t="s">
        <v>9</v>
      </c>
      <c r="C7443" t="s">
        <v>10</v>
      </c>
      <c r="D7443" s="8"/>
      <c r="E7443" s="8"/>
      <c r="M7443" t="s">
        <v>481</v>
      </c>
      <c r="N7443" t="str">
        <f>Tabela_tudo[[#This Row],[Médico]]&amp;" ("&amp;Tabela_tudo[[#This Row],[Obs]]&amp;")"</f>
        <v>KRE ()</v>
      </c>
    </row>
    <row r="7444" spans="1:14" x14ac:dyDescent="0.3">
      <c r="A7444" s="1">
        <v>45113</v>
      </c>
      <c r="B7444" t="s">
        <v>149</v>
      </c>
      <c r="C7444" t="s">
        <v>464</v>
      </c>
      <c r="D7444" s="8"/>
      <c r="E7444" s="8"/>
      <c r="M7444" t="s">
        <v>477</v>
      </c>
      <c r="N7444" t="str">
        <f>Tabela_tudo[[#This Row],[Médico]]&amp;" ("&amp;Tabela_tudo[[#This Row],[Obs]]&amp;")"</f>
        <v>NF ()</v>
      </c>
    </row>
    <row r="7445" spans="1:14" x14ac:dyDescent="0.3">
      <c r="A7445" s="1">
        <v>45169</v>
      </c>
      <c r="B7445" t="s">
        <v>35</v>
      </c>
      <c r="C7445" t="s">
        <v>41</v>
      </c>
      <c r="D7445" s="8"/>
      <c r="E7445" s="8"/>
      <c r="M7445" t="s">
        <v>479</v>
      </c>
      <c r="N7445" t="str">
        <f>Tabela_tudo[[#This Row],[Médico]]&amp;" ("&amp;Tabela_tudo[[#This Row],[Obs]]&amp;")"</f>
        <v>FLA ()</v>
      </c>
    </row>
    <row r="7446" spans="1:14" x14ac:dyDescent="0.3">
      <c r="A7446" s="1">
        <v>45114</v>
      </c>
      <c r="B7446" t="s">
        <v>149</v>
      </c>
      <c r="C7446" t="s">
        <v>464</v>
      </c>
      <c r="D7446" s="8"/>
      <c r="E7446" s="8"/>
      <c r="M7446" t="s">
        <v>477</v>
      </c>
      <c r="N7446" t="str">
        <f>Tabela_tudo[[#This Row],[Médico]]&amp;" ("&amp;Tabela_tudo[[#This Row],[Obs]]&amp;")"</f>
        <v>NF ()</v>
      </c>
    </row>
    <row r="7447" spans="1:14" x14ac:dyDescent="0.3">
      <c r="A7447" s="1">
        <v>45217</v>
      </c>
      <c r="B7447" t="s">
        <v>61</v>
      </c>
      <c r="C7447" t="s">
        <v>41</v>
      </c>
      <c r="D7447" s="8"/>
      <c r="E7447" s="8"/>
      <c r="M7447" t="s">
        <v>477</v>
      </c>
      <c r="N7447" t="str">
        <f>Tabela_tudo[[#This Row],[Médico]]&amp;" ("&amp;Tabela_tudo[[#This Row],[Obs]]&amp;")"</f>
        <v>AD ()</v>
      </c>
    </row>
    <row r="7448" spans="1:14" x14ac:dyDescent="0.3">
      <c r="A7448" s="1">
        <v>45115</v>
      </c>
      <c r="B7448" t="s">
        <v>149</v>
      </c>
      <c r="C7448" t="s">
        <v>464</v>
      </c>
      <c r="D7448" s="8"/>
      <c r="E7448" s="8"/>
      <c r="M7448" t="s">
        <v>477</v>
      </c>
      <c r="N7448" t="str">
        <f>Tabela_tudo[[#This Row],[Médico]]&amp;" ("&amp;Tabela_tudo[[#This Row],[Obs]]&amp;")"</f>
        <v>NF ()</v>
      </c>
    </row>
    <row r="7449" spans="1:14" x14ac:dyDescent="0.3">
      <c r="A7449" s="1">
        <v>45069</v>
      </c>
      <c r="B7449" t="s">
        <v>36</v>
      </c>
      <c r="C7449" t="s">
        <v>41</v>
      </c>
      <c r="D7449" s="8"/>
      <c r="E7449" s="8"/>
      <c r="M7449" t="s">
        <v>481</v>
      </c>
      <c r="N7449" t="str">
        <f>Tabela_tudo[[#This Row],[Médico]]&amp;" ("&amp;Tabela_tudo[[#This Row],[Obs]]&amp;")"</f>
        <v>DRI ()</v>
      </c>
    </row>
    <row r="7450" spans="1:14" x14ac:dyDescent="0.3">
      <c r="A7450" s="1">
        <v>45176</v>
      </c>
      <c r="B7450" t="s">
        <v>80</v>
      </c>
      <c r="C7450" t="s">
        <v>464</v>
      </c>
      <c r="D7450" s="8"/>
      <c r="E7450" s="8"/>
      <c r="M7450" t="s">
        <v>477</v>
      </c>
      <c r="N7450" t="str">
        <f>Tabela_tudo[[#This Row],[Médico]]&amp;" ("&amp;Tabela_tudo[[#This Row],[Obs]]&amp;")"</f>
        <v>REC ()</v>
      </c>
    </row>
    <row r="7451" spans="1:14" x14ac:dyDescent="0.3">
      <c r="A7451" s="1">
        <v>45069</v>
      </c>
      <c r="B7451" t="s">
        <v>35</v>
      </c>
      <c r="C7451" t="s">
        <v>41</v>
      </c>
      <c r="D7451" s="8"/>
      <c r="E7451" s="8"/>
      <c r="M7451" t="s">
        <v>479</v>
      </c>
      <c r="N7451" t="str">
        <f>Tabela_tudo[[#This Row],[Médico]]&amp;" ("&amp;Tabela_tudo[[#This Row],[Obs]]&amp;")"</f>
        <v>FLA ()</v>
      </c>
    </row>
    <row r="7452" spans="1:14" x14ac:dyDescent="0.3">
      <c r="A7452" s="1">
        <v>45177</v>
      </c>
      <c r="B7452" t="s">
        <v>80</v>
      </c>
      <c r="C7452" t="s">
        <v>464</v>
      </c>
      <c r="D7452" s="8"/>
      <c r="E7452" s="8"/>
      <c r="M7452" t="s">
        <v>477</v>
      </c>
      <c r="N7452" t="str">
        <f>Tabela_tudo[[#This Row],[Médico]]&amp;" ("&amp;Tabela_tudo[[#This Row],[Obs]]&amp;")"</f>
        <v>REC ()</v>
      </c>
    </row>
    <row r="7453" spans="1:14" x14ac:dyDescent="0.3">
      <c r="A7453" s="1">
        <v>45167</v>
      </c>
      <c r="B7453" t="s">
        <v>36</v>
      </c>
      <c r="C7453" t="s">
        <v>10</v>
      </c>
      <c r="D7453" s="8"/>
      <c r="E7453" s="8"/>
      <c r="M7453" t="s">
        <v>481</v>
      </c>
      <c r="N7453" t="str">
        <f>Tabela_tudo[[#This Row],[Médico]]&amp;" ("&amp;Tabela_tudo[[#This Row],[Obs]]&amp;")"</f>
        <v>DRI ()</v>
      </c>
    </row>
    <row r="7454" spans="1:14" x14ac:dyDescent="0.3">
      <c r="A7454" s="1">
        <v>45178</v>
      </c>
      <c r="B7454" t="s">
        <v>80</v>
      </c>
      <c r="C7454" t="s">
        <v>464</v>
      </c>
      <c r="D7454" s="8"/>
      <c r="E7454" s="8"/>
      <c r="M7454" t="s">
        <v>477</v>
      </c>
      <c r="N7454" t="str">
        <f>Tabela_tudo[[#This Row],[Médico]]&amp;" ("&amp;Tabela_tudo[[#This Row],[Obs]]&amp;")"</f>
        <v>REC ()</v>
      </c>
    </row>
    <row r="7455" spans="1:14" x14ac:dyDescent="0.3">
      <c r="A7455" s="1">
        <v>45167</v>
      </c>
      <c r="B7455" t="s">
        <v>40</v>
      </c>
      <c r="C7455" t="s">
        <v>10</v>
      </c>
      <c r="D7455" s="8"/>
      <c r="E7455" s="8"/>
      <c r="M7455" t="s">
        <v>481</v>
      </c>
      <c r="N7455" t="str">
        <f>Tabela_tudo[[#This Row],[Médico]]&amp;" ("&amp;Tabela_tudo[[#This Row],[Obs]]&amp;")"</f>
        <v>EMA ()</v>
      </c>
    </row>
    <row r="7456" spans="1:14" x14ac:dyDescent="0.3">
      <c r="A7456" s="1">
        <v>45175</v>
      </c>
      <c r="B7456" t="s">
        <v>80</v>
      </c>
      <c r="C7456" t="s">
        <v>464</v>
      </c>
      <c r="D7456" s="8"/>
      <c r="E7456" s="8"/>
      <c r="M7456" t="s">
        <v>477</v>
      </c>
      <c r="N7456" t="str">
        <f>Tabela_tudo[[#This Row],[Médico]]&amp;" ("&amp;Tabela_tudo[[#This Row],[Obs]]&amp;")"</f>
        <v>REC ()</v>
      </c>
    </row>
    <row r="7457" spans="1:14" x14ac:dyDescent="0.3">
      <c r="A7457" s="1">
        <v>45167</v>
      </c>
      <c r="B7457" t="s">
        <v>61</v>
      </c>
      <c r="C7457" t="s">
        <v>41</v>
      </c>
      <c r="D7457" s="8"/>
      <c r="E7457" s="8"/>
      <c r="M7457" t="s">
        <v>477</v>
      </c>
      <c r="N7457" t="str">
        <f>Tabela_tudo[[#This Row],[Médico]]&amp;" ("&amp;Tabela_tudo[[#This Row],[Obs]]&amp;")"</f>
        <v>AD ()</v>
      </c>
    </row>
    <row r="7458" spans="1:14" x14ac:dyDescent="0.3">
      <c r="A7458" s="1">
        <v>45172</v>
      </c>
      <c r="B7458" t="s">
        <v>80</v>
      </c>
      <c r="C7458" t="s">
        <v>464</v>
      </c>
      <c r="D7458" s="8"/>
      <c r="E7458" s="8"/>
      <c r="M7458" t="s">
        <v>477</v>
      </c>
      <c r="N7458" t="str">
        <f>Tabela_tudo[[#This Row],[Médico]]&amp;" ("&amp;Tabela_tudo[[#This Row],[Obs]]&amp;")"</f>
        <v>REC ()</v>
      </c>
    </row>
    <row r="7459" spans="1:14" x14ac:dyDescent="0.3">
      <c r="A7459" s="1">
        <v>45167</v>
      </c>
      <c r="B7459" t="s">
        <v>38</v>
      </c>
      <c r="C7459" t="s">
        <v>41</v>
      </c>
      <c r="D7459" s="8"/>
      <c r="E7459" s="8"/>
      <c r="M7459" t="s">
        <v>481</v>
      </c>
      <c r="N7459" t="str">
        <f>Tabela_tudo[[#This Row],[Médico]]&amp;" ("&amp;Tabela_tudo[[#This Row],[Obs]]&amp;")"</f>
        <v>ORO ()</v>
      </c>
    </row>
    <row r="7460" spans="1:14" x14ac:dyDescent="0.3">
      <c r="A7460" s="1">
        <v>45173</v>
      </c>
      <c r="B7460" t="s">
        <v>80</v>
      </c>
      <c r="C7460" t="s">
        <v>464</v>
      </c>
      <c r="D7460" s="8"/>
      <c r="E7460" s="8"/>
      <c r="M7460" t="s">
        <v>477</v>
      </c>
      <c r="N7460" t="str">
        <f>Tabela_tudo[[#This Row],[Médico]]&amp;" ("&amp;Tabela_tudo[[#This Row],[Obs]]&amp;")"</f>
        <v>REC ()</v>
      </c>
    </row>
    <row r="7461" spans="1:14" x14ac:dyDescent="0.3">
      <c r="A7461" s="1">
        <v>45069</v>
      </c>
      <c r="B7461" t="s">
        <v>39</v>
      </c>
      <c r="C7461" t="s">
        <v>10</v>
      </c>
      <c r="D7461" s="8"/>
      <c r="E7461" s="8"/>
      <c r="M7461" t="s">
        <v>479</v>
      </c>
      <c r="N7461" t="str">
        <f>Tabela_tudo[[#This Row],[Médico]]&amp;" ("&amp;Tabela_tudo[[#This Row],[Obs]]&amp;")"</f>
        <v>KLA ()</v>
      </c>
    </row>
    <row r="7462" spans="1:14" x14ac:dyDescent="0.3">
      <c r="A7462" s="1">
        <v>45174</v>
      </c>
      <c r="B7462" t="s">
        <v>80</v>
      </c>
      <c r="C7462" t="s">
        <v>464</v>
      </c>
      <c r="D7462" s="8"/>
      <c r="E7462" s="8"/>
      <c r="M7462" t="s">
        <v>477</v>
      </c>
      <c r="N7462" t="str">
        <f>Tabela_tudo[[#This Row],[Médico]]&amp;" ("&amp;Tabela_tudo[[#This Row],[Obs]]&amp;")"</f>
        <v>REC ()</v>
      </c>
    </row>
    <row r="7463" spans="1:14" x14ac:dyDescent="0.3">
      <c r="A7463" s="1">
        <v>45069</v>
      </c>
      <c r="B7463" t="s">
        <v>38</v>
      </c>
      <c r="C7463" t="s">
        <v>10</v>
      </c>
      <c r="D7463" s="8"/>
      <c r="E7463" s="8"/>
      <c r="M7463" t="s">
        <v>481</v>
      </c>
      <c r="N7463" t="str">
        <f>Tabela_tudo[[#This Row],[Médico]]&amp;" ("&amp;Tabela_tudo[[#This Row],[Obs]]&amp;")"</f>
        <v>ORO ()</v>
      </c>
    </row>
    <row r="7464" spans="1:14" x14ac:dyDescent="0.3">
      <c r="A7464" s="1">
        <v>45183</v>
      </c>
      <c r="B7464" t="s">
        <v>80</v>
      </c>
      <c r="C7464" t="s">
        <v>464</v>
      </c>
      <c r="D7464" s="8"/>
      <c r="E7464" s="8"/>
      <c r="M7464" t="s">
        <v>477</v>
      </c>
      <c r="N7464" t="str">
        <f>Tabela_tudo[[#This Row],[Médico]]&amp;" ("&amp;Tabela_tudo[[#This Row],[Obs]]&amp;")"</f>
        <v>REC ()</v>
      </c>
    </row>
    <row r="7465" spans="1:14" x14ac:dyDescent="0.3">
      <c r="A7465" s="1">
        <v>45167</v>
      </c>
      <c r="B7465" t="s">
        <v>79</v>
      </c>
      <c r="C7465" t="s">
        <v>10</v>
      </c>
      <c r="D7465" s="8"/>
      <c r="E7465" s="8"/>
      <c r="M7465" t="s">
        <v>481</v>
      </c>
      <c r="N7465" t="str">
        <f>Tabela_tudo[[#This Row],[Médico]]&amp;" ("&amp;Tabela_tudo[[#This Row],[Obs]]&amp;")"</f>
        <v>MTB ()</v>
      </c>
    </row>
    <row r="7466" spans="1:14" x14ac:dyDescent="0.3">
      <c r="A7466" s="1">
        <v>45184</v>
      </c>
      <c r="B7466" t="s">
        <v>80</v>
      </c>
      <c r="C7466" t="s">
        <v>464</v>
      </c>
      <c r="D7466" s="8"/>
      <c r="E7466" s="8"/>
      <c r="M7466" t="s">
        <v>477</v>
      </c>
      <c r="N7466" t="str">
        <f>Tabela_tudo[[#This Row],[Médico]]&amp;" ("&amp;Tabela_tudo[[#This Row],[Obs]]&amp;")"</f>
        <v>REC ()</v>
      </c>
    </row>
    <row r="7467" spans="1:14" x14ac:dyDescent="0.3">
      <c r="A7467" s="1">
        <v>45077</v>
      </c>
      <c r="B7467" t="s">
        <v>98</v>
      </c>
      <c r="C7467" t="s">
        <v>41</v>
      </c>
      <c r="D7467" s="8"/>
      <c r="E7467" s="8"/>
      <c r="M7467" t="s">
        <v>479</v>
      </c>
      <c r="N7467" t="str">
        <f>Tabela_tudo[[#This Row],[Médico]]&amp;" ("&amp;Tabela_tudo[[#This Row],[Obs]]&amp;")"</f>
        <v>NIC ()</v>
      </c>
    </row>
    <row r="7468" spans="1:14" x14ac:dyDescent="0.3">
      <c r="A7468" s="1">
        <v>45185</v>
      </c>
      <c r="B7468" t="s">
        <v>35</v>
      </c>
      <c r="C7468" t="s">
        <v>464</v>
      </c>
      <c r="D7468" s="8"/>
      <c r="E7468" s="8"/>
      <c r="M7468" t="s">
        <v>479</v>
      </c>
      <c r="N7468" t="str">
        <f>Tabela_tudo[[#This Row],[Médico]]&amp;" ("&amp;Tabela_tudo[[#This Row],[Obs]]&amp;")"</f>
        <v>FLA ()</v>
      </c>
    </row>
    <row r="7469" spans="1:14" x14ac:dyDescent="0.3">
      <c r="A7469" s="1">
        <v>45077</v>
      </c>
      <c r="B7469" t="s">
        <v>39</v>
      </c>
      <c r="C7469" t="s">
        <v>10</v>
      </c>
      <c r="D7469" s="8"/>
      <c r="E7469" s="8"/>
      <c r="M7469" t="s">
        <v>479</v>
      </c>
      <c r="N7469" t="str">
        <f>Tabela_tudo[[#This Row],[Médico]]&amp;" ("&amp;Tabela_tudo[[#This Row],[Obs]]&amp;")"</f>
        <v>KLA ()</v>
      </c>
    </row>
    <row r="7470" spans="1:14" x14ac:dyDescent="0.3">
      <c r="A7470" s="1">
        <v>45182</v>
      </c>
      <c r="B7470" t="s">
        <v>80</v>
      </c>
      <c r="C7470" t="s">
        <v>464</v>
      </c>
      <c r="D7470" s="8"/>
      <c r="E7470" s="8"/>
      <c r="M7470" t="s">
        <v>477</v>
      </c>
      <c r="N7470" t="str">
        <f>Tabela_tudo[[#This Row],[Médico]]&amp;" ("&amp;Tabela_tudo[[#This Row],[Obs]]&amp;")"</f>
        <v>REC ()</v>
      </c>
    </row>
    <row r="7471" spans="1:14" x14ac:dyDescent="0.3">
      <c r="A7471" s="1">
        <v>45164</v>
      </c>
      <c r="B7471" t="s">
        <v>97</v>
      </c>
      <c r="C7471" t="s">
        <v>13</v>
      </c>
      <c r="D7471" s="8"/>
      <c r="E7471" s="8"/>
      <c r="M7471" t="s">
        <v>479</v>
      </c>
      <c r="N7471" t="str">
        <f>Tabela_tudo[[#This Row],[Médico]]&amp;" ("&amp;Tabela_tudo[[#This Row],[Obs]]&amp;")"</f>
        <v>HAR ()</v>
      </c>
    </row>
    <row r="7472" spans="1:14" x14ac:dyDescent="0.3">
      <c r="A7472" s="1">
        <v>45179</v>
      </c>
      <c r="B7472" t="s">
        <v>80</v>
      </c>
      <c r="C7472" t="s">
        <v>464</v>
      </c>
      <c r="D7472" s="8"/>
      <c r="E7472" s="8"/>
      <c r="M7472" t="s">
        <v>477</v>
      </c>
      <c r="N7472" t="str">
        <f>Tabela_tudo[[#This Row],[Médico]]&amp;" ("&amp;Tabela_tudo[[#This Row],[Obs]]&amp;")"</f>
        <v>REC ()</v>
      </c>
    </row>
    <row r="7473" spans="1:14" x14ac:dyDescent="0.3">
      <c r="A7473" s="1">
        <v>45077</v>
      </c>
      <c r="B7473" t="s">
        <v>9</v>
      </c>
      <c r="C7473" t="s">
        <v>41</v>
      </c>
      <c r="D7473" s="8"/>
      <c r="E7473" s="8"/>
      <c r="M7473" t="s">
        <v>481</v>
      </c>
      <c r="N7473" t="str">
        <f>Tabela_tudo[[#This Row],[Médico]]&amp;" ("&amp;Tabela_tudo[[#This Row],[Obs]]&amp;")"</f>
        <v>KRE ()</v>
      </c>
    </row>
    <row r="7474" spans="1:14" x14ac:dyDescent="0.3">
      <c r="A7474" s="1">
        <v>45180</v>
      </c>
      <c r="B7474" t="s">
        <v>80</v>
      </c>
      <c r="C7474" t="s">
        <v>464</v>
      </c>
      <c r="D7474" s="8"/>
      <c r="E7474" s="8"/>
      <c r="M7474" t="s">
        <v>477</v>
      </c>
      <c r="N7474" t="str">
        <f>Tabela_tudo[[#This Row],[Médico]]&amp;" ("&amp;Tabela_tudo[[#This Row],[Obs]]&amp;")"</f>
        <v>REC ()</v>
      </c>
    </row>
    <row r="7475" spans="1:14" x14ac:dyDescent="0.3">
      <c r="A7475" s="1">
        <v>45077</v>
      </c>
      <c r="B7475" t="s">
        <v>96</v>
      </c>
      <c r="C7475" t="s">
        <v>13</v>
      </c>
      <c r="D7475" s="8"/>
      <c r="E7475" s="8"/>
      <c r="M7475" t="s">
        <v>477</v>
      </c>
      <c r="N7475" t="str">
        <f>Tabela_tudo[[#This Row],[Médico]]&amp;" ("&amp;Tabela_tudo[[#This Row],[Obs]]&amp;")"</f>
        <v>VF ()</v>
      </c>
    </row>
    <row r="7476" spans="1:14" x14ac:dyDescent="0.3">
      <c r="A7476" s="1">
        <v>45181</v>
      </c>
      <c r="B7476" t="s">
        <v>80</v>
      </c>
      <c r="C7476" t="s">
        <v>464</v>
      </c>
      <c r="D7476" s="8"/>
      <c r="E7476" s="8"/>
      <c r="M7476" t="s">
        <v>477</v>
      </c>
      <c r="N7476" t="str">
        <f>Tabela_tudo[[#This Row],[Médico]]&amp;" ("&amp;Tabela_tudo[[#This Row],[Obs]]&amp;")"</f>
        <v>REC ()</v>
      </c>
    </row>
    <row r="7477" spans="1:14" x14ac:dyDescent="0.3">
      <c r="A7477" s="1">
        <v>45167</v>
      </c>
      <c r="B7477" t="s">
        <v>27</v>
      </c>
      <c r="C7477" t="s">
        <v>10</v>
      </c>
      <c r="D7477" s="8"/>
      <c r="E7477" s="8"/>
      <c r="M7477" t="s">
        <v>481</v>
      </c>
      <c r="N7477" t="str">
        <f>Tabela_tudo[[#This Row],[Médico]]&amp;" ("&amp;Tabela_tudo[[#This Row],[Obs]]&amp;")"</f>
        <v>KIL ()</v>
      </c>
    </row>
    <row r="7478" spans="1:14" x14ac:dyDescent="0.3">
      <c r="A7478" s="1">
        <v>45177</v>
      </c>
      <c r="B7478" t="s">
        <v>39</v>
      </c>
      <c r="C7478" t="s">
        <v>464</v>
      </c>
      <c r="D7478" s="8"/>
      <c r="E7478" s="8"/>
      <c r="M7478" t="s">
        <v>479</v>
      </c>
      <c r="N7478" t="str">
        <f>Tabela_tudo[[#This Row],[Médico]]&amp;" ("&amp;Tabela_tudo[[#This Row],[Obs]]&amp;")"</f>
        <v>KLA ()</v>
      </c>
    </row>
    <row r="7479" spans="1:14" x14ac:dyDescent="0.3">
      <c r="A7479" s="1">
        <v>45077</v>
      </c>
      <c r="B7479" t="s">
        <v>38</v>
      </c>
      <c r="C7479" t="s">
        <v>10</v>
      </c>
      <c r="D7479" s="8"/>
      <c r="E7479" s="8"/>
      <c r="M7479" t="s">
        <v>481</v>
      </c>
      <c r="N7479" t="str">
        <f>Tabela_tudo[[#This Row],[Médico]]&amp;" ("&amp;Tabela_tudo[[#This Row],[Obs]]&amp;")"</f>
        <v>ORO ()</v>
      </c>
    </row>
    <row r="7480" spans="1:14" x14ac:dyDescent="0.3">
      <c r="A7480" s="1">
        <v>45178</v>
      </c>
      <c r="B7480" t="s">
        <v>39</v>
      </c>
      <c r="C7480" t="s">
        <v>464</v>
      </c>
      <c r="D7480" s="8"/>
      <c r="E7480" s="8"/>
      <c r="M7480" t="s">
        <v>479</v>
      </c>
      <c r="N7480" t="str">
        <f>Tabela_tudo[[#This Row],[Médico]]&amp;" ("&amp;Tabela_tudo[[#This Row],[Obs]]&amp;")"</f>
        <v>KLA ()</v>
      </c>
    </row>
    <row r="7481" spans="1:14" x14ac:dyDescent="0.3">
      <c r="A7481" s="1">
        <v>45077</v>
      </c>
      <c r="B7481" t="s">
        <v>97</v>
      </c>
      <c r="C7481" t="s">
        <v>8</v>
      </c>
      <c r="D7481" s="8"/>
      <c r="E7481" s="8"/>
      <c r="M7481" t="s">
        <v>479</v>
      </c>
      <c r="N7481" t="str">
        <f>Tabela_tudo[[#This Row],[Médico]]&amp;" ("&amp;Tabela_tudo[[#This Row],[Obs]]&amp;")"</f>
        <v>HAR ()</v>
      </c>
    </row>
    <row r="7482" spans="1:14" x14ac:dyDescent="0.3">
      <c r="A7482" s="1">
        <v>45179</v>
      </c>
      <c r="B7482" t="s">
        <v>39</v>
      </c>
      <c r="C7482" t="s">
        <v>464</v>
      </c>
      <c r="D7482" s="8"/>
      <c r="E7482" s="8"/>
      <c r="M7482" t="s">
        <v>479</v>
      </c>
      <c r="N7482" t="str">
        <f>Tabela_tudo[[#This Row],[Médico]]&amp;" ("&amp;Tabela_tudo[[#This Row],[Obs]]&amp;")"</f>
        <v>KLA ()</v>
      </c>
    </row>
    <row r="7483" spans="1:14" x14ac:dyDescent="0.3">
      <c r="A7483" s="1">
        <v>45075</v>
      </c>
      <c r="B7483" t="s">
        <v>79</v>
      </c>
      <c r="C7483" t="s">
        <v>41</v>
      </c>
      <c r="D7483" s="8"/>
      <c r="E7483" s="8"/>
      <c r="M7483" t="s">
        <v>481</v>
      </c>
      <c r="N7483" t="str">
        <f>Tabela_tudo[[#This Row],[Médico]]&amp;" ("&amp;Tabela_tudo[[#This Row],[Obs]]&amp;")"</f>
        <v>MTB ()</v>
      </c>
    </row>
    <row r="7484" spans="1:14" x14ac:dyDescent="0.3">
      <c r="A7484" s="1">
        <v>45176</v>
      </c>
      <c r="B7484" t="s">
        <v>39</v>
      </c>
      <c r="C7484" t="s">
        <v>464</v>
      </c>
      <c r="D7484" s="8"/>
      <c r="E7484" s="8"/>
      <c r="M7484" t="s">
        <v>479</v>
      </c>
      <c r="N7484" t="str">
        <f>Tabela_tudo[[#This Row],[Médico]]&amp;" ("&amp;Tabela_tudo[[#This Row],[Obs]]&amp;")"</f>
        <v>KLA ()</v>
      </c>
    </row>
    <row r="7485" spans="1:14" x14ac:dyDescent="0.3">
      <c r="A7485" s="1">
        <v>45075</v>
      </c>
      <c r="B7485" t="s">
        <v>69</v>
      </c>
      <c r="C7485" t="s">
        <v>41</v>
      </c>
      <c r="D7485" s="8"/>
      <c r="E7485" s="8"/>
      <c r="M7485" t="s">
        <v>479</v>
      </c>
      <c r="N7485" t="str">
        <f>Tabela_tudo[[#This Row],[Médico]]&amp;" ("&amp;Tabela_tudo[[#This Row],[Obs]]&amp;")"</f>
        <v>PRE ()</v>
      </c>
    </row>
    <row r="7486" spans="1:14" x14ac:dyDescent="0.3">
      <c r="A7486" s="1">
        <v>45173</v>
      </c>
      <c r="B7486" t="s">
        <v>39</v>
      </c>
      <c r="C7486" t="s">
        <v>464</v>
      </c>
      <c r="D7486" s="8"/>
      <c r="E7486" s="8"/>
      <c r="M7486" t="s">
        <v>479</v>
      </c>
      <c r="N7486" t="str">
        <f>Tabela_tudo[[#This Row],[Médico]]&amp;" ("&amp;Tabela_tudo[[#This Row],[Obs]]&amp;")"</f>
        <v>KLA ()</v>
      </c>
    </row>
    <row r="7487" spans="1:14" x14ac:dyDescent="0.3">
      <c r="A7487" s="1">
        <v>45145</v>
      </c>
      <c r="B7487" t="s">
        <v>69</v>
      </c>
      <c r="C7487" t="s">
        <v>41</v>
      </c>
      <c r="D7487" s="8"/>
      <c r="E7487" s="8"/>
      <c r="M7487" t="s">
        <v>479</v>
      </c>
      <c r="N7487" t="str">
        <f>Tabela_tudo[[#This Row],[Médico]]&amp;" ("&amp;Tabela_tudo[[#This Row],[Obs]]&amp;")"</f>
        <v>PRE ()</v>
      </c>
    </row>
    <row r="7488" spans="1:14" x14ac:dyDescent="0.3">
      <c r="A7488" s="1">
        <v>45174</v>
      </c>
      <c r="B7488" t="s">
        <v>39</v>
      </c>
      <c r="C7488" t="s">
        <v>464</v>
      </c>
      <c r="D7488" s="8"/>
      <c r="E7488" s="8"/>
      <c r="M7488" t="s">
        <v>479</v>
      </c>
      <c r="N7488" t="str">
        <f>Tabela_tudo[[#This Row],[Médico]]&amp;" ("&amp;Tabela_tudo[[#This Row],[Obs]]&amp;")"</f>
        <v>KLA ()</v>
      </c>
    </row>
    <row r="7489" spans="1:14" x14ac:dyDescent="0.3">
      <c r="A7489" s="1">
        <v>45145</v>
      </c>
      <c r="B7489" t="s">
        <v>27</v>
      </c>
      <c r="C7489" t="s">
        <v>10</v>
      </c>
      <c r="D7489" s="8"/>
      <c r="E7489" s="8"/>
      <c r="M7489" t="s">
        <v>481</v>
      </c>
      <c r="N7489" t="str">
        <f>Tabela_tudo[[#This Row],[Médico]]&amp;" ("&amp;Tabela_tudo[[#This Row],[Obs]]&amp;")"</f>
        <v>KIL ()</v>
      </c>
    </row>
    <row r="7490" spans="1:14" x14ac:dyDescent="0.3">
      <c r="A7490" s="1">
        <v>45175</v>
      </c>
      <c r="B7490" t="s">
        <v>39</v>
      </c>
      <c r="C7490" t="s">
        <v>464</v>
      </c>
      <c r="D7490" s="8"/>
      <c r="E7490" s="8"/>
      <c r="M7490" t="s">
        <v>479</v>
      </c>
      <c r="N7490" t="str">
        <f>Tabela_tudo[[#This Row],[Médico]]&amp;" ("&amp;Tabela_tudo[[#This Row],[Obs]]&amp;")"</f>
        <v>KLA ()</v>
      </c>
    </row>
    <row r="7491" spans="1:14" x14ac:dyDescent="0.3">
      <c r="A7491" s="1">
        <v>45145</v>
      </c>
      <c r="B7491" t="s">
        <v>79</v>
      </c>
      <c r="C7491" t="s">
        <v>10</v>
      </c>
      <c r="D7491" s="8"/>
      <c r="E7491" s="8"/>
      <c r="M7491" t="s">
        <v>481</v>
      </c>
      <c r="N7491" t="str">
        <f>Tabela_tudo[[#This Row],[Médico]]&amp;" ("&amp;Tabela_tudo[[#This Row],[Obs]]&amp;")"</f>
        <v>MTB ()</v>
      </c>
    </row>
    <row r="7492" spans="1:14" x14ac:dyDescent="0.3">
      <c r="A7492" s="1">
        <v>45184</v>
      </c>
      <c r="B7492" t="s">
        <v>39</v>
      </c>
      <c r="C7492" t="s">
        <v>464</v>
      </c>
      <c r="D7492" s="8"/>
      <c r="E7492" s="8"/>
      <c r="M7492" t="s">
        <v>479</v>
      </c>
      <c r="N7492" t="str">
        <f>Tabela_tudo[[#This Row],[Médico]]&amp;" ("&amp;Tabela_tudo[[#This Row],[Obs]]&amp;")"</f>
        <v>KLA ()</v>
      </c>
    </row>
    <row r="7493" spans="1:14" x14ac:dyDescent="0.3">
      <c r="A7493" s="1">
        <v>45075</v>
      </c>
      <c r="B7493" t="s">
        <v>83</v>
      </c>
      <c r="C7493" t="s">
        <v>8</v>
      </c>
      <c r="D7493" s="8"/>
      <c r="E7493" s="8"/>
      <c r="M7493" t="s">
        <v>477</v>
      </c>
      <c r="N7493" t="str">
        <f>Tabela_tudo[[#This Row],[Médico]]&amp;" ("&amp;Tabela_tudo[[#This Row],[Obs]]&amp;")"</f>
        <v>MG ()</v>
      </c>
    </row>
    <row r="7494" spans="1:14" x14ac:dyDescent="0.3">
      <c r="A7494" s="1">
        <v>45170</v>
      </c>
      <c r="B7494" t="s">
        <v>80</v>
      </c>
      <c r="C7494" t="s">
        <v>464</v>
      </c>
      <c r="D7494" s="8"/>
      <c r="E7494" s="8"/>
      <c r="M7494" t="s">
        <v>477</v>
      </c>
      <c r="N7494" t="str">
        <f>Tabela_tudo[[#This Row],[Médico]]&amp;" ("&amp;Tabela_tudo[[#This Row],[Obs]]&amp;")"</f>
        <v>REC ()</v>
      </c>
    </row>
    <row r="7495" spans="1:14" x14ac:dyDescent="0.3">
      <c r="A7495" s="1">
        <v>45075</v>
      </c>
      <c r="B7495" t="s">
        <v>39</v>
      </c>
      <c r="C7495" t="s">
        <v>10</v>
      </c>
      <c r="D7495" s="8"/>
      <c r="E7495" s="8"/>
      <c r="M7495" t="s">
        <v>479</v>
      </c>
      <c r="N7495" t="str">
        <f>Tabela_tudo[[#This Row],[Médico]]&amp;" ("&amp;Tabela_tudo[[#This Row],[Obs]]&amp;")"</f>
        <v>KLA ()</v>
      </c>
    </row>
    <row r="7496" spans="1:14" x14ac:dyDescent="0.3">
      <c r="A7496" s="1">
        <v>45171</v>
      </c>
      <c r="B7496" t="s">
        <v>80</v>
      </c>
      <c r="C7496" t="s">
        <v>464</v>
      </c>
      <c r="D7496" s="8"/>
      <c r="E7496" s="8"/>
      <c r="M7496" t="s">
        <v>477</v>
      </c>
      <c r="N7496" t="str">
        <f>Tabela_tudo[[#This Row],[Médico]]&amp;" ("&amp;Tabela_tudo[[#This Row],[Obs]]&amp;")"</f>
        <v>REC ()</v>
      </c>
    </row>
    <row r="7497" spans="1:14" x14ac:dyDescent="0.3">
      <c r="A7497" s="1">
        <v>45075</v>
      </c>
      <c r="B7497" t="s">
        <v>38</v>
      </c>
      <c r="C7497" t="s">
        <v>10</v>
      </c>
      <c r="D7497" s="8"/>
      <c r="E7497" s="8"/>
      <c r="M7497" t="s">
        <v>481</v>
      </c>
      <c r="N7497" t="str">
        <f>Tabela_tudo[[#This Row],[Médico]]&amp;" ("&amp;Tabela_tudo[[#This Row],[Obs]]&amp;")"</f>
        <v>ORO ()</v>
      </c>
    </row>
    <row r="7498" spans="1:14" x14ac:dyDescent="0.3">
      <c r="A7498" s="1">
        <v>45183</v>
      </c>
      <c r="B7498" t="s">
        <v>39</v>
      </c>
      <c r="C7498" t="s">
        <v>464</v>
      </c>
      <c r="D7498" s="8"/>
      <c r="E7498" s="8"/>
      <c r="M7498" t="s">
        <v>479</v>
      </c>
      <c r="N7498" t="str">
        <f>Tabela_tudo[[#This Row],[Médico]]&amp;" ("&amp;Tabela_tudo[[#This Row],[Obs]]&amp;")"</f>
        <v>KLA ()</v>
      </c>
    </row>
    <row r="7499" spans="1:14" x14ac:dyDescent="0.3">
      <c r="A7499" s="1">
        <v>45145</v>
      </c>
      <c r="B7499" t="s">
        <v>112</v>
      </c>
      <c r="C7499" t="s">
        <v>41</v>
      </c>
      <c r="D7499" s="8"/>
      <c r="E7499" s="8"/>
      <c r="M7499" t="s">
        <v>479</v>
      </c>
      <c r="N7499" t="str">
        <f>Tabela_tudo[[#This Row],[Médico]]&amp;" ("&amp;Tabela_tudo[[#This Row],[Obs]]&amp;")"</f>
        <v>FLE ()</v>
      </c>
    </row>
    <row r="7500" spans="1:14" x14ac:dyDescent="0.3">
      <c r="A7500" s="1">
        <v>45180</v>
      </c>
      <c r="B7500" t="s">
        <v>39</v>
      </c>
      <c r="C7500" t="s">
        <v>464</v>
      </c>
      <c r="D7500" s="8"/>
      <c r="E7500" s="8"/>
      <c r="M7500" t="s">
        <v>479</v>
      </c>
      <c r="N7500" t="str">
        <f>Tabela_tudo[[#This Row],[Médico]]&amp;" ("&amp;Tabela_tudo[[#This Row],[Obs]]&amp;")"</f>
        <v>KLA ()</v>
      </c>
    </row>
    <row r="7501" spans="1:14" x14ac:dyDescent="0.3">
      <c r="A7501" s="1">
        <v>45167</v>
      </c>
      <c r="B7501" t="s">
        <v>62</v>
      </c>
      <c r="C7501" t="s">
        <v>8</v>
      </c>
      <c r="D7501" s="8"/>
      <c r="E7501" s="8"/>
      <c r="M7501" t="s">
        <v>477</v>
      </c>
      <c r="N7501" t="str">
        <f>Tabela_tudo[[#This Row],[Médico]]&amp;" ("&amp;Tabela_tudo[[#This Row],[Obs]]&amp;")"</f>
        <v>RKS ()</v>
      </c>
    </row>
    <row r="7502" spans="1:14" x14ac:dyDescent="0.3">
      <c r="A7502" s="1">
        <v>45181</v>
      </c>
      <c r="B7502" t="s">
        <v>39</v>
      </c>
      <c r="C7502" t="s">
        <v>464</v>
      </c>
      <c r="D7502" s="8"/>
      <c r="E7502" s="8"/>
      <c r="M7502" t="s">
        <v>479</v>
      </c>
      <c r="N7502" t="str">
        <f>Tabela_tudo[[#This Row],[Médico]]&amp;" ("&amp;Tabela_tudo[[#This Row],[Obs]]&amp;")"</f>
        <v>KLA ()</v>
      </c>
    </row>
    <row r="7503" spans="1:14" x14ac:dyDescent="0.3">
      <c r="A7503" s="1">
        <v>45167</v>
      </c>
      <c r="B7503" t="s">
        <v>112</v>
      </c>
      <c r="C7503" t="s">
        <v>13</v>
      </c>
      <c r="D7503" s="8"/>
      <c r="E7503" s="8"/>
      <c r="M7503" t="s">
        <v>479</v>
      </c>
      <c r="N7503" t="str">
        <f>Tabela_tudo[[#This Row],[Médico]]&amp;" ("&amp;Tabela_tudo[[#This Row],[Obs]]&amp;")"</f>
        <v>FLE ()</v>
      </c>
    </row>
    <row r="7504" spans="1:14" x14ac:dyDescent="0.3">
      <c r="A7504" s="1">
        <v>45182</v>
      </c>
      <c r="B7504" t="s">
        <v>39</v>
      </c>
      <c r="C7504" t="s">
        <v>464</v>
      </c>
      <c r="D7504" s="8"/>
      <c r="E7504" s="8"/>
      <c r="M7504" t="s">
        <v>479</v>
      </c>
      <c r="N7504" t="str">
        <f>Tabela_tudo[[#This Row],[Médico]]&amp;" ("&amp;Tabela_tudo[[#This Row],[Obs]]&amp;")"</f>
        <v>KLA ()</v>
      </c>
    </row>
    <row r="7505" spans="1:14" x14ac:dyDescent="0.3">
      <c r="A7505" s="1">
        <v>45069</v>
      </c>
      <c r="B7505" t="s">
        <v>69</v>
      </c>
      <c r="C7505" t="s">
        <v>8</v>
      </c>
      <c r="D7505" s="8"/>
      <c r="E7505" s="8"/>
      <c r="M7505" t="s">
        <v>479</v>
      </c>
      <c r="N7505" t="str">
        <f>Tabela_tudo[[#This Row],[Médico]]&amp;" ("&amp;Tabela_tudo[[#This Row],[Obs]]&amp;")"</f>
        <v>PRE ()</v>
      </c>
    </row>
    <row r="7506" spans="1:14" x14ac:dyDescent="0.3">
      <c r="A7506" s="1">
        <v>45194</v>
      </c>
      <c r="B7506" t="s">
        <v>83</v>
      </c>
      <c r="C7506" t="s">
        <v>464</v>
      </c>
      <c r="D7506" s="8"/>
      <c r="E7506" s="8"/>
      <c r="M7506" t="s">
        <v>477</v>
      </c>
      <c r="N7506" t="str">
        <f>Tabela_tudo[[#This Row],[Médico]]&amp;" ("&amp;Tabela_tudo[[#This Row],[Obs]]&amp;")"</f>
        <v>MG ()</v>
      </c>
    </row>
    <row r="7507" spans="1:14" x14ac:dyDescent="0.3">
      <c r="A7507" s="1">
        <v>45069</v>
      </c>
      <c r="B7507" t="s">
        <v>61</v>
      </c>
      <c r="C7507" t="s">
        <v>13</v>
      </c>
      <c r="D7507" s="8"/>
      <c r="E7507" s="8"/>
      <c r="M7507" t="s">
        <v>477</v>
      </c>
      <c r="N7507" t="str">
        <f>Tabela_tudo[[#This Row],[Médico]]&amp;" ("&amp;Tabela_tudo[[#This Row],[Obs]]&amp;")"</f>
        <v>AD ()</v>
      </c>
    </row>
    <row r="7508" spans="1:14" x14ac:dyDescent="0.3">
      <c r="A7508" s="1">
        <v>45176</v>
      </c>
      <c r="B7508" t="s">
        <v>59</v>
      </c>
      <c r="C7508" t="s">
        <v>465</v>
      </c>
      <c r="D7508" s="8"/>
      <c r="E7508" s="8"/>
      <c r="F7508" t="s">
        <v>472</v>
      </c>
      <c r="M7508" t="s">
        <v>477</v>
      </c>
      <c r="N7508" t="str">
        <f>Tabela_tudo[[#This Row],[Médico]]&amp;" ("&amp;Tabela_tudo[[#This Row],[Obs]]&amp;")"</f>
        <v>WEN (CLASA)</v>
      </c>
    </row>
    <row r="7509" spans="1:14" x14ac:dyDescent="0.3">
      <c r="A7509" s="1">
        <v>45141</v>
      </c>
      <c r="B7509" t="s">
        <v>42</v>
      </c>
      <c r="C7509" t="s">
        <v>13</v>
      </c>
      <c r="D7509" s="8"/>
      <c r="E7509" s="8"/>
      <c r="M7509" t="s">
        <v>479</v>
      </c>
      <c r="N7509" t="str">
        <f>Tabela_tudo[[#This Row],[Médico]]&amp;" ("&amp;Tabela_tudo[[#This Row],[Obs]]&amp;")"</f>
        <v>SAK ()</v>
      </c>
    </row>
    <row r="7510" spans="1:14" x14ac:dyDescent="0.3">
      <c r="A7510" s="1">
        <v>45177</v>
      </c>
      <c r="B7510" t="s">
        <v>59</v>
      </c>
      <c r="C7510" t="s">
        <v>465</v>
      </c>
      <c r="D7510" s="8"/>
      <c r="E7510" s="8"/>
      <c r="F7510" t="s">
        <v>472</v>
      </c>
      <c r="M7510" t="s">
        <v>477</v>
      </c>
      <c r="N7510" t="str">
        <f>Tabela_tudo[[#This Row],[Médico]]&amp;" ("&amp;Tabela_tudo[[#This Row],[Obs]]&amp;")"</f>
        <v>WEN (CLASA)</v>
      </c>
    </row>
    <row r="7511" spans="1:14" x14ac:dyDescent="0.3">
      <c r="A7511" s="1">
        <v>45145</v>
      </c>
      <c r="B7511" t="s">
        <v>96</v>
      </c>
      <c r="C7511" t="s">
        <v>41</v>
      </c>
      <c r="D7511" s="8"/>
      <c r="E7511" s="8"/>
      <c r="M7511" t="s">
        <v>477</v>
      </c>
      <c r="N7511" t="str">
        <f>Tabela_tudo[[#This Row],[Médico]]&amp;" ("&amp;Tabela_tudo[[#This Row],[Obs]]&amp;")"</f>
        <v>VF ()</v>
      </c>
    </row>
    <row r="7512" spans="1:14" x14ac:dyDescent="0.3">
      <c r="A7512" s="1">
        <v>45193</v>
      </c>
      <c r="B7512" t="s">
        <v>83</v>
      </c>
      <c r="C7512" t="s">
        <v>464</v>
      </c>
      <c r="D7512" s="8"/>
      <c r="E7512" s="8"/>
      <c r="M7512" t="s">
        <v>477</v>
      </c>
      <c r="N7512" t="str">
        <f>Tabela_tudo[[#This Row],[Médico]]&amp;" ("&amp;Tabela_tudo[[#This Row],[Obs]]&amp;")"</f>
        <v>MG ()</v>
      </c>
    </row>
    <row r="7513" spans="1:14" x14ac:dyDescent="0.3">
      <c r="A7513" s="1">
        <v>45107</v>
      </c>
      <c r="B7513" t="s">
        <v>36</v>
      </c>
      <c r="C7513" t="s">
        <v>10</v>
      </c>
      <c r="D7513" s="8"/>
      <c r="E7513" s="8"/>
      <c r="M7513" t="s">
        <v>481</v>
      </c>
      <c r="N7513" t="str">
        <f>Tabela_tudo[[#This Row],[Médico]]&amp;" ("&amp;Tabela_tudo[[#This Row],[Obs]]&amp;")"</f>
        <v>DRI ()</v>
      </c>
    </row>
    <row r="7514" spans="1:14" x14ac:dyDescent="0.3">
      <c r="A7514" s="1">
        <v>45190</v>
      </c>
      <c r="B7514" t="s">
        <v>83</v>
      </c>
      <c r="C7514" t="s">
        <v>464</v>
      </c>
      <c r="D7514" s="8"/>
      <c r="E7514" s="8"/>
      <c r="M7514" t="s">
        <v>477</v>
      </c>
      <c r="N7514" t="str">
        <f>Tabela_tudo[[#This Row],[Médico]]&amp;" ("&amp;Tabela_tudo[[#This Row],[Obs]]&amp;")"</f>
        <v>MG ()</v>
      </c>
    </row>
    <row r="7515" spans="1:14" x14ac:dyDescent="0.3">
      <c r="A7515" s="1">
        <v>45107</v>
      </c>
      <c r="B7515" t="s">
        <v>9</v>
      </c>
      <c r="C7515" t="s">
        <v>10</v>
      </c>
      <c r="D7515" s="8"/>
      <c r="E7515" s="8"/>
      <c r="M7515" t="s">
        <v>481</v>
      </c>
      <c r="N7515" t="str">
        <f>Tabela_tudo[[#This Row],[Médico]]&amp;" ("&amp;Tabela_tudo[[#This Row],[Obs]]&amp;")"</f>
        <v>KRE ()</v>
      </c>
    </row>
    <row r="7516" spans="1:14" x14ac:dyDescent="0.3">
      <c r="A7516" s="1">
        <v>45191</v>
      </c>
      <c r="B7516" t="s">
        <v>83</v>
      </c>
      <c r="C7516" t="s">
        <v>464</v>
      </c>
      <c r="D7516" s="8"/>
      <c r="E7516" s="8"/>
      <c r="M7516" t="s">
        <v>477</v>
      </c>
      <c r="N7516" t="str">
        <f>Tabela_tudo[[#This Row],[Médico]]&amp;" ("&amp;Tabela_tudo[[#This Row],[Obs]]&amp;")"</f>
        <v>MG ()</v>
      </c>
    </row>
    <row r="7517" spans="1:14" x14ac:dyDescent="0.3">
      <c r="A7517" s="1">
        <v>45146</v>
      </c>
      <c r="B7517" t="s">
        <v>36</v>
      </c>
      <c r="C7517" t="s">
        <v>10</v>
      </c>
      <c r="D7517" s="8"/>
      <c r="E7517" s="8"/>
      <c r="M7517" t="s">
        <v>481</v>
      </c>
      <c r="N7517" t="str">
        <f>Tabela_tudo[[#This Row],[Médico]]&amp;" ("&amp;Tabela_tudo[[#This Row],[Obs]]&amp;")"</f>
        <v>DRI ()</v>
      </c>
    </row>
    <row r="7518" spans="1:14" x14ac:dyDescent="0.3">
      <c r="A7518" s="1">
        <v>45192</v>
      </c>
      <c r="B7518" t="s">
        <v>83</v>
      </c>
      <c r="C7518" t="s">
        <v>464</v>
      </c>
      <c r="D7518" s="8"/>
      <c r="E7518" s="8"/>
      <c r="M7518" t="s">
        <v>477</v>
      </c>
      <c r="N7518" t="str">
        <f>Tabela_tudo[[#This Row],[Médico]]&amp;" ("&amp;Tabela_tudo[[#This Row],[Obs]]&amp;")"</f>
        <v>MG ()</v>
      </c>
    </row>
    <row r="7519" spans="1:14" x14ac:dyDescent="0.3">
      <c r="A7519" s="1">
        <v>45146</v>
      </c>
      <c r="B7519" t="s">
        <v>40</v>
      </c>
      <c r="C7519" t="s">
        <v>10</v>
      </c>
      <c r="D7519" s="8"/>
      <c r="E7519" s="8"/>
      <c r="M7519" t="s">
        <v>481</v>
      </c>
      <c r="N7519" t="str">
        <f>Tabela_tudo[[#This Row],[Médico]]&amp;" ("&amp;Tabela_tudo[[#This Row],[Obs]]&amp;")"</f>
        <v>EMA ()</v>
      </c>
    </row>
    <row r="7520" spans="1:14" x14ac:dyDescent="0.3">
      <c r="A7520" s="1">
        <v>45193</v>
      </c>
      <c r="B7520" t="s">
        <v>59</v>
      </c>
      <c r="C7520" t="s">
        <v>465</v>
      </c>
      <c r="D7520" s="8"/>
      <c r="E7520" s="8"/>
      <c r="F7520" t="s">
        <v>486</v>
      </c>
      <c r="M7520" t="s">
        <v>477</v>
      </c>
      <c r="N7520" t="str">
        <f>Tabela_tudo[[#This Row],[Médico]]&amp;" ("&amp;Tabela_tudo[[#This Row],[Obs]]&amp;")"</f>
        <v>WEN (JARGS)</v>
      </c>
    </row>
    <row r="7521" spans="1:14" x14ac:dyDescent="0.3">
      <c r="A7521" s="1">
        <v>45146</v>
      </c>
      <c r="B7521" t="s">
        <v>27</v>
      </c>
      <c r="C7521" t="s">
        <v>10</v>
      </c>
      <c r="D7521" s="8"/>
      <c r="E7521" s="8"/>
      <c r="M7521" t="s">
        <v>481</v>
      </c>
      <c r="N7521" t="str">
        <f>Tabela_tudo[[#This Row],[Médico]]&amp;" ("&amp;Tabela_tudo[[#This Row],[Obs]]&amp;")"</f>
        <v>KIL ()</v>
      </c>
    </row>
    <row r="7522" spans="1:14" x14ac:dyDescent="0.3">
      <c r="A7522" s="1">
        <v>45191</v>
      </c>
      <c r="B7522" t="s">
        <v>80</v>
      </c>
      <c r="C7522" t="s">
        <v>465</v>
      </c>
      <c r="D7522" s="8"/>
      <c r="E7522" s="8"/>
      <c r="F7522" t="s">
        <v>486</v>
      </c>
      <c r="M7522" t="s">
        <v>477</v>
      </c>
      <c r="N7522" t="str">
        <f>Tabela_tudo[[#This Row],[Médico]]&amp;" ("&amp;Tabela_tudo[[#This Row],[Obs]]&amp;")"</f>
        <v>REC (JARGS)</v>
      </c>
    </row>
    <row r="7523" spans="1:14" x14ac:dyDescent="0.3">
      <c r="A7523" s="1">
        <v>45146</v>
      </c>
      <c r="B7523" t="s">
        <v>79</v>
      </c>
      <c r="C7523" t="s">
        <v>10</v>
      </c>
      <c r="D7523" s="8"/>
      <c r="E7523" s="8"/>
      <c r="M7523" t="s">
        <v>481</v>
      </c>
      <c r="N7523" t="str">
        <f>Tabela_tudo[[#This Row],[Médico]]&amp;" ("&amp;Tabela_tudo[[#This Row],[Obs]]&amp;")"</f>
        <v>MTB ()</v>
      </c>
    </row>
    <row r="7524" spans="1:14" x14ac:dyDescent="0.3">
      <c r="A7524" s="1">
        <v>45192</v>
      </c>
      <c r="B7524" t="s">
        <v>80</v>
      </c>
      <c r="C7524" t="s">
        <v>465</v>
      </c>
      <c r="D7524" s="8"/>
      <c r="E7524" s="8"/>
      <c r="F7524" t="s">
        <v>486</v>
      </c>
      <c r="M7524" t="s">
        <v>477</v>
      </c>
      <c r="N7524" t="str">
        <f>Tabela_tudo[[#This Row],[Médico]]&amp;" ("&amp;Tabela_tudo[[#This Row],[Obs]]&amp;")"</f>
        <v>REC (JARGS)</v>
      </c>
    </row>
    <row r="7525" spans="1:14" x14ac:dyDescent="0.3">
      <c r="A7525" s="1">
        <v>45142</v>
      </c>
      <c r="B7525" t="s">
        <v>27</v>
      </c>
      <c r="C7525" t="s">
        <v>10</v>
      </c>
      <c r="D7525" s="8"/>
      <c r="E7525" s="8"/>
      <c r="M7525" t="s">
        <v>481</v>
      </c>
      <c r="N7525" t="str">
        <f>Tabela_tudo[[#This Row],[Médico]]&amp;" ("&amp;Tabela_tudo[[#This Row],[Obs]]&amp;")"</f>
        <v>KIL ()</v>
      </c>
    </row>
    <row r="7526" spans="1:14" x14ac:dyDescent="0.3">
      <c r="A7526" s="1">
        <v>45192</v>
      </c>
      <c r="B7526" t="s">
        <v>59</v>
      </c>
      <c r="C7526" t="s">
        <v>465</v>
      </c>
      <c r="D7526" s="8"/>
      <c r="E7526" s="8"/>
      <c r="F7526" t="s">
        <v>486</v>
      </c>
      <c r="M7526" t="s">
        <v>477</v>
      </c>
      <c r="N7526" t="str">
        <f>Tabela_tudo[[#This Row],[Médico]]&amp;" ("&amp;Tabela_tudo[[#This Row],[Obs]]&amp;")"</f>
        <v>WEN (JARGS)</v>
      </c>
    </row>
    <row r="7527" spans="1:14" x14ac:dyDescent="0.3">
      <c r="A7527" s="1">
        <v>45142</v>
      </c>
      <c r="B7527" t="s">
        <v>42</v>
      </c>
      <c r="C7527" t="s">
        <v>41</v>
      </c>
      <c r="D7527" s="8"/>
      <c r="E7527" s="8"/>
      <c r="M7527" t="s">
        <v>479</v>
      </c>
      <c r="N7527" t="str">
        <f>Tabela_tudo[[#This Row],[Médico]]&amp;" ("&amp;Tabela_tudo[[#This Row],[Obs]]&amp;")"</f>
        <v>SAK ()</v>
      </c>
    </row>
    <row r="7528" spans="1:14" x14ac:dyDescent="0.3">
      <c r="A7528" s="1">
        <v>45178</v>
      </c>
      <c r="B7528" t="s">
        <v>59</v>
      </c>
      <c r="C7528" t="s">
        <v>465</v>
      </c>
      <c r="D7528" s="8"/>
      <c r="E7528" s="8"/>
      <c r="F7528" t="s">
        <v>472</v>
      </c>
      <c r="M7528" t="s">
        <v>477</v>
      </c>
      <c r="N7528" t="str">
        <f>Tabela_tudo[[#This Row],[Médico]]&amp;" ("&amp;Tabela_tudo[[#This Row],[Obs]]&amp;")"</f>
        <v>WEN (CLASA)</v>
      </c>
    </row>
    <row r="7529" spans="1:14" x14ac:dyDescent="0.3">
      <c r="A7529" s="1">
        <v>45146</v>
      </c>
      <c r="B7529" t="s">
        <v>60</v>
      </c>
      <c r="C7529" t="s">
        <v>8</v>
      </c>
      <c r="D7529" s="8"/>
      <c r="E7529" s="8"/>
      <c r="M7529" t="s">
        <v>477</v>
      </c>
      <c r="N7529" t="str">
        <f>Tabela_tudo[[#This Row],[Médico]]&amp;" ("&amp;Tabela_tudo[[#This Row],[Obs]]&amp;")"</f>
        <v>BMT ()</v>
      </c>
    </row>
    <row r="7530" spans="1:14" x14ac:dyDescent="0.3">
      <c r="A7530" s="1">
        <v>45179</v>
      </c>
      <c r="B7530" t="s">
        <v>59</v>
      </c>
      <c r="C7530" t="s">
        <v>465</v>
      </c>
      <c r="D7530" s="8"/>
      <c r="E7530" s="8"/>
      <c r="F7530" t="s">
        <v>472</v>
      </c>
      <c r="M7530" t="s">
        <v>477</v>
      </c>
      <c r="N7530" t="str">
        <f>Tabela_tudo[[#This Row],[Médico]]&amp;" ("&amp;Tabela_tudo[[#This Row],[Obs]]&amp;")"</f>
        <v>WEN (CLASA)</v>
      </c>
    </row>
    <row r="7531" spans="1:14" x14ac:dyDescent="0.3">
      <c r="A7531" s="1">
        <v>45146</v>
      </c>
      <c r="B7531" t="s">
        <v>9</v>
      </c>
      <c r="C7531" t="s">
        <v>13</v>
      </c>
      <c r="D7531" s="8"/>
      <c r="E7531" s="8"/>
      <c r="M7531" t="s">
        <v>481</v>
      </c>
      <c r="N7531" t="str">
        <f>Tabela_tudo[[#This Row],[Médico]]&amp;" ("&amp;Tabela_tudo[[#This Row],[Obs]]&amp;")"</f>
        <v>KRE ()</v>
      </c>
    </row>
    <row r="7532" spans="1:14" x14ac:dyDescent="0.3">
      <c r="A7532" s="1">
        <v>45191</v>
      </c>
      <c r="B7532" t="s">
        <v>59</v>
      </c>
      <c r="C7532" t="s">
        <v>465</v>
      </c>
      <c r="D7532" s="8"/>
      <c r="E7532" s="8"/>
      <c r="F7532" t="s">
        <v>486</v>
      </c>
      <c r="M7532" t="s">
        <v>477</v>
      </c>
      <c r="N7532" t="str">
        <f>Tabela_tudo[[#This Row],[Médico]]&amp;" ("&amp;Tabela_tudo[[#This Row],[Obs]]&amp;")"</f>
        <v>WEN (JARGS)</v>
      </c>
    </row>
    <row r="7533" spans="1:14" x14ac:dyDescent="0.3">
      <c r="A7533" s="1">
        <v>45146</v>
      </c>
      <c r="B7533" t="s">
        <v>149</v>
      </c>
      <c r="C7533" t="s">
        <v>41</v>
      </c>
      <c r="D7533" s="8"/>
      <c r="E7533" s="8"/>
      <c r="M7533" t="s">
        <v>477</v>
      </c>
      <c r="N7533" t="str">
        <f>Tabela_tudo[[#This Row],[Médico]]&amp;" ("&amp;Tabela_tudo[[#This Row],[Obs]]&amp;")"</f>
        <v>NF ()</v>
      </c>
    </row>
    <row r="7534" spans="1:14" x14ac:dyDescent="0.3">
      <c r="A7534" s="1">
        <v>45190</v>
      </c>
      <c r="B7534" t="s">
        <v>35</v>
      </c>
      <c r="C7534" t="s">
        <v>464</v>
      </c>
      <c r="D7534" s="8"/>
      <c r="E7534" s="8"/>
      <c r="M7534" t="s">
        <v>479</v>
      </c>
      <c r="N7534" t="str">
        <f>Tabela_tudo[[#This Row],[Médico]]&amp;" ("&amp;Tabela_tudo[[#This Row],[Obs]]&amp;")"</f>
        <v>FLA ()</v>
      </c>
    </row>
    <row r="7535" spans="1:14" x14ac:dyDescent="0.3">
      <c r="A7535" s="1">
        <v>45078</v>
      </c>
      <c r="B7535" t="s">
        <v>96</v>
      </c>
      <c r="C7535" t="s">
        <v>41</v>
      </c>
      <c r="D7535" s="8"/>
      <c r="E7535" s="8"/>
      <c r="M7535" t="s">
        <v>477</v>
      </c>
      <c r="N7535" t="str">
        <f>Tabela_tudo[[#This Row],[Médico]]&amp;" ("&amp;Tabela_tudo[[#This Row],[Obs]]&amp;")"</f>
        <v>VF ()</v>
      </c>
    </row>
    <row r="7536" spans="1:14" x14ac:dyDescent="0.3">
      <c r="A7536" s="1">
        <v>45191</v>
      </c>
      <c r="B7536" t="s">
        <v>35</v>
      </c>
      <c r="C7536" t="s">
        <v>464</v>
      </c>
      <c r="D7536" s="8"/>
      <c r="E7536" s="8"/>
      <c r="M7536" t="s">
        <v>479</v>
      </c>
      <c r="N7536" t="str">
        <f>Tabela_tudo[[#This Row],[Médico]]&amp;" ("&amp;Tabela_tudo[[#This Row],[Obs]]&amp;")"</f>
        <v>FLA ()</v>
      </c>
    </row>
    <row r="7537" spans="1:14" x14ac:dyDescent="0.3">
      <c r="A7537" s="1">
        <v>45078</v>
      </c>
      <c r="B7537" t="s">
        <v>109</v>
      </c>
      <c r="C7537" t="s">
        <v>10</v>
      </c>
      <c r="D7537" s="8"/>
      <c r="E7537" s="8"/>
      <c r="M7537" t="s">
        <v>479</v>
      </c>
      <c r="N7537" t="str">
        <f>Tabela_tudo[[#This Row],[Médico]]&amp;" ("&amp;Tabela_tudo[[#This Row],[Obs]]&amp;")"</f>
        <v>CA ()</v>
      </c>
    </row>
    <row r="7538" spans="1:14" x14ac:dyDescent="0.3">
      <c r="A7538" s="1">
        <v>45192</v>
      </c>
      <c r="B7538" t="s">
        <v>35</v>
      </c>
      <c r="C7538" t="s">
        <v>464</v>
      </c>
      <c r="D7538" s="8"/>
      <c r="E7538" s="8"/>
      <c r="M7538" t="s">
        <v>479</v>
      </c>
      <c r="N7538" t="str">
        <f>Tabela_tudo[[#This Row],[Médico]]&amp;" ("&amp;Tabela_tudo[[#This Row],[Obs]]&amp;")"</f>
        <v>FLA ()</v>
      </c>
    </row>
    <row r="7539" spans="1:14" x14ac:dyDescent="0.3">
      <c r="A7539" s="1">
        <v>45146</v>
      </c>
      <c r="B7539" t="s">
        <v>103</v>
      </c>
      <c r="C7539" t="s">
        <v>41</v>
      </c>
      <c r="D7539" s="8"/>
      <c r="E7539" s="8"/>
      <c r="M7539" t="s">
        <v>481</v>
      </c>
      <c r="N7539" t="str">
        <f>Tabela_tudo[[#This Row],[Médico]]&amp;" ("&amp;Tabela_tudo[[#This Row],[Obs]]&amp;")"</f>
        <v>CAD ()</v>
      </c>
    </row>
    <row r="7540" spans="1:14" x14ac:dyDescent="0.3">
      <c r="A7540" s="1">
        <v>45189</v>
      </c>
      <c r="B7540" t="s">
        <v>35</v>
      </c>
      <c r="C7540" t="s">
        <v>464</v>
      </c>
      <c r="D7540" s="8"/>
      <c r="E7540" s="8"/>
      <c r="M7540" t="s">
        <v>479</v>
      </c>
      <c r="N7540" t="str">
        <f>Tabela_tudo[[#This Row],[Médico]]&amp;" ("&amp;Tabela_tudo[[#This Row],[Obs]]&amp;")"</f>
        <v>FLA ()</v>
      </c>
    </row>
    <row r="7541" spans="1:14" x14ac:dyDescent="0.3">
      <c r="A7541" s="1">
        <v>45078</v>
      </c>
      <c r="B7541" t="s">
        <v>97</v>
      </c>
      <c r="C7541" t="s">
        <v>41</v>
      </c>
      <c r="D7541" s="8"/>
      <c r="E7541" s="8"/>
      <c r="M7541" t="s">
        <v>479</v>
      </c>
      <c r="N7541" t="str">
        <f>Tabela_tudo[[#This Row],[Médico]]&amp;" ("&amp;Tabela_tudo[[#This Row],[Obs]]&amp;")"</f>
        <v>HAR ()</v>
      </c>
    </row>
    <row r="7542" spans="1:14" x14ac:dyDescent="0.3">
      <c r="A7542" s="1">
        <v>45186</v>
      </c>
      <c r="B7542" t="s">
        <v>35</v>
      </c>
      <c r="C7542" t="s">
        <v>464</v>
      </c>
      <c r="D7542" s="8"/>
      <c r="E7542" s="8"/>
      <c r="M7542" t="s">
        <v>479</v>
      </c>
      <c r="N7542" t="str">
        <f>Tabela_tudo[[#This Row],[Médico]]&amp;" ("&amp;Tabela_tudo[[#This Row],[Obs]]&amp;")"</f>
        <v>FLA ()</v>
      </c>
    </row>
    <row r="7543" spans="1:14" x14ac:dyDescent="0.3">
      <c r="A7543" s="1">
        <v>45078</v>
      </c>
      <c r="B7543" t="s">
        <v>62</v>
      </c>
      <c r="C7543" t="s">
        <v>8</v>
      </c>
      <c r="D7543" s="8"/>
      <c r="E7543" s="8"/>
      <c r="M7543" t="s">
        <v>477</v>
      </c>
      <c r="N7543" t="str">
        <f>Tabela_tudo[[#This Row],[Médico]]&amp;" ("&amp;Tabela_tudo[[#This Row],[Obs]]&amp;")"</f>
        <v>RKS ()</v>
      </c>
    </row>
    <row r="7544" spans="1:14" x14ac:dyDescent="0.3">
      <c r="A7544" s="1">
        <v>45187</v>
      </c>
      <c r="B7544" t="s">
        <v>35</v>
      </c>
      <c r="C7544" t="s">
        <v>464</v>
      </c>
      <c r="D7544" s="8"/>
      <c r="E7544" s="8"/>
      <c r="M7544" t="s">
        <v>479</v>
      </c>
      <c r="N7544" t="str">
        <f>Tabela_tudo[[#This Row],[Médico]]&amp;" ("&amp;Tabela_tudo[[#This Row],[Obs]]&amp;")"</f>
        <v>FLA ()</v>
      </c>
    </row>
    <row r="7545" spans="1:14" x14ac:dyDescent="0.3">
      <c r="A7545" s="1">
        <v>45078</v>
      </c>
      <c r="B7545" t="s">
        <v>40</v>
      </c>
      <c r="C7545" t="s">
        <v>13</v>
      </c>
      <c r="D7545" s="8"/>
      <c r="E7545" s="8"/>
      <c r="M7545" t="s">
        <v>481</v>
      </c>
      <c r="N7545" t="str">
        <f>Tabela_tudo[[#This Row],[Médico]]&amp;" ("&amp;Tabela_tudo[[#This Row],[Obs]]&amp;")"</f>
        <v>EMA ()</v>
      </c>
    </row>
    <row r="7546" spans="1:14" x14ac:dyDescent="0.3">
      <c r="A7546" s="1">
        <v>45188</v>
      </c>
      <c r="B7546" t="s">
        <v>35</v>
      </c>
      <c r="C7546" t="s">
        <v>464</v>
      </c>
      <c r="D7546" s="8"/>
      <c r="E7546" s="8"/>
      <c r="M7546" t="s">
        <v>479</v>
      </c>
      <c r="N7546" t="str">
        <f>Tabela_tudo[[#This Row],[Médico]]&amp;" ("&amp;Tabela_tudo[[#This Row],[Obs]]&amp;")"</f>
        <v>FLA ()</v>
      </c>
    </row>
    <row r="7547" spans="1:14" x14ac:dyDescent="0.3">
      <c r="A7547" s="1">
        <v>45078</v>
      </c>
      <c r="B7547" t="s">
        <v>36</v>
      </c>
      <c r="C7547" t="s">
        <v>10</v>
      </c>
      <c r="D7547" s="8"/>
      <c r="E7547" s="8"/>
      <c r="M7547" t="s">
        <v>481</v>
      </c>
      <c r="N7547" t="str">
        <f>Tabela_tudo[[#This Row],[Médico]]&amp;" ("&amp;Tabela_tudo[[#This Row],[Obs]]&amp;")"</f>
        <v>DRI ()</v>
      </c>
    </row>
    <row r="7548" spans="1:14" x14ac:dyDescent="0.3">
      <c r="A7548" s="1">
        <v>45187</v>
      </c>
      <c r="B7548" t="s">
        <v>83</v>
      </c>
      <c r="C7548" t="s">
        <v>464</v>
      </c>
      <c r="D7548" s="8"/>
      <c r="E7548" s="8"/>
      <c r="M7548" t="s">
        <v>477</v>
      </c>
      <c r="N7548" t="str">
        <f>Tabela_tudo[[#This Row],[Médico]]&amp;" ("&amp;Tabela_tudo[[#This Row],[Obs]]&amp;")"</f>
        <v>MG ()</v>
      </c>
    </row>
    <row r="7549" spans="1:14" x14ac:dyDescent="0.3">
      <c r="A7549" s="1">
        <v>45078</v>
      </c>
      <c r="B7549" t="s">
        <v>9</v>
      </c>
      <c r="C7549" t="s">
        <v>10</v>
      </c>
      <c r="D7549" s="8"/>
      <c r="E7549" s="8"/>
      <c r="M7549" t="s">
        <v>481</v>
      </c>
      <c r="N7549" t="str">
        <f>Tabela_tudo[[#This Row],[Médico]]&amp;" ("&amp;Tabela_tudo[[#This Row],[Obs]]&amp;")"</f>
        <v>KRE ()</v>
      </c>
    </row>
    <row r="7550" spans="1:14" x14ac:dyDescent="0.3">
      <c r="A7550" s="1">
        <v>45188</v>
      </c>
      <c r="B7550" t="s">
        <v>83</v>
      </c>
      <c r="C7550" t="s">
        <v>464</v>
      </c>
      <c r="D7550" s="8"/>
      <c r="E7550" s="8"/>
      <c r="M7550" t="s">
        <v>477</v>
      </c>
      <c r="N7550" t="str">
        <f>Tabela_tudo[[#This Row],[Médico]]&amp;" ("&amp;Tabela_tudo[[#This Row],[Obs]]&amp;")"</f>
        <v>MG ()</v>
      </c>
    </row>
    <row r="7551" spans="1:14" x14ac:dyDescent="0.3">
      <c r="A7551" s="1">
        <v>45164</v>
      </c>
      <c r="B7551" t="s">
        <v>27</v>
      </c>
      <c r="C7551" t="s">
        <v>10</v>
      </c>
      <c r="D7551" s="8"/>
      <c r="E7551" s="8"/>
      <c r="M7551" t="s">
        <v>481</v>
      </c>
      <c r="N7551" t="str">
        <f>Tabela_tudo[[#This Row],[Médico]]&amp;" ("&amp;Tabela_tudo[[#This Row],[Obs]]&amp;")"</f>
        <v>KIL ()</v>
      </c>
    </row>
    <row r="7552" spans="1:14" x14ac:dyDescent="0.3">
      <c r="A7552" s="1">
        <v>45189</v>
      </c>
      <c r="B7552" t="s">
        <v>83</v>
      </c>
      <c r="C7552" t="s">
        <v>464</v>
      </c>
      <c r="D7552" s="8"/>
      <c r="E7552" s="8"/>
      <c r="M7552" t="s">
        <v>477</v>
      </c>
      <c r="N7552" t="str">
        <f>Tabela_tudo[[#This Row],[Médico]]&amp;" ("&amp;Tabela_tudo[[#This Row],[Obs]]&amp;")"</f>
        <v>MG ()</v>
      </c>
    </row>
    <row r="7553" spans="1:14" x14ac:dyDescent="0.3">
      <c r="A7553" s="1">
        <v>45164</v>
      </c>
      <c r="B7553" t="s">
        <v>79</v>
      </c>
      <c r="C7553" t="s">
        <v>10</v>
      </c>
      <c r="D7553" s="8"/>
      <c r="E7553" s="8"/>
      <c r="M7553" t="s">
        <v>481</v>
      </c>
      <c r="N7553" t="str">
        <f>Tabela_tudo[[#This Row],[Médico]]&amp;" ("&amp;Tabela_tudo[[#This Row],[Obs]]&amp;")"</f>
        <v>MTB ()</v>
      </c>
    </row>
    <row r="7554" spans="1:14" x14ac:dyDescent="0.3">
      <c r="A7554" s="1">
        <v>45186</v>
      </c>
      <c r="B7554" t="s">
        <v>83</v>
      </c>
      <c r="C7554" t="s">
        <v>464</v>
      </c>
      <c r="D7554" s="8"/>
      <c r="E7554" s="8"/>
      <c r="M7554" t="s">
        <v>477</v>
      </c>
      <c r="N7554" t="str">
        <f>Tabela_tudo[[#This Row],[Médico]]&amp;" ("&amp;Tabela_tudo[[#This Row],[Obs]]&amp;")"</f>
        <v>MG ()</v>
      </c>
    </row>
    <row r="7555" spans="1:14" x14ac:dyDescent="0.3">
      <c r="A7555" s="1">
        <v>45165</v>
      </c>
      <c r="B7555" t="s">
        <v>97</v>
      </c>
      <c r="C7555" t="s">
        <v>13</v>
      </c>
      <c r="D7555" s="8"/>
      <c r="E7555" s="8"/>
      <c r="M7555" t="s">
        <v>479</v>
      </c>
      <c r="N7555" t="str">
        <f>Tabela_tudo[[#This Row],[Médico]]&amp;" ("&amp;Tabela_tudo[[#This Row],[Obs]]&amp;")"</f>
        <v>HAR ()</v>
      </c>
    </row>
    <row r="7556" spans="1:14" x14ac:dyDescent="0.3">
      <c r="A7556" s="1">
        <v>45193</v>
      </c>
      <c r="B7556" t="s">
        <v>35</v>
      </c>
      <c r="C7556" t="s">
        <v>464</v>
      </c>
      <c r="D7556" s="8"/>
      <c r="E7556" s="8"/>
      <c r="M7556" t="s">
        <v>479</v>
      </c>
      <c r="N7556" t="str">
        <f>Tabela_tudo[[#This Row],[Médico]]&amp;" ("&amp;Tabela_tudo[[#This Row],[Obs]]&amp;")"</f>
        <v>FLA ()</v>
      </c>
    </row>
    <row r="7557" spans="1:14" x14ac:dyDescent="0.3">
      <c r="A7557" s="1">
        <v>45107</v>
      </c>
      <c r="B7557" t="s">
        <v>98</v>
      </c>
      <c r="C7557" t="s">
        <v>10</v>
      </c>
      <c r="D7557" s="8"/>
      <c r="E7557" s="8"/>
      <c r="M7557" t="s">
        <v>479</v>
      </c>
      <c r="N7557" t="str">
        <f>Tabela_tudo[[#This Row],[Médico]]&amp;" ("&amp;Tabela_tudo[[#This Row],[Obs]]&amp;")"</f>
        <v>NIC ()</v>
      </c>
    </row>
    <row r="7558" spans="1:14" x14ac:dyDescent="0.3">
      <c r="A7558" s="1">
        <v>45194</v>
      </c>
      <c r="B7558" t="s">
        <v>35</v>
      </c>
      <c r="C7558" t="s">
        <v>464</v>
      </c>
      <c r="D7558" s="8"/>
      <c r="E7558" s="8"/>
      <c r="M7558" t="s">
        <v>479</v>
      </c>
      <c r="N7558" t="str">
        <f>Tabela_tudo[[#This Row],[Médico]]&amp;" ("&amp;Tabela_tudo[[#This Row],[Obs]]&amp;")"</f>
        <v>FLA ()</v>
      </c>
    </row>
    <row r="7559" spans="1:14" x14ac:dyDescent="0.3">
      <c r="A7559" s="1">
        <v>45164</v>
      </c>
      <c r="B7559" t="s">
        <v>103</v>
      </c>
      <c r="C7559" t="s">
        <v>78</v>
      </c>
      <c r="D7559" s="8"/>
      <c r="E7559" s="8"/>
      <c r="M7559" t="s">
        <v>481</v>
      </c>
      <c r="N7559" t="str">
        <f>Tabela_tudo[[#This Row],[Médico]]&amp;" ("&amp;Tabela_tudo[[#This Row],[Obs]]&amp;")"</f>
        <v>CAD ()</v>
      </c>
    </row>
    <row r="7560" spans="1:14" x14ac:dyDescent="0.3">
      <c r="A7560" s="1">
        <v>45185</v>
      </c>
      <c r="B7560" t="s">
        <v>83</v>
      </c>
      <c r="C7560" t="s">
        <v>464</v>
      </c>
      <c r="D7560" s="8"/>
      <c r="E7560" s="8"/>
      <c r="M7560" t="s">
        <v>477</v>
      </c>
      <c r="N7560" t="str">
        <f>Tabela_tudo[[#This Row],[Médico]]&amp;" ("&amp;Tabela_tudo[[#This Row],[Obs]]&amp;")"</f>
        <v>MG ()</v>
      </c>
    </row>
    <row r="7561" spans="1:14" x14ac:dyDescent="0.3">
      <c r="A7561" s="1">
        <v>45164</v>
      </c>
      <c r="B7561" t="s">
        <v>60</v>
      </c>
      <c r="C7561" t="s">
        <v>8</v>
      </c>
      <c r="D7561" s="8"/>
      <c r="E7561" s="8"/>
      <c r="M7561" t="s">
        <v>477</v>
      </c>
      <c r="N7561" t="str">
        <f>Tabela_tudo[[#This Row],[Médico]]&amp;" ("&amp;Tabela_tudo[[#This Row],[Obs]]&amp;")"</f>
        <v>BMT ()</v>
      </c>
    </row>
    <row r="7562" spans="1:14" x14ac:dyDescent="0.3">
      <c r="A7562" s="1">
        <v>45149</v>
      </c>
      <c r="B7562" t="s">
        <v>97</v>
      </c>
      <c r="C7562" t="s">
        <v>464</v>
      </c>
      <c r="D7562" s="8"/>
      <c r="E7562" s="8"/>
      <c r="M7562" t="s">
        <v>479</v>
      </c>
      <c r="N7562" t="str">
        <f>Tabela_tudo[[#This Row],[Médico]]&amp;" ("&amp;Tabela_tudo[[#This Row],[Obs]]&amp;")"</f>
        <v>HAR ()</v>
      </c>
    </row>
    <row r="7563" spans="1:14" x14ac:dyDescent="0.3">
      <c r="A7563" s="1">
        <v>45164</v>
      </c>
      <c r="B7563" t="s">
        <v>36</v>
      </c>
      <c r="C7563" t="s">
        <v>10</v>
      </c>
      <c r="D7563" s="8"/>
      <c r="E7563" s="8"/>
      <c r="M7563" t="s">
        <v>481</v>
      </c>
      <c r="N7563" t="str">
        <f>Tabela_tudo[[#This Row],[Médico]]&amp;" ("&amp;Tabela_tudo[[#This Row],[Obs]]&amp;")"</f>
        <v>DRI ()</v>
      </c>
    </row>
    <row r="7564" spans="1:14" x14ac:dyDescent="0.3">
      <c r="A7564" s="1">
        <v>45150</v>
      </c>
      <c r="B7564" t="s">
        <v>97</v>
      </c>
      <c r="C7564" t="s">
        <v>464</v>
      </c>
      <c r="D7564" s="8"/>
      <c r="E7564" s="8"/>
      <c r="M7564" t="s">
        <v>479</v>
      </c>
      <c r="N7564" t="str">
        <f>Tabela_tudo[[#This Row],[Médico]]&amp;" ("&amp;Tabela_tudo[[#This Row],[Obs]]&amp;")"</f>
        <v>HAR ()</v>
      </c>
    </row>
    <row r="7565" spans="1:14" x14ac:dyDescent="0.3">
      <c r="A7565" s="1">
        <v>45164</v>
      </c>
      <c r="B7565" t="s">
        <v>40</v>
      </c>
      <c r="C7565" t="s">
        <v>10</v>
      </c>
      <c r="D7565" s="8"/>
      <c r="E7565" s="8"/>
      <c r="M7565" t="s">
        <v>481</v>
      </c>
      <c r="N7565" t="str">
        <f>Tabela_tudo[[#This Row],[Médico]]&amp;" ("&amp;Tabela_tudo[[#This Row],[Obs]]&amp;")"</f>
        <v>EMA ()</v>
      </c>
    </row>
    <row r="7566" spans="1:14" x14ac:dyDescent="0.3">
      <c r="A7566" s="1">
        <v>45151</v>
      </c>
      <c r="B7566" t="s">
        <v>97</v>
      </c>
      <c r="C7566" t="s">
        <v>464</v>
      </c>
      <c r="D7566" s="8"/>
      <c r="E7566" s="8"/>
      <c r="M7566" t="s">
        <v>479</v>
      </c>
      <c r="N7566" t="str">
        <f>Tabela_tudo[[#This Row],[Médico]]&amp;" ("&amp;Tabela_tudo[[#This Row],[Obs]]&amp;")"</f>
        <v>HAR ()</v>
      </c>
    </row>
    <row r="7567" spans="1:14" x14ac:dyDescent="0.3">
      <c r="A7567" s="1">
        <v>45165</v>
      </c>
      <c r="B7567" t="s">
        <v>60</v>
      </c>
      <c r="C7567" t="s">
        <v>8</v>
      </c>
      <c r="D7567" s="8"/>
      <c r="E7567" s="8"/>
      <c r="M7567" t="s">
        <v>477</v>
      </c>
      <c r="N7567" t="str">
        <f>Tabela_tudo[[#This Row],[Médico]]&amp;" ("&amp;Tabela_tudo[[#This Row],[Obs]]&amp;")"</f>
        <v>BMT ()</v>
      </c>
    </row>
    <row r="7568" spans="1:14" x14ac:dyDescent="0.3">
      <c r="A7568" s="1">
        <v>45148</v>
      </c>
      <c r="B7568" t="s">
        <v>97</v>
      </c>
      <c r="C7568" t="s">
        <v>464</v>
      </c>
      <c r="D7568" s="8"/>
      <c r="E7568" s="8"/>
      <c r="M7568" t="s">
        <v>479</v>
      </c>
      <c r="N7568" t="str">
        <f>Tabela_tudo[[#This Row],[Médico]]&amp;" ("&amp;Tabela_tudo[[#This Row],[Obs]]&amp;")"</f>
        <v>HAR ()</v>
      </c>
    </row>
    <row r="7569" spans="1:14" x14ac:dyDescent="0.3">
      <c r="A7569" s="1">
        <v>45071</v>
      </c>
      <c r="B7569" t="s">
        <v>39</v>
      </c>
      <c r="C7569" t="s">
        <v>10</v>
      </c>
      <c r="D7569" s="8"/>
      <c r="E7569" s="8"/>
      <c r="M7569" t="s">
        <v>479</v>
      </c>
      <c r="N7569" t="str">
        <f>Tabela_tudo[[#This Row],[Médico]]&amp;" ("&amp;Tabela_tudo[[#This Row],[Obs]]&amp;")"</f>
        <v>KLA ()</v>
      </c>
    </row>
    <row r="7570" spans="1:14" x14ac:dyDescent="0.3">
      <c r="A7570" s="1">
        <v>45145</v>
      </c>
      <c r="B7570" t="s">
        <v>97</v>
      </c>
      <c r="C7570" t="s">
        <v>464</v>
      </c>
      <c r="D7570" s="8"/>
      <c r="E7570" s="8"/>
      <c r="M7570" t="s">
        <v>479</v>
      </c>
      <c r="N7570" t="str">
        <f>Tabela_tudo[[#This Row],[Médico]]&amp;" ("&amp;Tabela_tudo[[#This Row],[Obs]]&amp;")"</f>
        <v>HAR ()</v>
      </c>
    </row>
    <row r="7571" spans="1:14" x14ac:dyDescent="0.3">
      <c r="A7571" s="1">
        <v>45071</v>
      </c>
      <c r="B7571" t="s">
        <v>38</v>
      </c>
      <c r="C7571" t="s">
        <v>10</v>
      </c>
      <c r="D7571" s="8"/>
      <c r="E7571" s="8"/>
      <c r="M7571" t="s">
        <v>481</v>
      </c>
      <c r="N7571" t="str">
        <f>Tabela_tudo[[#This Row],[Médico]]&amp;" ("&amp;Tabela_tudo[[#This Row],[Obs]]&amp;")"</f>
        <v>ORO ()</v>
      </c>
    </row>
    <row r="7572" spans="1:14" x14ac:dyDescent="0.3">
      <c r="A7572" s="1">
        <v>45146</v>
      </c>
      <c r="B7572" t="s">
        <v>97</v>
      </c>
      <c r="C7572" t="s">
        <v>464</v>
      </c>
      <c r="D7572" s="8"/>
      <c r="E7572" s="8"/>
      <c r="M7572" t="s">
        <v>479</v>
      </c>
      <c r="N7572" t="str">
        <f>Tabela_tudo[[#This Row],[Médico]]&amp;" ("&amp;Tabela_tudo[[#This Row],[Obs]]&amp;")"</f>
        <v>HAR ()</v>
      </c>
    </row>
    <row r="7573" spans="1:14" x14ac:dyDescent="0.3">
      <c r="A7573" s="1">
        <v>45071</v>
      </c>
      <c r="B7573" t="s">
        <v>57</v>
      </c>
      <c r="C7573" t="s">
        <v>41</v>
      </c>
      <c r="D7573" s="8"/>
      <c r="E7573" s="8"/>
      <c r="M7573" t="s">
        <v>477</v>
      </c>
      <c r="N7573" t="str">
        <f>Tabela_tudo[[#This Row],[Médico]]&amp;" ("&amp;Tabela_tudo[[#This Row],[Obs]]&amp;")"</f>
        <v>BED ()</v>
      </c>
    </row>
    <row r="7574" spans="1:14" x14ac:dyDescent="0.3">
      <c r="A7574" s="1">
        <v>45147</v>
      </c>
      <c r="B7574" t="s">
        <v>97</v>
      </c>
      <c r="C7574" t="s">
        <v>464</v>
      </c>
      <c r="D7574" s="8"/>
      <c r="E7574" s="8"/>
      <c r="M7574" t="s">
        <v>479</v>
      </c>
      <c r="N7574" t="str">
        <f>Tabela_tudo[[#This Row],[Médico]]&amp;" ("&amp;Tabela_tudo[[#This Row],[Obs]]&amp;")"</f>
        <v>HAR ()</v>
      </c>
    </row>
    <row r="7575" spans="1:14" x14ac:dyDescent="0.3">
      <c r="A7575" s="1">
        <v>45071</v>
      </c>
      <c r="B7575" t="s">
        <v>27</v>
      </c>
      <c r="C7575" t="s">
        <v>41</v>
      </c>
      <c r="D7575" s="8"/>
      <c r="E7575" s="8"/>
      <c r="M7575" t="s">
        <v>481</v>
      </c>
      <c r="N7575" t="str">
        <f>Tabela_tudo[[#This Row],[Médico]]&amp;" ("&amp;Tabela_tudo[[#This Row],[Obs]]&amp;")"</f>
        <v>KIL ()</v>
      </c>
    </row>
    <row r="7576" spans="1:14" x14ac:dyDescent="0.3">
      <c r="A7576" s="1">
        <v>45141</v>
      </c>
      <c r="B7576" t="s">
        <v>59</v>
      </c>
      <c r="C7576" t="s">
        <v>464</v>
      </c>
      <c r="D7576" s="8"/>
      <c r="E7576" s="8"/>
      <c r="M7576" t="s">
        <v>477</v>
      </c>
      <c r="N7576" t="str">
        <f>Tabela_tudo[[#This Row],[Médico]]&amp;" ("&amp;Tabela_tudo[[#This Row],[Obs]]&amp;")"</f>
        <v>WEN ()</v>
      </c>
    </row>
    <row r="7577" spans="1:14" x14ac:dyDescent="0.3">
      <c r="A7577" s="1">
        <v>45142</v>
      </c>
      <c r="B7577" t="s">
        <v>103</v>
      </c>
      <c r="C7577" t="s">
        <v>41</v>
      </c>
      <c r="D7577" s="8"/>
      <c r="E7577" s="8"/>
      <c r="M7577" t="s">
        <v>481</v>
      </c>
      <c r="N7577" t="str">
        <f>Tabela_tudo[[#This Row],[Médico]]&amp;" ("&amp;Tabela_tudo[[#This Row],[Obs]]&amp;")"</f>
        <v>CAD ()</v>
      </c>
    </row>
    <row r="7578" spans="1:14" x14ac:dyDescent="0.3">
      <c r="A7578" s="1">
        <v>45142</v>
      </c>
      <c r="B7578" t="s">
        <v>59</v>
      </c>
      <c r="C7578" t="s">
        <v>464</v>
      </c>
      <c r="D7578" s="8"/>
      <c r="E7578" s="8"/>
      <c r="M7578" t="s">
        <v>477</v>
      </c>
      <c r="N7578" t="str">
        <f>Tabela_tudo[[#This Row],[Médico]]&amp;" ("&amp;Tabela_tudo[[#This Row],[Obs]]&amp;")"</f>
        <v>WEN ()</v>
      </c>
    </row>
    <row r="7579" spans="1:14" x14ac:dyDescent="0.3">
      <c r="A7579" s="1">
        <v>45165</v>
      </c>
      <c r="B7579" t="s">
        <v>103</v>
      </c>
      <c r="C7579" t="s">
        <v>78</v>
      </c>
      <c r="D7579" s="8"/>
      <c r="E7579" s="8"/>
      <c r="M7579" t="s">
        <v>481</v>
      </c>
      <c r="N7579" t="str">
        <f>Tabela_tudo[[#This Row],[Médico]]&amp;" ("&amp;Tabela_tudo[[#This Row],[Obs]]&amp;")"</f>
        <v>CAD ()</v>
      </c>
    </row>
    <row r="7580" spans="1:14" x14ac:dyDescent="0.3">
      <c r="A7580" s="1">
        <v>45143</v>
      </c>
      <c r="B7580" t="s">
        <v>59</v>
      </c>
      <c r="C7580" t="s">
        <v>464</v>
      </c>
      <c r="D7580" s="8"/>
      <c r="E7580" s="8"/>
      <c r="M7580" t="s">
        <v>477</v>
      </c>
      <c r="N7580" t="str">
        <f>Tabela_tudo[[#This Row],[Médico]]&amp;" ("&amp;Tabela_tudo[[#This Row],[Obs]]&amp;")"</f>
        <v>WEN ()</v>
      </c>
    </row>
    <row r="7581" spans="1:14" x14ac:dyDescent="0.3">
      <c r="A7581" s="1">
        <v>45071</v>
      </c>
      <c r="B7581" t="s">
        <v>103</v>
      </c>
      <c r="C7581" t="s">
        <v>8</v>
      </c>
      <c r="D7581" s="8"/>
      <c r="E7581" s="8"/>
      <c r="M7581" t="s">
        <v>481</v>
      </c>
      <c r="N7581" t="str">
        <f>Tabela_tudo[[#This Row],[Médico]]&amp;" ("&amp;Tabela_tudo[[#This Row],[Obs]]&amp;")"</f>
        <v>CAD ()</v>
      </c>
    </row>
    <row r="7582" spans="1:14" x14ac:dyDescent="0.3">
      <c r="A7582" s="1">
        <v>45140</v>
      </c>
      <c r="B7582" t="s">
        <v>59</v>
      </c>
      <c r="C7582" t="s">
        <v>464</v>
      </c>
      <c r="D7582" s="8"/>
      <c r="E7582" s="8"/>
      <c r="M7582" t="s">
        <v>477</v>
      </c>
      <c r="N7582" t="str">
        <f>Tabela_tudo[[#This Row],[Médico]]&amp;" ("&amp;Tabela_tudo[[#This Row],[Obs]]&amp;")"</f>
        <v>WEN ()</v>
      </c>
    </row>
    <row r="7583" spans="1:14" x14ac:dyDescent="0.3">
      <c r="A7583" s="1">
        <v>45071</v>
      </c>
      <c r="B7583" t="s">
        <v>35</v>
      </c>
      <c r="C7583" t="s">
        <v>13</v>
      </c>
      <c r="D7583" s="8"/>
      <c r="E7583" s="8"/>
      <c r="M7583" t="s">
        <v>479</v>
      </c>
      <c r="N7583" t="str">
        <f>Tabela_tudo[[#This Row],[Médico]]&amp;" ("&amp;Tabela_tudo[[#This Row],[Obs]]&amp;")"</f>
        <v>FLA ()</v>
      </c>
    </row>
    <row r="7584" spans="1:14" x14ac:dyDescent="0.3">
      <c r="A7584" s="1">
        <v>45152</v>
      </c>
      <c r="B7584" t="s">
        <v>97</v>
      </c>
      <c r="C7584" t="s">
        <v>464</v>
      </c>
      <c r="D7584" s="8"/>
      <c r="E7584" s="8"/>
      <c r="M7584" t="s">
        <v>479</v>
      </c>
      <c r="N7584" t="str">
        <f>Tabela_tudo[[#This Row],[Médico]]&amp;" ("&amp;Tabela_tudo[[#This Row],[Obs]]&amp;")"</f>
        <v>HAR ()</v>
      </c>
    </row>
    <row r="7585" spans="1:14" x14ac:dyDescent="0.3">
      <c r="A7585" s="1">
        <v>45226</v>
      </c>
      <c r="B7585" t="s">
        <v>149</v>
      </c>
      <c r="C7585" t="s">
        <v>41</v>
      </c>
      <c r="D7585" s="8"/>
      <c r="E7585" s="8"/>
      <c r="M7585" t="s">
        <v>477</v>
      </c>
      <c r="N7585" t="str">
        <f>Tabela_tudo[[#This Row],[Médico]]&amp;" ("&amp;Tabela_tudo[[#This Row],[Obs]]&amp;")"</f>
        <v>NF ()</v>
      </c>
    </row>
    <row r="7586" spans="1:14" x14ac:dyDescent="0.3">
      <c r="A7586" s="1">
        <v>45153</v>
      </c>
      <c r="B7586" t="s">
        <v>97</v>
      </c>
      <c r="C7586" t="s">
        <v>464</v>
      </c>
      <c r="D7586" s="8"/>
      <c r="E7586" s="8"/>
      <c r="M7586" t="s">
        <v>479</v>
      </c>
      <c r="N7586" t="str">
        <f>Tabela_tudo[[#This Row],[Médico]]&amp;" ("&amp;Tabela_tudo[[#This Row],[Obs]]&amp;")"</f>
        <v>HAR ()</v>
      </c>
    </row>
    <row r="7587" spans="1:14" x14ac:dyDescent="0.3">
      <c r="A7587" s="1">
        <v>45068</v>
      </c>
      <c r="B7587" t="s">
        <v>38</v>
      </c>
      <c r="C7587" t="s">
        <v>10</v>
      </c>
      <c r="D7587" s="8"/>
      <c r="E7587" s="8"/>
      <c r="M7587" t="s">
        <v>481</v>
      </c>
      <c r="N7587" t="str">
        <f>Tabela_tudo[[#This Row],[Médico]]&amp;" ("&amp;Tabela_tudo[[#This Row],[Obs]]&amp;")"</f>
        <v>ORO ()</v>
      </c>
    </row>
    <row r="7588" spans="1:14" x14ac:dyDescent="0.3">
      <c r="A7588" s="1">
        <v>45139</v>
      </c>
      <c r="B7588" t="s">
        <v>59</v>
      </c>
      <c r="C7588" t="s">
        <v>464</v>
      </c>
      <c r="D7588" s="8"/>
      <c r="E7588" s="8"/>
      <c r="M7588" t="s">
        <v>477</v>
      </c>
      <c r="N7588" t="str">
        <f>Tabela_tudo[[#This Row],[Médico]]&amp;" ("&amp;Tabela_tudo[[#This Row],[Obs]]&amp;")"</f>
        <v>WEN ()</v>
      </c>
    </row>
    <row r="7589" spans="1:14" x14ac:dyDescent="0.3">
      <c r="A7589" s="1">
        <v>45226</v>
      </c>
      <c r="B7589" t="s">
        <v>9</v>
      </c>
      <c r="C7589" t="s">
        <v>10</v>
      </c>
      <c r="D7589" s="8"/>
      <c r="E7589" s="8"/>
      <c r="M7589" t="s">
        <v>481</v>
      </c>
      <c r="N7589" t="str">
        <f>Tabela_tudo[[#This Row],[Médico]]&amp;" ("&amp;Tabela_tudo[[#This Row],[Obs]]&amp;")"</f>
        <v>KRE ()</v>
      </c>
    </row>
    <row r="7590" spans="1:14" x14ac:dyDescent="0.3">
      <c r="A7590" s="1">
        <v>45165</v>
      </c>
      <c r="B7590" t="s">
        <v>57</v>
      </c>
      <c r="C7590" t="s">
        <v>464</v>
      </c>
      <c r="D7590" s="8"/>
      <c r="E7590" s="8"/>
      <c r="M7590" t="s">
        <v>477</v>
      </c>
      <c r="N7590" t="str">
        <f>Tabela_tudo[[#This Row],[Médico]]&amp;" ("&amp;Tabela_tudo[[#This Row],[Obs]]&amp;")"</f>
        <v>BED ()</v>
      </c>
    </row>
    <row r="7591" spans="1:14" x14ac:dyDescent="0.3">
      <c r="A7591" s="1">
        <v>45226</v>
      </c>
      <c r="B7591" t="s">
        <v>97</v>
      </c>
      <c r="C7591" t="s">
        <v>41</v>
      </c>
      <c r="D7591" s="8"/>
      <c r="E7591" s="8"/>
      <c r="M7591" t="s">
        <v>479</v>
      </c>
      <c r="N7591" t="str">
        <f>Tabela_tudo[[#This Row],[Médico]]&amp;" ("&amp;Tabela_tudo[[#This Row],[Obs]]&amp;")"</f>
        <v>HAR ()</v>
      </c>
    </row>
    <row r="7592" spans="1:14" x14ac:dyDescent="0.3">
      <c r="A7592" s="1">
        <v>45166</v>
      </c>
      <c r="B7592" t="s">
        <v>57</v>
      </c>
      <c r="C7592" t="s">
        <v>464</v>
      </c>
      <c r="D7592" s="8"/>
      <c r="E7592" s="8"/>
      <c r="M7592" t="s">
        <v>477</v>
      </c>
      <c r="N7592" t="str">
        <f>Tabela_tudo[[#This Row],[Médico]]&amp;" ("&amp;Tabela_tudo[[#This Row],[Obs]]&amp;")"</f>
        <v>BED ()</v>
      </c>
    </row>
    <row r="7593" spans="1:14" x14ac:dyDescent="0.3">
      <c r="A7593" s="1">
        <v>45151</v>
      </c>
      <c r="B7593" t="s">
        <v>35</v>
      </c>
      <c r="C7593" t="s">
        <v>13</v>
      </c>
      <c r="D7593" s="8"/>
      <c r="E7593" s="8"/>
      <c r="M7593" t="s">
        <v>479</v>
      </c>
      <c r="N7593" t="str">
        <f>Tabela_tudo[[#This Row],[Médico]]&amp;" ("&amp;Tabela_tudo[[#This Row],[Obs]]&amp;")"</f>
        <v>FLA ()</v>
      </c>
    </row>
    <row r="7594" spans="1:14" x14ac:dyDescent="0.3">
      <c r="A7594" s="1">
        <v>45167</v>
      </c>
      <c r="B7594" t="s">
        <v>57</v>
      </c>
      <c r="C7594" t="s">
        <v>464</v>
      </c>
      <c r="D7594" s="8"/>
      <c r="E7594" s="8"/>
      <c r="M7594" t="s">
        <v>477</v>
      </c>
      <c r="N7594" t="str">
        <f>Tabela_tudo[[#This Row],[Médico]]&amp;" ("&amp;Tabela_tudo[[#This Row],[Obs]]&amp;")"</f>
        <v>BED ()</v>
      </c>
    </row>
    <row r="7595" spans="1:14" x14ac:dyDescent="0.3">
      <c r="A7595" s="1">
        <v>45068</v>
      </c>
      <c r="B7595" t="s">
        <v>36</v>
      </c>
      <c r="C7595" t="s">
        <v>8</v>
      </c>
      <c r="D7595" s="8"/>
      <c r="E7595" s="8"/>
      <c r="M7595" t="s">
        <v>481</v>
      </c>
      <c r="N7595" t="str">
        <f>Tabela_tudo[[#This Row],[Médico]]&amp;" ("&amp;Tabela_tudo[[#This Row],[Obs]]&amp;")"</f>
        <v>DRI ()</v>
      </c>
    </row>
    <row r="7596" spans="1:14" x14ac:dyDescent="0.3">
      <c r="A7596" s="1">
        <v>45164</v>
      </c>
      <c r="B7596" t="s">
        <v>57</v>
      </c>
      <c r="C7596" t="s">
        <v>464</v>
      </c>
      <c r="D7596" s="8"/>
      <c r="E7596" s="8"/>
      <c r="M7596" t="s">
        <v>477</v>
      </c>
      <c r="N7596" t="str">
        <f>Tabela_tudo[[#This Row],[Médico]]&amp;" ("&amp;Tabela_tudo[[#This Row],[Obs]]&amp;")"</f>
        <v>BED ()</v>
      </c>
    </row>
    <row r="7597" spans="1:14" x14ac:dyDescent="0.3">
      <c r="A7597" s="1">
        <v>45151</v>
      </c>
      <c r="B7597" t="s">
        <v>9</v>
      </c>
      <c r="C7597" t="s">
        <v>78</v>
      </c>
      <c r="D7597" s="8"/>
      <c r="E7597" s="8"/>
      <c r="M7597" t="s">
        <v>481</v>
      </c>
      <c r="N7597" t="str">
        <f>Tabela_tudo[[#This Row],[Médico]]&amp;" ("&amp;Tabela_tudo[[#This Row],[Obs]]&amp;")"</f>
        <v>KRE ()</v>
      </c>
    </row>
    <row r="7598" spans="1:14" x14ac:dyDescent="0.3">
      <c r="A7598" s="1">
        <v>45161</v>
      </c>
      <c r="B7598" t="s">
        <v>57</v>
      </c>
      <c r="C7598" t="s">
        <v>464</v>
      </c>
      <c r="D7598" s="8"/>
      <c r="E7598" s="8"/>
      <c r="M7598" t="s">
        <v>477</v>
      </c>
      <c r="N7598" t="str">
        <f>Tabela_tudo[[#This Row],[Médico]]&amp;" ("&amp;Tabela_tudo[[#This Row],[Obs]]&amp;")"</f>
        <v>BED ()</v>
      </c>
    </row>
    <row r="7599" spans="1:14" x14ac:dyDescent="0.3">
      <c r="A7599" s="1">
        <v>45151</v>
      </c>
      <c r="B7599" t="s">
        <v>57</v>
      </c>
      <c r="C7599" t="s">
        <v>8</v>
      </c>
      <c r="D7599" s="8"/>
      <c r="E7599" s="8"/>
      <c r="M7599" t="s">
        <v>477</v>
      </c>
      <c r="N7599" t="str">
        <f>Tabela_tudo[[#This Row],[Médico]]&amp;" ("&amp;Tabela_tudo[[#This Row],[Obs]]&amp;")"</f>
        <v>BED ()</v>
      </c>
    </row>
    <row r="7600" spans="1:14" x14ac:dyDescent="0.3">
      <c r="A7600" s="1">
        <v>45162</v>
      </c>
      <c r="B7600" t="s">
        <v>57</v>
      </c>
      <c r="C7600" t="s">
        <v>464</v>
      </c>
      <c r="D7600" s="8"/>
      <c r="E7600" s="8"/>
      <c r="M7600" t="s">
        <v>477</v>
      </c>
      <c r="N7600" t="str">
        <f>Tabela_tudo[[#This Row],[Médico]]&amp;" ("&amp;Tabela_tudo[[#This Row],[Obs]]&amp;")"</f>
        <v>BED ()</v>
      </c>
    </row>
    <row r="7601" spans="1:14" x14ac:dyDescent="0.3">
      <c r="A7601" s="1">
        <v>45226</v>
      </c>
      <c r="B7601" t="s">
        <v>27</v>
      </c>
      <c r="C7601" t="s">
        <v>10</v>
      </c>
      <c r="D7601" s="8"/>
      <c r="E7601" s="8"/>
      <c r="M7601" t="s">
        <v>481</v>
      </c>
      <c r="N7601" t="str">
        <f>Tabela_tudo[[#This Row],[Médico]]&amp;" ("&amp;Tabela_tudo[[#This Row],[Obs]]&amp;")"</f>
        <v>KIL ()</v>
      </c>
    </row>
    <row r="7602" spans="1:14" x14ac:dyDescent="0.3">
      <c r="A7602" s="1">
        <v>45163</v>
      </c>
      <c r="B7602" t="s">
        <v>57</v>
      </c>
      <c r="C7602" t="s">
        <v>464</v>
      </c>
      <c r="D7602" s="8"/>
      <c r="E7602" s="8"/>
      <c r="M7602" t="s">
        <v>477</v>
      </c>
      <c r="N7602" t="str">
        <f>Tabela_tudo[[#This Row],[Médico]]&amp;" ("&amp;Tabela_tudo[[#This Row],[Obs]]&amp;")"</f>
        <v>BED ()</v>
      </c>
    </row>
    <row r="7603" spans="1:14" x14ac:dyDescent="0.3">
      <c r="A7603" s="1">
        <v>45070</v>
      </c>
      <c r="B7603" t="s">
        <v>39</v>
      </c>
      <c r="C7603" t="s">
        <v>10</v>
      </c>
      <c r="D7603" s="8"/>
      <c r="E7603" s="8"/>
      <c r="M7603" t="s">
        <v>479</v>
      </c>
      <c r="N7603" t="str">
        <f>Tabela_tudo[[#This Row],[Médico]]&amp;" ("&amp;Tabela_tudo[[#This Row],[Obs]]&amp;")"</f>
        <v>KLA ()</v>
      </c>
    </row>
    <row r="7604" spans="1:14" x14ac:dyDescent="0.3">
      <c r="A7604" s="1">
        <v>45142</v>
      </c>
      <c r="B7604" t="s">
        <v>97</v>
      </c>
      <c r="C7604" t="s">
        <v>464</v>
      </c>
      <c r="D7604" s="8"/>
      <c r="E7604" s="8"/>
      <c r="M7604" t="s">
        <v>479</v>
      </c>
      <c r="N7604" t="str">
        <f>Tabela_tudo[[#This Row],[Médico]]&amp;" ("&amp;Tabela_tudo[[#This Row],[Obs]]&amp;")"</f>
        <v>HAR ()</v>
      </c>
    </row>
    <row r="7605" spans="1:14" x14ac:dyDescent="0.3">
      <c r="A7605" s="1">
        <v>45068</v>
      </c>
      <c r="B7605" t="s">
        <v>39</v>
      </c>
      <c r="C7605" t="s">
        <v>10</v>
      </c>
      <c r="D7605" s="8"/>
      <c r="E7605" s="8"/>
      <c r="M7605" t="s">
        <v>479</v>
      </c>
      <c r="N7605" t="str">
        <f>Tabela_tudo[[#This Row],[Médico]]&amp;" ("&amp;Tabela_tudo[[#This Row],[Obs]]&amp;")"</f>
        <v>KLA ()</v>
      </c>
    </row>
    <row r="7606" spans="1:14" x14ac:dyDescent="0.3">
      <c r="A7606" s="1">
        <v>45143</v>
      </c>
      <c r="B7606" t="s">
        <v>97</v>
      </c>
      <c r="C7606" t="s">
        <v>464</v>
      </c>
      <c r="D7606" s="8"/>
      <c r="E7606" s="8"/>
      <c r="M7606" t="s">
        <v>479</v>
      </c>
      <c r="N7606" t="str">
        <f>Tabela_tudo[[#This Row],[Médico]]&amp;" ("&amp;Tabela_tudo[[#This Row],[Obs]]&amp;")"</f>
        <v>HAR ()</v>
      </c>
    </row>
    <row r="7607" spans="1:14" x14ac:dyDescent="0.3">
      <c r="A7607" s="1">
        <v>45068</v>
      </c>
      <c r="B7607" t="s">
        <v>42</v>
      </c>
      <c r="C7607" t="s">
        <v>41</v>
      </c>
      <c r="D7607" s="8"/>
      <c r="E7607" s="8"/>
      <c r="M7607" t="s">
        <v>479</v>
      </c>
      <c r="N7607" t="str">
        <f>Tabela_tudo[[#This Row],[Médico]]&amp;" ("&amp;Tabela_tudo[[#This Row],[Obs]]&amp;")"</f>
        <v>SAK ()</v>
      </c>
    </row>
    <row r="7608" spans="1:14" x14ac:dyDescent="0.3">
      <c r="A7608" s="1">
        <v>45144</v>
      </c>
      <c r="B7608" t="s">
        <v>97</v>
      </c>
      <c r="C7608" t="s">
        <v>464</v>
      </c>
      <c r="D7608" s="8"/>
      <c r="E7608" s="8"/>
      <c r="M7608" t="s">
        <v>479</v>
      </c>
      <c r="N7608" t="str">
        <f>Tabela_tudo[[#This Row],[Médico]]&amp;" ("&amp;Tabela_tudo[[#This Row],[Obs]]&amp;")"</f>
        <v>HAR ()</v>
      </c>
    </row>
    <row r="7609" spans="1:14" x14ac:dyDescent="0.3">
      <c r="A7609" s="1">
        <v>45068</v>
      </c>
      <c r="B7609" t="s">
        <v>40</v>
      </c>
      <c r="C7609" t="s">
        <v>41</v>
      </c>
      <c r="D7609" s="8"/>
      <c r="E7609" s="8"/>
      <c r="M7609" t="s">
        <v>481</v>
      </c>
      <c r="N7609" t="str">
        <f>Tabela_tudo[[#This Row],[Médico]]&amp;" ("&amp;Tabela_tudo[[#This Row],[Obs]]&amp;")"</f>
        <v>EMA ()</v>
      </c>
    </row>
    <row r="7610" spans="1:14" x14ac:dyDescent="0.3">
      <c r="A7610" s="1">
        <v>45141</v>
      </c>
      <c r="B7610" t="s">
        <v>97</v>
      </c>
      <c r="C7610" t="s">
        <v>464</v>
      </c>
      <c r="D7610" s="8"/>
      <c r="E7610" s="8"/>
      <c r="M7610" t="s">
        <v>479</v>
      </c>
      <c r="N7610" t="str">
        <f>Tabela_tudo[[#This Row],[Médico]]&amp;" ("&amp;Tabela_tudo[[#This Row],[Obs]]&amp;")"</f>
        <v>HAR ()</v>
      </c>
    </row>
    <row r="7611" spans="1:14" x14ac:dyDescent="0.3">
      <c r="A7611" s="1">
        <v>45070</v>
      </c>
      <c r="B7611" t="s">
        <v>38</v>
      </c>
      <c r="C7611" t="s">
        <v>10</v>
      </c>
      <c r="D7611" s="8"/>
      <c r="E7611" s="8"/>
      <c r="M7611" t="s">
        <v>481</v>
      </c>
      <c r="N7611" t="str">
        <f>Tabela_tudo[[#This Row],[Médico]]&amp;" ("&amp;Tabela_tudo[[#This Row],[Obs]]&amp;")"</f>
        <v>ORO ()</v>
      </c>
    </row>
    <row r="7612" spans="1:14" x14ac:dyDescent="0.3">
      <c r="A7612" s="1">
        <v>45168</v>
      </c>
      <c r="B7612" t="s">
        <v>57</v>
      </c>
      <c r="C7612" t="s">
        <v>464</v>
      </c>
      <c r="D7612" s="8"/>
      <c r="E7612" s="8"/>
      <c r="M7612" t="s">
        <v>477</v>
      </c>
      <c r="N7612" t="str">
        <f>Tabela_tudo[[#This Row],[Médico]]&amp;" ("&amp;Tabela_tudo[[#This Row],[Obs]]&amp;")"</f>
        <v>BED ()</v>
      </c>
    </row>
    <row r="7613" spans="1:14" x14ac:dyDescent="0.3">
      <c r="A7613" s="1">
        <v>45226</v>
      </c>
      <c r="B7613" t="s">
        <v>42</v>
      </c>
      <c r="C7613" t="s">
        <v>8</v>
      </c>
      <c r="D7613" s="8"/>
      <c r="E7613" s="8"/>
      <c r="M7613" t="s">
        <v>479</v>
      </c>
      <c r="N7613" t="str">
        <f>Tabela_tudo[[#This Row],[Médico]]&amp;" ("&amp;Tabela_tudo[[#This Row],[Obs]]&amp;")"</f>
        <v>SAK ()</v>
      </c>
    </row>
    <row r="7614" spans="1:14" x14ac:dyDescent="0.3">
      <c r="A7614" s="1">
        <v>45139</v>
      </c>
      <c r="B7614" t="s">
        <v>97</v>
      </c>
      <c r="C7614" t="s">
        <v>464</v>
      </c>
      <c r="D7614" s="8"/>
      <c r="E7614" s="8"/>
      <c r="M7614" t="s">
        <v>479</v>
      </c>
      <c r="N7614" t="str">
        <f>Tabela_tudo[[#This Row],[Médico]]&amp;" ("&amp;Tabela_tudo[[#This Row],[Obs]]&amp;")"</f>
        <v>HAR ()</v>
      </c>
    </row>
    <row r="7615" spans="1:14" x14ac:dyDescent="0.3">
      <c r="A7615" s="1">
        <v>45226</v>
      </c>
      <c r="B7615" t="s">
        <v>83</v>
      </c>
      <c r="C7615" t="s">
        <v>13</v>
      </c>
      <c r="D7615" s="8"/>
      <c r="E7615" s="8"/>
      <c r="M7615" t="s">
        <v>477</v>
      </c>
      <c r="N7615" t="str">
        <f>Tabela_tudo[[#This Row],[Médico]]&amp;" ("&amp;Tabela_tudo[[#This Row],[Obs]]&amp;")"</f>
        <v>MG ()</v>
      </c>
    </row>
    <row r="7616" spans="1:14" x14ac:dyDescent="0.3">
      <c r="A7616" s="1">
        <v>45140</v>
      </c>
      <c r="B7616" t="s">
        <v>97</v>
      </c>
      <c r="C7616" t="s">
        <v>464</v>
      </c>
      <c r="D7616" s="8"/>
      <c r="E7616" s="8"/>
      <c r="M7616" t="s">
        <v>479</v>
      </c>
      <c r="N7616" t="str">
        <f>Tabela_tudo[[#This Row],[Médico]]&amp;" ("&amp;Tabela_tudo[[#This Row],[Obs]]&amp;")"</f>
        <v>HAR ()</v>
      </c>
    </row>
    <row r="7617" spans="1:14" x14ac:dyDescent="0.3">
      <c r="A7617" s="1">
        <v>45141</v>
      </c>
      <c r="B7617" t="s">
        <v>9</v>
      </c>
      <c r="C7617" t="s">
        <v>41</v>
      </c>
      <c r="D7617" s="8"/>
      <c r="E7617" s="8"/>
      <c r="M7617" t="s">
        <v>481</v>
      </c>
      <c r="N7617" t="str">
        <f>Tabela_tudo[[#This Row],[Médico]]&amp;" ("&amp;Tabela_tudo[[#This Row],[Obs]]&amp;")"</f>
        <v>KRE ()</v>
      </c>
    </row>
    <row r="7618" spans="1:14" x14ac:dyDescent="0.3">
      <c r="A7618" s="1">
        <v>45162</v>
      </c>
      <c r="B7618" t="s">
        <v>9</v>
      </c>
      <c r="C7618" t="s">
        <v>464</v>
      </c>
      <c r="D7618" s="8"/>
      <c r="E7618" s="8"/>
      <c r="M7618" t="s">
        <v>481</v>
      </c>
      <c r="N7618" t="str">
        <f>Tabela_tudo[[#This Row],[Médico]]&amp;" ("&amp;Tabela_tudo[[#This Row],[Obs]]&amp;")"</f>
        <v>KRE ()</v>
      </c>
    </row>
    <row r="7619" spans="1:14" x14ac:dyDescent="0.3">
      <c r="A7619" s="1">
        <v>45150</v>
      </c>
      <c r="B7619" t="s">
        <v>9</v>
      </c>
      <c r="C7619" t="s">
        <v>78</v>
      </c>
      <c r="D7619" s="8"/>
      <c r="E7619" s="8"/>
      <c r="M7619" t="s">
        <v>481</v>
      </c>
      <c r="N7619" t="str">
        <f>Tabela_tudo[[#This Row],[Médico]]&amp;" ("&amp;Tabela_tudo[[#This Row],[Obs]]&amp;")"</f>
        <v>KRE ()</v>
      </c>
    </row>
    <row r="7620" spans="1:14" x14ac:dyDescent="0.3">
      <c r="A7620" s="1">
        <v>45163</v>
      </c>
      <c r="B7620" t="s">
        <v>9</v>
      </c>
      <c r="C7620" t="s">
        <v>464</v>
      </c>
      <c r="D7620" s="8"/>
      <c r="E7620" s="8"/>
      <c r="M7620" t="s">
        <v>481</v>
      </c>
      <c r="N7620" t="str">
        <f>Tabela_tudo[[#This Row],[Médico]]&amp;" ("&amp;Tabela_tudo[[#This Row],[Obs]]&amp;")"</f>
        <v>KRE ()</v>
      </c>
    </row>
    <row r="7621" spans="1:14" x14ac:dyDescent="0.3">
      <c r="A7621" s="1">
        <v>45150</v>
      </c>
      <c r="B7621" t="s">
        <v>57</v>
      </c>
      <c r="C7621" t="s">
        <v>8</v>
      </c>
      <c r="D7621" s="8"/>
      <c r="E7621" s="8"/>
      <c r="M7621" t="s">
        <v>477</v>
      </c>
      <c r="N7621" t="str">
        <f>Tabela_tudo[[#This Row],[Médico]]&amp;" ("&amp;Tabela_tudo[[#This Row],[Obs]]&amp;")"</f>
        <v>BED ()</v>
      </c>
    </row>
    <row r="7622" spans="1:14" x14ac:dyDescent="0.3">
      <c r="A7622" s="1">
        <v>45164</v>
      </c>
      <c r="B7622" t="s">
        <v>9</v>
      </c>
      <c r="C7622" t="s">
        <v>464</v>
      </c>
      <c r="D7622" s="8"/>
      <c r="E7622" s="8"/>
      <c r="M7622" t="s">
        <v>481</v>
      </c>
      <c r="N7622" t="str">
        <f>Tabela_tudo[[#This Row],[Médico]]&amp;" ("&amp;Tabela_tudo[[#This Row],[Obs]]&amp;")"</f>
        <v>KRE ()</v>
      </c>
    </row>
    <row r="7623" spans="1:14" x14ac:dyDescent="0.3">
      <c r="A7623" s="1">
        <v>45150</v>
      </c>
      <c r="B7623" t="s">
        <v>36</v>
      </c>
      <c r="C7623" t="s">
        <v>10</v>
      </c>
      <c r="D7623" s="8"/>
      <c r="E7623" s="8"/>
      <c r="M7623" t="s">
        <v>481</v>
      </c>
      <c r="N7623" t="str">
        <f>Tabela_tudo[[#This Row],[Médico]]&amp;" ("&amp;Tabela_tudo[[#This Row],[Obs]]&amp;")"</f>
        <v>DRI ()</v>
      </c>
    </row>
    <row r="7624" spans="1:14" x14ac:dyDescent="0.3">
      <c r="A7624" s="1">
        <v>45161</v>
      </c>
      <c r="B7624" t="s">
        <v>9</v>
      </c>
      <c r="C7624" t="s">
        <v>464</v>
      </c>
      <c r="D7624" s="8"/>
      <c r="E7624" s="8"/>
      <c r="M7624" t="s">
        <v>481</v>
      </c>
      <c r="N7624" t="str">
        <f>Tabela_tudo[[#This Row],[Médico]]&amp;" ("&amp;Tabela_tudo[[#This Row],[Obs]]&amp;")"</f>
        <v>KRE ()</v>
      </c>
    </row>
    <row r="7625" spans="1:14" x14ac:dyDescent="0.3">
      <c r="A7625" s="1">
        <v>45150</v>
      </c>
      <c r="B7625" t="s">
        <v>40</v>
      </c>
      <c r="C7625" t="s">
        <v>10</v>
      </c>
      <c r="D7625" s="8"/>
      <c r="E7625" s="8"/>
      <c r="M7625" t="s">
        <v>481</v>
      </c>
      <c r="N7625" t="str">
        <f>Tabela_tudo[[#This Row],[Médico]]&amp;" ("&amp;Tabela_tudo[[#This Row],[Obs]]&amp;")"</f>
        <v>EMA ()</v>
      </c>
    </row>
    <row r="7626" spans="1:14" x14ac:dyDescent="0.3">
      <c r="A7626" s="1">
        <v>45158</v>
      </c>
      <c r="B7626" t="s">
        <v>9</v>
      </c>
      <c r="C7626" t="s">
        <v>464</v>
      </c>
      <c r="D7626" s="8"/>
      <c r="E7626" s="8"/>
      <c r="M7626" t="s">
        <v>481</v>
      </c>
      <c r="N7626" t="str">
        <f>Tabela_tudo[[#This Row],[Médico]]&amp;" ("&amp;Tabela_tudo[[#This Row],[Obs]]&amp;")"</f>
        <v>KRE ()</v>
      </c>
    </row>
    <row r="7627" spans="1:14" x14ac:dyDescent="0.3">
      <c r="A7627" s="1">
        <v>45107</v>
      </c>
      <c r="B7627" t="s">
        <v>57</v>
      </c>
      <c r="C7627" t="s">
        <v>13</v>
      </c>
      <c r="D7627" s="8"/>
      <c r="E7627" s="8"/>
      <c r="M7627" t="s">
        <v>477</v>
      </c>
      <c r="N7627" t="str">
        <f>Tabela_tudo[[#This Row],[Médico]]&amp;" ("&amp;Tabela_tudo[[#This Row],[Obs]]&amp;")"</f>
        <v>BED ()</v>
      </c>
    </row>
    <row r="7628" spans="1:14" x14ac:dyDescent="0.3">
      <c r="A7628" s="1">
        <v>45159</v>
      </c>
      <c r="B7628" t="s">
        <v>9</v>
      </c>
      <c r="C7628" t="s">
        <v>464</v>
      </c>
      <c r="D7628" s="8"/>
      <c r="E7628" s="8"/>
      <c r="M7628" t="s">
        <v>481</v>
      </c>
      <c r="N7628" t="str">
        <f>Tabela_tudo[[#This Row],[Médico]]&amp;" ("&amp;Tabela_tudo[[#This Row],[Obs]]&amp;")"</f>
        <v>KRE ()</v>
      </c>
    </row>
    <row r="7629" spans="1:14" x14ac:dyDescent="0.3">
      <c r="A7629" s="1">
        <v>45043</v>
      </c>
      <c r="B7629" t="s">
        <v>9</v>
      </c>
      <c r="C7629" t="s">
        <v>10</v>
      </c>
      <c r="D7629" s="8"/>
      <c r="E7629" s="8"/>
      <c r="M7629" t="s">
        <v>481</v>
      </c>
      <c r="N7629" t="str">
        <f>Tabela_tudo[[#This Row],[Médico]]&amp;" ("&amp;Tabela_tudo[[#This Row],[Obs]]&amp;")"</f>
        <v>KRE ()</v>
      </c>
    </row>
    <row r="7630" spans="1:14" x14ac:dyDescent="0.3">
      <c r="A7630" s="1">
        <v>45160</v>
      </c>
      <c r="B7630" t="s">
        <v>9</v>
      </c>
      <c r="C7630" t="s">
        <v>464</v>
      </c>
      <c r="D7630" s="8"/>
      <c r="E7630" s="8"/>
      <c r="M7630" t="s">
        <v>481</v>
      </c>
      <c r="N7630" t="str">
        <f>Tabela_tudo[[#This Row],[Médico]]&amp;" ("&amp;Tabela_tudo[[#This Row],[Obs]]&amp;")"</f>
        <v>KRE ()</v>
      </c>
    </row>
    <row r="7631" spans="1:14" x14ac:dyDescent="0.3">
      <c r="A7631" s="1">
        <v>45150</v>
      </c>
      <c r="B7631" t="s">
        <v>35</v>
      </c>
      <c r="C7631" t="s">
        <v>13</v>
      </c>
      <c r="D7631" s="8"/>
      <c r="E7631" s="8"/>
      <c r="M7631" t="s">
        <v>479</v>
      </c>
      <c r="N7631" t="str">
        <f>Tabela_tudo[[#This Row],[Médico]]&amp;" ("&amp;Tabela_tudo[[#This Row],[Obs]]&amp;")"</f>
        <v>FLA ()</v>
      </c>
    </row>
    <row r="7632" spans="1:14" x14ac:dyDescent="0.3">
      <c r="A7632" s="1">
        <v>45170</v>
      </c>
      <c r="B7632" t="s">
        <v>39</v>
      </c>
      <c r="C7632" t="s">
        <v>464</v>
      </c>
      <c r="D7632" s="8"/>
      <c r="E7632" s="8"/>
      <c r="M7632" t="s">
        <v>479</v>
      </c>
      <c r="N7632" t="str">
        <f>Tabela_tudo[[#This Row],[Médico]]&amp;" ("&amp;Tabela_tudo[[#This Row],[Obs]]&amp;")"</f>
        <v>KLA ()</v>
      </c>
    </row>
    <row r="7633" spans="1:14" x14ac:dyDescent="0.3">
      <c r="A7633" s="1">
        <v>45172</v>
      </c>
      <c r="B7633" t="s">
        <v>98</v>
      </c>
      <c r="C7633" t="s">
        <v>13</v>
      </c>
      <c r="D7633" s="8"/>
      <c r="E7633" s="8"/>
      <c r="M7633" t="s">
        <v>479</v>
      </c>
      <c r="N7633" t="str">
        <f>Tabela_tudo[[#This Row],[Médico]]&amp;" ("&amp;Tabela_tudo[[#This Row],[Obs]]&amp;")"</f>
        <v>NIC ()</v>
      </c>
    </row>
    <row r="7634" spans="1:14" x14ac:dyDescent="0.3">
      <c r="A7634" s="1">
        <v>45171</v>
      </c>
      <c r="B7634" t="s">
        <v>39</v>
      </c>
      <c r="C7634" t="s">
        <v>464</v>
      </c>
      <c r="D7634" s="8"/>
      <c r="E7634" s="8"/>
      <c r="M7634" t="s">
        <v>479</v>
      </c>
      <c r="N7634" t="str">
        <f>Tabela_tudo[[#This Row],[Médico]]&amp;" ("&amp;Tabela_tudo[[#This Row],[Obs]]&amp;")"</f>
        <v>KLA ()</v>
      </c>
    </row>
    <row r="7635" spans="1:14" x14ac:dyDescent="0.3">
      <c r="A7635" s="1">
        <v>45042</v>
      </c>
      <c r="B7635" t="s">
        <v>27</v>
      </c>
      <c r="C7635" t="s">
        <v>22</v>
      </c>
      <c r="D7635" s="8">
        <v>0.54166666666666663</v>
      </c>
      <c r="E7635" s="8">
        <v>0.75</v>
      </c>
      <c r="M7635" t="s">
        <v>481</v>
      </c>
      <c r="N7635" t="str">
        <f>Tabela_tudo[[#This Row],[Médico]]&amp;" ("&amp;Tabela_tudo[[#This Row],[Obs]]&amp;")"</f>
        <v>KIL ()</v>
      </c>
    </row>
    <row r="7636" spans="1:14" x14ac:dyDescent="0.3">
      <c r="A7636" s="1">
        <v>45172</v>
      </c>
      <c r="B7636" t="s">
        <v>39</v>
      </c>
      <c r="C7636" t="s">
        <v>464</v>
      </c>
      <c r="D7636" s="8"/>
      <c r="E7636" s="8"/>
      <c r="M7636" t="s">
        <v>479</v>
      </c>
      <c r="N7636" t="str">
        <f>Tabela_tudo[[#This Row],[Médico]]&amp;" ("&amp;Tabela_tudo[[#This Row],[Obs]]&amp;")"</f>
        <v>KLA ()</v>
      </c>
    </row>
    <row r="7637" spans="1:14" x14ac:dyDescent="0.3">
      <c r="A7637" s="1">
        <v>45107</v>
      </c>
      <c r="B7637" t="s">
        <v>112</v>
      </c>
      <c r="C7637" t="s">
        <v>8</v>
      </c>
      <c r="D7637" s="8"/>
      <c r="E7637" s="8"/>
      <c r="M7637" t="s">
        <v>479</v>
      </c>
      <c r="N7637" t="str">
        <f>Tabela_tudo[[#This Row],[Médico]]&amp;" ("&amp;Tabela_tudo[[#This Row],[Obs]]&amp;")"</f>
        <v>FLE ()</v>
      </c>
    </row>
    <row r="7638" spans="1:14" x14ac:dyDescent="0.3">
      <c r="A7638" s="1">
        <v>45168</v>
      </c>
      <c r="B7638" t="s">
        <v>9</v>
      </c>
      <c r="C7638" t="s">
        <v>464</v>
      </c>
      <c r="D7638" s="8"/>
      <c r="E7638" s="8"/>
      <c r="M7638" t="s">
        <v>481</v>
      </c>
      <c r="N7638" t="str">
        <f>Tabela_tudo[[#This Row],[Médico]]&amp;" ("&amp;Tabela_tudo[[#This Row],[Obs]]&amp;")"</f>
        <v>KRE ()</v>
      </c>
    </row>
    <row r="7639" spans="1:14" x14ac:dyDescent="0.3">
      <c r="A7639" s="1">
        <v>45172</v>
      </c>
      <c r="B7639" t="s">
        <v>9</v>
      </c>
      <c r="C7639" t="s">
        <v>78</v>
      </c>
      <c r="D7639" s="8"/>
      <c r="E7639" s="8"/>
      <c r="M7639" t="s">
        <v>481</v>
      </c>
      <c r="N7639" t="str">
        <f>Tabela_tudo[[#This Row],[Médico]]&amp;" ("&amp;Tabela_tudo[[#This Row],[Obs]]&amp;")"</f>
        <v>KRE ()</v>
      </c>
    </row>
    <row r="7640" spans="1:14" x14ac:dyDescent="0.3">
      <c r="A7640" s="1">
        <v>45165</v>
      </c>
      <c r="B7640" t="s">
        <v>9</v>
      </c>
      <c r="C7640" t="s">
        <v>464</v>
      </c>
      <c r="D7640" s="8"/>
      <c r="E7640" s="8"/>
      <c r="M7640" t="s">
        <v>481</v>
      </c>
      <c r="N7640" t="str">
        <f>Tabela_tudo[[#This Row],[Médico]]&amp;" ("&amp;Tabela_tudo[[#This Row],[Obs]]&amp;")"</f>
        <v>KRE ()</v>
      </c>
    </row>
    <row r="7641" spans="1:14" x14ac:dyDescent="0.3">
      <c r="A7641" s="1">
        <v>45068</v>
      </c>
      <c r="B7641" t="s">
        <v>35</v>
      </c>
      <c r="C7641" t="s">
        <v>13</v>
      </c>
      <c r="D7641" s="8"/>
      <c r="E7641" s="8"/>
      <c r="M7641" t="s">
        <v>479</v>
      </c>
      <c r="N7641" t="str">
        <f>Tabela_tudo[[#This Row],[Médico]]&amp;" ("&amp;Tabela_tudo[[#This Row],[Obs]]&amp;")"</f>
        <v>FLA ()</v>
      </c>
    </row>
    <row r="7642" spans="1:14" x14ac:dyDescent="0.3">
      <c r="A7642" s="1">
        <v>45166</v>
      </c>
      <c r="B7642" t="s">
        <v>9</v>
      </c>
      <c r="C7642" t="s">
        <v>464</v>
      </c>
      <c r="D7642" s="8"/>
      <c r="E7642" s="8"/>
      <c r="M7642" t="s">
        <v>481</v>
      </c>
      <c r="N7642" t="str">
        <f>Tabela_tudo[[#This Row],[Médico]]&amp;" ("&amp;Tabela_tudo[[#This Row],[Obs]]&amp;")"</f>
        <v>KRE ()</v>
      </c>
    </row>
    <row r="7643" spans="1:14" x14ac:dyDescent="0.3">
      <c r="A7643" s="1">
        <v>45141</v>
      </c>
      <c r="B7643" t="s">
        <v>80</v>
      </c>
      <c r="C7643" t="s">
        <v>41</v>
      </c>
      <c r="D7643" s="8"/>
      <c r="E7643" s="8"/>
      <c r="M7643" t="s">
        <v>477</v>
      </c>
      <c r="N7643" t="str">
        <f>Tabela_tudo[[#This Row],[Médico]]&amp;" ("&amp;Tabela_tudo[[#This Row],[Obs]]&amp;")"</f>
        <v>REC ()</v>
      </c>
    </row>
    <row r="7644" spans="1:14" x14ac:dyDescent="0.3">
      <c r="A7644" s="1">
        <v>45167</v>
      </c>
      <c r="B7644" t="s">
        <v>9</v>
      </c>
      <c r="C7644" t="s">
        <v>464</v>
      </c>
      <c r="D7644" s="8"/>
      <c r="E7644" s="8"/>
      <c r="M7644" t="s">
        <v>481</v>
      </c>
      <c r="N7644" t="str">
        <f>Tabela_tudo[[#This Row],[Médico]]&amp;" ("&amp;Tabela_tudo[[#This Row],[Obs]]&amp;")"</f>
        <v>KRE ()</v>
      </c>
    </row>
    <row r="7645" spans="1:14" x14ac:dyDescent="0.3">
      <c r="A7645" s="1">
        <v>45150</v>
      </c>
      <c r="B7645" t="s">
        <v>79</v>
      </c>
      <c r="C7645" t="s">
        <v>10</v>
      </c>
      <c r="D7645" s="8"/>
      <c r="E7645" s="8"/>
      <c r="M7645" t="s">
        <v>481</v>
      </c>
      <c r="N7645" t="str">
        <f>Tabela_tudo[[#This Row],[Médico]]&amp;" ("&amp;Tabela_tudo[[#This Row],[Obs]]&amp;")"</f>
        <v>MTB ()</v>
      </c>
    </row>
    <row r="7646" spans="1:14" x14ac:dyDescent="0.3">
      <c r="A7646" s="1">
        <v>45148</v>
      </c>
      <c r="B7646" t="s">
        <v>59</v>
      </c>
      <c r="C7646" t="s">
        <v>464</v>
      </c>
      <c r="D7646" s="8"/>
      <c r="E7646" s="8"/>
      <c r="M7646" t="s">
        <v>477</v>
      </c>
      <c r="N7646" t="str">
        <f>Tabela_tudo[[#This Row],[Médico]]&amp;" ("&amp;Tabela_tudo[[#This Row],[Obs]]&amp;")"</f>
        <v>WEN ()</v>
      </c>
    </row>
    <row r="7647" spans="1:14" x14ac:dyDescent="0.3">
      <c r="A7647" s="1">
        <v>45070</v>
      </c>
      <c r="B7647" t="s">
        <v>27</v>
      </c>
      <c r="C7647" t="s">
        <v>13</v>
      </c>
      <c r="D7647" s="8"/>
      <c r="E7647" s="8"/>
      <c r="M7647" t="s">
        <v>481</v>
      </c>
      <c r="N7647" t="str">
        <f>Tabela_tudo[[#This Row],[Médico]]&amp;" ("&amp;Tabela_tudo[[#This Row],[Obs]]&amp;")"</f>
        <v>KIL ()</v>
      </c>
    </row>
    <row r="7648" spans="1:14" x14ac:dyDescent="0.3">
      <c r="A7648" s="1">
        <v>45149</v>
      </c>
      <c r="B7648" t="s">
        <v>59</v>
      </c>
      <c r="C7648" t="s">
        <v>464</v>
      </c>
      <c r="D7648" s="8"/>
      <c r="E7648" s="8"/>
      <c r="M7648" t="s">
        <v>477</v>
      </c>
      <c r="N7648" t="str">
        <f>Tabela_tudo[[#This Row],[Médico]]&amp;" ("&amp;Tabela_tudo[[#This Row],[Obs]]&amp;")"</f>
        <v>WEN ()</v>
      </c>
    </row>
    <row r="7649" spans="1:14" x14ac:dyDescent="0.3">
      <c r="A7649" s="1">
        <v>45172</v>
      </c>
      <c r="B7649" t="s">
        <v>149</v>
      </c>
      <c r="C7649" t="s">
        <v>8</v>
      </c>
      <c r="D7649" s="8"/>
      <c r="E7649" s="8"/>
      <c r="M7649" t="s">
        <v>477</v>
      </c>
      <c r="N7649" t="str">
        <f>Tabela_tudo[[#This Row],[Médico]]&amp;" ("&amp;Tabela_tudo[[#This Row],[Obs]]&amp;")"</f>
        <v>NF ()</v>
      </c>
    </row>
    <row r="7650" spans="1:14" x14ac:dyDescent="0.3">
      <c r="A7650" s="1">
        <v>45150</v>
      </c>
      <c r="B7650" t="s">
        <v>59</v>
      </c>
      <c r="C7650" t="s">
        <v>464</v>
      </c>
      <c r="D7650" s="8"/>
      <c r="E7650" s="8"/>
      <c r="M7650" t="s">
        <v>477</v>
      </c>
      <c r="N7650" t="str">
        <f>Tabela_tudo[[#This Row],[Médico]]&amp;" ("&amp;Tabela_tudo[[#This Row],[Obs]]&amp;")"</f>
        <v>WEN ()</v>
      </c>
    </row>
    <row r="7651" spans="1:14" x14ac:dyDescent="0.3">
      <c r="A7651" s="1">
        <v>45150</v>
      </c>
      <c r="B7651" t="s">
        <v>27</v>
      </c>
      <c r="C7651" t="s">
        <v>10</v>
      </c>
      <c r="D7651" s="8"/>
      <c r="E7651" s="8"/>
      <c r="M7651" t="s">
        <v>481</v>
      </c>
      <c r="N7651" t="str">
        <f>Tabela_tudo[[#This Row],[Médico]]&amp;" ("&amp;Tabela_tudo[[#This Row],[Obs]]&amp;")"</f>
        <v>KIL ()</v>
      </c>
    </row>
    <row r="7652" spans="1:14" x14ac:dyDescent="0.3">
      <c r="A7652" s="1">
        <v>45147</v>
      </c>
      <c r="B7652" t="s">
        <v>59</v>
      </c>
      <c r="C7652" t="s">
        <v>464</v>
      </c>
      <c r="D7652" s="8"/>
      <c r="E7652" s="8"/>
      <c r="M7652" t="s">
        <v>477</v>
      </c>
      <c r="N7652" t="str">
        <f>Tabela_tudo[[#This Row],[Médico]]&amp;" ("&amp;Tabela_tudo[[#This Row],[Obs]]&amp;")"</f>
        <v>WEN ()</v>
      </c>
    </row>
    <row r="7653" spans="1:14" x14ac:dyDescent="0.3">
      <c r="A7653" s="1">
        <v>45073</v>
      </c>
      <c r="B7653" t="s">
        <v>38</v>
      </c>
      <c r="C7653" t="s">
        <v>10</v>
      </c>
      <c r="D7653" s="8"/>
      <c r="E7653" s="8"/>
      <c r="M7653" t="s">
        <v>481</v>
      </c>
      <c r="N7653" t="str">
        <f>Tabela_tudo[[#This Row],[Médico]]&amp;" ("&amp;Tabela_tudo[[#This Row],[Obs]]&amp;")"</f>
        <v>ORO ()</v>
      </c>
    </row>
    <row r="7654" spans="1:14" x14ac:dyDescent="0.3">
      <c r="A7654" s="1">
        <v>45144</v>
      </c>
      <c r="B7654" t="s">
        <v>59</v>
      </c>
      <c r="C7654" t="s">
        <v>464</v>
      </c>
      <c r="D7654" s="8"/>
      <c r="E7654" s="8"/>
      <c r="M7654" t="s">
        <v>477</v>
      </c>
      <c r="N7654" t="str">
        <f>Tabela_tudo[[#This Row],[Médico]]&amp;" ("&amp;Tabela_tudo[[#This Row],[Obs]]&amp;")"</f>
        <v>WEN ()</v>
      </c>
    </row>
    <row r="7655" spans="1:14" x14ac:dyDescent="0.3">
      <c r="A7655" s="1">
        <v>45073</v>
      </c>
      <c r="B7655" t="s">
        <v>80</v>
      </c>
      <c r="C7655" t="s">
        <v>78</v>
      </c>
      <c r="D7655" s="8"/>
      <c r="E7655" s="8"/>
      <c r="M7655" t="s">
        <v>477</v>
      </c>
      <c r="N7655" t="str">
        <f>Tabela_tudo[[#This Row],[Médico]]&amp;" ("&amp;Tabela_tudo[[#This Row],[Obs]]&amp;")"</f>
        <v>REC ()</v>
      </c>
    </row>
    <row r="7656" spans="1:14" x14ac:dyDescent="0.3">
      <c r="A7656" s="1">
        <v>45145</v>
      </c>
      <c r="B7656" t="s">
        <v>59</v>
      </c>
      <c r="C7656" t="s">
        <v>464</v>
      </c>
      <c r="D7656" s="8"/>
      <c r="E7656" s="8"/>
      <c r="M7656" t="s">
        <v>477</v>
      </c>
      <c r="N7656" t="str">
        <f>Tabela_tudo[[#This Row],[Médico]]&amp;" ("&amp;Tabela_tudo[[#This Row],[Obs]]&amp;")"</f>
        <v>WEN ()</v>
      </c>
    </row>
    <row r="7657" spans="1:14" x14ac:dyDescent="0.3">
      <c r="A7657" s="1">
        <v>45141</v>
      </c>
      <c r="B7657" t="s">
        <v>40</v>
      </c>
      <c r="C7657" t="s">
        <v>10</v>
      </c>
      <c r="D7657" s="8"/>
      <c r="E7657" s="8"/>
      <c r="M7657" t="s">
        <v>481</v>
      </c>
      <c r="N7657" t="str">
        <f>Tabela_tudo[[#This Row],[Médico]]&amp;" ("&amp;Tabela_tudo[[#This Row],[Obs]]&amp;")"</f>
        <v>EMA ()</v>
      </c>
    </row>
    <row r="7658" spans="1:14" x14ac:dyDescent="0.3">
      <c r="A7658" s="1">
        <v>45146</v>
      </c>
      <c r="B7658" t="s">
        <v>59</v>
      </c>
      <c r="C7658" t="s">
        <v>464</v>
      </c>
      <c r="D7658" s="8"/>
      <c r="E7658" s="8"/>
      <c r="M7658" t="s">
        <v>477</v>
      </c>
      <c r="N7658" t="str">
        <f>Tabela_tudo[[#This Row],[Médico]]&amp;" ("&amp;Tabela_tudo[[#This Row],[Obs]]&amp;")"</f>
        <v>WEN ()</v>
      </c>
    </row>
    <row r="7659" spans="1:14" x14ac:dyDescent="0.3">
      <c r="A7659" s="1">
        <v>45073</v>
      </c>
      <c r="B7659" t="s">
        <v>39</v>
      </c>
      <c r="C7659" t="s">
        <v>10</v>
      </c>
      <c r="D7659" s="8"/>
      <c r="E7659" s="8"/>
      <c r="M7659" t="s">
        <v>479</v>
      </c>
      <c r="N7659" t="str">
        <f>Tabela_tudo[[#This Row],[Médico]]&amp;" ("&amp;Tabela_tudo[[#This Row],[Obs]]&amp;")"</f>
        <v>KLA ()</v>
      </c>
    </row>
    <row r="7660" spans="1:14" x14ac:dyDescent="0.3">
      <c r="A7660" s="1">
        <v>45155</v>
      </c>
      <c r="B7660" t="s">
        <v>9</v>
      </c>
      <c r="C7660" t="s">
        <v>464</v>
      </c>
      <c r="D7660" s="8"/>
      <c r="E7660" s="8"/>
      <c r="M7660" t="s">
        <v>481</v>
      </c>
      <c r="N7660" t="str">
        <f>Tabela_tudo[[#This Row],[Médico]]&amp;" ("&amp;Tabela_tudo[[#This Row],[Obs]]&amp;")"</f>
        <v>KRE ()</v>
      </c>
    </row>
    <row r="7661" spans="1:14" x14ac:dyDescent="0.3">
      <c r="A7661" s="1">
        <v>45141</v>
      </c>
      <c r="B7661" t="s">
        <v>36</v>
      </c>
      <c r="C7661" t="s">
        <v>10</v>
      </c>
      <c r="D7661" s="8"/>
      <c r="E7661" s="8"/>
      <c r="M7661" t="s">
        <v>481</v>
      </c>
      <c r="N7661" t="str">
        <f>Tabela_tudo[[#This Row],[Médico]]&amp;" ("&amp;Tabela_tudo[[#This Row],[Obs]]&amp;")"</f>
        <v>DRI ()</v>
      </c>
    </row>
    <row r="7662" spans="1:14" x14ac:dyDescent="0.3">
      <c r="A7662" s="1">
        <v>45156</v>
      </c>
      <c r="B7662" t="s">
        <v>9</v>
      </c>
      <c r="C7662" t="s">
        <v>464</v>
      </c>
      <c r="D7662" s="8"/>
      <c r="E7662" s="8"/>
      <c r="M7662" t="s">
        <v>481</v>
      </c>
      <c r="N7662" t="str">
        <f>Tabela_tudo[[#This Row],[Médico]]&amp;" ("&amp;Tabela_tudo[[#This Row],[Obs]]&amp;")"</f>
        <v>KRE ()</v>
      </c>
    </row>
    <row r="7663" spans="1:14" x14ac:dyDescent="0.3">
      <c r="A7663" s="1">
        <v>45143</v>
      </c>
      <c r="B7663" t="s">
        <v>27</v>
      </c>
      <c r="C7663" t="s">
        <v>10</v>
      </c>
      <c r="D7663" s="8"/>
      <c r="E7663" s="8"/>
      <c r="M7663" t="s">
        <v>481</v>
      </c>
      <c r="N7663" t="str">
        <f>Tabela_tudo[[#This Row],[Médico]]&amp;" ("&amp;Tabela_tudo[[#This Row],[Obs]]&amp;")"</f>
        <v>KIL ()</v>
      </c>
    </row>
    <row r="7664" spans="1:14" x14ac:dyDescent="0.3">
      <c r="A7664" s="1">
        <v>45157</v>
      </c>
      <c r="B7664" t="s">
        <v>9</v>
      </c>
      <c r="C7664" t="s">
        <v>464</v>
      </c>
      <c r="D7664" s="8"/>
      <c r="E7664" s="8"/>
      <c r="M7664" t="s">
        <v>481</v>
      </c>
      <c r="N7664" t="str">
        <f>Tabela_tudo[[#This Row],[Médico]]&amp;" ("&amp;Tabela_tudo[[#This Row],[Obs]]&amp;")"</f>
        <v>KRE ()</v>
      </c>
    </row>
    <row r="7665" spans="1:14" x14ac:dyDescent="0.3">
      <c r="A7665" s="1">
        <v>45073</v>
      </c>
      <c r="B7665" t="s">
        <v>79</v>
      </c>
      <c r="C7665" t="s">
        <v>8</v>
      </c>
      <c r="D7665" s="8"/>
      <c r="E7665" s="8"/>
      <c r="M7665" t="s">
        <v>481</v>
      </c>
      <c r="N7665" t="str">
        <f>Tabela_tudo[[#This Row],[Médico]]&amp;" ("&amp;Tabela_tudo[[#This Row],[Obs]]&amp;")"</f>
        <v>MTB ()</v>
      </c>
    </row>
    <row r="7666" spans="1:14" x14ac:dyDescent="0.3">
      <c r="A7666" s="1">
        <v>45154</v>
      </c>
      <c r="B7666" t="s">
        <v>9</v>
      </c>
      <c r="C7666" t="s">
        <v>464</v>
      </c>
      <c r="D7666" s="8"/>
      <c r="E7666" s="8"/>
      <c r="M7666" t="s">
        <v>481</v>
      </c>
      <c r="N7666" t="str">
        <f>Tabela_tudo[[#This Row],[Médico]]&amp;" ("&amp;Tabela_tudo[[#This Row],[Obs]]&amp;")"</f>
        <v>KRE ()</v>
      </c>
    </row>
    <row r="7667" spans="1:14" x14ac:dyDescent="0.3">
      <c r="A7667" s="1">
        <v>45073</v>
      </c>
      <c r="B7667" t="s">
        <v>69</v>
      </c>
      <c r="C7667" t="s">
        <v>13</v>
      </c>
      <c r="D7667" s="8"/>
      <c r="E7667" s="8"/>
      <c r="M7667" t="s">
        <v>479</v>
      </c>
      <c r="N7667" t="str">
        <f>Tabela_tudo[[#This Row],[Médico]]&amp;" ("&amp;Tabela_tudo[[#This Row],[Obs]]&amp;")"</f>
        <v>PRE ()</v>
      </c>
    </row>
    <row r="7668" spans="1:14" x14ac:dyDescent="0.3">
      <c r="A7668" s="1">
        <v>45151</v>
      </c>
      <c r="B7668" t="s">
        <v>59</v>
      </c>
      <c r="C7668" t="s">
        <v>464</v>
      </c>
      <c r="D7668" s="8"/>
      <c r="E7668" s="8"/>
      <c r="M7668" t="s">
        <v>477</v>
      </c>
      <c r="N7668" t="str">
        <f>Tabela_tudo[[#This Row],[Médico]]&amp;" ("&amp;Tabela_tudo[[#This Row],[Obs]]&amp;")"</f>
        <v>WEN ()</v>
      </c>
    </row>
    <row r="7669" spans="1:14" x14ac:dyDescent="0.3">
      <c r="A7669" s="1">
        <v>45141</v>
      </c>
      <c r="B7669" t="s">
        <v>103</v>
      </c>
      <c r="C7669" t="s">
        <v>8</v>
      </c>
      <c r="D7669" s="8"/>
      <c r="E7669" s="8"/>
      <c r="M7669" t="s">
        <v>481</v>
      </c>
      <c r="N7669" t="str">
        <f>Tabela_tudo[[#This Row],[Médico]]&amp;" ("&amp;Tabela_tudo[[#This Row],[Obs]]&amp;")"</f>
        <v>CAD ()</v>
      </c>
    </row>
    <row r="7670" spans="1:14" x14ac:dyDescent="0.3">
      <c r="A7670" s="1">
        <v>45152</v>
      </c>
      <c r="B7670" t="s">
        <v>59</v>
      </c>
      <c r="C7670" t="s">
        <v>464</v>
      </c>
      <c r="D7670" s="8"/>
      <c r="E7670" s="8"/>
      <c r="M7670" t="s">
        <v>477</v>
      </c>
      <c r="N7670" t="str">
        <f>Tabela_tudo[[#This Row],[Médico]]&amp;" ("&amp;Tabela_tudo[[#This Row],[Obs]]&amp;")"</f>
        <v>WEN ()</v>
      </c>
    </row>
    <row r="7671" spans="1:14" x14ac:dyDescent="0.3">
      <c r="A7671" s="1">
        <v>45145</v>
      </c>
      <c r="B7671" t="s">
        <v>40</v>
      </c>
      <c r="C7671" t="s">
        <v>10</v>
      </c>
      <c r="D7671" s="8"/>
      <c r="E7671" s="8"/>
      <c r="M7671" t="s">
        <v>481</v>
      </c>
      <c r="N7671" t="str">
        <f>Tabela_tudo[[#This Row],[Médico]]&amp;" ("&amp;Tabela_tudo[[#This Row],[Obs]]&amp;")"</f>
        <v>EMA ()</v>
      </c>
    </row>
    <row r="7672" spans="1:14" x14ac:dyDescent="0.3">
      <c r="A7672" s="1">
        <v>45153</v>
      </c>
      <c r="B7672" t="s">
        <v>59</v>
      </c>
      <c r="C7672" t="s">
        <v>464</v>
      </c>
      <c r="D7672" s="8"/>
      <c r="E7672" s="8"/>
      <c r="M7672" t="s">
        <v>477</v>
      </c>
      <c r="N7672" t="str">
        <f>Tabela_tudo[[#This Row],[Médico]]&amp;" ("&amp;Tabela_tudo[[#This Row],[Obs]]&amp;")"</f>
        <v>WEN ()</v>
      </c>
    </row>
    <row r="7673" spans="1:14" x14ac:dyDescent="0.3">
      <c r="A7673" s="1">
        <v>45145</v>
      </c>
      <c r="B7673" t="s">
        <v>103</v>
      </c>
      <c r="C7673" t="s">
        <v>8</v>
      </c>
      <c r="D7673" s="8"/>
      <c r="E7673" s="8"/>
      <c r="M7673" t="s">
        <v>481</v>
      </c>
      <c r="N7673" t="str">
        <f>Tabela_tudo[[#This Row],[Médico]]&amp;" ("&amp;Tabela_tudo[[#This Row],[Obs]]&amp;")"</f>
        <v>CAD ()</v>
      </c>
    </row>
    <row r="7674" spans="1:14" x14ac:dyDescent="0.3">
      <c r="A7674" s="1">
        <v>45075</v>
      </c>
      <c r="B7674" t="s">
        <v>36</v>
      </c>
      <c r="C7674" t="s">
        <v>13</v>
      </c>
      <c r="D7674" s="8"/>
      <c r="E7674" s="8"/>
      <c r="M7674" t="s">
        <v>481</v>
      </c>
      <c r="N7674" t="str">
        <f>Tabela_tudo[[#This Row],[Médico]]&amp;" ("&amp;Tabela_tudo[[#This Row],[Obs]]&amp;")"</f>
        <v>DRI ()</v>
      </c>
    </row>
    <row r="7675" spans="1:14" x14ac:dyDescent="0.3">
      <c r="A7675" s="1">
        <v>45145</v>
      </c>
      <c r="B7675" t="s">
        <v>36</v>
      </c>
      <c r="C7675" t="s">
        <v>10</v>
      </c>
      <c r="D7675" s="8"/>
      <c r="E7675" s="8"/>
      <c r="M7675" t="s">
        <v>481</v>
      </c>
      <c r="N7675" t="str">
        <f>Tabela_tudo[[#This Row],[Médico]]&amp;" ("&amp;Tabela_tudo[[#This Row],[Obs]]&amp;")"</f>
        <v>DRI ()</v>
      </c>
    </row>
    <row r="7676" spans="1:14" x14ac:dyDescent="0.3">
      <c r="A7676" s="1">
        <v>45074</v>
      </c>
      <c r="B7676" t="s">
        <v>69</v>
      </c>
      <c r="C7676" t="s">
        <v>13</v>
      </c>
      <c r="D7676" s="8"/>
      <c r="E7676" s="8"/>
      <c r="M7676" t="s">
        <v>479</v>
      </c>
      <c r="N7676" t="str">
        <f>Tabela_tudo[[#This Row],[Médico]]&amp;" ("&amp;Tabela_tudo[[#This Row],[Obs]]&amp;")"</f>
        <v>PRE ()</v>
      </c>
    </row>
    <row r="7677" spans="1:14" x14ac:dyDescent="0.3">
      <c r="A7677" s="1">
        <v>45145</v>
      </c>
      <c r="B7677" t="s">
        <v>149</v>
      </c>
      <c r="C7677" t="s">
        <v>13</v>
      </c>
      <c r="D7677" s="8"/>
      <c r="E7677" s="8"/>
      <c r="M7677" t="s">
        <v>477</v>
      </c>
      <c r="N7677" t="str">
        <f>Tabela_tudo[[#This Row],[Médico]]&amp;" ("&amp;Tabela_tudo[[#This Row],[Obs]]&amp;")"</f>
        <v>NF ()</v>
      </c>
    </row>
    <row r="7678" spans="1:14" x14ac:dyDescent="0.3">
      <c r="A7678" s="1">
        <v>45074</v>
      </c>
      <c r="B7678" t="s">
        <v>80</v>
      </c>
      <c r="C7678" t="s">
        <v>78</v>
      </c>
      <c r="D7678" s="8"/>
      <c r="E7678" s="8"/>
      <c r="M7678" t="s">
        <v>477</v>
      </c>
      <c r="N7678" t="str">
        <f>Tabela_tudo[[#This Row],[Médico]]&amp;" ("&amp;Tabela_tudo[[#This Row],[Obs]]&amp;")"</f>
        <v>REC ()</v>
      </c>
    </row>
    <row r="7679" spans="1:14" x14ac:dyDescent="0.3">
      <c r="A7679" s="1">
        <v>45074</v>
      </c>
      <c r="B7679" t="s">
        <v>79</v>
      </c>
      <c r="C7679" t="s">
        <v>8</v>
      </c>
      <c r="D7679" s="8"/>
      <c r="E7679" s="8"/>
      <c r="M7679" t="s">
        <v>481</v>
      </c>
      <c r="N7679" t="str">
        <f>Tabela_tudo[[#This Row],[Médico]]&amp;" ("&amp;Tabela_tudo[[#This Row],[Obs]]&amp;")"</f>
        <v>MTB ()</v>
      </c>
    </row>
    <row r="7680" spans="1:14" x14ac:dyDescent="0.3">
      <c r="A7680" s="1">
        <v>45143</v>
      </c>
      <c r="B7680" t="s">
        <v>40</v>
      </c>
      <c r="C7680" t="s">
        <v>10</v>
      </c>
      <c r="D7680" s="8"/>
      <c r="E7680" s="8"/>
      <c r="M7680" t="s">
        <v>481</v>
      </c>
      <c r="N7680" t="str">
        <f>Tabela_tudo[[#This Row],[Médico]]&amp;" ("&amp;Tabela_tudo[[#This Row],[Obs]]&amp;")"</f>
        <v>EMA ()</v>
      </c>
    </row>
    <row r="7681" spans="1:14" x14ac:dyDescent="0.3">
      <c r="A7681" s="1">
        <v>45143</v>
      </c>
      <c r="B7681" t="s">
        <v>96</v>
      </c>
      <c r="C7681" t="s">
        <v>78</v>
      </c>
      <c r="D7681" s="8"/>
      <c r="E7681" s="8"/>
      <c r="M7681" t="s">
        <v>477</v>
      </c>
      <c r="N7681" t="str">
        <f>Tabela_tudo[[#This Row],[Médico]]&amp;" ("&amp;Tabela_tudo[[#This Row],[Obs]]&amp;")"</f>
        <v>VF ()</v>
      </c>
    </row>
    <row r="7682" spans="1:14" x14ac:dyDescent="0.3">
      <c r="A7682" s="1">
        <v>45070</v>
      </c>
      <c r="B7682" t="s">
        <v>61</v>
      </c>
      <c r="C7682" t="s">
        <v>41</v>
      </c>
      <c r="D7682" s="8"/>
      <c r="E7682" s="8"/>
      <c r="M7682" t="s">
        <v>477</v>
      </c>
      <c r="N7682" t="str">
        <f>Tabela_tudo[[#This Row],[Médico]]&amp;" ("&amp;Tabela_tudo[[#This Row],[Obs]]&amp;")"</f>
        <v>AD ()</v>
      </c>
    </row>
    <row r="7683" spans="1:14" x14ac:dyDescent="0.3">
      <c r="A7683" s="1">
        <v>45070</v>
      </c>
      <c r="B7683" t="s">
        <v>57</v>
      </c>
      <c r="C7683" t="s">
        <v>8</v>
      </c>
      <c r="D7683" s="8"/>
      <c r="E7683" s="8"/>
      <c r="M7683" t="s">
        <v>477</v>
      </c>
      <c r="N7683" t="str">
        <f>Tabela_tudo[[#This Row],[Médico]]&amp;" ("&amp;Tabela_tudo[[#This Row],[Obs]]&amp;")"</f>
        <v>BED ()</v>
      </c>
    </row>
    <row r="7684" spans="1:14" x14ac:dyDescent="0.3">
      <c r="A7684" s="1">
        <v>45141</v>
      </c>
      <c r="B7684" t="s">
        <v>79</v>
      </c>
      <c r="C7684" t="s">
        <v>10</v>
      </c>
      <c r="D7684" s="8"/>
      <c r="E7684" s="8"/>
      <c r="M7684" t="s">
        <v>481</v>
      </c>
      <c r="N7684" t="str">
        <f>Tabela_tudo[[#This Row],[Médico]]&amp;" ("&amp;Tabela_tudo[[#This Row],[Obs]]&amp;")"</f>
        <v>MTB ()</v>
      </c>
    </row>
    <row r="7685" spans="1:14" x14ac:dyDescent="0.3">
      <c r="A7685" s="1">
        <v>45141</v>
      </c>
      <c r="B7685" t="s">
        <v>27</v>
      </c>
      <c r="C7685" t="s">
        <v>10</v>
      </c>
      <c r="D7685" s="8"/>
      <c r="E7685" s="8"/>
      <c r="M7685" t="s">
        <v>481</v>
      </c>
      <c r="N7685" t="str">
        <f>Tabela_tudo[[#This Row],[Médico]]&amp;" ("&amp;Tabela_tudo[[#This Row],[Obs]]&amp;")"</f>
        <v>KIL ()</v>
      </c>
    </row>
    <row r="7686" spans="1:14" x14ac:dyDescent="0.3">
      <c r="A7686" s="1">
        <v>45143</v>
      </c>
      <c r="B7686" t="s">
        <v>112</v>
      </c>
      <c r="C7686" t="s">
        <v>8</v>
      </c>
      <c r="D7686" s="8"/>
      <c r="E7686" s="8"/>
      <c r="M7686" t="s">
        <v>479</v>
      </c>
      <c r="N7686" t="str">
        <f>Tabela_tudo[[#This Row],[Médico]]&amp;" ("&amp;Tabela_tudo[[#This Row],[Obs]]&amp;")"</f>
        <v>FLE ()</v>
      </c>
    </row>
    <row r="7687" spans="1:14" x14ac:dyDescent="0.3">
      <c r="A7687" s="1">
        <v>45143</v>
      </c>
      <c r="B7687" t="s">
        <v>69</v>
      </c>
      <c r="C7687" t="s">
        <v>13</v>
      </c>
      <c r="D7687" s="8"/>
      <c r="E7687" s="8"/>
      <c r="M7687" t="s">
        <v>479</v>
      </c>
      <c r="N7687" t="str">
        <f>Tabela_tudo[[#This Row],[Médico]]&amp;" ("&amp;Tabela_tudo[[#This Row],[Obs]]&amp;")"</f>
        <v>PRE ()</v>
      </c>
    </row>
    <row r="7688" spans="1:14" x14ac:dyDescent="0.3">
      <c r="A7688" s="1">
        <v>45070</v>
      </c>
      <c r="B7688" t="s">
        <v>69</v>
      </c>
      <c r="C7688" t="s">
        <v>41</v>
      </c>
      <c r="D7688" s="8"/>
      <c r="E7688" s="8"/>
      <c r="M7688" t="s">
        <v>479</v>
      </c>
      <c r="N7688" t="str">
        <f>Tabela_tudo[[#This Row],[Médico]]&amp;" ("&amp;Tabela_tudo[[#This Row],[Obs]]&amp;")"</f>
        <v>PRE ()</v>
      </c>
    </row>
    <row r="7689" spans="1:14" x14ac:dyDescent="0.3">
      <c r="A7689" s="1">
        <v>45143</v>
      </c>
      <c r="B7689" t="s">
        <v>36</v>
      </c>
      <c r="C7689" t="s">
        <v>10</v>
      </c>
      <c r="D7689" s="8"/>
      <c r="E7689" s="8"/>
      <c r="M7689" t="s">
        <v>481</v>
      </c>
      <c r="N7689" t="str">
        <f>Tabela_tudo[[#This Row],[Médico]]&amp;" ("&amp;Tabela_tudo[[#This Row],[Obs]]&amp;")"</f>
        <v>DRI ()</v>
      </c>
    </row>
    <row r="7690" spans="1:14" x14ac:dyDescent="0.3">
      <c r="A7690" s="1">
        <v>45225</v>
      </c>
      <c r="B7690" t="s">
        <v>149</v>
      </c>
      <c r="C7690" t="s">
        <v>8</v>
      </c>
      <c r="D7690" s="8"/>
      <c r="E7690" s="8"/>
      <c r="M7690" t="s">
        <v>477</v>
      </c>
      <c r="N7690" t="str">
        <f>Tabela_tudo[[#This Row],[Médico]]&amp;" ("&amp;Tabela_tudo[[#This Row],[Obs]]&amp;")"</f>
        <v>NF ()</v>
      </c>
    </row>
    <row r="7691" spans="1:14" x14ac:dyDescent="0.3">
      <c r="A7691" s="1">
        <v>45225</v>
      </c>
      <c r="B7691" t="s">
        <v>97</v>
      </c>
      <c r="C7691" t="s">
        <v>13</v>
      </c>
      <c r="D7691" s="8"/>
      <c r="E7691" s="8"/>
      <c r="M7691" t="s">
        <v>479</v>
      </c>
      <c r="N7691" t="str">
        <f>Tabela_tudo[[#This Row],[Médico]]&amp;" ("&amp;Tabela_tudo[[#This Row],[Obs]]&amp;")"</f>
        <v>HAR ()</v>
      </c>
    </row>
    <row r="7692" spans="1:14" x14ac:dyDescent="0.3">
      <c r="A7692" s="1">
        <v>45143</v>
      </c>
      <c r="B7692" t="s">
        <v>79</v>
      </c>
      <c r="C7692" t="s">
        <v>10</v>
      </c>
      <c r="D7692" s="8"/>
      <c r="E7692" s="8"/>
      <c r="M7692" t="s">
        <v>481</v>
      </c>
      <c r="N7692" t="str">
        <f>Tabela_tudo[[#This Row],[Médico]]&amp;" ("&amp;Tabela_tudo[[#This Row],[Obs]]&amp;")"</f>
        <v>MTB ()</v>
      </c>
    </row>
    <row r="7693" spans="1:14" x14ac:dyDescent="0.3">
      <c r="A7693" s="1">
        <v>45225</v>
      </c>
      <c r="B7693" t="s">
        <v>57</v>
      </c>
      <c r="C7693" t="s">
        <v>41</v>
      </c>
      <c r="D7693" s="8"/>
      <c r="E7693" s="8"/>
      <c r="M7693" t="s">
        <v>477</v>
      </c>
      <c r="N7693" t="str">
        <f>Tabela_tudo[[#This Row],[Médico]]&amp;" ("&amp;Tabela_tudo[[#This Row],[Obs]]&amp;")"</f>
        <v>BED ()</v>
      </c>
    </row>
    <row r="7694" spans="1:14" x14ac:dyDescent="0.3">
      <c r="A7694" s="1">
        <v>45225</v>
      </c>
      <c r="B7694" t="s">
        <v>35</v>
      </c>
      <c r="C7694" t="s">
        <v>41</v>
      </c>
      <c r="D7694" s="8"/>
      <c r="E7694" s="8"/>
      <c r="M7694" t="s">
        <v>479</v>
      </c>
      <c r="N7694" t="str">
        <f>Tabela_tudo[[#This Row],[Médico]]&amp;" ("&amp;Tabela_tudo[[#This Row],[Obs]]&amp;")"</f>
        <v>FLA ()</v>
      </c>
    </row>
    <row r="7695" spans="1:14" x14ac:dyDescent="0.3">
      <c r="A7695" s="1">
        <v>45225</v>
      </c>
      <c r="B7695" t="s">
        <v>27</v>
      </c>
      <c r="C7695" t="s">
        <v>10</v>
      </c>
      <c r="D7695" s="8"/>
      <c r="E7695" s="8"/>
      <c r="M7695" t="s">
        <v>481</v>
      </c>
      <c r="N7695" t="str">
        <f>Tabela_tudo[[#This Row],[Médico]]&amp;" ("&amp;Tabela_tudo[[#This Row],[Obs]]&amp;")"</f>
        <v>KIL ()</v>
      </c>
    </row>
    <row r="7696" spans="1:14" x14ac:dyDescent="0.3">
      <c r="A7696" s="1">
        <v>45225</v>
      </c>
      <c r="B7696" t="s">
        <v>9</v>
      </c>
      <c r="C7696" t="s">
        <v>10</v>
      </c>
      <c r="D7696" s="8"/>
      <c r="E7696" s="8"/>
      <c r="M7696" t="s">
        <v>481</v>
      </c>
      <c r="N7696" t="str">
        <f>Tabela_tudo[[#This Row],[Médico]]&amp;" ("&amp;Tabela_tudo[[#This Row],[Obs]]&amp;")"</f>
        <v>KRE ()</v>
      </c>
    </row>
    <row r="7697" spans="1:14" x14ac:dyDescent="0.3">
      <c r="A7697" s="1">
        <v>45142</v>
      </c>
      <c r="B7697" t="s">
        <v>79</v>
      </c>
      <c r="C7697" t="s">
        <v>10</v>
      </c>
      <c r="D7697" s="8"/>
      <c r="E7697" s="8"/>
      <c r="M7697" t="s">
        <v>481</v>
      </c>
      <c r="N7697" t="str">
        <f>Tabela_tudo[[#This Row],[Médico]]&amp;" ("&amp;Tabela_tudo[[#This Row],[Obs]]&amp;")"</f>
        <v>MTB ()</v>
      </c>
    </row>
    <row r="7698" spans="1:14" x14ac:dyDescent="0.3">
      <c r="A7698" s="1">
        <v>45083</v>
      </c>
      <c r="B7698" t="s">
        <v>79</v>
      </c>
      <c r="C7698" t="s">
        <v>13</v>
      </c>
      <c r="D7698" s="8"/>
      <c r="E7698" s="8"/>
      <c r="M7698" t="s">
        <v>481</v>
      </c>
      <c r="N7698" t="str">
        <f>Tabela_tudo[[#This Row],[Médico]]&amp;" ("&amp;Tabela_tudo[[#This Row],[Obs]]&amp;")"</f>
        <v>MTB ()</v>
      </c>
    </row>
    <row r="7699" spans="1:14" x14ac:dyDescent="0.3">
      <c r="A7699" s="1">
        <v>45139</v>
      </c>
      <c r="B7699" t="s">
        <v>98</v>
      </c>
      <c r="C7699" t="s">
        <v>41</v>
      </c>
      <c r="D7699" s="8"/>
      <c r="E7699" s="8"/>
      <c r="M7699" t="s">
        <v>479</v>
      </c>
      <c r="N7699" t="str">
        <f>Tabela_tudo[[#This Row],[Médico]]&amp;" ("&amp;Tabela_tudo[[#This Row],[Obs]]&amp;")"</f>
        <v>NIC ()</v>
      </c>
    </row>
    <row r="7700" spans="1:14" x14ac:dyDescent="0.3">
      <c r="A7700" s="1">
        <v>45083</v>
      </c>
      <c r="B7700" t="s">
        <v>9</v>
      </c>
      <c r="C7700" t="s">
        <v>10</v>
      </c>
      <c r="D7700" s="8"/>
      <c r="E7700" s="8"/>
      <c r="M7700" t="s">
        <v>481</v>
      </c>
      <c r="N7700" t="str">
        <f>Tabela_tudo[[#This Row],[Médico]]&amp;" ("&amp;Tabela_tudo[[#This Row],[Obs]]&amp;")"</f>
        <v>KRE ()</v>
      </c>
    </row>
    <row r="7701" spans="1:14" x14ac:dyDescent="0.3">
      <c r="A7701" s="1">
        <v>45083</v>
      </c>
      <c r="B7701" t="s">
        <v>96</v>
      </c>
      <c r="C7701" t="s">
        <v>15</v>
      </c>
      <c r="D7701" s="8"/>
      <c r="E7701" s="8"/>
      <c r="M7701" t="s">
        <v>477</v>
      </c>
      <c r="N7701" t="str">
        <f>Tabela_tudo[[#This Row],[Médico]]&amp;" ("&amp;Tabela_tudo[[#This Row],[Obs]]&amp;")"</f>
        <v>VF ()</v>
      </c>
    </row>
    <row r="7702" spans="1:14" x14ac:dyDescent="0.3">
      <c r="A7702" s="1">
        <v>45166</v>
      </c>
      <c r="B7702" t="s">
        <v>40</v>
      </c>
      <c r="C7702" t="s">
        <v>10</v>
      </c>
      <c r="D7702" s="8"/>
      <c r="E7702" s="8"/>
      <c r="M7702" t="s">
        <v>481</v>
      </c>
      <c r="N7702" t="str">
        <f>Tabela_tudo[[#This Row],[Médico]]&amp;" ("&amp;Tabela_tudo[[#This Row],[Obs]]&amp;")"</f>
        <v>EMA ()</v>
      </c>
    </row>
    <row r="7703" spans="1:14" x14ac:dyDescent="0.3">
      <c r="A7703" s="1">
        <v>45166</v>
      </c>
      <c r="B7703" t="s">
        <v>36</v>
      </c>
      <c r="C7703" t="s">
        <v>10</v>
      </c>
      <c r="D7703" s="8"/>
      <c r="E7703" s="8"/>
      <c r="M7703" t="s">
        <v>481</v>
      </c>
      <c r="N7703" t="str">
        <f>Tabela_tudo[[#This Row],[Médico]]&amp;" ("&amp;Tabela_tudo[[#This Row],[Obs]]&amp;")"</f>
        <v>DRI ()</v>
      </c>
    </row>
    <row r="7704" spans="1:14" x14ac:dyDescent="0.3">
      <c r="A7704" s="1">
        <v>45139</v>
      </c>
      <c r="B7704" t="s">
        <v>149</v>
      </c>
      <c r="C7704" t="s">
        <v>41</v>
      </c>
      <c r="D7704" s="8"/>
      <c r="E7704" s="8"/>
      <c r="M7704" t="s">
        <v>477</v>
      </c>
      <c r="N7704" t="str">
        <f>Tabela_tudo[[#This Row],[Médico]]&amp;" ("&amp;Tabela_tudo[[#This Row],[Obs]]&amp;")"</f>
        <v>NF ()</v>
      </c>
    </row>
    <row r="7705" spans="1:14" x14ac:dyDescent="0.3">
      <c r="A7705" s="1">
        <v>45166</v>
      </c>
      <c r="B7705" t="s">
        <v>103</v>
      </c>
      <c r="C7705" t="s">
        <v>41</v>
      </c>
      <c r="D7705" s="8"/>
      <c r="E7705" s="8"/>
      <c r="M7705" t="s">
        <v>481</v>
      </c>
      <c r="N7705" t="str">
        <f>Tabela_tudo[[#This Row],[Médico]]&amp;" ("&amp;Tabela_tudo[[#This Row],[Obs]]&amp;")"</f>
        <v>CAD ()</v>
      </c>
    </row>
    <row r="7706" spans="1:14" x14ac:dyDescent="0.3">
      <c r="A7706" s="1">
        <v>45083</v>
      </c>
      <c r="B7706" t="s">
        <v>36</v>
      </c>
      <c r="C7706" t="s">
        <v>10</v>
      </c>
      <c r="D7706" s="8"/>
      <c r="E7706" s="8"/>
      <c r="M7706" t="s">
        <v>481</v>
      </c>
      <c r="N7706" t="str">
        <f>Tabela_tudo[[#This Row],[Médico]]&amp;" ("&amp;Tabela_tudo[[#This Row],[Obs]]&amp;")"</f>
        <v>DRI ()</v>
      </c>
    </row>
    <row r="7707" spans="1:14" x14ac:dyDescent="0.3">
      <c r="A7707" s="1">
        <v>45157</v>
      </c>
      <c r="B7707" t="s">
        <v>39</v>
      </c>
      <c r="C7707" t="s">
        <v>13</v>
      </c>
      <c r="D7707" s="8"/>
      <c r="E7707" s="8"/>
      <c r="M7707" t="s">
        <v>479</v>
      </c>
      <c r="N7707" t="str">
        <f>Tabela_tudo[[#This Row],[Médico]]&amp;" ("&amp;Tabela_tudo[[#This Row],[Obs]]&amp;")"</f>
        <v>KLA ()</v>
      </c>
    </row>
    <row r="7708" spans="1:14" x14ac:dyDescent="0.3">
      <c r="A7708" s="1">
        <v>45139</v>
      </c>
      <c r="B7708" t="s">
        <v>79</v>
      </c>
      <c r="C7708" t="s">
        <v>10</v>
      </c>
      <c r="D7708" s="8"/>
      <c r="E7708" s="8"/>
      <c r="M7708" t="s">
        <v>481</v>
      </c>
      <c r="N7708" t="str">
        <f>Tabela_tudo[[#This Row],[Médico]]&amp;" ("&amp;Tabela_tudo[[#This Row],[Obs]]&amp;")"</f>
        <v>MTB ()</v>
      </c>
    </row>
    <row r="7709" spans="1:14" x14ac:dyDescent="0.3">
      <c r="A7709" s="1">
        <v>45219</v>
      </c>
      <c r="B7709" t="s">
        <v>40</v>
      </c>
      <c r="C7709" t="s">
        <v>41</v>
      </c>
      <c r="D7709" s="8"/>
      <c r="E7709" s="8"/>
      <c r="M7709" t="s">
        <v>481</v>
      </c>
      <c r="N7709" t="str">
        <f>Tabela_tudo[[#This Row],[Médico]]&amp;" ("&amp;Tabela_tudo[[#This Row],[Obs]]&amp;")"</f>
        <v>EMA ()</v>
      </c>
    </row>
    <row r="7710" spans="1:14" x14ac:dyDescent="0.3">
      <c r="A7710" s="1">
        <v>45219</v>
      </c>
      <c r="B7710" t="s">
        <v>98</v>
      </c>
      <c r="C7710" t="s">
        <v>41</v>
      </c>
      <c r="D7710" s="8"/>
      <c r="E7710" s="8"/>
      <c r="M7710" t="s">
        <v>479</v>
      </c>
      <c r="N7710" t="str">
        <f>Tabela_tudo[[#This Row],[Médico]]&amp;" ("&amp;Tabela_tudo[[#This Row],[Obs]]&amp;")"</f>
        <v>NIC ()</v>
      </c>
    </row>
    <row r="7711" spans="1:14" x14ac:dyDescent="0.3">
      <c r="A7711" s="1">
        <v>45083</v>
      </c>
      <c r="B7711" t="s">
        <v>97</v>
      </c>
      <c r="C7711" t="s">
        <v>41</v>
      </c>
      <c r="D7711" s="8"/>
      <c r="E7711" s="8"/>
      <c r="M7711" t="s">
        <v>479</v>
      </c>
      <c r="N7711" t="str">
        <f>Tabela_tudo[[#This Row],[Médico]]&amp;" ("&amp;Tabela_tudo[[#This Row],[Obs]]&amp;")"</f>
        <v>HAR ()</v>
      </c>
    </row>
    <row r="7712" spans="1:14" x14ac:dyDescent="0.3">
      <c r="A7712" s="1">
        <v>45083</v>
      </c>
      <c r="B7712" t="s">
        <v>109</v>
      </c>
      <c r="C7712" t="s">
        <v>10</v>
      </c>
      <c r="D7712" s="8"/>
      <c r="E7712" s="8"/>
      <c r="M7712" t="s">
        <v>479</v>
      </c>
      <c r="N7712" t="str">
        <f>Tabela_tudo[[#This Row],[Médico]]&amp;" ("&amp;Tabela_tudo[[#This Row],[Obs]]&amp;")"</f>
        <v>CA ()</v>
      </c>
    </row>
    <row r="7713" spans="1:14" x14ac:dyDescent="0.3">
      <c r="A7713" s="1">
        <v>45139</v>
      </c>
      <c r="B7713" t="s">
        <v>27</v>
      </c>
      <c r="C7713" t="s">
        <v>10</v>
      </c>
      <c r="D7713" s="8"/>
      <c r="E7713" s="8"/>
      <c r="M7713" t="s">
        <v>481</v>
      </c>
      <c r="N7713" t="str">
        <f>Tabela_tudo[[#This Row],[Médico]]&amp;" ("&amp;Tabela_tudo[[#This Row],[Obs]]&amp;")"</f>
        <v>KIL ()</v>
      </c>
    </row>
    <row r="7714" spans="1:14" x14ac:dyDescent="0.3">
      <c r="A7714" s="1">
        <v>45083</v>
      </c>
      <c r="B7714" t="s">
        <v>39</v>
      </c>
      <c r="C7714" t="s">
        <v>41</v>
      </c>
      <c r="D7714" s="8"/>
      <c r="E7714" s="8"/>
      <c r="M7714" t="s">
        <v>479</v>
      </c>
      <c r="N7714" t="str">
        <f>Tabela_tudo[[#This Row],[Médico]]&amp;" ("&amp;Tabela_tudo[[#This Row],[Obs]]&amp;")"</f>
        <v>KLA ()</v>
      </c>
    </row>
    <row r="7715" spans="1:14" x14ac:dyDescent="0.3">
      <c r="A7715" s="1">
        <v>45082</v>
      </c>
      <c r="B7715" t="s">
        <v>103</v>
      </c>
      <c r="C7715" t="s">
        <v>41</v>
      </c>
      <c r="D7715" s="8"/>
      <c r="E7715" s="8"/>
      <c r="M7715" t="s">
        <v>481</v>
      </c>
      <c r="N7715" t="str">
        <f>Tabela_tudo[[#This Row],[Médico]]&amp;" ("&amp;Tabela_tudo[[#This Row],[Obs]]&amp;")"</f>
        <v>CAD ()</v>
      </c>
    </row>
    <row r="7716" spans="1:14" x14ac:dyDescent="0.3">
      <c r="A7716" s="1">
        <v>45082</v>
      </c>
      <c r="B7716" t="s">
        <v>98</v>
      </c>
      <c r="C7716" t="s">
        <v>41</v>
      </c>
      <c r="D7716" s="8"/>
      <c r="E7716" s="8"/>
      <c r="M7716" t="s">
        <v>479</v>
      </c>
      <c r="N7716" t="str">
        <f>Tabela_tudo[[#This Row],[Médico]]&amp;" ("&amp;Tabela_tudo[[#This Row],[Obs]]&amp;")"</f>
        <v>NIC ()</v>
      </c>
    </row>
    <row r="7717" spans="1:14" x14ac:dyDescent="0.3">
      <c r="A7717" s="1">
        <v>45222</v>
      </c>
      <c r="B7717" t="s">
        <v>35</v>
      </c>
      <c r="C7717" t="s">
        <v>41</v>
      </c>
      <c r="D7717" s="8"/>
      <c r="E7717" s="8"/>
      <c r="M7717" t="s">
        <v>479</v>
      </c>
      <c r="N7717" t="str">
        <f>Tabela_tudo[[#This Row],[Médico]]&amp;" ("&amp;Tabela_tudo[[#This Row],[Obs]]&amp;")"</f>
        <v>FLA ()</v>
      </c>
    </row>
    <row r="7718" spans="1:14" x14ac:dyDescent="0.3">
      <c r="A7718" s="1">
        <v>45222</v>
      </c>
      <c r="B7718" t="s">
        <v>36</v>
      </c>
      <c r="C7718" t="s">
        <v>41</v>
      </c>
      <c r="D7718" s="8"/>
      <c r="E7718" s="8"/>
      <c r="M7718" t="s">
        <v>481</v>
      </c>
      <c r="N7718" t="str">
        <f>Tabela_tudo[[#This Row],[Médico]]&amp;" ("&amp;Tabela_tudo[[#This Row],[Obs]]&amp;")"</f>
        <v>DRI ()</v>
      </c>
    </row>
    <row r="7719" spans="1:14" x14ac:dyDescent="0.3">
      <c r="A7719" s="1">
        <v>45082</v>
      </c>
      <c r="B7719" t="s">
        <v>36</v>
      </c>
      <c r="C7719" t="s">
        <v>10</v>
      </c>
      <c r="D7719" s="8"/>
      <c r="E7719" s="8"/>
      <c r="M7719" t="s">
        <v>481</v>
      </c>
      <c r="N7719" t="str">
        <f>Tabela_tudo[[#This Row],[Médico]]&amp;" ("&amp;Tabela_tudo[[#This Row],[Obs]]&amp;")"</f>
        <v>DRI ()</v>
      </c>
    </row>
    <row r="7720" spans="1:14" x14ac:dyDescent="0.3">
      <c r="A7720" s="1">
        <v>45082</v>
      </c>
      <c r="B7720" t="s">
        <v>9</v>
      </c>
      <c r="C7720" t="s">
        <v>10</v>
      </c>
      <c r="D7720" s="8"/>
      <c r="E7720" s="8"/>
      <c r="M7720" t="s">
        <v>481</v>
      </c>
      <c r="N7720" t="str">
        <f>Tabela_tudo[[#This Row],[Médico]]&amp;" ("&amp;Tabela_tudo[[#This Row],[Obs]]&amp;")"</f>
        <v>KRE ()</v>
      </c>
    </row>
    <row r="7721" spans="1:14" x14ac:dyDescent="0.3">
      <c r="A7721" s="1">
        <v>45082</v>
      </c>
      <c r="B7721" t="s">
        <v>59</v>
      </c>
      <c r="C7721" t="s">
        <v>41</v>
      </c>
      <c r="D7721" s="8"/>
      <c r="E7721" s="8"/>
      <c r="M7721" t="s">
        <v>477</v>
      </c>
      <c r="N7721" t="str">
        <f>Tabela_tudo[[#This Row],[Médico]]&amp;" ("&amp;Tabela_tudo[[#This Row],[Obs]]&amp;")"</f>
        <v>WEN ()</v>
      </c>
    </row>
    <row r="7722" spans="1:14" x14ac:dyDescent="0.3">
      <c r="A7722" s="1">
        <v>45082</v>
      </c>
      <c r="B7722" t="s">
        <v>109</v>
      </c>
      <c r="C7722" t="s">
        <v>10</v>
      </c>
      <c r="D7722" s="8"/>
      <c r="E7722" s="8"/>
      <c r="M7722" t="s">
        <v>479</v>
      </c>
      <c r="N7722" t="str">
        <f>Tabela_tudo[[#This Row],[Médico]]&amp;" ("&amp;Tabela_tudo[[#This Row],[Obs]]&amp;")"</f>
        <v>CA ()</v>
      </c>
    </row>
    <row r="7723" spans="1:14" x14ac:dyDescent="0.3">
      <c r="A7723" s="1">
        <v>45222</v>
      </c>
      <c r="B7723" t="s">
        <v>80</v>
      </c>
      <c r="C7723" t="s">
        <v>41</v>
      </c>
      <c r="D7723" s="8"/>
      <c r="E7723" s="8"/>
      <c r="M7723" t="s">
        <v>477</v>
      </c>
      <c r="N7723" t="str">
        <f>Tabela_tudo[[#This Row],[Médico]]&amp;" ("&amp;Tabela_tudo[[#This Row],[Obs]]&amp;")"</f>
        <v>REC ()</v>
      </c>
    </row>
    <row r="7724" spans="1:14" x14ac:dyDescent="0.3">
      <c r="A7724" s="1">
        <v>45105</v>
      </c>
      <c r="B7724" t="s">
        <v>97</v>
      </c>
      <c r="C7724" t="s">
        <v>8</v>
      </c>
      <c r="D7724" s="8"/>
      <c r="E7724" s="8"/>
      <c r="M7724" t="s">
        <v>479</v>
      </c>
      <c r="N7724" t="str">
        <f>Tabela_tudo[[#This Row],[Médico]]&amp;" ("&amp;Tabela_tudo[[#This Row],[Obs]]&amp;")"</f>
        <v>HAR ()</v>
      </c>
    </row>
    <row r="7725" spans="1:14" x14ac:dyDescent="0.3">
      <c r="A7725" s="1">
        <v>45105</v>
      </c>
      <c r="B7725" t="s">
        <v>9</v>
      </c>
      <c r="C7725" t="s">
        <v>10</v>
      </c>
      <c r="D7725" s="8"/>
      <c r="E7725" s="8"/>
      <c r="M7725" t="s">
        <v>481</v>
      </c>
      <c r="N7725" t="str">
        <f>Tabela_tudo[[#This Row],[Médico]]&amp;" ("&amp;Tabela_tudo[[#This Row],[Obs]]&amp;")"</f>
        <v>KRE ()</v>
      </c>
    </row>
    <row r="7726" spans="1:14" x14ac:dyDescent="0.3">
      <c r="A7726" s="1">
        <v>45166</v>
      </c>
      <c r="B7726" t="s">
        <v>79</v>
      </c>
      <c r="C7726" t="s">
        <v>10</v>
      </c>
      <c r="D7726" s="8"/>
      <c r="E7726" s="8"/>
      <c r="M7726" t="s">
        <v>481</v>
      </c>
      <c r="N7726" t="str">
        <f>Tabela_tudo[[#This Row],[Médico]]&amp;" ("&amp;Tabela_tudo[[#This Row],[Obs]]&amp;")"</f>
        <v>MTB ()</v>
      </c>
    </row>
    <row r="7727" spans="1:14" x14ac:dyDescent="0.3">
      <c r="A7727" s="1">
        <v>45105</v>
      </c>
      <c r="B7727" t="s">
        <v>38</v>
      </c>
      <c r="C7727" t="s">
        <v>13</v>
      </c>
      <c r="D7727" s="8"/>
      <c r="E7727" s="8"/>
      <c r="M7727" t="s">
        <v>481</v>
      </c>
      <c r="N7727" t="str">
        <f>Tabela_tudo[[#This Row],[Médico]]&amp;" ("&amp;Tabela_tudo[[#This Row],[Obs]]&amp;")"</f>
        <v>ORO ()</v>
      </c>
    </row>
    <row r="7728" spans="1:14" x14ac:dyDescent="0.3">
      <c r="A7728" s="1">
        <v>45222</v>
      </c>
      <c r="B7728" t="s">
        <v>27</v>
      </c>
      <c r="C7728" t="s">
        <v>10</v>
      </c>
      <c r="D7728" s="8"/>
      <c r="E7728" s="8"/>
      <c r="M7728" t="s">
        <v>481</v>
      </c>
      <c r="N7728" t="str">
        <f>Tabela_tudo[[#This Row],[Médico]]&amp;" ("&amp;Tabela_tudo[[#This Row],[Obs]]&amp;")"</f>
        <v>KIL ()</v>
      </c>
    </row>
    <row r="7729" spans="1:14" x14ac:dyDescent="0.3">
      <c r="A7729" s="1">
        <v>45222</v>
      </c>
      <c r="B7729" t="s">
        <v>9</v>
      </c>
      <c r="C7729" t="s">
        <v>10</v>
      </c>
      <c r="D7729" s="8"/>
      <c r="E7729" s="8"/>
      <c r="M7729" t="s">
        <v>481</v>
      </c>
      <c r="N7729" t="str">
        <f>Tabela_tudo[[#This Row],[Médico]]&amp;" ("&amp;Tabela_tudo[[#This Row],[Obs]]&amp;")"</f>
        <v>KRE ()</v>
      </c>
    </row>
    <row r="7730" spans="1:14" x14ac:dyDescent="0.3">
      <c r="A7730" s="1">
        <v>45222</v>
      </c>
      <c r="B7730" t="s">
        <v>103</v>
      </c>
      <c r="C7730" t="s">
        <v>13</v>
      </c>
      <c r="D7730" s="8"/>
      <c r="E7730" s="8"/>
      <c r="M7730" t="s">
        <v>481</v>
      </c>
      <c r="N7730" t="str">
        <f>Tabela_tudo[[#This Row],[Médico]]&amp;" ("&amp;Tabela_tudo[[#This Row],[Obs]]&amp;")"</f>
        <v>CAD ()</v>
      </c>
    </row>
    <row r="7731" spans="1:14" x14ac:dyDescent="0.3">
      <c r="A7731" s="1">
        <v>45222</v>
      </c>
      <c r="B7731" t="s">
        <v>96</v>
      </c>
      <c r="C7731" t="s">
        <v>8</v>
      </c>
      <c r="D7731" s="8"/>
      <c r="E7731" s="8"/>
      <c r="M7731" t="s">
        <v>477</v>
      </c>
      <c r="N7731" t="str">
        <f>Tabela_tudo[[#This Row],[Médico]]&amp;" ("&amp;Tabela_tudo[[#This Row],[Obs]]&amp;")"</f>
        <v>VF ()</v>
      </c>
    </row>
    <row r="7732" spans="1:14" x14ac:dyDescent="0.3">
      <c r="A7732" s="1">
        <v>45148</v>
      </c>
      <c r="B7732" t="s">
        <v>109</v>
      </c>
      <c r="C7732" t="s">
        <v>8</v>
      </c>
      <c r="D7732" s="8"/>
      <c r="E7732" s="8"/>
      <c r="M7732" t="s">
        <v>479</v>
      </c>
      <c r="N7732" t="str">
        <f>Tabela_tudo[[#This Row],[Médico]]&amp;" ("&amp;Tabela_tudo[[#This Row],[Obs]]&amp;")"</f>
        <v>CA ()</v>
      </c>
    </row>
    <row r="7733" spans="1:14" x14ac:dyDescent="0.3">
      <c r="A7733" s="1">
        <v>45076</v>
      </c>
      <c r="B7733" t="s">
        <v>83</v>
      </c>
      <c r="C7733" t="s">
        <v>41</v>
      </c>
      <c r="D7733" s="8"/>
      <c r="E7733" s="8"/>
      <c r="M7733" t="s">
        <v>477</v>
      </c>
      <c r="N7733" t="str">
        <f>Tabela_tudo[[#This Row],[Médico]]&amp;" ("&amp;Tabela_tudo[[#This Row],[Obs]]&amp;")"</f>
        <v>MG ()</v>
      </c>
    </row>
    <row r="7734" spans="1:14" x14ac:dyDescent="0.3">
      <c r="A7734" s="1">
        <v>45148</v>
      </c>
      <c r="B7734" t="s">
        <v>36</v>
      </c>
      <c r="C7734" t="s">
        <v>10</v>
      </c>
      <c r="D7734" s="8"/>
      <c r="E7734" s="8"/>
      <c r="M7734" t="s">
        <v>481</v>
      </c>
      <c r="N7734" t="str">
        <f>Tabela_tudo[[#This Row],[Médico]]&amp;" ("&amp;Tabela_tudo[[#This Row],[Obs]]&amp;")"</f>
        <v>DRI ()</v>
      </c>
    </row>
    <row r="7735" spans="1:14" x14ac:dyDescent="0.3">
      <c r="A7735" s="1">
        <v>45148</v>
      </c>
      <c r="B7735" t="s">
        <v>40</v>
      </c>
      <c r="C7735" t="s">
        <v>10</v>
      </c>
      <c r="D7735" s="8"/>
      <c r="E7735" s="8"/>
      <c r="M7735" t="s">
        <v>481</v>
      </c>
      <c r="N7735" t="str">
        <f>Tabela_tudo[[#This Row],[Médico]]&amp;" ("&amp;Tabela_tudo[[#This Row],[Obs]]&amp;")"</f>
        <v>EMA ()</v>
      </c>
    </row>
    <row r="7736" spans="1:14" x14ac:dyDescent="0.3">
      <c r="A7736" s="1">
        <v>45076</v>
      </c>
      <c r="B7736" t="s">
        <v>38</v>
      </c>
      <c r="C7736" t="s">
        <v>10</v>
      </c>
      <c r="D7736" s="8"/>
      <c r="E7736" s="8"/>
      <c r="M7736" t="s">
        <v>481</v>
      </c>
      <c r="N7736" t="str">
        <f>Tabela_tudo[[#This Row],[Médico]]&amp;" ("&amp;Tabela_tudo[[#This Row],[Obs]]&amp;")"</f>
        <v>ORO ()</v>
      </c>
    </row>
    <row r="7737" spans="1:14" x14ac:dyDescent="0.3">
      <c r="A7737" s="1">
        <v>45218</v>
      </c>
      <c r="B7737" t="s">
        <v>40</v>
      </c>
      <c r="C7737" t="s">
        <v>13</v>
      </c>
      <c r="D7737" s="8"/>
      <c r="E7737" s="8"/>
      <c r="M7737" t="s">
        <v>481</v>
      </c>
      <c r="N7737" t="str">
        <f>Tabela_tudo[[#This Row],[Médico]]&amp;" ("&amp;Tabela_tudo[[#This Row],[Obs]]&amp;")"</f>
        <v>EMA ()</v>
      </c>
    </row>
    <row r="7738" spans="1:14" x14ac:dyDescent="0.3">
      <c r="A7738" s="1">
        <v>45076</v>
      </c>
      <c r="B7738" t="s">
        <v>36</v>
      </c>
      <c r="C7738" t="s">
        <v>41</v>
      </c>
      <c r="D7738" s="8"/>
      <c r="E7738" s="8"/>
      <c r="M7738" t="s">
        <v>481</v>
      </c>
      <c r="N7738" t="str">
        <f>Tabela_tudo[[#This Row],[Médico]]&amp;" ("&amp;Tabela_tudo[[#This Row],[Obs]]&amp;")"</f>
        <v>DRI ()</v>
      </c>
    </row>
    <row r="7739" spans="1:14" x14ac:dyDescent="0.3">
      <c r="A7739" s="1">
        <v>45076</v>
      </c>
      <c r="B7739" t="s">
        <v>39</v>
      </c>
      <c r="C7739" t="s">
        <v>10</v>
      </c>
      <c r="D7739" s="8"/>
      <c r="E7739" s="8"/>
      <c r="M7739" t="s">
        <v>479</v>
      </c>
      <c r="N7739" t="str">
        <f>Tabela_tudo[[#This Row],[Médico]]&amp;" ("&amp;Tabela_tudo[[#This Row],[Obs]]&amp;")"</f>
        <v>KLA ()</v>
      </c>
    </row>
    <row r="7740" spans="1:14" x14ac:dyDescent="0.3">
      <c r="A7740" s="1">
        <v>45148</v>
      </c>
      <c r="B7740" t="s">
        <v>79</v>
      </c>
      <c r="C7740" t="s">
        <v>10</v>
      </c>
      <c r="D7740" s="8"/>
      <c r="E7740" s="8"/>
      <c r="M7740" t="s">
        <v>481</v>
      </c>
      <c r="N7740" t="str">
        <f>Tabela_tudo[[#This Row],[Médico]]&amp;" ("&amp;Tabela_tudo[[#This Row],[Obs]]&amp;")"</f>
        <v>MTB ()</v>
      </c>
    </row>
    <row r="7741" spans="1:14" x14ac:dyDescent="0.3">
      <c r="A7741" s="1">
        <v>45084</v>
      </c>
      <c r="B7741" t="s">
        <v>35</v>
      </c>
      <c r="C7741" t="s">
        <v>13</v>
      </c>
      <c r="D7741" s="8"/>
      <c r="E7741" s="8"/>
      <c r="M7741" t="s">
        <v>479</v>
      </c>
      <c r="N7741" t="str">
        <f>Tabela_tudo[[#This Row],[Médico]]&amp;" ("&amp;Tabela_tudo[[#This Row],[Obs]]&amp;")"</f>
        <v>FLA ()</v>
      </c>
    </row>
    <row r="7742" spans="1:14" x14ac:dyDescent="0.3">
      <c r="A7742" s="1">
        <v>45166</v>
      </c>
      <c r="B7742" t="s">
        <v>61</v>
      </c>
      <c r="C7742" t="s">
        <v>8</v>
      </c>
      <c r="D7742" s="8"/>
      <c r="E7742" s="8"/>
      <c r="M7742" t="s">
        <v>477</v>
      </c>
      <c r="N7742" t="str">
        <f>Tabela_tudo[[#This Row],[Médico]]&amp;" ("&amp;Tabela_tudo[[#This Row],[Obs]]&amp;")"</f>
        <v>AD ()</v>
      </c>
    </row>
    <row r="7743" spans="1:14" x14ac:dyDescent="0.3">
      <c r="A7743" s="1">
        <v>45217</v>
      </c>
      <c r="B7743" t="s">
        <v>36</v>
      </c>
      <c r="C7743" t="s">
        <v>41</v>
      </c>
      <c r="D7743" s="8"/>
      <c r="E7743" s="8"/>
      <c r="M7743" t="s">
        <v>481</v>
      </c>
      <c r="N7743" t="str">
        <f>Tabela_tudo[[#This Row],[Médico]]&amp;" ("&amp;Tabela_tudo[[#This Row],[Obs]]&amp;")"</f>
        <v>DRI ()</v>
      </c>
    </row>
    <row r="7744" spans="1:14" x14ac:dyDescent="0.3">
      <c r="A7744" s="1">
        <v>45084</v>
      </c>
      <c r="B7744" t="s">
        <v>27</v>
      </c>
      <c r="C7744" t="s">
        <v>8</v>
      </c>
      <c r="D7744" s="8"/>
      <c r="E7744" s="8"/>
      <c r="M7744" t="s">
        <v>481</v>
      </c>
      <c r="N7744" t="str">
        <f>Tabela_tudo[[#This Row],[Médico]]&amp;" ("&amp;Tabela_tudo[[#This Row],[Obs]]&amp;")"</f>
        <v>KIL ()</v>
      </c>
    </row>
    <row r="7745" spans="1:14" x14ac:dyDescent="0.3">
      <c r="A7745" s="1">
        <v>45148</v>
      </c>
      <c r="B7745" t="s">
        <v>35</v>
      </c>
      <c r="C7745" t="s">
        <v>41</v>
      </c>
      <c r="D7745" s="8"/>
      <c r="E7745" s="8"/>
      <c r="M7745" t="s">
        <v>479</v>
      </c>
      <c r="N7745" t="str">
        <f>Tabela_tudo[[#This Row],[Médico]]&amp;" ("&amp;Tabela_tudo[[#This Row],[Obs]]&amp;")"</f>
        <v>FLA ()</v>
      </c>
    </row>
    <row r="7746" spans="1:14" x14ac:dyDescent="0.3">
      <c r="A7746" s="1">
        <v>45148</v>
      </c>
      <c r="B7746" t="s">
        <v>27</v>
      </c>
      <c r="C7746" t="s">
        <v>10</v>
      </c>
      <c r="D7746" s="8"/>
      <c r="E7746" s="8"/>
      <c r="M7746" t="s">
        <v>481</v>
      </c>
      <c r="N7746" t="str">
        <f>Tabela_tudo[[#This Row],[Médico]]&amp;" ("&amp;Tabela_tudo[[#This Row],[Obs]]&amp;")"</f>
        <v>KIL ()</v>
      </c>
    </row>
    <row r="7747" spans="1:14" x14ac:dyDescent="0.3">
      <c r="A7747" s="1">
        <v>45166</v>
      </c>
      <c r="B7747" t="s">
        <v>97</v>
      </c>
      <c r="C7747" t="s">
        <v>41</v>
      </c>
      <c r="D7747" s="8"/>
      <c r="E7747" s="8"/>
      <c r="M7747" t="s">
        <v>479</v>
      </c>
      <c r="N7747" t="str">
        <f>Tabela_tudo[[#This Row],[Médico]]&amp;" ("&amp;Tabela_tudo[[#This Row],[Obs]]&amp;")"</f>
        <v>HAR ()</v>
      </c>
    </row>
    <row r="7748" spans="1:14" x14ac:dyDescent="0.3">
      <c r="A7748" s="1">
        <v>45148</v>
      </c>
      <c r="B7748" t="s">
        <v>57</v>
      </c>
      <c r="C7748" t="s">
        <v>41</v>
      </c>
      <c r="D7748" s="8"/>
      <c r="E7748" s="8"/>
      <c r="M7748" t="s">
        <v>477</v>
      </c>
      <c r="N7748" t="str">
        <f>Tabela_tudo[[#This Row],[Médico]]&amp;" ("&amp;Tabela_tudo[[#This Row],[Obs]]&amp;")"</f>
        <v>BED ()</v>
      </c>
    </row>
    <row r="7749" spans="1:14" x14ac:dyDescent="0.3">
      <c r="A7749" s="1">
        <v>45157</v>
      </c>
      <c r="B7749" t="s">
        <v>38</v>
      </c>
      <c r="C7749" t="s">
        <v>78</v>
      </c>
      <c r="D7749" s="8"/>
      <c r="E7749" s="8"/>
      <c r="M7749" t="s">
        <v>481</v>
      </c>
      <c r="N7749" t="str">
        <f>Tabela_tudo[[#This Row],[Médico]]&amp;" ("&amp;Tabela_tudo[[#This Row],[Obs]]&amp;")"</f>
        <v>ORO ()</v>
      </c>
    </row>
    <row r="7750" spans="1:14" x14ac:dyDescent="0.3">
      <c r="A7750" s="1">
        <v>45157</v>
      </c>
      <c r="B7750" t="s">
        <v>80</v>
      </c>
      <c r="C7750" t="s">
        <v>8</v>
      </c>
      <c r="D7750" s="8"/>
      <c r="E7750" s="8"/>
      <c r="M7750" t="s">
        <v>477</v>
      </c>
      <c r="N7750" t="str">
        <f>Tabela_tudo[[#This Row],[Médico]]&amp;" ("&amp;Tabela_tudo[[#This Row],[Obs]]&amp;")"</f>
        <v>REC ()</v>
      </c>
    </row>
    <row r="7751" spans="1:14" x14ac:dyDescent="0.3">
      <c r="A7751" s="1">
        <v>45139</v>
      </c>
      <c r="B7751" t="s">
        <v>40</v>
      </c>
      <c r="C7751" t="s">
        <v>10</v>
      </c>
      <c r="D7751" s="8"/>
      <c r="E7751" s="8"/>
      <c r="M7751" t="s">
        <v>481</v>
      </c>
      <c r="N7751" t="str">
        <f>Tabela_tudo[[#This Row],[Médico]]&amp;" ("&amp;Tabela_tudo[[#This Row],[Obs]]&amp;")"</f>
        <v>EMA ()</v>
      </c>
    </row>
    <row r="7752" spans="1:14" x14ac:dyDescent="0.3">
      <c r="A7752" s="1">
        <v>45139</v>
      </c>
      <c r="B7752" t="s">
        <v>36</v>
      </c>
      <c r="C7752" t="s">
        <v>10</v>
      </c>
      <c r="D7752" s="8"/>
      <c r="E7752" s="8"/>
      <c r="M7752" t="s">
        <v>481</v>
      </c>
      <c r="N7752" t="str">
        <f>Tabela_tudo[[#This Row],[Médico]]&amp;" ("&amp;Tabela_tudo[[#This Row],[Obs]]&amp;")"</f>
        <v>DRI ()</v>
      </c>
    </row>
    <row r="7753" spans="1:14" x14ac:dyDescent="0.3">
      <c r="A7753" s="1">
        <v>45219</v>
      </c>
      <c r="B7753" t="s">
        <v>27</v>
      </c>
      <c r="C7753" t="s">
        <v>10</v>
      </c>
      <c r="D7753" s="8"/>
      <c r="E7753" s="8"/>
      <c r="M7753" t="s">
        <v>481</v>
      </c>
      <c r="N7753" t="str">
        <f>Tabela_tudo[[#This Row],[Médico]]&amp;" ("&amp;Tabela_tudo[[#This Row],[Obs]]&amp;")"</f>
        <v>KIL ()</v>
      </c>
    </row>
    <row r="7754" spans="1:14" x14ac:dyDescent="0.3">
      <c r="A7754" s="1">
        <v>45219</v>
      </c>
      <c r="B7754" t="s">
        <v>9</v>
      </c>
      <c r="C7754" t="s">
        <v>10</v>
      </c>
      <c r="D7754" s="8"/>
      <c r="E7754" s="8"/>
      <c r="M7754" t="s">
        <v>481</v>
      </c>
      <c r="N7754" t="str">
        <f>Tabela_tudo[[#This Row],[Médico]]&amp;" ("&amp;Tabela_tudo[[#This Row],[Obs]]&amp;")"</f>
        <v>KRE ()</v>
      </c>
    </row>
    <row r="7755" spans="1:14" x14ac:dyDescent="0.3">
      <c r="A7755" s="1">
        <v>45219</v>
      </c>
      <c r="B7755" t="s">
        <v>59</v>
      </c>
      <c r="C7755" t="s">
        <v>13</v>
      </c>
      <c r="D7755" s="8"/>
      <c r="E7755" s="8"/>
      <c r="M7755" t="s">
        <v>477</v>
      </c>
      <c r="N7755" t="str">
        <f>Tabela_tudo[[#This Row],[Médico]]&amp;" ("&amp;Tabela_tudo[[#This Row],[Obs]]&amp;")"</f>
        <v>WEN ()</v>
      </c>
    </row>
    <row r="7756" spans="1:14" x14ac:dyDescent="0.3">
      <c r="A7756" s="1">
        <v>45219</v>
      </c>
      <c r="B7756" t="s">
        <v>39</v>
      </c>
      <c r="C7756" t="s">
        <v>8</v>
      </c>
      <c r="D7756" s="8"/>
      <c r="E7756" s="8"/>
      <c r="M7756" t="s">
        <v>479</v>
      </c>
      <c r="N7756" t="str">
        <f>Tabela_tudo[[#This Row],[Médico]]&amp;" ("&amp;Tabela_tudo[[#This Row],[Obs]]&amp;")"</f>
        <v>KLA ()</v>
      </c>
    </row>
    <row r="7757" spans="1:14" x14ac:dyDescent="0.3">
      <c r="A7757" s="1">
        <v>45166</v>
      </c>
      <c r="B7757" t="s">
        <v>60</v>
      </c>
      <c r="C7757" t="s">
        <v>41</v>
      </c>
      <c r="D7757" s="8"/>
      <c r="E7757" s="8"/>
      <c r="M7757" t="s">
        <v>477</v>
      </c>
      <c r="N7757" t="str">
        <f>Tabela_tudo[[#This Row],[Médico]]&amp;" ("&amp;Tabela_tudo[[#This Row],[Obs]]&amp;")"</f>
        <v>BMT ()</v>
      </c>
    </row>
    <row r="7758" spans="1:14" x14ac:dyDescent="0.3">
      <c r="A7758" s="1">
        <v>45218</v>
      </c>
      <c r="B7758" t="s">
        <v>9</v>
      </c>
      <c r="C7758" t="s">
        <v>10</v>
      </c>
      <c r="D7758" s="8"/>
      <c r="E7758" s="8"/>
      <c r="M7758" t="s">
        <v>481</v>
      </c>
      <c r="N7758" t="str">
        <f>Tabela_tudo[[#This Row],[Médico]]&amp;" ("&amp;Tabela_tudo[[#This Row],[Obs]]&amp;")"</f>
        <v>KRE ()</v>
      </c>
    </row>
    <row r="7759" spans="1:14" x14ac:dyDescent="0.3">
      <c r="A7759" s="1">
        <v>45218</v>
      </c>
      <c r="B7759" t="s">
        <v>97</v>
      </c>
      <c r="C7759" t="s">
        <v>41</v>
      </c>
      <c r="D7759" s="8"/>
      <c r="E7759" s="8"/>
      <c r="M7759" t="s">
        <v>479</v>
      </c>
      <c r="N7759" t="str">
        <f>Tabela_tudo[[#This Row],[Médico]]&amp;" ("&amp;Tabela_tudo[[#This Row],[Obs]]&amp;")"</f>
        <v>HAR ()</v>
      </c>
    </row>
    <row r="7760" spans="1:14" x14ac:dyDescent="0.3">
      <c r="A7760" s="1">
        <v>45218</v>
      </c>
      <c r="B7760" t="s">
        <v>98</v>
      </c>
      <c r="C7760" t="s">
        <v>8</v>
      </c>
      <c r="D7760" s="8"/>
      <c r="E7760" s="8"/>
      <c r="M7760" t="s">
        <v>479</v>
      </c>
      <c r="N7760" t="str">
        <f>Tabela_tudo[[#This Row],[Médico]]&amp;" ("&amp;Tabela_tudo[[#This Row],[Obs]]&amp;")"</f>
        <v>NIC ()</v>
      </c>
    </row>
    <row r="7761" spans="1:14" x14ac:dyDescent="0.3">
      <c r="A7761" s="1">
        <v>45218</v>
      </c>
      <c r="B7761" t="s">
        <v>27</v>
      </c>
      <c r="C7761" t="s">
        <v>10</v>
      </c>
      <c r="D7761" s="8"/>
      <c r="E7761" s="8"/>
      <c r="M7761" t="s">
        <v>481</v>
      </c>
      <c r="N7761" t="str">
        <f>Tabela_tudo[[#This Row],[Médico]]&amp;" ("&amp;Tabela_tudo[[#This Row],[Obs]]&amp;")"</f>
        <v>KIL ()</v>
      </c>
    </row>
    <row r="7762" spans="1:14" x14ac:dyDescent="0.3">
      <c r="A7762" s="1">
        <v>45076</v>
      </c>
      <c r="B7762" t="s">
        <v>98</v>
      </c>
      <c r="C7762" t="s">
        <v>13</v>
      </c>
      <c r="D7762" s="8"/>
      <c r="E7762" s="8"/>
      <c r="M7762" t="s">
        <v>479</v>
      </c>
      <c r="N7762" t="str">
        <f>Tabela_tudo[[#This Row],[Médico]]&amp;" ("&amp;Tabela_tudo[[#This Row],[Obs]]&amp;")"</f>
        <v>NIC ()</v>
      </c>
    </row>
    <row r="7763" spans="1:14" x14ac:dyDescent="0.3">
      <c r="A7763" s="1">
        <v>45148</v>
      </c>
      <c r="B7763" t="s">
        <v>83</v>
      </c>
      <c r="C7763" t="s">
        <v>13</v>
      </c>
      <c r="D7763" s="8"/>
      <c r="E7763" s="8"/>
      <c r="M7763" t="s">
        <v>477</v>
      </c>
      <c r="N7763" t="str">
        <f>Tabela_tudo[[#This Row],[Médico]]&amp;" ("&amp;Tabela_tudo[[#This Row],[Obs]]&amp;")"</f>
        <v>MG ()</v>
      </c>
    </row>
    <row r="7764" spans="1:14" x14ac:dyDescent="0.3">
      <c r="A7764" s="1">
        <v>45218</v>
      </c>
      <c r="B7764" t="s">
        <v>96</v>
      </c>
      <c r="C7764" t="s">
        <v>41</v>
      </c>
      <c r="D7764" s="8"/>
      <c r="E7764" s="8"/>
      <c r="M7764" t="s">
        <v>477</v>
      </c>
      <c r="N7764" t="str">
        <f>Tabela_tudo[[#This Row],[Médico]]&amp;" ("&amp;Tabela_tudo[[#This Row],[Obs]]&amp;")"</f>
        <v>VF ()</v>
      </c>
    </row>
    <row r="7765" spans="1:14" x14ac:dyDescent="0.3">
      <c r="A7765" s="1">
        <v>45076</v>
      </c>
      <c r="B7765" t="s">
        <v>9</v>
      </c>
      <c r="C7765" t="s">
        <v>8</v>
      </c>
      <c r="D7765" s="8"/>
      <c r="E7765" s="8"/>
      <c r="M7765" t="s">
        <v>481</v>
      </c>
      <c r="N7765" t="str">
        <f>Tabela_tudo[[#This Row],[Médico]]&amp;" ("&amp;Tabela_tudo[[#This Row],[Obs]]&amp;")"</f>
        <v>KRE ()</v>
      </c>
    </row>
    <row r="7766" spans="1:14" x14ac:dyDescent="0.3">
      <c r="A7766" s="1">
        <v>45229</v>
      </c>
      <c r="B7766" t="s">
        <v>36</v>
      </c>
      <c r="C7766" t="s">
        <v>13</v>
      </c>
      <c r="D7766" s="8"/>
      <c r="E7766" s="8"/>
      <c r="M7766" t="s">
        <v>481</v>
      </c>
      <c r="N7766" t="str">
        <f>Tabela_tudo[[#This Row],[Médico]]&amp;" ("&amp;Tabela_tudo[[#This Row],[Obs]]&amp;")"</f>
        <v>DRI ()</v>
      </c>
    </row>
    <row r="7767" spans="1:14" x14ac:dyDescent="0.3">
      <c r="A7767" s="1">
        <v>45229</v>
      </c>
      <c r="B7767" t="s">
        <v>80</v>
      </c>
      <c r="C7767" t="s">
        <v>8</v>
      </c>
      <c r="D7767" s="8"/>
      <c r="E7767" s="8"/>
      <c r="M7767" t="s">
        <v>477</v>
      </c>
      <c r="N7767" t="str">
        <f>Tabela_tudo[[#This Row],[Médico]]&amp;" ("&amp;Tabela_tudo[[#This Row],[Obs]]&amp;")"</f>
        <v>REC ()</v>
      </c>
    </row>
    <row r="7768" spans="1:14" x14ac:dyDescent="0.3">
      <c r="A7768" s="1">
        <v>45079</v>
      </c>
      <c r="B7768" t="s">
        <v>80</v>
      </c>
      <c r="C7768" t="s">
        <v>13</v>
      </c>
      <c r="D7768" s="8"/>
      <c r="E7768" s="8"/>
      <c r="M7768" t="s">
        <v>477</v>
      </c>
      <c r="N7768" t="str">
        <f>Tabela_tudo[[#This Row],[Médico]]&amp;" ("&amp;Tabela_tudo[[#This Row],[Obs]]&amp;")"</f>
        <v>REC ()</v>
      </c>
    </row>
    <row r="7769" spans="1:14" x14ac:dyDescent="0.3">
      <c r="A7769" s="1">
        <v>45140</v>
      </c>
      <c r="B7769" t="s">
        <v>57</v>
      </c>
      <c r="C7769" t="s">
        <v>41</v>
      </c>
      <c r="D7769" s="8"/>
      <c r="E7769" s="8"/>
      <c r="M7769" t="s">
        <v>477</v>
      </c>
      <c r="N7769" t="str">
        <f>Tabela_tudo[[#This Row],[Médico]]&amp;" ("&amp;Tabela_tudo[[#This Row],[Obs]]&amp;")"</f>
        <v>BED ()</v>
      </c>
    </row>
    <row r="7770" spans="1:14" x14ac:dyDescent="0.3">
      <c r="A7770" s="1">
        <v>45107</v>
      </c>
      <c r="B7770" t="s">
        <v>79</v>
      </c>
      <c r="C7770" t="s">
        <v>41</v>
      </c>
      <c r="D7770" s="8"/>
      <c r="E7770" s="8"/>
      <c r="M7770" t="s">
        <v>481</v>
      </c>
      <c r="N7770" t="str">
        <f>Tabela_tudo[[#This Row],[Médico]]&amp;" ("&amp;Tabela_tudo[[#This Row],[Obs]]&amp;")"</f>
        <v>MTB ()</v>
      </c>
    </row>
    <row r="7771" spans="1:14" x14ac:dyDescent="0.3">
      <c r="A7771" s="1">
        <v>45107</v>
      </c>
      <c r="B7771" t="s">
        <v>69</v>
      </c>
      <c r="C7771" t="s">
        <v>41</v>
      </c>
      <c r="D7771" s="8"/>
      <c r="E7771" s="8"/>
      <c r="M7771" t="s">
        <v>479</v>
      </c>
      <c r="N7771" t="str">
        <f>Tabela_tudo[[#This Row],[Médico]]&amp;" ("&amp;Tabela_tudo[[#This Row],[Obs]]&amp;")"</f>
        <v>PRE ()</v>
      </c>
    </row>
    <row r="7772" spans="1:14" x14ac:dyDescent="0.3">
      <c r="A7772" s="1">
        <v>45140</v>
      </c>
      <c r="B7772" t="s">
        <v>39</v>
      </c>
      <c r="C7772" t="s">
        <v>41</v>
      </c>
      <c r="D7772" s="8"/>
      <c r="E7772" s="8"/>
      <c r="M7772" t="s">
        <v>479</v>
      </c>
      <c r="N7772" t="str">
        <f>Tabela_tudo[[#This Row],[Médico]]&amp;" ("&amp;Tabela_tudo[[#This Row],[Obs]]&amp;")"</f>
        <v>KLA ()</v>
      </c>
    </row>
    <row r="7773" spans="1:14" x14ac:dyDescent="0.3">
      <c r="A7773" s="1">
        <v>45166</v>
      </c>
      <c r="B7773" t="s">
        <v>27</v>
      </c>
      <c r="C7773" t="s">
        <v>10</v>
      </c>
      <c r="D7773" s="8"/>
      <c r="E7773" s="8"/>
      <c r="M7773" t="s">
        <v>481</v>
      </c>
      <c r="N7773" t="str">
        <f>Tabela_tudo[[#This Row],[Médico]]&amp;" ("&amp;Tabela_tudo[[#This Row],[Obs]]&amp;")"</f>
        <v>KIL ()</v>
      </c>
    </row>
    <row r="7774" spans="1:14" x14ac:dyDescent="0.3">
      <c r="A7774" s="1">
        <v>45079</v>
      </c>
      <c r="B7774" t="s">
        <v>38</v>
      </c>
      <c r="C7774" t="s">
        <v>8</v>
      </c>
      <c r="D7774" s="8"/>
      <c r="E7774" s="8"/>
      <c r="M7774" t="s">
        <v>481</v>
      </c>
      <c r="N7774" t="str">
        <f>Tabela_tudo[[#This Row],[Médico]]&amp;" ("&amp;Tabela_tudo[[#This Row],[Obs]]&amp;")"</f>
        <v>ORO ()</v>
      </c>
    </row>
    <row r="7775" spans="1:14" x14ac:dyDescent="0.3">
      <c r="A7775" s="1">
        <v>45140</v>
      </c>
      <c r="B7775" t="s">
        <v>27</v>
      </c>
      <c r="C7775" t="s">
        <v>10</v>
      </c>
      <c r="D7775" s="8"/>
      <c r="E7775" s="8"/>
      <c r="M7775" t="s">
        <v>481</v>
      </c>
      <c r="N7775" t="str">
        <f>Tabela_tudo[[#This Row],[Médico]]&amp;" ("&amp;Tabela_tudo[[#This Row],[Obs]]&amp;")"</f>
        <v>KIL ()</v>
      </c>
    </row>
    <row r="7776" spans="1:14" x14ac:dyDescent="0.3">
      <c r="A7776" s="1">
        <v>45079</v>
      </c>
      <c r="B7776" t="s">
        <v>62</v>
      </c>
      <c r="C7776" t="s">
        <v>41</v>
      </c>
      <c r="D7776" s="8"/>
      <c r="E7776" s="8"/>
      <c r="M7776" t="s">
        <v>477</v>
      </c>
      <c r="N7776" t="str">
        <f>Tabela_tudo[[#This Row],[Médico]]&amp;" ("&amp;Tabela_tudo[[#This Row],[Obs]]&amp;")"</f>
        <v>RKS ()</v>
      </c>
    </row>
    <row r="7777" spans="1:14" x14ac:dyDescent="0.3">
      <c r="A7777" s="1">
        <v>45140</v>
      </c>
      <c r="B7777" t="s">
        <v>36</v>
      </c>
      <c r="C7777" t="s">
        <v>10</v>
      </c>
      <c r="D7777" s="8"/>
      <c r="E7777" s="8"/>
      <c r="M7777" t="s">
        <v>481</v>
      </c>
      <c r="N7777" t="str">
        <f>Tabela_tudo[[#This Row],[Médico]]&amp;" ("&amp;Tabela_tudo[[#This Row],[Obs]]&amp;")"</f>
        <v>DRI ()</v>
      </c>
    </row>
    <row r="7778" spans="1:14" x14ac:dyDescent="0.3">
      <c r="A7778" s="1">
        <v>45140</v>
      </c>
      <c r="B7778" t="s">
        <v>79</v>
      </c>
      <c r="C7778" t="s">
        <v>10</v>
      </c>
      <c r="D7778" s="8"/>
      <c r="E7778" s="8"/>
      <c r="M7778" t="s">
        <v>481</v>
      </c>
      <c r="N7778" t="str">
        <f>Tabela_tudo[[#This Row],[Médico]]&amp;" ("&amp;Tabela_tudo[[#This Row],[Obs]]&amp;")"</f>
        <v>MTB ()</v>
      </c>
    </row>
    <row r="7779" spans="1:14" x14ac:dyDescent="0.3">
      <c r="A7779" s="1">
        <v>45079</v>
      </c>
      <c r="B7779" t="s">
        <v>36</v>
      </c>
      <c r="C7779" t="s">
        <v>10</v>
      </c>
      <c r="D7779" s="8"/>
      <c r="E7779" s="8"/>
      <c r="M7779" t="s">
        <v>481</v>
      </c>
      <c r="N7779" t="str">
        <f>Tabela_tudo[[#This Row],[Médico]]&amp;" ("&amp;Tabela_tudo[[#This Row],[Obs]]&amp;")"</f>
        <v>DRI ()</v>
      </c>
    </row>
    <row r="7780" spans="1:14" x14ac:dyDescent="0.3">
      <c r="A7780" s="1">
        <v>45079</v>
      </c>
      <c r="B7780" t="s">
        <v>9</v>
      </c>
      <c r="C7780" t="s">
        <v>10</v>
      </c>
      <c r="D7780" s="8"/>
      <c r="E7780" s="8"/>
      <c r="M7780" t="s">
        <v>481</v>
      </c>
      <c r="N7780" t="str">
        <f>Tabela_tudo[[#This Row],[Médico]]&amp;" ("&amp;Tabela_tudo[[#This Row],[Obs]]&amp;")"</f>
        <v>KRE ()</v>
      </c>
    </row>
    <row r="7781" spans="1:14" x14ac:dyDescent="0.3">
      <c r="A7781" s="1">
        <v>45079</v>
      </c>
      <c r="B7781" t="s">
        <v>40</v>
      </c>
      <c r="C7781" t="s">
        <v>41</v>
      </c>
      <c r="D7781" s="8"/>
      <c r="E7781" s="8"/>
      <c r="M7781" t="s">
        <v>481</v>
      </c>
      <c r="N7781" t="str">
        <f>Tabela_tudo[[#This Row],[Médico]]&amp;" ("&amp;Tabela_tudo[[#This Row],[Obs]]&amp;")"</f>
        <v>EMA ()</v>
      </c>
    </row>
    <row r="7782" spans="1:14" x14ac:dyDescent="0.3">
      <c r="A7782" s="1">
        <v>45079</v>
      </c>
      <c r="B7782" t="s">
        <v>109</v>
      </c>
      <c r="C7782" t="s">
        <v>10</v>
      </c>
      <c r="D7782" s="8"/>
      <c r="E7782" s="8"/>
      <c r="M7782" t="s">
        <v>479</v>
      </c>
      <c r="N7782" t="str">
        <f>Tabela_tudo[[#This Row],[Médico]]&amp;" ("&amp;Tabela_tudo[[#This Row],[Obs]]&amp;")"</f>
        <v>CA ()</v>
      </c>
    </row>
    <row r="7783" spans="1:14" x14ac:dyDescent="0.3">
      <c r="A7783" s="1">
        <v>45106</v>
      </c>
      <c r="B7783" t="s">
        <v>38</v>
      </c>
      <c r="C7783" t="s">
        <v>41</v>
      </c>
      <c r="D7783" s="8"/>
      <c r="E7783" s="8"/>
      <c r="M7783" t="s">
        <v>481</v>
      </c>
      <c r="N7783" t="str">
        <f>Tabela_tudo[[#This Row],[Médico]]&amp;" ("&amp;Tabela_tudo[[#This Row],[Obs]]&amp;")"</f>
        <v>ORO ()</v>
      </c>
    </row>
    <row r="7784" spans="1:14" x14ac:dyDescent="0.3">
      <c r="A7784" s="1">
        <v>45106</v>
      </c>
      <c r="B7784" t="s">
        <v>97</v>
      </c>
      <c r="C7784" t="s">
        <v>41</v>
      </c>
      <c r="D7784" s="8"/>
      <c r="E7784" s="8"/>
      <c r="M7784" t="s">
        <v>479</v>
      </c>
      <c r="N7784" t="str">
        <f>Tabela_tudo[[#This Row],[Médico]]&amp;" ("&amp;Tabela_tudo[[#This Row],[Obs]]&amp;")"</f>
        <v>HAR ()</v>
      </c>
    </row>
    <row r="7785" spans="1:14" x14ac:dyDescent="0.3">
      <c r="A7785" s="1">
        <v>45072</v>
      </c>
      <c r="B7785" t="s">
        <v>60</v>
      </c>
      <c r="C7785" t="s">
        <v>13</v>
      </c>
      <c r="D7785" s="8"/>
      <c r="E7785" s="8"/>
      <c r="M7785" t="s">
        <v>477</v>
      </c>
      <c r="N7785" t="str">
        <f>Tabela_tudo[[#This Row],[Médico]]&amp;" ("&amp;Tabela_tudo[[#This Row],[Obs]]&amp;")"</f>
        <v>BMT ()</v>
      </c>
    </row>
    <row r="7786" spans="1:14" x14ac:dyDescent="0.3">
      <c r="A7786" s="1">
        <v>45106</v>
      </c>
      <c r="B7786" t="s">
        <v>98</v>
      </c>
      <c r="C7786" t="s">
        <v>10</v>
      </c>
      <c r="D7786" s="8"/>
      <c r="E7786" s="8"/>
      <c r="M7786" t="s">
        <v>479</v>
      </c>
      <c r="N7786" t="str">
        <f>Tabela_tudo[[#This Row],[Médico]]&amp;" ("&amp;Tabela_tudo[[#This Row],[Obs]]&amp;")"</f>
        <v>NIC ()</v>
      </c>
    </row>
    <row r="7787" spans="1:14" x14ac:dyDescent="0.3">
      <c r="A7787" s="1">
        <v>45142</v>
      </c>
      <c r="B7787" t="s">
        <v>40</v>
      </c>
      <c r="C7787" t="s">
        <v>10</v>
      </c>
      <c r="D7787" s="8"/>
      <c r="E7787" s="8"/>
      <c r="M7787" t="s">
        <v>481</v>
      </c>
      <c r="N7787" t="str">
        <f>Tabela_tudo[[#This Row],[Médico]]&amp;" ("&amp;Tabela_tudo[[#This Row],[Obs]]&amp;")"</f>
        <v>EMA ()</v>
      </c>
    </row>
    <row r="7788" spans="1:14" x14ac:dyDescent="0.3">
      <c r="A7788" s="1">
        <v>45142</v>
      </c>
      <c r="B7788" t="s">
        <v>36</v>
      </c>
      <c r="C7788" t="s">
        <v>10</v>
      </c>
      <c r="D7788" s="8"/>
      <c r="E7788" s="8"/>
      <c r="M7788" t="s">
        <v>481</v>
      </c>
      <c r="N7788" t="str">
        <f>Tabela_tudo[[#This Row],[Médico]]&amp;" ("&amp;Tabela_tudo[[#This Row],[Obs]]&amp;")"</f>
        <v>DRI ()</v>
      </c>
    </row>
    <row r="7789" spans="1:14" x14ac:dyDescent="0.3">
      <c r="A7789" s="1">
        <v>45142</v>
      </c>
      <c r="B7789" t="s">
        <v>35</v>
      </c>
      <c r="C7789" t="s">
        <v>13</v>
      </c>
      <c r="D7789" s="8"/>
      <c r="E7789" s="8"/>
      <c r="M7789" t="s">
        <v>479</v>
      </c>
      <c r="N7789" t="str">
        <f>Tabela_tudo[[#This Row],[Médico]]&amp;" ("&amp;Tabela_tudo[[#This Row],[Obs]]&amp;")"</f>
        <v>FLA ()</v>
      </c>
    </row>
    <row r="7790" spans="1:14" x14ac:dyDescent="0.3">
      <c r="A7790" s="1">
        <v>45142</v>
      </c>
      <c r="B7790" t="s">
        <v>83</v>
      </c>
      <c r="C7790" t="s">
        <v>8</v>
      </c>
      <c r="D7790" s="8"/>
      <c r="E7790" s="8"/>
      <c r="M7790" t="s">
        <v>477</v>
      </c>
      <c r="N7790" t="str">
        <f>Tabela_tudo[[#This Row],[Médico]]&amp;" ("&amp;Tabela_tudo[[#This Row],[Obs]]&amp;")"</f>
        <v>MG ()</v>
      </c>
    </row>
    <row r="7791" spans="1:14" x14ac:dyDescent="0.3">
      <c r="A7791" s="1">
        <v>45072</v>
      </c>
      <c r="B7791" t="s">
        <v>112</v>
      </c>
      <c r="C7791" t="s">
        <v>8</v>
      </c>
      <c r="D7791" s="8"/>
      <c r="E7791" s="8"/>
      <c r="M7791" t="s">
        <v>479</v>
      </c>
      <c r="N7791" t="str">
        <f>Tabela_tudo[[#This Row],[Médico]]&amp;" ("&amp;Tabela_tudo[[#This Row],[Obs]]&amp;")"</f>
        <v>FLE ()</v>
      </c>
    </row>
    <row r="7792" spans="1:14" x14ac:dyDescent="0.3">
      <c r="A7792" s="1">
        <v>45106</v>
      </c>
      <c r="B7792" t="s">
        <v>9</v>
      </c>
      <c r="C7792" t="s">
        <v>10</v>
      </c>
      <c r="D7792" s="8"/>
      <c r="E7792" s="8"/>
      <c r="M7792" t="s">
        <v>481</v>
      </c>
      <c r="N7792" t="str">
        <f>Tabela_tudo[[#This Row],[Médico]]&amp;" ("&amp;Tabela_tudo[[#This Row],[Obs]]&amp;")"</f>
        <v>KRE ()</v>
      </c>
    </row>
    <row r="7793" spans="1:14" x14ac:dyDescent="0.3">
      <c r="A7793" s="1">
        <v>45106</v>
      </c>
      <c r="B7793" t="s">
        <v>36</v>
      </c>
      <c r="C7793" t="s">
        <v>10</v>
      </c>
      <c r="D7793" s="8"/>
      <c r="E7793" s="8"/>
      <c r="M7793" t="s">
        <v>481</v>
      </c>
      <c r="N7793" t="str">
        <f>Tabela_tudo[[#This Row],[Médico]]&amp;" ("&amp;Tabela_tudo[[#This Row],[Obs]]&amp;")"</f>
        <v>DRI ()</v>
      </c>
    </row>
    <row r="7794" spans="1:14" x14ac:dyDescent="0.3">
      <c r="A7794" s="1">
        <v>45106</v>
      </c>
      <c r="B7794" t="s">
        <v>42</v>
      </c>
      <c r="C7794" t="s">
        <v>13</v>
      </c>
      <c r="D7794" s="8"/>
      <c r="E7794" s="8"/>
      <c r="M7794" t="s">
        <v>479</v>
      </c>
      <c r="N7794" t="str">
        <f>Tabela_tudo[[#This Row],[Médico]]&amp;" ("&amp;Tabela_tudo[[#This Row],[Obs]]&amp;")"</f>
        <v>SAK ()</v>
      </c>
    </row>
    <row r="7795" spans="1:14" x14ac:dyDescent="0.3">
      <c r="A7795" s="1">
        <v>45106</v>
      </c>
      <c r="B7795" t="s">
        <v>79</v>
      </c>
      <c r="C7795" t="s">
        <v>8</v>
      </c>
      <c r="D7795" s="8"/>
      <c r="E7795" s="8"/>
      <c r="M7795" t="s">
        <v>481</v>
      </c>
      <c r="N7795" t="str">
        <f>Tabela_tudo[[#This Row],[Médico]]&amp;" ("&amp;Tabela_tudo[[#This Row],[Obs]]&amp;")"</f>
        <v>MTB ()</v>
      </c>
    </row>
    <row r="7796" spans="1:14" x14ac:dyDescent="0.3">
      <c r="A7796" s="1">
        <v>45072</v>
      </c>
      <c r="B7796" t="s">
        <v>39</v>
      </c>
      <c r="C7796" t="s">
        <v>10</v>
      </c>
      <c r="D7796" s="8"/>
      <c r="E7796" s="8"/>
      <c r="M7796" t="s">
        <v>479</v>
      </c>
      <c r="N7796" t="str">
        <f>Tabela_tudo[[#This Row],[Médico]]&amp;" ("&amp;Tabela_tudo[[#This Row],[Obs]]&amp;")"</f>
        <v>KLA ()</v>
      </c>
    </row>
    <row r="7797" spans="1:14" x14ac:dyDescent="0.3">
      <c r="A7797" s="1">
        <v>45072</v>
      </c>
      <c r="B7797" t="s">
        <v>38</v>
      </c>
      <c r="C7797" t="s">
        <v>10</v>
      </c>
      <c r="D7797" s="8"/>
      <c r="E7797" s="8"/>
      <c r="M7797" t="s">
        <v>481</v>
      </c>
      <c r="N7797" t="str">
        <f>Tabela_tudo[[#This Row],[Médico]]&amp;" ("&amp;Tabela_tudo[[#This Row],[Obs]]&amp;")"</f>
        <v>ORO ()</v>
      </c>
    </row>
    <row r="7798" spans="1:14" x14ac:dyDescent="0.3">
      <c r="A7798" s="1">
        <v>45072</v>
      </c>
      <c r="B7798" t="s">
        <v>103</v>
      </c>
      <c r="C7798" t="s">
        <v>41</v>
      </c>
      <c r="D7798" s="8"/>
      <c r="E7798" s="8"/>
      <c r="M7798" t="s">
        <v>481</v>
      </c>
      <c r="N7798" t="str">
        <f>Tabela_tudo[[#This Row],[Médico]]&amp;" ("&amp;Tabela_tudo[[#This Row],[Obs]]&amp;")"</f>
        <v>CAD ()</v>
      </c>
    </row>
    <row r="7799" spans="1:14" x14ac:dyDescent="0.3">
      <c r="A7799" s="1">
        <v>45072</v>
      </c>
      <c r="B7799" t="s">
        <v>35</v>
      </c>
      <c r="C7799" t="s">
        <v>41</v>
      </c>
      <c r="D7799" s="8"/>
      <c r="E7799" s="8"/>
      <c r="M7799" t="s">
        <v>479</v>
      </c>
      <c r="N7799" t="str">
        <f>Tabela_tudo[[#This Row],[Médico]]&amp;" ("&amp;Tabela_tudo[[#This Row],[Obs]]&amp;")"</f>
        <v>FLA ()</v>
      </c>
    </row>
    <row r="7800" spans="1:14" x14ac:dyDescent="0.3">
      <c r="A7800" s="1">
        <v>45081</v>
      </c>
      <c r="B7800" t="s">
        <v>98</v>
      </c>
      <c r="C7800" t="s">
        <v>8</v>
      </c>
      <c r="D7800" s="8"/>
      <c r="E7800" s="8"/>
      <c r="M7800" t="s">
        <v>479</v>
      </c>
      <c r="N7800" t="str">
        <f>Tabela_tudo[[#This Row],[Médico]]&amp;" ("&amp;Tabela_tudo[[#This Row],[Obs]]&amp;")"</f>
        <v>NIC ()</v>
      </c>
    </row>
    <row r="7801" spans="1:14" x14ac:dyDescent="0.3">
      <c r="A7801" s="1">
        <v>45081</v>
      </c>
      <c r="B7801" t="s">
        <v>59</v>
      </c>
      <c r="C7801" t="s">
        <v>13</v>
      </c>
      <c r="D7801" s="8"/>
      <c r="E7801" s="8"/>
      <c r="M7801" t="s">
        <v>477</v>
      </c>
      <c r="N7801" t="str">
        <f>Tabela_tudo[[#This Row],[Médico]]&amp;" ("&amp;Tabela_tudo[[#This Row],[Obs]]&amp;")"</f>
        <v>WEN ()</v>
      </c>
    </row>
    <row r="7802" spans="1:14" x14ac:dyDescent="0.3">
      <c r="A7802" s="1">
        <v>45105</v>
      </c>
      <c r="B7802" t="s">
        <v>98</v>
      </c>
      <c r="C7802" t="s">
        <v>10</v>
      </c>
      <c r="D7802" s="8"/>
      <c r="E7802" s="8"/>
      <c r="M7802" t="s">
        <v>479</v>
      </c>
      <c r="N7802" t="str">
        <f>Tabela_tudo[[#This Row],[Médico]]&amp;" ("&amp;Tabela_tudo[[#This Row],[Obs]]&amp;")"</f>
        <v>NIC ()</v>
      </c>
    </row>
    <row r="7803" spans="1:14" x14ac:dyDescent="0.3">
      <c r="A7803" s="1">
        <v>45081</v>
      </c>
      <c r="B7803" t="s">
        <v>103</v>
      </c>
      <c r="C7803" t="s">
        <v>78</v>
      </c>
      <c r="D7803" s="8"/>
      <c r="E7803" s="8"/>
      <c r="M7803" t="s">
        <v>481</v>
      </c>
      <c r="N7803" t="str">
        <f>Tabela_tudo[[#This Row],[Médico]]&amp;" ("&amp;Tabela_tudo[[#This Row],[Obs]]&amp;")"</f>
        <v>CAD ()</v>
      </c>
    </row>
    <row r="7804" spans="1:14" x14ac:dyDescent="0.3">
      <c r="A7804" s="1">
        <v>45140</v>
      </c>
      <c r="B7804" t="s">
        <v>9</v>
      </c>
      <c r="C7804" t="s">
        <v>13</v>
      </c>
      <c r="D7804" s="8"/>
      <c r="E7804" s="8"/>
      <c r="M7804" t="s">
        <v>481</v>
      </c>
      <c r="N7804" t="str">
        <f>Tabela_tudo[[#This Row],[Médico]]&amp;" ("&amp;Tabela_tudo[[#This Row],[Obs]]&amp;")"</f>
        <v>KRE ()</v>
      </c>
    </row>
    <row r="7805" spans="1:14" x14ac:dyDescent="0.3">
      <c r="A7805" s="1">
        <v>45080</v>
      </c>
      <c r="B7805" t="s">
        <v>109</v>
      </c>
      <c r="C7805" t="s">
        <v>10</v>
      </c>
      <c r="D7805" s="8"/>
      <c r="E7805" s="8"/>
      <c r="M7805" t="s">
        <v>479</v>
      </c>
      <c r="N7805" t="str">
        <f>Tabela_tudo[[#This Row],[Médico]]&amp;" ("&amp;Tabela_tudo[[#This Row],[Obs]]&amp;")"</f>
        <v>CA ()</v>
      </c>
    </row>
    <row r="7806" spans="1:14" x14ac:dyDescent="0.3">
      <c r="A7806" s="1">
        <v>45105</v>
      </c>
      <c r="B7806" t="s">
        <v>62</v>
      </c>
      <c r="C7806" t="s">
        <v>41</v>
      </c>
      <c r="D7806" s="8"/>
      <c r="E7806" s="8"/>
      <c r="M7806" t="s">
        <v>477</v>
      </c>
      <c r="N7806" t="str">
        <f>Tabela_tudo[[#This Row],[Médico]]&amp;" ("&amp;Tabela_tudo[[#This Row],[Obs]]&amp;")"</f>
        <v>RKS ()</v>
      </c>
    </row>
    <row r="7807" spans="1:14" x14ac:dyDescent="0.3">
      <c r="A7807" s="1">
        <v>45105</v>
      </c>
      <c r="B7807" t="s">
        <v>109</v>
      </c>
      <c r="C7807" t="s">
        <v>41</v>
      </c>
      <c r="D7807" s="8"/>
      <c r="E7807" s="8"/>
      <c r="M7807" t="s">
        <v>479</v>
      </c>
      <c r="N7807" t="str">
        <f>Tabela_tudo[[#This Row],[Médico]]&amp;" ("&amp;Tabela_tudo[[#This Row],[Obs]]&amp;")"</f>
        <v>CA ()</v>
      </c>
    </row>
    <row r="7808" spans="1:14" x14ac:dyDescent="0.3">
      <c r="A7808" s="1">
        <v>45105</v>
      </c>
      <c r="B7808" t="s">
        <v>36</v>
      </c>
      <c r="C7808" t="s">
        <v>10</v>
      </c>
      <c r="D7808" s="8"/>
      <c r="E7808" s="8"/>
      <c r="M7808" t="s">
        <v>481</v>
      </c>
      <c r="N7808" t="str">
        <f>Tabela_tudo[[#This Row],[Médico]]&amp;" ("&amp;Tabela_tudo[[#This Row],[Obs]]&amp;")"</f>
        <v>DRI ()</v>
      </c>
    </row>
    <row r="7809" spans="1:14" x14ac:dyDescent="0.3">
      <c r="A7809" s="1">
        <v>45082</v>
      </c>
      <c r="B7809" t="s">
        <v>97</v>
      </c>
      <c r="C7809" t="s">
        <v>13</v>
      </c>
      <c r="D7809" s="8"/>
      <c r="E7809" s="8"/>
      <c r="M7809" t="s">
        <v>479</v>
      </c>
      <c r="N7809" t="str">
        <f>Tabela_tudo[[#This Row],[Médico]]&amp;" ("&amp;Tabela_tudo[[#This Row],[Obs]]&amp;")"</f>
        <v>HAR ()</v>
      </c>
    </row>
    <row r="7810" spans="1:14" x14ac:dyDescent="0.3">
      <c r="A7810" s="1">
        <v>45224</v>
      </c>
      <c r="B7810" t="s">
        <v>40</v>
      </c>
      <c r="C7810" t="s">
        <v>8</v>
      </c>
      <c r="D7810" s="8"/>
      <c r="E7810" s="8"/>
      <c r="M7810" t="s">
        <v>481</v>
      </c>
      <c r="N7810" t="str">
        <f>Tabela_tudo[[#This Row],[Médico]]&amp;" ("&amp;Tabela_tudo[[#This Row],[Obs]]&amp;")"</f>
        <v>EMA ()</v>
      </c>
    </row>
    <row r="7811" spans="1:14" x14ac:dyDescent="0.3">
      <c r="A7811" s="1">
        <v>45224</v>
      </c>
      <c r="B7811" t="s">
        <v>57</v>
      </c>
      <c r="C7811" t="s">
        <v>13</v>
      </c>
      <c r="D7811" s="8"/>
      <c r="E7811" s="8"/>
      <c r="M7811" t="s">
        <v>477</v>
      </c>
      <c r="N7811" t="str">
        <f>Tabela_tudo[[#This Row],[Médico]]&amp;" ("&amp;Tabela_tudo[[#This Row],[Obs]]&amp;")"</f>
        <v>BED ()</v>
      </c>
    </row>
    <row r="7812" spans="1:14" x14ac:dyDescent="0.3">
      <c r="A7812" s="1">
        <v>45082</v>
      </c>
      <c r="B7812" t="s">
        <v>39</v>
      </c>
      <c r="C7812" t="s">
        <v>8</v>
      </c>
      <c r="D7812" s="8"/>
      <c r="E7812" s="8"/>
      <c r="M7812" t="s">
        <v>479</v>
      </c>
      <c r="N7812" t="str">
        <f>Tabela_tudo[[#This Row],[Médico]]&amp;" ("&amp;Tabela_tudo[[#This Row],[Obs]]&amp;")"</f>
        <v>KLA ()</v>
      </c>
    </row>
    <row r="7813" spans="1:14" x14ac:dyDescent="0.3">
      <c r="A7813" s="1">
        <v>45224</v>
      </c>
      <c r="B7813" t="s">
        <v>62</v>
      </c>
      <c r="C7813" t="s">
        <v>41</v>
      </c>
      <c r="D7813" s="8"/>
      <c r="E7813" s="8"/>
      <c r="M7813" t="s">
        <v>477</v>
      </c>
      <c r="N7813" t="str">
        <f>Tabela_tudo[[#This Row],[Médico]]&amp;" ("&amp;Tabela_tudo[[#This Row],[Obs]]&amp;")"</f>
        <v>RKS ()</v>
      </c>
    </row>
    <row r="7814" spans="1:14" x14ac:dyDescent="0.3">
      <c r="A7814" s="1">
        <v>45224</v>
      </c>
      <c r="B7814" t="s">
        <v>38</v>
      </c>
      <c r="C7814" t="s">
        <v>41</v>
      </c>
      <c r="D7814" s="8"/>
      <c r="E7814" s="8"/>
      <c r="M7814" t="s">
        <v>481</v>
      </c>
      <c r="N7814" t="str">
        <f>Tabela_tudo[[#This Row],[Médico]]&amp;" ("&amp;Tabela_tudo[[#This Row],[Obs]]&amp;")"</f>
        <v>ORO ()</v>
      </c>
    </row>
    <row r="7815" spans="1:14" x14ac:dyDescent="0.3">
      <c r="A7815" s="1">
        <v>45224</v>
      </c>
      <c r="B7815" t="s">
        <v>27</v>
      </c>
      <c r="C7815" t="s">
        <v>10</v>
      </c>
      <c r="D7815" s="8"/>
      <c r="E7815" s="8"/>
      <c r="M7815" t="s">
        <v>481</v>
      </c>
      <c r="N7815" t="str">
        <f>Tabela_tudo[[#This Row],[Médico]]&amp;" ("&amp;Tabela_tudo[[#This Row],[Obs]]&amp;")"</f>
        <v>KIL ()</v>
      </c>
    </row>
    <row r="7816" spans="1:14" x14ac:dyDescent="0.3">
      <c r="A7816" s="1">
        <v>45224</v>
      </c>
      <c r="B7816" t="s">
        <v>9</v>
      </c>
      <c r="C7816" t="s">
        <v>10</v>
      </c>
      <c r="D7816" s="8"/>
      <c r="E7816" s="8"/>
      <c r="M7816" t="s">
        <v>481</v>
      </c>
      <c r="N7816" t="str">
        <f>Tabela_tudo[[#This Row],[Médico]]&amp;" ("&amp;Tabela_tudo[[#This Row],[Obs]]&amp;")"</f>
        <v>KRE ()</v>
      </c>
    </row>
    <row r="7817" spans="1:14" x14ac:dyDescent="0.3">
      <c r="A7817" s="1">
        <v>45230</v>
      </c>
      <c r="B7817" t="s">
        <v>35</v>
      </c>
      <c r="C7817" t="s">
        <v>13</v>
      </c>
      <c r="D7817" s="8"/>
      <c r="E7817" s="8"/>
      <c r="M7817" t="s">
        <v>479</v>
      </c>
      <c r="N7817" t="str">
        <f>Tabela_tudo[[#This Row],[Médico]]&amp;" ("&amp;Tabela_tudo[[#This Row],[Obs]]&amp;")"</f>
        <v>FLA ()</v>
      </c>
    </row>
    <row r="7818" spans="1:14" x14ac:dyDescent="0.3">
      <c r="A7818" s="1">
        <v>45230</v>
      </c>
      <c r="B7818" t="s">
        <v>57</v>
      </c>
      <c r="C7818" t="s">
        <v>8</v>
      </c>
      <c r="D7818" s="8"/>
      <c r="E7818" s="8"/>
      <c r="M7818" t="s">
        <v>477</v>
      </c>
      <c r="N7818" t="str">
        <f>Tabela_tudo[[#This Row],[Médico]]&amp;" ("&amp;Tabela_tudo[[#This Row],[Obs]]&amp;")"</f>
        <v>BED ()</v>
      </c>
    </row>
    <row r="7819" spans="1:14" x14ac:dyDescent="0.3">
      <c r="A7819" s="1">
        <v>45147</v>
      </c>
      <c r="B7819" t="s">
        <v>36</v>
      </c>
      <c r="C7819" t="s">
        <v>10</v>
      </c>
      <c r="D7819" s="8"/>
      <c r="E7819" s="8"/>
      <c r="M7819" t="s">
        <v>481</v>
      </c>
      <c r="N7819" t="str">
        <f>Tabela_tudo[[#This Row],[Médico]]&amp;" ("&amp;Tabela_tudo[[#This Row],[Obs]]&amp;")"</f>
        <v>DRI ()</v>
      </c>
    </row>
    <row r="7820" spans="1:14" x14ac:dyDescent="0.3">
      <c r="A7820" s="1">
        <v>45147</v>
      </c>
      <c r="B7820" t="s">
        <v>40</v>
      </c>
      <c r="C7820" t="s">
        <v>10</v>
      </c>
      <c r="D7820" s="8"/>
      <c r="E7820" s="8"/>
      <c r="M7820" t="s">
        <v>481</v>
      </c>
      <c r="N7820" t="str">
        <f>Tabela_tudo[[#This Row],[Médico]]&amp;" ("&amp;Tabela_tudo[[#This Row],[Obs]]&amp;")"</f>
        <v>EMA ()</v>
      </c>
    </row>
    <row r="7821" spans="1:14" x14ac:dyDescent="0.3">
      <c r="A7821" s="1">
        <v>45140</v>
      </c>
      <c r="B7821" t="s">
        <v>80</v>
      </c>
      <c r="C7821" t="s">
        <v>8</v>
      </c>
      <c r="D7821" s="8"/>
      <c r="E7821" s="8"/>
      <c r="M7821" t="s">
        <v>477</v>
      </c>
      <c r="N7821" t="str">
        <f>Tabela_tudo[[#This Row],[Médico]]&amp;" ("&amp;Tabela_tudo[[#This Row],[Obs]]&amp;")"</f>
        <v>REC ()</v>
      </c>
    </row>
    <row r="7822" spans="1:14" x14ac:dyDescent="0.3">
      <c r="A7822" s="1">
        <v>45140</v>
      </c>
      <c r="B7822" t="s">
        <v>40</v>
      </c>
      <c r="C7822" t="s">
        <v>10</v>
      </c>
      <c r="D7822" s="8"/>
      <c r="E7822" s="8"/>
      <c r="M7822" t="s">
        <v>481</v>
      </c>
      <c r="N7822" t="str">
        <f>Tabela_tudo[[#This Row],[Médico]]&amp;" ("&amp;Tabela_tudo[[#This Row],[Obs]]&amp;")"</f>
        <v>EMA ()</v>
      </c>
    </row>
    <row r="7823" spans="1:14" x14ac:dyDescent="0.3">
      <c r="A7823" s="1">
        <v>45147</v>
      </c>
      <c r="B7823" t="s">
        <v>57</v>
      </c>
      <c r="C7823" t="s">
        <v>8</v>
      </c>
      <c r="D7823" s="8"/>
      <c r="E7823" s="8"/>
      <c r="M7823" t="s">
        <v>477</v>
      </c>
      <c r="N7823" t="str">
        <f>Tabela_tudo[[#This Row],[Médico]]&amp;" ("&amp;Tabela_tudo[[#This Row],[Obs]]&amp;")"</f>
        <v>BED ()</v>
      </c>
    </row>
    <row r="7824" spans="1:14" x14ac:dyDescent="0.3">
      <c r="A7824" s="1">
        <v>45147</v>
      </c>
      <c r="B7824" t="s">
        <v>35</v>
      </c>
      <c r="C7824" t="s">
        <v>13</v>
      </c>
      <c r="D7824" s="8"/>
      <c r="E7824" s="8"/>
      <c r="M7824" t="s">
        <v>479</v>
      </c>
      <c r="N7824" t="str">
        <f>Tabela_tudo[[#This Row],[Médico]]&amp;" ("&amp;Tabela_tudo[[#This Row],[Obs]]&amp;")"</f>
        <v>FLA ()</v>
      </c>
    </row>
    <row r="7825" spans="1:14" x14ac:dyDescent="0.3">
      <c r="A7825" s="1">
        <v>45147</v>
      </c>
      <c r="B7825" t="s">
        <v>79</v>
      </c>
      <c r="C7825" t="s">
        <v>10</v>
      </c>
      <c r="D7825" s="8"/>
      <c r="E7825" s="8"/>
      <c r="M7825" t="s">
        <v>481</v>
      </c>
      <c r="N7825" t="str">
        <f>Tabela_tudo[[#This Row],[Médico]]&amp;" ("&amp;Tabela_tudo[[#This Row],[Obs]]&amp;")"</f>
        <v>MTB ()</v>
      </c>
    </row>
    <row r="7826" spans="1:14" x14ac:dyDescent="0.3">
      <c r="A7826" s="1">
        <v>45080</v>
      </c>
      <c r="B7826" t="s">
        <v>103</v>
      </c>
      <c r="C7826" t="s">
        <v>78</v>
      </c>
      <c r="D7826" s="8"/>
      <c r="E7826" s="8"/>
      <c r="M7826" t="s">
        <v>481</v>
      </c>
      <c r="N7826" t="str">
        <f>Tabela_tudo[[#This Row],[Médico]]&amp;" ("&amp;Tabela_tudo[[#This Row],[Obs]]&amp;")"</f>
        <v>CAD ()</v>
      </c>
    </row>
    <row r="7827" spans="1:14" x14ac:dyDescent="0.3">
      <c r="A7827" s="1">
        <v>45080</v>
      </c>
      <c r="B7827" t="s">
        <v>98</v>
      </c>
      <c r="C7827" t="s">
        <v>8</v>
      </c>
      <c r="D7827" s="8"/>
      <c r="E7827" s="8"/>
      <c r="M7827" t="s">
        <v>479</v>
      </c>
      <c r="N7827" t="str">
        <f>Tabela_tudo[[#This Row],[Médico]]&amp;" ("&amp;Tabela_tudo[[#This Row],[Obs]]&amp;")"</f>
        <v>NIC ()</v>
      </c>
    </row>
    <row r="7828" spans="1:14" x14ac:dyDescent="0.3">
      <c r="A7828" s="1">
        <v>45080</v>
      </c>
      <c r="B7828" t="s">
        <v>36</v>
      </c>
      <c r="C7828" t="s">
        <v>10</v>
      </c>
      <c r="D7828" s="8"/>
      <c r="E7828" s="8"/>
      <c r="M7828" t="s">
        <v>481</v>
      </c>
      <c r="N7828" t="str">
        <f>Tabela_tudo[[#This Row],[Médico]]&amp;" ("&amp;Tabela_tudo[[#This Row],[Obs]]&amp;")"</f>
        <v>DRI ()</v>
      </c>
    </row>
    <row r="7829" spans="1:14" x14ac:dyDescent="0.3">
      <c r="A7829" s="1">
        <v>45080</v>
      </c>
      <c r="B7829" t="s">
        <v>9</v>
      </c>
      <c r="C7829" t="s">
        <v>10</v>
      </c>
      <c r="D7829" s="8"/>
      <c r="E7829" s="8"/>
      <c r="M7829" t="s">
        <v>481</v>
      </c>
      <c r="N7829" t="str">
        <f>Tabela_tudo[[#This Row],[Médico]]&amp;" ("&amp;Tabela_tudo[[#This Row],[Obs]]&amp;")"</f>
        <v>KRE ()</v>
      </c>
    </row>
    <row r="7830" spans="1:14" x14ac:dyDescent="0.3">
      <c r="A7830" s="1">
        <v>45147</v>
      </c>
      <c r="B7830" t="s">
        <v>9</v>
      </c>
      <c r="C7830" t="s">
        <v>41</v>
      </c>
      <c r="D7830" s="8"/>
      <c r="E7830" s="8"/>
      <c r="M7830" t="s">
        <v>481</v>
      </c>
      <c r="N7830" t="str">
        <f>Tabela_tudo[[#This Row],[Médico]]&amp;" ("&amp;Tabela_tudo[[#This Row],[Obs]]&amp;")"</f>
        <v>KRE ()</v>
      </c>
    </row>
    <row r="7831" spans="1:14" x14ac:dyDescent="0.3">
      <c r="A7831" s="1">
        <v>45147</v>
      </c>
      <c r="B7831" t="s">
        <v>27</v>
      </c>
      <c r="C7831" t="s">
        <v>10</v>
      </c>
      <c r="D7831" s="8"/>
      <c r="E7831" s="8"/>
      <c r="M7831" t="s">
        <v>481</v>
      </c>
      <c r="N7831" t="str">
        <f>Tabela_tudo[[#This Row],[Médico]]&amp;" ("&amp;Tabela_tudo[[#This Row],[Obs]]&amp;")"</f>
        <v>KIL ()</v>
      </c>
    </row>
    <row r="7832" spans="1:14" x14ac:dyDescent="0.3">
      <c r="A7832" s="1">
        <v>45080</v>
      </c>
      <c r="B7832" t="s">
        <v>59</v>
      </c>
      <c r="C7832" t="s">
        <v>13</v>
      </c>
      <c r="D7832" s="8"/>
      <c r="E7832" s="8"/>
      <c r="M7832" t="s">
        <v>477</v>
      </c>
      <c r="N7832" t="str">
        <f>Tabela_tudo[[#This Row],[Médico]]&amp;" ("&amp;Tabela_tudo[[#This Row],[Obs]]&amp;")"</f>
        <v>WEN ()</v>
      </c>
    </row>
    <row r="7833" spans="1:14" x14ac:dyDescent="0.3">
      <c r="A7833" s="1">
        <v>45147</v>
      </c>
      <c r="B7833" t="s">
        <v>60</v>
      </c>
      <c r="C7833" t="s">
        <v>41</v>
      </c>
      <c r="D7833" s="8"/>
      <c r="E7833" s="8"/>
      <c r="M7833" t="s">
        <v>477</v>
      </c>
      <c r="N7833" t="str">
        <f>Tabela_tudo[[#This Row],[Médico]]&amp;" ("&amp;Tabela_tudo[[#This Row],[Obs]]&amp;")"</f>
        <v>BMT ()</v>
      </c>
    </row>
    <row r="7834" spans="1:14" x14ac:dyDescent="0.3">
      <c r="A7834" s="1">
        <v>45189</v>
      </c>
      <c r="B7834" t="s">
        <v>79</v>
      </c>
      <c r="C7834" t="s">
        <v>10</v>
      </c>
      <c r="D7834" s="8"/>
      <c r="E7834" s="8"/>
      <c r="M7834" t="s">
        <v>481</v>
      </c>
      <c r="N7834" t="str">
        <f>Tabela_tudo[[#This Row],[Médico]]&amp;" ("&amp;Tabela_tudo[[#This Row],[Obs]]&amp;")"</f>
        <v>MTB ()</v>
      </c>
    </row>
    <row r="7835" spans="1:14" x14ac:dyDescent="0.3">
      <c r="A7835" s="1">
        <v>45189</v>
      </c>
      <c r="B7835" t="s">
        <v>103</v>
      </c>
      <c r="C7835" t="s">
        <v>10</v>
      </c>
      <c r="D7835" s="8"/>
      <c r="E7835" s="8"/>
      <c r="M7835" t="s">
        <v>481</v>
      </c>
      <c r="N7835" t="str">
        <f>Tabela_tudo[[#This Row],[Médico]]&amp;" ("&amp;Tabela_tudo[[#This Row],[Obs]]&amp;")"</f>
        <v>CAD ()</v>
      </c>
    </row>
    <row r="7836" spans="1:14" x14ac:dyDescent="0.3">
      <c r="A7836" s="1">
        <v>45189</v>
      </c>
      <c r="B7836" t="s">
        <v>38</v>
      </c>
      <c r="C7836" t="s">
        <v>10</v>
      </c>
      <c r="D7836" s="8"/>
      <c r="E7836" s="8"/>
      <c r="M7836" t="s">
        <v>481</v>
      </c>
      <c r="N7836" t="str">
        <f>Tabela_tudo[[#This Row],[Médico]]&amp;" ("&amp;Tabela_tudo[[#This Row],[Obs]]&amp;")"</f>
        <v>ORO ()</v>
      </c>
    </row>
    <row r="7837" spans="1:14" x14ac:dyDescent="0.3">
      <c r="A7837" s="1">
        <v>45189</v>
      </c>
      <c r="B7837" t="s">
        <v>112</v>
      </c>
      <c r="C7837" t="s">
        <v>10</v>
      </c>
      <c r="D7837" s="8"/>
      <c r="E7837" s="8"/>
      <c r="M7837" t="s">
        <v>479</v>
      </c>
      <c r="N7837" t="str">
        <f>Tabela_tudo[[#This Row],[Médico]]&amp;" ("&amp;Tabela_tudo[[#This Row],[Obs]]&amp;")"</f>
        <v>FLE ()</v>
      </c>
    </row>
    <row r="7838" spans="1:14" x14ac:dyDescent="0.3">
      <c r="A7838" s="1">
        <v>45132</v>
      </c>
      <c r="B7838" t="s">
        <v>40</v>
      </c>
      <c r="C7838" t="s">
        <v>10</v>
      </c>
      <c r="D7838" s="8"/>
      <c r="E7838" s="8"/>
      <c r="M7838" t="s">
        <v>481</v>
      </c>
      <c r="N7838" t="str">
        <f>Tabela_tudo[[#This Row],[Médico]]&amp;" ("&amp;Tabela_tudo[[#This Row],[Obs]]&amp;")"</f>
        <v>EMA ()</v>
      </c>
    </row>
    <row r="7839" spans="1:14" x14ac:dyDescent="0.3">
      <c r="A7839" s="1">
        <v>45189</v>
      </c>
      <c r="B7839" t="s">
        <v>9</v>
      </c>
      <c r="C7839" t="s">
        <v>41</v>
      </c>
      <c r="D7839" s="8"/>
      <c r="E7839" s="8"/>
      <c r="M7839" t="s">
        <v>481</v>
      </c>
      <c r="N7839" t="str">
        <f>Tabela_tudo[[#This Row],[Médico]]&amp;" ("&amp;Tabela_tudo[[#This Row],[Obs]]&amp;")"</f>
        <v>KRE ()</v>
      </c>
    </row>
    <row r="7840" spans="1:14" x14ac:dyDescent="0.3">
      <c r="A7840" s="1">
        <v>45189</v>
      </c>
      <c r="B7840" t="s">
        <v>62</v>
      </c>
      <c r="C7840" t="s">
        <v>41</v>
      </c>
      <c r="D7840" s="8"/>
      <c r="E7840" s="8"/>
      <c r="M7840" t="s">
        <v>477</v>
      </c>
      <c r="N7840" t="str">
        <f>Tabela_tudo[[#This Row],[Médico]]&amp;" ("&amp;Tabela_tudo[[#This Row],[Obs]]&amp;")"</f>
        <v>RKS ()</v>
      </c>
    </row>
    <row r="7841" spans="1:14" x14ac:dyDescent="0.3">
      <c r="A7841" s="1">
        <v>45120</v>
      </c>
      <c r="B7841" t="s">
        <v>35</v>
      </c>
      <c r="C7841" t="s">
        <v>10</v>
      </c>
      <c r="D7841" s="8"/>
      <c r="E7841" s="8"/>
      <c r="M7841" t="s">
        <v>479</v>
      </c>
      <c r="N7841" t="str">
        <f>Tabela_tudo[[#This Row],[Médico]]&amp;" ("&amp;Tabela_tudo[[#This Row],[Obs]]&amp;")"</f>
        <v>FLA ()</v>
      </c>
    </row>
    <row r="7842" spans="1:14" x14ac:dyDescent="0.3">
      <c r="A7842" s="1">
        <v>45129</v>
      </c>
      <c r="B7842" t="s">
        <v>69</v>
      </c>
      <c r="C7842" t="s">
        <v>8</v>
      </c>
      <c r="D7842" s="8"/>
      <c r="E7842" s="8"/>
      <c r="M7842" t="s">
        <v>479</v>
      </c>
      <c r="N7842" t="str">
        <f>Tabela_tudo[[#This Row],[Médico]]&amp;" ("&amp;Tabela_tudo[[#This Row],[Obs]]&amp;")"</f>
        <v>PRE ()</v>
      </c>
    </row>
    <row r="7843" spans="1:14" x14ac:dyDescent="0.3">
      <c r="A7843" s="1">
        <v>45129</v>
      </c>
      <c r="B7843" t="s">
        <v>79</v>
      </c>
      <c r="C7843" t="s">
        <v>78</v>
      </c>
      <c r="D7843" s="8"/>
      <c r="E7843" s="8"/>
      <c r="M7843" t="s">
        <v>481</v>
      </c>
      <c r="N7843" t="str">
        <f>Tabela_tudo[[#This Row],[Médico]]&amp;" ("&amp;Tabela_tudo[[#This Row],[Obs]]&amp;")"</f>
        <v>MTB ()</v>
      </c>
    </row>
    <row r="7844" spans="1:14" x14ac:dyDescent="0.3">
      <c r="A7844" s="1">
        <v>45129</v>
      </c>
      <c r="B7844" t="s">
        <v>149</v>
      </c>
      <c r="C7844" t="s">
        <v>13</v>
      </c>
      <c r="D7844" s="8"/>
      <c r="E7844" s="8"/>
      <c r="M7844" t="s">
        <v>477</v>
      </c>
      <c r="N7844" t="str">
        <f>Tabela_tudo[[#This Row],[Médico]]&amp;" ("&amp;Tabela_tudo[[#This Row],[Obs]]&amp;")"</f>
        <v>NF ()</v>
      </c>
    </row>
    <row r="7845" spans="1:14" x14ac:dyDescent="0.3">
      <c r="A7845" s="1">
        <v>45189</v>
      </c>
      <c r="B7845" t="s">
        <v>80</v>
      </c>
      <c r="C7845" t="s">
        <v>78</v>
      </c>
      <c r="D7845" s="8"/>
      <c r="E7845" s="8"/>
      <c r="M7845" t="s">
        <v>477</v>
      </c>
      <c r="N7845" t="str">
        <f>Tabela_tudo[[#This Row],[Médico]]&amp;" ("&amp;Tabela_tudo[[#This Row],[Obs]]&amp;")"</f>
        <v>REC ()</v>
      </c>
    </row>
    <row r="7846" spans="1:14" x14ac:dyDescent="0.3">
      <c r="A7846" s="1">
        <v>45189</v>
      </c>
      <c r="B7846" t="s">
        <v>98</v>
      </c>
      <c r="C7846" t="s">
        <v>8</v>
      </c>
      <c r="D7846" s="8"/>
      <c r="E7846" s="8"/>
      <c r="M7846" t="s">
        <v>479</v>
      </c>
      <c r="N7846" t="str">
        <f>Tabela_tudo[[#This Row],[Médico]]&amp;" ("&amp;Tabela_tudo[[#This Row],[Obs]]&amp;")"</f>
        <v>NIC ()</v>
      </c>
    </row>
    <row r="7847" spans="1:14" x14ac:dyDescent="0.3">
      <c r="A7847" s="1">
        <v>45189</v>
      </c>
      <c r="B7847" t="s">
        <v>36</v>
      </c>
      <c r="C7847" t="s">
        <v>13</v>
      </c>
      <c r="D7847" s="8"/>
      <c r="E7847" s="8"/>
      <c r="M7847" t="s">
        <v>481</v>
      </c>
      <c r="N7847" t="str">
        <f>Tabela_tudo[[#This Row],[Médico]]&amp;" ("&amp;Tabela_tudo[[#This Row],[Obs]]&amp;")"</f>
        <v>DRI ()</v>
      </c>
    </row>
    <row r="7848" spans="1:14" x14ac:dyDescent="0.3">
      <c r="A7848" s="1">
        <v>45120</v>
      </c>
      <c r="B7848" t="s">
        <v>103</v>
      </c>
      <c r="C7848" t="s">
        <v>10</v>
      </c>
      <c r="D7848" s="8"/>
      <c r="E7848" s="8"/>
      <c r="M7848" t="s">
        <v>481</v>
      </c>
      <c r="N7848" t="str">
        <f>Tabela_tudo[[#This Row],[Médico]]&amp;" ("&amp;Tabela_tudo[[#This Row],[Obs]]&amp;")"</f>
        <v>CAD ()</v>
      </c>
    </row>
    <row r="7849" spans="1:14" x14ac:dyDescent="0.3">
      <c r="A7849" s="1">
        <v>45188</v>
      </c>
      <c r="B7849" t="s">
        <v>103</v>
      </c>
      <c r="C7849" t="s">
        <v>10</v>
      </c>
      <c r="D7849" s="8"/>
      <c r="E7849" s="8"/>
      <c r="M7849" t="s">
        <v>481</v>
      </c>
      <c r="N7849" t="str">
        <f>Tabela_tudo[[#This Row],[Médico]]&amp;" ("&amp;Tabela_tudo[[#This Row],[Obs]]&amp;")"</f>
        <v>CAD ()</v>
      </c>
    </row>
    <row r="7850" spans="1:14" x14ac:dyDescent="0.3">
      <c r="A7850" s="1">
        <v>45188</v>
      </c>
      <c r="B7850" t="s">
        <v>38</v>
      </c>
      <c r="C7850" t="s">
        <v>10</v>
      </c>
      <c r="D7850" s="8"/>
      <c r="E7850" s="8"/>
      <c r="M7850" t="s">
        <v>481</v>
      </c>
      <c r="N7850" t="str">
        <f>Tabela_tudo[[#This Row],[Médico]]&amp;" ("&amp;Tabela_tudo[[#This Row],[Obs]]&amp;")"</f>
        <v>ORO ()</v>
      </c>
    </row>
    <row r="7851" spans="1:14" x14ac:dyDescent="0.3">
      <c r="A7851" s="1">
        <v>45188</v>
      </c>
      <c r="B7851" t="s">
        <v>9</v>
      </c>
      <c r="C7851" t="s">
        <v>8</v>
      </c>
      <c r="D7851" s="8"/>
      <c r="E7851" s="8"/>
      <c r="M7851" t="s">
        <v>481</v>
      </c>
      <c r="N7851" t="str">
        <f>Tabela_tudo[[#This Row],[Médico]]&amp;" ("&amp;Tabela_tudo[[#This Row],[Obs]]&amp;")"</f>
        <v>KRE ()</v>
      </c>
    </row>
    <row r="7852" spans="1:14" x14ac:dyDescent="0.3">
      <c r="A7852" s="1">
        <v>45188</v>
      </c>
      <c r="B7852" t="s">
        <v>79</v>
      </c>
      <c r="C7852" t="s">
        <v>10</v>
      </c>
      <c r="D7852" s="8"/>
      <c r="E7852" s="8"/>
      <c r="M7852" t="s">
        <v>481</v>
      </c>
      <c r="N7852" t="str">
        <f>Tabela_tudo[[#This Row],[Médico]]&amp;" ("&amp;Tabela_tudo[[#This Row],[Obs]]&amp;")"</f>
        <v>MTB ()</v>
      </c>
    </row>
    <row r="7853" spans="1:14" x14ac:dyDescent="0.3">
      <c r="A7853" s="1">
        <v>45188</v>
      </c>
      <c r="B7853" t="s">
        <v>97</v>
      </c>
      <c r="C7853" t="s">
        <v>41</v>
      </c>
      <c r="D7853" s="8"/>
      <c r="E7853" s="8"/>
      <c r="M7853" t="s">
        <v>479</v>
      </c>
      <c r="N7853" t="str">
        <f>Tabela_tudo[[#This Row],[Médico]]&amp;" ("&amp;Tabela_tudo[[#This Row],[Obs]]&amp;")"</f>
        <v>HAR ()</v>
      </c>
    </row>
    <row r="7854" spans="1:14" x14ac:dyDescent="0.3">
      <c r="A7854" s="1">
        <v>45188</v>
      </c>
      <c r="B7854" t="s">
        <v>57</v>
      </c>
      <c r="C7854" t="s">
        <v>41</v>
      </c>
      <c r="D7854" s="8"/>
      <c r="E7854" s="8"/>
      <c r="M7854" t="s">
        <v>477</v>
      </c>
      <c r="N7854" t="str">
        <f>Tabela_tudo[[#This Row],[Médico]]&amp;" ("&amp;Tabela_tudo[[#This Row],[Obs]]&amp;")"</f>
        <v>BED ()</v>
      </c>
    </row>
    <row r="7855" spans="1:14" x14ac:dyDescent="0.3">
      <c r="A7855" s="1">
        <v>45188</v>
      </c>
      <c r="B7855" t="s">
        <v>112</v>
      </c>
      <c r="C7855" t="s">
        <v>10</v>
      </c>
      <c r="D7855" s="8"/>
      <c r="E7855" s="8"/>
      <c r="M7855" t="s">
        <v>479</v>
      </c>
      <c r="N7855" t="str">
        <f>Tabela_tudo[[#This Row],[Médico]]&amp;" ("&amp;Tabela_tudo[[#This Row],[Obs]]&amp;")"</f>
        <v>FLE ()</v>
      </c>
    </row>
    <row r="7856" spans="1:14" x14ac:dyDescent="0.3">
      <c r="A7856" s="1">
        <v>45132</v>
      </c>
      <c r="B7856" t="s">
        <v>103</v>
      </c>
      <c r="C7856" t="s">
        <v>41</v>
      </c>
      <c r="D7856" s="8"/>
      <c r="E7856" s="8"/>
      <c r="M7856" t="s">
        <v>481</v>
      </c>
      <c r="N7856" t="str">
        <f>Tabela_tudo[[#This Row],[Médico]]&amp;" ("&amp;Tabela_tudo[[#This Row],[Obs]]&amp;")"</f>
        <v>CAD ()</v>
      </c>
    </row>
    <row r="7857" spans="1:14" x14ac:dyDescent="0.3">
      <c r="A7857" s="1">
        <v>45174</v>
      </c>
      <c r="B7857" t="s">
        <v>96</v>
      </c>
      <c r="C7857" t="s">
        <v>41</v>
      </c>
      <c r="D7857" s="8"/>
      <c r="E7857" s="8"/>
      <c r="M7857" t="s">
        <v>477</v>
      </c>
      <c r="N7857" t="str">
        <f>Tabela_tudo[[#This Row],[Médico]]&amp;" ("&amp;Tabela_tudo[[#This Row],[Obs]]&amp;")"</f>
        <v>VF ()</v>
      </c>
    </row>
    <row r="7858" spans="1:14" x14ac:dyDescent="0.3">
      <c r="A7858" s="1">
        <v>45120</v>
      </c>
      <c r="B7858" t="s">
        <v>40</v>
      </c>
      <c r="C7858" t="s">
        <v>10</v>
      </c>
      <c r="D7858" s="8"/>
      <c r="E7858" s="8"/>
      <c r="M7858" t="s">
        <v>481</v>
      </c>
      <c r="N7858" t="str">
        <f>Tabela_tudo[[#This Row],[Médico]]&amp;" ("&amp;Tabela_tudo[[#This Row],[Obs]]&amp;")"</f>
        <v>EMA ()</v>
      </c>
    </row>
    <row r="7859" spans="1:14" x14ac:dyDescent="0.3">
      <c r="A7859" s="1">
        <v>45163</v>
      </c>
      <c r="B7859" t="s">
        <v>79</v>
      </c>
      <c r="C7859" t="s">
        <v>10</v>
      </c>
      <c r="D7859" s="8"/>
      <c r="E7859" s="8"/>
      <c r="M7859" t="s">
        <v>481</v>
      </c>
      <c r="N7859" t="str">
        <f>Tabela_tudo[[#This Row],[Médico]]&amp;" ("&amp;Tabela_tudo[[#This Row],[Obs]]&amp;")"</f>
        <v>MTB ()</v>
      </c>
    </row>
    <row r="7860" spans="1:14" x14ac:dyDescent="0.3">
      <c r="A7860" s="1">
        <v>45188</v>
      </c>
      <c r="B7860" t="s">
        <v>62</v>
      </c>
      <c r="C7860" t="s">
        <v>13</v>
      </c>
      <c r="D7860" s="8"/>
      <c r="E7860" s="8"/>
      <c r="M7860" t="s">
        <v>477</v>
      </c>
      <c r="N7860" t="str">
        <f>Tabela_tudo[[#This Row],[Médico]]&amp;" ("&amp;Tabela_tudo[[#This Row],[Obs]]&amp;")"</f>
        <v>RKS ()</v>
      </c>
    </row>
    <row r="7861" spans="1:14" x14ac:dyDescent="0.3">
      <c r="A7861" s="1">
        <v>45174</v>
      </c>
      <c r="B7861" t="s">
        <v>27</v>
      </c>
      <c r="C7861" t="s">
        <v>41</v>
      </c>
      <c r="D7861" s="8"/>
      <c r="E7861" s="8"/>
      <c r="M7861" t="s">
        <v>481</v>
      </c>
      <c r="N7861" t="str">
        <f>Tabela_tudo[[#This Row],[Médico]]&amp;" ("&amp;Tabela_tudo[[#This Row],[Obs]]&amp;")"</f>
        <v>KIL ()</v>
      </c>
    </row>
    <row r="7862" spans="1:14" x14ac:dyDescent="0.3">
      <c r="A7862" s="1">
        <v>45163</v>
      </c>
      <c r="B7862" t="s">
        <v>27</v>
      </c>
      <c r="C7862" t="s">
        <v>10</v>
      </c>
      <c r="D7862" s="8"/>
      <c r="E7862" s="8"/>
      <c r="M7862" t="s">
        <v>481</v>
      </c>
      <c r="N7862" t="str">
        <f>Tabela_tudo[[#This Row],[Médico]]&amp;" ("&amp;Tabela_tudo[[#This Row],[Obs]]&amp;")"</f>
        <v>KIL ()</v>
      </c>
    </row>
    <row r="7863" spans="1:14" x14ac:dyDescent="0.3">
      <c r="A7863" s="1">
        <v>45132</v>
      </c>
      <c r="B7863" t="s">
        <v>9</v>
      </c>
      <c r="C7863" t="s">
        <v>8</v>
      </c>
      <c r="D7863" s="8"/>
      <c r="E7863" s="8"/>
      <c r="M7863" t="s">
        <v>481</v>
      </c>
      <c r="N7863" t="str">
        <f>Tabela_tudo[[#This Row],[Médico]]&amp;" ("&amp;Tabela_tudo[[#This Row],[Obs]]&amp;")"</f>
        <v>KRE ()</v>
      </c>
    </row>
    <row r="7864" spans="1:14" x14ac:dyDescent="0.3">
      <c r="A7864" s="1">
        <v>45118</v>
      </c>
      <c r="B7864" t="s">
        <v>112</v>
      </c>
      <c r="C7864" t="s">
        <v>41</v>
      </c>
      <c r="D7864" s="8"/>
      <c r="E7864" s="8"/>
      <c r="M7864" t="s">
        <v>479</v>
      </c>
      <c r="N7864" t="str">
        <f>Tabela_tudo[[#This Row],[Médico]]&amp;" ("&amp;Tabela_tudo[[#This Row],[Obs]]&amp;")"</f>
        <v>FLE ()</v>
      </c>
    </row>
    <row r="7865" spans="1:14" x14ac:dyDescent="0.3">
      <c r="A7865" s="1">
        <v>45160</v>
      </c>
      <c r="B7865" t="s">
        <v>83</v>
      </c>
      <c r="C7865" t="s">
        <v>13</v>
      </c>
      <c r="D7865" s="8"/>
      <c r="E7865" s="8"/>
      <c r="M7865" t="s">
        <v>477</v>
      </c>
      <c r="N7865" t="str">
        <f>Tabela_tudo[[#This Row],[Médico]]&amp;" ("&amp;Tabela_tudo[[#This Row],[Obs]]&amp;")"</f>
        <v>MG ()</v>
      </c>
    </row>
    <row r="7866" spans="1:14" x14ac:dyDescent="0.3">
      <c r="A7866" s="1">
        <v>45160</v>
      </c>
      <c r="B7866" t="s">
        <v>103</v>
      </c>
      <c r="C7866" t="s">
        <v>8</v>
      </c>
      <c r="D7866" s="8"/>
      <c r="E7866" s="8"/>
      <c r="M7866" t="s">
        <v>481</v>
      </c>
      <c r="N7866" t="str">
        <f>Tabela_tudo[[#This Row],[Médico]]&amp;" ("&amp;Tabela_tudo[[#This Row],[Obs]]&amp;")"</f>
        <v>CAD ()</v>
      </c>
    </row>
    <row r="7867" spans="1:14" x14ac:dyDescent="0.3">
      <c r="A7867" s="1">
        <v>45137</v>
      </c>
      <c r="B7867" t="s">
        <v>36</v>
      </c>
      <c r="C7867" t="s">
        <v>78</v>
      </c>
      <c r="D7867" s="8"/>
      <c r="E7867" s="8"/>
      <c r="M7867" t="s">
        <v>481</v>
      </c>
      <c r="N7867" t="str">
        <f>Tabela_tudo[[#This Row],[Médico]]&amp;" ("&amp;Tabela_tudo[[#This Row],[Obs]]&amp;")"</f>
        <v>DRI ()</v>
      </c>
    </row>
    <row r="7868" spans="1:14" x14ac:dyDescent="0.3">
      <c r="A7868" s="1">
        <v>45184</v>
      </c>
      <c r="B7868" t="s">
        <v>42</v>
      </c>
      <c r="C7868" t="s">
        <v>8</v>
      </c>
      <c r="D7868" s="8"/>
      <c r="E7868" s="8"/>
      <c r="M7868" t="s">
        <v>479</v>
      </c>
      <c r="N7868" t="str">
        <f>Tabela_tudo[[#This Row],[Médico]]&amp;" ("&amp;Tabela_tudo[[#This Row],[Obs]]&amp;")"</f>
        <v>SAK ()</v>
      </c>
    </row>
    <row r="7869" spans="1:14" x14ac:dyDescent="0.3">
      <c r="A7869" s="1">
        <v>45184</v>
      </c>
      <c r="B7869" t="s">
        <v>40</v>
      </c>
      <c r="C7869" t="s">
        <v>13</v>
      </c>
      <c r="D7869" s="8"/>
      <c r="E7869" s="8"/>
      <c r="M7869" t="s">
        <v>481</v>
      </c>
      <c r="N7869" t="str">
        <f>Tabela_tudo[[#This Row],[Médico]]&amp;" ("&amp;Tabela_tudo[[#This Row],[Obs]]&amp;")"</f>
        <v>EMA ()</v>
      </c>
    </row>
    <row r="7870" spans="1:14" x14ac:dyDescent="0.3">
      <c r="A7870" s="1">
        <v>45137</v>
      </c>
      <c r="B7870" t="s">
        <v>35</v>
      </c>
      <c r="C7870" t="s">
        <v>8</v>
      </c>
      <c r="D7870" s="8"/>
      <c r="E7870" s="8"/>
      <c r="M7870" t="s">
        <v>479</v>
      </c>
      <c r="N7870" t="str">
        <f>Tabela_tudo[[#This Row],[Médico]]&amp;" ("&amp;Tabela_tudo[[#This Row],[Obs]]&amp;")"</f>
        <v>FLA ()</v>
      </c>
    </row>
    <row r="7871" spans="1:14" x14ac:dyDescent="0.3">
      <c r="A7871" s="1">
        <v>45108</v>
      </c>
      <c r="B7871" t="s">
        <v>40</v>
      </c>
      <c r="C7871" t="s">
        <v>10</v>
      </c>
      <c r="D7871" s="8"/>
      <c r="E7871" s="8"/>
      <c r="M7871" t="s">
        <v>481</v>
      </c>
      <c r="N7871" t="str">
        <f>Tabela_tudo[[#This Row],[Médico]]&amp;" ("&amp;Tabela_tudo[[#This Row],[Obs]]&amp;")"</f>
        <v>EMA ()</v>
      </c>
    </row>
    <row r="7872" spans="1:14" x14ac:dyDescent="0.3">
      <c r="A7872" s="1">
        <v>45108</v>
      </c>
      <c r="B7872" t="s">
        <v>103</v>
      </c>
      <c r="C7872" t="s">
        <v>10</v>
      </c>
      <c r="D7872" s="8"/>
      <c r="E7872" s="8"/>
      <c r="M7872" t="s">
        <v>481</v>
      </c>
      <c r="N7872" t="str">
        <f>Tabela_tudo[[#This Row],[Médico]]&amp;" ("&amp;Tabela_tudo[[#This Row],[Obs]]&amp;")"</f>
        <v>CAD ()</v>
      </c>
    </row>
    <row r="7873" spans="1:14" x14ac:dyDescent="0.3">
      <c r="A7873" s="1">
        <v>45108</v>
      </c>
      <c r="B7873" t="s">
        <v>35</v>
      </c>
      <c r="C7873" t="s">
        <v>10</v>
      </c>
      <c r="D7873" s="8"/>
      <c r="E7873" s="8"/>
      <c r="M7873" t="s">
        <v>479</v>
      </c>
      <c r="N7873" t="str">
        <f>Tabela_tudo[[#This Row],[Médico]]&amp;" ("&amp;Tabela_tudo[[#This Row],[Obs]]&amp;")"</f>
        <v>FLA ()</v>
      </c>
    </row>
    <row r="7874" spans="1:14" x14ac:dyDescent="0.3">
      <c r="A7874" s="1">
        <v>45108</v>
      </c>
      <c r="B7874" t="s">
        <v>38</v>
      </c>
      <c r="C7874" t="s">
        <v>78</v>
      </c>
      <c r="D7874" s="8"/>
      <c r="E7874" s="8"/>
      <c r="M7874" t="s">
        <v>481</v>
      </c>
      <c r="N7874" t="str">
        <f>Tabela_tudo[[#This Row],[Médico]]&amp;" ("&amp;Tabela_tudo[[#This Row],[Obs]]&amp;")"</f>
        <v>ORO ()</v>
      </c>
    </row>
    <row r="7875" spans="1:14" x14ac:dyDescent="0.3">
      <c r="A7875" s="1">
        <v>45108</v>
      </c>
      <c r="B7875" t="s">
        <v>57</v>
      </c>
      <c r="C7875" t="s">
        <v>13</v>
      </c>
      <c r="D7875" s="8"/>
      <c r="E7875" s="8"/>
      <c r="M7875" t="s">
        <v>477</v>
      </c>
      <c r="N7875" t="str">
        <f>Tabela_tudo[[#This Row],[Médico]]&amp;" ("&amp;Tabela_tudo[[#This Row],[Obs]]&amp;")"</f>
        <v>BED ()</v>
      </c>
    </row>
    <row r="7876" spans="1:14" x14ac:dyDescent="0.3">
      <c r="A7876" s="1">
        <v>45118</v>
      </c>
      <c r="B7876" t="s">
        <v>57</v>
      </c>
      <c r="C7876" t="s">
        <v>41</v>
      </c>
      <c r="D7876" s="8"/>
      <c r="E7876" s="8"/>
      <c r="M7876" t="s">
        <v>477</v>
      </c>
      <c r="N7876" t="str">
        <f>Tabela_tudo[[#This Row],[Médico]]&amp;" ("&amp;Tabela_tudo[[#This Row],[Obs]]&amp;")"</f>
        <v>BED ()</v>
      </c>
    </row>
    <row r="7877" spans="1:14" x14ac:dyDescent="0.3">
      <c r="A7877" s="1">
        <v>45108</v>
      </c>
      <c r="B7877" t="s">
        <v>42</v>
      </c>
      <c r="C7877" t="s">
        <v>8</v>
      </c>
      <c r="D7877" s="8"/>
      <c r="E7877" s="8"/>
      <c r="M7877" t="s">
        <v>479</v>
      </c>
      <c r="N7877" t="str">
        <f>Tabela_tudo[[#This Row],[Médico]]&amp;" ("&amp;Tabela_tudo[[#This Row],[Obs]]&amp;")"</f>
        <v>SAK ()</v>
      </c>
    </row>
    <row r="7878" spans="1:14" x14ac:dyDescent="0.3">
      <c r="A7878" s="1">
        <v>45184</v>
      </c>
      <c r="B7878" t="s">
        <v>38</v>
      </c>
      <c r="C7878" t="s">
        <v>10</v>
      </c>
      <c r="D7878" s="8"/>
      <c r="E7878" s="8"/>
      <c r="M7878" t="s">
        <v>481</v>
      </c>
      <c r="N7878" t="str">
        <f>Tabela_tudo[[#This Row],[Médico]]&amp;" ("&amp;Tabela_tudo[[#This Row],[Obs]]&amp;")"</f>
        <v>ORO ()</v>
      </c>
    </row>
    <row r="7879" spans="1:14" x14ac:dyDescent="0.3">
      <c r="A7879" s="1">
        <v>45130</v>
      </c>
      <c r="B7879" t="s">
        <v>69</v>
      </c>
      <c r="C7879" t="s">
        <v>8</v>
      </c>
      <c r="D7879" s="8"/>
      <c r="E7879" s="8"/>
      <c r="M7879" t="s">
        <v>479</v>
      </c>
      <c r="N7879" t="str">
        <f>Tabela_tudo[[#This Row],[Médico]]&amp;" ("&amp;Tabela_tudo[[#This Row],[Obs]]&amp;")"</f>
        <v>PRE ()</v>
      </c>
    </row>
    <row r="7880" spans="1:14" x14ac:dyDescent="0.3">
      <c r="A7880" s="1">
        <v>45130</v>
      </c>
      <c r="B7880" t="s">
        <v>79</v>
      </c>
      <c r="C7880" t="s">
        <v>78</v>
      </c>
      <c r="D7880" s="8"/>
      <c r="E7880" s="8"/>
      <c r="M7880" t="s">
        <v>481</v>
      </c>
      <c r="N7880" t="str">
        <f>Tabela_tudo[[#This Row],[Médico]]&amp;" ("&amp;Tabela_tudo[[#This Row],[Obs]]&amp;")"</f>
        <v>MTB ()</v>
      </c>
    </row>
    <row r="7881" spans="1:14" x14ac:dyDescent="0.3">
      <c r="A7881" s="1">
        <v>45119</v>
      </c>
      <c r="B7881" t="s">
        <v>79</v>
      </c>
      <c r="C7881" t="s">
        <v>41</v>
      </c>
      <c r="D7881" s="8"/>
      <c r="E7881" s="8"/>
      <c r="M7881" t="s">
        <v>481</v>
      </c>
      <c r="N7881" t="str">
        <f>Tabela_tudo[[#This Row],[Médico]]&amp;" ("&amp;Tabela_tudo[[#This Row],[Obs]]&amp;")"</f>
        <v>MTB ()</v>
      </c>
    </row>
    <row r="7882" spans="1:14" x14ac:dyDescent="0.3">
      <c r="A7882" s="1">
        <v>45120</v>
      </c>
      <c r="B7882" t="s">
        <v>97</v>
      </c>
      <c r="C7882" t="s">
        <v>41</v>
      </c>
      <c r="D7882" s="8"/>
      <c r="E7882" s="8"/>
      <c r="M7882" t="s">
        <v>479</v>
      </c>
      <c r="N7882" t="str">
        <f>Tabela_tudo[[#This Row],[Médico]]&amp;" ("&amp;Tabela_tudo[[#This Row],[Obs]]&amp;")"</f>
        <v>HAR ()</v>
      </c>
    </row>
    <row r="7883" spans="1:14" x14ac:dyDescent="0.3">
      <c r="A7883" s="1">
        <v>45132</v>
      </c>
      <c r="B7883" t="s">
        <v>35</v>
      </c>
      <c r="C7883" t="s">
        <v>13</v>
      </c>
      <c r="D7883" s="8"/>
      <c r="E7883" s="8"/>
      <c r="M7883" t="s">
        <v>479</v>
      </c>
      <c r="N7883" t="str">
        <f>Tabela_tudo[[#This Row],[Médico]]&amp;" ("&amp;Tabela_tudo[[#This Row],[Obs]]&amp;")"</f>
        <v>FLA ()</v>
      </c>
    </row>
    <row r="7884" spans="1:14" x14ac:dyDescent="0.3">
      <c r="A7884" s="1">
        <v>45119</v>
      </c>
      <c r="B7884" t="s">
        <v>42</v>
      </c>
      <c r="C7884" t="s">
        <v>41</v>
      </c>
      <c r="D7884" s="8"/>
      <c r="E7884" s="8"/>
      <c r="M7884" t="s">
        <v>479</v>
      </c>
      <c r="N7884" t="str">
        <f>Tabela_tudo[[#This Row],[Médico]]&amp;" ("&amp;Tabela_tudo[[#This Row],[Obs]]&amp;")"</f>
        <v>SAK ()</v>
      </c>
    </row>
    <row r="7885" spans="1:14" x14ac:dyDescent="0.3">
      <c r="A7885" s="1">
        <v>45130</v>
      </c>
      <c r="B7885" t="s">
        <v>149</v>
      </c>
      <c r="C7885" t="s">
        <v>13</v>
      </c>
      <c r="D7885" s="8"/>
      <c r="E7885" s="8"/>
      <c r="M7885" t="s">
        <v>477</v>
      </c>
      <c r="N7885" t="str">
        <f>Tabela_tudo[[#This Row],[Médico]]&amp;" ("&amp;Tabela_tudo[[#This Row],[Obs]]&amp;")"</f>
        <v>NF ()</v>
      </c>
    </row>
    <row r="7886" spans="1:14" x14ac:dyDescent="0.3">
      <c r="A7886" s="1">
        <v>45184</v>
      </c>
      <c r="B7886" t="s">
        <v>35</v>
      </c>
      <c r="C7886" t="s">
        <v>41</v>
      </c>
      <c r="D7886" s="8"/>
      <c r="E7886" s="8"/>
      <c r="M7886" t="s">
        <v>479</v>
      </c>
      <c r="N7886" t="str">
        <f>Tabela_tudo[[#This Row],[Médico]]&amp;" ("&amp;Tabela_tudo[[#This Row],[Obs]]&amp;")"</f>
        <v>FLA ()</v>
      </c>
    </row>
    <row r="7887" spans="1:14" x14ac:dyDescent="0.3">
      <c r="A7887" s="1">
        <v>45184</v>
      </c>
      <c r="B7887" t="s">
        <v>79</v>
      </c>
      <c r="C7887" t="s">
        <v>10</v>
      </c>
      <c r="D7887" s="8"/>
      <c r="E7887" s="8"/>
      <c r="M7887" t="s">
        <v>481</v>
      </c>
      <c r="N7887" t="str">
        <f>Tabela_tudo[[#This Row],[Médico]]&amp;" ("&amp;Tabela_tudo[[#This Row],[Obs]]&amp;")"</f>
        <v>MTB ()</v>
      </c>
    </row>
    <row r="7888" spans="1:14" x14ac:dyDescent="0.3">
      <c r="A7888" s="1">
        <v>45184</v>
      </c>
      <c r="B7888" t="s">
        <v>103</v>
      </c>
      <c r="C7888" t="s">
        <v>10</v>
      </c>
      <c r="D7888" s="8"/>
      <c r="E7888" s="8"/>
      <c r="M7888" t="s">
        <v>481</v>
      </c>
      <c r="N7888" t="str">
        <f>Tabela_tudo[[#This Row],[Médico]]&amp;" ("&amp;Tabela_tudo[[#This Row],[Obs]]&amp;")"</f>
        <v>CAD ()</v>
      </c>
    </row>
    <row r="7889" spans="1:14" x14ac:dyDescent="0.3">
      <c r="A7889" s="1">
        <v>45184</v>
      </c>
      <c r="B7889" t="s">
        <v>62</v>
      </c>
      <c r="C7889" t="s">
        <v>41</v>
      </c>
      <c r="D7889" s="8"/>
      <c r="E7889" s="8"/>
      <c r="M7889" t="s">
        <v>477</v>
      </c>
      <c r="N7889" t="str">
        <f>Tabela_tudo[[#This Row],[Médico]]&amp;" ("&amp;Tabela_tudo[[#This Row],[Obs]]&amp;")"</f>
        <v>RKS ()</v>
      </c>
    </row>
    <row r="7890" spans="1:14" x14ac:dyDescent="0.3">
      <c r="A7890" s="1">
        <v>45119</v>
      </c>
      <c r="B7890" t="s">
        <v>35</v>
      </c>
      <c r="C7890" t="s">
        <v>10</v>
      </c>
      <c r="D7890" s="8"/>
      <c r="E7890" s="8"/>
      <c r="M7890" t="s">
        <v>479</v>
      </c>
      <c r="N7890" t="str">
        <f>Tabela_tudo[[#This Row],[Médico]]&amp;" ("&amp;Tabela_tudo[[#This Row],[Obs]]&amp;")"</f>
        <v>FLA ()</v>
      </c>
    </row>
    <row r="7891" spans="1:14" x14ac:dyDescent="0.3">
      <c r="A7891" s="1">
        <v>45119</v>
      </c>
      <c r="B7891" t="s">
        <v>103</v>
      </c>
      <c r="C7891" t="s">
        <v>10</v>
      </c>
      <c r="D7891" s="8"/>
      <c r="E7891" s="8"/>
      <c r="M7891" t="s">
        <v>481</v>
      </c>
      <c r="N7891" t="str">
        <f>Tabela_tudo[[#This Row],[Médico]]&amp;" ("&amp;Tabela_tudo[[#This Row],[Obs]]&amp;")"</f>
        <v>CAD ()</v>
      </c>
    </row>
    <row r="7892" spans="1:14" x14ac:dyDescent="0.3">
      <c r="A7892" s="1">
        <v>45137</v>
      </c>
      <c r="B7892" t="s">
        <v>60</v>
      </c>
      <c r="C7892" t="s">
        <v>13</v>
      </c>
      <c r="D7892" s="8"/>
      <c r="E7892" s="8"/>
      <c r="M7892" t="s">
        <v>477</v>
      </c>
      <c r="N7892" t="str">
        <f>Tabela_tudo[[#This Row],[Médico]]&amp;" ("&amp;Tabela_tudo[[#This Row],[Obs]]&amp;")"</f>
        <v>BMT ()</v>
      </c>
    </row>
    <row r="7893" spans="1:14" x14ac:dyDescent="0.3">
      <c r="A7893" s="1">
        <v>45127</v>
      </c>
      <c r="B7893" t="s">
        <v>35</v>
      </c>
      <c r="C7893" t="s">
        <v>41</v>
      </c>
      <c r="D7893" s="8"/>
      <c r="E7893" s="8"/>
      <c r="M7893" t="s">
        <v>479</v>
      </c>
      <c r="N7893" t="str">
        <f>Tabela_tudo[[#This Row],[Médico]]&amp;" ("&amp;Tabela_tudo[[#This Row],[Obs]]&amp;")"</f>
        <v>FLA ()</v>
      </c>
    </row>
    <row r="7894" spans="1:14" x14ac:dyDescent="0.3">
      <c r="A7894" s="1">
        <v>45168</v>
      </c>
      <c r="B7894" t="s">
        <v>36</v>
      </c>
      <c r="C7894" t="s">
        <v>10</v>
      </c>
      <c r="D7894" s="8"/>
      <c r="E7894" s="8"/>
      <c r="M7894" t="s">
        <v>481</v>
      </c>
      <c r="N7894" t="str">
        <f>Tabela_tudo[[#This Row],[Médico]]&amp;" ("&amp;Tabela_tudo[[#This Row],[Obs]]&amp;")"</f>
        <v>DRI ()</v>
      </c>
    </row>
    <row r="7895" spans="1:14" x14ac:dyDescent="0.3">
      <c r="A7895" s="1">
        <v>45112</v>
      </c>
      <c r="B7895" t="s">
        <v>59</v>
      </c>
      <c r="C7895" t="s">
        <v>41</v>
      </c>
      <c r="D7895" s="8"/>
      <c r="E7895" s="8"/>
      <c r="M7895" t="s">
        <v>477</v>
      </c>
      <c r="N7895" t="str">
        <f>Tabela_tudo[[#This Row],[Médico]]&amp;" ("&amp;Tabela_tudo[[#This Row],[Obs]]&amp;")"</f>
        <v>WEN ()</v>
      </c>
    </row>
    <row r="7896" spans="1:14" x14ac:dyDescent="0.3">
      <c r="A7896" s="1">
        <v>45127</v>
      </c>
      <c r="B7896" t="s">
        <v>9</v>
      </c>
      <c r="C7896" t="s">
        <v>41</v>
      </c>
      <c r="D7896" s="8"/>
      <c r="E7896" s="8"/>
      <c r="M7896" t="s">
        <v>481</v>
      </c>
      <c r="N7896" t="str">
        <f>Tabela_tudo[[#This Row],[Médico]]&amp;" ("&amp;Tabela_tudo[[#This Row],[Obs]]&amp;")"</f>
        <v>KRE ()</v>
      </c>
    </row>
    <row r="7897" spans="1:14" x14ac:dyDescent="0.3">
      <c r="A7897" s="1">
        <v>45127</v>
      </c>
      <c r="B7897" t="s">
        <v>60</v>
      </c>
      <c r="C7897" t="s">
        <v>8</v>
      </c>
      <c r="D7897" s="8"/>
      <c r="E7897" s="8"/>
      <c r="M7897" t="s">
        <v>477</v>
      </c>
      <c r="N7897" t="str">
        <f>Tabela_tudo[[#This Row],[Médico]]&amp;" ("&amp;Tabela_tudo[[#This Row],[Obs]]&amp;")"</f>
        <v>BMT ()</v>
      </c>
    </row>
    <row r="7898" spans="1:14" x14ac:dyDescent="0.3">
      <c r="A7898" s="1">
        <v>45127</v>
      </c>
      <c r="B7898" t="s">
        <v>40</v>
      </c>
      <c r="C7898" t="s">
        <v>10</v>
      </c>
      <c r="D7898" s="8"/>
      <c r="E7898" s="8"/>
      <c r="M7898" t="s">
        <v>481</v>
      </c>
      <c r="N7898" t="str">
        <f>Tabela_tudo[[#This Row],[Médico]]&amp;" ("&amp;Tabela_tudo[[#This Row],[Obs]]&amp;")"</f>
        <v>EMA ()</v>
      </c>
    </row>
    <row r="7899" spans="1:14" x14ac:dyDescent="0.3">
      <c r="A7899" s="1">
        <v>45127</v>
      </c>
      <c r="B7899" t="s">
        <v>103</v>
      </c>
      <c r="C7899" t="s">
        <v>10</v>
      </c>
      <c r="D7899" s="8"/>
      <c r="E7899" s="8"/>
      <c r="M7899" t="s">
        <v>481</v>
      </c>
      <c r="N7899" t="str">
        <f>Tabela_tudo[[#This Row],[Médico]]&amp;" ("&amp;Tabela_tudo[[#This Row],[Obs]]&amp;")"</f>
        <v>CAD ()</v>
      </c>
    </row>
    <row r="7900" spans="1:14" x14ac:dyDescent="0.3">
      <c r="A7900" s="1">
        <v>45156</v>
      </c>
      <c r="B7900" t="s">
        <v>79</v>
      </c>
      <c r="C7900" t="s">
        <v>8</v>
      </c>
      <c r="D7900" s="8"/>
      <c r="E7900" s="8"/>
      <c r="M7900" t="s">
        <v>481</v>
      </c>
      <c r="N7900" t="str">
        <f>Tabela_tudo[[#This Row],[Médico]]&amp;" ("&amp;Tabela_tudo[[#This Row],[Obs]]&amp;")"</f>
        <v>MTB ()</v>
      </c>
    </row>
    <row r="7901" spans="1:14" x14ac:dyDescent="0.3">
      <c r="A7901" s="1">
        <v>45174</v>
      </c>
      <c r="B7901" t="s">
        <v>109</v>
      </c>
      <c r="C7901" t="s">
        <v>13</v>
      </c>
      <c r="D7901" s="8"/>
      <c r="E7901" s="8"/>
      <c r="M7901" t="s">
        <v>479</v>
      </c>
      <c r="N7901" t="str">
        <f>Tabela_tudo[[#This Row],[Médico]]&amp;" ("&amp;Tabela_tudo[[#This Row],[Obs]]&amp;")"</f>
        <v>CA ()</v>
      </c>
    </row>
    <row r="7902" spans="1:14" x14ac:dyDescent="0.3">
      <c r="A7902" s="1">
        <v>45156</v>
      </c>
      <c r="B7902" t="s">
        <v>40</v>
      </c>
      <c r="C7902" t="s">
        <v>10</v>
      </c>
      <c r="D7902" s="8"/>
      <c r="E7902" s="8"/>
      <c r="M7902" t="s">
        <v>481</v>
      </c>
      <c r="N7902" t="str">
        <f>Tabela_tudo[[#This Row],[Médico]]&amp;" ("&amp;Tabela_tudo[[#This Row],[Obs]]&amp;")"</f>
        <v>EMA ()</v>
      </c>
    </row>
    <row r="7903" spans="1:14" x14ac:dyDescent="0.3">
      <c r="A7903" s="1">
        <v>45156</v>
      </c>
      <c r="B7903" t="s">
        <v>103</v>
      </c>
      <c r="C7903" t="s">
        <v>13</v>
      </c>
      <c r="D7903" s="8"/>
      <c r="E7903" s="8"/>
      <c r="M7903" t="s">
        <v>481</v>
      </c>
      <c r="N7903" t="str">
        <f>Tabela_tudo[[#This Row],[Médico]]&amp;" ("&amp;Tabela_tudo[[#This Row],[Obs]]&amp;")"</f>
        <v>CAD ()</v>
      </c>
    </row>
    <row r="7904" spans="1:14" x14ac:dyDescent="0.3">
      <c r="A7904" s="1">
        <v>45120</v>
      </c>
      <c r="B7904" t="s">
        <v>61</v>
      </c>
      <c r="C7904" t="s">
        <v>13</v>
      </c>
      <c r="D7904" s="8"/>
      <c r="E7904" s="8"/>
      <c r="M7904" t="s">
        <v>477</v>
      </c>
      <c r="N7904" t="str">
        <f>Tabela_tudo[[#This Row],[Médico]]&amp;" ("&amp;Tabela_tudo[[#This Row],[Obs]]&amp;")"</f>
        <v>AD ()</v>
      </c>
    </row>
    <row r="7905" spans="1:14" x14ac:dyDescent="0.3">
      <c r="A7905" s="1">
        <v>45168</v>
      </c>
      <c r="B7905" t="s">
        <v>79</v>
      </c>
      <c r="C7905" t="s">
        <v>10</v>
      </c>
      <c r="D7905" s="8"/>
      <c r="E7905" s="8"/>
      <c r="M7905" t="s">
        <v>481</v>
      </c>
      <c r="N7905" t="str">
        <f>Tabela_tudo[[#This Row],[Médico]]&amp;" ("&amp;Tabela_tudo[[#This Row],[Obs]]&amp;")"</f>
        <v>MTB ()</v>
      </c>
    </row>
    <row r="7906" spans="1:14" x14ac:dyDescent="0.3">
      <c r="A7906" s="1">
        <v>45168</v>
      </c>
      <c r="B7906" t="s">
        <v>27</v>
      </c>
      <c r="C7906" t="s">
        <v>10</v>
      </c>
      <c r="D7906" s="8"/>
      <c r="E7906" s="8"/>
      <c r="M7906" t="s">
        <v>481</v>
      </c>
      <c r="N7906" t="str">
        <f>Tabela_tudo[[#This Row],[Médico]]&amp;" ("&amp;Tabela_tudo[[#This Row],[Obs]]&amp;")"</f>
        <v>KIL ()</v>
      </c>
    </row>
    <row r="7907" spans="1:14" x14ac:dyDescent="0.3">
      <c r="A7907" s="1">
        <v>45110</v>
      </c>
      <c r="B7907" t="s">
        <v>60</v>
      </c>
      <c r="C7907" t="s">
        <v>13</v>
      </c>
      <c r="D7907" s="8"/>
      <c r="E7907" s="8"/>
      <c r="M7907" t="s">
        <v>477</v>
      </c>
      <c r="N7907" t="str">
        <f>Tabela_tudo[[#This Row],[Médico]]&amp;" ("&amp;Tabela_tudo[[#This Row],[Obs]]&amp;")"</f>
        <v>BMT ()</v>
      </c>
    </row>
    <row r="7908" spans="1:14" x14ac:dyDescent="0.3">
      <c r="A7908" s="1">
        <v>45127</v>
      </c>
      <c r="B7908" t="s">
        <v>39</v>
      </c>
      <c r="C7908" t="s">
        <v>13</v>
      </c>
      <c r="D7908" s="8"/>
      <c r="E7908" s="8"/>
      <c r="M7908" t="s">
        <v>479</v>
      </c>
      <c r="N7908" t="str">
        <f>Tabela_tudo[[#This Row],[Médico]]&amp;" ("&amp;Tabela_tudo[[#This Row],[Obs]]&amp;")"</f>
        <v>KLA ()</v>
      </c>
    </row>
    <row r="7909" spans="1:14" x14ac:dyDescent="0.3">
      <c r="A7909" s="1">
        <v>45191</v>
      </c>
      <c r="B7909" t="s">
        <v>39</v>
      </c>
      <c r="C7909" t="s">
        <v>41</v>
      </c>
      <c r="D7909" s="8"/>
      <c r="E7909" s="8"/>
      <c r="M7909" t="s">
        <v>479</v>
      </c>
      <c r="N7909" t="str">
        <f>Tabela_tudo[[#This Row],[Médico]]&amp;" ("&amp;Tabela_tudo[[#This Row],[Obs]]&amp;")"</f>
        <v>KLA ()</v>
      </c>
    </row>
    <row r="7910" spans="1:14" x14ac:dyDescent="0.3">
      <c r="A7910" s="1">
        <v>45191</v>
      </c>
      <c r="B7910" t="s">
        <v>61</v>
      </c>
      <c r="C7910" t="s">
        <v>41</v>
      </c>
      <c r="D7910" s="8"/>
      <c r="E7910" s="8"/>
      <c r="M7910" t="s">
        <v>477</v>
      </c>
      <c r="N7910" t="str">
        <f>Tabela_tudo[[#This Row],[Médico]]&amp;" ("&amp;Tabela_tudo[[#This Row],[Obs]]&amp;")"</f>
        <v>AD ()</v>
      </c>
    </row>
    <row r="7911" spans="1:14" x14ac:dyDescent="0.3">
      <c r="A7911" s="1">
        <v>45168</v>
      </c>
      <c r="B7911" t="s">
        <v>40</v>
      </c>
      <c r="C7911" t="s">
        <v>10</v>
      </c>
      <c r="D7911" s="8"/>
      <c r="E7911" s="8"/>
      <c r="M7911" t="s">
        <v>481</v>
      </c>
      <c r="N7911" t="str">
        <f>Tabela_tudo[[#This Row],[Médico]]&amp;" ("&amp;Tabela_tudo[[#This Row],[Obs]]&amp;")"</f>
        <v>EMA ()</v>
      </c>
    </row>
    <row r="7912" spans="1:14" x14ac:dyDescent="0.3">
      <c r="A7912" s="1">
        <v>45123</v>
      </c>
      <c r="B7912" t="s">
        <v>109</v>
      </c>
      <c r="C7912" t="s">
        <v>78</v>
      </c>
      <c r="D7912" s="8"/>
      <c r="E7912" s="8"/>
      <c r="M7912" t="s">
        <v>479</v>
      </c>
      <c r="N7912" t="str">
        <f>Tabela_tudo[[#This Row],[Médico]]&amp;" ("&amp;Tabela_tudo[[#This Row],[Obs]]&amp;")"</f>
        <v>CA ()</v>
      </c>
    </row>
    <row r="7913" spans="1:14" x14ac:dyDescent="0.3">
      <c r="A7913" s="1">
        <v>45168</v>
      </c>
      <c r="B7913" t="s">
        <v>112</v>
      </c>
      <c r="C7913" t="s">
        <v>41</v>
      </c>
      <c r="D7913" s="8"/>
      <c r="E7913" s="8"/>
      <c r="M7913" t="s">
        <v>479</v>
      </c>
      <c r="N7913" t="str">
        <f>Tabela_tudo[[#This Row],[Médico]]&amp;" ("&amp;Tabela_tudo[[#This Row],[Obs]]&amp;")"</f>
        <v>FLE ()</v>
      </c>
    </row>
    <row r="7914" spans="1:14" x14ac:dyDescent="0.3">
      <c r="A7914" s="1">
        <v>45168</v>
      </c>
      <c r="B7914" t="s">
        <v>62</v>
      </c>
      <c r="C7914" t="s">
        <v>41</v>
      </c>
      <c r="D7914" s="8"/>
      <c r="E7914" s="8"/>
      <c r="M7914" t="s">
        <v>477</v>
      </c>
      <c r="N7914" t="str">
        <f>Tabela_tudo[[#This Row],[Médico]]&amp;" ("&amp;Tabela_tudo[[#This Row],[Obs]]&amp;")"</f>
        <v>RKS ()</v>
      </c>
    </row>
    <row r="7915" spans="1:14" x14ac:dyDescent="0.3">
      <c r="A7915" s="1">
        <v>45191</v>
      </c>
      <c r="B7915" t="s">
        <v>57</v>
      </c>
      <c r="C7915" t="s">
        <v>8</v>
      </c>
      <c r="D7915" s="8"/>
      <c r="E7915" s="8"/>
      <c r="M7915" t="s">
        <v>477</v>
      </c>
      <c r="N7915" t="str">
        <f>Tabela_tudo[[#This Row],[Médico]]&amp;" ("&amp;Tabela_tudo[[#This Row],[Obs]]&amp;")"</f>
        <v>BED ()</v>
      </c>
    </row>
    <row r="7916" spans="1:14" x14ac:dyDescent="0.3">
      <c r="A7916" s="1">
        <v>45191</v>
      </c>
      <c r="B7916" t="s">
        <v>42</v>
      </c>
      <c r="C7916" t="s">
        <v>13</v>
      </c>
      <c r="D7916" s="8"/>
      <c r="E7916" s="8"/>
      <c r="M7916" t="s">
        <v>479</v>
      </c>
      <c r="N7916" t="str">
        <f>Tabela_tudo[[#This Row],[Médico]]&amp;" ("&amp;Tabela_tudo[[#This Row],[Obs]]&amp;")"</f>
        <v>SAK ()</v>
      </c>
    </row>
    <row r="7917" spans="1:14" x14ac:dyDescent="0.3">
      <c r="A7917" s="1">
        <v>45110</v>
      </c>
      <c r="B7917" t="s">
        <v>27</v>
      </c>
      <c r="C7917" t="s">
        <v>8</v>
      </c>
      <c r="D7917" s="8"/>
      <c r="E7917" s="8"/>
      <c r="M7917" t="s">
        <v>481</v>
      </c>
      <c r="N7917" t="str">
        <f>Tabela_tudo[[#This Row],[Médico]]&amp;" ("&amp;Tabela_tudo[[#This Row],[Obs]]&amp;")"</f>
        <v>KIL ()</v>
      </c>
    </row>
    <row r="7918" spans="1:14" x14ac:dyDescent="0.3">
      <c r="A7918" s="1">
        <v>45191</v>
      </c>
      <c r="B7918" t="s">
        <v>38</v>
      </c>
      <c r="C7918" t="s">
        <v>10</v>
      </c>
      <c r="D7918" s="8"/>
      <c r="E7918" s="8"/>
      <c r="M7918" t="s">
        <v>481</v>
      </c>
      <c r="N7918" t="str">
        <f>Tabela_tudo[[#This Row],[Médico]]&amp;" ("&amp;Tabela_tudo[[#This Row],[Obs]]&amp;")"</f>
        <v>ORO ()</v>
      </c>
    </row>
    <row r="7919" spans="1:14" x14ac:dyDescent="0.3">
      <c r="A7919" s="1">
        <v>45191</v>
      </c>
      <c r="B7919" t="s">
        <v>112</v>
      </c>
      <c r="C7919" t="s">
        <v>10</v>
      </c>
      <c r="D7919" s="8"/>
      <c r="E7919" s="8"/>
      <c r="M7919" t="s">
        <v>479</v>
      </c>
      <c r="N7919" t="str">
        <f>Tabela_tudo[[#This Row],[Médico]]&amp;" ("&amp;Tabela_tudo[[#This Row],[Obs]]&amp;")"</f>
        <v>FLE ()</v>
      </c>
    </row>
    <row r="7920" spans="1:14" x14ac:dyDescent="0.3">
      <c r="A7920" s="1">
        <v>45191</v>
      </c>
      <c r="B7920" t="s">
        <v>79</v>
      </c>
      <c r="C7920" t="s">
        <v>10</v>
      </c>
      <c r="D7920" s="8"/>
      <c r="E7920" s="8"/>
      <c r="M7920" t="s">
        <v>481</v>
      </c>
      <c r="N7920" t="str">
        <f>Tabela_tudo[[#This Row],[Médico]]&amp;" ("&amp;Tabela_tudo[[#This Row],[Obs]]&amp;")"</f>
        <v>MTB ()</v>
      </c>
    </row>
    <row r="7921" spans="1:14" x14ac:dyDescent="0.3">
      <c r="A7921" s="1">
        <v>45191</v>
      </c>
      <c r="B7921" t="s">
        <v>103</v>
      </c>
      <c r="C7921" t="s">
        <v>10</v>
      </c>
      <c r="D7921" s="8"/>
      <c r="E7921" s="8"/>
      <c r="M7921" t="s">
        <v>481</v>
      </c>
      <c r="N7921" t="str">
        <f>Tabela_tudo[[#This Row],[Médico]]&amp;" ("&amp;Tabela_tudo[[#This Row],[Obs]]&amp;")"</f>
        <v>CAD ()</v>
      </c>
    </row>
    <row r="7922" spans="1:14" x14ac:dyDescent="0.3">
      <c r="A7922" s="1">
        <v>45156</v>
      </c>
      <c r="B7922" t="s">
        <v>36</v>
      </c>
      <c r="C7922" t="s">
        <v>10</v>
      </c>
      <c r="D7922" s="8"/>
      <c r="E7922" s="8"/>
      <c r="M7922" t="s">
        <v>481</v>
      </c>
      <c r="N7922" t="str">
        <f>Tabela_tudo[[#This Row],[Médico]]&amp;" ("&amp;Tabela_tudo[[#This Row],[Obs]]&amp;")"</f>
        <v>DRI ()</v>
      </c>
    </row>
    <row r="7923" spans="1:14" x14ac:dyDescent="0.3">
      <c r="A7923" s="1">
        <v>45156</v>
      </c>
      <c r="B7923" t="s">
        <v>97</v>
      </c>
      <c r="C7923" t="s">
        <v>41</v>
      </c>
      <c r="D7923" s="8"/>
      <c r="E7923" s="8"/>
      <c r="M7923" t="s">
        <v>479</v>
      </c>
      <c r="N7923" t="str">
        <f>Tabela_tudo[[#This Row],[Médico]]&amp;" ("&amp;Tabela_tudo[[#This Row],[Obs]]&amp;")"</f>
        <v>HAR ()</v>
      </c>
    </row>
    <row r="7924" spans="1:14" x14ac:dyDescent="0.3">
      <c r="A7924" s="1">
        <v>45128</v>
      </c>
      <c r="B7924" t="s">
        <v>62</v>
      </c>
      <c r="C7924" t="s">
        <v>13</v>
      </c>
      <c r="D7924" s="8"/>
      <c r="E7924" s="8"/>
      <c r="M7924" t="s">
        <v>477</v>
      </c>
      <c r="N7924" t="str">
        <f>Tabela_tudo[[#This Row],[Médico]]&amp;" ("&amp;Tabela_tudo[[#This Row],[Obs]]&amp;")"</f>
        <v>RKS ()</v>
      </c>
    </row>
    <row r="7925" spans="1:14" x14ac:dyDescent="0.3">
      <c r="A7925" s="1">
        <v>45128</v>
      </c>
      <c r="B7925" t="s">
        <v>35</v>
      </c>
      <c r="C7925" t="s">
        <v>8</v>
      </c>
      <c r="D7925" s="8"/>
      <c r="E7925" s="8"/>
      <c r="M7925" t="s">
        <v>479</v>
      </c>
      <c r="N7925" t="str">
        <f>Tabela_tudo[[#This Row],[Médico]]&amp;" ("&amp;Tabela_tudo[[#This Row],[Obs]]&amp;")"</f>
        <v>FLA ()</v>
      </c>
    </row>
    <row r="7926" spans="1:14" x14ac:dyDescent="0.3">
      <c r="A7926" s="1">
        <v>45156</v>
      </c>
      <c r="B7926" t="s">
        <v>96</v>
      </c>
      <c r="C7926" t="s">
        <v>41</v>
      </c>
      <c r="D7926" s="8"/>
      <c r="E7926" s="8"/>
      <c r="M7926" t="s">
        <v>477</v>
      </c>
      <c r="N7926" t="str">
        <f>Tabela_tudo[[#This Row],[Médico]]&amp;" ("&amp;Tabela_tudo[[#This Row],[Obs]]&amp;")"</f>
        <v>VF ()</v>
      </c>
    </row>
    <row r="7927" spans="1:14" x14ac:dyDescent="0.3">
      <c r="A7927" s="1">
        <v>45126</v>
      </c>
      <c r="B7927" t="s">
        <v>36</v>
      </c>
      <c r="C7927" t="s">
        <v>41</v>
      </c>
      <c r="D7927" s="8"/>
      <c r="E7927" s="8"/>
      <c r="M7927" t="s">
        <v>481</v>
      </c>
      <c r="N7927" t="str">
        <f>Tabela_tudo[[#This Row],[Médico]]&amp;" ("&amp;Tabela_tudo[[#This Row],[Obs]]&amp;")"</f>
        <v>DRI ()</v>
      </c>
    </row>
    <row r="7928" spans="1:14" x14ac:dyDescent="0.3">
      <c r="A7928" s="1">
        <v>45120</v>
      </c>
      <c r="B7928" t="s">
        <v>98</v>
      </c>
      <c r="C7928" t="s">
        <v>8</v>
      </c>
      <c r="D7928" s="8"/>
      <c r="E7928" s="8"/>
      <c r="M7928" t="s">
        <v>479</v>
      </c>
      <c r="N7928" t="str">
        <f>Tabela_tudo[[#This Row],[Médico]]&amp;" ("&amp;Tabela_tudo[[#This Row],[Obs]]&amp;")"</f>
        <v>NIC ()</v>
      </c>
    </row>
    <row r="7929" spans="1:14" x14ac:dyDescent="0.3">
      <c r="A7929" s="1">
        <v>45156</v>
      </c>
      <c r="B7929" t="s">
        <v>27</v>
      </c>
      <c r="C7929" t="s">
        <v>10</v>
      </c>
      <c r="D7929" s="8"/>
      <c r="E7929" s="8"/>
      <c r="M7929" t="s">
        <v>481</v>
      </c>
      <c r="N7929" t="str">
        <f>Tabela_tudo[[#This Row],[Médico]]&amp;" ("&amp;Tabela_tudo[[#This Row],[Obs]]&amp;")"</f>
        <v>KIL ()</v>
      </c>
    </row>
    <row r="7930" spans="1:14" x14ac:dyDescent="0.3">
      <c r="A7930" s="1">
        <v>45174</v>
      </c>
      <c r="B7930" t="s">
        <v>103</v>
      </c>
      <c r="C7930" t="s">
        <v>10</v>
      </c>
      <c r="D7930" s="8"/>
      <c r="E7930" s="8"/>
      <c r="M7930" t="s">
        <v>481</v>
      </c>
      <c r="N7930" t="str">
        <f>Tabela_tudo[[#This Row],[Médico]]&amp;" ("&amp;Tabela_tudo[[#This Row],[Obs]]&amp;")"</f>
        <v>CAD ()</v>
      </c>
    </row>
    <row r="7931" spans="1:14" x14ac:dyDescent="0.3">
      <c r="A7931" s="1">
        <v>45128</v>
      </c>
      <c r="B7931" t="s">
        <v>60</v>
      </c>
      <c r="C7931" t="s">
        <v>41</v>
      </c>
      <c r="D7931" s="8"/>
      <c r="E7931" s="8"/>
      <c r="M7931" t="s">
        <v>477</v>
      </c>
      <c r="N7931" t="str">
        <f>Tabela_tudo[[#This Row],[Médico]]&amp;" ("&amp;Tabela_tudo[[#This Row],[Obs]]&amp;")"</f>
        <v>BMT ()</v>
      </c>
    </row>
    <row r="7932" spans="1:14" x14ac:dyDescent="0.3">
      <c r="A7932" s="1">
        <v>45174</v>
      </c>
      <c r="B7932" t="s">
        <v>79</v>
      </c>
      <c r="C7932" t="s">
        <v>10</v>
      </c>
      <c r="D7932" s="8"/>
      <c r="E7932" s="8"/>
      <c r="M7932" t="s">
        <v>481</v>
      </c>
      <c r="N7932" t="str">
        <f>Tabela_tudo[[#This Row],[Médico]]&amp;" ("&amp;Tabela_tudo[[#This Row],[Obs]]&amp;")"</f>
        <v>MTB ()</v>
      </c>
    </row>
    <row r="7933" spans="1:14" x14ac:dyDescent="0.3">
      <c r="A7933" s="1">
        <v>45174</v>
      </c>
      <c r="B7933" t="s">
        <v>38</v>
      </c>
      <c r="C7933" t="s">
        <v>10</v>
      </c>
      <c r="D7933" s="8"/>
      <c r="E7933" s="8"/>
      <c r="M7933" t="s">
        <v>481</v>
      </c>
      <c r="N7933" t="str">
        <f>Tabela_tudo[[#This Row],[Médico]]&amp;" ("&amp;Tabela_tudo[[#This Row],[Obs]]&amp;")"</f>
        <v>ORO ()</v>
      </c>
    </row>
    <row r="7934" spans="1:14" x14ac:dyDescent="0.3">
      <c r="A7934" s="1">
        <v>45128</v>
      </c>
      <c r="B7934" t="s">
        <v>40</v>
      </c>
      <c r="C7934" t="s">
        <v>10</v>
      </c>
      <c r="D7934" s="8"/>
      <c r="E7934" s="8"/>
      <c r="M7934" t="s">
        <v>481</v>
      </c>
      <c r="N7934" t="str">
        <f>Tabela_tudo[[#This Row],[Médico]]&amp;" ("&amp;Tabela_tudo[[#This Row],[Obs]]&amp;")"</f>
        <v>EMA ()</v>
      </c>
    </row>
    <row r="7935" spans="1:14" x14ac:dyDescent="0.3">
      <c r="A7935" s="1">
        <v>45128</v>
      </c>
      <c r="B7935" t="s">
        <v>103</v>
      </c>
      <c r="C7935" t="s">
        <v>10</v>
      </c>
      <c r="D7935" s="8"/>
      <c r="E7935" s="8"/>
      <c r="M7935" t="s">
        <v>481</v>
      </c>
      <c r="N7935" t="str">
        <f>Tabela_tudo[[#This Row],[Médico]]&amp;" ("&amp;Tabela_tudo[[#This Row],[Obs]]&amp;")"</f>
        <v>CAD ()</v>
      </c>
    </row>
    <row r="7936" spans="1:14" x14ac:dyDescent="0.3">
      <c r="A7936" s="1">
        <v>45128</v>
      </c>
      <c r="B7936" t="s">
        <v>39</v>
      </c>
      <c r="C7936" t="s">
        <v>41</v>
      </c>
      <c r="D7936" s="8"/>
      <c r="E7936" s="8"/>
      <c r="M7936" t="s">
        <v>479</v>
      </c>
      <c r="N7936" t="str">
        <f>Tabela_tudo[[#This Row],[Médico]]&amp;" ("&amp;Tabela_tudo[[#This Row],[Obs]]&amp;")"</f>
        <v>KLA ()</v>
      </c>
    </row>
    <row r="7937" spans="1:14" x14ac:dyDescent="0.3">
      <c r="A7937" s="1">
        <v>45126</v>
      </c>
      <c r="B7937" t="s">
        <v>59</v>
      </c>
      <c r="C7937" t="s">
        <v>41</v>
      </c>
      <c r="D7937" s="8"/>
      <c r="E7937" s="8"/>
      <c r="M7937" t="s">
        <v>477</v>
      </c>
      <c r="N7937" t="str">
        <f>Tabela_tudo[[#This Row],[Médico]]&amp;" ("&amp;Tabela_tudo[[#This Row],[Obs]]&amp;")"</f>
        <v>WEN ()</v>
      </c>
    </row>
    <row r="7938" spans="1:14" x14ac:dyDescent="0.3">
      <c r="A7938" s="1">
        <v>45190</v>
      </c>
      <c r="B7938" t="s">
        <v>79</v>
      </c>
      <c r="C7938" t="s">
        <v>10</v>
      </c>
      <c r="D7938" s="8"/>
      <c r="E7938" s="8"/>
      <c r="M7938" t="s">
        <v>481</v>
      </c>
      <c r="N7938" t="str">
        <f>Tabela_tudo[[#This Row],[Médico]]&amp;" ("&amp;Tabela_tudo[[#This Row],[Obs]]&amp;")"</f>
        <v>MTB ()</v>
      </c>
    </row>
    <row r="7939" spans="1:14" x14ac:dyDescent="0.3">
      <c r="A7939" s="1">
        <v>45190</v>
      </c>
      <c r="B7939" t="s">
        <v>103</v>
      </c>
      <c r="C7939" t="s">
        <v>10</v>
      </c>
      <c r="D7939" s="8"/>
      <c r="E7939" s="8"/>
      <c r="M7939" t="s">
        <v>481</v>
      </c>
      <c r="N7939" t="str">
        <f>Tabela_tudo[[#This Row],[Médico]]&amp;" ("&amp;Tabela_tudo[[#This Row],[Obs]]&amp;")"</f>
        <v>CAD ()</v>
      </c>
    </row>
    <row r="7940" spans="1:14" x14ac:dyDescent="0.3">
      <c r="A7940" s="1">
        <v>45190</v>
      </c>
      <c r="B7940" t="s">
        <v>38</v>
      </c>
      <c r="C7940" t="s">
        <v>10</v>
      </c>
      <c r="D7940" s="8"/>
      <c r="E7940" s="8"/>
      <c r="M7940" t="s">
        <v>481</v>
      </c>
      <c r="N7940" t="str">
        <f>Tabela_tudo[[#This Row],[Médico]]&amp;" ("&amp;Tabela_tudo[[#This Row],[Obs]]&amp;")"</f>
        <v>ORO ()</v>
      </c>
    </row>
    <row r="7941" spans="1:14" x14ac:dyDescent="0.3">
      <c r="A7941" s="1">
        <v>45174</v>
      </c>
      <c r="B7941" t="s">
        <v>36</v>
      </c>
      <c r="C7941" t="s">
        <v>8</v>
      </c>
      <c r="D7941" s="8"/>
      <c r="E7941" s="8"/>
      <c r="M7941" t="s">
        <v>481</v>
      </c>
      <c r="N7941" t="str">
        <f>Tabela_tudo[[#This Row],[Médico]]&amp;" ("&amp;Tabela_tudo[[#This Row],[Obs]]&amp;")"</f>
        <v>DRI ()</v>
      </c>
    </row>
    <row r="7942" spans="1:14" x14ac:dyDescent="0.3">
      <c r="A7942" s="1">
        <v>45190</v>
      </c>
      <c r="B7942" t="s">
        <v>98</v>
      </c>
      <c r="C7942" t="s">
        <v>41</v>
      </c>
      <c r="D7942" s="8"/>
      <c r="E7942" s="8"/>
      <c r="M7942" t="s">
        <v>479</v>
      </c>
      <c r="N7942" t="str">
        <f>Tabela_tudo[[#This Row],[Médico]]&amp;" ("&amp;Tabela_tudo[[#This Row],[Obs]]&amp;")"</f>
        <v>NIC ()</v>
      </c>
    </row>
    <row r="7943" spans="1:14" x14ac:dyDescent="0.3">
      <c r="A7943" s="1">
        <v>45190</v>
      </c>
      <c r="B7943" t="s">
        <v>36</v>
      </c>
      <c r="C7943" t="s">
        <v>41</v>
      </c>
      <c r="D7943" s="8"/>
      <c r="E7943" s="8"/>
      <c r="M7943" t="s">
        <v>481</v>
      </c>
      <c r="N7943" t="str">
        <f>Tabela_tudo[[#This Row],[Médico]]&amp;" ("&amp;Tabela_tudo[[#This Row],[Obs]]&amp;")"</f>
        <v>DRI ()</v>
      </c>
    </row>
    <row r="7944" spans="1:14" x14ac:dyDescent="0.3">
      <c r="A7944" s="1">
        <v>45190</v>
      </c>
      <c r="B7944" t="s">
        <v>112</v>
      </c>
      <c r="C7944" t="s">
        <v>10</v>
      </c>
      <c r="D7944" s="8"/>
      <c r="E7944" s="8"/>
      <c r="M7944" t="s">
        <v>479</v>
      </c>
      <c r="N7944" t="str">
        <f>Tabela_tudo[[#This Row],[Médico]]&amp;" ("&amp;Tabela_tudo[[#This Row],[Obs]]&amp;")"</f>
        <v>FLE ()</v>
      </c>
    </row>
    <row r="7945" spans="1:14" x14ac:dyDescent="0.3">
      <c r="A7945" s="1">
        <v>45126</v>
      </c>
      <c r="B7945" t="s">
        <v>35</v>
      </c>
      <c r="C7945" t="s">
        <v>8</v>
      </c>
      <c r="D7945" s="8"/>
      <c r="E7945" s="8"/>
      <c r="M7945" t="s">
        <v>479</v>
      </c>
      <c r="N7945" t="str">
        <f>Tabela_tudo[[#This Row],[Médico]]&amp;" ("&amp;Tabela_tudo[[#This Row],[Obs]]&amp;")"</f>
        <v>FLA ()</v>
      </c>
    </row>
    <row r="7946" spans="1:14" x14ac:dyDescent="0.3">
      <c r="A7946" s="1">
        <v>45126</v>
      </c>
      <c r="B7946" t="s">
        <v>40</v>
      </c>
      <c r="C7946" t="s">
        <v>10</v>
      </c>
      <c r="D7946" s="8"/>
      <c r="E7946" s="8"/>
      <c r="M7946" t="s">
        <v>481</v>
      </c>
      <c r="N7946" t="str">
        <f>Tabela_tudo[[#This Row],[Médico]]&amp;" ("&amp;Tabela_tudo[[#This Row],[Obs]]&amp;")"</f>
        <v>EMA ()</v>
      </c>
    </row>
    <row r="7947" spans="1:14" x14ac:dyDescent="0.3">
      <c r="A7947" s="1">
        <v>45126</v>
      </c>
      <c r="B7947" t="s">
        <v>103</v>
      </c>
      <c r="C7947" t="s">
        <v>10</v>
      </c>
      <c r="D7947" s="8"/>
      <c r="E7947" s="8"/>
      <c r="M7947" t="s">
        <v>481</v>
      </c>
      <c r="N7947" t="str">
        <f>Tabela_tudo[[#This Row],[Médico]]&amp;" ("&amp;Tabela_tudo[[#This Row],[Obs]]&amp;")"</f>
        <v>CAD ()</v>
      </c>
    </row>
    <row r="7948" spans="1:14" x14ac:dyDescent="0.3">
      <c r="A7948" s="1">
        <v>45126</v>
      </c>
      <c r="B7948" t="s">
        <v>9</v>
      </c>
      <c r="C7948" t="s">
        <v>13</v>
      </c>
      <c r="D7948" s="8"/>
      <c r="E7948" s="8"/>
      <c r="M7948" t="s">
        <v>481</v>
      </c>
      <c r="N7948" t="str">
        <f>Tabela_tudo[[#This Row],[Médico]]&amp;" ("&amp;Tabela_tudo[[#This Row],[Obs]]&amp;")"</f>
        <v>KRE ()</v>
      </c>
    </row>
    <row r="7949" spans="1:14" x14ac:dyDescent="0.3">
      <c r="A7949" s="1">
        <v>45190</v>
      </c>
      <c r="B7949" t="s">
        <v>39</v>
      </c>
      <c r="C7949" t="s">
        <v>8</v>
      </c>
      <c r="D7949" s="8"/>
      <c r="E7949" s="8"/>
      <c r="M7949" t="s">
        <v>479</v>
      </c>
      <c r="N7949" t="str">
        <f>Tabela_tudo[[#This Row],[Médico]]&amp;" ("&amp;Tabela_tudo[[#This Row],[Obs]]&amp;")"</f>
        <v>KLA ()</v>
      </c>
    </row>
    <row r="7950" spans="1:14" x14ac:dyDescent="0.3">
      <c r="A7950" s="1">
        <v>45190</v>
      </c>
      <c r="B7950" t="s">
        <v>61</v>
      </c>
      <c r="C7950" t="s">
        <v>13</v>
      </c>
      <c r="D7950" s="8"/>
      <c r="E7950" s="8"/>
      <c r="M7950" t="s">
        <v>477</v>
      </c>
      <c r="N7950" t="str">
        <f>Tabela_tudo[[#This Row],[Médico]]&amp;" ("&amp;Tabela_tudo[[#This Row],[Obs]]&amp;")"</f>
        <v>AD ()</v>
      </c>
    </row>
    <row r="7951" spans="1:14" x14ac:dyDescent="0.3">
      <c r="A7951" s="1">
        <v>45156</v>
      </c>
      <c r="B7951" t="s">
        <v>79</v>
      </c>
      <c r="C7951" t="s">
        <v>10</v>
      </c>
      <c r="D7951" s="8"/>
      <c r="E7951" s="8"/>
      <c r="M7951" t="s">
        <v>481</v>
      </c>
      <c r="N7951" t="str">
        <f>Tabela_tudo[[#This Row],[Médico]]&amp;" ("&amp;Tabela_tudo[[#This Row],[Obs]]&amp;")"</f>
        <v>MTB ()</v>
      </c>
    </row>
    <row r="7952" spans="1:14" x14ac:dyDescent="0.3">
      <c r="A7952" s="1">
        <v>45160</v>
      </c>
      <c r="B7952" t="s">
        <v>98</v>
      </c>
      <c r="C7952" t="s">
        <v>41</v>
      </c>
      <c r="D7952" s="8"/>
      <c r="E7952" s="8"/>
      <c r="M7952" t="s">
        <v>479</v>
      </c>
      <c r="N7952" t="str">
        <f>Tabela_tudo[[#This Row],[Médico]]&amp;" ("&amp;Tabela_tudo[[#This Row],[Obs]]&amp;")"</f>
        <v>NIC ()</v>
      </c>
    </row>
    <row r="7953" spans="1:14" x14ac:dyDescent="0.3">
      <c r="A7953" s="1">
        <v>45182</v>
      </c>
      <c r="B7953" t="s">
        <v>38</v>
      </c>
      <c r="C7953" t="s">
        <v>10</v>
      </c>
      <c r="D7953" s="8"/>
      <c r="E7953" s="8"/>
      <c r="M7953" t="s">
        <v>481</v>
      </c>
      <c r="N7953" t="str">
        <f>Tabela_tudo[[#This Row],[Médico]]&amp;" ("&amp;Tabela_tudo[[#This Row],[Obs]]&amp;")"</f>
        <v>ORO ()</v>
      </c>
    </row>
    <row r="7954" spans="1:14" x14ac:dyDescent="0.3">
      <c r="A7954" s="1">
        <v>45182</v>
      </c>
      <c r="B7954" t="s">
        <v>36</v>
      </c>
      <c r="C7954" t="s">
        <v>8</v>
      </c>
      <c r="D7954" s="8"/>
      <c r="E7954" s="8"/>
      <c r="M7954" t="s">
        <v>481</v>
      </c>
      <c r="N7954" t="str">
        <f>Tabela_tudo[[#This Row],[Médico]]&amp;" ("&amp;Tabela_tudo[[#This Row],[Obs]]&amp;")"</f>
        <v>DRI ()</v>
      </c>
    </row>
    <row r="7955" spans="1:14" x14ac:dyDescent="0.3">
      <c r="A7955" s="1">
        <v>45182</v>
      </c>
      <c r="B7955" t="s">
        <v>83</v>
      </c>
      <c r="C7955" t="s">
        <v>13</v>
      </c>
      <c r="D7955" s="8"/>
      <c r="E7955" s="8"/>
      <c r="M7955" t="s">
        <v>477</v>
      </c>
      <c r="N7955" t="str">
        <f>Tabela_tudo[[#This Row],[Médico]]&amp;" ("&amp;Tabela_tudo[[#This Row],[Obs]]&amp;")"</f>
        <v>MG ()</v>
      </c>
    </row>
    <row r="7956" spans="1:14" x14ac:dyDescent="0.3">
      <c r="A7956" s="1">
        <v>45170</v>
      </c>
      <c r="B7956" t="s">
        <v>103</v>
      </c>
      <c r="C7956" t="s">
        <v>10</v>
      </c>
      <c r="D7956" s="8"/>
      <c r="E7956" s="8"/>
      <c r="M7956" t="s">
        <v>481</v>
      </c>
      <c r="N7956" t="str">
        <f>Tabela_tudo[[#This Row],[Médico]]&amp;" ("&amp;Tabela_tudo[[#This Row],[Obs]]&amp;")"</f>
        <v>CAD ()</v>
      </c>
    </row>
    <row r="7957" spans="1:14" x14ac:dyDescent="0.3">
      <c r="A7957" s="1">
        <v>45182</v>
      </c>
      <c r="B7957" t="s">
        <v>79</v>
      </c>
      <c r="C7957" t="s">
        <v>10</v>
      </c>
      <c r="D7957" s="8"/>
      <c r="E7957" s="8"/>
      <c r="M7957" t="s">
        <v>481</v>
      </c>
      <c r="N7957" t="str">
        <f>Tabela_tudo[[#This Row],[Médico]]&amp;" ("&amp;Tabela_tudo[[#This Row],[Obs]]&amp;")"</f>
        <v>MTB ()</v>
      </c>
    </row>
    <row r="7958" spans="1:14" x14ac:dyDescent="0.3">
      <c r="A7958" s="1">
        <v>45170</v>
      </c>
      <c r="B7958" t="s">
        <v>79</v>
      </c>
      <c r="C7958" t="s">
        <v>10</v>
      </c>
      <c r="D7958" s="8"/>
      <c r="E7958" s="8"/>
      <c r="M7958" t="s">
        <v>481</v>
      </c>
      <c r="N7958" t="str">
        <f>Tabela_tudo[[#This Row],[Médico]]&amp;" ("&amp;Tabela_tudo[[#This Row],[Obs]]&amp;")"</f>
        <v>MTB ()</v>
      </c>
    </row>
    <row r="7959" spans="1:14" x14ac:dyDescent="0.3">
      <c r="A7959" s="1">
        <v>45182</v>
      </c>
      <c r="B7959" t="s">
        <v>103</v>
      </c>
      <c r="C7959" t="s">
        <v>10</v>
      </c>
      <c r="D7959" s="8"/>
      <c r="E7959" s="8"/>
      <c r="M7959" t="s">
        <v>481</v>
      </c>
      <c r="N7959" t="str">
        <f>Tabela_tudo[[#This Row],[Médico]]&amp;" ("&amp;Tabela_tudo[[#This Row],[Obs]]&amp;")"</f>
        <v>CAD ()</v>
      </c>
    </row>
    <row r="7960" spans="1:14" x14ac:dyDescent="0.3">
      <c r="A7960" s="1">
        <v>45170</v>
      </c>
      <c r="B7960" t="s">
        <v>60</v>
      </c>
      <c r="C7960" t="s">
        <v>8</v>
      </c>
      <c r="D7960" s="8"/>
      <c r="E7960" s="8"/>
      <c r="M7960" t="s">
        <v>477</v>
      </c>
      <c r="N7960" t="str">
        <f>Tabela_tudo[[#This Row],[Médico]]&amp;" ("&amp;Tabela_tudo[[#This Row],[Obs]]&amp;")"</f>
        <v>BMT ()</v>
      </c>
    </row>
    <row r="7961" spans="1:14" x14ac:dyDescent="0.3">
      <c r="A7961" s="1">
        <v>45163</v>
      </c>
      <c r="B7961" t="s">
        <v>96</v>
      </c>
      <c r="C7961" t="s">
        <v>41</v>
      </c>
      <c r="D7961" s="8"/>
      <c r="E7961" s="8"/>
      <c r="M7961" t="s">
        <v>477</v>
      </c>
      <c r="N7961" t="str">
        <f>Tabela_tudo[[#This Row],[Médico]]&amp;" ("&amp;Tabela_tudo[[#This Row],[Obs]]&amp;")"</f>
        <v>VF ()</v>
      </c>
    </row>
    <row r="7962" spans="1:14" x14ac:dyDescent="0.3">
      <c r="A7962" s="1">
        <v>45170</v>
      </c>
      <c r="B7962" t="s">
        <v>38</v>
      </c>
      <c r="C7962" t="s">
        <v>10</v>
      </c>
      <c r="D7962" s="8"/>
      <c r="E7962" s="8"/>
      <c r="M7962" t="s">
        <v>481</v>
      </c>
      <c r="N7962" t="str">
        <f>Tabela_tudo[[#This Row],[Médico]]&amp;" ("&amp;Tabela_tudo[[#This Row],[Obs]]&amp;")"</f>
        <v>ORO ()</v>
      </c>
    </row>
    <row r="7963" spans="1:14" x14ac:dyDescent="0.3">
      <c r="A7963" s="1">
        <v>45170</v>
      </c>
      <c r="B7963" t="s">
        <v>36</v>
      </c>
      <c r="C7963" t="s">
        <v>13</v>
      </c>
      <c r="D7963" s="8"/>
      <c r="E7963" s="8"/>
      <c r="M7963" t="s">
        <v>481</v>
      </c>
      <c r="N7963" t="str">
        <f>Tabela_tudo[[#This Row],[Médico]]&amp;" ("&amp;Tabela_tudo[[#This Row],[Obs]]&amp;")"</f>
        <v>DRI ()</v>
      </c>
    </row>
    <row r="7964" spans="1:14" x14ac:dyDescent="0.3">
      <c r="A7964" s="1">
        <v>45034</v>
      </c>
      <c r="B7964" t="s">
        <v>97</v>
      </c>
      <c r="C7964" t="s">
        <v>10</v>
      </c>
      <c r="D7964" s="8"/>
      <c r="E7964" s="8"/>
      <c r="M7964" t="s">
        <v>479</v>
      </c>
      <c r="N7964" t="str">
        <f>Tabela_tudo[[#This Row],[Médico]]&amp;" ("&amp;Tabela_tudo[[#This Row],[Obs]]&amp;")"</f>
        <v>HAR ()</v>
      </c>
    </row>
    <row r="7965" spans="1:14" x14ac:dyDescent="0.3">
      <c r="A7965" s="1">
        <v>45034</v>
      </c>
      <c r="B7965" t="s">
        <v>40</v>
      </c>
      <c r="C7965" t="s">
        <v>41</v>
      </c>
      <c r="D7965" s="8"/>
      <c r="E7965" s="8"/>
      <c r="M7965" t="s">
        <v>481</v>
      </c>
      <c r="N7965" t="str">
        <f>Tabela_tudo[[#This Row],[Médico]]&amp;" ("&amp;Tabela_tudo[[#This Row],[Obs]]&amp;")"</f>
        <v>EMA ()</v>
      </c>
    </row>
    <row r="7966" spans="1:14" x14ac:dyDescent="0.3">
      <c r="A7966" s="1">
        <v>45034</v>
      </c>
      <c r="B7966" t="s">
        <v>59</v>
      </c>
      <c r="C7966" t="s">
        <v>41</v>
      </c>
      <c r="D7966" s="8"/>
      <c r="E7966" s="8"/>
      <c r="M7966" t="s">
        <v>477</v>
      </c>
      <c r="N7966" t="str">
        <f>Tabela_tudo[[#This Row],[Médico]]&amp;" ("&amp;Tabela_tudo[[#This Row],[Obs]]&amp;")"</f>
        <v>WEN ()</v>
      </c>
    </row>
    <row r="7967" spans="1:14" x14ac:dyDescent="0.3">
      <c r="A7967" s="1">
        <v>45182</v>
      </c>
      <c r="B7967" t="s">
        <v>9</v>
      </c>
      <c r="C7967" t="s">
        <v>41</v>
      </c>
      <c r="D7967" s="8"/>
      <c r="E7967" s="8"/>
      <c r="M7967" t="s">
        <v>481</v>
      </c>
      <c r="N7967" t="str">
        <f>Tabela_tudo[[#This Row],[Médico]]&amp;" ("&amp;Tabela_tudo[[#This Row],[Obs]]&amp;")"</f>
        <v>KRE ()</v>
      </c>
    </row>
    <row r="7968" spans="1:14" x14ac:dyDescent="0.3">
      <c r="A7968" s="1">
        <v>45124</v>
      </c>
      <c r="B7968" t="s">
        <v>40</v>
      </c>
      <c r="C7968" t="s">
        <v>10</v>
      </c>
      <c r="D7968" s="8"/>
      <c r="E7968" s="8"/>
      <c r="M7968" t="s">
        <v>481</v>
      </c>
      <c r="N7968" t="str">
        <f>Tabela_tudo[[#This Row],[Médico]]&amp;" ("&amp;Tabela_tudo[[#This Row],[Obs]]&amp;")"</f>
        <v>EMA ()</v>
      </c>
    </row>
    <row r="7969" spans="1:14" x14ac:dyDescent="0.3">
      <c r="A7969" s="1">
        <v>45163</v>
      </c>
      <c r="B7969" t="s">
        <v>59</v>
      </c>
      <c r="C7969" t="s">
        <v>8</v>
      </c>
      <c r="D7969" s="8"/>
      <c r="E7969" s="8"/>
      <c r="M7969" t="s">
        <v>477</v>
      </c>
      <c r="N7969" t="str">
        <f>Tabela_tudo[[#This Row],[Médico]]&amp;" ("&amp;Tabela_tudo[[#This Row],[Obs]]&amp;")"</f>
        <v>WEN ()</v>
      </c>
    </row>
    <row r="7970" spans="1:14" x14ac:dyDescent="0.3">
      <c r="A7970" s="1">
        <v>45170</v>
      </c>
      <c r="B7970" t="s">
        <v>40</v>
      </c>
      <c r="C7970" t="s">
        <v>41</v>
      </c>
      <c r="D7970" s="8"/>
      <c r="E7970" s="8"/>
      <c r="M7970" t="s">
        <v>481</v>
      </c>
      <c r="N7970" t="str">
        <f>Tabela_tudo[[#This Row],[Médico]]&amp;" ("&amp;Tabela_tudo[[#This Row],[Obs]]&amp;")"</f>
        <v>EMA ()</v>
      </c>
    </row>
    <row r="7971" spans="1:14" x14ac:dyDescent="0.3">
      <c r="A7971" s="1">
        <v>45163</v>
      </c>
      <c r="B7971" t="s">
        <v>98</v>
      </c>
      <c r="C7971" t="s">
        <v>13</v>
      </c>
      <c r="D7971" s="8"/>
      <c r="E7971" s="8"/>
      <c r="M7971" t="s">
        <v>479</v>
      </c>
      <c r="N7971" t="str">
        <f>Tabela_tudo[[#This Row],[Médico]]&amp;" ("&amp;Tabela_tudo[[#This Row],[Obs]]&amp;")"</f>
        <v>NIC ()</v>
      </c>
    </row>
    <row r="7972" spans="1:14" x14ac:dyDescent="0.3">
      <c r="A7972" s="1">
        <v>45124</v>
      </c>
      <c r="B7972" t="s">
        <v>9</v>
      </c>
      <c r="C7972" t="s">
        <v>41</v>
      </c>
      <c r="D7972" s="8"/>
      <c r="E7972" s="8"/>
      <c r="M7972" t="s">
        <v>481</v>
      </c>
      <c r="N7972" t="str">
        <f>Tabela_tudo[[#This Row],[Médico]]&amp;" ("&amp;Tabela_tudo[[#This Row],[Obs]]&amp;")"</f>
        <v>KRE ()</v>
      </c>
    </row>
    <row r="7973" spans="1:14" x14ac:dyDescent="0.3">
      <c r="A7973" s="1">
        <v>45124</v>
      </c>
      <c r="B7973" t="s">
        <v>80</v>
      </c>
      <c r="C7973" t="s">
        <v>41</v>
      </c>
      <c r="D7973" s="8"/>
      <c r="E7973" s="8"/>
      <c r="M7973" t="s">
        <v>477</v>
      </c>
      <c r="N7973" t="str">
        <f>Tabela_tudo[[#This Row],[Médico]]&amp;" ("&amp;Tabela_tudo[[#This Row],[Obs]]&amp;")"</f>
        <v>REC ()</v>
      </c>
    </row>
    <row r="7974" spans="1:14" x14ac:dyDescent="0.3">
      <c r="A7974" s="1">
        <v>45124</v>
      </c>
      <c r="B7974" t="s">
        <v>103</v>
      </c>
      <c r="C7974" t="s">
        <v>10</v>
      </c>
      <c r="D7974" s="8"/>
      <c r="E7974" s="8"/>
      <c r="M7974" t="s">
        <v>481</v>
      </c>
      <c r="N7974" t="str">
        <f>Tabela_tudo[[#This Row],[Médico]]&amp;" ("&amp;Tabela_tudo[[#This Row],[Obs]]&amp;")"</f>
        <v>CAD ()</v>
      </c>
    </row>
    <row r="7975" spans="1:14" x14ac:dyDescent="0.3">
      <c r="A7975" s="1">
        <v>45034</v>
      </c>
      <c r="B7975" t="s">
        <v>57</v>
      </c>
      <c r="C7975" t="s">
        <v>8</v>
      </c>
      <c r="D7975" s="8"/>
      <c r="E7975" s="8"/>
      <c r="M7975" t="s">
        <v>477</v>
      </c>
      <c r="N7975" t="str">
        <f>Tabela_tudo[[#This Row],[Médico]]&amp;" ("&amp;Tabela_tudo[[#This Row],[Obs]]&amp;")"</f>
        <v>BED ()</v>
      </c>
    </row>
    <row r="7976" spans="1:14" x14ac:dyDescent="0.3">
      <c r="A7976" s="1">
        <v>45034</v>
      </c>
      <c r="B7976" t="s">
        <v>36</v>
      </c>
      <c r="C7976" t="s">
        <v>10</v>
      </c>
      <c r="D7976" s="8"/>
      <c r="E7976" s="8"/>
      <c r="M7976" t="s">
        <v>481</v>
      </c>
      <c r="N7976" t="str">
        <f>Tabela_tudo[[#This Row],[Médico]]&amp;" ("&amp;Tabela_tudo[[#This Row],[Obs]]&amp;")"</f>
        <v>DRI ()</v>
      </c>
    </row>
    <row r="7977" spans="1:14" x14ac:dyDescent="0.3">
      <c r="A7977" s="1">
        <v>45182</v>
      </c>
      <c r="B7977" t="s">
        <v>69</v>
      </c>
      <c r="C7977" t="s">
        <v>41</v>
      </c>
      <c r="D7977" s="8"/>
      <c r="E7977" s="8"/>
      <c r="M7977" t="s">
        <v>479</v>
      </c>
      <c r="N7977" t="str">
        <f>Tabela_tudo[[#This Row],[Médico]]&amp;" ("&amp;Tabela_tudo[[#This Row],[Obs]]&amp;")"</f>
        <v>PRE ()</v>
      </c>
    </row>
    <row r="7978" spans="1:14" x14ac:dyDescent="0.3">
      <c r="A7978" s="1">
        <v>45124</v>
      </c>
      <c r="B7978" t="s">
        <v>69</v>
      </c>
      <c r="C7978" t="s">
        <v>13</v>
      </c>
      <c r="D7978" s="8"/>
      <c r="E7978" s="8"/>
      <c r="M7978" t="s">
        <v>479</v>
      </c>
      <c r="N7978" t="str">
        <f>Tabela_tudo[[#This Row],[Médico]]&amp;" ("&amp;Tabela_tudo[[#This Row],[Obs]]&amp;")"</f>
        <v>PRE ()</v>
      </c>
    </row>
    <row r="7979" spans="1:14" x14ac:dyDescent="0.3">
      <c r="A7979" s="1">
        <v>45170</v>
      </c>
      <c r="B7979" t="s">
        <v>69</v>
      </c>
      <c r="C7979" t="s">
        <v>41</v>
      </c>
      <c r="D7979" s="8"/>
      <c r="E7979" s="8"/>
      <c r="M7979" t="s">
        <v>479</v>
      </c>
      <c r="N7979" t="str">
        <f>Tabela_tudo[[#This Row],[Médico]]&amp;" ("&amp;Tabela_tudo[[#This Row],[Obs]]&amp;")"</f>
        <v>PRE ()</v>
      </c>
    </row>
    <row r="7980" spans="1:14" x14ac:dyDescent="0.3">
      <c r="A7980" s="1">
        <v>45124</v>
      </c>
      <c r="B7980" t="s">
        <v>62</v>
      </c>
      <c r="C7980" t="s">
        <v>8</v>
      </c>
      <c r="D7980" s="8"/>
      <c r="E7980" s="8"/>
      <c r="M7980" t="s">
        <v>477</v>
      </c>
      <c r="N7980" t="str">
        <f>Tabela_tudo[[#This Row],[Médico]]&amp;" ("&amp;Tabela_tudo[[#This Row],[Obs]]&amp;")"</f>
        <v>RKS ()</v>
      </c>
    </row>
    <row r="7981" spans="1:14" x14ac:dyDescent="0.3">
      <c r="A7981" s="1">
        <v>45034</v>
      </c>
      <c r="B7981" t="s">
        <v>27</v>
      </c>
      <c r="C7981" t="s">
        <v>13</v>
      </c>
      <c r="D7981" s="8"/>
      <c r="E7981" s="8"/>
      <c r="M7981" t="s">
        <v>481</v>
      </c>
      <c r="N7981" t="str">
        <f>Tabela_tudo[[#This Row],[Médico]]&amp;" ("&amp;Tabela_tudo[[#This Row],[Obs]]&amp;")"</f>
        <v>KIL ()</v>
      </c>
    </row>
    <row r="7982" spans="1:14" x14ac:dyDescent="0.3">
      <c r="A7982" s="1">
        <v>45161</v>
      </c>
      <c r="B7982" t="s">
        <v>112</v>
      </c>
      <c r="C7982" t="s">
        <v>13</v>
      </c>
      <c r="D7982" s="8"/>
      <c r="E7982" s="8"/>
      <c r="M7982" t="s">
        <v>479</v>
      </c>
      <c r="N7982" t="str">
        <f>Tabela_tudo[[#This Row],[Médico]]&amp;" ("&amp;Tabela_tudo[[#This Row],[Obs]]&amp;")"</f>
        <v>FLE ()</v>
      </c>
    </row>
    <row r="7983" spans="1:14" x14ac:dyDescent="0.3">
      <c r="A7983" s="1">
        <v>45161</v>
      </c>
      <c r="B7983" t="s">
        <v>79</v>
      </c>
      <c r="C7983" t="s">
        <v>10</v>
      </c>
      <c r="D7983" s="8"/>
      <c r="E7983" s="8"/>
      <c r="M7983" t="s">
        <v>481</v>
      </c>
      <c r="N7983" t="str">
        <f>Tabela_tudo[[#This Row],[Médico]]&amp;" ("&amp;Tabela_tudo[[#This Row],[Obs]]&amp;")"</f>
        <v>MTB ()</v>
      </c>
    </row>
    <row r="7984" spans="1:14" x14ac:dyDescent="0.3">
      <c r="A7984" s="1">
        <v>45117</v>
      </c>
      <c r="B7984" t="s">
        <v>40</v>
      </c>
      <c r="C7984" t="s">
        <v>10</v>
      </c>
      <c r="D7984" s="8"/>
      <c r="E7984" s="8"/>
      <c r="M7984" t="s">
        <v>481</v>
      </c>
      <c r="N7984" t="str">
        <f>Tabela_tudo[[#This Row],[Médico]]&amp;" ("&amp;Tabela_tudo[[#This Row],[Obs]]&amp;")"</f>
        <v>EMA ()</v>
      </c>
    </row>
    <row r="7985" spans="1:14" x14ac:dyDescent="0.3">
      <c r="A7985" s="1">
        <v>45117</v>
      </c>
      <c r="B7985" t="s">
        <v>103</v>
      </c>
      <c r="C7985" t="s">
        <v>10</v>
      </c>
      <c r="D7985" s="8"/>
      <c r="E7985" s="8"/>
      <c r="M7985" t="s">
        <v>481</v>
      </c>
      <c r="N7985" t="str">
        <f>Tabela_tudo[[#This Row],[Médico]]&amp;" ("&amp;Tabela_tudo[[#This Row],[Obs]]&amp;")"</f>
        <v>CAD ()</v>
      </c>
    </row>
    <row r="7986" spans="1:14" x14ac:dyDescent="0.3">
      <c r="A7986" s="1">
        <v>45117</v>
      </c>
      <c r="B7986" t="s">
        <v>112</v>
      </c>
      <c r="C7986" t="s">
        <v>8</v>
      </c>
      <c r="D7986" s="8"/>
      <c r="E7986" s="8"/>
      <c r="M7986" t="s">
        <v>479</v>
      </c>
      <c r="N7986" t="str">
        <f>Tabela_tudo[[#This Row],[Médico]]&amp;" ("&amp;Tabela_tudo[[#This Row],[Obs]]&amp;")"</f>
        <v>FLE ()</v>
      </c>
    </row>
    <row r="7987" spans="1:14" x14ac:dyDescent="0.3">
      <c r="A7987" s="1">
        <v>45161</v>
      </c>
      <c r="B7987" t="s">
        <v>40</v>
      </c>
      <c r="C7987" t="s">
        <v>10</v>
      </c>
      <c r="D7987" s="8"/>
      <c r="E7987" s="8"/>
      <c r="M7987" t="s">
        <v>481</v>
      </c>
      <c r="N7987" t="str">
        <f>Tabela_tudo[[#This Row],[Médico]]&amp;" ("&amp;Tabela_tudo[[#This Row],[Obs]]&amp;")"</f>
        <v>EMA ()</v>
      </c>
    </row>
    <row r="7988" spans="1:14" x14ac:dyDescent="0.3">
      <c r="A7988" s="1">
        <v>45161</v>
      </c>
      <c r="B7988" t="s">
        <v>36</v>
      </c>
      <c r="C7988" t="s">
        <v>10</v>
      </c>
      <c r="D7988" s="8"/>
      <c r="E7988" s="8"/>
      <c r="M7988" t="s">
        <v>481</v>
      </c>
      <c r="N7988" t="str">
        <f>Tabela_tudo[[#This Row],[Médico]]&amp;" ("&amp;Tabela_tudo[[#This Row],[Obs]]&amp;")"</f>
        <v>DRI ()</v>
      </c>
    </row>
    <row r="7989" spans="1:14" x14ac:dyDescent="0.3">
      <c r="A7989" s="1">
        <v>45117</v>
      </c>
      <c r="B7989" t="s">
        <v>57</v>
      </c>
      <c r="C7989" t="s">
        <v>13</v>
      </c>
      <c r="D7989" s="8"/>
      <c r="E7989" s="8"/>
      <c r="M7989" t="s">
        <v>477</v>
      </c>
      <c r="N7989" t="str">
        <f>Tabela_tudo[[#This Row],[Médico]]&amp;" ("&amp;Tabela_tudo[[#This Row],[Obs]]&amp;")"</f>
        <v>BED ()</v>
      </c>
    </row>
    <row r="7990" spans="1:14" x14ac:dyDescent="0.3">
      <c r="A7990" s="1">
        <v>45175</v>
      </c>
      <c r="B7990" t="s">
        <v>79</v>
      </c>
      <c r="C7990" t="s">
        <v>10</v>
      </c>
      <c r="D7990" s="8"/>
      <c r="E7990" s="8"/>
      <c r="M7990" t="s">
        <v>481</v>
      </c>
      <c r="N7990" t="str">
        <f>Tabela_tudo[[#This Row],[Médico]]&amp;" ("&amp;Tabela_tudo[[#This Row],[Obs]]&amp;")"</f>
        <v>MTB ()</v>
      </c>
    </row>
    <row r="7991" spans="1:14" x14ac:dyDescent="0.3">
      <c r="A7991" s="1">
        <v>45175</v>
      </c>
      <c r="B7991" t="s">
        <v>103</v>
      </c>
      <c r="C7991" t="s">
        <v>10</v>
      </c>
      <c r="D7991" s="8"/>
      <c r="E7991" s="8"/>
      <c r="M7991" t="s">
        <v>481</v>
      </c>
      <c r="N7991" t="str">
        <f>Tabela_tudo[[#This Row],[Médico]]&amp;" ("&amp;Tabela_tudo[[#This Row],[Obs]]&amp;")"</f>
        <v>CAD ()</v>
      </c>
    </row>
    <row r="7992" spans="1:14" x14ac:dyDescent="0.3">
      <c r="A7992" s="1">
        <v>45175</v>
      </c>
      <c r="B7992" t="s">
        <v>38</v>
      </c>
      <c r="C7992" t="s">
        <v>10</v>
      </c>
      <c r="D7992" s="8"/>
      <c r="E7992" s="8"/>
      <c r="M7992" t="s">
        <v>481</v>
      </c>
      <c r="N7992" t="str">
        <f>Tabela_tudo[[#This Row],[Médico]]&amp;" ("&amp;Tabela_tudo[[#This Row],[Obs]]&amp;")"</f>
        <v>ORO ()</v>
      </c>
    </row>
    <row r="7993" spans="1:14" x14ac:dyDescent="0.3">
      <c r="A7993" s="1">
        <v>45175</v>
      </c>
      <c r="B7993" t="s">
        <v>109</v>
      </c>
      <c r="C7993" t="s">
        <v>41</v>
      </c>
      <c r="D7993" s="8"/>
      <c r="E7993" s="8"/>
      <c r="M7993" t="s">
        <v>479</v>
      </c>
      <c r="N7993" t="str">
        <f>Tabela_tudo[[#This Row],[Médico]]&amp;" ("&amp;Tabela_tudo[[#This Row],[Obs]]&amp;")"</f>
        <v>CA ()</v>
      </c>
    </row>
    <row r="7994" spans="1:14" x14ac:dyDescent="0.3">
      <c r="A7994" s="1">
        <v>45117</v>
      </c>
      <c r="B7994" t="s">
        <v>35</v>
      </c>
      <c r="C7994" t="s">
        <v>10</v>
      </c>
      <c r="D7994" s="8"/>
      <c r="E7994" s="8"/>
      <c r="M7994" t="s">
        <v>479</v>
      </c>
      <c r="N7994" t="str">
        <f>Tabela_tudo[[#This Row],[Médico]]&amp;" ("&amp;Tabela_tudo[[#This Row],[Obs]]&amp;")"</f>
        <v>FLA ()</v>
      </c>
    </row>
    <row r="7995" spans="1:14" x14ac:dyDescent="0.3">
      <c r="A7995" s="1">
        <v>45117</v>
      </c>
      <c r="B7995" t="s">
        <v>96</v>
      </c>
      <c r="C7995" t="s">
        <v>41</v>
      </c>
      <c r="D7995" s="8"/>
      <c r="E7995" s="8"/>
      <c r="M7995" t="s">
        <v>477</v>
      </c>
      <c r="N7995" t="str">
        <f>Tabela_tudo[[#This Row],[Médico]]&amp;" ("&amp;Tabela_tudo[[#This Row],[Obs]]&amp;")"</f>
        <v>VF ()</v>
      </c>
    </row>
    <row r="7996" spans="1:14" x14ac:dyDescent="0.3">
      <c r="A7996" s="1">
        <v>45175</v>
      </c>
      <c r="B7996" t="s">
        <v>36</v>
      </c>
      <c r="C7996" t="s">
        <v>41</v>
      </c>
      <c r="D7996" s="8"/>
      <c r="E7996" s="8"/>
      <c r="M7996" t="s">
        <v>481</v>
      </c>
      <c r="N7996" t="str">
        <f>Tabela_tudo[[#This Row],[Médico]]&amp;" ("&amp;Tabela_tudo[[#This Row],[Obs]]&amp;")"</f>
        <v>DRI ()</v>
      </c>
    </row>
    <row r="7997" spans="1:14" x14ac:dyDescent="0.3">
      <c r="A7997" s="1">
        <v>45161</v>
      </c>
      <c r="B7997" t="s">
        <v>103</v>
      </c>
      <c r="C7997" t="s">
        <v>41</v>
      </c>
      <c r="D7997" s="8"/>
      <c r="E7997" s="8"/>
      <c r="M7997" t="s">
        <v>481</v>
      </c>
      <c r="N7997" t="str">
        <f>Tabela_tudo[[#This Row],[Médico]]&amp;" ("&amp;Tabela_tudo[[#This Row],[Obs]]&amp;")"</f>
        <v>CAD ()</v>
      </c>
    </row>
    <row r="7998" spans="1:14" x14ac:dyDescent="0.3">
      <c r="A7998" s="1">
        <v>45181</v>
      </c>
      <c r="B7998" t="s">
        <v>103</v>
      </c>
      <c r="C7998" t="s">
        <v>10</v>
      </c>
      <c r="D7998" s="8"/>
      <c r="E7998" s="8"/>
      <c r="M7998" t="s">
        <v>481</v>
      </c>
      <c r="N7998" t="str">
        <f>Tabela_tudo[[#This Row],[Médico]]&amp;" ("&amp;Tabela_tudo[[#This Row],[Obs]]&amp;")"</f>
        <v>CAD ()</v>
      </c>
    </row>
    <row r="7999" spans="1:14" x14ac:dyDescent="0.3">
      <c r="A7999" s="1">
        <v>45181</v>
      </c>
      <c r="B7999" t="s">
        <v>38</v>
      </c>
      <c r="C7999" t="s">
        <v>10</v>
      </c>
      <c r="D7999" s="8"/>
      <c r="E7999" s="8"/>
      <c r="M7999" t="s">
        <v>481</v>
      </c>
      <c r="N7999" t="str">
        <f>Tabela_tudo[[#This Row],[Médico]]&amp;" ("&amp;Tabela_tudo[[#This Row],[Obs]]&amp;")"</f>
        <v>ORO ()</v>
      </c>
    </row>
    <row r="8000" spans="1:14" x14ac:dyDescent="0.3">
      <c r="A8000" s="1">
        <v>45181</v>
      </c>
      <c r="B8000" t="s">
        <v>69</v>
      </c>
      <c r="C8000" t="s">
        <v>8</v>
      </c>
      <c r="D8000" s="8"/>
      <c r="E8000" s="8"/>
      <c r="M8000" t="s">
        <v>479</v>
      </c>
      <c r="N8000" t="str">
        <f>Tabela_tudo[[#This Row],[Médico]]&amp;" ("&amp;Tabela_tudo[[#This Row],[Obs]]&amp;")"</f>
        <v>PRE ()</v>
      </c>
    </row>
    <row r="8001" spans="1:14" x14ac:dyDescent="0.3">
      <c r="A8001" s="1">
        <v>45181</v>
      </c>
      <c r="B8001" t="s">
        <v>79</v>
      </c>
      <c r="C8001" t="s">
        <v>10</v>
      </c>
      <c r="D8001" s="8"/>
      <c r="E8001" s="8"/>
      <c r="M8001" t="s">
        <v>481</v>
      </c>
      <c r="N8001" t="str">
        <f>Tabela_tudo[[#This Row],[Médico]]&amp;" ("&amp;Tabela_tudo[[#This Row],[Obs]]&amp;")"</f>
        <v>MTB ()</v>
      </c>
    </row>
    <row r="8002" spans="1:14" x14ac:dyDescent="0.3">
      <c r="A8002" s="1">
        <v>45161</v>
      </c>
      <c r="B8002" t="s">
        <v>149</v>
      </c>
      <c r="C8002" t="s">
        <v>8</v>
      </c>
      <c r="D8002" s="8"/>
      <c r="E8002" s="8"/>
      <c r="M8002" t="s">
        <v>477</v>
      </c>
      <c r="N8002" t="str">
        <f>Tabela_tudo[[#This Row],[Médico]]&amp;" ("&amp;Tabela_tudo[[#This Row],[Obs]]&amp;")"</f>
        <v>NF ()</v>
      </c>
    </row>
    <row r="8003" spans="1:14" x14ac:dyDescent="0.3">
      <c r="A8003" s="1">
        <v>45181</v>
      </c>
      <c r="B8003" t="s">
        <v>61</v>
      </c>
      <c r="C8003" t="s">
        <v>41</v>
      </c>
      <c r="D8003" s="8"/>
      <c r="E8003" s="8"/>
      <c r="M8003" t="s">
        <v>477</v>
      </c>
      <c r="N8003" t="str">
        <f>Tabela_tudo[[#This Row],[Médico]]&amp;" ("&amp;Tabela_tudo[[#This Row],[Obs]]&amp;")"</f>
        <v>AD ()</v>
      </c>
    </row>
    <row r="8004" spans="1:14" x14ac:dyDescent="0.3">
      <c r="A8004" s="1">
        <v>45181</v>
      </c>
      <c r="B8004" t="s">
        <v>112</v>
      </c>
      <c r="C8004" t="s">
        <v>41</v>
      </c>
      <c r="D8004" s="8"/>
      <c r="E8004" s="8"/>
      <c r="M8004" t="s">
        <v>479</v>
      </c>
      <c r="N8004" t="str">
        <f>Tabela_tudo[[#This Row],[Médico]]&amp;" ("&amp;Tabela_tudo[[#This Row],[Obs]]&amp;")"</f>
        <v>FLE ()</v>
      </c>
    </row>
    <row r="8005" spans="1:14" x14ac:dyDescent="0.3">
      <c r="A8005" s="1">
        <v>45175</v>
      </c>
      <c r="B8005" t="s">
        <v>59</v>
      </c>
      <c r="C8005" t="s">
        <v>13</v>
      </c>
      <c r="D8005" s="8"/>
      <c r="E8005" s="8"/>
      <c r="M8005" t="s">
        <v>477</v>
      </c>
      <c r="N8005" t="str">
        <f>Tabela_tudo[[#This Row],[Médico]]&amp;" ("&amp;Tabela_tudo[[#This Row],[Obs]]&amp;")"</f>
        <v>WEN ()</v>
      </c>
    </row>
    <row r="8006" spans="1:14" x14ac:dyDescent="0.3">
      <c r="A8006" s="1">
        <v>45175</v>
      </c>
      <c r="B8006" t="s">
        <v>112</v>
      </c>
      <c r="C8006" t="s">
        <v>8</v>
      </c>
      <c r="D8006" s="8"/>
      <c r="E8006" s="8"/>
      <c r="M8006" t="s">
        <v>479</v>
      </c>
      <c r="N8006" t="str">
        <f>Tabela_tudo[[#This Row],[Médico]]&amp;" ("&amp;Tabela_tudo[[#This Row],[Obs]]&amp;")"</f>
        <v>FLE ()</v>
      </c>
    </row>
    <row r="8007" spans="1:14" x14ac:dyDescent="0.3">
      <c r="A8007" s="1">
        <v>45161</v>
      </c>
      <c r="B8007" t="s">
        <v>83</v>
      </c>
      <c r="C8007" t="s">
        <v>41</v>
      </c>
      <c r="D8007" s="8"/>
      <c r="E8007" s="8"/>
      <c r="M8007" t="s">
        <v>477</v>
      </c>
      <c r="N8007" t="str">
        <f>Tabela_tudo[[#This Row],[Médico]]&amp;" ("&amp;Tabela_tudo[[#This Row],[Obs]]&amp;")"</f>
        <v>MG ()</v>
      </c>
    </row>
    <row r="8008" spans="1:14" x14ac:dyDescent="0.3">
      <c r="A8008" s="1">
        <v>45117</v>
      </c>
      <c r="B8008" t="s">
        <v>97</v>
      </c>
      <c r="C8008" t="s">
        <v>41</v>
      </c>
      <c r="D8008" s="8"/>
      <c r="E8008" s="8"/>
      <c r="M8008" t="s">
        <v>479</v>
      </c>
      <c r="N8008" t="str">
        <f>Tabela_tudo[[#This Row],[Médico]]&amp;" ("&amp;Tabela_tudo[[#This Row],[Obs]]&amp;")"</f>
        <v>HAR ()</v>
      </c>
    </row>
    <row r="8009" spans="1:14" x14ac:dyDescent="0.3">
      <c r="A8009" s="1">
        <v>45181</v>
      </c>
      <c r="B8009" t="s">
        <v>9</v>
      </c>
      <c r="C8009" t="s">
        <v>13</v>
      </c>
      <c r="D8009" s="8"/>
      <c r="E8009" s="8"/>
      <c r="M8009" t="s">
        <v>481</v>
      </c>
      <c r="N8009" t="str">
        <f>Tabela_tudo[[#This Row],[Médico]]&amp;" ("&amp;Tabela_tudo[[#This Row],[Obs]]&amp;")"</f>
        <v>KRE ()</v>
      </c>
    </row>
    <row r="8010" spans="1:14" x14ac:dyDescent="0.3">
      <c r="A8010" s="1">
        <v>45161</v>
      </c>
      <c r="B8010" t="s">
        <v>27</v>
      </c>
      <c r="C8010" t="s">
        <v>10</v>
      </c>
      <c r="D8010" s="8"/>
      <c r="E8010" s="8"/>
      <c r="M8010" t="s">
        <v>481</v>
      </c>
      <c r="N8010" t="str">
        <f>Tabela_tudo[[#This Row],[Médico]]&amp;" ("&amp;Tabela_tudo[[#This Row],[Obs]]&amp;")"</f>
        <v>KIL ()</v>
      </c>
    </row>
    <row r="8011" spans="1:14" x14ac:dyDescent="0.3">
      <c r="A8011" s="1">
        <v>45117</v>
      </c>
      <c r="B8011" t="s">
        <v>27</v>
      </c>
      <c r="C8011" t="s">
        <v>41</v>
      </c>
      <c r="D8011" s="8"/>
      <c r="E8011" s="8"/>
      <c r="M8011" t="s">
        <v>481</v>
      </c>
      <c r="N8011" t="str">
        <f>Tabela_tudo[[#This Row],[Médico]]&amp;" ("&amp;Tabela_tudo[[#This Row],[Obs]]&amp;")"</f>
        <v>KIL ()</v>
      </c>
    </row>
    <row r="8012" spans="1:14" x14ac:dyDescent="0.3">
      <c r="A8012" s="1">
        <v>45113</v>
      </c>
      <c r="B8012" t="s">
        <v>79</v>
      </c>
      <c r="C8012" t="s">
        <v>8</v>
      </c>
      <c r="D8012" s="8"/>
      <c r="E8012" s="8"/>
      <c r="M8012" t="s">
        <v>481</v>
      </c>
      <c r="N8012" t="str">
        <f>Tabela_tudo[[#This Row],[Médico]]&amp;" ("&amp;Tabela_tudo[[#This Row],[Obs]]&amp;")"</f>
        <v>MTB ()</v>
      </c>
    </row>
    <row r="8013" spans="1:14" x14ac:dyDescent="0.3">
      <c r="A8013" s="1">
        <v>45113</v>
      </c>
      <c r="B8013" t="s">
        <v>40</v>
      </c>
      <c r="C8013" t="s">
        <v>10</v>
      </c>
      <c r="D8013" s="8"/>
      <c r="E8013" s="8"/>
      <c r="M8013" t="s">
        <v>481</v>
      </c>
      <c r="N8013" t="str">
        <f>Tabela_tudo[[#This Row],[Médico]]&amp;" ("&amp;Tabela_tudo[[#This Row],[Obs]]&amp;")"</f>
        <v>EMA ()</v>
      </c>
    </row>
    <row r="8014" spans="1:14" x14ac:dyDescent="0.3">
      <c r="A8014" s="1">
        <v>45113</v>
      </c>
      <c r="B8014" t="s">
        <v>103</v>
      </c>
      <c r="C8014" t="s">
        <v>10</v>
      </c>
      <c r="D8014" s="8"/>
      <c r="E8014" s="8"/>
      <c r="M8014" t="s">
        <v>481</v>
      </c>
      <c r="N8014" t="str">
        <f>Tabela_tudo[[#This Row],[Médico]]&amp;" ("&amp;Tabela_tudo[[#This Row],[Obs]]&amp;")"</f>
        <v>CAD ()</v>
      </c>
    </row>
    <row r="8015" spans="1:14" x14ac:dyDescent="0.3">
      <c r="A8015" s="1">
        <v>45186</v>
      </c>
      <c r="B8015" t="s">
        <v>109</v>
      </c>
      <c r="C8015" t="s">
        <v>13</v>
      </c>
      <c r="D8015" s="8"/>
      <c r="E8015" s="8"/>
      <c r="M8015" t="s">
        <v>479</v>
      </c>
      <c r="N8015" t="str">
        <f>Tabela_tudo[[#This Row],[Médico]]&amp;" ("&amp;Tabela_tudo[[#This Row],[Obs]]&amp;")"</f>
        <v>CA ()</v>
      </c>
    </row>
    <row r="8016" spans="1:14" x14ac:dyDescent="0.3">
      <c r="A8016" s="1">
        <v>45118</v>
      </c>
      <c r="B8016" t="s">
        <v>42</v>
      </c>
      <c r="C8016" t="s">
        <v>8</v>
      </c>
      <c r="D8016" s="8"/>
      <c r="E8016" s="8"/>
      <c r="M8016" t="s">
        <v>479</v>
      </c>
      <c r="N8016" t="str">
        <f>Tabela_tudo[[#This Row],[Médico]]&amp;" ("&amp;Tabela_tudo[[#This Row],[Obs]]&amp;")"</f>
        <v>SAK ()</v>
      </c>
    </row>
    <row r="8017" spans="1:14" x14ac:dyDescent="0.3">
      <c r="A8017" s="1">
        <v>45186</v>
      </c>
      <c r="B8017" t="s">
        <v>27</v>
      </c>
      <c r="C8017" t="s">
        <v>78</v>
      </c>
      <c r="D8017" s="8"/>
      <c r="E8017" s="8"/>
      <c r="M8017" t="s">
        <v>481</v>
      </c>
      <c r="N8017" t="str">
        <f>Tabela_tudo[[#This Row],[Médico]]&amp;" ("&amp;Tabela_tudo[[#This Row],[Obs]]&amp;")"</f>
        <v>KIL ()</v>
      </c>
    </row>
    <row r="8018" spans="1:14" x14ac:dyDescent="0.3">
      <c r="A8018" s="1">
        <v>45186</v>
      </c>
      <c r="B8018" t="s">
        <v>59</v>
      </c>
      <c r="C8018" t="s">
        <v>8</v>
      </c>
      <c r="D8018" s="8"/>
      <c r="E8018" s="8"/>
      <c r="M8018" t="s">
        <v>477</v>
      </c>
      <c r="N8018" t="str">
        <f>Tabela_tudo[[#This Row],[Médico]]&amp;" ("&amp;Tabela_tudo[[#This Row],[Obs]]&amp;")"</f>
        <v>WEN ()</v>
      </c>
    </row>
    <row r="8019" spans="1:14" x14ac:dyDescent="0.3">
      <c r="A8019" s="1">
        <v>45185</v>
      </c>
      <c r="B8019" t="s">
        <v>38</v>
      </c>
      <c r="C8019" t="s">
        <v>10</v>
      </c>
      <c r="D8019" s="8"/>
      <c r="E8019" s="8"/>
      <c r="M8019" t="s">
        <v>481</v>
      </c>
      <c r="N8019" t="str">
        <f>Tabela_tudo[[#This Row],[Médico]]&amp;" ("&amp;Tabela_tudo[[#This Row],[Obs]]&amp;")"</f>
        <v>ORO ()</v>
      </c>
    </row>
    <row r="8020" spans="1:14" x14ac:dyDescent="0.3">
      <c r="A8020" s="1">
        <v>45185</v>
      </c>
      <c r="B8020" t="s">
        <v>27</v>
      </c>
      <c r="C8020" t="s">
        <v>78</v>
      </c>
      <c r="D8020" s="8"/>
      <c r="E8020" s="8"/>
      <c r="M8020" t="s">
        <v>481</v>
      </c>
      <c r="N8020" t="str">
        <f>Tabela_tudo[[#This Row],[Médico]]&amp;" ("&amp;Tabela_tudo[[#This Row],[Obs]]&amp;")"</f>
        <v>KIL ()</v>
      </c>
    </row>
    <row r="8021" spans="1:14" x14ac:dyDescent="0.3">
      <c r="A8021" s="1">
        <v>45185</v>
      </c>
      <c r="B8021" t="s">
        <v>59</v>
      </c>
      <c r="C8021" t="s">
        <v>8</v>
      </c>
      <c r="D8021" s="8"/>
      <c r="E8021" s="8"/>
      <c r="M8021" t="s">
        <v>477</v>
      </c>
      <c r="N8021" t="str">
        <f>Tabela_tudo[[#This Row],[Médico]]&amp;" ("&amp;Tabela_tudo[[#This Row],[Obs]]&amp;")"</f>
        <v>WEN ()</v>
      </c>
    </row>
    <row r="8022" spans="1:14" x14ac:dyDescent="0.3">
      <c r="A8022" s="1">
        <v>45185</v>
      </c>
      <c r="B8022" t="s">
        <v>103</v>
      </c>
      <c r="C8022" t="s">
        <v>10</v>
      </c>
      <c r="D8022" s="8"/>
      <c r="E8022" s="8"/>
      <c r="M8022" t="s">
        <v>481</v>
      </c>
      <c r="N8022" t="str">
        <f>Tabela_tudo[[#This Row],[Médico]]&amp;" ("&amp;Tabela_tudo[[#This Row],[Obs]]&amp;")"</f>
        <v>CAD ()</v>
      </c>
    </row>
    <row r="8023" spans="1:14" x14ac:dyDescent="0.3">
      <c r="A8023" s="1">
        <v>45118</v>
      </c>
      <c r="B8023" t="s">
        <v>79</v>
      </c>
      <c r="C8023" t="s">
        <v>13</v>
      </c>
      <c r="D8023" s="8"/>
      <c r="E8023" s="8"/>
      <c r="M8023" t="s">
        <v>481</v>
      </c>
      <c r="N8023" t="str">
        <f>Tabela_tudo[[#This Row],[Médico]]&amp;" ("&amp;Tabela_tudo[[#This Row],[Obs]]&amp;")"</f>
        <v>MTB ()</v>
      </c>
    </row>
    <row r="8024" spans="1:14" x14ac:dyDescent="0.3">
      <c r="A8024" s="1">
        <v>45185</v>
      </c>
      <c r="B8024" t="s">
        <v>112</v>
      </c>
      <c r="C8024" t="s">
        <v>10</v>
      </c>
      <c r="D8024" s="8"/>
      <c r="E8024" s="8"/>
      <c r="M8024" t="s">
        <v>479</v>
      </c>
      <c r="N8024" t="str">
        <f>Tabela_tudo[[#This Row],[Médico]]&amp;" ("&amp;Tabela_tudo[[#This Row],[Obs]]&amp;")"</f>
        <v>FLE ()</v>
      </c>
    </row>
    <row r="8025" spans="1:14" x14ac:dyDescent="0.3">
      <c r="A8025" s="1">
        <v>45185</v>
      </c>
      <c r="B8025" t="s">
        <v>79</v>
      </c>
      <c r="C8025" t="s">
        <v>10</v>
      </c>
      <c r="D8025" s="8"/>
      <c r="E8025" s="8"/>
      <c r="M8025" t="s">
        <v>481</v>
      </c>
      <c r="N8025" t="str">
        <f>Tabela_tudo[[#This Row],[Médico]]&amp;" ("&amp;Tabela_tudo[[#This Row],[Obs]]&amp;")"</f>
        <v>MTB ()</v>
      </c>
    </row>
    <row r="8026" spans="1:14" x14ac:dyDescent="0.3">
      <c r="A8026" s="1">
        <v>45113</v>
      </c>
      <c r="B8026" t="s">
        <v>109</v>
      </c>
      <c r="C8026" t="s">
        <v>13</v>
      </c>
      <c r="D8026" s="8"/>
      <c r="E8026" s="8"/>
      <c r="M8026" t="s">
        <v>479</v>
      </c>
      <c r="N8026" t="str">
        <f>Tabela_tudo[[#This Row],[Médico]]&amp;" ("&amp;Tabela_tudo[[#This Row],[Obs]]&amp;")"</f>
        <v>CA ()</v>
      </c>
    </row>
    <row r="8027" spans="1:14" x14ac:dyDescent="0.3">
      <c r="A8027" s="1">
        <v>45118</v>
      </c>
      <c r="B8027" t="s">
        <v>103</v>
      </c>
      <c r="C8027" t="s">
        <v>10</v>
      </c>
      <c r="D8027" s="8"/>
      <c r="E8027" s="8"/>
      <c r="M8027" t="s">
        <v>481</v>
      </c>
      <c r="N8027" t="str">
        <f>Tabela_tudo[[#This Row],[Médico]]&amp;" ("&amp;Tabela_tudo[[#This Row],[Obs]]&amp;")"</f>
        <v>CAD ()</v>
      </c>
    </row>
    <row r="8028" spans="1:14" x14ac:dyDescent="0.3">
      <c r="A8028" s="1">
        <v>45187</v>
      </c>
      <c r="B8028" t="s">
        <v>112</v>
      </c>
      <c r="C8028" t="s">
        <v>10</v>
      </c>
      <c r="D8028" s="8"/>
      <c r="E8028" s="8"/>
      <c r="M8028" t="s">
        <v>479</v>
      </c>
      <c r="N8028" t="str">
        <f>Tabela_tudo[[#This Row],[Médico]]&amp;" ("&amp;Tabela_tudo[[#This Row],[Obs]]&amp;")"</f>
        <v>FLE ()</v>
      </c>
    </row>
    <row r="8029" spans="1:14" x14ac:dyDescent="0.3">
      <c r="A8029" s="1">
        <v>45187</v>
      </c>
      <c r="B8029" t="s">
        <v>79</v>
      </c>
      <c r="C8029" t="s">
        <v>10</v>
      </c>
      <c r="D8029" s="8"/>
      <c r="E8029" s="8"/>
      <c r="M8029" t="s">
        <v>481</v>
      </c>
      <c r="N8029" t="str">
        <f>Tabela_tudo[[#This Row],[Médico]]&amp;" ("&amp;Tabela_tudo[[#This Row],[Obs]]&amp;")"</f>
        <v>MTB ()</v>
      </c>
    </row>
    <row r="8030" spans="1:14" x14ac:dyDescent="0.3">
      <c r="A8030" s="1">
        <v>45118</v>
      </c>
      <c r="B8030" t="s">
        <v>35</v>
      </c>
      <c r="C8030" t="s">
        <v>10</v>
      </c>
      <c r="D8030" s="8"/>
      <c r="E8030" s="8"/>
      <c r="M8030" t="s">
        <v>479</v>
      </c>
      <c r="N8030" t="str">
        <f>Tabela_tudo[[#This Row],[Médico]]&amp;" ("&amp;Tabela_tudo[[#This Row],[Obs]]&amp;")"</f>
        <v>FLA ()</v>
      </c>
    </row>
    <row r="8031" spans="1:14" x14ac:dyDescent="0.3">
      <c r="A8031" s="1">
        <v>45187</v>
      </c>
      <c r="B8031" t="s">
        <v>27</v>
      </c>
      <c r="C8031" t="s">
        <v>41</v>
      </c>
      <c r="D8031" s="8"/>
      <c r="E8031" s="8"/>
      <c r="M8031" t="s">
        <v>481</v>
      </c>
      <c r="N8031" t="str">
        <f>Tabela_tudo[[#This Row],[Médico]]&amp;" ("&amp;Tabela_tudo[[#This Row],[Obs]]&amp;")"</f>
        <v>KIL ()</v>
      </c>
    </row>
    <row r="8032" spans="1:14" x14ac:dyDescent="0.3">
      <c r="A8032" s="1">
        <v>45187</v>
      </c>
      <c r="B8032" t="s">
        <v>59</v>
      </c>
      <c r="C8032" t="s">
        <v>41</v>
      </c>
      <c r="D8032" s="8"/>
      <c r="E8032" s="8"/>
      <c r="M8032" t="s">
        <v>477</v>
      </c>
      <c r="N8032" t="str">
        <f>Tabela_tudo[[#This Row],[Médico]]&amp;" ("&amp;Tabela_tudo[[#This Row],[Obs]]&amp;")"</f>
        <v>WEN ()</v>
      </c>
    </row>
    <row r="8033" spans="1:14" x14ac:dyDescent="0.3">
      <c r="A8033" s="1">
        <v>45187</v>
      </c>
      <c r="B8033" t="s">
        <v>109</v>
      </c>
      <c r="C8033" t="s">
        <v>41</v>
      </c>
      <c r="D8033" s="8"/>
      <c r="E8033" s="8"/>
      <c r="M8033" t="s">
        <v>479</v>
      </c>
      <c r="N8033" t="str">
        <f>Tabela_tudo[[#This Row],[Médico]]&amp;" ("&amp;Tabela_tudo[[#This Row],[Obs]]&amp;")"</f>
        <v>CA ()</v>
      </c>
    </row>
    <row r="8034" spans="1:14" x14ac:dyDescent="0.3">
      <c r="A8034" s="1">
        <v>45187</v>
      </c>
      <c r="B8034" t="s">
        <v>57</v>
      </c>
      <c r="C8034" t="s">
        <v>13</v>
      </c>
      <c r="D8034" s="8"/>
      <c r="E8034" s="8"/>
      <c r="M8034" t="s">
        <v>477</v>
      </c>
      <c r="N8034" t="str">
        <f>Tabela_tudo[[#This Row],[Médico]]&amp;" ("&amp;Tabela_tudo[[#This Row],[Obs]]&amp;")"</f>
        <v>BED ()</v>
      </c>
    </row>
    <row r="8035" spans="1:14" x14ac:dyDescent="0.3">
      <c r="A8035" s="1">
        <v>45160</v>
      </c>
      <c r="B8035" t="s">
        <v>61</v>
      </c>
      <c r="C8035" t="s">
        <v>41</v>
      </c>
      <c r="D8035" s="8"/>
      <c r="E8035" s="8"/>
      <c r="M8035" t="s">
        <v>477</v>
      </c>
      <c r="N8035" t="str">
        <f>Tabela_tudo[[#This Row],[Médico]]&amp;" ("&amp;Tabela_tudo[[#This Row],[Obs]]&amp;")"</f>
        <v>AD ()</v>
      </c>
    </row>
    <row r="8036" spans="1:14" x14ac:dyDescent="0.3">
      <c r="A8036" s="1">
        <v>45160</v>
      </c>
      <c r="B8036" t="s">
        <v>40</v>
      </c>
      <c r="C8036" t="s">
        <v>10</v>
      </c>
      <c r="D8036" s="8"/>
      <c r="E8036" s="8"/>
      <c r="M8036" t="s">
        <v>481</v>
      </c>
      <c r="N8036" t="str">
        <f>Tabela_tudo[[#This Row],[Médico]]&amp;" ("&amp;Tabela_tudo[[#This Row],[Obs]]&amp;")"</f>
        <v>EMA ()</v>
      </c>
    </row>
    <row r="8037" spans="1:14" x14ac:dyDescent="0.3">
      <c r="A8037" s="1">
        <v>45187</v>
      </c>
      <c r="B8037" t="s">
        <v>97</v>
      </c>
      <c r="C8037" t="s">
        <v>8</v>
      </c>
      <c r="D8037" s="8"/>
      <c r="E8037" s="8"/>
      <c r="M8037" t="s">
        <v>479</v>
      </c>
      <c r="N8037" t="str">
        <f>Tabela_tudo[[#This Row],[Médico]]&amp;" ("&amp;Tabela_tudo[[#This Row],[Obs]]&amp;")"</f>
        <v>HAR ()</v>
      </c>
    </row>
    <row r="8038" spans="1:14" x14ac:dyDescent="0.3">
      <c r="A8038" s="1">
        <v>45187</v>
      </c>
      <c r="B8038" t="s">
        <v>103</v>
      </c>
      <c r="C8038" t="s">
        <v>10</v>
      </c>
      <c r="D8038" s="8"/>
      <c r="E8038" s="8"/>
      <c r="M8038" t="s">
        <v>481</v>
      </c>
      <c r="N8038" t="str">
        <f>Tabela_tudo[[#This Row],[Médico]]&amp;" ("&amp;Tabela_tudo[[#This Row],[Obs]]&amp;")"</f>
        <v>CAD ()</v>
      </c>
    </row>
    <row r="8039" spans="1:14" x14ac:dyDescent="0.3">
      <c r="A8039" s="1">
        <v>45118</v>
      </c>
      <c r="B8039" t="s">
        <v>40</v>
      </c>
      <c r="C8039" t="s">
        <v>10</v>
      </c>
      <c r="D8039" s="8"/>
      <c r="E8039" s="8"/>
      <c r="M8039" t="s">
        <v>481</v>
      </c>
      <c r="N8039" t="str">
        <f>Tabela_tudo[[#This Row],[Médico]]&amp;" ("&amp;Tabela_tudo[[#This Row],[Obs]]&amp;")"</f>
        <v>EMA ()</v>
      </c>
    </row>
    <row r="8040" spans="1:14" x14ac:dyDescent="0.3">
      <c r="A8040" s="1">
        <v>45187</v>
      </c>
      <c r="B8040" t="s">
        <v>38</v>
      </c>
      <c r="C8040" t="s">
        <v>10</v>
      </c>
      <c r="D8040" s="8"/>
      <c r="E8040" s="8"/>
      <c r="M8040" t="s">
        <v>481</v>
      </c>
      <c r="N8040" t="str">
        <f>Tabela_tudo[[#This Row],[Médico]]&amp;" ("&amp;Tabela_tudo[[#This Row],[Obs]]&amp;")"</f>
        <v>ORO ()</v>
      </c>
    </row>
    <row r="8041" spans="1:14" x14ac:dyDescent="0.3">
      <c r="A8041" s="1">
        <v>45185</v>
      </c>
      <c r="B8041" t="s">
        <v>109</v>
      </c>
      <c r="C8041" t="s">
        <v>13</v>
      </c>
      <c r="D8041" s="8"/>
      <c r="E8041" s="8"/>
      <c r="M8041" t="s">
        <v>479</v>
      </c>
      <c r="N8041" t="str">
        <f>Tabela_tudo[[#This Row],[Médico]]&amp;" ("&amp;Tabela_tudo[[#This Row],[Obs]]&amp;")"</f>
        <v>CA ()</v>
      </c>
    </row>
    <row r="8042" spans="1:14" x14ac:dyDescent="0.3">
      <c r="A8042" s="1">
        <v>45183</v>
      </c>
      <c r="B8042" t="s">
        <v>83</v>
      </c>
      <c r="C8042" t="s">
        <v>41</v>
      </c>
      <c r="D8042" s="8"/>
      <c r="E8042" s="8"/>
      <c r="M8042" t="s">
        <v>477</v>
      </c>
      <c r="N8042" t="str">
        <f>Tabela_tudo[[#This Row],[Médico]]&amp;" ("&amp;Tabela_tudo[[#This Row],[Obs]]&amp;")"</f>
        <v>MG ()</v>
      </c>
    </row>
    <row r="8043" spans="1:14" x14ac:dyDescent="0.3">
      <c r="A8043" s="1">
        <v>45183</v>
      </c>
      <c r="B8043" t="s">
        <v>79</v>
      </c>
      <c r="C8043" t="s">
        <v>10</v>
      </c>
      <c r="D8043" s="8"/>
      <c r="E8043" s="8"/>
      <c r="M8043" t="s">
        <v>481</v>
      </c>
      <c r="N8043" t="str">
        <f>Tabela_tudo[[#This Row],[Médico]]&amp;" ("&amp;Tabela_tudo[[#This Row],[Obs]]&amp;")"</f>
        <v>MTB ()</v>
      </c>
    </row>
    <row r="8044" spans="1:14" x14ac:dyDescent="0.3">
      <c r="A8044" s="1">
        <v>45183</v>
      </c>
      <c r="B8044" t="s">
        <v>103</v>
      </c>
      <c r="C8044" t="s">
        <v>10</v>
      </c>
      <c r="D8044" s="8"/>
      <c r="E8044" s="8"/>
      <c r="M8044" t="s">
        <v>481</v>
      </c>
      <c r="N8044" t="str">
        <f>Tabela_tudo[[#This Row],[Médico]]&amp;" ("&amp;Tabela_tudo[[#This Row],[Obs]]&amp;")"</f>
        <v>CAD ()</v>
      </c>
    </row>
    <row r="8045" spans="1:14" x14ac:dyDescent="0.3">
      <c r="A8045" s="1">
        <v>45183</v>
      </c>
      <c r="B8045" t="s">
        <v>36</v>
      </c>
      <c r="C8045" t="s">
        <v>41</v>
      </c>
      <c r="D8045" s="8"/>
      <c r="E8045" s="8"/>
      <c r="M8045" t="s">
        <v>481</v>
      </c>
      <c r="N8045" t="str">
        <f>Tabela_tudo[[#This Row],[Médico]]&amp;" ("&amp;Tabela_tudo[[#This Row],[Obs]]&amp;")"</f>
        <v>DRI ()</v>
      </c>
    </row>
    <row r="8046" spans="1:14" x14ac:dyDescent="0.3">
      <c r="A8046" s="1">
        <v>45163</v>
      </c>
      <c r="B8046" t="s">
        <v>38</v>
      </c>
      <c r="C8046" t="s">
        <v>41</v>
      </c>
      <c r="D8046" s="8"/>
      <c r="E8046" s="8"/>
      <c r="M8046" t="s">
        <v>481</v>
      </c>
      <c r="N8046" t="str">
        <f>Tabela_tudo[[#This Row],[Médico]]&amp;" ("&amp;Tabela_tudo[[#This Row],[Obs]]&amp;")"</f>
        <v>ORO ()</v>
      </c>
    </row>
    <row r="8047" spans="1:14" x14ac:dyDescent="0.3">
      <c r="A8047" s="1">
        <v>45114</v>
      </c>
      <c r="B8047" t="s">
        <v>40</v>
      </c>
      <c r="C8047" t="s">
        <v>10</v>
      </c>
      <c r="D8047" s="8"/>
      <c r="E8047" s="8"/>
      <c r="M8047" t="s">
        <v>481</v>
      </c>
      <c r="N8047" t="str">
        <f>Tabela_tudo[[#This Row],[Médico]]&amp;" ("&amp;Tabela_tudo[[#This Row],[Obs]]&amp;")"</f>
        <v>EMA ()</v>
      </c>
    </row>
    <row r="8048" spans="1:14" x14ac:dyDescent="0.3">
      <c r="A8048" s="1">
        <v>45114</v>
      </c>
      <c r="B8048" t="s">
        <v>103</v>
      </c>
      <c r="C8048" t="s">
        <v>10</v>
      </c>
      <c r="D8048" s="8"/>
      <c r="E8048" s="8"/>
      <c r="M8048" t="s">
        <v>481</v>
      </c>
      <c r="N8048" t="str">
        <f>Tabela_tudo[[#This Row],[Médico]]&amp;" ("&amp;Tabela_tudo[[#This Row],[Obs]]&amp;")"</f>
        <v>CAD ()</v>
      </c>
    </row>
    <row r="8049" spans="1:14" x14ac:dyDescent="0.3">
      <c r="A8049" s="1">
        <v>45114</v>
      </c>
      <c r="B8049" t="s">
        <v>109</v>
      </c>
      <c r="C8049" t="s">
        <v>41</v>
      </c>
      <c r="D8049" s="8"/>
      <c r="E8049" s="8"/>
      <c r="M8049" t="s">
        <v>479</v>
      </c>
      <c r="N8049" t="str">
        <f>Tabela_tudo[[#This Row],[Médico]]&amp;" ("&amp;Tabela_tudo[[#This Row],[Obs]]&amp;")"</f>
        <v>CA ()</v>
      </c>
    </row>
    <row r="8050" spans="1:14" x14ac:dyDescent="0.3">
      <c r="A8050" s="1">
        <v>45114</v>
      </c>
      <c r="B8050" t="s">
        <v>79</v>
      </c>
      <c r="C8050" t="s">
        <v>41</v>
      </c>
      <c r="D8050" s="8"/>
      <c r="E8050" s="8"/>
      <c r="M8050" t="s">
        <v>481</v>
      </c>
      <c r="N8050" t="str">
        <f>Tabela_tudo[[#This Row],[Médico]]&amp;" ("&amp;Tabela_tudo[[#This Row],[Obs]]&amp;")"</f>
        <v>MTB ()</v>
      </c>
    </row>
    <row r="8051" spans="1:14" x14ac:dyDescent="0.3">
      <c r="A8051" s="1">
        <v>45124</v>
      </c>
      <c r="B8051" t="s">
        <v>103</v>
      </c>
      <c r="C8051" t="s">
        <v>41</v>
      </c>
      <c r="D8051" s="8"/>
      <c r="E8051" s="8"/>
      <c r="M8051" t="s">
        <v>481</v>
      </c>
      <c r="N8051" t="str">
        <f>Tabela_tudo[[#This Row],[Médico]]&amp;" ("&amp;Tabela_tudo[[#This Row],[Obs]]&amp;")"</f>
        <v>CAD ()</v>
      </c>
    </row>
    <row r="8052" spans="1:14" x14ac:dyDescent="0.3">
      <c r="A8052" s="1">
        <v>45114</v>
      </c>
      <c r="B8052" t="s">
        <v>35</v>
      </c>
      <c r="C8052" t="s">
        <v>10</v>
      </c>
      <c r="D8052" s="8"/>
      <c r="E8052" s="8"/>
      <c r="M8052" t="s">
        <v>479</v>
      </c>
      <c r="N8052" t="str">
        <f>Tabela_tudo[[#This Row],[Médico]]&amp;" ("&amp;Tabela_tudo[[#This Row],[Obs]]&amp;")"</f>
        <v>FLA ()</v>
      </c>
    </row>
    <row r="8053" spans="1:14" x14ac:dyDescent="0.3">
      <c r="A8053" s="1">
        <v>45183</v>
      </c>
      <c r="B8053" t="s">
        <v>38</v>
      </c>
      <c r="C8053" t="s">
        <v>10</v>
      </c>
      <c r="D8053" s="8"/>
      <c r="E8053" s="8"/>
      <c r="M8053" t="s">
        <v>481</v>
      </c>
      <c r="N8053" t="str">
        <f>Tabela_tudo[[#This Row],[Médico]]&amp;" ("&amp;Tabela_tudo[[#This Row],[Obs]]&amp;")"</f>
        <v>ORO ()</v>
      </c>
    </row>
    <row r="8054" spans="1:14" x14ac:dyDescent="0.3">
      <c r="A8054" s="1">
        <v>45183</v>
      </c>
      <c r="B8054" t="s">
        <v>62</v>
      </c>
      <c r="C8054" t="s">
        <v>8</v>
      </c>
      <c r="D8054" s="8"/>
      <c r="E8054" s="8"/>
      <c r="M8054" t="s">
        <v>477</v>
      </c>
      <c r="N8054" t="str">
        <f>Tabela_tudo[[#This Row],[Médico]]&amp;" ("&amp;Tabela_tudo[[#This Row],[Obs]]&amp;")"</f>
        <v>RKS ()</v>
      </c>
    </row>
    <row r="8055" spans="1:14" x14ac:dyDescent="0.3">
      <c r="A8055" s="1">
        <v>45183</v>
      </c>
      <c r="B8055" t="s">
        <v>35</v>
      </c>
      <c r="C8055" t="s">
        <v>13</v>
      </c>
      <c r="D8055" s="8"/>
      <c r="E8055" s="8"/>
      <c r="M8055" t="s">
        <v>479</v>
      </c>
      <c r="N8055" t="str">
        <f>Tabela_tudo[[#This Row],[Médico]]&amp;" ("&amp;Tabela_tudo[[#This Row],[Obs]]&amp;")"</f>
        <v>FLA ()</v>
      </c>
    </row>
    <row r="8056" spans="1:14" x14ac:dyDescent="0.3">
      <c r="A8056" s="1">
        <v>45114</v>
      </c>
      <c r="B8056" t="s">
        <v>38</v>
      </c>
      <c r="C8056" t="s">
        <v>8</v>
      </c>
      <c r="D8056" s="8"/>
      <c r="E8056" s="8"/>
      <c r="M8056" t="s">
        <v>481</v>
      </c>
      <c r="N8056" t="str">
        <f>Tabela_tudo[[#This Row],[Médico]]&amp;" ("&amp;Tabela_tudo[[#This Row],[Obs]]&amp;")"</f>
        <v>ORO ()</v>
      </c>
    </row>
    <row r="8057" spans="1:14" x14ac:dyDescent="0.3">
      <c r="A8057" s="1">
        <v>45160</v>
      </c>
      <c r="B8057" t="s">
        <v>36</v>
      </c>
      <c r="C8057" t="s">
        <v>10</v>
      </c>
      <c r="D8057" s="8"/>
      <c r="E8057" s="8"/>
      <c r="M8057" t="s">
        <v>481</v>
      </c>
      <c r="N8057" t="str">
        <f>Tabela_tudo[[#This Row],[Médico]]&amp;" ("&amp;Tabela_tudo[[#This Row],[Obs]]&amp;")"</f>
        <v>DRI ()</v>
      </c>
    </row>
    <row r="8058" spans="1:14" x14ac:dyDescent="0.3">
      <c r="A8058" s="1">
        <v>45160</v>
      </c>
      <c r="B8058" t="s">
        <v>79</v>
      </c>
      <c r="C8058" t="s">
        <v>10</v>
      </c>
      <c r="D8058" s="8"/>
      <c r="E8058" s="8"/>
      <c r="M8058" t="s">
        <v>481</v>
      </c>
      <c r="N8058" t="str">
        <f>Tabela_tudo[[#This Row],[Médico]]&amp;" ("&amp;Tabela_tudo[[#This Row],[Obs]]&amp;")"</f>
        <v>MTB ()</v>
      </c>
    </row>
    <row r="8059" spans="1:14" x14ac:dyDescent="0.3">
      <c r="A8059" s="1">
        <v>45160</v>
      </c>
      <c r="B8059" t="s">
        <v>27</v>
      </c>
      <c r="C8059" t="s">
        <v>10</v>
      </c>
      <c r="D8059" s="8"/>
      <c r="E8059" s="8"/>
      <c r="M8059" t="s">
        <v>481</v>
      </c>
      <c r="N8059" t="str">
        <f>Tabela_tudo[[#This Row],[Médico]]&amp;" ("&amp;Tabela_tudo[[#This Row],[Obs]]&amp;")"</f>
        <v>KIL ()</v>
      </c>
    </row>
    <row r="8060" spans="1:14" x14ac:dyDescent="0.3">
      <c r="A8060" s="1">
        <v>45120</v>
      </c>
      <c r="B8060" t="s">
        <v>9</v>
      </c>
      <c r="C8060" t="s">
        <v>41</v>
      </c>
      <c r="D8060" s="8"/>
      <c r="E8060" s="8"/>
      <c r="M8060" t="s">
        <v>481</v>
      </c>
      <c r="N8060" t="str">
        <f>Tabela_tudo[[#This Row],[Médico]]&amp;" ("&amp;Tabela_tudo[[#This Row],[Obs]]&amp;")"</f>
        <v>KRE ()</v>
      </c>
    </row>
    <row r="8061" spans="1:14" x14ac:dyDescent="0.3">
      <c r="A8061" s="1">
        <v>45113</v>
      </c>
      <c r="B8061" t="s">
        <v>35</v>
      </c>
      <c r="C8061" t="s">
        <v>10</v>
      </c>
      <c r="D8061" s="8"/>
      <c r="E8061" s="8"/>
      <c r="M8061" t="s">
        <v>479</v>
      </c>
      <c r="N8061" t="str">
        <f>Tabela_tudo[[#This Row],[Médico]]&amp;" ("&amp;Tabela_tudo[[#This Row],[Obs]]&amp;")"</f>
        <v>FLA ()</v>
      </c>
    </row>
    <row r="8062" spans="1:14" x14ac:dyDescent="0.3">
      <c r="A8062" s="1">
        <v>45113</v>
      </c>
      <c r="B8062" t="s">
        <v>83</v>
      </c>
      <c r="C8062" t="s">
        <v>41</v>
      </c>
      <c r="D8062" s="8"/>
      <c r="E8062" s="8"/>
      <c r="M8062" t="s">
        <v>477</v>
      </c>
      <c r="N8062" t="str">
        <f>Tabela_tudo[[#This Row],[Médico]]&amp;" ("&amp;Tabela_tudo[[#This Row],[Obs]]&amp;")"</f>
        <v>MG ()</v>
      </c>
    </row>
    <row r="8063" spans="1:14" x14ac:dyDescent="0.3">
      <c r="A8063" s="1">
        <v>45113</v>
      </c>
      <c r="B8063" t="s">
        <v>39</v>
      </c>
      <c r="C8063" t="s">
        <v>41</v>
      </c>
      <c r="D8063" s="8"/>
      <c r="E8063" s="8"/>
      <c r="M8063" t="s">
        <v>479</v>
      </c>
      <c r="N8063" t="str">
        <f>Tabela_tudo[[#This Row],[Médico]]&amp;" ("&amp;Tabela_tudo[[#This Row],[Obs]]&amp;")"</f>
        <v>KLA ()</v>
      </c>
    </row>
    <row r="8064" spans="1:14" x14ac:dyDescent="0.3">
      <c r="A8064" s="1">
        <v>45163</v>
      </c>
      <c r="B8064" t="s">
        <v>36</v>
      </c>
      <c r="C8064" t="s">
        <v>10</v>
      </c>
      <c r="D8064" s="8"/>
      <c r="E8064" s="8"/>
      <c r="M8064" t="s">
        <v>481</v>
      </c>
      <c r="N8064" t="str">
        <f>Tabela_tudo[[#This Row],[Médico]]&amp;" ("&amp;Tabela_tudo[[#This Row],[Obs]]&amp;")"</f>
        <v>DRI ()</v>
      </c>
    </row>
    <row r="8065" spans="1:14" x14ac:dyDescent="0.3">
      <c r="A8065" s="1">
        <v>45163</v>
      </c>
      <c r="B8065" t="s">
        <v>40</v>
      </c>
      <c r="C8065" t="s">
        <v>10</v>
      </c>
      <c r="D8065" s="8"/>
      <c r="E8065" s="8"/>
      <c r="M8065" t="s">
        <v>481</v>
      </c>
      <c r="N8065" t="str">
        <f>Tabela_tudo[[#This Row],[Médico]]&amp;" ("&amp;Tabela_tudo[[#This Row],[Obs]]&amp;")"</f>
        <v>EMA ()</v>
      </c>
    </row>
    <row r="8066" spans="1:14" x14ac:dyDescent="0.3">
      <c r="A8066" s="1">
        <v>45114</v>
      </c>
      <c r="B8066" t="s">
        <v>80</v>
      </c>
      <c r="C8066" t="s">
        <v>13</v>
      </c>
      <c r="D8066" s="8"/>
      <c r="E8066" s="8"/>
      <c r="M8066" t="s">
        <v>477</v>
      </c>
      <c r="N8066" t="str">
        <f>Tabela_tudo[[#This Row],[Médico]]&amp;" ("&amp;Tabela_tudo[[#This Row],[Obs]]&amp;")"</f>
        <v>REC ()</v>
      </c>
    </row>
    <row r="8067" spans="1:14" x14ac:dyDescent="0.3">
      <c r="A8067" s="1">
        <v>45119</v>
      </c>
      <c r="B8067" t="s">
        <v>97</v>
      </c>
      <c r="C8067" t="s">
        <v>13</v>
      </c>
      <c r="D8067" s="8"/>
      <c r="E8067" s="8"/>
      <c r="M8067" t="s">
        <v>479</v>
      </c>
      <c r="N8067" t="str">
        <f>Tabela_tudo[[#This Row],[Médico]]&amp;" ("&amp;Tabela_tudo[[#This Row],[Obs]]&amp;")"</f>
        <v>HAR ()</v>
      </c>
    </row>
    <row r="8068" spans="1:14" x14ac:dyDescent="0.3">
      <c r="A8068" s="1">
        <v>45124</v>
      </c>
      <c r="B8068" t="s">
        <v>9</v>
      </c>
      <c r="C8068" t="s">
        <v>124</v>
      </c>
      <c r="D8068" s="8">
        <v>0.54166666666666663</v>
      </c>
      <c r="E8068" s="8">
        <v>0.625</v>
      </c>
      <c r="F8068" t="s">
        <v>244</v>
      </c>
      <c r="M8068" t="s">
        <v>481</v>
      </c>
      <c r="N8068" t="str">
        <f>Tabela_tudo[[#This Row],[Médico]]&amp;" ("&amp;Tabela_tudo[[#This Row],[Obs]]&amp;")"</f>
        <v>KRE (SERV DE PSICOLOGIA UNISINOS)</v>
      </c>
    </row>
    <row r="8069" spans="1:14" x14ac:dyDescent="0.3">
      <c r="A8069" s="1">
        <v>45119</v>
      </c>
      <c r="B8069" t="s">
        <v>40</v>
      </c>
      <c r="C8069" t="s">
        <v>10</v>
      </c>
      <c r="D8069" s="8"/>
      <c r="E8069" s="8"/>
      <c r="M8069" t="s">
        <v>481</v>
      </c>
      <c r="N8069" t="str">
        <f>Tabela_tudo[[#This Row],[Médico]]&amp;" ("&amp;Tabela_tudo[[#This Row],[Obs]]&amp;")"</f>
        <v>EMA ()</v>
      </c>
    </row>
    <row r="8070" spans="1:14" x14ac:dyDescent="0.3">
      <c r="A8070" s="1">
        <v>45119</v>
      </c>
      <c r="B8070" t="s">
        <v>9</v>
      </c>
      <c r="C8070" t="s">
        <v>8</v>
      </c>
      <c r="D8070" s="8"/>
      <c r="E8070" s="8"/>
      <c r="M8070" t="s">
        <v>481</v>
      </c>
      <c r="N8070" t="str">
        <f>Tabela_tudo[[#This Row],[Médico]]&amp;" ("&amp;Tabela_tudo[[#This Row],[Obs]]&amp;")"</f>
        <v>KRE ()</v>
      </c>
    </row>
    <row r="8071" spans="1:14" x14ac:dyDescent="0.3">
      <c r="A8071" s="1">
        <v>45101</v>
      </c>
      <c r="B8071" t="s">
        <v>39</v>
      </c>
      <c r="C8071" t="s">
        <v>8</v>
      </c>
      <c r="D8071" s="8"/>
      <c r="E8071" s="8"/>
      <c r="M8071" t="s">
        <v>479</v>
      </c>
      <c r="N8071" t="str">
        <f>Tabela_tudo[[#This Row],[Médico]]&amp;" ("&amp;Tabela_tudo[[#This Row],[Obs]]&amp;")"</f>
        <v>KLA ()</v>
      </c>
    </row>
    <row r="8072" spans="1:14" x14ac:dyDescent="0.3">
      <c r="A8072" s="1">
        <v>45125</v>
      </c>
      <c r="B8072" t="s">
        <v>40</v>
      </c>
      <c r="C8072" t="s">
        <v>10</v>
      </c>
      <c r="D8072" s="8"/>
      <c r="E8072" s="8"/>
      <c r="M8072" t="s">
        <v>481</v>
      </c>
      <c r="N8072" t="str">
        <f>Tabela_tudo[[#This Row],[Médico]]&amp;" ("&amp;Tabela_tudo[[#This Row],[Obs]]&amp;")"</f>
        <v>EMA ()</v>
      </c>
    </row>
    <row r="8073" spans="1:14" x14ac:dyDescent="0.3">
      <c r="A8073" s="1">
        <v>45101</v>
      </c>
      <c r="B8073" t="s">
        <v>79</v>
      </c>
      <c r="C8073" t="s">
        <v>78</v>
      </c>
      <c r="D8073" s="8"/>
      <c r="E8073" s="8"/>
      <c r="M8073" t="s">
        <v>481</v>
      </c>
      <c r="N8073" t="str">
        <f>Tabela_tudo[[#This Row],[Médico]]&amp;" ("&amp;Tabela_tudo[[#This Row],[Obs]]&amp;")"</f>
        <v>MTB ()</v>
      </c>
    </row>
    <row r="8074" spans="1:14" x14ac:dyDescent="0.3">
      <c r="A8074" s="1">
        <v>45101</v>
      </c>
      <c r="B8074" t="s">
        <v>61</v>
      </c>
      <c r="C8074" t="s">
        <v>13</v>
      </c>
      <c r="D8074" s="8"/>
      <c r="E8074" s="8"/>
      <c r="M8074" t="s">
        <v>477</v>
      </c>
      <c r="N8074" t="str">
        <f>Tabela_tudo[[#This Row],[Médico]]&amp;" ("&amp;Tabela_tudo[[#This Row],[Obs]]&amp;")"</f>
        <v>AD ()</v>
      </c>
    </row>
    <row r="8075" spans="1:14" x14ac:dyDescent="0.3">
      <c r="A8075" s="1">
        <v>45176</v>
      </c>
      <c r="B8075" t="s">
        <v>79</v>
      </c>
      <c r="C8075" t="s">
        <v>10</v>
      </c>
      <c r="D8075" s="8"/>
      <c r="E8075" s="8"/>
      <c r="M8075" t="s">
        <v>481</v>
      </c>
      <c r="N8075" t="str">
        <f>Tabela_tudo[[#This Row],[Médico]]&amp;" ("&amp;Tabela_tudo[[#This Row],[Obs]]&amp;")"</f>
        <v>MTB ()</v>
      </c>
    </row>
    <row r="8076" spans="1:14" x14ac:dyDescent="0.3">
      <c r="A8076" s="1">
        <v>45176</v>
      </c>
      <c r="B8076" t="s">
        <v>59</v>
      </c>
      <c r="C8076" t="s">
        <v>41</v>
      </c>
      <c r="D8076" s="8"/>
      <c r="E8076" s="8"/>
      <c r="M8076" t="s">
        <v>477</v>
      </c>
      <c r="N8076" t="str">
        <f>Tabela_tudo[[#This Row],[Médico]]&amp;" ("&amp;Tabela_tudo[[#This Row],[Obs]]&amp;")"</f>
        <v>WEN ()</v>
      </c>
    </row>
    <row r="8077" spans="1:14" x14ac:dyDescent="0.3">
      <c r="A8077" s="1">
        <v>45159</v>
      </c>
      <c r="B8077" t="s">
        <v>98</v>
      </c>
      <c r="C8077" t="s">
        <v>13</v>
      </c>
      <c r="D8077" s="8"/>
      <c r="E8077" s="8"/>
      <c r="M8077" t="s">
        <v>479</v>
      </c>
      <c r="N8077" t="str">
        <f>Tabela_tudo[[#This Row],[Médico]]&amp;" ("&amp;Tabela_tudo[[#This Row],[Obs]]&amp;")"</f>
        <v>NIC ()</v>
      </c>
    </row>
    <row r="8078" spans="1:14" x14ac:dyDescent="0.3">
      <c r="A8078" s="1">
        <v>45210</v>
      </c>
      <c r="B8078" t="s">
        <v>9</v>
      </c>
      <c r="C8078" t="s">
        <v>10</v>
      </c>
      <c r="D8078" s="8"/>
      <c r="E8078" s="8"/>
      <c r="M8078" t="s">
        <v>481</v>
      </c>
      <c r="N8078" t="str">
        <f>Tabela_tudo[[#This Row],[Médico]]&amp;" ("&amp;Tabela_tudo[[#This Row],[Obs]]&amp;")"</f>
        <v>KRE ()</v>
      </c>
    </row>
    <row r="8079" spans="1:14" x14ac:dyDescent="0.3">
      <c r="A8079" s="1">
        <v>45125</v>
      </c>
      <c r="B8079" t="s">
        <v>69</v>
      </c>
      <c r="C8079" t="s">
        <v>41</v>
      </c>
      <c r="D8079" s="8"/>
      <c r="E8079" s="8"/>
      <c r="M8079" t="s">
        <v>479</v>
      </c>
      <c r="N8079" t="str">
        <f>Tabela_tudo[[#This Row],[Médico]]&amp;" ("&amp;Tabela_tudo[[#This Row],[Obs]]&amp;")"</f>
        <v>PRE ()</v>
      </c>
    </row>
    <row r="8080" spans="1:14" x14ac:dyDescent="0.3">
      <c r="A8080" s="1">
        <v>45210</v>
      </c>
      <c r="B8080" t="s">
        <v>35</v>
      </c>
      <c r="C8080" t="s">
        <v>10</v>
      </c>
      <c r="D8080" s="8"/>
      <c r="E8080" s="8"/>
      <c r="M8080" t="s">
        <v>479</v>
      </c>
      <c r="N8080" t="str">
        <f>Tabela_tudo[[#This Row],[Médico]]&amp;" ("&amp;Tabela_tudo[[#This Row],[Obs]]&amp;")"</f>
        <v>FLA ()</v>
      </c>
    </row>
    <row r="8081" spans="1:14" x14ac:dyDescent="0.3">
      <c r="A8081" s="1">
        <v>45125</v>
      </c>
      <c r="B8081" t="s">
        <v>103</v>
      </c>
      <c r="C8081" t="s">
        <v>10</v>
      </c>
      <c r="D8081" s="8"/>
      <c r="E8081" s="8"/>
      <c r="M8081" t="s">
        <v>481</v>
      </c>
      <c r="N8081" t="str">
        <f>Tabela_tudo[[#This Row],[Médico]]&amp;" ("&amp;Tabela_tudo[[#This Row],[Obs]]&amp;")"</f>
        <v>CAD ()</v>
      </c>
    </row>
    <row r="8082" spans="1:14" x14ac:dyDescent="0.3">
      <c r="A8082" s="1">
        <v>45101</v>
      </c>
      <c r="B8082" t="s">
        <v>9</v>
      </c>
      <c r="C8082" t="s">
        <v>10</v>
      </c>
      <c r="D8082" s="8"/>
      <c r="E8082" s="8"/>
      <c r="M8082" t="s">
        <v>481</v>
      </c>
      <c r="N8082" t="str">
        <f>Tabela_tudo[[#This Row],[Médico]]&amp;" ("&amp;Tabela_tudo[[#This Row],[Obs]]&amp;")"</f>
        <v>KRE ()</v>
      </c>
    </row>
    <row r="8083" spans="1:14" x14ac:dyDescent="0.3">
      <c r="A8083" s="1">
        <v>45210</v>
      </c>
      <c r="B8083" t="s">
        <v>39</v>
      </c>
      <c r="C8083" t="s">
        <v>41</v>
      </c>
      <c r="D8083" s="8"/>
      <c r="E8083" s="8"/>
      <c r="M8083" t="s">
        <v>479</v>
      </c>
      <c r="N8083" t="str">
        <f>Tabela_tudo[[#This Row],[Médico]]&amp;" ("&amp;Tabela_tudo[[#This Row],[Obs]]&amp;")"</f>
        <v>KLA ()</v>
      </c>
    </row>
    <row r="8084" spans="1:14" x14ac:dyDescent="0.3">
      <c r="A8084" s="1">
        <v>45210</v>
      </c>
      <c r="B8084" t="s">
        <v>83</v>
      </c>
      <c r="C8084" t="s">
        <v>41</v>
      </c>
      <c r="D8084" s="8"/>
      <c r="E8084" s="8"/>
      <c r="M8084" t="s">
        <v>477</v>
      </c>
      <c r="N8084" t="str">
        <f>Tabela_tudo[[#This Row],[Médico]]&amp;" ("&amp;Tabela_tudo[[#This Row],[Obs]]&amp;")"</f>
        <v>MG ()</v>
      </c>
    </row>
    <row r="8085" spans="1:14" x14ac:dyDescent="0.3">
      <c r="A8085" s="1">
        <v>45176</v>
      </c>
      <c r="B8085" t="s">
        <v>103</v>
      </c>
      <c r="C8085" t="s">
        <v>10</v>
      </c>
      <c r="D8085" s="8"/>
      <c r="E8085" s="8"/>
      <c r="M8085" t="s">
        <v>481</v>
      </c>
      <c r="N8085" t="str">
        <f>Tabela_tudo[[#This Row],[Médico]]&amp;" ("&amp;Tabela_tudo[[#This Row],[Obs]]&amp;")"</f>
        <v>CAD ()</v>
      </c>
    </row>
    <row r="8086" spans="1:14" x14ac:dyDescent="0.3">
      <c r="A8086" s="1">
        <v>45098</v>
      </c>
      <c r="B8086" t="s">
        <v>35</v>
      </c>
      <c r="C8086" t="s">
        <v>41</v>
      </c>
      <c r="D8086" s="8"/>
      <c r="E8086" s="8"/>
      <c r="M8086" t="s">
        <v>479</v>
      </c>
      <c r="N8086" t="str">
        <f>Tabela_tudo[[#This Row],[Médico]]&amp;" ("&amp;Tabela_tudo[[#This Row],[Obs]]&amp;")"</f>
        <v>FLA ()</v>
      </c>
    </row>
    <row r="8087" spans="1:14" x14ac:dyDescent="0.3">
      <c r="A8087" s="1">
        <v>45131</v>
      </c>
      <c r="B8087" t="s">
        <v>149</v>
      </c>
      <c r="C8087" t="s">
        <v>41</v>
      </c>
      <c r="D8087" s="8"/>
      <c r="E8087" s="8"/>
      <c r="M8087" t="s">
        <v>477</v>
      </c>
      <c r="N8087" t="str">
        <f>Tabela_tudo[[#This Row],[Médico]]&amp;" ("&amp;Tabela_tudo[[#This Row],[Obs]]&amp;")"</f>
        <v>NF ()</v>
      </c>
    </row>
    <row r="8088" spans="1:14" x14ac:dyDescent="0.3">
      <c r="A8088" s="1">
        <v>45131</v>
      </c>
      <c r="B8088" t="s">
        <v>103</v>
      </c>
      <c r="C8088" t="s">
        <v>10</v>
      </c>
      <c r="D8088" s="8"/>
      <c r="E8088" s="8"/>
      <c r="M8088" t="s">
        <v>481</v>
      </c>
      <c r="N8088" t="str">
        <f>Tabela_tudo[[#This Row],[Médico]]&amp;" ("&amp;Tabela_tudo[[#This Row],[Obs]]&amp;")"</f>
        <v>CAD ()</v>
      </c>
    </row>
    <row r="8089" spans="1:14" x14ac:dyDescent="0.3">
      <c r="A8089" s="1">
        <v>45200</v>
      </c>
      <c r="B8089" t="s">
        <v>40</v>
      </c>
      <c r="C8089" t="s">
        <v>13</v>
      </c>
      <c r="D8089" s="8"/>
      <c r="E8089" s="8"/>
      <c r="M8089" t="s">
        <v>481</v>
      </c>
      <c r="N8089" t="str">
        <f>Tabela_tudo[[#This Row],[Médico]]&amp;" ("&amp;Tabela_tudo[[#This Row],[Obs]]&amp;")"</f>
        <v>EMA ()</v>
      </c>
    </row>
    <row r="8090" spans="1:14" x14ac:dyDescent="0.3">
      <c r="A8090" s="1">
        <v>45098</v>
      </c>
      <c r="B8090" t="s">
        <v>149</v>
      </c>
      <c r="C8090" t="s">
        <v>41</v>
      </c>
      <c r="D8090" s="8"/>
      <c r="E8090" s="8"/>
      <c r="M8090" t="s">
        <v>477</v>
      </c>
      <c r="N8090" t="str">
        <f>Tabela_tudo[[#This Row],[Médico]]&amp;" ("&amp;Tabela_tudo[[#This Row],[Obs]]&amp;")"</f>
        <v>NF ()</v>
      </c>
    </row>
    <row r="8091" spans="1:14" x14ac:dyDescent="0.3">
      <c r="A8091" s="1">
        <v>45200</v>
      </c>
      <c r="B8091" t="s">
        <v>69</v>
      </c>
      <c r="C8091" t="s">
        <v>78</v>
      </c>
      <c r="D8091" s="8"/>
      <c r="E8091" s="8"/>
      <c r="M8091" t="s">
        <v>479</v>
      </c>
      <c r="N8091" t="str">
        <f>Tabela_tudo[[#This Row],[Médico]]&amp;" ("&amp;Tabela_tudo[[#This Row],[Obs]]&amp;")"</f>
        <v>PRE ()</v>
      </c>
    </row>
    <row r="8092" spans="1:14" x14ac:dyDescent="0.3">
      <c r="A8092" s="1">
        <v>45200</v>
      </c>
      <c r="B8092" t="s">
        <v>61</v>
      </c>
      <c r="C8092" t="s">
        <v>8</v>
      </c>
      <c r="D8092" s="8"/>
      <c r="E8092" s="8"/>
      <c r="M8092" t="s">
        <v>477</v>
      </c>
      <c r="N8092" t="str">
        <f>Tabela_tudo[[#This Row],[Médico]]&amp;" ("&amp;Tabela_tudo[[#This Row],[Obs]]&amp;")"</f>
        <v>AD ()</v>
      </c>
    </row>
    <row r="8093" spans="1:14" x14ac:dyDescent="0.3">
      <c r="A8093" s="1">
        <v>45131</v>
      </c>
      <c r="B8093" t="s">
        <v>40</v>
      </c>
      <c r="C8093" t="s">
        <v>10</v>
      </c>
      <c r="D8093" s="8"/>
      <c r="E8093" s="8"/>
      <c r="M8093" t="s">
        <v>481</v>
      </c>
      <c r="N8093" t="str">
        <f>Tabela_tudo[[#This Row],[Médico]]&amp;" ("&amp;Tabela_tudo[[#This Row],[Obs]]&amp;")"</f>
        <v>EMA ()</v>
      </c>
    </row>
    <row r="8094" spans="1:14" x14ac:dyDescent="0.3">
      <c r="A8094" s="1">
        <v>45131</v>
      </c>
      <c r="B8094" t="s">
        <v>109</v>
      </c>
      <c r="C8094" t="s">
        <v>8</v>
      </c>
      <c r="D8094" s="8"/>
      <c r="E8094" s="8"/>
      <c r="M8094" t="s">
        <v>479</v>
      </c>
      <c r="N8094" t="str">
        <f>Tabela_tudo[[#This Row],[Médico]]&amp;" ("&amp;Tabela_tudo[[#This Row],[Obs]]&amp;")"</f>
        <v>CA ()</v>
      </c>
    </row>
    <row r="8095" spans="1:14" x14ac:dyDescent="0.3">
      <c r="A8095" s="1">
        <v>45131</v>
      </c>
      <c r="B8095" t="s">
        <v>80</v>
      </c>
      <c r="C8095" t="s">
        <v>13</v>
      </c>
      <c r="D8095" s="8"/>
      <c r="E8095" s="8"/>
      <c r="M8095" t="s">
        <v>477</v>
      </c>
      <c r="N8095" t="str">
        <f>Tabela_tudo[[#This Row],[Médico]]&amp;" ("&amp;Tabela_tudo[[#This Row],[Obs]]&amp;")"</f>
        <v>REC ()</v>
      </c>
    </row>
    <row r="8096" spans="1:14" x14ac:dyDescent="0.3">
      <c r="A8096" s="1">
        <v>45199</v>
      </c>
      <c r="B8096" t="s">
        <v>40</v>
      </c>
      <c r="C8096" t="s">
        <v>13</v>
      </c>
      <c r="D8096" s="8"/>
      <c r="E8096" s="8"/>
      <c r="M8096" t="s">
        <v>481</v>
      </c>
      <c r="N8096" t="str">
        <f>Tabela_tudo[[#This Row],[Médico]]&amp;" ("&amp;Tabela_tudo[[#This Row],[Obs]]&amp;")"</f>
        <v>EMA ()</v>
      </c>
    </row>
    <row r="8097" spans="1:14" x14ac:dyDescent="0.3">
      <c r="A8097" s="1">
        <v>45199</v>
      </c>
      <c r="B8097" t="s">
        <v>69</v>
      </c>
      <c r="C8097" t="s">
        <v>78</v>
      </c>
      <c r="D8097" s="8"/>
      <c r="E8097" s="8"/>
      <c r="M8097" t="s">
        <v>479</v>
      </c>
      <c r="N8097" t="str">
        <f>Tabela_tudo[[#This Row],[Médico]]&amp;" ("&amp;Tabela_tudo[[#This Row],[Obs]]&amp;")"</f>
        <v>PRE ()</v>
      </c>
    </row>
    <row r="8098" spans="1:14" x14ac:dyDescent="0.3">
      <c r="A8098" s="1">
        <v>45125</v>
      </c>
      <c r="B8098" t="s">
        <v>36</v>
      </c>
      <c r="C8098" t="s">
        <v>8</v>
      </c>
      <c r="D8098" s="8"/>
      <c r="E8098" s="8"/>
      <c r="M8098" t="s">
        <v>481</v>
      </c>
      <c r="N8098" t="str">
        <f>Tabela_tudo[[#This Row],[Médico]]&amp;" ("&amp;Tabela_tudo[[#This Row],[Obs]]&amp;")"</f>
        <v>DRI ()</v>
      </c>
    </row>
    <row r="8099" spans="1:14" x14ac:dyDescent="0.3">
      <c r="A8099" s="1">
        <v>45199</v>
      </c>
      <c r="B8099" t="s">
        <v>61</v>
      </c>
      <c r="C8099" t="s">
        <v>8</v>
      </c>
      <c r="D8099" s="8"/>
      <c r="E8099" s="8"/>
      <c r="M8099" t="s">
        <v>477</v>
      </c>
      <c r="N8099" t="str">
        <f>Tabela_tudo[[#This Row],[Médico]]&amp;" ("&amp;Tabela_tudo[[#This Row],[Obs]]&amp;")"</f>
        <v>AD ()</v>
      </c>
    </row>
    <row r="8100" spans="1:14" x14ac:dyDescent="0.3">
      <c r="A8100" s="1">
        <v>45159</v>
      </c>
      <c r="B8100" t="s">
        <v>79</v>
      </c>
      <c r="C8100" t="s">
        <v>10</v>
      </c>
      <c r="D8100" s="8"/>
      <c r="E8100" s="8"/>
      <c r="M8100" t="s">
        <v>481</v>
      </c>
      <c r="N8100" t="str">
        <f>Tabela_tudo[[#This Row],[Médico]]&amp;" ("&amp;Tabela_tudo[[#This Row],[Obs]]&amp;")"</f>
        <v>MTB ()</v>
      </c>
    </row>
    <row r="8101" spans="1:14" x14ac:dyDescent="0.3">
      <c r="A8101" s="1">
        <v>45099</v>
      </c>
      <c r="B8101" t="s">
        <v>59</v>
      </c>
      <c r="C8101" t="s">
        <v>13</v>
      </c>
      <c r="D8101" s="8"/>
      <c r="E8101" s="8"/>
      <c r="M8101" t="s">
        <v>477</v>
      </c>
      <c r="N8101" t="str">
        <f>Tabela_tudo[[#This Row],[Médico]]&amp;" ("&amp;Tabela_tudo[[#This Row],[Obs]]&amp;")"</f>
        <v>WEN ()</v>
      </c>
    </row>
    <row r="8102" spans="1:14" x14ac:dyDescent="0.3">
      <c r="A8102" s="1">
        <v>45099</v>
      </c>
      <c r="B8102" t="s">
        <v>69</v>
      </c>
      <c r="C8102" t="s">
        <v>8</v>
      </c>
      <c r="D8102" s="8"/>
      <c r="E8102" s="8"/>
      <c r="M8102" t="s">
        <v>479</v>
      </c>
      <c r="N8102" t="str">
        <f>Tabela_tudo[[#This Row],[Médico]]&amp;" ("&amp;Tabela_tudo[[#This Row],[Obs]]&amp;")"</f>
        <v>PRE ()</v>
      </c>
    </row>
    <row r="8103" spans="1:14" x14ac:dyDescent="0.3">
      <c r="A8103" s="1">
        <v>45159</v>
      </c>
      <c r="B8103" t="s">
        <v>36</v>
      </c>
      <c r="C8103" t="s">
        <v>10</v>
      </c>
      <c r="D8103" s="8"/>
      <c r="E8103" s="8"/>
      <c r="M8103" t="s">
        <v>481</v>
      </c>
      <c r="N8103" t="str">
        <f>Tabela_tudo[[#This Row],[Médico]]&amp;" ("&amp;Tabela_tudo[[#This Row],[Obs]]&amp;")"</f>
        <v>DRI ()</v>
      </c>
    </row>
    <row r="8104" spans="1:14" x14ac:dyDescent="0.3">
      <c r="A8104" s="1">
        <v>45102</v>
      </c>
      <c r="B8104" t="s">
        <v>39</v>
      </c>
      <c r="C8104" t="s">
        <v>8</v>
      </c>
      <c r="D8104" s="8"/>
      <c r="E8104" s="8"/>
      <c r="M8104" t="s">
        <v>479</v>
      </c>
      <c r="N8104" t="str">
        <f>Tabela_tudo[[#This Row],[Médico]]&amp;" ("&amp;Tabela_tudo[[#This Row],[Obs]]&amp;")"</f>
        <v>KLA ()</v>
      </c>
    </row>
    <row r="8105" spans="1:14" x14ac:dyDescent="0.3">
      <c r="A8105" s="1">
        <v>45102</v>
      </c>
      <c r="B8105" t="s">
        <v>79</v>
      </c>
      <c r="C8105" t="s">
        <v>78</v>
      </c>
      <c r="D8105" s="8"/>
      <c r="E8105" s="8"/>
      <c r="M8105" t="s">
        <v>481</v>
      </c>
      <c r="N8105" t="str">
        <f>Tabela_tudo[[#This Row],[Médico]]&amp;" ("&amp;Tabela_tudo[[#This Row],[Obs]]&amp;")"</f>
        <v>MTB ()</v>
      </c>
    </row>
    <row r="8106" spans="1:14" x14ac:dyDescent="0.3">
      <c r="A8106" s="1">
        <v>45159</v>
      </c>
      <c r="B8106" t="s">
        <v>40</v>
      </c>
      <c r="C8106" t="s">
        <v>10</v>
      </c>
      <c r="D8106" s="8"/>
      <c r="E8106" s="8"/>
      <c r="M8106" t="s">
        <v>481</v>
      </c>
      <c r="N8106" t="str">
        <f>Tabela_tudo[[#This Row],[Médico]]&amp;" ("&amp;Tabela_tudo[[#This Row],[Obs]]&amp;")"</f>
        <v>EMA ()</v>
      </c>
    </row>
    <row r="8107" spans="1:14" x14ac:dyDescent="0.3">
      <c r="A8107" s="1">
        <v>45099</v>
      </c>
      <c r="B8107" t="s">
        <v>38</v>
      </c>
      <c r="C8107" t="s">
        <v>41</v>
      </c>
      <c r="D8107" s="8"/>
      <c r="E8107" s="8"/>
      <c r="M8107" t="s">
        <v>481</v>
      </c>
      <c r="N8107" t="str">
        <f>Tabela_tudo[[#This Row],[Médico]]&amp;" ("&amp;Tabela_tudo[[#This Row],[Obs]]&amp;")"</f>
        <v>ORO ()</v>
      </c>
    </row>
    <row r="8108" spans="1:14" x14ac:dyDescent="0.3">
      <c r="A8108" s="1">
        <v>45159</v>
      </c>
      <c r="B8108" t="s">
        <v>27</v>
      </c>
      <c r="C8108" t="s">
        <v>10</v>
      </c>
      <c r="D8108" s="8"/>
      <c r="E8108" s="8"/>
      <c r="M8108" t="s">
        <v>481</v>
      </c>
      <c r="N8108" t="str">
        <f>Tabela_tudo[[#This Row],[Médico]]&amp;" ("&amp;Tabela_tudo[[#This Row],[Obs]]&amp;")"</f>
        <v>KIL ()</v>
      </c>
    </row>
    <row r="8109" spans="1:14" x14ac:dyDescent="0.3">
      <c r="A8109" s="1">
        <v>45178</v>
      </c>
      <c r="B8109" t="s">
        <v>42</v>
      </c>
      <c r="C8109" t="s">
        <v>13</v>
      </c>
      <c r="D8109" s="8"/>
      <c r="E8109" s="8"/>
      <c r="M8109" t="s">
        <v>479</v>
      </c>
      <c r="N8109" t="str">
        <f>Tabela_tudo[[#This Row],[Médico]]&amp;" ("&amp;Tabela_tudo[[#This Row],[Obs]]&amp;")"</f>
        <v>SAK ()</v>
      </c>
    </row>
    <row r="8110" spans="1:14" x14ac:dyDescent="0.3">
      <c r="A8110" s="1">
        <v>45099</v>
      </c>
      <c r="B8110" t="s">
        <v>112</v>
      </c>
      <c r="C8110" t="s">
        <v>41</v>
      </c>
      <c r="D8110" s="8"/>
      <c r="E8110" s="8"/>
      <c r="M8110" t="s">
        <v>479</v>
      </c>
      <c r="N8110" t="str">
        <f>Tabela_tudo[[#This Row],[Médico]]&amp;" ("&amp;Tabela_tudo[[#This Row],[Obs]]&amp;")"</f>
        <v>FLE ()</v>
      </c>
    </row>
    <row r="8111" spans="1:14" x14ac:dyDescent="0.3">
      <c r="A8111" s="1">
        <v>45099</v>
      </c>
      <c r="B8111" t="s">
        <v>9</v>
      </c>
      <c r="C8111" t="s">
        <v>10</v>
      </c>
      <c r="D8111" s="8"/>
      <c r="E8111" s="8"/>
      <c r="M8111" t="s">
        <v>481</v>
      </c>
      <c r="N8111" t="str">
        <f>Tabela_tudo[[#This Row],[Médico]]&amp;" ("&amp;Tabela_tudo[[#This Row],[Obs]]&amp;")"</f>
        <v>KRE ()</v>
      </c>
    </row>
    <row r="8112" spans="1:14" x14ac:dyDescent="0.3">
      <c r="A8112" s="1">
        <v>45099</v>
      </c>
      <c r="B8112" t="s">
        <v>36</v>
      </c>
      <c r="C8112" t="s">
        <v>10</v>
      </c>
      <c r="D8112" s="8"/>
      <c r="E8112" s="8"/>
      <c r="M8112" t="s">
        <v>481</v>
      </c>
      <c r="N8112" t="str">
        <f>Tabela_tudo[[#This Row],[Médico]]&amp;" ("&amp;Tabela_tudo[[#This Row],[Obs]]&amp;")"</f>
        <v>DRI ()</v>
      </c>
    </row>
    <row r="8113" spans="1:14" x14ac:dyDescent="0.3">
      <c r="A8113" s="1">
        <v>45099</v>
      </c>
      <c r="B8113" t="s">
        <v>98</v>
      </c>
      <c r="C8113" t="s">
        <v>10</v>
      </c>
      <c r="D8113" s="8"/>
      <c r="E8113" s="8"/>
      <c r="M8113" t="s">
        <v>479</v>
      </c>
      <c r="N8113" t="str">
        <f>Tabela_tudo[[#This Row],[Médico]]&amp;" ("&amp;Tabela_tudo[[#This Row],[Obs]]&amp;")"</f>
        <v>NIC ()</v>
      </c>
    </row>
    <row r="8114" spans="1:14" x14ac:dyDescent="0.3">
      <c r="A8114" s="1">
        <v>45102</v>
      </c>
      <c r="B8114" t="s">
        <v>61</v>
      </c>
      <c r="C8114" t="s">
        <v>13</v>
      </c>
      <c r="D8114" s="8"/>
      <c r="E8114" s="8"/>
      <c r="M8114" t="s">
        <v>477</v>
      </c>
      <c r="N8114" t="str">
        <f>Tabela_tudo[[#This Row],[Médico]]&amp;" ("&amp;Tabela_tudo[[#This Row],[Obs]]&amp;")"</f>
        <v>AD ()</v>
      </c>
    </row>
    <row r="8115" spans="1:14" x14ac:dyDescent="0.3">
      <c r="A8115" s="1">
        <v>45101</v>
      </c>
      <c r="B8115" t="s">
        <v>98</v>
      </c>
      <c r="C8115" t="s">
        <v>10</v>
      </c>
      <c r="D8115" s="8"/>
      <c r="E8115" s="8"/>
      <c r="M8115" t="s">
        <v>479</v>
      </c>
      <c r="N8115" t="str">
        <f>Tabela_tudo[[#This Row],[Médico]]&amp;" ("&amp;Tabela_tudo[[#This Row],[Obs]]&amp;")"</f>
        <v>NIC ()</v>
      </c>
    </row>
    <row r="8116" spans="1:14" x14ac:dyDescent="0.3">
      <c r="A8116" s="1">
        <v>45125</v>
      </c>
      <c r="B8116" t="s">
        <v>62</v>
      </c>
      <c r="C8116" t="s">
        <v>41</v>
      </c>
      <c r="D8116" s="8"/>
      <c r="E8116" s="8"/>
      <c r="M8116" t="s">
        <v>477</v>
      </c>
      <c r="N8116" t="str">
        <f>Tabela_tudo[[#This Row],[Médico]]&amp;" ("&amp;Tabela_tudo[[#This Row],[Obs]]&amp;")"</f>
        <v>RKS ()</v>
      </c>
    </row>
    <row r="8117" spans="1:14" x14ac:dyDescent="0.3">
      <c r="A8117" s="1">
        <v>45112</v>
      </c>
      <c r="B8117" t="s">
        <v>40</v>
      </c>
      <c r="C8117" t="s">
        <v>10</v>
      </c>
      <c r="D8117" s="8"/>
      <c r="E8117" s="8"/>
      <c r="M8117" t="s">
        <v>481</v>
      </c>
      <c r="N8117" t="str">
        <f>Tabela_tudo[[#This Row],[Médico]]&amp;" ("&amp;Tabela_tudo[[#This Row],[Obs]]&amp;")"</f>
        <v>EMA ()</v>
      </c>
    </row>
    <row r="8118" spans="1:14" x14ac:dyDescent="0.3">
      <c r="A8118" s="1">
        <v>45101</v>
      </c>
      <c r="B8118" t="s">
        <v>36</v>
      </c>
      <c r="C8118" t="s">
        <v>10</v>
      </c>
      <c r="D8118" s="8"/>
      <c r="E8118" s="8"/>
      <c r="M8118" t="s">
        <v>481</v>
      </c>
      <c r="N8118" t="str">
        <f>Tabela_tudo[[#This Row],[Médico]]&amp;" ("&amp;Tabela_tudo[[#This Row],[Obs]]&amp;")"</f>
        <v>DRI ()</v>
      </c>
    </row>
    <row r="8119" spans="1:14" x14ac:dyDescent="0.3">
      <c r="A8119" s="1">
        <v>45210</v>
      </c>
      <c r="B8119" t="s">
        <v>27</v>
      </c>
      <c r="C8119" t="s">
        <v>10</v>
      </c>
      <c r="D8119" s="8"/>
      <c r="E8119" s="8"/>
      <c r="M8119" t="s">
        <v>481</v>
      </c>
      <c r="N8119" t="str">
        <f>Tabela_tudo[[#This Row],[Médico]]&amp;" ("&amp;Tabela_tudo[[#This Row],[Obs]]&amp;")"</f>
        <v>KIL ()</v>
      </c>
    </row>
    <row r="8120" spans="1:14" x14ac:dyDescent="0.3">
      <c r="A8120" s="1">
        <v>45210</v>
      </c>
      <c r="B8120" t="s">
        <v>112</v>
      </c>
      <c r="C8120" t="s">
        <v>8</v>
      </c>
      <c r="D8120" s="8"/>
      <c r="E8120" s="8"/>
      <c r="M8120" t="s">
        <v>479</v>
      </c>
      <c r="N8120" t="str">
        <f>Tabela_tudo[[#This Row],[Médico]]&amp;" ("&amp;Tabela_tudo[[#This Row],[Obs]]&amp;")"</f>
        <v>FLE ()</v>
      </c>
    </row>
    <row r="8121" spans="1:14" x14ac:dyDescent="0.3">
      <c r="A8121" s="1">
        <v>45210</v>
      </c>
      <c r="B8121" t="s">
        <v>61</v>
      </c>
      <c r="C8121" t="s">
        <v>13</v>
      </c>
      <c r="D8121" s="8"/>
      <c r="E8121" s="8"/>
      <c r="M8121" t="s">
        <v>477</v>
      </c>
      <c r="N8121" t="str">
        <f>Tabela_tudo[[#This Row],[Médico]]&amp;" ("&amp;Tabela_tudo[[#This Row],[Obs]]&amp;")"</f>
        <v>AD ()</v>
      </c>
    </row>
    <row r="8122" spans="1:14" x14ac:dyDescent="0.3">
      <c r="A8122" s="1">
        <v>45159</v>
      </c>
      <c r="B8122" t="s">
        <v>80</v>
      </c>
      <c r="C8122" t="s">
        <v>41</v>
      </c>
      <c r="D8122" s="8"/>
      <c r="E8122" s="8"/>
      <c r="M8122" t="s">
        <v>477</v>
      </c>
      <c r="N8122" t="str">
        <f>Tabela_tudo[[#This Row],[Médico]]&amp;" ("&amp;Tabela_tudo[[#This Row],[Obs]]&amp;")"</f>
        <v>REC ()</v>
      </c>
    </row>
    <row r="8123" spans="1:14" x14ac:dyDescent="0.3">
      <c r="A8123" s="1">
        <v>45111</v>
      </c>
      <c r="B8123" t="s">
        <v>35</v>
      </c>
      <c r="C8123" t="s">
        <v>10</v>
      </c>
      <c r="D8123" s="8"/>
      <c r="E8123" s="8"/>
      <c r="M8123" t="s">
        <v>479</v>
      </c>
      <c r="N8123" t="str">
        <f>Tabela_tudo[[#This Row],[Médico]]&amp;" ("&amp;Tabela_tudo[[#This Row],[Obs]]&amp;")"</f>
        <v>FLA ()</v>
      </c>
    </row>
    <row r="8124" spans="1:14" x14ac:dyDescent="0.3">
      <c r="A8124" s="1">
        <v>45111</v>
      </c>
      <c r="B8124" t="s">
        <v>103</v>
      </c>
      <c r="C8124" t="s">
        <v>10</v>
      </c>
      <c r="D8124" s="8"/>
      <c r="E8124" s="8"/>
      <c r="M8124" t="s">
        <v>481</v>
      </c>
      <c r="N8124" t="str">
        <f>Tabela_tudo[[#This Row],[Médico]]&amp;" ("&amp;Tabela_tudo[[#This Row],[Obs]]&amp;")"</f>
        <v>CAD ()</v>
      </c>
    </row>
    <row r="8125" spans="1:14" x14ac:dyDescent="0.3">
      <c r="A8125" s="1">
        <v>45159</v>
      </c>
      <c r="B8125" t="s">
        <v>39</v>
      </c>
      <c r="C8125" t="s">
        <v>41</v>
      </c>
      <c r="D8125" s="8"/>
      <c r="E8125" s="8"/>
      <c r="M8125" t="s">
        <v>479</v>
      </c>
      <c r="N8125" t="str">
        <f>Tabela_tudo[[#This Row],[Médico]]&amp;" ("&amp;Tabela_tudo[[#This Row],[Obs]]&amp;")"</f>
        <v>KLA ()</v>
      </c>
    </row>
    <row r="8126" spans="1:14" x14ac:dyDescent="0.3">
      <c r="A8126" s="1">
        <v>45111</v>
      </c>
      <c r="B8126" t="s">
        <v>27</v>
      </c>
      <c r="C8126" t="s">
        <v>41</v>
      </c>
      <c r="D8126" s="8"/>
      <c r="E8126" s="8"/>
      <c r="M8126" t="s">
        <v>481</v>
      </c>
      <c r="N8126" t="str">
        <f>Tabela_tudo[[#This Row],[Médico]]&amp;" ("&amp;Tabela_tudo[[#This Row],[Obs]]&amp;")"</f>
        <v>KIL ()</v>
      </c>
    </row>
    <row r="8127" spans="1:14" x14ac:dyDescent="0.3">
      <c r="A8127" s="1">
        <v>45111</v>
      </c>
      <c r="B8127" t="s">
        <v>60</v>
      </c>
      <c r="C8127" t="s">
        <v>41</v>
      </c>
      <c r="D8127" s="8"/>
      <c r="E8127" s="8"/>
      <c r="M8127" t="s">
        <v>477</v>
      </c>
      <c r="N8127" t="str">
        <f>Tabela_tudo[[#This Row],[Médico]]&amp;" ("&amp;Tabela_tudo[[#This Row],[Obs]]&amp;")"</f>
        <v>BMT ()</v>
      </c>
    </row>
    <row r="8128" spans="1:14" x14ac:dyDescent="0.3">
      <c r="A8128" s="1">
        <v>45159</v>
      </c>
      <c r="B8128" t="s">
        <v>61</v>
      </c>
      <c r="C8128" t="s">
        <v>8</v>
      </c>
      <c r="D8128" s="8"/>
      <c r="E8128" s="8"/>
      <c r="M8128" t="s">
        <v>477</v>
      </c>
      <c r="N8128" t="str">
        <f>Tabela_tudo[[#This Row],[Médico]]&amp;" ("&amp;Tabela_tudo[[#This Row],[Obs]]&amp;")"</f>
        <v>AD ()</v>
      </c>
    </row>
    <row r="8129" spans="1:14" x14ac:dyDescent="0.3">
      <c r="A8129" s="1">
        <v>45202</v>
      </c>
      <c r="B8129" t="s">
        <v>80</v>
      </c>
      <c r="C8129" t="s">
        <v>13</v>
      </c>
      <c r="D8129" s="8"/>
      <c r="E8129" s="8"/>
      <c r="M8129" t="s">
        <v>477</v>
      </c>
      <c r="N8129" t="str">
        <f>Tabela_tudo[[#This Row],[Médico]]&amp;" ("&amp;Tabela_tudo[[#This Row],[Obs]]&amp;")"</f>
        <v>REC ()</v>
      </c>
    </row>
    <row r="8130" spans="1:14" x14ac:dyDescent="0.3">
      <c r="A8130" s="1">
        <v>45097</v>
      </c>
      <c r="B8130" t="s">
        <v>98</v>
      </c>
      <c r="C8130" t="s">
        <v>10</v>
      </c>
      <c r="D8130" s="8"/>
      <c r="E8130" s="8"/>
      <c r="M8130" t="s">
        <v>479</v>
      </c>
      <c r="N8130" t="str">
        <f>Tabela_tudo[[#This Row],[Médico]]&amp;" ("&amp;Tabela_tudo[[#This Row],[Obs]]&amp;")"</f>
        <v>NIC ()</v>
      </c>
    </row>
    <row r="8131" spans="1:14" x14ac:dyDescent="0.3">
      <c r="A8131" s="1">
        <v>45097</v>
      </c>
      <c r="B8131" t="s">
        <v>69</v>
      </c>
      <c r="C8131" t="s">
        <v>41</v>
      </c>
      <c r="D8131" s="8"/>
      <c r="E8131" s="8"/>
      <c r="M8131" t="s">
        <v>479</v>
      </c>
      <c r="N8131" t="str">
        <f>Tabela_tudo[[#This Row],[Médico]]&amp;" ("&amp;Tabela_tudo[[#This Row],[Obs]]&amp;")"</f>
        <v>PRE ()</v>
      </c>
    </row>
    <row r="8132" spans="1:14" x14ac:dyDescent="0.3">
      <c r="A8132" s="1">
        <v>45202</v>
      </c>
      <c r="B8132" t="s">
        <v>79</v>
      </c>
      <c r="C8132" t="s">
        <v>8</v>
      </c>
      <c r="D8132" s="8"/>
      <c r="E8132" s="8"/>
      <c r="M8132" t="s">
        <v>481</v>
      </c>
      <c r="N8132" t="str">
        <f>Tabela_tudo[[#This Row],[Médico]]&amp;" ("&amp;Tabela_tudo[[#This Row],[Obs]]&amp;")"</f>
        <v>MTB ()</v>
      </c>
    </row>
    <row r="8133" spans="1:14" x14ac:dyDescent="0.3">
      <c r="A8133" s="1">
        <v>45202</v>
      </c>
      <c r="B8133" t="s">
        <v>9</v>
      </c>
      <c r="C8133" t="s">
        <v>10</v>
      </c>
      <c r="D8133" s="8"/>
      <c r="E8133" s="8"/>
      <c r="M8133" t="s">
        <v>481</v>
      </c>
      <c r="N8133" t="str">
        <f>Tabela_tudo[[#This Row],[Médico]]&amp;" ("&amp;Tabela_tudo[[#This Row],[Obs]]&amp;")"</f>
        <v>KRE ()</v>
      </c>
    </row>
    <row r="8134" spans="1:14" x14ac:dyDescent="0.3">
      <c r="A8134" s="1">
        <v>45202</v>
      </c>
      <c r="B8134" t="s">
        <v>35</v>
      </c>
      <c r="C8134" t="s">
        <v>10</v>
      </c>
      <c r="D8134" s="8"/>
      <c r="E8134" s="8"/>
      <c r="M8134" t="s">
        <v>479</v>
      </c>
      <c r="N8134" t="str">
        <f>Tabela_tudo[[#This Row],[Médico]]&amp;" ("&amp;Tabela_tudo[[#This Row],[Obs]]&amp;")"</f>
        <v>FLA ()</v>
      </c>
    </row>
    <row r="8135" spans="1:14" x14ac:dyDescent="0.3">
      <c r="A8135" s="1">
        <v>45202</v>
      </c>
      <c r="B8135" t="s">
        <v>27</v>
      </c>
      <c r="C8135" t="s">
        <v>10</v>
      </c>
      <c r="D8135" s="8"/>
      <c r="E8135" s="8"/>
      <c r="M8135" t="s">
        <v>481</v>
      </c>
      <c r="N8135" t="str">
        <f>Tabela_tudo[[#This Row],[Médico]]&amp;" ("&amp;Tabela_tudo[[#This Row],[Obs]]&amp;")"</f>
        <v>KIL ()</v>
      </c>
    </row>
    <row r="8136" spans="1:14" x14ac:dyDescent="0.3">
      <c r="A8136" s="1">
        <v>45173</v>
      </c>
      <c r="B8136" t="s">
        <v>96</v>
      </c>
      <c r="C8136" t="s">
        <v>8</v>
      </c>
      <c r="D8136" s="8"/>
      <c r="E8136" s="8"/>
      <c r="M8136" t="s">
        <v>477</v>
      </c>
      <c r="N8136" t="str">
        <f>Tabela_tudo[[#This Row],[Médico]]&amp;" ("&amp;Tabela_tudo[[#This Row],[Obs]]&amp;")"</f>
        <v>VF ()</v>
      </c>
    </row>
    <row r="8137" spans="1:14" x14ac:dyDescent="0.3">
      <c r="A8137" s="1">
        <v>45103</v>
      </c>
      <c r="B8137" t="s">
        <v>36</v>
      </c>
      <c r="C8137" t="s">
        <v>10</v>
      </c>
      <c r="D8137" s="8"/>
      <c r="E8137" s="8"/>
      <c r="M8137" t="s">
        <v>481</v>
      </c>
      <c r="N8137" t="str">
        <f>Tabela_tudo[[#This Row],[Médico]]&amp;" ("&amp;Tabela_tudo[[#This Row],[Obs]]&amp;")"</f>
        <v>DRI ()</v>
      </c>
    </row>
    <row r="8138" spans="1:14" x14ac:dyDescent="0.3">
      <c r="A8138" s="1">
        <v>45176</v>
      </c>
      <c r="B8138" t="s">
        <v>40</v>
      </c>
      <c r="C8138" t="s">
        <v>13</v>
      </c>
      <c r="D8138" s="8"/>
      <c r="E8138" s="8"/>
      <c r="M8138" t="s">
        <v>481</v>
      </c>
      <c r="N8138" t="str">
        <f>Tabela_tudo[[#This Row],[Médico]]&amp;" ("&amp;Tabela_tudo[[#This Row],[Obs]]&amp;")"</f>
        <v>EMA ()</v>
      </c>
    </row>
    <row r="8139" spans="1:14" x14ac:dyDescent="0.3">
      <c r="A8139" s="1">
        <v>45173</v>
      </c>
      <c r="B8139" t="s">
        <v>27</v>
      </c>
      <c r="C8139" t="s">
        <v>13</v>
      </c>
      <c r="D8139" s="8"/>
      <c r="E8139" s="8"/>
      <c r="M8139" t="s">
        <v>481</v>
      </c>
      <c r="N8139" t="str">
        <f>Tabela_tudo[[#This Row],[Médico]]&amp;" ("&amp;Tabela_tudo[[#This Row],[Obs]]&amp;")"</f>
        <v>KIL ()</v>
      </c>
    </row>
    <row r="8140" spans="1:14" x14ac:dyDescent="0.3">
      <c r="A8140" s="1">
        <v>45097</v>
      </c>
      <c r="B8140" t="s">
        <v>80</v>
      </c>
      <c r="C8140" t="s">
        <v>41</v>
      </c>
      <c r="D8140" s="8"/>
      <c r="E8140" s="8"/>
      <c r="M8140" t="s">
        <v>477</v>
      </c>
      <c r="N8140" t="str">
        <f>Tabela_tudo[[#This Row],[Médico]]&amp;" ("&amp;Tabela_tudo[[#This Row],[Obs]]&amp;")"</f>
        <v>REC ()</v>
      </c>
    </row>
    <row r="8141" spans="1:14" x14ac:dyDescent="0.3">
      <c r="A8141" s="1">
        <v>45112</v>
      </c>
      <c r="B8141" t="s">
        <v>83</v>
      </c>
      <c r="C8141" t="s">
        <v>13</v>
      </c>
      <c r="D8141" s="8"/>
      <c r="E8141" s="8"/>
      <c r="M8141" t="s">
        <v>477</v>
      </c>
      <c r="N8141" t="str">
        <f>Tabela_tudo[[#This Row],[Médico]]&amp;" ("&amp;Tabela_tudo[[#This Row],[Obs]]&amp;")"</f>
        <v>MG ()</v>
      </c>
    </row>
    <row r="8142" spans="1:14" x14ac:dyDescent="0.3">
      <c r="A8142" s="1">
        <v>45112</v>
      </c>
      <c r="B8142" t="s">
        <v>39</v>
      </c>
      <c r="C8142" t="s">
        <v>8</v>
      </c>
      <c r="D8142" s="8"/>
      <c r="E8142" s="8"/>
      <c r="M8142" t="s">
        <v>479</v>
      </c>
      <c r="N8142" t="str">
        <f>Tabela_tudo[[#This Row],[Médico]]&amp;" ("&amp;Tabela_tudo[[#This Row],[Obs]]&amp;")"</f>
        <v>KLA ()</v>
      </c>
    </row>
    <row r="8143" spans="1:14" x14ac:dyDescent="0.3">
      <c r="A8143" s="1">
        <v>45202</v>
      </c>
      <c r="B8143" t="s">
        <v>103</v>
      </c>
      <c r="C8143" t="s">
        <v>41</v>
      </c>
      <c r="D8143" s="8"/>
      <c r="E8143" s="8"/>
      <c r="M8143" t="s">
        <v>481</v>
      </c>
      <c r="N8143" t="str">
        <f>Tabela_tudo[[#This Row],[Médico]]&amp;" ("&amp;Tabela_tudo[[#This Row],[Obs]]&amp;")"</f>
        <v>CAD ()</v>
      </c>
    </row>
    <row r="8144" spans="1:14" x14ac:dyDescent="0.3">
      <c r="A8144" s="1">
        <v>45171</v>
      </c>
      <c r="B8144" t="s">
        <v>38</v>
      </c>
      <c r="C8144" t="s">
        <v>10</v>
      </c>
      <c r="D8144" s="8"/>
      <c r="E8144" s="8"/>
      <c r="M8144" t="s">
        <v>481</v>
      </c>
      <c r="N8144" t="str">
        <f>Tabela_tudo[[#This Row],[Médico]]&amp;" ("&amp;Tabela_tudo[[#This Row],[Obs]]&amp;")"</f>
        <v>ORO ()</v>
      </c>
    </row>
    <row r="8145" spans="1:14" x14ac:dyDescent="0.3">
      <c r="A8145" s="1">
        <v>45171</v>
      </c>
      <c r="B8145" t="s">
        <v>103</v>
      </c>
      <c r="C8145" t="s">
        <v>10</v>
      </c>
      <c r="D8145" s="8"/>
      <c r="E8145" s="8"/>
      <c r="M8145" t="s">
        <v>481</v>
      </c>
      <c r="N8145" t="str">
        <f>Tabela_tudo[[#This Row],[Médico]]&amp;" ("&amp;Tabela_tudo[[#This Row],[Obs]]&amp;")"</f>
        <v>CAD ()</v>
      </c>
    </row>
    <row r="8146" spans="1:14" x14ac:dyDescent="0.3">
      <c r="A8146" s="1">
        <v>45171</v>
      </c>
      <c r="B8146" t="s">
        <v>79</v>
      </c>
      <c r="C8146" t="s">
        <v>10</v>
      </c>
      <c r="D8146" s="8"/>
      <c r="E8146" s="8"/>
      <c r="M8146" t="s">
        <v>481</v>
      </c>
      <c r="N8146" t="str">
        <f>Tabela_tudo[[#This Row],[Médico]]&amp;" ("&amp;Tabela_tudo[[#This Row],[Obs]]&amp;")"</f>
        <v>MTB ()</v>
      </c>
    </row>
    <row r="8147" spans="1:14" x14ac:dyDescent="0.3">
      <c r="A8147" s="1">
        <v>45171</v>
      </c>
      <c r="B8147" t="s">
        <v>9</v>
      </c>
      <c r="C8147" t="s">
        <v>78</v>
      </c>
      <c r="D8147" s="8"/>
      <c r="E8147" s="8"/>
      <c r="M8147" t="s">
        <v>481</v>
      </c>
      <c r="N8147" t="str">
        <f>Tabela_tudo[[#This Row],[Médico]]&amp;" ("&amp;Tabela_tudo[[#This Row],[Obs]]&amp;")"</f>
        <v>KRE ()</v>
      </c>
    </row>
    <row r="8148" spans="1:14" x14ac:dyDescent="0.3">
      <c r="A8148" s="1">
        <v>45132</v>
      </c>
      <c r="B8148" t="s">
        <v>80</v>
      </c>
      <c r="C8148" t="s">
        <v>41</v>
      </c>
      <c r="D8148" s="8"/>
      <c r="E8148" s="8"/>
      <c r="M8148" t="s">
        <v>477</v>
      </c>
      <c r="N8148" t="str">
        <f>Tabela_tudo[[#This Row],[Médico]]&amp;" ("&amp;Tabela_tudo[[#This Row],[Obs]]&amp;")"</f>
        <v>REC ()</v>
      </c>
    </row>
    <row r="8149" spans="1:14" x14ac:dyDescent="0.3">
      <c r="A8149" s="1">
        <v>45171</v>
      </c>
      <c r="B8149" t="s">
        <v>98</v>
      </c>
      <c r="C8149" t="s">
        <v>13</v>
      </c>
      <c r="D8149" s="8"/>
      <c r="E8149" s="8"/>
      <c r="M8149" t="s">
        <v>479</v>
      </c>
      <c r="N8149" t="str">
        <f>Tabela_tudo[[#This Row],[Médico]]&amp;" ("&amp;Tabela_tudo[[#This Row],[Obs]]&amp;")"</f>
        <v>NIC ()</v>
      </c>
    </row>
    <row r="8150" spans="1:14" x14ac:dyDescent="0.3">
      <c r="A8150" s="1">
        <v>45171</v>
      </c>
      <c r="B8150" t="s">
        <v>149</v>
      </c>
      <c r="C8150" t="s">
        <v>8</v>
      </c>
      <c r="D8150" s="8"/>
      <c r="E8150" s="8"/>
      <c r="M8150" t="s">
        <v>477</v>
      </c>
      <c r="N8150" t="str">
        <f>Tabela_tudo[[#This Row],[Médico]]&amp;" ("&amp;Tabela_tudo[[#This Row],[Obs]]&amp;")"</f>
        <v>NF ()</v>
      </c>
    </row>
    <row r="8151" spans="1:14" x14ac:dyDescent="0.3">
      <c r="A8151" s="1">
        <v>45097</v>
      </c>
      <c r="B8151" t="s">
        <v>9</v>
      </c>
      <c r="C8151" t="s">
        <v>10</v>
      </c>
      <c r="D8151" s="8"/>
      <c r="E8151" s="8"/>
      <c r="M8151" t="s">
        <v>481</v>
      </c>
      <c r="N8151" t="str">
        <f>Tabela_tudo[[#This Row],[Médico]]&amp;" ("&amp;Tabela_tudo[[#This Row],[Obs]]&amp;")"</f>
        <v>KRE ()</v>
      </c>
    </row>
    <row r="8152" spans="1:14" x14ac:dyDescent="0.3">
      <c r="A8152" s="1">
        <v>45097</v>
      </c>
      <c r="B8152" t="s">
        <v>36</v>
      </c>
      <c r="C8152" t="s">
        <v>10</v>
      </c>
      <c r="D8152" s="8"/>
      <c r="E8152" s="8"/>
      <c r="M8152" t="s">
        <v>481</v>
      </c>
      <c r="N8152" t="str">
        <f>Tabela_tudo[[#This Row],[Médico]]&amp;" ("&amp;Tabela_tudo[[#This Row],[Obs]]&amp;")"</f>
        <v>DRI ()</v>
      </c>
    </row>
    <row r="8153" spans="1:14" x14ac:dyDescent="0.3">
      <c r="A8153" s="1">
        <v>45202</v>
      </c>
      <c r="B8153" t="s">
        <v>83</v>
      </c>
      <c r="C8153" t="s">
        <v>41</v>
      </c>
      <c r="D8153" s="8"/>
      <c r="E8153" s="8"/>
      <c r="M8153" t="s">
        <v>477</v>
      </c>
      <c r="N8153" t="str">
        <f>Tabela_tudo[[#This Row],[Médico]]&amp;" ("&amp;Tabela_tudo[[#This Row],[Obs]]&amp;")"</f>
        <v>MG ()</v>
      </c>
    </row>
    <row r="8154" spans="1:14" x14ac:dyDescent="0.3">
      <c r="A8154" s="1">
        <v>45097</v>
      </c>
      <c r="B8154" t="s">
        <v>35</v>
      </c>
      <c r="C8154" t="s">
        <v>8</v>
      </c>
      <c r="D8154" s="8"/>
      <c r="E8154" s="8"/>
      <c r="M8154" t="s">
        <v>479</v>
      </c>
      <c r="N8154" t="str">
        <f>Tabela_tudo[[#This Row],[Médico]]&amp;" ("&amp;Tabela_tudo[[#This Row],[Obs]]&amp;")"</f>
        <v>FLA ()</v>
      </c>
    </row>
    <row r="8155" spans="1:14" x14ac:dyDescent="0.3">
      <c r="A8155" s="1">
        <v>45103</v>
      </c>
      <c r="B8155" t="s">
        <v>61</v>
      </c>
      <c r="C8155" t="s">
        <v>41</v>
      </c>
      <c r="D8155" s="8"/>
      <c r="E8155" s="8"/>
      <c r="M8155" t="s">
        <v>477</v>
      </c>
      <c r="N8155" t="str">
        <f>Tabela_tudo[[#This Row],[Médico]]&amp;" ("&amp;Tabela_tudo[[#This Row],[Obs]]&amp;")"</f>
        <v>AD ()</v>
      </c>
    </row>
    <row r="8156" spans="1:14" x14ac:dyDescent="0.3">
      <c r="A8156" s="1">
        <v>45103</v>
      </c>
      <c r="B8156" t="s">
        <v>98</v>
      </c>
      <c r="C8156" t="s">
        <v>10</v>
      </c>
      <c r="D8156" s="8"/>
      <c r="E8156" s="8"/>
      <c r="M8156" t="s">
        <v>479</v>
      </c>
      <c r="N8156" t="str">
        <f>Tabela_tudo[[#This Row],[Médico]]&amp;" ("&amp;Tabela_tudo[[#This Row],[Obs]]&amp;")"</f>
        <v>NIC ()</v>
      </c>
    </row>
    <row r="8157" spans="1:14" x14ac:dyDescent="0.3">
      <c r="A8157" s="1">
        <v>45097</v>
      </c>
      <c r="B8157" t="s">
        <v>149</v>
      </c>
      <c r="C8157" t="s">
        <v>13</v>
      </c>
      <c r="D8157" s="8"/>
      <c r="E8157" s="8"/>
      <c r="M8157" t="s">
        <v>477</v>
      </c>
      <c r="N8157" t="str">
        <f>Tabela_tudo[[#This Row],[Médico]]&amp;" ("&amp;Tabela_tudo[[#This Row],[Obs]]&amp;")"</f>
        <v>NF ()</v>
      </c>
    </row>
    <row r="8158" spans="1:14" x14ac:dyDescent="0.3">
      <c r="A8158" s="1">
        <v>45173</v>
      </c>
      <c r="B8158" t="s">
        <v>9</v>
      </c>
      <c r="C8158" t="s">
        <v>41</v>
      </c>
      <c r="D8158" s="8"/>
      <c r="E8158" s="8"/>
      <c r="M8158" t="s">
        <v>481</v>
      </c>
      <c r="N8158" t="str">
        <f>Tabela_tudo[[#This Row],[Médico]]&amp;" ("&amp;Tabela_tudo[[#This Row],[Obs]]&amp;")"</f>
        <v>KRE ()</v>
      </c>
    </row>
    <row r="8159" spans="1:14" x14ac:dyDescent="0.3">
      <c r="A8159" s="1">
        <v>45201</v>
      </c>
      <c r="B8159" t="s">
        <v>40</v>
      </c>
      <c r="C8159" t="s">
        <v>41</v>
      </c>
      <c r="D8159" s="8"/>
      <c r="E8159" s="8"/>
      <c r="M8159" t="s">
        <v>481</v>
      </c>
      <c r="N8159" t="str">
        <f>Tabela_tudo[[#This Row],[Médico]]&amp;" ("&amp;Tabela_tudo[[#This Row],[Obs]]&amp;")"</f>
        <v>EMA ()</v>
      </c>
    </row>
    <row r="8160" spans="1:14" x14ac:dyDescent="0.3">
      <c r="A8160" s="1">
        <v>45201</v>
      </c>
      <c r="B8160" t="s">
        <v>9</v>
      </c>
      <c r="C8160" t="s">
        <v>10</v>
      </c>
      <c r="D8160" s="8"/>
      <c r="E8160" s="8"/>
      <c r="M8160" t="s">
        <v>481</v>
      </c>
      <c r="N8160" t="str">
        <f>Tabela_tudo[[#This Row],[Médico]]&amp;" ("&amp;Tabela_tudo[[#This Row],[Obs]]&amp;")"</f>
        <v>KRE ()</v>
      </c>
    </row>
    <row r="8161" spans="1:14" x14ac:dyDescent="0.3">
      <c r="A8161" s="1">
        <v>45173</v>
      </c>
      <c r="B8161" t="s">
        <v>149</v>
      </c>
      <c r="C8161" t="s">
        <v>41</v>
      </c>
      <c r="D8161" s="8"/>
      <c r="E8161" s="8"/>
      <c r="M8161" t="s">
        <v>477</v>
      </c>
      <c r="N8161" t="str">
        <f>Tabela_tudo[[#This Row],[Médico]]&amp;" ("&amp;Tabela_tudo[[#This Row],[Obs]]&amp;")"</f>
        <v>NF ()</v>
      </c>
    </row>
    <row r="8162" spans="1:14" x14ac:dyDescent="0.3">
      <c r="A8162" s="1">
        <v>45201</v>
      </c>
      <c r="B8162" t="s">
        <v>69</v>
      </c>
      <c r="C8162" t="s">
        <v>41</v>
      </c>
      <c r="D8162" s="8"/>
      <c r="E8162" s="8"/>
      <c r="M8162" t="s">
        <v>479</v>
      </c>
      <c r="N8162" t="str">
        <f>Tabela_tudo[[#This Row],[Médico]]&amp;" ("&amp;Tabela_tudo[[#This Row],[Obs]]&amp;")"</f>
        <v>PRE ()</v>
      </c>
    </row>
    <row r="8163" spans="1:14" x14ac:dyDescent="0.3">
      <c r="A8163" s="1">
        <v>45201</v>
      </c>
      <c r="B8163" t="s">
        <v>61</v>
      </c>
      <c r="C8163" t="s">
        <v>41</v>
      </c>
      <c r="D8163" s="8"/>
      <c r="E8163" s="8"/>
      <c r="M8163" t="s">
        <v>477</v>
      </c>
      <c r="N8163" t="str">
        <f>Tabela_tudo[[#This Row],[Médico]]&amp;" ("&amp;Tabela_tudo[[#This Row],[Obs]]&amp;")"</f>
        <v>AD ()</v>
      </c>
    </row>
    <row r="8164" spans="1:14" x14ac:dyDescent="0.3">
      <c r="A8164" s="1">
        <v>45173</v>
      </c>
      <c r="B8164" t="s">
        <v>98</v>
      </c>
      <c r="C8164" t="s">
        <v>41</v>
      </c>
      <c r="D8164" s="8"/>
      <c r="E8164" s="8"/>
      <c r="M8164" t="s">
        <v>479</v>
      </c>
      <c r="N8164" t="str">
        <f>Tabela_tudo[[#This Row],[Médico]]&amp;" ("&amp;Tabela_tudo[[#This Row],[Obs]]&amp;")"</f>
        <v>NIC ()</v>
      </c>
    </row>
    <row r="8165" spans="1:14" x14ac:dyDescent="0.3">
      <c r="A8165" s="1">
        <v>45201</v>
      </c>
      <c r="B8165" t="s">
        <v>103</v>
      </c>
      <c r="C8165" t="s">
        <v>13</v>
      </c>
      <c r="D8165" s="8"/>
      <c r="E8165" s="8"/>
      <c r="M8165" t="s">
        <v>481</v>
      </c>
      <c r="N8165" t="str">
        <f>Tabela_tudo[[#This Row],[Médico]]&amp;" ("&amp;Tabela_tudo[[#This Row],[Obs]]&amp;")"</f>
        <v>CAD ()</v>
      </c>
    </row>
    <row r="8166" spans="1:14" x14ac:dyDescent="0.3">
      <c r="A8166" s="1">
        <v>45098</v>
      </c>
      <c r="B8166" t="s">
        <v>36</v>
      </c>
      <c r="C8166" t="s">
        <v>10</v>
      </c>
      <c r="D8166" s="8"/>
      <c r="E8166" s="8"/>
      <c r="M8166" t="s">
        <v>481</v>
      </c>
      <c r="N8166" t="str">
        <f>Tabela_tudo[[#This Row],[Médico]]&amp;" ("&amp;Tabela_tudo[[#This Row],[Obs]]&amp;")"</f>
        <v>DRI ()</v>
      </c>
    </row>
    <row r="8167" spans="1:14" x14ac:dyDescent="0.3">
      <c r="A8167" s="1">
        <v>45098</v>
      </c>
      <c r="B8167" t="s">
        <v>98</v>
      </c>
      <c r="C8167" t="s">
        <v>10</v>
      </c>
      <c r="D8167" s="8"/>
      <c r="E8167" s="8"/>
      <c r="M8167" t="s">
        <v>479</v>
      </c>
      <c r="N8167" t="str">
        <f>Tabela_tudo[[#This Row],[Médico]]&amp;" ("&amp;Tabela_tudo[[#This Row],[Obs]]&amp;")"</f>
        <v>NIC ()</v>
      </c>
    </row>
    <row r="8168" spans="1:14" x14ac:dyDescent="0.3">
      <c r="A8168" s="1">
        <v>45201</v>
      </c>
      <c r="B8168" t="s">
        <v>83</v>
      </c>
      <c r="C8168" t="s">
        <v>8</v>
      </c>
      <c r="D8168" s="8"/>
      <c r="E8168" s="8"/>
      <c r="M8168" t="s">
        <v>477</v>
      </c>
      <c r="N8168" t="str">
        <f>Tabela_tudo[[#This Row],[Médico]]&amp;" ("&amp;Tabela_tudo[[#This Row],[Obs]]&amp;")"</f>
        <v>MG ()</v>
      </c>
    </row>
    <row r="8169" spans="1:14" x14ac:dyDescent="0.3">
      <c r="A8169" s="1">
        <v>45201</v>
      </c>
      <c r="B8169" t="s">
        <v>35</v>
      </c>
      <c r="C8169" t="s">
        <v>10</v>
      </c>
      <c r="D8169" s="8"/>
      <c r="E8169" s="8"/>
      <c r="M8169" t="s">
        <v>479</v>
      </c>
      <c r="N8169" t="str">
        <f>Tabela_tudo[[#This Row],[Médico]]&amp;" ("&amp;Tabela_tudo[[#This Row],[Obs]]&amp;")"</f>
        <v>FLA ()</v>
      </c>
    </row>
    <row r="8170" spans="1:14" x14ac:dyDescent="0.3">
      <c r="A8170" s="1">
        <v>45125</v>
      </c>
      <c r="B8170" t="s">
        <v>59</v>
      </c>
      <c r="C8170" t="s">
        <v>13</v>
      </c>
      <c r="D8170" s="8"/>
      <c r="E8170" s="8"/>
      <c r="M8170" t="s">
        <v>477</v>
      </c>
      <c r="N8170" t="str">
        <f>Tabela_tudo[[#This Row],[Médico]]&amp;" ("&amp;Tabela_tudo[[#This Row],[Obs]]&amp;")"</f>
        <v>WEN ()</v>
      </c>
    </row>
    <row r="8171" spans="1:14" x14ac:dyDescent="0.3">
      <c r="A8171" s="1">
        <v>45201</v>
      </c>
      <c r="B8171" t="s">
        <v>27</v>
      </c>
      <c r="C8171" t="s">
        <v>10</v>
      </c>
      <c r="D8171" s="8"/>
      <c r="E8171" s="8"/>
      <c r="M8171" t="s">
        <v>481</v>
      </c>
      <c r="N8171" t="str">
        <f>Tabela_tudo[[#This Row],[Médico]]&amp;" ("&amp;Tabela_tudo[[#This Row],[Obs]]&amp;")"</f>
        <v>KIL ()</v>
      </c>
    </row>
    <row r="8172" spans="1:14" x14ac:dyDescent="0.3">
      <c r="A8172" s="1">
        <v>45098</v>
      </c>
      <c r="B8172" t="s">
        <v>9</v>
      </c>
      <c r="C8172" t="s">
        <v>10</v>
      </c>
      <c r="D8172" s="8"/>
      <c r="E8172" s="8"/>
      <c r="M8172" t="s">
        <v>481</v>
      </c>
      <c r="N8172" t="str">
        <f>Tabela_tudo[[#This Row],[Médico]]&amp;" ("&amp;Tabela_tudo[[#This Row],[Obs]]&amp;")"</f>
        <v>KRE ()</v>
      </c>
    </row>
    <row r="8173" spans="1:14" x14ac:dyDescent="0.3">
      <c r="A8173" s="1">
        <v>45173</v>
      </c>
      <c r="B8173" t="s">
        <v>103</v>
      </c>
      <c r="C8173" t="s">
        <v>10</v>
      </c>
      <c r="D8173" s="8"/>
      <c r="E8173" s="8"/>
      <c r="M8173" t="s">
        <v>481</v>
      </c>
      <c r="N8173" t="str">
        <f>Tabela_tudo[[#This Row],[Médico]]&amp;" ("&amp;Tabela_tudo[[#This Row],[Obs]]&amp;")"</f>
        <v>CAD ()</v>
      </c>
    </row>
    <row r="8174" spans="1:14" x14ac:dyDescent="0.3">
      <c r="A8174" s="1">
        <v>45173</v>
      </c>
      <c r="B8174" t="s">
        <v>79</v>
      </c>
      <c r="C8174" t="s">
        <v>10</v>
      </c>
      <c r="D8174" s="8"/>
      <c r="E8174" s="8"/>
      <c r="M8174" t="s">
        <v>481</v>
      </c>
      <c r="N8174" t="str">
        <f>Tabela_tudo[[#This Row],[Médico]]&amp;" ("&amp;Tabela_tudo[[#This Row],[Obs]]&amp;")"</f>
        <v>MTB ()</v>
      </c>
    </row>
    <row r="8175" spans="1:14" x14ac:dyDescent="0.3">
      <c r="A8175" s="1">
        <v>45155</v>
      </c>
      <c r="B8175" t="s">
        <v>36</v>
      </c>
      <c r="C8175" t="s">
        <v>10</v>
      </c>
      <c r="D8175" s="8"/>
      <c r="E8175" s="8"/>
      <c r="M8175" t="s">
        <v>481</v>
      </c>
      <c r="N8175" t="str">
        <f>Tabela_tudo[[#This Row],[Médico]]&amp;" ("&amp;Tabela_tudo[[#This Row],[Obs]]&amp;")"</f>
        <v>DRI ()</v>
      </c>
    </row>
    <row r="8176" spans="1:14" x14ac:dyDescent="0.3">
      <c r="A8176" s="1">
        <v>45155</v>
      </c>
      <c r="B8176" t="s">
        <v>40</v>
      </c>
      <c r="C8176" t="s">
        <v>10</v>
      </c>
      <c r="D8176" s="8"/>
      <c r="E8176" s="8"/>
      <c r="M8176" t="s">
        <v>481</v>
      </c>
      <c r="N8176" t="str">
        <f>Tabela_tudo[[#This Row],[Médico]]&amp;" ("&amp;Tabela_tudo[[#This Row],[Obs]]&amp;")"</f>
        <v>EMA ()</v>
      </c>
    </row>
    <row r="8177" spans="1:14" x14ac:dyDescent="0.3">
      <c r="A8177" s="1">
        <v>45173</v>
      </c>
      <c r="B8177" t="s">
        <v>38</v>
      </c>
      <c r="C8177" t="s">
        <v>10</v>
      </c>
      <c r="D8177" s="8"/>
      <c r="E8177" s="8"/>
      <c r="M8177" t="s">
        <v>481</v>
      </c>
      <c r="N8177" t="str">
        <f>Tabela_tudo[[#This Row],[Médico]]&amp;" ("&amp;Tabela_tudo[[#This Row],[Obs]]&amp;")"</f>
        <v>ORO ()</v>
      </c>
    </row>
    <row r="8178" spans="1:14" x14ac:dyDescent="0.3">
      <c r="A8178" s="1">
        <v>45176</v>
      </c>
      <c r="B8178" t="s">
        <v>97</v>
      </c>
      <c r="C8178" t="s">
        <v>8</v>
      </c>
      <c r="D8178" s="8"/>
      <c r="E8178" s="8"/>
      <c r="M8178" t="s">
        <v>479</v>
      </c>
      <c r="N8178" t="str">
        <f>Tabela_tudo[[#This Row],[Médico]]&amp;" ("&amp;Tabela_tudo[[#This Row],[Obs]]&amp;")"</f>
        <v>HAR ()</v>
      </c>
    </row>
    <row r="8179" spans="1:14" x14ac:dyDescent="0.3">
      <c r="A8179" s="1">
        <v>45176</v>
      </c>
      <c r="B8179" t="s">
        <v>60</v>
      </c>
      <c r="C8179" t="s">
        <v>78</v>
      </c>
      <c r="D8179" s="8"/>
      <c r="E8179" s="8"/>
      <c r="M8179" t="s">
        <v>477</v>
      </c>
      <c r="N8179" t="str">
        <f>Tabela_tudo[[#This Row],[Médico]]&amp;" ("&amp;Tabela_tudo[[#This Row],[Obs]]&amp;")"</f>
        <v>BMT ()</v>
      </c>
    </row>
    <row r="8180" spans="1:14" x14ac:dyDescent="0.3">
      <c r="A8180" s="1">
        <v>45176</v>
      </c>
      <c r="B8180" t="s">
        <v>38</v>
      </c>
      <c r="C8180" t="s">
        <v>10</v>
      </c>
      <c r="D8180" s="8"/>
      <c r="E8180" s="8"/>
      <c r="M8180" t="s">
        <v>481</v>
      </c>
      <c r="N8180" t="str">
        <f>Tabela_tudo[[#This Row],[Médico]]&amp;" ("&amp;Tabela_tudo[[#This Row],[Obs]]&amp;")"</f>
        <v>ORO ()</v>
      </c>
    </row>
    <row r="8181" spans="1:14" x14ac:dyDescent="0.3">
      <c r="A8181" s="1">
        <v>45131</v>
      </c>
      <c r="B8181" t="s">
        <v>79</v>
      </c>
      <c r="C8181" t="s">
        <v>41</v>
      </c>
      <c r="D8181" s="8"/>
      <c r="E8181" s="8"/>
      <c r="M8181" t="s">
        <v>481</v>
      </c>
      <c r="N8181" t="str">
        <f>Tabela_tudo[[#This Row],[Médico]]&amp;" ("&amp;Tabela_tudo[[#This Row],[Obs]]&amp;")"</f>
        <v>MTB ()</v>
      </c>
    </row>
    <row r="8182" spans="1:14" x14ac:dyDescent="0.3">
      <c r="A8182" s="1">
        <v>45131</v>
      </c>
      <c r="B8182" t="s">
        <v>69</v>
      </c>
      <c r="C8182" t="s">
        <v>41</v>
      </c>
      <c r="D8182" s="8"/>
      <c r="E8182" s="8"/>
      <c r="M8182" t="s">
        <v>479</v>
      </c>
      <c r="N8182" t="str">
        <f>Tabela_tudo[[#This Row],[Médico]]&amp;" ("&amp;Tabela_tudo[[#This Row],[Obs]]&amp;")"</f>
        <v>PRE ()</v>
      </c>
    </row>
    <row r="8183" spans="1:14" x14ac:dyDescent="0.3">
      <c r="A8183" s="1">
        <v>45155</v>
      </c>
      <c r="B8183" t="s">
        <v>149</v>
      </c>
      <c r="C8183" t="s">
        <v>41</v>
      </c>
      <c r="D8183" s="8"/>
      <c r="E8183" s="8"/>
      <c r="M8183" t="s">
        <v>477</v>
      </c>
      <c r="N8183" t="str">
        <f>Tabela_tudo[[#This Row],[Médico]]&amp;" ("&amp;Tabela_tudo[[#This Row],[Obs]]&amp;")"</f>
        <v>NF ()</v>
      </c>
    </row>
    <row r="8184" spans="1:14" x14ac:dyDescent="0.3">
      <c r="A8184" s="1">
        <v>45155</v>
      </c>
      <c r="B8184" t="s">
        <v>79</v>
      </c>
      <c r="C8184" t="s">
        <v>10</v>
      </c>
      <c r="D8184" s="8"/>
      <c r="E8184" s="8"/>
      <c r="M8184" t="s">
        <v>481</v>
      </c>
      <c r="N8184" t="str">
        <f>Tabela_tudo[[#This Row],[Médico]]&amp;" ("&amp;Tabela_tudo[[#This Row],[Obs]]&amp;")"</f>
        <v>MTB ()</v>
      </c>
    </row>
    <row r="8185" spans="1:14" x14ac:dyDescent="0.3">
      <c r="A8185" s="1">
        <v>45155</v>
      </c>
      <c r="B8185" t="s">
        <v>27</v>
      </c>
      <c r="C8185" t="s">
        <v>10</v>
      </c>
      <c r="D8185" s="8"/>
      <c r="E8185" s="8"/>
      <c r="M8185" t="s">
        <v>481</v>
      </c>
      <c r="N8185" t="str">
        <f>Tabela_tudo[[#This Row],[Médico]]&amp;" ("&amp;Tabela_tudo[[#This Row],[Obs]]&amp;")"</f>
        <v>KIL ()</v>
      </c>
    </row>
    <row r="8186" spans="1:14" x14ac:dyDescent="0.3">
      <c r="A8186" s="1">
        <v>45155</v>
      </c>
      <c r="B8186" t="s">
        <v>109</v>
      </c>
      <c r="C8186" t="s">
        <v>41</v>
      </c>
      <c r="D8186" s="8"/>
      <c r="E8186" s="8"/>
      <c r="M8186" t="s">
        <v>479</v>
      </c>
      <c r="N8186" t="str">
        <f>Tabela_tudo[[#This Row],[Médico]]&amp;" ("&amp;Tabela_tudo[[#This Row],[Obs]]&amp;")"</f>
        <v>CA ()</v>
      </c>
    </row>
    <row r="8187" spans="1:14" x14ac:dyDescent="0.3">
      <c r="A8187" s="1">
        <v>45136</v>
      </c>
      <c r="B8187" t="s">
        <v>40</v>
      </c>
      <c r="C8187" t="s">
        <v>10</v>
      </c>
      <c r="D8187" s="8"/>
      <c r="E8187" s="8"/>
      <c r="M8187" t="s">
        <v>481</v>
      </c>
      <c r="N8187" t="str">
        <f>Tabela_tudo[[#This Row],[Médico]]&amp;" ("&amp;Tabela_tudo[[#This Row],[Obs]]&amp;")"</f>
        <v>EMA ()</v>
      </c>
    </row>
    <row r="8188" spans="1:14" x14ac:dyDescent="0.3">
      <c r="A8188" s="1">
        <v>45177</v>
      </c>
      <c r="B8188" t="s">
        <v>40</v>
      </c>
      <c r="C8188" t="s">
        <v>41</v>
      </c>
      <c r="D8188" s="8"/>
      <c r="E8188" s="8"/>
      <c r="M8188" t="s">
        <v>481</v>
      </c>
      <c r="N8188" t="str">
        <f>Tabela_tudo[[#This Row],[Médico]]&amp;" ("&amp;Tabela_tudo[[#This Row],[Obs]]&amp;")"</f>
        <v>EMA ()</v>
      </c>
    </row>
    <row r="8189" spans="1:14" x14ac:dyDescent="0.3">
      <c r="A8189" s="1">
        <v>45135</v>
      </c>
      <c r="B8189" t="s">
        <v>83</v>
      </c>
      <c r="C8189" t="s">
        <v>8</v>
      </c>
      <c r="D8189" s="8"/>
      <c r="E8189" s="8"/>
      <c r="M8189" t="s">
        <v>477</v>
      </c>
      <c r="N8189" t="str">
        <f>Tabela_tudo[[#This Row],[Médico]]&amp;" ("&amp;Tabela_tudo[[#This Row],[Obs]]&amp;")"</f>
        <v>MG ()</v>
      </c>
    </row>
    <row r="8190" spans="1:14" x14ac:dyDescent="0.3">
      <c r="A8190" s="1">
        <v>45177</v>
      </c>
      <c r="B8190" t="s">
        <v>97</v>
      </c>
      <c r="C8190" t="s">
        <v>41</v>
      </c>
      <c r="D8190" s="8"/>
      <c r="E8190" s="8"/>
      <c r="M8190" t="s">
        <v>479</v>
      </c>
      <c r="N8190" t="str">
        <f>Tabela_tudo[[#This Row],[Médico]]&amp;" ("&amp;Tabela_tudo[[#This Row],[Obs]]&amp;")"</f>
        <v>HAR ()</v>
      </c>
    </row>
    <row r="8191" spans="1:14" x14ac:dyDescent="0.3">
      <c r="A8191" s="1">
        <v>45122</v>
      </c>
      <c r="B8191" t="s">
        <v>109</v>
      </c>
      <c r="C8191" t="s">
        <v>78</v>
      </c>
      <c r="D8191" s="8"/>
      <c r="E8191" s="8"/>
      <c r="M8191" t="s">
        <v>479</v>
      </c>
      <c r="N8191" t="str">
        <f>Tabela_tudo[[#This Row],[Médico]]&amp;" ("&amp;Tabela_tudo[[#This Row],[Obs]]&amp;")"</f>
        <v>CA ()</v>
      </c>
    </row>
    <row r="8192" spans="1:14" x14ac:dyDescent="0.3">
      <c r="A8192" s="1">
        <v>45177</v>
      </c>
      <c r="B8192" t="s">
        <v>103</v>
      </c>
      <c r="C8192" t="s">
        <v>10</v>
      </c>
      <c r="D8192" s="8"/>
      <c r="E8192" s="8"/>
      <c r="M8192" t="s">
        <v>481</v>
      </c>
      <c r="N8192" t="str">
        <f>Tabela_tudo[[#This Row],[Médico]]&amp;" ("&amp;Tabela_tudo[[#This Row],[Obs]]&amp;")"</f>
        <v>CAD ()</v>
      </c>
    </row>
    <row r="8193" spans="1:14" x14ac:dyDescent="0.3">
      <c r="A8193" s="1">
        <v>45194</v>
      </c>
      <c r="B8193" t="s">
        <v>69</v>
      </c>
      <c r="C8193" t="s">
        <v>13</v>
      </c>
      <c r="D8193" s="8"/>
      <c r="E8193" s="8"/>
      <c r="M8193" t="s">
        <v>479</v>
      </c>
      <c r="N8193" t="str">
        <f>Tabela_tudo[[#This Row],[Médico]]&amp;" ("&amp;Tabela_tudo[[#This Row],[Obs]]&amp;")"</f>
        <v>PRE ()</v>
      </c>
    </row>
    <row r="8194" spans="1:14" x14ac:dyDescent="0.3">
      <c r="A8194" s="1">
        <v>45177</v>
      </c>
      <c r="B8194" t="s">
        <v>79</v>
      </c>
      <c r="C8194" t="s">
        <v>10</v>
      </c>
      <c r="D8194" s="8"/>
      <c r="E8194" s="8"/>
      <c r="M8194" t="s">
        <v>481</v>
      </c>
      <c r="N8194" t="str">
        <f>Tabela_tudo[[#This Row],[Médico]]&amp;" ("&amp;Tabela_tudo[[#This Row],[Obs]]&amp;")"</f>
        <v>MTB ()</v>
      </c>
    </row>
    <row r="8195" spans="1:14" x14ac:dyDescent="0.3">
      <c r="A8195" s="1">
        <v>45162</v>
      </c>
      <c r="B8195" t="s">
        <v>40</v>
      </c>
      <c r="C8195" t="s">
        <v>10</v>
      </c>
      <c r="D8195" s="8"/>
      <c r="E8195" s="8"/>
      <c r="M8195" t="s">
        <v>481</v>
      </c>
      <c r="N8195" t="str">
        <f>Tabela_tudo[[#This Row],[Médico]]&amp;" ("&amp;Tabela_tudo[[#This Row],[Obs]]&amp;")"</f>
        <v>EMA ()</v>
      </c>
    </row>
    <row r="8196" spans="1:14" x14ac:dyDescent="0.3">
      <c r="A8196" s="1">
        <v>45192</v>
      </c>
      <c r="B8196" t="s">
        <v>112</v>
      </c>
      <c r="C8196" t="s">
        <v>10</v>
      </c>
      <c r="D8196" s="8"/>
      <c r="E8196" s="8"/>
      <c r="M8196" t="s">
        <v>479</v>
      </c>
      <c r="N8196" t="str">
        <f>Tabela_tudo[[#This Row],[Médico]]&amp;" ("&amp;Tabela_tudo[[#This Row],[Obs]]&amp;")"</f>
        <v>FLE ()</v>
      </c>
    </row>
    <row r="8197" spans="1:14" x14ac:dyDescent="0.3">
      <c r="A8197" s="1">
        <v>45192</v>
      </c>
      <c r="B8197" t="s">
        <v>79</v>
      </c>
      <c r="C8197" t="s">
        <v>10</v>
      </c>
      <c r="D8197" s="8"/>
      <c r="E8197" s="8"/>
      <c r="M8197" t="s">
        <v>481</v>
      </c>
      <c r="N8197" t="str">
        <f>Tabela_tudo[[#This Row],[Médico]]&amp;" ("&amp;Tabela_tudo[[#This Row],[Obs]]&amp;")"</f>
        <v>MTB ()</v>
      </c>
    </row>
    <row r="8198" spans="1:14" x14ac:dyDescent="0.3">
      <c r="A8198" s="1">
        <v>45162</v>
      </c>
      <c r="B8198" t="s">
        <v>36</v>
      </c>
      <c r="C8198" t="s">
        <v>10</v>
      </c>
      <c r="D8198" s="8"/>
      <c r="E8198" s="8"/>
      <c r="M8198" t="s">
        <v>481</v>
      </c>
      <c r="N8198" t="str">
        <f>Tabela_tudo[[#This Row],[Médico]]&amp;" ("&amp;Tabela_tudo[[#This Row],[Obs]]&amp;")"</f>
        <v>DRI ()</v>
      </c>
    </row>
    <row r="8199" spans="1:14" x14ac:dyDescent="0.3">
      <c r="A8199" s="1">
        <v>45112</v>
      </c>
      <c r="B8199" t="s">
        <v>103</v>
      </c>
      <c r="C8199" t="s">
        <v>10</v>
      </c>
      <c r="D8199" s="8"/>
      <c r="E8199" s="8"/>
      <c r="M8199" t="s">
        <v>481</v>
      </c>
      <c r="N8199" t="str">
        <f>Tabela_tudo[[#This Row],[Médico]]&amp;" ("&amp;Tabela_tudo[[#This Row],[Obs]]&amp;")"</f>
        <v>CAD ()</v>
      </c>
    </row>
    <row r="8200" spans="1:14" x14ac:dyDescent="0.3">
      <c r="A8200" s="1">
        <v>45162</v>
      </c>
      <c r="B8200" t="s">
        <v>27</v>
      </c>
      <c r="C8200" t="s">
        <v>10</v>
      </c>
      <c r="D8200" s="8"/>
      <c r="E8200" s="8"/>
      <c r="M8200" t="s">
        <v>481</v>
      </c>
      <c r="N8200" t="str">
        <f>Tabela_tudo[[#This Row],[Médico]]&amp;" ("&amp;Tabela_tudo[[#This Row],[Obs]]&amp;")"</f>
        <v>KIL ()</v>
      </c>
    </row>
    <row r="8201" spans="1:14" x14ac:dyDescent="0.3">
      <c r="A8201" s="1">
        <v>45162</v>
      </c>
      <c r="B8201" t="s">
        <v>79</v>
      </c>
      <c r="C8201" t="s">
        <v>10</v>
      </c>
      <c r="D8201" s="8"/>
      <c r="E8201" s="8"/>
      <c r="M8201" t="s">
        <v>481</v>
      </c>
      <c r="N8201" t="str">
        <f>Tabela_tudo[[#This Row],[Médico]]&amp;" ("&amp;Tabela_tudo[[#This Row],[Obs]]&amp;")"</f>
        <v>MTB ()</v>
      </c>
    </row>
    <row r="8202" spans="1:14" x14ac:dyDescent="0.3">
      <c r="A8202" s="1">
        <v>45194</v>
      </c>
      <c r="B8202" t="s">
        <v>112</v>
      </c>
      <c r="C8202" t="s">
        <v>10</v>
      </c>
      <c r="D8202" s="8"/>
      <c r="E8202" s="8"/>
      <c r="M8202" t="s">
        <v>479</v>
      </c>
      <c r="N8202" t="str">
        <f>Tabela_tudo[[#This Row],[Médico]]&amp;" ("&amp;Tabela_tudo[[#This Row],[Obs]]&amp;")"</f>
        <v>FLE ()</v>
      </c>
    </row>
    <row r="8203" spans="1:14" x14ac:dyDescent="0.3">
      <c r="A8203" s="1">
        <v>45194</v>
      </c>
      <c r="B8203" t="s">
        <v>79</v>
      </c>
      <c r="C8203" t="s">
        <v>10</v>
      </c>
      <c r="D8203" s="8"/>
      <c r="E8203" s="8"/>
      <c r="M8203" t="s">
        <v>481</v>
      </c>
      <c r="N8203" t="str">
        <f>Tabela_tudo[[#This Row],[Médico]]&amp;" ("&amp;Tabela_tudo[[#This Row],[Obs]]&amp;")"</f>
        <v>MTB ()</v>
      </c>
    </row>
    <row r="8204" spans="1:14" x14ac:dyDescent="0.3">
      <c r="A8204" s="1">
        <v>45194</v>
      </c>
      <c r="B8204" t="s">
        <v>103</v>
      </c>
      <c r="C8204" t="s">
        <v>10</v>
      </c>
      <c r="D8204" s="8"/>
      <c r="E8204" s="8"/>
      <c r="M8204" t="s">
        <v>481</v>
      </c>
      <c r="N8204" t="str">
        <f>Tabela_tudo[[#This Row],[Médico]]&amp;" ("&amp;Tabela_tudo[[#This Row],[Obs]]&amp;")"</f>
        <v>CAD ()</v>
      </c>
    </row>
    <row r="8205" spans="1:14" x14ac:dyDescent="0.3">
      <c r="A8205" s="1">
        <v>45194</v>
      </c>
      <c r="B8205" t="s">
        <v>97</v>
      </c>
      <c r="C8205" t="s">
        <v>41</v>
      </c>
      <c r="D8205" s="8"/>
      <c r="E8205" s="8"/>
      <c r="M8205" t="s">
        <v>479</v>
      </c>
      <c r="N8205" t="str">
        <f>Tabela_tudo[[#This Row],[Médico]]&amp;" ("&amp;Tabela_tudo[[#This Row],[Obs]]&amp;")"</f>
        <v>HAR ()</v>
      </c>
    </row>
    <row r="8206" spans="1:14" x14ac:dyDescent="0.3">
      <c r="A8206" s="1">
        <v>45122</v>
      </c>
      <c r="B8206" t="s">
        <v>80</v>
      </c>
      <c r="C8206" t="s">
        <v>13</v>
      </c>
      <c r="D8206" s="8"/>
      <c r="E8206" s="8"/>
      <c r="M8206" t="s">
        <v>477</v>
      </c>
      <c r="N8206" t="str">
        <f>Tabela_tudo[[#This Row],[Médico]]&amp;" ("&amp;Tabela_tudo[[#This Row],[Obs]]&amp;")"</f>
        <v>REC ()</v>
      </c>
    </row>
    <row r="8207" spans="1:14" x14ac:dyDescent="0.3">
      <c r="A8207" s="1">
        <v>45194</v>
      </c>
      <c r="B8207" t="s">
        <v>36</v>
      </c>
      <c r="C8207" t="s">
        <v>41</v>
      </c>
      <c r="D8207" s="8"/>
      <c r="E8207" s="8"/>
      <c r="M8207" t="s">
        <v>481</v>
      </c>
      <c r="N8207" t="str">
        <f>Tabela_tudo[[#This Row],[Médico]]&amp;" ("&amp;Tabela_tudo[[#This Row],[Obs]]&amp;")"</f>
        <v>DRI ()</v>
      </c>
    </row>
    <row r="8208" spans="1:14" x14ac:dyDescent="0.3">
      <c r="A8208" s="1">
        <v>45194</v>
      </c>
      <c r="B8208" t="s">
        <v>62</v>
      </c>
      <c r="C8208" t="s">
        <v>41</v>
      </c>
      <c r="D8208" s="8"/>
      <c r="E8208" s="8"/>
      <c r="M8208" t="s">
        <v>477</v>
      </c>
      <c r="N8208" t="str">
        <f>Tabela_tudo[[#This Row],[Médico]]&amp;" ("&amp;Tabela_tudo[[#This Row],[Obs]]&amp;")"</f>
        <v>RKS ()</v>
      </c>
    </row>
    <row r="8209" spans="1:14" x14ac:dyDescent="0.3">
      <c r="A8209" s="1">
        <v>45194</v>
      </c>
      <c r="B8209" t="s">
        <v>59</v>
      </c>
      <c r="C8209" t="s">
        <v>8</v>
      </c>
      <c r="D8209" s="8"/>
      <c r="E8209" s="8"/>
      <c r="M8209" t="s">
        <v>477</v>
      </c>
      <c r="N8209" t="str">
        <f>Tabela_tudo[[#This Row],[Médico]]&amp;" ("&amp;Tabela_tudo[[#This Row],[Obs]]&amp;")"</f>
        <v>WEN ()</v>
      </c>
    </row>
    <row r="8210" spans="1:14" x14ac:dyDescent="0.3">
      <c r="A8210" s="1">
        <v>45177</v>
      </c>
      <c r="B8210" t="s">
        <v>69</v>
      </c>
      <c r="C8210" t="s">
        <v>8</v>
      </c>
      <c r="D8210" s="8"/>
      <c r="E8210" s="8"/>
      <c r="M8210" t="s">
        <v>479</v>
      </c>
      <c r="N8210" t="str">
        <f>Tabela_tudo[[#This Row],[Médico]]&amp;" ("&amp;Tabela_tudo[[#This Row],[Obs]]&amp;")"</f>
        <v>PRE ()</v>
      </c>
    </row>
    <row r="8211" spans="1:14" x14ac:dyDescent="0.3">
      <c r="A8211" s="1">
        <v>45177</v>
      </c>
      <c r="B8211" t="s">
        <v>38</v>
      </c>
      <c r="C8211" t="s">
        <v>10</v>
      </c>
      <c r="D8211" s="8"/>
      <c r="E8211" s="8"/>
      <c r="M8211" t="s">
        <v>481</v>
      </c>
      <c r="N8211" t="str">
        <f>Tabela_tudo[[#This Row],[Médico]]&amp;" ("&amp;Tabela_tudo[[#This Row],[Obs]]&amp;")"</f>
        <v>ORO ()</v>
      </c>
    </row>
    <row r="8212" spans="1:14" x14ac:dyDescent="0.3">
      <c r="A8212" s="1">
        <v>45177</v>
      </c>
      <c r="B8212" t="s">
        <v>149</v>
      </c>
      <c r="C8212" t="s">
        <v>13</v>
      </c>
      <c r="D8212" s="8"/>
      <c r="E8212" s="8"/>
      <c r="M8212" t="s">
        <v>477</v>
      </c>
      <c r="N8212" t="str">
        <f>Tabela_tudo[[#This Row],[Médico]]&amp;" ("&amp;Tabela_tudo[[#This Row],[Obs]]&amp;")"</f>
        <v>NF ()</v>
      </c>
    </row>
    <row r="8213" spans="1:14" x14ac:dyDescent="0.3">
      <c r="A8213" s="1">
        <v>45194</v>
      </c>
      <c r="B8213" t="s">
        <v>38</v>
      </c>
      <c r="C8213" t="s">
        <v>10</v>
      </c>
      <c r="D8213" s="8"/>
      <c r="E8213" s="8"/>
      <c r="M8213" t="s">
        <v>481</v>
      </c>
      <c r="N8213" t="str">
        <f>Tabela_tudo[[#This Row],[Médico]]&amp;" ("&amp;Tabela_tudo[[#This Row],[Obs]]&amp;")"</f>
        <v>ORO ()</v>
      </c>
    </row>
    <row r="8214" spans="1:14" x14ac:dyDescent="0.3">
      <c r="A8214" s="1">
        <v>45122</v>
      </c>
      <c r="B8214" t="s">
        <v>9</v>
      </c>
      <c r="C8214" t="s">
        <v>8</v>
      </c>
      <c r="D8214" s="8"/>
      <c r="E8214" s="8"/>
      <c r="M8214" t="s">
        <v>481</v>
      </c>
      <c r="N8214" t="str">
        <f>Tabela_tudo[[#This Row],[Médico]]&amp;" ("&amp;Tabela_tudo[[#This Row],[Obs]]&amp;")"</f>
        <v>KRE ()</v>
      </c>
    </row>
    <row r="8215" spans="1:14" x14ac:dyDescent="0.3">
      <c r="A8215" s="1">
        <v>45111</v>
      </c>
      <c r="B8215" t="s">
        <v>112</v>
      </c>
      <c r="C8215" t="s">
        <v>13</v>
      </c>
      <c r="D8215" s="8"/>
      <c r="E8215" s="8"/>
      <c r="M8215" t="s">
        <v>479</v>
      </c>
      <c r="N8215" t="str">
        <f>Tabela_tudo[[#This Row],[Médico]]&amp;" ("&amp;Tabela_tudo[[#This Row],[Obs]]&amp;")"</f>
        <v>FLE ()</v>
      </c>
    </row>
    <row r="8216" spans="1:14" x14ac:dyDescent="0.3">
      <c r="A8216" s="1">
        <v>45192</v>
      </c>
      <c r="B8216" t="s">
        <v>103</v>
      </c>
      <c r="C8216" t="s">
        <v>10</v>
      </c>
      <c r="D8216" s="8"/>
      <c r="E8216" s="8"/>
      <c r="M8216" t="s">
        <v>481</v>
      </c>
      <c r="N8216" t="str">
        <f>Tabela_tudo[[#This Row],[Médico]]&amp;" ("&amp;Tabela_tudo[[#This Row],[Obs]]&amp;")"</f>
        <v>CAD ()</v>
      </c>
    </row>
    <row r="8217" spans="1:14" x14ac:dyDescent="0.3">
      <c r="A8217" s="1">
        <v>45180</v>
      </c>
      <c r="B8217" t="s">
        <v>79</v>
      </c>
      <c r="C8217" t="s">
        <v>10</v>
      </c>
      <c r="D8217" s="8"/>
      <c r="E8217" s="8"/>
      <c r="M8217" t="s">
        <v>481</v>
      </c>
      <c r="N8217" t="str">
        <f>Tabela_tudo[[#This Row],[Médico]]&amp;" ("&amp;Tabela_tudo[[#This Row],[Obs]]&amp;")"</f>
        <v>MTB ()</v>
      </c>
    </row>
    <row r="8218" spans="1:14" x14ac:dyDescent="0.3">
      <c r="A8218" s="1">
        <v>45180</v>
      </c>
      <c r="B8218" t="s">
        <v>42</v>
      </c>
      <c r="C8218" t="s">
        <v>41</v>
      </c>
      <c r="D8218" s="8"/>
      <c r="E8218" s="8"/>
      <c r="M8218" t="s">
        <v>479</v>
      </c>
      <c r="N8218" t="str">
        <f>Tabela_tudo[[#This Row],[Médico]]&amp;" ("&amp;Tabela_tudo[[#This Row],[Obs]]&amp;")"</f>
        <v>SAK ()</v>
      </c>
    </row>
    <row r="8219" spans="1:14" x14ac:dyDescent="0.3">
      <c r="A8219" s="1">
        <v>45180</v>
      </c>
      <c r="B8219" t="s">
        <v>83</v>
      </c>
      <c r="C8219" t="s">
        <v>41</v>
      </c>
      <c r="D8219" s="8"/>
      <c r="E8219" s="8"/>
      <c r="M8219" t="s">
        <v>477</v>
      </c>
      <c r="N8219" t="str">
        <f>Tabela_tudo[[#This Row],[Médico]]&amp;" ("&amp;Tabela_tudo[[#This Row],[Obs]]&amp;")"</f>
        <v>MG ()</v>
      </c>
    </row>
    <row r="8220" spans="1:14" x14ac:dyDescent="0.3">
      <c r="A8220" s="1">
        <v>45180</v>
      </c>
      <c r="B8220" t="s">
        <v>103</v>
      </c>
      <c r="C8220" t="s">
        <v>10</v>
      </c>
      <c r="D8220" s="8"/>
      <c r="E8220" s="8"/>
      <c r="M8220" t="s">
        <v>481</v>
      </c>
      <c r="N8220" t="str">
        <f>Tabela_tudo[[#This Row],[Médico]]&amp;" ("&amp;Tabela_tudo[[#This Row],[Obs]]&amp;")"</f>
        <v>CAD ()</v>
      </c>
    </row>
    <row r="8221" spans="1:14" x14ac:dyDescent="0.3">
      <c r="A8221" s="1">
        <v>45110</v>
      </c>
      <c r="B8221" t="s">
        <v>42</v>
      </c>
      <c r="C8221" t="s">
        <v>41</v>
      </c>
      <c r="D8221" s="8"/>
      <c r="E8221" s="8"/>
      <c r="M8221" t="s">
        <v>479</v>
      </c>
      <c r="N8221" t="str">
        <f>Tabela_tudo[[#This Row],[Médico]]&amp;" ("&amp;Tabela_tudo[[#This Row],[Obs]]&amp;")"</f>
        <v>SAK ()</v>
      </c>
    </row>
    <row r="8222" spans="1:14" x14ac:dyDescent="0.3">
      <c r="A8222" s="1">
        <v>45110</v>
      </c>
      <c r="B8222" t="s">
        <v>57</v>
      </c>
      <c r="C8222" t="s">
        <v>41</v>
      </c>
      <c r="D8222" s="8"/>
      <c r="E8222" s="8"/>
      <c r="M8222" t="s">
        <v>477</v>
      </c>
      <c r="N8222" t="str">
        <f>Tabela_tudo[[#This Row],[Médico]]&amp;" ("&amp;Tabela_tudo[[#This Row],[Obs]]&amp;")"</f>
        <v>BED ()</v>
      </c>
    </row>
    <row r="8223" spans="1:14" x14ac:dyDescent="0.3">
      <c r="A8223" s="1">
        <v>45180</v>
      </c>
      <c r="B8223" t="s">
        <v>38</v>
      </c>
      <c r="C8223" t="s">
        <v>10</v>
      </c>
      <c r="D8223" s="8"/>
      <c r="E8223" s="8"/>
      <c r="M8223" t="s">
        <v>481</v>
      </c>
      <c r="N8223" t="str">
        <f>Tabela_tudo[[#This Row],[Médico]]&amp;" ("&amp;Tabela_tudo[[#This Row],[Obs]]&amp;")"</f>
        <v>ORO ()</v>
      </c>
    </row>
    <row r="8224" spans="1:14" x14ac:dyDescent="0.3">
      <c r="A8224" s="1">
        <v>45112</v>
      </c>
      <c r="B8224" t="s">
        <v>35</v>
      </c>
      <c r="C8224" t="s">
        <v>10</v>
      </c>
      <c r="D8224" s="8"/>
      <c r="E8224" s="8"/>
      <c r="M8224" t="s">
        <v>479</v>
      </c>
      <c r="N8224" t="str">
        <f>Tabela_tudo[[#This Row],[Médico]]&amp;" ("&amp;Tabela_tudo[[#This Row],[Obs]]&amp;")"</f>
        <v>FLA ()</v>
      </c>
    </row>
    <row r="8225" spans="1:14" x14ac:dyDescent="0.3">
      <c r="A8225" s="1">
        <v>45112</v>
      </c>
      <c r="B8225" t="s">
        <v>112</v>
      </c>
      <c r="C8225" t="s">
        <v>41</v>
      </c>
      <c r="D8225" s="8"/>
      <c r="E8225" s="8"/>
      <c r="M8225" t="s">
        <v>479</v>
      </c>
      <c r="N8225" t="str">
        <f>Tabela_tudo[[#This Row],[Médico]]&amp;" ("&amp;Tabela_tudo[[#This Row],[Obs]]&amp;")"</f>
        <v>FLE ()</v>
      </c>
    </row>
    <row r="8226" spans="1:14" x14ac:dyDescent="0.3">
      <c r="A8226" s="1">
        <v>45123</v>
      </c>
      <c r="B8226" t="s">
        <v>9</v>
      </c>
      <c r="C8226" t="s">
        <v>8</v>
      </c>
      <c r="D8226" s="8"/>
      <c r="E8226" s="8"/>
      <c r="M8226" t="s">
        <v>481</v>
      </c>
      <c r="N8226" t="str">
        <f>Tabela_tudo[[#This Row],[Médico]]&amp;" ("&amp;Tabela_tudo[[#This Row],[Obs]]&amp;")"</f>
        <v>KRE ()</v>
      </c>
    </row>
    <row r="8227" spans="1:14" x14ac:dyDescent="0.3">
      <c r="A8227" s="1">
        <v>45110</v>
      </c>
      <c r="B8227" t="s">
        <v>40</v>
      </c>
      <c r="C8227" t="s">
        <v>10</v>
      </c>
      <c r="D8227" s="8"/>
      <c r="E8227" s="8"/>
      <c r="M8227" t="s">
        <v>481</v>
      </c>
      <c r="N8227" t="str">
        <f>Tabela_tudo[[#This Row],[Médico]]&amp;" ("&amp;Tabela_tudo[[#This Row],[Obs]]&amp;")"</f>
        <v>EMA ()</v>
      </c>
    </row>
    <row r="8228" spans="1:14" x14ac:dyDescent="0.3">
      <c r="A8228" s="1">
        <v>45180</v>
      </c>
      <c r="B8228" t="s">
        <v>40</v>
      </c>
      <c r="C8228" t="s">
        <v>41</v>
      </c>
      <c r="D8228" s="8"/>
      <c r="E8228" s="8"/>
      <c r="M8228" t="s">
        <v>481</v>
      </c>
      <c r="N8228" t="str">
        <f>Tabela_tudo[[#This Row],[Médico]]&amp;" ("&amp;Tabela_tudo[[#This Row],[Obs]]&amp;")"</f>
        <v>EMA ()</v>
      </c>
    </row>
    <row r="8229" spans="1:14" x14ac:dyDescent="0.3">
      <c r="A8229" s="1">
        <v>45110</v>
      </c>
      <c r="B8229" t="s">
        <v>35</v>
      </c>
      <c r="C8229" t="s">
        <v>10</v>
      </c>
      <c r="D8229" s="8"/>
      <c r="E8229" s="8"/>
      <c r="M8229" t="s">
        <v>479</v>
      </c>
      <c r="N8229" t="str">
        <f>Tabela_tudo[[#This Row],[Médico]]&amp;" ("&amp;Tabela_tudo[[#This Row],[Obs]]&amp;")"</f>
        <v>FLA ()</v>
      </c>
    </row>
    <row r="8230" spans="1:14" x14ac:dyDescent="0.3">
      <c r="A8230" s="1">
        <v>45110</v>
      </c>
      <c r="B8230" t="s">
        <v>103</v>
      </c>
      <c r="C8230" t="s">
        <v>10</v>
      </c>
      <c r="D8230" s="8"/>
      <c r="E8230" s="8"/>
      <c r="M8230" t="s">
        <v>481</v>
      </c>
      <c r="N8230" t="str">
        <f>Tabela_tudo[[#This Row],[Médico]]&amp;" ("&amp;Tabela_tudo[[#This Row],[Obs]]&amp;")"</f>
        <v>CAD ()</v>
      </c>
    </row>
    <row r="8231" spans="1:14" x14ac:dyDescent="0.3">
      <c r="A8231" s="1">
        <v>45135</v>
      </c>
      <c r="B8231" t="s">
        <v>42</v>
      </c>
      <c r="C8231" t="s">
        <v>13</v>
      </c>
      <c r="D8231" s="8"/>
      <c r="E8231" s="8"/>
      <c r="M8231" t="s">
        <v>479</v>
      </c>
      <c r="N8231" t="str">
        <f>Tabela_tudo[[#This Row],[Médico]]&amp;" ("&amp;Tabela_tudo[[#This Row],[Obs]]&amp;")"</f>
        <v>SAK ()</v>
      </c>
    </row>
    <row r="8232" spans="1:14" x14ac:dyDescent="0.3">
      <c r="A8232" s="1">
        <v>45162</v>
      </c>
      <c r="B8232" t="s">
        <v>149</v>
      </c>
      <c r="C8232" t="s">
        <v>41</v>
      </c>
      <c r="D8232" s="8"/>
      <c r="E8232" s="8"/>
      <c r="M8232" t="s">
        <v>477</v>
      </c>
      <c r="N8232" t="str">
        <f>Tabela_tudo[[#This Row],[Médico]]&amp;" ("&amp;Tabela_tudo[[#This Row],[Obs]]&amp;")"</f>
        <v>NF ()</v>
      </c>
    </row>
    <row r="8233" spans="1:14" x14ac:dyDescent="0.3">
      <c r="A8233" s="1">
        <v>45162</v>
      </c>
      <c r="B8233" t="s">
        <v>112</v>
      </c>
      <c r="C8233" t="s">
        <v>41</v>
      </c>
      <c r="D8233" s="8"/>
      <c r="E8233" s="8"/>
      <c r="M8233" t="s">
        <v>479</v>
      </c>
      <c r="N8233" t="str">
        <f>Tabela_tudo[[#This Row],[Médico]]&amp;" ("&amp;Tabela_tudo[[#This Row],[Obs]]&amp;")"</f>
        <v>FLE ()</v>
      </c>
    </row>
    <row r="8234" spans="1:14" x14ac:dyDescent="0.3">
      <c r="A8234" s="1">
        <v>45192</v>
      </c>
      <c r="B8234" t="s">
        <v>97</v>
      </c>
      <c r="C8234" t="s">
        <v>13</v>
      </c>
      <c r="D8234" s="8"/>
      <c r="E8234" s="8"/>
      <c r="M8234" t="s">
        <v>479</v>
      </c>
      <c r="N8234" t="str">
        <f>Tabela_tudo[[#This Row],[Médico]]&amp;" ("&amp;Tabela_tudo[[#This Row],[Obs]]&amp;")"</f>
        <v>HAR ()</v>
      </c>
    </row>
    <row r="8235" spans="1:14" x14ac:dyDescent="0.3">
      <c r="A8235" s="1">
        <v>45192</v>
      </c>
      <c r="B8235" t="s">
        <v>38</v>
      </c>
      <c r="C8235" t="s">
        <v>10</v>
      </c>
      <c r="D8235" s="8"/>
      <c r="E8235" s="8"/>
      <c r="M8235" t="s">
        <v>481</v>
      </c>
      <c r="N8235" t="str">
        <f>Tabela_tudo[[#This Row],[Médico]]&amp;" ("&amp;Tabela_tudo[[#This Row],[Obs]]&amp;")"</f>
        <v>ORO ()</v>
      </c>
    </row>
    <row r="8236" spans="1:14" x14ac:dyDescent="0.3">
      <c r="A8236" s="1">
        <v>45192</v>
      </c>
      <c r="B8236" t="s">
        <v>36</v>
      </c>
      <c r="C8236" t="s">
        <v>78</v>
      </c>
      <c r="D8236" s="8"/>
      <c r="E8236" s="8"/>
      <c r="M8236" t="s">
        <v>481</v>
      </c>
      <c r="N8236" t="str">
        <f>Tabela_tudo[[#This Row],[Médico]]&amp;" ("&amp;Tabela_tudo[[#This Row],[Obs]]&amp;")"</f>
        <v>DRI ()</v>
      </c>
    </row>
    <row r="8237" spans="1:14" x14ac:dyDescent="0.3">
      <c r="A8237" s="1">
        <v>45192</v>
      </c>
      <c r="B8237" t="s">
        <v>62</v>
      </c>
      <c r="C8237" t="s">
        <v>8</v>
      </c>
      <c r="D8237" s="8"/>
      <c r="E8237" s="8"/>
      <c r="M8237" t="s">
        <v>477</v>
      </c>
      <c r="N8237" t="str">
        <f>Tabela_tudo[[#This Row],[Médico]]&amp;" ("&amp;Tabela_tudo[[#This Row],[Obs]]&amp;")"</f>
        <v>RKS ()</v>
      </c>
    </row>
    <row r="8238" spans="1:14" x14ac:dyDescent="0.3">
      <c r="A8238" s="1">
        <v>45162</v>
      </c>
      <c r="B8238" t="s">
        <v>96</v>
      </c>
      <c r="C8238" t="s">
        <v>13</v>
      </c>
      <c r="D8238" s="8"/>
      <c r="E8238" s="8"/>
      <c r="M8238" t="s">
        <v>477</v>
      </c>
      <c r="N8238" t="str">
        <f>Tabela_tudo[[#This Row],[Médico]]&amp;" ("&amp;Tabela_tudo[[#This Row],[Obs]]&amp;")"</f>
        <v>VF ()</v>
      </c>
    </row>
    <row r="8239" spans="1:14" x14ac:dyDescent="0.3">
      <c r="A8239" s="1">
        <v>45180</v>
      </c>
      <c r="B8239" t="s">
        <v>61</v>
      </c>
      <c r="C8239" t="s">
        <v>8</v>
      </c>
      <c r="D8239" s="8"/>
      <c r="E8239" s="8"/>
      <c r="M8239" t="s">
        <v>477</v>
      </c>
      <c r="N8239" t="str">
        <f>Tabela_tudo[[#This Row],[Médico]]&amp;" ("&amp;Tabela_tudo[[#This Row],[Obs]]&amp;")"</f>
        <v>AD ()</v>
      </c>
    </row>
    <row r="8240" spans="1:14" x14ac:dyDescent="0.3">
      <c r="A8240" s="1">
        <v>45110</v>
      </c>
      <c r="B8240" t="s">
        <v>38</v>
      </c>
      <c r="C8240" t="s">
        <v>41</v>
      </c>
      <c r="D8240" s="8"/>
      <c r="E8240" s="8"/>
      <c r="M8240" t="s">
        <v>481</v>
      </c>
      <c r="N8240" t="str">
        <f>Tabela_tudo[[#This Row],[Médico]]&amp;" ("&amp;Tabela_tudo[[#This Row],[Obs]]&amp;")"</f>
        <v>ORO ()</v>
      </c>
    </row>
    <row r="8241" spans="1:14" x14ac:dyDescent="0.3">
      <c r="A8241" s="1">
        <v>45162</v>
      </c>
      <c r="B8241" t="s">
        <v>38</v>
      </c>
      <c r="C8241" t="s">
        <v>8</v>
      </c>
      <c r="D8241" s="8"/>
      <c r="E8241" s="8"/>
      <c r="M8241" t="s">
        <v>481</v>
      </c>
      <c r="N8241" t="str">
        <f>Tabela_tudo[[#This Row],[Médico]]&amp;" ("&amp;Tabela_tudo[[#This Row],[Obs]]&amp;")"</f>
        <v>ORO ()</v>
      </c>
    </row>
    <row r="8242" spans="1:14" x14ac:dyDescent="0.3">
      <c r="A8242" s="1">
        <v>45180</v>
      </c>
      <c r="B8242" t="s">
        <v>112</v>
      </c>
      <c r="C8242" t="s">
        <v>13</v>
      </c>
      <c r="D8242" s="8"/>
      <c r="E8242" s="8"/>
      <c r="M8242" t="s">
        <v>479</v>
      </c>
      <c r="N8242" t="str">
        <f>Tabela_tudo[[#This Row],[Médico]]&amp;" ("&amp;Tabela_tudo[[#This Row],[Obs]]&amp;")"</f>
        <v>FLE ()</v>
      </c>
    </row>
    <row r="8243" spans="1:14" x14ac:dyDescent="0.3">
      <c r="A8243" s="1">
        <v>45168</v>
      </c>
      <c r="B8243" t="s">
        <v>39</v>
      </c>
      <c r="C8243" t="s">
        <v>8</v>
      </c>
      <c r="D8243" s="8"/>
      <c r="E8243" s="8"/>
      <c r="M8243" t="s">
        <v>479</v>
      </c>
      <c r="N8243" t="str">
        <f>Tabela_tudo[[#This Row],[Médico]]&amp;" ("&amp;Tabela_tudo[[#This Row],[Obs]]&amp;")"</f>
        <v>KLA ()</v>
      </c>
    </row>
    <row r="8244" spans="1:14" x14ac:dyDescent="0.3">
      <c r="A8244" s="1">
        <v>45123</v>
      </c>
      <c r="B8244" t="s">
        <v>80</v>
      </c>
      <c r="C8244" t="s">
        <v>13</v>
      </c>
      <c r="D8244" s="8"/>
      <c r="E8244" s="8"/>
      <c r="M8244" t="s">
        <v>477</v>
      </c>
      <c r="N8244" t="str">
        <f>Tabela_tudo[[#This Row],[Médico]]&amp;" ("&amp;Tabela_tudo[[#This Row],[Obs]]&amp;")"</f>
        <v>REC ()</v>
      </c>
    </row>
    <row r="8245" spans="1:14" x14ac:dyDescent="0.3">
      <c r="A8245" s="1">
        <v>45168</v>
      </c>
      <c r="B8245" t="s">
        <v>59</v>
      </c>
      <c r="C8245" t="s">
        <v>13</v>
      </c>
      <c r="D8245" s="8"/>
      <c r="E8245" s="8"/>
      <c r="M8245" t="s">
        <v>477</v>
      </c>
      <c r="N8245" t="str">
        <f>Tabela_tudo[[#This Row],[Médico]]&amp;" ("&amp;Tabela_tudo[[#This Row],[Obs]]&amp;")"</f>
        <v>WEN ()</v>
      </c>
    </row>
    <row r="8246" spans="1:14" x14ac:dyDescent="0.3">
      <c r="A8246" s="1">
        <v>45178</v>
      </c>
      <c r="B8246" t="s">
        <v>79</v>
      </c>
      <c r="C8246" t="s">
        <v>10</v>
      </c>
      <c r="D8246" s="8"/>
      <c r="E8246" s="8"/>
      <c r="M8246" t="s">
        <v>481</v>
      </c>
      <c r="N8246" t="str">
        <f>Tabela_tudo[[#This Row],[Médico]]&amp;" ("&amp;Tabela_tudo[[#This Row],[Obs]]&amp;")"</f>
        <v>MTB ()</v>
      </c>
    </row>
    <row r="8247" spans="1:14" x14ac:dyDescent="0.3">
      <c r="A8247" s="1">
        <v>45121</v>
      </c>
      <c r="B8247" t="s">
        <v>35</v>
      </c>
      <c r="C8247" t="s">
        <v>10</v>
      </c>
      <c r="D8247" s="8"/>
      <c r="E8247" s="8"/>
      <c r="M8247" t="s">
        <v>479</v>
      </c>
      <c r="N8247" t="str">
        <f>Tabela_tudo[[#This Row],[Médico]]&amp;" ("&amp;Tabela_tudo[[#This Row],[Obs]]&amp;")"</f>
        <v>FLA ()</v>
      </c>
    </row>
    <row r="8248" spans="1:14" x14ac:dyDescent="0.3">
      <c r="A8248" s="1">
        <v>45121</v>
      </c>
      <c r="B8248" t="s">
        <v>61</v>
      </c>
      <c r="C8248" t="s">
        <v>41</v>
      </c>
      <c r="D8248" s="8"/>
      <c r="E8248" s="8"/>
      <c r="M8248" t="s">
        <v>477</v>
      </c>
      <c r="N8248" t="str">
        <f>Tabela_tudo[[#This Row],[Médico]]&amp;" ("&amp;Tabela_tudo[[#This Row],[Obs]]&amp;")"</f>
        <v>AD ()</v>
      </c>
    </row>
    <row r="8249" spans="1:14" x14ac:dyDescent="0.3">
      <c r="A8249" s="1">
        <v>45178</v>
      </c>
      <c r="B8249" t="s">
        <v>103</v>
      </c>
      <c r="C8249" t="s">
        <v>10</v>
      </c>
      <c r="D8249" s="8"/>
      <c r="E8249" s="8"/>
      <c r="M8249" t="s">
        <v>481</v>
      </c>
      <c r="N8249" t="str">
        <f>Tabela_tudo[[#This Row],[Médico]]&amp;" ("&amp;Tabela_tudo[[#This Row],[Obs]]&amp;")"</f>
        <v>CAD ()</v>
      </c>
    </row>
    <row r="8250" spans="1:14" x14ac:dyDescent="0.3">
      <c r="A8250" s="1">
        <v>45121</v>
      </c>
      <c r="B8250" t="s">
        <v>40</v>
      </c>
      <c r="C8250" t="s">
        <v>10</v>
      </c>
      <c r="D8250" s="8"/>
      <c r="E8250" s="8"/>
      <c r="M8250" t="s">
        <v>481</v>
      </c>
      <c r="N8250" t="str">
        <f>Tabela_tudo[[#This Row],[Médico]]&amp;" ("&amp;Tabela_tudo[[#This Row],[Obs]]&amp;")"</f>
        <v>EMA ()</v>
      </c>
    </row>
    <row r="8251" spans="1:14" x14ac:dyDescent="0.3">
      <c r="A8251" s="1">
        <v>45178</v>
      </c>
      <c r="B8251" t="s">
        <v>38</v>
      </c>
      <c r="C8251" t="s">
        <v>10</v>
      </c>
      <c r="D8251" s="8"/>
      <c r="E8251" s="8"/>
      <c r="M8251" t="s">
        <v>481</v>
      </c>
      <c r="N8251" t="str">
        <f>Tabela_tudo[[#This Row],[Médico]]&amp;" ("&amp;Tabela_tudo[[#This Row],[Obs]]&amp;")"</f>
        <v>ORO ()</v>
      </c>
    </row>
    <row r="8252" spans="1:14" x14ac:dyDescent="0.3">
      <c r="A8252" s="1">
        <v>45121</v>
      </c>
      <c r="B8252" t="s">
        <v>103</v>
      </c>
      <c r="C8252" t="s">
        <v>10</v>
      </c>
      <c r="D8252" s="8"/>
      <c r="E8252" s="8"/>
      <c r="M8252" t="s">
        <v>481</v>
      </c>
      <c r="N8252" t="str">
        <f>Tabela_tudo[[#This Row],[Médico]]&amp;" ("&amp;Tabela_tudo[[#This Row],[Obs]]&amp;")"</f>
        <v>CAD ()</v>
      </c>
    </row>
    <row r="8253" spans="1:14" x14ac:dyDescent="0.3">
      <c r="A8253" s="1">
        <v>45152</v>
      </c>
      <c r="B8253" t="s">
        <v>40</v>
      </c>
      <c r="C8253" t="s">
        <v>10</v>
      </c>
      <c r="D8253" s="8"/>
      <c r="E8253" s="8"/>
      <c r="M8253" t="s">
        <v>481</v>
      </c>
      <c r="N8253" t="str">
        <f>Tabela_tudo[[#This Row],[Médico]]&amp;" ("&amp;Tabela_tudo[[#This Row],[Obs]]&amp;")"</f>
        <v>EMA ()</v>
      </c>
    </row>
    <row r="8254" spans="1:14" x14ac:dyDescent="0.3">
      <c r="A8254" s="1">
        <v>45152</v>
      </c>
      <c r="B8254" t="s">
        <v>36</v>
      </c>
      <c r="C8254" t="s">
        <v>10</v>
      </c>
      <c r="D8254" s="8"/>
      <c r="E8254" s="8"/>
      <c r="M8254" t="s">
        <v>481</v>
      </c>
      <c r="N8254" t="str">
        <f>Tabela_tudo[[#This Row],[Médico]]&amp;" ("&amp;Tabela_tudo[[#This Row],[Obs]]&amp;")"</f>
        <v>DRI ()</v>
      </c>
    </row>
    <row r="8255" spans="1:14" x14ac:dyDescent="0.3">
      <c r="A8255" s="1">
        <v>45109</v>
      </c>
      <c r="B8255" t="s">
        <v>57</v>
      </c>
      <c r="C8255" t="s">
        <v>13</v>
      </c>
      <c r="D8255" s="8"/>
      <c r="E8255" s="8"/>
      <c r="M8255" t="s">
        <v>477</v>
      </c>
      <c r="N8255" t="str">
        <f>Tabela_tudo[[#This Row],[Médico]]&amp;" ("&amp;Tabela_tudo[[#This Row],[Obs]]&amp;")"</f>
        <v>BED ()</v>
      </c>
    </row>
    <row r="8256" spans="1:14" x14ac:dyDescent="0.3">
      <c r="A8256" s="1">
        <v>45121</v>
      </c>
      <c r="B8256" t="s">
        <v>98</v>
      </c>
      <c r="C8256" t="s">
        <v>41</v>
      </c>
      <c r="D8256" s="8"/>
      <c r="E8256" s="8"/>
      <c r="M8256" t="s">
        <v>479</v>
      </c>
      <c r="N8256" t="str">
        <f>Tabela_tudo[[#This Row],[Médico]]&amp;" ("&amp;Tabela_tudo[[#This Row],[Obs]]&amp;")"</f>
        <v>NIC ()</v>
      </c>
    </row>
    <row r="8257" spans="1:14" x14ac:dyDescent="0.3">
      <c r="A8257" s="1">
        <v>45136</v>
      </c>
      <c r="B8257" t="s">
        <v>36</v>
      </c>
      <c r="C8257" t="s">
        <v>78</v>
      </c>
      <c r="D8257" s="8"/>
      <c r="E8257" s="8"/>
      <c r="M8257" t="s">
        <v>481</v>
      </c>
      <c r="N8257" t="str">
        <f>Tabela_tudo[[#This Row],[Médico]]&amp;" ("&amp;Tabela_tudo[[#This Row],[Obs]]&amp;")"</f>
        <v>DRI ()</v>
      </c>
    </row>
    <row r="8258" spans="1:14" x14ac:dyDescent="0.3">
      <c r="A8258" s="1">
        <v>45152</v>
      </c>
      <c r="B8258" t="s">
        <v>62</v>
      </c>
      <c r="C8258" t="s">
        <v>13</v>
      </c>
      <c r="D8258" s="8"/>
      <c r="E8258" s="8"/>
      <c r="M8258" t="s">
        <v>477</v>
      </c>
      <c r="N8258" t="str">
        <f>Tabela_tudo[[#This Row],[Médico]]&amp;" ("&amp;Tabela_tudo[[#This Row],[Obs]]&amp;")"</f>
        <v>RKS ()</v>
      </c>
    </row>
    <row r="8259" spans="1:14" x14ac:dyDescent="0.3">
      <c r="A8259" s="1">
        <v>45152</v>
      </c>
      <c r="B8259" t="s">
        <v>69</v>
      </c>
      <c r="C8259" t="s">
        <v>8</v>
      </c>
      <c r="D8259" s="8"/>
      <c r="E8259" s="8"/>
      <c r="M8259" t="s">
        <v>479</v>
      </c>
      <c r="N8259" t="str">
        <f>Tabela_tudo[[#This Row],[Médico]]&amp;" ("&amp;Tabela_tudo[[#This Row],[Obs]]&amp;")"</f>
        <v>PRE ()</v>
      </c>
    </row>
    <row r="8260" spans="1:14" x14ac:dyDescent="0.3">
      <c r="A8260" s="1">
        <v>45100</v>
      </c>
      <c r="B8260" t="s">
        <v>69</v>
      </c>
      <c r="C8260" t="s">
        <v>41</v>
      </c>
      <c r="D8260" s="8"/>
      <c r="E8260" s="8"/>
      <c r="M8260" t="s">
        <v>479</v>
      </c>
      <c r="N8260" t="str">
        <f>Tabela_tudo[[#This Row],[Médico]]&amp;" ("&amp;Tabela_tudo[[#This Row],[Obs]]&amp;")"</f>
        <v>PRE ()</v>
      </c>
    </row>
    <row r="8261" spans="1:14" x14ac:dyDescent="0.3">
      <c r="A8261" s="1">
        <v>45103</v>
      </c>
      <c r="B8261" t="s">
        <v>35</v>
      </c>
      <c r="C8261" t="s">
        <v>8</v>
      </c>
      <c r="D8261" s="8"/>
      <c r="E8261" s="8"/>
      <c r="M8261" t="s">
        <v>479</v>
      </c>
      <c r="N8261" t="str">
        <f>Tabela_tudo[[#This Row],[Médico]]&amp;" ("&amp;Tabela_tudo[[#This Row],[Obs]]&amp;")"</f>
        <v>FLA ()</v>
      </c>
    </row>
    <row r="8262" spans="1:14" x14ac:dyDescent="0.3">
      <c r="A8262" s="1">
        <v>45178</v>
      </c>
      <c r="B8262" t="s">
        <v>83</v>
      </c>
      <c r="C8262" t="s">
        <v>8</v>
      </c>
      <c r="D8262" s="8"/>
      <c r="E8262" s="8"/>
      <c r="M8262" t="s">
        <v>477</v>
      </c>
      <c r="N8262" t="str">
        <f>Tabela_tudo[[#This Row],[Médico]]&amp;" ("&amp;Tabela_tudo[[#This Row],[Obs]]&amp;")"</f>
        <v>MG ()</v>
      </c>
    </row>
    <row r="8263" spans="1:14" x14ac:dyDescent="0.3">
      <c r="A8263" s="1">
        <v>45100</v>
      </c>
      <c r="B8263" t="s">
        <v>109</v>
      </c>
      <c r="C8263" t="s">
        <v>13</v>
      </c>
      <c r="D8263" s="8"/>
      <c r="E8263" s="8"/>
      <c r="M8263" t="s">
        <v>479</v>
      </c>
      <c r="N8263" t="str">
        <f>Tabela_tudo[[#This Row],[Médico]]&amp;" ("&amp;Tabela_tudo[[#This Row],[Obs]]&amp;")"</f>
        <v>CA ()</v>
      </c>
    </row>
    <row r="8264" spans="1:14" x14ac:dyDescent="0.3">
      <c r="A8264" s="1">
        <v>45103</v>
      </c>
      <c r="B8264" t="s">
        <v>9</v>
      </c>
      <c r="C8264" t="s">
        <v>10</v>
      </c>
      <c r="D8264" s="8"/>
      <c r="E8264" s="8"/>
      <c r="M8264" t="s">
        <v>481</v>
      </c>
      <c r="N8264" t="str">
        <f>Tabela_tudo[[#This Row],[Médico]]&amp;" ("&amp;Tabela_tudo[[#This Row],[Obs]]&amp;")"</f>
        <v>KRE ()</v>
      </c>
    </row>
    <row r="8265" spans="1:14" x14ac:dyDescent="0.3">
      <c r="A8265" s="1">
        <v>45136</v>
      </c>
      <c r="B8265" t="s">
        <v>35</v>
      </c>
      <c r="C8265" t="s">
        <v>8</v>
      </c>
      <c r="D8265" s="8"/>
      <c r="E8265" s="8"/>
      <c r="M8265" t="s">
        <v>479</v>
      </c>
      <c r="N8265" t="str">
        <f>Tabela_tudo[[#This Row],[Médico]]&amp;" ("&amp;Tabela_tudo[[#This Row],[Obs]]&amp;")"</f>
        <v>FLA ()</v>
      </c>
    </row>
    <row r="8266" spans="1:14" x14ac:dyDescent="0.3">
      <c r="A8266" s="1">
        <v>45136</v>
      </c>
      <c r="B8266" t="s">
        <v>60</v>
      </c>
      <c r="C8266" t="s">
        <v>13</v>
      </c>
      <c r="D8266" s="8"/>
      <c r="E8266" s="8"/>
      <c r="M8266" t="s">
        <v>477</v>
      </c>
      <c r="N8266" t="str">
        <f>Tabela_tudo[[#This Row],[Médico]]&amp;" ("&amp;Tabela_tudo[[#This Row],[Obs]]&amp;")"</f>
        <v>BMT ()</v>
      </c>
    </row>
    <row r="8267" spans="1:14" x14ac:dyDescent="0.3">
      <c r="A8267" s="1">
        <v>45176</v>
      </c>
      <c r="B8267" t="s">
        <v>112</v>
      </c>
      <c r="C8267" t="s">
        <v>41</v>
      </c>
      <c r="D8267" s="8"/>
      <c r="E8267" s="8"/>
      <c r="M8267" t="s">
        <v>479</v>
      </c>
      <c r="N8267" t="str">
        <f>Tabela_tudo[[#This Row],[Médico]]&amp;" ("&amp;Tabela_tudo[[#This Row],[Obs]]&amp;")"</f>
        <v>FLE ()</v>
      </c>
    </row>
    <row r="8268" spans="1:14" x14ac:dyDescent="0.3">
      <c r="A8268" s="1">
        <v>45178</v>
      </c>
      <c r="B8268" t="s">
        <v>40</v>
      </c>
      <c r="C8268" t="s">
        <v>78</v>
      </c>
      <c r="D8268" s="8"/>
      <c r="E8268" s="8"/>
      <c r="M8268" t="s">
        <v>481</v>
      </c>
      <c r="N8268" t="str">
        <f>Tabela_tudo[[#This Row],[Médico]]&amp;" ("&amp;Tabela_tudo[[#This Row],[Obs]]&amp;")"</f>
        <v>EMA ()</v>
      </c>
    </row>
    <row r="8269" spans="1:14" x14ac:dyDescent="0.3">
      <c r="A8269" s="1">
        <v>45100</v>
      </c>
      <c r="B8269" t="s">
        <v>98</v>
      </c>
      <c r="C8269" t="s">
        <v>10</v>
      </c>
      <c r="D8269" s="8"/>
      <c r="E8269" s="8"/>
      <c r="M8269" t="s">
        <v>479</v>
      </c>
      <c r="N8269" t="str">
        <f>Tabela_tudo[[#This Row],[Médico]]&amp;" ("&amp;Tabela_tudo[[#This Row],[Obs]]&amp;")"</f>
        <v>NIC ()</v>
      </c>
    </row>
    <row r="8270" spans="1:14" x14ac:dyDescent="0.3">
      <c r="A8270" s="1">
        <v>45100</v>
      </c>
      <c r="B8270" t="s">
        <v>59</v>
      </c>
      <c r="C8270" t="s">
        <v>41</v>
      </c>
      <c r="D8270" s="8"/>
      <c r="E8270" s="8"/>
      <c r="M8270" t="s">
        <v>477</v>
      </c>
      <c r="N8270" t="str">
        <f>Tabela_tudo[[#This Row],[Médico]]&amp;" ("&amp;Tabela_tudo[[#This Row],[Obs]]&amp;")"</f>
        <v>WEN ()</v>
      </c>
    </row>
    <row r="8271" spans="1:14" x14ac:dyDescent="0.3">
      <c r="A8271" s="1">
        <v>45100</v>
      </c>
      <c r="B8271" t="s">
        <v>36</v>
      </c>
      <c r="C8271" t="s">
        <v>10</v>
      </c>
      <c r="D8271" s="8"/>
      <c r="E8271" s="8"/>
      <c r="M8271" t="s">
        <v>481</v>
      </c>
      <c r="N8271" t="str">
        <f>Tabela_tudo[[#This Row],[Médico]]&amp;" ("&amp;Tabela_tudo[[#This Row],[Obs]]&amp;")"</f>
        <v>DRI ()</v>
      </c>
    </row>
    <row r="8272" spans="1:14" x14ac:dyDescent="0.3">
      <c r="A8272" s="1">
        <v>45100</v>
      </c>
      <c r="B8272" t="s">
        <v>35</v>
      </c>
      <c r="C8272" t="s">
        <v>8</v>
      </c>
      <c r="D8272" s="8"/>
      <c r="E8272" s="8"/>
      <c r="M8272" t="s">
        <v>479</v>
      </c>
      <c r="N8272" t="str">
        <f>Tabela_tudo[[#This Row],[Médico]]&amp;" ("&amp;Tabela_tudo[[#This Row],[Obs]]&amp;")"</f>
        <v>FLA ()</v>
      </c>
    </row>
    <row r="8273" spans="1:14" x14ac:dyDescent="0.3">
      <c r="A8273" s="1">
        <v>45103</v>
      </c>
      <c r="B8273" t="s">
        <v>27</v>
      </c>
      <c r="C8273" t="s">
        <v>13</v>
      </c>
      <c r="D8273" s="8"/>
      <c r="E8273" s="8"/>
      <c r="M8273" t="s">
        <v>481</v>
      </c>
      <c r="N8273" t="str">
        <f>Tabela_tudo[[#This Row],[Médico]]&amp;" ("&amp;Tabela_tudo[[#This Row],[Obs]]&amp;")"</f>
        <v>KIL ()</v>
      </c>
    </row>
    <row r="8274" spans="1:14" x14ac:dyDescent="0.3">
      <c r="A8274" s="1">
        <v>45100</v>
      </c>
      <c r="B8274" t="s">
        <v>9</v>
      </c>
      <c r="C8274" t="s">
        <v>10</v>
      </c>
      <c r="D8274" s="8"/>
      <c r="E8274" s="8"/>
      <c r="M8274" t="s">
        <v>481</v>
      </c>
      <c r="N8274" t="str">
        <f>Tabela_tudo[[#This Row],[Médico]]&amp;" ("&amp;Tabela_tudo[[#This Row],[Obs]]&amp;")"</f>
        <v>KRE ()</v>
      </c>
    </row>
    <row r="8275" spans="1:14" x14ac:dyDescent="0.3">
      <c r="A8275" s="1">
        <v>45109</v>
      </c>
      <c r="B8275" t="s">
        <v>42</v>
      </c>
      <c r="C8275" t="s">
        <v>8</v>
      </c>
      <c r="D8275" s="8"/>
      <c r="E8275" s="8"/>
      <c r="M8275" t="s">
        <v>479</v>
      </c>
      <c r="N8275" t="str">
        <f>Tabela_tudo[[#This Row],[Médico]]&amp;" ("&amp;Tabela_tudo[[#This Row],[Obs]]&amp;")"</f>
        <v>SAK ()</v>
      </c>
    </row>
    <row r="8276" spans="1:14" x14ac:dyDescent="0.3">
      <c r="A8276" s="1">
        <v>45111</v>
      </c>
      <c r="B8276" t="s">
        <v>40</v>
      </c>
      <c r="C8276" t="s">
        <v>10</v>
      </c>
      <c r="D8276" s="8"/>
      <c r="E8276" s="8"/>
      <c r="M8276" t="s">
        <v>481</v>
      </c>
      <c r="N8276" t="str">
        <f>Tabela_tudo[[#This Row],[Médico]]&amp;" ("&amp;Tabela_tudo[[#This Row],[Obs]]&amp;")"</f>
        <v>EMA ()</v>
      </c>
    </row>
    <row r="8277" spans="1:14" x14ac:dyDescent="0.3">
      <c r="A8277" s="1">
        <v>45152</v>
      </c>
      <c r="B8277" t="s">
        <v>9</v>
      </c>
      <c r="C8277" t="s">
        <v>41</v>
      </c>
      <c r="D8277" s="8"/>
      <c r="E8277" s="8"/>
      <c r="M8277" t="s">
        <v>481</v>
      </c>
      <c r="N8277" t="str">
        <f>Tabela_tudo[[#This Row],[Médico]]&amp;" ("&amp;Tabela_tudo[[#This Row],[Obs]]&amp;")"</f>
        <v>KRE ()</v>
      </c>
    </row>
    <row r="8278" spans="1:14" x14ac:dyDescent="0.3">
      <c r="A8278" s="1">
        <v>45115</v>
      </c>
      <c r="B8278" t="s">
        <v>103</v>
      </c>
      <c r="C8278" t="s">
        <v>10</v>
      </c>
      <c r="D8278" s="8"/>
      <c r="E8278" s="8"/>
      <c r="M8278" t="s">
        <v>481</v>
      </c>
      <c r="N8278" t="str">
        <f>Tabela_tudo[[#This Row],[Médico]]&amp;" ("&amp;Tabela_tudo[[#This Row],[Obs]]&amp;")"</f>
        <v>CAD ()</v>
      </c>
    </row>
    <row r="8279" spans="1:14" x14ac:dyDescent="0.3">
      <c r="A8279" s="1">
        <v>45116</v>
      </c>
      <c r="B8279" t="s">
        <v>69</v>
      </c>
      <c r="C8279" t="s">
        <v>8</v>
      </c>
      <c r="D8279" s="8"/>
      <c r="E8279" s="8"/>
      <c r="M8279" t="s">
        <v>479</v>
      </c>
      <c r="N8279" t="str">
        <f>Tabela_tudo[[#This Row],[Médico]]&amp;" ("&amp;Tabela_tudo[[#This Row],[Obs]]&amp;")"</f>
        <v>PRE ()</v>
      </c>
    </row>
    <row r="8280" spans="1:14" x14ac:dyDescent="0.3">
      <c r="A8280" s="1">
        <v>45116</v>
      </c>
      <c r="B8280" t="s">
        <v>96</v>
      </c>
      <c r="C8280" t="s">
        <v>13</v>
      </c>
      <c r="D8280" s="8"/>
      <c r="E8280" s="8"/>
      <c r="M8280" t="s">
        <v>477</v>
      </c>
      <c r="N8280" t="str">
        <f>Tabela_tudo[[#This Row],[Médico]]&amp;" ("&amp;Tabela_tudo[[#This Row],[Obs]]&amp;")"</f>
        <v>VF ()</v>
      </c>
    </row>
    <row r="8281" spans="1:14" x14ac:dyDescent="0.3">
      <c r="A8281" s="1">
        <v>45111</v>
      </c>
      <c r="B8281" t="s">
        <v>59</v>
      </c>
      <c r="C8281" t="s">
        <v>8</v>
      </c>
      <c r="D8281" s="8"/>
      <c r="E8281" s="8"/>
      <c r="M8281" t="s">
        <v>477</v>
      </c>
      <c r="N8281" t="str">
        <f>Tabela_tudo[[#This Row],[Médico]]&amp;" ("&amp;Tabela_tudo[[#This Row],[Obs]]&amp;")"</f>
        <v>WEN ()</v>
      </c>
    </row>
    <row r="8282" spans="1:14" x14ac:dyDescent="0.3">
      <c r="A8282" s="1">
        <v>45152</v>
      </c>
      <c r="B8282" t="s">
        <v>57</v>
      </c>
      <c r="C8282" t="s">
        <v>41</v>
      </c>
      <c r="D8282" s="8"/>
      <c r="E8282" s="8"/>
      <c r="M8282" t="s">
        <v>477</v>
      </c>
      <c r="N8282" t="str">
        <f>Tabela_tudo[[#This Row],[Médico]]&amp;" ("&amp;Tabela_tudo[[#This Row],[Obs]]&amp;")"</f>
        <v>BED ()</v>
      </c>
    </row>
    <row r="8283" spans="1:14" x14ac:dyDescent="0.3">
      <c r="A8283" s="1">
        <v>45115</v>
      </c>
      <c r="B8283" t="s">
        <v>35</v>
      </c>
      <c r="C8283" t="s">
        <v>10</v>
      </c>
      <c r="D8283" s="8"/>
      <c r="E8283" s="8"/>
      <c r="M8283" t="s">
        <v>479</v>
      </c>
      <c r="N8283" t="str">
        <f>Tabela_tudo[[#This Row],[Médico]]&amp;" ("&amp;Tabela_tudo[[#This Row],[Obs]]&amp;")"</f>
        <v>FLA ()</v>
      </c>
    </row>
    <row r="8284" spans="1:14" x14ac:dyDescent="0.3">
      <c r="A8284" s="1">
        <v>45115</v>
      </c>
      <c r="B8284" t="s">
        <v>27</v>
      </c>
      <c r="C8284" t="s">
        <v>78</v>
      </c>
      <c r="D8284" s="8"/>
      <c r="E8284" s="8"/>
      <c r="M8284" t="s">
        <v>481</v>
      </c>
      <c r="N8284" t="str">
        <f>Tabela_tudo[[#This Row],[Médico]]&amp;" ("&amp;Tabela_tudo[[#This Row],[Obs]]&amp;")"</f>
        <v>KIL ()</v>
      </c>
    </row>
    <row r="8285" spans="1:14" x14ac:dyDescent="0.3">
      <c r="A8285" s="1">
        <v>45115</v>
      </c>
      <c r="B8285" t="s">
        <v>40</v>
      </c>
      <c r="C8285" t="s">
        <v>10</v>
      </c>
      <c r="D8285" s="8"/>
      <c r="E8285" s="8"/>
      <c r="M8285" t="s">
        <v>481</v>
      </c>
      <c r="N8285" t="str">
        <f>Tabela_tudo[[#This Row],[Médico]]&amp;" ("&amp;Tabela_tudo[[#This Row],[Obs]]&amp;")"</f>
        <v>EMA ()</v>
      </c>
    </row>
    <row r="8286" spans="1:14" x14ac:dyDescent="0.3">
      <c r="A8286" s="1">
        <v>45116</v>
      </c>
      <c r="B8286" t="s">
        <v>27</v>
      </c>
      <c r="C8286" t="s">
        <v>78</v>
      </c>
      <c r="D8286" s="8"/>
      <c r="E8286" s="8"/>
      <c r="M8286" t="s">
        <v>481</v>
      </c>
      <c r="N8286" t="str">
        <f>Tabela_tudo[[#This Row],[Médico]]&amp;" ("&amp;Tabela_tudo[[#This Row],[Obs]]&amp;")"</f>
        <v>KIL ()</v>
      </c>
    </row>
    <row r="8287" spans="1:14" x14ac:dyDescent="0.3">
      <c r="A8287" s="1">
        <v>45152</v>
      </c>
      <c r="B8287" t="s">
        <v>27</v>
      </c>
      <c r="C8287" t="s">
        <v>10</v>
      </c>
      <c r="D8287" s="8"/>
      <c r="E8287" s="8"/>
      <c r="M8287" t="s">
        <v>481</v>
      </c>
      <c r="N8287" t="str">
        <f>Tabela_tudo[[#This Row],[Médico]]&amp;" ("&amp;Tabela_tudo[[#This Row],[Obs]]&amp;")"</f>
        <v>KIL ()</v>
      </c>
    </row>
    <row r="8288" spans="1:14" x14ac:dyDescent="0.3">
      <c r="A8288" s="1">
        <v>45152</v>
      </c>
      <c r="B8288" t="s">
        <v>35</v>
      </c>
      <c r="C8288" t="s">
        <v>41</v>
      </c>
      <c r="D8288" s="8"/>
      <c r="E8288" s="8"/>
      <c r="M8288" t="s">
        <v>479</v>
      </c>
      <c r="N8288" t="str">
        <f>Tabela_tudo[[#This Row],[Médico]]&amp;" ("&amp;Tabela_tudo[[#This Row],[Obs]]&amp;")"</f>
        <v>FLA ()</v>
      </c>
    </row>
    <row r="8289" spans="1:14" x14ac:dyDescent="0.3">
      <c r="A8289" s="1">
        <v>45152</v>
      </c>
      <c r="B8289" t="s">
        <v>79</v>
      </c>
      <c r="C8289" t="s">
        <v>10</v>
      </c>
      <c r="D8289" s="8"/>
      <c r="E8289" s="8"/>
      <c r="M8289" t="s">
        <v>481</v>
      </c>
      <c r="N8289" t="str">
        <f>Tabela_tudo[[#This Row],[Médico]]&amp;" ("&amp;Tabela_tudo[[#This Row],[Obs]]&amp;")"</f>
        <v>MTB ()</v>
      </c>
    </row>
    <row r="8290" spans="1:14" x14ac:dyDescent="0.3">
      <c r="A8290" s="1">
        <v>45135</v>
      </c>
      <c r="B8290" t="s">
        <v>79</v>
      </c>
      <c r="C8290" t="s">
        <v>41</v>
      </c>
      <c r="D8290" s="8"/>
      <c r="E8290" s="8"/>
      <c r="M8290" t="s">
        <v>481</v>
      </c>
      <c r="N8290" t="str">
        <f>Tabela_tudo[[#This Row],[Médico]]&amp;" ("&amp;Tabela_tudo[[#This Row],[Obs]]&amp;")"</f>
        <v>MTB ()</v>
      </c>
    </row>
    <row r="8291" spans="1:14" x14ac:dyDescent="0.3">
      <c r="A8291" s="1">
        <v>45109</v>
      </c>
      <c r="B8291" t="s">
        <v>38</v>
      </c>
      <c r="C8291" t="s">
        <v>78</v>
      </c>
      <c r="D8291" s="8"/>
      <c r="E8291" s="8"/>
      <c r="M8291" t="s">
        <v>481</v>
      </c>
      <c r="N8291" t="str">
        <f>Tabela_tudo[[#This Row],[Médico]]&amp;" ("&amp;Tabela_tudo[[#This Row],[Obs]]&amp;")"</f>
        <v>ORO ()</v>
      </c>
    </row>
    <row r="8292" spans="1:14" x14ac:dyDescent="0.3">
      <c r="A8292" s="1">
        <v>45115</v>
      </c>
      <c r="B8292" t="s">
        <v>96</v>
      </c>
      <c r="C8292" t="s">
        <v>13</v>
      </c>
      <c r="D8292" s="8"/>
      <c r="E8292" s="8"/>
      <c r="M8292" t="s">
        <v>477</v>
      </c>
      <c r="N8292" t="str">
        <f>Tabela_tudo[[#This Row],[Médico]]&amp;" ("&amp;Tabela_tudo[[#This Row],[Obs]]&amp;")"</f>
        <v>VF ()</v>
      </c>
    </row>
    <row r="8293" spans="1:14" x14ac:dyDescent="0.3">
      <c r="A8293" s="1">
        <v>45115</v>
      </c>
      <c r="B8293" t="s">
        <v>69</v>
      </c>
      <c r="C8293" t="s">
        <v>8</v>
      </c>
      <c r="D8293" s="8"/>
      <c r="E8293" s="8"/>
      <c r="M8293" t="s">
        <v>479</v>
      </c>
      <c r="N8293" t="str">
        <f>Tabela_tudo[[#This Row],[Médico]]&amp;" ("&amp;Tabela_tudo[[#This Row],[Obs]]&amp;")"</f>
        <v>PRE ()</v>
      </c>
    </row>
    <row r="8294" spans="1:14" x14ac:dyDescent="0.3">
      <c r="A8294" s="1">
        <v>45135</v>
      </c>
      <c r="B8294" t="s">
        <v>149</v>
      </c>
      <c r="C8294" t="s">
        <v>41</v>
      </c>
      <c r="D8294" s="8"/>
      <c r="E8294" s="8"/>
      <c r="M8294" t="s">
        <v>477</v>
      </c>
      <c r="N8294" t="str">
        <f>Tabela_tudo[[#This Row],[Médico]]&amp;" ("&amp;Tabela_tudo[[#This Row],[Obs]]&amp;")"</f>
        <v>NF ()</v>
      </c>
    </row>
    <row r="8295" spans="1:14" x14ac:dyDescent="0.3">
      <c r="A8295" s="1">
        <v>45135</v>
      </c>
      <c r="B8295" t="s">
        <v>40</v>
      </c>
      <c r="C8295" t="s">
        <v>10</v>
      </c>
      <c r="D8295" s="8"/>
      <c r="E8295" s="8"/>
      <c r="M8295" t="s">
        <v>481</v>
      </c>
      <c r="N8295" t="str">
        <f>Tabela_tudo[[#This Row],[Médico]]&amp;" ("&amp;Tabela_tudo[[#This Row],[Obs]]&amp;")"</f>
        <v>EMA ()</v>
      </c>
    </row>
    <row r="8296" spans="1:14" x14ac:dyDescent="0.3">
      <c r="A8296" s="1">
        <v>45225</v>
      </c>
      <c r="B8296" t="s">
        <v>72</v>
      </c>
      <c r="C8296" t="s">
        <v>24</v>
      </c>
      <c r="D8296" s="8">
        <v>0.45833333333333331</v>
      </c>
      <c r="E8296" s="8">
        <v>0.47916666666666669</v>
      </c>
      <c r="F8296" t="s">
        <v>697</v>
      </c>
      <c r="H8296" t="s">
        <v>565</v>
      </c>
      <c r="M8296" t="s">
        <v>478</v>
      </c>
      <c r="N8296" t="str">
        <f>Tabela_tudo[[#This Row],[Médico]]&amp;" ("&amp;Tabela_tudo[[#This Row],[Obs]]&amp;")"</f>
        <v>GRA (CERTIFICADORA)</v>
      </c>
    </row>
    <row r="8297" spans="1:14" x14ac:dyDescent="0.3">
      <c r="A8297" s="1">
        <v>45121</v>
      </c>
      <c r="B8297" t="s">
        <v>12</v>
      </c>
      <c r="C8297" t="s">
        <v>24</v>
      </c>
      <c r="D8297" s="8">
        <v>0.54166666666666663</v>
      </c>
      <c r="E8297" s="8">
        <v>0.91666666666666663</v>
      </c>
      <c r="F8297" t="s">
        <v>186</v>
      </c>
      <c r="I8297" t="s">
        <v>565</v>
      </c>
      <c r="J8297" t="s">
        <v>565</v>
      </c>
      <c r="K8297" t="s">
        <v>565</v>
      </c>
      <c r="M8297" t="s">
        <v>478</v>
      </c>
      <c r="N8297" t="str">
        <f>Tabela_tudo[[#This Row],[Médico]]&amp;" ("&amp;Tabela_tudo[[#This Row],[Obs]]&amp;")"</f>
        <v>EDU (MBA PRESENCIAL )</v>
      </c>
    </row>
    <row r="8298" spans="1:14" x14ac:dyDescent="0.3">
      <c r="A8298" s="1">
        <v>45257</v>
      </c>
      <c r="B8298" t="s">
        <v>66</v>
      </c>
      <c r="C8298" t="s">
        <v>24</v>
      </c>
      <c r="D8298" s="8">
        <v>0.79166666666666663</v>
      </c>
      <c r="E8298" s="8">
        <v>0.91666666666666663</v>
      </c>
      <c r="F8298" t="s">
        <v>736</v>
      </c>
      <c r="K8298" t="s">
        <v>565</v>
      </c>
      <c r="M8298" t="s">
        <v>478</v>
      </c>
      <c r="N8298" t="str">
        <f>Tabela_tudo[[#This Row],[Médico]]&amp;" ("&amp;Tabela_tudo[[#This Row],[Obs]]&amp;")"</f>
        <v>MOZ (AULA UNISINOS)</v>
      </c>
    </row>
    <row r="8299" spans="1:14" x14ac:dyDescent="0.3">
      <c r="A8299" s="1">
        <v>45017</v>
      </c>
      <c r="B8299" t="s">
        <v>17</v>
      </c>
      <c r="C8299" t="s">
        <v>24</v>
      </c>
      <c r="D8299" s="8">
        <v>0.54166666666666663</v>
      </c>
      <c r="E8299" s="8">
        <v>0.75</v>
      </c>
      <c r="I8299" t="s">
        <v>565</v>
      </c>
      <c r="J8299" t="s">
        <v>565</v>
      </c>
      <c r="M8299" t="s">
        <v>478</v>
      </c>
      <c r="N8299" t="str">
        <f>Tabela_tudo[[#This Row],[Médico]]&amp;" ("&amp;Tabela_tudo[[#This Row],[Obs]]&amp;")"</f>
        <v>FAB ()</v>
      </c>
    </row>
    <row r="8300" spans="1:14" x14ac:dyDescent="0.3">
      <c r="A8300" s="1">
        <v>45161</v>
      </c>
      <c r="B8300" t="s">
        <v>214</v>
      </c>
      <c r="C8300" t="s">
        <v>24</v>
      </c>
      <c r="D8300" s="8"/>
      <c r="E8300" s="8"/>
      <c r="F8300" t="s">
        <v>349</v>
      </c>
      <c r="M8300" t="s">
        <v>478</v>
      </c>
      <c r="N8300" t="str">
        <f>Tabela_tudo[[#This Row],[Médico]]&amp;" ("&amp;Tabela_tudo[[#This Row],[Obs]]&amp;")"</f>
        <v>IFA (TRABALHA DAS 07H ÀS 13H)</v>
      </c>
    </row>
    <row r="8301" spans="1:14" x14ac:dyDescent="0.3">
      <c r="A8301" s="1">
        <v>45225</v>
      </c>
      <c r="B8301" t="s">
        <v>63</v>
      </c>
      <c r="C8301" t="s">
        <v>24</v>
      </c>
      <c r="D8301" s="8">
        <v>0.47916666666666669</v>
      </c>
      <c r="E8301" s="8">
        <v>0.5</v>
      </c>
      <c r="F8301" t="s">
        <v>697</v>
      </c>
      <c r="H8301" t="s">
        <v>565</v>
      </c>
      <c r="M8301" t="s">
        <v>478</v>
      </c>
      <c r="N8301" t="str">
        <f>Tabela_tudo[[#This Row],[Médico]]&amp;" ("&amp;Tabela_tudo[[#This Row],[Obs]]&amp;")"</f>
        <v>FQ (CERTIFICADORA)</v>
      </c>
    </row>
    <row r="8302" spans="1:14" x14ac:dyDescent="0.3">
      <c r="A8302" s="1">
        <v>45094</v>
      </c>
      <c r="B8302" t="s">
        <v>12</v>
      </c>
      <c r="C8302" t="s">
        <v>24</v>
      </c>
      <c r="D8302" s="8">
        <v>0.33333333333333331</v>
      </c>
      <c r="E8302" s="8">
        <v>0.5</v>
      </c>
      <c r="F8302" t="s">
        <v>159</v>
      </c>
      <c r="G8302" t="s">
        <v>565</v>
      </c>
      <c r="H8302" t="s">
        <v>565</v>
      </c>
      <c r="M8302" t="s">
        <v>478</v>
      </c>
      <c r="N8302" t="str">
        <f>Tabela_tudo[[#This Row],[Médico]]&amp;" ("&amp;Tabela_tudo[[#This Row],[Obs]]&amp;")"</f>
        <v>EDU (MBA)</v>
      </c>
    </row>
    <row r="8303" spans="1:14" x14ac:dyDescent="0.3">
      <c r="A8303" s="1">
        <v>45069</v>
      </c>
      <c r="B8303" t="s">
        <v>64</v>
      </c>
      <c r="C8303" t="s">
        <v>24</v>
      </c>
      <c r="D8303" s="8">
        <v>0.54166666666666663</v>
      </c>
      <c r="E8303" s="8">
        <v>0.83333333333333337</v>
      </c>
      <c r="F8303" t="s">
        <v>88</v>
      </c>
      <c r="I8303" t="s">
        <v>565</v>
      </c>
      <c r="J8303" t="s">
        <v>565</v>
      </c>
      <c r="K8303" t="s">
        <v>565</v>
      </c>
      <c r="M8303" t="s">
        <v>478</v>
      </c>
      <c r="N8303" t="str">
        <f>Tabela_tudo[[#This Row],[Médico]]&amp;" ("&amp;Tabela_tudo[[#This Row],[Obs]]&amp;")"</f>
        <v>SAR (SAR FORA APÓS AS 13H )</v>
      </c>
    </row>
    <row r="8304" spans="1:14" x14ac:dyDescent="0.3">
      <c r="A8304" s="1">
        <v>45240</v>
      </c>
      <c r="B8304" t="s">
        <v>44</v>
      </c>
      <c r="C8304" t="s">
        <v>24</v>
      </c>
      <c r="D8304" s="8"/>
      <c r="E8304" s="8"/>
      <c r="F8304" t="s">
        <v>365</v>
      </c>
      <c r="M8304" t="s">
        <v>478</v>
      </c>
      <c r="N8304" t="str">
        <f>Tabela_tudo[[#This Row],[Médico]]&amp;" ("&amp;Tabela_tudo[[#This Row],[Obs]]&amp;")"</f>
        <v>REI (FORA O DIA TODO)</v>
      </c>
    </row>
    <row r="8305" spans="1:14" x14ac:dyDescent="0.3">
      <c r="A8305" s="1">
        <v>45143</v>
      </c>
      <c r="B8305" t="s">
        <v>249</v>
      </c>
      <c r="C8305" t="s">
        <v>24</v>
      </c>
      <c r="D8305" s="8"/>
      <c r="E8305" s="8"/>
      <c r="F8305" t="s">
        <v>291</v>
      </c>
      <c r="M8305" t="s">
        <v>478</v>
      </c>
      <c r="N8305" t="str">
        <f>Tabela_tudo[[#This Row],[Médico]]&amp;" ("&amp;Tabela_tudo[[#This Row],[Obs]]&amp;")"</f>
        <v>ISE (TRABALHA)</v>
      </c>
    </row>
    <row r="8306" spans="1:14" x14ac:dyDescent="0.3">
      <c r="A8306" s="1">
        <v>45239</v>
      </c>
      <c r="B8306" t="s">
        <v>48</v>
      </c>
      <c r="C8306" t="s">
        <v>24</v>
      </c>
      <c r="D8306" s="8">
        <v>0.54166666666666663</v>
      </c>
      <c r="E8306" s="8">
        <v>0.79166666666666663</v>
      </c>
      <c r="F8306" t="s">
        <v>723</v>
      </c>
      <c r="I8306" t="s">
        <v>565</v>
      </c>
      <c r="J8306" t="s">
        <v>565</v>
      </c>
      <c r="M8306" t="s">
        <v>478</v>
      </c>
      <c r="N8306" t="str">
        <f>Tabela_tudo[[#This Row],[Médico]]&amp;" ("&amp;Tabela_tudo[[#This Row],[Obs]]&amp;")"</f>
        <v>MAF (MAF TRABALHA P/REI )</v>
      </c>
    </row>
    <row r="8307" spans="1:14" x14ac:dyDescent="0.3">
      <c r="A8307" s="1">
        <v>45239</v>
      </c>
      <c r="B8307" t="s">
        <v>44</v>
      </c>
      <c r="C8307" t="s">
        <v>24</v>
      </c>
      <c r="D8307" s="8">
        <v>0.54166666666666663</v>
      </c>
      <c r="E8307" s="8">
        <v>0.79166666666666663</v>
      </c>
      <c r="F8307" t="s">
        <v>723</v>
      </c>
      <c r="I8307" t="s">
        <v>565</v>
      </c>
      <c r="J8307" t="s">
        <v>565</v>
      </c>
      <c r="M8307" t="s">
        <v>478</v>
      </c>
      <c r="N8307" t="str">
        <f>Tabela_tudo[[#This Row],[Médico]]&amp;" ("&amp;Tabela_tudo[[#This Row],[Obs]]&amp;")"</f>
        <v>REI (MAF TRABALHA P/REI )</v>
      </c>
    </row>
    <row r="8308" spans="1:14" x14ac:dyDescent="0.3">
      <c r="A8308" s="1">
        <v>45240</v>
      </c>
      <c r="B8308" t="s">
        <v>64</v>
      </c>
      <c r="C8308" t="s">
        <v>24</v>
      </c>
      <c r="D8308" s="8"/>
      <c r="E8308" s="8"/>
      <c r="F8308" t="s">
        <v>366</v>
      </c>
      <c r="M8308" t="s">
        <v>478</v>
      </c>
      <c r="N8308" t="str">
        <f>Tabela_tudo[[#This Row],[Médico]]&amp;" ("&amp;Tabela_tudo[[#This Row],[Obs]]&amp;")"</f>
        <v>SAR (TRABALHA O DIA TODO P/ REI)</v>
      </c>
    </row>
    <row r="8309" spans="1:14" x14ac:dyDescent="0.3">
      <c r="A8309" s="1">
        <v>45070</v>
      </c>
      <c r="B8309" t="s">
        <v>23</v>
      </c>
      <c r="C8309" t="s">
        <v>24</v>
      </c>
      <c r="D8309" s="8">
        <v>0.79166666666666663</v>
      </c>
      <c r="E8309" s="8">
        <v>0.83333333333333337</v>
      </c>
      <c r="F8309" t="s">
        <v>74</v>
      </c>
      <c r="K8309" t="s">
        <v>565</v>
      </c>
      <c r="M8309" t="s">
        <v>478</v>
      </c>
      <c r="N8309" t="str">
        <f>Tabela_tudo[[#This Row],[Médico]]&amp;" ("&amp;Tabela_tudo[[#This Row],[Obs]]&amp;")"</f>
        <v>BG (AULA P/ GRAAP DE SP )</v>
      </c>
    </row>
    <row r="8310" spans="1:14" x14ac:dyDescent="0.3">
      <c r="A8310" s="1">
        <v>45178</v>
      </c>
      <c r="B8310" t="s">
        <v>214</v>
      </c>
      <c r="C8310" t="s">
        <v>24</v>
      </c>
      <c r="D8310" s="8"/>
      <c r="E8310" s="8"/>
      <c r="F8310" t="s">
        <v>418</v>
      </c>
      <c r="M8310" t="s">
        <v>478</v>
      </c>
      <c r="N8310" t="str">
        <f>Tabela_tudo[[#This Row],[Médico]]&amp;" ("&amp;Tabela_tudo[[#This Row],[Obs]]&amp;")"</f>
        <v>IFA (TRABALHA O DIA TODO)</v>
      </c>
    </row>
    <row r="8311" spans="1:14" x14ac:dyDescent="0.3">
      <c r="A8311" s="1">
        <v>45142</v>
      </c>
      <c r="B8311" t="s">
        <v>63</v>
      </c>
      <c r="C8311" t="s">
        <v>24</v>
      </c>
      <c r="D8311" s="8"/>
      <c r="E8311" s="8"/>
      <c r="F8311" t="s">
        <v>284</v>
      </c>
      <c r="M8311" t="s">
        <v>478</v>
      </c>
      <c r="N8311" t="str">
        <f>Tabela_tudo[[#This Row],[Médico]]&amp;" ("&amp;Tabela_tudo[[#This Row],[Obs]]&amp;")"</f>
        <v>FQ (ENTRANDO EM FÉRIAS NA SEGUNDA-FEIRA)</v>
      </c>
    </row>
    <row r="8312" spans="1:14" x14ac:dyDescent="0.3">
      <c r="A8312" s="1">
        <v>45174</v>
      </c>
      <c r="B8312" t="s">
        <v>34</v>
      </c>
      <c r="C8312" t="s">
        <v>24</v>
      </c>
      <c r="D8312" s="8">
        <v>0.54166666666666663</v>
      </c>
      <c r="E8312" s="8">
        <v>0.58333333333333337</v>
      </c>
      <c r="F8312" t="s">
        <v>437</v>
      </c>
      <c r="I8312" t="s">
        <v>565</v>
      </c>
      <c r="M8312" t="s">
        <v>478</v>
      </c>
      <c r="N8312" t="str">
        <f>Tabela_tudo[[#This Row],[Médico]]&amp;" ("&amp;Tabela_tudo[[#This Row],[Obs]]&amp;")"</f>
        <v>LIP (ESCALA DE VERÃO/FERIADOS - NO SANE)</v>
      </c>
    </row>
    <row r="8313" spans="1:14" x14ac:dyDescent="0.3">
      <c r="A8313" s="1">
        <v>45142</v>
      </c>
      <c r="B8313" t="s">
        <v>283</v>
      </c>
      <c r="C8313" t="s">
        <v>24</v>
      </c>
      <c r="D8313" s="8"/>
      <c r="E8313" s="8"/>
      <c r="F8313" t="s">
        <v>284</v>
      </c>
      <c r="M8313" t="s">
        <v>478</v>
      </c>
      <c r="N8313" t="str">
        <f>Tabela_tudo[[#This Row],[Médico]]&amp;" ("&amp;Tabela_tudo[[#This Row],[Obs]]&amp;")"</f>
        <v>JU (ENTRANDO EM FÉRIAS NA SEGUNDA-FEIRA)</v>
      </c>
    </row>
    <row r="8314" spans="1:14" x14ac:dyDescent="0.3">
      <c r="A8314" s="1">
        <v>45258</v>
      </c>
      <c r="B8314" t="s">
        <v>23</v>
      </c>
      <c r="C8314" t="s">
        <v>24</v>
      </c>
      <c r="D8314" s="8">
        <v>0.29166666666666669</v>
      </c>
      <c r="E8314" s="8">
        <v>0.91666666666666663</v>
      </c>
      <c r="F8314" t="s">
        <v>310</v>
      </c>
      <c r="G8314" t="s">
        <v>565</v>
      </c>
      <c r="H8314" t="s">
        <v>565</v>
      </c>
      <c r="I8314" t="s">
        <v>565</v>
      </c>
      <c r="J8314" t="s">
        <v>565</v>
      </c>
      <c r="K8314" t="s">
        <v>565</v>
      </c>
      <c r="M8314" t="s">
        <v>478</v>
      </c>
      <c r="N8314" t="str">
        <f>Tabela_tudo[[#This Row],[Médico]]&amp;" ("&amp;Tabela_tudo[[#This Row],[Obs]]&amp;")"</f>
        <v>BG (EVENTO UNIMED SP )</v>
      </c>
    </row>
    <row r="8315" spans="1:14" x14ac:dyDescent="0.3">
      <c r="A8315" s="1">
        <v>45142</v>
      </c>
      <c r="B8315" t="s">
        <v>44</v>
      </c>
      <c r="C8315" t="s">
        <v>24</v>
      </c>
      <c r="D8315" s="8"/>
      <c r="E8315" s="8"/>
      <c r="F8315" t="s">
        <v>282</v>
      </c>
      <c r="M8315" t="s">
        <v>478</v>
      </c>
      <c r="N8315" t="str">
        <f>Tabela_tudo[[#This Row],[Médico]]&amp;" ("&amp;Tabela_tudo[[#This Row],[Obs]]&amp;")"</f>
        <v>REI (REI TRABALHA A TARDE P/ MAF)</v>
      </c>
    </row>
    <row r="8316" spans="1:14" x14ac:dyDescent="0.3">
      <c r="A8316" s="1">
        <v>45142</v>
      </c>
      <c r="B8316" t="s">
        <v>48</v>
      </c>
      <c r="C8316" t="s">
        <v>24</v>
      </c>
      <c r="D8316" s="8"/>
      <c r="E8316" s="8"/>
      <c r="F8316" t="s">
        <v>284</v>
      </c>
      <c r="M8316" t="s">
        <v>478</v>
      </c>
      <c r="N8316" t="str">
        <f>Tabela_tudo[[#This Row],[Médico]]&amp;" ("&amp;Tabela_tudo[[#This Row],[Obs]]&amp;")"</f>
        <v>MAF (ENTRANDO EM FÉRIAS NA SEGUNDA-FEIRA)</v>
      </c>
    </row>
    <row r="8317" spans="1:14" x14ac:dyDescent="0.3">
      <c r="A8317" s="1">
        <v>45042</v>
      </c>
      <c r="B8317" t="s">
        <v>23</v>
      </c>
      <c r="C8317" t="s">
        <v>24</v>
      </c>
      <c r="D8317" s="8"/>
      <c r="E8317" s="8"/>
      <c r="M8317" t="s">
        <v>478</v>
      </c>
      <c r="N8317" t="str">
        <f>Tabela_tudo[[#This Row],[Médico]]&amp;" ("&amp;Tabela_tudo[[#This Row],[Obs]]&amp;")"</f>
        <v>BG ()</v>
      </c>
    </row>
    <row r="8318" spans="1:14" x14ac:dyDescent="0.3">
      <c r="A8318" s="1">
        <v>45259</v>
      </c>
      <c r="B8318" t="s">
        <v>23</v>
      </c>
      <c r="C8318" t="s">
        <v>24</v>
      </c>
      <c r="D8318" s="8">
        <v>0.29166666666666669</v>
      </c>
      <c r="E8318" s="8">
        <v>0.91666666666666663</v>
      </c>
      <c r="F8318" t="s">
        <v>310</v>
      </c>
      <c r="G8318" t="s">
        <v>565</v>
      </c>
      <c r="H8318" t="s">
        <v>565</v>
      </c>
      <c r="I8318" t="s">
        <v>565</v>
      </c>
      <c r="J8318" t="s">
        <v>565</v>
      </c>
      <c r="K8318" t="s">
        <v>565</v>
      </c>
      <c r="M8318" t="s">
        <v>478</v>
      </c>
      <c r="N8318" t="str">
        <f>Tabela_tudo[[#This Row],[Médico]]&amp;" ("&amp;Tabela_tudo[[#This Row],[Obs]]&amp;")"</f>
        <v>BG (EVENTO UNIMED SP )</v>
      </c>
    </row>
    <row r="8319" spans="1:14" x14ac:dyDescent="0.3">
      <c r="A8319" s="1">
        <v>45142</v>
      </c>
      <c r="B8319" t="s">
        <v>68</v>
      </c>
      <c r="C8319" t="s">
        <v>24</v>
      </c>
      <c r="D8319" s="8"/>
      <c r="E8319" s="8"/>
      <c r="F8319" t="s">
        <v>284</v>
      </c>
      <c r="M8319" t="s">
        <v>478</v>
      </c>
      <c r="N8319" t="str">
        <f>Tabela_tudo[[#This Row],[Médico]]&amp;" ("&amp;Tabela_tudo[[#This Row],[Obs]]&amp;")"</f>
        <v>PED (ENTRANDO EM FÉRIAS NA SEGUNDA-FEIRA)</v>
      </c>
    </row>
    <row r="8320" spans="1:14" x14ac:dyDescent="0.3">
      <c r="A8320" s="1">
        <v>45171</v>
      </c>
      <c r="B8320" t="s">
        <v>249</v>
      </c>
      <c r="C8320" t="s">
        <v>24</v>
      </c>
      <c r="D8320" s="8"/>
      <c r="E8320" s="8"/>
      <c r="F8320" t="s">
        <v>418</v>
      </c>
      <c r="M8320" t="s">
        <v>478</v>
      </c>
      <c r="N8320" t="str">
        <f>Tabela_tudo[[#This Row],[Médico]]&amp;" ("&amp;Tabela_tudo[[#This Row],[Obs]]&amp;")"</f>
        <v>ISE (TRABALHA O DIA TODO)</v>
      </c>
    </row>
    <row r="8321" spans="1:14" x14ac:dyDescent="0.3">
      <c r="A8321" s="1">
        <v>45192</v>
      </c>
      <c r="B8321" t="s">
        <v>34</v>
      </c>
      <c r="C8321" t="s">
        <v>24</v>
      </c>
      <c r="D8321" s="8"/>
      <c r="E8321" s="8"/>
      <c r="F8321" t="s">
        <v>634</v>
      </c>
      <c r="M8321" t="s">
        <v>478</v>
      </c>
      <c r="N8321" t="str">
        <f>Tabela_tudo[[#This Row],[Médico]]&amp;" ("&amp;Tabela_tudo[[#This Row],[Obs]]&amp;")"</f>
        <v>LIP (PALESTRA JARGS - TARDE)</v>
      </c>
    </row>
    <row r="8322" spans="1:14" x14ac:dyDescent="0.3">
      <c r="A8322" s="1">
        <v>45192</v>
      </c>
      <c r="B8322" t="s">
        <v>47</v>
      </c>
      <c r="C8322" t="s">
        <v>24</v>
      </c>
      <c r="D8322" s="8"/>
      <c r="E8322" s="8"/>
      <c r="F8322" t="s">
        <v>634</v>
      </c>
      <c r="M8322" t="s">
        <v>478</v>
      </c>
      <c r="N8322" t="str">
        <f>Tabela_tudo[[#This Row],[Médico]]&amp;" ("&amp;Tabela_tudo[[#This Row],[Obs]]&amp;")"</f>
        <v>VIN (PALESTRA JARGS - TARDE)</v>
      </c>
    </row>
    <row r="8323" spans="1:14" x14ac:dyDescent="0.3">
      <c r="A8323" s="1">
        <v>45122</v>
      </c>
      <c r="B8323" t="s">
        <v>12</v>
      </c>
      <c r="C8323" t="s">
        <v>24</v>
      </c>
      <c r="D8323" s="8">
        <v>0.33333333333333331</v>
      </c>
      <c r="E8323" s="8">
        <v>0.75</v>
      </c>
      <c r="F8323" t="s">
        <v>186</v>
      </c>
      <c r="G8323" t="s">
        <v>565</v>
      </c>
      <c r="H8323" t="s">
        <v>565</v>
      </c>
      <c r="I8323" t="s">
        <v>565</v>
      </c>
      <c r="J8323" t="s">
        <v>565</v>
      </c>
      <c r="M8323" t="s">
        <v>478</v>
      </c>
      <c r="N8323" t="str">
        <f>Tabela_tudo[[#This Row],[Médico]]&amp;" ("&amp;Tabela_tudo[[#This Row],[Obs]]&amp;")"</f>
        <v>EDU (MBA PRESENCIAL )</v>
      </c>
    </row>
    <row r="8324" spans="1:14" x14ac:dyDescent="0.3">
      <c r="A8324" s="1">
        <v>45192</v>
      </c>
      <c r="B8324" t="s">
        <v>84</v>
      </c>
      <c r="C8324" t="s">
        <v>24</v>
      </c>
      <c r="D8324" s="8"/>
      <c r="E8324" s="8"/>
      <c r="F8324" t="s">
        <v>629</v>
      </c>
      <c r="M8324" t="s">
        <v>478</v>
      </c>
      <c r="N8324" t="str">
        <f>Tabela_tudo[[#This Row],[Médico]]&amp;" ("&amp;Tabela_tudo[[#This Row],[Obs]]&amp;")"</f>
        <v>ANO (PALESTRA JARGS DIA TODO)</v>
      </c>
    </row>
    <row r="8325" spans="1:14" x14ac:dyDescent="0.3">
      <c r="A8325" s="1">
        <v>45192</v>
      </c>
      <c r="B8325" t="s">
        <v>73</v>
      </c>
      <c r="C8325" t="s">
        <v>24</v>
      </c>
      <c r="D8325" s="8"/>
      <c r="E8325" s="8"/>
      <c r="F8325" t="s">
        <v>629</v>
      </c>
      <c r="M8325" t="s">
        <v>478</v>
      </c>
      <c r="N8325" t="str">
        <f>Tabela_tudo[[#This Row],[Médico]]&amp;" ("&amp;Tabela_tudo[[#This Row],[Obs]]&amp;")"</f>
        <v>RT (PALESTRA JARGS DIA TODO)</v>
      </c>
    </row>
    <row r="8326" spans="1:14" x14ac:dyDescent="0.3">
      <c r="A8326" s="1">
        <v>45192</v>
      </c>
      <c r="B8326" t="s">
        <v>23</v>
      </c>
      <c r="C8326" t="s">
        <v>24</v>
      </c>
      <c r="D8326" s="8"/>
      <c r="E8326" s="8"/>
      <c r="F8326" t="s">
        <v>634</v>
      </c>
      <c r="M8326" t="s">
        <v>478</v>
      </c>
      <c r="N8326" t="str">
        <f>Tabela_tudo[[#This Row],[Médico]]&amp;" ("&amp;Tabela_tudo[[#This Row],[Obs]]&amp;")"</f>
        <v>BG (PALESTRA JARGS - TARDE)</v>
      </c>
    </row>
    <row r="8327" spans="1:14" x14ac:dyDescent="0.3">
      <c r="A8327" s="1">
        <v>45149</v>
      </c>
      <c r="B8327" t="s">
        <v>48</v>
      </c>
      <c r="C8327" t="s">
        <v>24</v>
      </c>
      <c r="D8327" s="8"/>
      <c r="E8327" s="8"/>
      <c r="F8327" t="s">
        <v>284</v>
      </c>
      <c r="M8327" t="s">
        <v>478</v>
      </c>
      <c r="N8327" t="str">
        <f>Tabela_tudo[[#This Row],[Médico]]&amp;" ("&amp;Tabela_tudo[[#This Row],[Obs]]&amp;")"</f>
        <v>MAF (ENTRANDO EM FÉRIAS NA SEGUNDA-FEIRA)</v>
      </c>
    </row>
    <row r="8328" spans="1:14" x14ac:dyDescent="0.3">
      <c r="A8328" s="1">
        <v>45089</v>
      </c>
      <c r="B8328" t="s">
        <v>14</v>
      </c>
      <c r="C8328" t="s">
        <v>24</v>
      </c>
      <c r="D8328" s="8">
        <v>0.625</v>
      </c>
      <c r="E8328" s="8">
        <v>0.70833333333333337</v>
      </c>
      <c r="F8328" t="s">
        <v>139</v>
      </c>
      <c r="I8328" t="s">
        <v>565</v>
      </c>
      <c r="J8328" t="s">
        <v>565</v>
      </c>
      <c r="M8328" t="s">
        <v>478</v>
      </c>
      <c r="N8328" t="str">
        <f>Tabela_tudo[[#This Row],[Médico]]&amp;" ("&amp;Tabela_tudo[[#This Row],[Obs]]&amp;")"</f>
        <v>PW (EVENTO ICFUC - INICIAÇÃO CIENT)</v>
      </c>
    </row>
    <row r="8329" spans="1:14" x14ac:dyDescent="0.3">
      <c r="A8329" s="1">
        <v>45134</v>
      </c>
      <c r="B8329" t="s">
        <v>12</v>
      </c>
      <c r="C8329" t="s">
        <v>24</v>
      </c>
      <c r="D8329" s="8">
        <v>0.70833333333333337</v>
      </c>
      <c r="E8329" s="8">
        <v>0.72916666666666663</v>
      </c>
      <c r="F8329" t="s">
        <v>266</v>
      </c>
      <c r="J8329" t="s">
        <v>565</v>
      </c>
      <c r="M8329" t="s">
        <v>478</v>
      </c>
      <c r="N8329" t="str">
        <f>Tabela_tudo[[#This Row],[Médico]]&amp;" ("&amp;Tabela_tudo[[#This Row],[Obs]]&amp;")"</f>
        <v>EDU (RENOVAÇÃO CERTIFICADO DIGITAL SANE- ONLINE)</v>
      </c>
    </row>
    <row r="8330" spans="1:14" x14ac:dyDescent="0.3">
      <c r="A8330" s="1">
        <v>45223</v>
      </c>
      <c r="B8330" t="s">
        <v>73</v>
      </c>
      <c r="C8330" t="s">
        <v>24</v>
      </c>
      <c r="D8330" s="8">
        <v>0.72916666666666663</v>
      </c>
      <c r="E8330" s="8">
        <v>0.91666666666666663</v>
      </c>
      <c r="F8330" t="s">
        <v>704</v>
      </c>
      <c r="J8330" t="s">
        <v>565</v>
      </c>
      <c r="K8330" t="s">
        <v>565</v>
      </c>
      <c r="M8330" t="s">
        <v>478</v>
      </c>
      <c r="N8330" t="str">
        <f>Tabela_tudo[[#This Row],[Médico]]&amp;" ("&amp;Tabela_tudo[[#This Row],[Obs]]&amp;")"</f>
        <v>RT (UNISINOS PSICOLOGIA)</v>
      </c>
    </row>
    <row r="8331" spans="1:14" x14ac:dyDescent="0.3">
      <c r="A8331" s="1">
        <v>45149</v>
      </c>
      <c r="B8331" t="s">
        <v>12</v>
      </c>
      <c r="C8331" t="s">
        <v>24</v>
      </c>
      <c r="D8331" s="8">
        <v>0.75</v>
      </c>
      <c r="E8331" s="8">
        <v>0.91666666666666663</v>
      </c>
      <c r="F8331" t="s">
        <v>159</v>
      </c>
      <c r="J8331" t="s">
        <v>565</v>
      </c>
      <c r="K8331" t="s">
        <v>565</v>
      </c>
      <c r="M8331" t="s">
        <v>478</v>
      </c>
      <c r="N8331" t="str">
        <f>Tabela_tudo[[#This Row],[Médico]]&amp;" ("&amp;Tabela_tudo[[#This Row],[Obs]]&amp;")"</f>
        <v>EDU (MBA)</v>
      </c>
    </row>
    <row r="8332" spans="1:14" x14ac:dyDescent="0.3">
      <c r="A8332" s="1">
        <v>45149</v>
      </c>
      <c r="B8332" t="s">
        <v>12</v>
      </c>
      <c r="C8332" t="s">
        <v>24</v>
      </c>
      <c r="D8332" s="8"/>
      <c r="E8332" s="8"/>
      <c r="F8332" t="s">
        <v>284</v>
      </c>
      <c r="M8332" t="s">
        <v>478</v>
      </c>
      <c r="N8332" t="str">
        <f>Tabela_tudo[[#This Row],[Médico]]&amp;" ("&amp;Tabela_tudo[[#This Row],[Obs]]&amp;")"</f>
        <v>EDU (ENTRANDO EM FÉRIAS NA SEGUNDA-FEIRA)</v>
      </c>
    </row>
    <row r="8333" spans="1:14" x14ac:dyDescent="0.3">
      <c r="A8333" s="1">
        <v>45192</v>
      </c>
      <c r="B8333" t="s">
        <v>50</v>
      </c>
      <c r="C8333" t="s">
        <v>24</v>
      </c>
      <c r="D8333" s="8"/>
      <c r="E8333" s="8"/>
      <c r="F8333" t="s">
        <v>629</v>
      </c>
      <c r="M8333" t="s">
        <v>478</v>
      </c>
      <c r="N8333" t="str">
        <f>Tabela_tudo[[#This Row],[Médico]]&amp;" ("&amp;Tabela_tudo[[#This Row],[Obs]]&amp;")"</f>
        <v>PJP (PALESTRA JARGS DIA TODO)</v>
      </c>
    </row>
    <row r="8334" spans="1:14" x14ac:dyDescent="0.3">
      <c r="A8334" s="1">
        <v>45191</v>
      </c>
      <c r="B8334" t="s">
        <v>33</v>
      </c>
      <c r="C8334" t="s">
        <v>24</v>
      </c>
      <c r="D8334" s="8">
        <v>0.70833333333333337</v>
      </c>
      <c r="E8334" s="8">
        <v>0.98958333333333337</v>
      </c>
      <c r="F8334" t="s">
        <v>631</v>
      </c>
      <c r="J8334" t="s">
        <v>565</v>
      </c>
      <c r="K8334" t="s">
        <v>565</v>
      </c>
      <c r="M8334" t="s">
        <v>478</v>
      </c>
      <c r="N8334" t="str">
        <f>Tabela_tudo[[#This Row],[Médico]]&amp;" ("&amp;Tabela_tudo[[#This Row],[Obs]]&amp;")"</f>
        <v>DIF (CERIMÔNIA ABERTURA JARGS)</v>
      </c>
    </row>
    <row r="8335" spans="1:14" x14ac:dyDescent="0.3">
      <c r="A8335" s="1">
        <v>45191</v>
      </c>
      <c r="B8335" t="s">
        <v>23</v>
      </c>
      <c r="C8335" t="s">
        <v>24</v>
      </c>
      <c r="D8335" s="8">
        <v>0.70833333333333337</v>
      </c>
      <c r="E8335" s="8">
        <v>0.98958333333333337</v>
      </c>
      <c r="F8335" t="s">
        <v>631</v>
      </c>
      <c r="J8335" t="s">
        <v>565</v>
      </c>
      <c r="K8335" t="s">
        <v>565</v>
      </c>
      <c r="M8335" t="s">
        <v>478</v>
      </c>
      <c r="N8335" t="str">
        <f>Tabela_tudo[[#This Row],[Médico]]&amp;" ("&amp;Tabela_tudo[[#This Row],[Obs]]&amp;")"</f>
        <v>BG (CERIMÔNIA ABERTURA JARGS)</v>
      </c>
    </row>
    <row r="8336" spans="1:14" x14ac:dyDescent="0.3">
      <c r="A8336" s="1">
        <v>45202</v>
      </c>
      <c r="B8336" t="s">
        <v>47</v>
      </c>
      <c r="C8336" t="s">
        <v>24</v>
      </c>
      <c r="D8336" s="8">
        <v>0.79166666666666663</v>
      </c>
      <c r="E8336" s="8">
        <v>0.98958333333333337</v>
      </c>
      <c r="F8336" t="s">
        <v>673</v>
      </c>
      <c r="K8336" t="s">
        <v>565</v>
      </c>
      <c r="M8336" t="s">
        <v>478</v>
      </c>
      <c r="N8336" t="str">
        <f>Tabela_tudo[[#This Row],[Médico]]&amp;" ("&amp;Tabela_tudo[[#This Row],[Obs]]&amp;")"</f>
        <v>VIN (AULA ONLINE UNISINOS)</v>
      </c>
    </row>
    <row r="8337" spans="1:14" x14ac:dyDescent="0.3">
      <c r="A8337" s="1">
        <v>45191</v>
      </c>
      <c r="B8337" t="s">
        <v>33</v>
      </c>
      <c r="C8337" t="s">
        <v>24</v>
      </c>
      <c r="D8337" s="8"/>
      <c r="E8337" s="8"/>
      <c r="F8337" t="s">
        <v>630</v>
      </c>
      <c r="M8337" t="s">
        <v>478</v>
      </c>
      <c r="N8337" t="str">
        <f>Tabela_tudo[[#This Row],[Médico]]&amp;" ("&amp;Tabela_tudo[[#This Row],[Obs]]&amp;")"</f>
        <v>DIF (PALESTRA JARGS MANHÃ)</v>
      </c>
    </row>
    <row r="8338" spans="1:14" x14ac:dyDescent="0.3">
      <c r="A8338" s="1">
        <v>45191</v>
      </c>
      <c r="B8338" t="s">
        <v>66</v>
      </c>
      <c r="C8338" t="s">
        <v>24</v>
      </c>
      <c r="D8338" s="8"/>
      <c r="E8338" s="8"/>
      <c r="F8338" t="s">
        <v>630</v>
      </c>
      <c r="M8338" t="s">
        <v>478</v>
      </c>
      <c r="N8338" t="str">
        <f>Tabela_tudo[[#This Row],[Médico]]&amp;" ("&amp;Tabela_tudo[[#This Row],[Obs]]&amp;")"</f>
        <v>MOZ (PALESTRA JARGS MANHÃ)</v>
      </c>
    </row>
    <row r="8339" spans="1:14" x14ac:dyDescent="0.3">
      <c r="A8339" s="1">
        <v>45191</v>
      </c>
      <c r="B8339" t="s">
        <v>47</v>
      </c>
      <c r="C8339" t="s">
        <v>24</v>
      </c>
      <c r="D8339" s="8">
        <v>0.70833333333333337</v>
      </c>
      <c r="E8339" s="8">
        <v>0.98958333333333337</v>
      </c>
      <c r="F8339" t="s">
        <v>631</v>
      </c>
      <c r="J8339" t="s">
        <v>565</v>
      </c>
      <c r="K8339" t="s">
        <v>565</v>
      </c>
      <c r="M8339" t="s">
        <v>478</v>
      </c>
      <c r="N8339" t="str">
        <f>Tabela_tudo[[#This Row],[Médico]]&amp;" ("&amp;Tabela_tudo[[#This Row],[Obs]]&amp;")"</f>
        <v>VIN (CERIMÔNIA ABERTURA JARGS)</v>
      </c>
    </row>
    <row r="8340" spans="1:14" x14ac:dyDescent="0.3">
      <c r="A8340" s="1">
        <v>45205</v>
      </c>
      <c r="B8340" t="s">
        <v>52</v>
      </c>
      <c r="C8340" t="s">
        <v>24</v>
      </c>
      <c r="D8340" s="8"/>
      <c r="E8340" s="8"/>
      <c r="F8340" t="s">
        <v>284</v>
      </c>
      <c r="M8340" t="s">
        <v>478</v>
      </c>
      <c r="N8340" t="str">
        <f>Tabela_tudo[[#This Row],[Médico]]&amp;" ("&amp;Tabela_tudo[[#This Row],[Obs]]&amp;")"</f>
        <v>AEL (ENTRANDO EM FÉRIAS NA SEGUNDA-FEIRA)</v>
      </c>
    </row>
    <row r="8341" spans="1:14" x14ac:dyDescent="0.3">
      <c r="A8341" s="1">
        <v>45205</v>
      </c>
      <c r="B8341" t="s">
        <v>23</v>
      </c>
      <c r="C8341" t="s">
        <v>24</v>
      </c>
      <c r="D8341" s="8">
        <v>0.29166666666666669</v>
      </c>
      <c r="E8341" s="8">
        <v>0.98958333333333337</v>
      </c>
      <c r="F8341" t="s">
        <v>680</v>
      </c>
      <c r="G8341" t="s">
        <v>565</v>
      </c>
      <c r="H8341" t="s">
        <v>565</v>
      </c>
      <c r="I8341" t="s">
        <v>565</v>
      </c>
      <c r="J8341" t="s">
        <v>565</v>
      </c>
      <c r="K8341" t="s">
        <v>565</v>
      </c>
      <c r="M8341" t="s">
        <v>478</v>
      </c>
      <c r="N8341" t="str">
        <f>Tabela_tudo[[#This Row],[Médico]]&amp;" ("&amp;Tabela_tudo[[#This Row],[Obs]]&amp;")"</f>
        <v>BG (CONVENÇÃO UNIMED - O DIA TODO)</v>
      </c>
    </row>
    <row r="8342" spans="1:14" x14ac:dyDescent="0.3">
      <c r="A8342" s="1">
        <v>45192</v>
      </c>
      <c r="B8342" t="s">
        <v>33</v>
      </c>
      <c r="C8342" t="s">
        <v>24</v>
      </c>
      <c r="D8342" s="8"/>
      <c r="E8342" s="8"/>
      <c r="F8342" t="s">
        <v>629</v>
      </c>
      <c r="M8342" t="s">
        <v>478</v>
      </c>
      <c r="N8342" t="str">
        <f>Tabela_tudo[[#This Row],[Médico]]&amp;" ("&amp;Tabela_tudo[[#This Row],[Obs]]&amp;")"</f>
        <v>DIF (PALESTRA JARGS DIA TODO)</v>
      </c>
    </row>
    <row r="8343" spans="1:14" x14ac:dyDescent="0.3">
      <c r="A8343" s="1">
        <v>45205</v>
      </c>
      <c r="B8343" t="s">
        <v>73</v>
      </c>
      <c r="C8343" t="s">
        <v>24</v>
      </c>
      <c r="D8343" s="8"/>
      <c r="E8343" s="8"/>
      <c r="F8343" t="s">
        <v>284</v>
      </c>
      <c r="M8343" t="s">
        <v>478</v>
      </c>
      <c r="N8343" t="str">
        <f>Tabela_tudo[[#This Row],[Médico]]&amp;" ("&amp;Tabela_tudo[[#This Row],[Obs]]&amp;")"</f>
        <v>RT (ENTRANDO EM FÉRIAS NA SEGUNDA-FEIRA)</v>
      </c>
    </row>
    <row r="8344" spans="1:14" x14ac:dyDescent="0.3">
      <c r="A8344" s="1">
        <v>45205</v>
      </c>
      <c r="B8344" t="s">
        <v>142</v>
      </c>
      <c r="C8344" t="s">
        <v>24</v>
      </c>
      <c r="D8344" s="8"/>
      <c r="E8344" s="8"/>
      <c r="F8344" t="s">
        <v>284</v>
      </c>
      <c r="M8344" t="s">
        <v>478</v>
      </c>
      <c r="N8344" t="str">
        <f>Tabela_tudo[[#This Row],[Médico]]&amp;" ("&amp;Tabela_tudo[[#This Row],[Obs]]&amp;")"</f>
        <v>VIV (ENTRANDO EM FÉRIAS NA SEGUNDA-FEIRA)</v>
      </c>
    </row>
    <row r="8345" spans="1:14" x14ac:dyDescent="0.3">
      <c r="A8345" s="1">
        <v>45205</v>
      </c>
      <c r="B8345" t="s">
        <v>29</v>
      </c>
      <c r="C8345" t="s">
        <v>24</v>
      </c>
      <c r="D8345" s="8"/>
      <c r="E8345" s="8"/>
      <c r="F8345" t="s">
        <v>284</v>
      </c>
      <c r="M8345" t="s">
        <v>478</v>
      </c>
      <c r="N8345" t="str">
        <f>Tabela_tudo[[#This Row],[Médico]]&amp;" ("&amp;Tabela_tudo[[#This Row],[Obs]]&amp;")"</f>
        <v>JOA (ENTRANDO EM FÉRIAS NA SEGUNDA-FEIRA)</v>
      </c>
    </row>
    <row r="8346" spans="1:14" x14ac:dyDescent="0.3">
      <c r="A8346" s="1">
        <v>45220</v>
      </c>
      <c r="B8346" t="s">
        <v>34</v>
      </c>
      <c r="C8346" t="s">
        <v>24</v>
      </c>
      <c r="D8346" s="8"/>
      <c r="E8346" s="8"/>
      <c r="F8346" t="s">
        <v>683</v>
      </c>
      <c r="M8346" t="s">
        <v>478</v>
      </c>
      <c r="N8346" t="str">
        <f>Tabela_tudo[[#This Row],[Médico]]&amp;" ("&amp;Tabela_tudo[[#This Row],[Obs]]&amp;")"</f>
        <v>LIP (CURSO - STARTUP WEEKEND HEALTH - FLORIANÓPOLIS)</v>
      </c>
    </row>
    <row r="8347" spans="1:14" x14ac:dyDescent="0.3">
      <c r="A8347" s="1">
        <v>45201</v>
      </c>
      <c r="B8347" t="s">
        <v>20</v>
      </c>
      <c r="C8347" t="s">
        <v>24</v>
      </c>
      <c r="D8347" s="8">
        <v>0.29166666666666669</v>
      </c>
      <c r="E8347" s="8">
        <v>0.79166666666666663</v>
      </c>
      <c r="F8347" t="s">
        <v>643</v>
      </c>
      <c r="G8347" t="s">
        <v>565</v>
      </c>
      <c r="H8347" t="s">
        <v>565</v>
      </c>
      <c r="I8347" t="s">
        <v>565</v>
      </c>
      <c r="J8347" t="s">
        <v>565</v>
      </c>
      <c r="M8347" t="s">
        <v>478</v>
      </c>
      <c r="N8347" t="str">
        <f>Tabela_tudo[[#This Row],[Médico]]&amp;" ("&amp;Tabela_tudo[[#This Row],[Obs]]&amp;")"</f>
        <v>ROB (ROB TRABALHA PARA IFA)</v>
      </c>
    </row>
    <row r="8348" spans="1:14" x14ac:dyDescent="0.3">
      <c r="A8348" s="1">
        <v>45201</v>
      </c>
      <c r="B8348" t="s">
        <v>63</v>
      </c>
      <c r="C8348" t="s">
        <v>24</v>
      </c>
      <c r="D8348" s="8">
        <v>0.33333333333333331</v>
      </c>
      <c r="E8348" s="8">
        <v>0.41666666666666669</v>
      </c>
      <c r="F8348" t="s">
        <v>644</v>
      </c>
      <c r="G8348" t="s">
        <v>565</v>
      </c>
      <c r="M8348" t="s">
        <v>478</v>
      </c>
      <c r="N8348" t="str">
        <f>Tabela_tudo[[#This Row],[Médico]]&amp;" ("&amp;Tabela_tudo[[#This Row],[Obs]]&amp;")"</f>
        <v>FQ (ESTUDO CLINICO HED)</v>
      </c>
    </row>
    <row r="8349" spans="1:14" x14ac:dyDescent="0.3">
      <c r="A8349" s="1">
        <v>45201</v>
      </c>
      <c r="B8349" t="s">
        <v>214</v>
      </c>
      <c r="C8349" t="s">
        <v>24</v>
      </c>
      <c r="D8349" s="8"/>
      <c r="E8349" s="8"/>
      <c r="F8349" t="s">
        <v>365</v>
      </c>
      <c r="M8349" t="s">
        <v>478</v>
      </c>
      <c r="N8349" t="str">
        <f>Tabela_tudo[[#This Row],[Médico]]&amp;" ("&amp;Tabela_tudo[[#This Row],[Obs]]&amp;")"</f>
        <v>IFA (FORA O DIA TODO)</v>
      </c>
    </row>
    <row r="8350" spans="1:14" x14ac:dyDescent="0.3">
      <c r="A8350" s="1">
        <v>45093</v>
      </c>
      <c r="B8350" t="s">
        <v>25</v>
      </c>
      <c r="C8350" t="s">
        <v>24</v>
      </c>
      <c r="D8350" s="8">
        <v>0.75</v>
      </c>
      <c r="E8350" s="8">
        <v>0.91666666666666663</v>
      </c>
      <c r="F8350" t="s">
        <v>156</v>
      </c>
      <c r="J8350" t="s">
        <v>565</v>
      </c>
      <c r="K8350" t="s">
        <v>565</v>
      </c>
      <c r="M8350" t="s">
        <v>478</v>
      </c>
      <c r="N8350" t="str">
        <f>Tabela_tudo[[#This Row],[Médico]]&amp;" ("&amp;Tabela_tudo[[#This Row],[Obs]]&amp;")"</f>
        <v>HEN (MBA )</v>
      </c>
    </row>
    <row r="8351" spans="1:14" x14ac:dyDescent="0.3">
      <c r="A8351" s="1">
        <v>45204</v>
      </c>
      <c r="B8351" t="s">
        <v>23</v>
      </c>
      <c r="C8351" t="s">
        <v>24</v>
      </c>
      <c r="D8351" s="8"/>
      <c r="E8351" s="8"/>
      <c r="F8351" t="s">
        <v>674</v>
      </c>
      <c r="M8351" t="s">
        <v>478</v>
      </c>
      <c r="N8351" t="str">
        <f>Tabela_tudo[[#This Row],[Médico]]&amp;" ("&amp;Tabela_tudo[[#This Row],[Obs]]&amp;")"</f>
        <v>BG (CONVENÇÃO UNIMED O DIA TODO)</v>
      </c>
    </row>
    <row r="8352" spans="1:14" x14ac:dyDescent="0.3">
      <c r="A8352" s="1">
        <v>45093</v>
      </c>
      <c r="B8352" t="s">
        <v>12</v>
      </c>
      <c r="C8352" t="s">
        <v>24</v>
      </c>
      <c r="D8352" s="8">
        <v>0.75</v>
      </c>
      <c r="E8352" s="8">
        <v>0.91666666666666663</v>
      </c>
      <c r="F8352" t="s">
        <v>156</v>
      </c>
      <c r="J8352" t="s">
        <v>565</v>
      </c>
      <c r="K8352" t="s">
        <v>565</v>
      </c>
      <c r="M8352" t="s">
        <v>478</v>
      </c>
      <c r="N8352" t="str">
        <f>Tabela_tudo[[#This Row],[Médico]]&amp;" ("&amp;Tabela_tudo[[#This Row],[Obs]]&amp;")"</f>
        <v>EDU (MBA )</v>
      </c>
    </row>
    <row r="8353" spans="1:14" x14ac:dyDescent="0.3">
      <c r="A8353" s="1">
        <v>45154</v>
      </c>
      <c r="B8353" t="s">
        <v>47</v>
      </c>
      <c r="C8353" t="s">
        <v>24</v>
      </c>
      <c r="D8353" s="8">
        <v>0.29166666666666669</v>
      </c>
      <c r="E8353" s="8">
        <v>0.79166666666666663</v>
      </c>
      <c r="F8353" t="s">
        <v>329</v>
      </c>
      <c r="G8353" t="s">
        <v>565</v>
      </c>
      <c r="H8353" t="s">
        <v>565</v>
      </c>
      <c r="I8353" t="s">
        <v>565</v>
      </c>
      <c r="J8353" t="s">
        <v>565</v>
      </c>
      <c r="M8353" t="s">
        <v>478</v>
      </c>
      <c r="N8353" t="str">
        <f>Tabela_tudo[[#This Row],[Médico]]&amp;" ("&amp;Tabela_tudo[[#This Row],[Obs]]&amp;")"</f>
        <v>VIN (UNISINOS o dia todo no HED)</v>
      </c>
    </row>
    <row r="8354" spans="1:14" x14ac:dyDescent="0.3">
      <c r="A8354" s="1">
        <v>45202</v>
      </c>
      <c r="B8354" t="s">
        <v>23</v>
      </c>
      <c r="C8354" t="s">
        <v>24</v>
      </c>
      <c r="D8354" s="8">
        <v>0.5</v>
      </c>
      <c r="E8354" s="8">
        <v>0.79166666666666663</v>
      </c>
      <c r="F8354" t="s">
        <v>648</v>
      </c>
      <c r="H8354" t="s">
        <v>565</v>
      </c>
      <c r="I8354" t="s">
        <v>565</v>
      </c>
      <c r="J8354" t="s">
        <v>565</v>
      </c>
      <c r="M8354" t="s">
        <v>478</v>
      </c>
      <c r="N8354" t="str">
        <f>Tabela_tudo[[#This Row],[Médico]]&amp;" ("&amp;Tabela_tudo[[#This Row],[Obs]]&amp;")"</f>
        <v>BG (CONVENÇÃO UNIMED )</v>
      </c>
    </row>
    <row r="8355" spans="1:14" x14ac:dyDescent="0.3">
      <c r="A8355" s="1">
        <v>45169</v>
      </c>
      <c r="B8355" t="s">
        <v>29</v>
      </c>
      <c r="C8355" t="s">
        <v>24</v>
      </c>
      <c r="D8355" s="8">
        <v>0.66666666666666663</v>
      </c>
      <c r="E8355" s="8">
        <v>0.79166666666666663</v>
      </c>
      <c r="F8355" t="s">
        <v>391</v>
      </c>
      <c r="J8355" t="s">
        <v>565</v>
      </c>
      <c r="M8355" t="s">
        <v>478</v>
      </c>
      <c r="N8355" t="str">
        <f>Tabela_tudo[[#This Row],[Médico]]&amp;" ("&amp;Tabela_tudo[[#This Row],[Obs]]&amp;")"</f>
        <v>JOA (ORGANIZAÇÃO FÉRIAS - NO SANE)</v>
      </c>
    </row>
    <row r="8356" spans="1:14" x14ac:dyDescent="0.3">
      <c r="A8356" s="1">
        <v>45203</v>
      </c>
      <c r="B8356" t="s">
        <v>47</v>
      </c>
      <c r="C8356" t="s">
        <v>24</v>
      </c>
      <c r="D8356" s="8">
        <v>0.29166666666666669</v>
      </c>
      <c r="E8356" s="8">
        <v>0.98958333333333337</v>
      </c>
      <c r="F8356" t="s">
        <v>677</v>
      </c>
      <c r="G8356" t="s">
        <v>565</v>
      </c>
      <c r="H8356" t="s">
        <v>565</v>
      </c>
      <c r="I8356" t="s">
        <v>565</v>
      </c>
      <c r="J8356" t="s">
        <v>565</v>
      </c>
      <c r="K8356" t="s">
        <v>565</v>
      </c>
      <c r="M8356" t="s">
        <v>478</v>
      </c>
      <c r="N8356" t="str">
        <f>Tabela_tudo[[#This Row],[Médico]]&amp;" ("&amp;Tabela_tudo[[#This Row],[Obs]]&amp;")"</f>
        <v>VIN (HED ALUNOS - O DIA TODO)</v>
      </c>
    </row>
    <row r="8357" spans="1:14" x14ac:dyDescent="0.3">
      <c r="A8357" s="1">
        <v>45201</v>
      </c>
      <c r="B8357" t="s">
        <v>73</v>
      </c>
      <c r="C8357" t="s">
        <v>24</v>
      </c>
      <c r="D8357" s="8">
        <v>0.79166666666666663</v>
      </c>
      <c r="E8357" s="8">
        <v>0.98958333333333337</v>
      </c>
      <c r="F8357" t="s">
        <v>676</v>
      </c>
      <c r="K8357" t="s">
        <v>565</v>
      </c>
      <c r="M8357" t="s">
        <v>478</v>
      </c>
      <c r="N8357" t="str">
        <f>Tabela_tudo[[#This Row],[Médico]]&amp;" ("&amp;Tabela_tudo[[#This Row],[Obs]]&amp;")"</f>
        <v>RT (CURSO SBA)</v>
      </c>
    </row>
    <row r="8358" spans="1:14" x14ac:dyDescent="0.3">
      <c r="A8358" s="1">
        <v>45203</v>
      </c>
      <c r="B8358" t="s">
        <v>23</v>
      </c>
      <c r="C8358" t="s">
        <v>24</v>
      </c>
      <c r="D8358" s="8">
        <v>0.29166666666666669</v>
      </c>
      <c r="E8358" s="8">
        <v>0.79166666666666663</v>
      </c>
      <c r="F8358" t="s">
        <v>648</v>
      </c>
      <c r="G8358" t="s">
        <v>565</v>
      </c>
      <c r="H8358" t="s">
        <v>565</v>
      </c>
      <c r="I8358" t="s">
        <v>565</v>
      </c>
      <c r="J8358" t="s">
        <v>565</v>
      </c>
      <c r="M8358" t="s">
        <v>478</v>
      </c>
      <c r="N8358" t="str">
        <f>Tabela_tudo[[#This Row],[Médico]]&amp;" ("&amp;Tabela_tudo[[#This Row],[Obs]]&amp;")"</f>
        <v>BG (CONVENÇÃO UNIMED )</v>
      </c>
    </row>
    <row r="8359" spans="1:14" x14ac:dyDescent="0.3">
      <c r="A8359" s="1">
        <v>45169</v>
      </c>
      <c r="B8359" t="s">
        <v>29</v>
      </c>
      <c r="C8359" t="s">
        <v>24</v>
      </c>
      <c r="D8359" s="8">
        <v>0.8125</v>
      </c>
      <c r="E8359" s="8">
        <v>0.85416666666666663</v>
      </c>
      <c r="F8359" t="s">
        <v>388</v>
      </c>
      <c r="K8359" t="s">
        <v>565</v>
      </c>
      <c r="M8359" t="s">
        <v>478</v>
      </c>
      <c r="N8359" t="str">
        <f>Tabela_tudo[[#This Row],[Médico]]&amp;" ("&amp;Tabela_tudo[[#This Row],[Obs]]&amp;")"</f>
        <v>JOA (UNISINOS - AULA LIGA DE ANESTESIOLOGIA RAQUIANESTESIAXPERIDURAL)</v>
      </c>
    </row>
    <row r="8360" spans="1:14" x14ac:dyDescent="0.3">
      <c r="A8360" s="1">
        <v>45198</v>
      </c>
      <c r="B8360" t="s">
        <v>47</v>
      </c>
      <c r="C8360" t="s">
        <v>24</v>
      </c>
      <c r="D8360" s="8">
        <v>0.70833333333333337</v>
      </c>
      <c r="E8360" s="8">
        <v>0.98958333333333337</v>
      </c>
      <c r="F8360" t="s">
        <v>635</v>
      </c>
      <c r="J8360" t="s">
        <v>565</v>
      </c>
      <c r="K8360" t="s">
        <v>565</v>
      </c>
      <c r="M8360" t="s">
        <v>478</v>
      </c>
      <c r="N8360" t="str">
        <f>Tabela_tudo[[#This Row],[Médico]]&amp;" ("&amp;Tabela_tudo[[#This Row],[Obs]]&amp;")"</f>
        <v>VIN (CURSO NO COLÉGIO BRASILEIRO DE CIRURGIÕES)</v>
      </c>
    </row>
    <row r="8361" spans="1:14" x14ac:dyDescent="0.3">
      <c r="A8361" s="1">
        <v>45101</v>
      </c>
      <c r="B8361" t="s">
        <v>34</v>
      </c>
      <c r="C8361" t="s">
        <v>24</v>
      </c>
      <c r="D8361" s="8">
        <v>0.33333333333333331</v>
      </c>
      <c r="E8361" s="8">
        <v>0.54166666666666663</v>
      </c>
      <c r="F8361" t="s">
        <v>174</v>
      </c>
      <c r="G8361" t="s">
        <v>565</v>
      </c>
      <c r="H8361" t="s">
        <v>565</v>
      </c>
      <c r="M8361" t="s">
        <v>478</v>
      </c>
      <c r="N8361" t="str">
        <f>Tabela_tudo[[#This Row],[Médico]]&amp;" ("&amp;Tabela_tudo[[#This Row],[Obs]]&amp;")"</f>
        <v>LIP (WORKSHOP - R2 R3 - SIMULAÇÃO REALISTA STA CASA)</v>
      </c>
    </row>
    <row r="8362" spans="1:14" x14ac:dyDescent="0.3">
      <c r="A8362" s="1">
        <v>45101</v>
      </c>
      <c r="B8362" t="s">
        <v>50</v>
      </c>
      <c r="C8362" t="s">
        <v>24</v>
      </c>
      <c r="D8362" s="8">
        <v>0.33333333333333331</v>
      </c>
      <c r="E8362" s="8">
        <v>0.54166666666666663</v>
      </c>
      <c r="F8362" t="s">
        <v>174</v>
      </c>
      <c r="G8362" t="s">
        <v>565</v>
      </c>
      <c r="H8362" t="s">
        <v>565</v>
      </c>
      <c r="M8362" t="s">
        <v>478</v>
      </c>
      <c r="N8362" t="str">
        <f>Tabela_tudo[[#This Row],[Médico]]&amp;" ("&amp;Tabela_tudo[[#This Row],[Obs]]&amp;")"</f>
        <v>PJP (WORKSHOP - R2 R3 - SIMULAÇÃO REALISTA STA CASA)</v>
      </c>
    </row>
    <row r="8363" spans="1:14" x14ac:dyDescent="0.3">
      <c r="A8363" s="1">
        <v>45220</v>
      </c>
      <c r="B8363" t="s">
        <v>23</v>
      </c>
      <c r="C8363" t="s">
        <v>24</v>
      </c>
      <c r="D8363" s="8"/>
      <c r="E8363" s="8"/>
      <c r="F8363" t="s">
        <v>693</v>
      </c>
      <c r="M8363" t="s">
        <v>478</v>
      </c>
      <c r="N8363" t="str">
        <f>Tabela_tudo[[#This Row],[Médico]]&amp;" ("&amp;Tabela_tudo[[#This Row],[Obs]]&amp;")"</f>
        <v>BG (PLANEJAMENTO ESTRATEGICO DA UNIMED - 08H - 18H)</v>
      </c>
    </row>
    <row r="8364" spans="1:14" x14ac:dyDescent="0.3">
      <c r="A8364" s="1">
        <v>45221</v>
      </c>
      <c r="B8364" t="s">
        <v>34</v>
      </c>
      <c r="C8364" t="s">
        <v>24</v>
      </c>
      <c r="D8364" s="8"/>
      <c r="E8364" s="8"/>
      <c r="F8364" t="s">
        <v>683</v>
      </c>
      <c r="M8364" t="s">
        <v>478</v>
      </c>
      <c r="N8364" t="str">
        <f>Tabela_tudo[[#This Row],[Médico]]&amp;" ("&amp;Tabela_tudo[[#This Row],[Obs]]&amp;")"</f>
        <v>LIP (CURSO - STARTUP WEEKEND HEALTH - FLORIANÓPOLIS)</v>
      </c>
    </row>
    <row r="8365" spans="1:14" x14ac:dyDescent="0.3">
      <c r="A8365" s="1">
        <v>45198</v>
      </c>
      <c r="B8365" t="s">
        <v>23</v>
      </c>
      <c r="C8365" t="s">
        <v>24</v>
      </c>
      <c r="D8365" s="8">
        <v>0.70833333333333337</v>
      </c>
      <c r="E8365" s="8">
        <v>0.98958333333333337</v>
      </c>
      <c r="F8365" t="s">
        <v>635</v>
      </c>
      <c r="J8365" t="s">
        <v>565</v>
      </c>
      <c r="K8365" t="s">
        <v>565</v>
      </c>
      <c r="M8365" t="s">
        <v>478</v>
      </c>
      <c r="N8365" t="str">
        <f>Tabela_tudo[[#This Row],[Médico]]&amp;" ("&amp;Tabela_tudo[[#This Row],[Obs]]&amp;")"</f>
        <v>BG (CURSO NO COLÉGIO BRASILEIRO DE CIRURGIÕES)</v>
      </c>
    </row>
    <row r="8366" spans="1:14" x14ac:dyDescent="0.3">
      <c r="A8366" s="1">
        <v>45133</v>
      </c>
      <c r="B8366" t="s">
        <v>7</v>
      </c>
      <c r="C8366" t="s">
        <v>24</v>
      </c>
      <c r="D8366" s="8">
        <v>0.77083333333333337</v>
      </c>
      <c r="E8366" s="8">
        <v>0.91666666666666663</v>
      </c>
      <c r="F8366" t="s">
        <v>263</v>
      </c>
      <c r="J8366" t="s">
        <v>565</v>
      </c>
      <c r="K8366" t="s">
        <v>565</v>
      </c>
      <c r="M8366" t="s">
        <v>478</v>
      </c>
      <c r="N8366" t="str">
        <f>Tabela_tudo[[#This Row],[Médico]]&amp;" ("&amp;Tabela_tudo[[#This Row],[Obs]]&amp;")"</f>
        <v>ARI (WEBINAR SBA)</v>
      </c>
    </row>
    <row r="8367" spans="1:14" x14ac:dyDescent="0.3">
      <c r="A8367" s="1">
        <v>45133</v>
      </c>
      <c r="B8367" t="s">
        <v>249</v>
      </c>
      <c r="C8367" t="s">
        <v>24</v>
      </c>
      <c r="D8367" s="8"/>
      <c r="E8367" s="8"/>
      <c r="F8367" t="s">
        <v>261</v>
      </c>
      <c r="M8367" t="s">
        <v>478</v>
      </c>
      <c r="N8367" t="str">
        <f>Tabela_tudo[[#This Row],[Médico]]&amp;" ("&amp;Tabela_tudo[[#This Row],[Obs]]&amp;")"</f>
        <v>ISE (ISE TRABALHA )</v>
      </c>
    </row>
    <row r="8368" spans="1:14" x14ac:dyDescent="0.3">
      <c r="A8368" s="1">
        <v>45206</v>
      </c>
      <c r="B8368" t="s">
        <v>249</v>
      </c>
      <c r="C8368" t="s">
        <v>24</v>
      </c>
      <c r="D8368" s="8"/>
      <c r="E8368" s="8"/>
      <c r="F8368" t="s">
        <v>291</v>
      </c>
      <c r="M8368" t="s">
        <v>478</v>
      </c>
      <c r="N8368" t="str">
        <f>Tabela_tudo[[#This Row],[Médico]]&amp;" ("&amp;Tabela_tudo[[#This Row],[Obs]]&amp;")"</f>
        <v>ISE (TRABALHA)</v>
      </c>
    </row>
    <row r="8369" spans="1:14" x14ac:dyDescent="0.3">
      <c r="A8369" s="1">
        <v>45101</v>
      </c>
      <c r="B8369" t="s">
        <v>142</v>
      </c>
      <c r="C8369" t="s">
        <v>24</v>
      </c>
      <c r="D8369" s="8">
        <v>0.33333333333333331</v>
      </c>
      <c r="E8369" s="8">
        <v>0.54166666666666663</v>
      </c>
      <c r="F8369" t="s">
        <v>174</v>
      </c>
      <c r="G8369" t="s">
        <v>565</v>
      </c>
      <c r="H8369" t="s">
        <v>565</v>
      </c>
      <c r="M8369" t="s">
        <v>478</v>
      </c>
      <c r="N8369" t="str">
        <f>Tabela_tudo[[#This Row],[Médico]]&amp;" ("&amp;Tabela_tudo[[#This Row],[Obs]]&amp;")"</f>
        <v>VIV (WORKSHOP - R2 R3 - SIMULAÇÃO REALISTA STA CASA)</v>
      </c>
    </row>
    <row r="8370" spans="1:14" x14ac:dyDescent="0.3">
      <c r="A8370" s="1">
        <v>45101</v>
      </c>
      <c r="B8370" t="s">
        <v>73</v>
      </c>
      <c r="C8370" t="s">
        <v>24</v>
      </c>
      <c r="D8370" s="8">
        <v>0.33333333333333331</v>
      </c>
      <c r="E8370" s="8">
        <v>0.54166666666666663</v>
      </c>
      <c r="F8370" t="s">
        <v>174</v>
      </c>
      <c r="G8370" t="s">
        <v>565</v>
      </c>
      <c r="H8370" t="s">
        <v>565</v>
      </c>
      <c r="M8370" t="s">
        <v>478</v>
      </c>
      <c r="N8370" t="str">
        <f>Tabela_tudo[[#This Row],[Médico]]&amp;" ("&amp;Tabela_tudo[[#This Row],[Obs]]&amp;")"</f>
        <v>RT (WORKSHOP - R2 R3 - SIMULAÇÃO REALISTA STA CASA)</v>
      </c>
    </row>
    <row r="8371" spans="1:14" x14ac:dyDescent="0.3">
      <c r="A8371" s="1">
        <v>45101</v>
      </c>
      <c r="B8371" t="s">
        <v>17</v>
      </c>
      <c r="C8371" t="s">
        <v>24</v>
      </c>
      <c r="D8371" s="8">
        <v>0.33333333333333331</v>
      </c>
      <c r="E8371" s="8">
        <v>0.54166666666666663</v>
      </c>
      <c r="F8371" t="s">
        <v>174</v>
      </c>
      <c r="G8371" t="s">
        <v>565</v>
      </c>
      <c r="H8371" t="s">
        <v>565</v>
      </c>
      <c r="M8371" t="s">
        <v>478</v>
      </c>
      <c r="N8371" t="str">
        <f>Tabela_tudo[[#This Row],[Médico]]&amp;" ("&amp;Tabela_tudo[[#This Row],[Obs]]&amp;")"</f>
        <v>FAB (WORKSHOP - R2 R3 - SIMULAÇÃO REALISTA STA CASA)</v>
      </c>
    </row>
    <row r="8372" spans="1:14" x14ac:dyDescent="0.3">
      <c r="A8372" s="1">
        <v>45219</v>
      </c>
      <c r="B8372" t="s">
        <v>12</v>
      </c>
      <c r="C8372" t="s">
        <v>24</v>
      </c>
      <c r="D8372" s="8">
        <v>0.75</v>
      </c>
      <c r="E8372" s="8">
        <v>0.91666666666666663</v>
      </c>
      <c r="F8372" t="s">
        <v>159</v>
      </c>
      <c r="J8372" t="s">
        <v>565</v>
      </c>
      <c r="K8372" t="s">
        <v>565</v>
      </c>
      <c r="M8372" t="s">
        <v>478</v>
      </c>
      <c r="N8372" t="str">
        <f>Tabela_tudo[[#This Row],[Médico]]&amp;" ("&amp;Tabela_tudo[[#This Row],[Obs]]&amp;")"</f>
        <v>EDU (MBA)</v>
      </c>
    </row>
    <row r="8373" spans="1:14" x14ac:dyDescent="0.3">
      <c r="A8373" s="1">
        <v>45157</v>
      </c>
      <c r="B8373" t="s">
        <v>214</v>
      </c>
      <c r="C8373" t="s">
        <v>24</v>
      </c>
      <c r="D8373" s="8"/>
      <c r="E8373" s="8"/>
      <c r="F8373" t="s">
        <v>313</v>
      </c>
      <c r="M8373" t="s">
        <v>478</v>
      </c>
      <c r="N8373" t="str">
        <f>Tabela_tudo[[#This Row],[Médico]]&amp;" ("&amp;Tabela_tudo[[#This Row],[Obs]]&amp;")"</f>
        <v>IFA (TRABALHA )</v>
      </c>
    </row>
    <row r="8374" spans="1:14" x14ac:dyDescent="0.3">
      <c r="A8374" s="1">
        <v>45034</v>
      </c>
      <c r="B8374" t="s">
        <v>20</v>
      </c>
      <c r="C8374" t="s">
        <v>24</v>
      </c>
      <c r="D8374" s="8">
        <v>0.79166666666666663</v>
      </c>
      <c r="E8374" s="8">
        <v>0.83333333333333337</v>
      </c>
      <c r="F8374" t="s">
        <v>207</v>
      </c>
      <c r="K8374" t="s">
        <v>565</v>
      </c>
      <c r="M8374" t="s">
        <v>478</v>
      </c>
      <c r="N8374" t="str">
        <f>Tabela_tudo[[#This Row],[Médico]]&amp;" ("&amp;Tabela_tudo[[#This Row],[Obs]]&amp;")"</f>
        <v>ROB (TECNOPUC)</v>
      </c>
    </row>
    <row r="8375" spans="1:14" x14ac:dyDescent="0.3">
      <c r="A8375" s="1">
        <v>45072</v>
      </c>
      <c r="B8375" t="s">
        <v>64</v>
      </c>
      <c r="C8375" t="s">
        <v>24</v>
      </c>
      <c r="D8375" s="8">
        <v>0.54166666666666663</v>
      </c>
      <c r="E8375" s="8">
        <v>0.70833333333333337</v>
      </c>
      <c r="F8375" t="s">
        <v>114</v>
      </c>
      <c r="I8375" t="s">
        <v>565</v>
      </c>
      <c r="J8375" t="s">
        <v>565</v>
      </c>
      <c r="M8375" t="s">
        <v>478</v>
      </c>
      <c r="N8375" t="str">
        <f>Tabela_tudo[[#This Row],[Médico]]&amp;" ("&amp;Tabela_tudo[[#This Row],[Obs]]&amp;")"</f>
        <v>SAR (CONSULTAS TARDE SANE)</v>
      </c>
    </row>
    <row r="8376" spans="1:14" x14ac:dyDescent="0.3">
      <c r="A8376" s="1">
        <v>45072</v>
      </c>
      <c r="B8376" t="s">
        <v>17</v>
      </c>
      <c r="C8376" t="s">
        <v>24</v>
      </c>
      <c r="D8376" s="8">
        <v>0.70833333333333337</v>
      </c>
      <c r="E8376" s="8">
        <v>0.83333333333333337</v>
      </c>
      <c r="F8376" t="s">
        <v>113</v>
      </c>
      <c r="J8376" t="s">
        <v>565</v>
      </c>
      <c r="K8376" t="s">
        <v>565</v>
      </c>
      <c r="M8376" t="s">
        <v>478</v>
      </c>
      <c r="N8376" t="str">
        <f>Tabela_tudo[[#This Row],[Médico]]&amp;" ("&amp;Tabela_tudo[[#This Row],[Obs]]&amp;")"</f>
        <v>FAB (APRESENTAÇÃO CONGRESSO )</v>
      </c>
    </row>
    <row r="8377" spans="1:14" x14ac:dyDescent="0.3">
      <c r="A8377" s="1">
        <v>45219</v>
      </c>
      <c r="B8377" t="s">
        <v>47</v>
      </c>
      <c r="C8377" t="s">
        <v>24</v>
      </c>
      <c r="D8377" s="8">
        <v>0.29166666666666669</v>
      </c>
      <c r="E8377" s="8">
        <v>0.5</v>
      </c>
      <c r="F8377" t="s">
        <v>712</v>
      </c>
      <c r="G8377" t="s">
        <v>565</v>
      </c>
      <c r="H8377" t="s">
        <v>565</v>
      </c>
      <c r="M8377" t="s">
        <v>478</v>
      </c>
      <c r="N8377" t="str">
        <f>Tabela_tudo[[#This Row],[Médico]]&amp;" ("&amp;Tabela_tudo[[#This Row],[Obs]]&amp;")"</f>
        <v>VIN (ALUNOS UNISINOS HED)</v>
      </c>
    </row>
    <row r="8378" spans="1:14" x14ac:dyDescent="0.3">
      <c r="A8378" s="1">
        <v>45034</v>
      </c>
      <c r="B8378" t="s">
        <v>12</v>
      </c>
      <c r="C8378" t="s">
        <v>24</v>
      </c>
      <c r="D8378" s="8">
        <v>0.79166666666666663</v>
      </c>
      <c r="E8378" s="8">
        <v>0.83333333333333337</v>
      </c>
      <c r="F8378" t="s">
        <v>207</v>
      </c>
      <c r="K8378" t="s">
        <v>565</v>
      </c>
      <c r="M8378" t="s">
        <v>478</v>
      </c>
      <c r="N8378" t="str">
        <f>Tabela_tudo[[#This Row],[Médico]]&amp;" ("&amp;Tabela_tudo[[#This Row],[Obs]]&amp;")"</f>
        <v>EDU (TECNOPUC)</v>
      </c>
    </row>
    <row r="8379" spans="1:14" x14ac:dyDescent="0.3">
      <c r="A8379" s="1">
        <v>45202</v>
      </c>
      <c r="B8379" t="s">
        <v>73</v>
      </c>
      <c r="C8379" t="s">
        <v>24</v>
      </c>
      <c r="D8379" s="8">
        <v>0.79166666666666663</v>
      </c>
      <c r="E8379" s="8">
        <v>0.98958333333333337</v>
      </c>
      <c r="F8379" t="s">
        <v>672</v>
      </c>
      <c r="K8379" t="s">
        <v>565</v>
      </c>
      <c r="M8379" t="s">
        <v>478</v>
      </c>
      <c r="N8379" t="str">
        <f>Tabela_tudo[[#This Row],[Médico]]&amp;" ("&amp;Tabela_tudo[[#This Row],[Obs]]&amp;")"</f>
        <v>RT (EVENTO HMV)</v>
      </c>
    </row>
    <row r="8380" spans="1:14" x14ac:dyDescent="0.3">
      <c r="A8380" s="1">
        <v>45156</v>
      </c>
      <c r="B8380" t="s">
        <v>12</v>
      </c>
      <c r="C8380" t="s">
        <v>24</v>
      </c>
      <c r="D8380" s="8"/>
      <c r="E8380" s="8"/>
      <c r="F8380" t="s">
        <v>284</v>
      </c>
      <c r="M8380" t="s">
        <v>478</v>
      </c>
      <c r="N8380" t="str">
        <f>Tabela_tudo[[#This Row],[Médico]]&amp;" ("&amp;Tabela_tudo[[#This Row],[Obs]]&amp;")"</f>
        <v>EDU (ENTRANDO EM FÉRIAS NA SEGUNDA-FEIRA)</v>
      </c>
    </row>
    <row r="8381" spans="1:14" x14ac:dyDescent="0.3">
      <c r="A8381" s="1">
        <v>45184</v>
      </c>
      <c r="B8381" t="s">
        <v>12</v>
      </c>
      <c r="C8381" t="s">
        <v>24</v>
      </c>
      <c r="D8381" s="8">
        <v>0.54166666666666663</v>
      </c>
      <c r="E8381" s="8">
        <v>0.875</v>
      </c>
      <c r="F8381" t="s">
        <v>186</v>
      </c>
      <c r="I8381" t="s">
        <v>565</v>
      </c>
      <c r="J8381" t="s">
        <v>565</v>
      </c>
      <c r="K8381" t="s">
        <v>565</v>
      </c>
      <c r="M8381" t="s">
        <v>478</v>
      </c>
      <c r="N8381" t="str">
        <f>Tabela_tudo[[#This Row],[Médico]]&amp;" ("&amp;Tabela_tudo[[#This Row],[Obs]]&amp;")"</f>
        <v>EDU (MBA PRESENCIAL )</v>
      </c>
    </row>
    <row r="8382" spans="1:14" x14ac:dyDescent="0.3">
      <c r="A8382" s="1">
        <v>45218</v>
      </c>
      <c r="B8382" t="s">
        <v>23</v>
      </c>
      <c r="C8382" t="s">
        <v>24</v>
      </c>
      <c r="D8382" s="8">
        <v>0.29166666666666669</v>
      </c>
      <c r="E8382" s="8">
        <v>0.79166666666666663</v>
      </c>
      <c r="F8382" t="s">
        <v>663</v>
      </c>
      <c r="G8382" t="s">
        <v>565</v>
      </c>
      <c r="H8382" t="s">
        <v>565</v>
      </c>
      <c r="I8382" t="s">
        <v>565</v>
      </c>
      <c r="J8382" t="s">
        <v>565</v>
      </c>
      <c r="M8382" t="s">
        <v>478</v>
      </c>
      <c r="N8382" t="str">
        <f>Tabela_tudo[[#This Row],[Médico]]&amp;" ("&amp;Tabela_tudo[[#This Row],[Obs]]&amp;")"</f>
        <v>BG (AULA NA USP )</v>
      </c>
    </row>
    <row r="8383" spans="1:14" x14ac:dyDescent="0.3">
      <c r="A8383" s="1">
        <v>45034</v>
      </c>
      <c r="B8383" t="s">
        <v>23</v>
      </c>
      <c r="C8383" t="s">
        <v>24</v>
      </c>
      <c r="D8383" s="8">
        <v>0.79166666666666663</v>
      </c>
      <c r="E8383" s="8">
        <v>0.83333333333333337</v>
      </c>
      <c r="F8383" t="s">
        <v>207</v>
      </c>
      <c r="K8383" t="s">
        <v>565</v>
      </c>
      <c r="M8383" t="s">
        <v>478</v>
      </c>
      <c r="N8383" t="str">
        <f>Tabela_tudo[[#This Row],[Médico]]&amp;" ("&amp;Tabela_tudo[[#This Row],[Obs]]&amp;")"</f>
        <v>BG (TECNOPUC)</v>
      </c>
    </row>
    <row r="8384" spans="1:14" x14ac:dyDescent="0.3">
      <c r="A8384" s="1">
        <v>45160</v>
      </c>
      <c r="B8384" t="s">
        <v>23</v>
      </c>
      <c r="C8384" t="s">
        <v>24</v>
      </c>
      <c r="D8384" s="8">
        <v>0.47916666666666669</v>
      </c>
      <c r="E8384" s="8">
        <v>0.64583333333333337</v>
      </c>
      <c r="F8384" t="s">
        <v>345</v>
      </c>
      <c r="H8384" t="s">
        <v>565</v>
      </c>
      <c r="I8384" t="s">
        <v>565</v>
      </c>
      <c r="M8384" t="s">
        <v>478</v>
      </c>
      <c r="N8384" t="str">
        <f>Tabela_tudo[[#This Row],[Médico]]&amp;" ("&amp;Tabela_tudo[[#This Row],[Obs]]&amp;")"</f>
        <v>BG (ASSINATURA CONTRATO SANE TODOS OS SOCIOS)</v>
      </c>
    </row>
    <row r="8385" spans="1:14" x14ac:dyDescent="0.3">
      <c r="A8385" s="1">
        <v>45183</v>
      </c>
      <c r="B8385" t="s">
        <v>64</v>
      </c>
      <c r="C8385" t="s">
        <v>24</v>
      </c>
      <c r="D8385" s="8">
        <v>0.54166666666666663</v>
      </c>
      <c r="E8385" s="8">
        <v>0.625</v>
      </c>
      <c r="F8385" t="s">
        <v>621</v>
      </c>
      <c r="I8385" t="s">
        <v>565</v>
      </c>
      <c r="M8385" t="s">
        <v>478</v>
      </c>
      <c r="N8385" t="str">
        <f>Tabela_tudo[[#This Row],[Médico]]&amp;" ("&amp;Tabela_tudo[[#This Row],[Obs]]&amp;")"</f>
        <v>SAR (ENTREVISTAS SANE)</v>
      </c>
    </row>
    <row r="8386" spans="1:14" x14ac:dyDescent="0.3">
      <c r="A8386" s="1">
        <v>45139</v>
      </c>
      <c r="B8386" t="s">
        <v>214</v>
      </c>
      <c r="C8386" t="s">
        <v>24</v>
      </c>
      <c r="D8386" s="8">
        <v>0.54166666666666663</v>
      </c>
      <c r="E8386" s="8">
        <v>0.91666666666666663</v>
      </c>
      <c r="F8386" t="s">
        <v>275</v>
      </c>
      <c r="I8386" t="s">
        <v>565</v>
      </c>
      <c r="J8386" t="s">
        <v>565</v>
      </c>
      <c r="K8386" t="s">
        <v>565</v>
      </c>
      <c r="M8386" t="s">
        <v>478</v>
      </c>
      <c r="N8386" t="str">
        <f>Tabela_tudo[[#This Row],[Médico]]&amp;" ("&amp;Tabela_tudo[[#This Row],[Obs]]&amp;")"</f>
        <v>IFA (IFA TRABALHA ATÉ AS 13H )</v>
      </c>
    </row>
    <row r="8387" spans="1:14" x14ac:dyDescent="0.3">
      <c r="A8387" s="1">
        <v>45183</v>
      </c>
      <c r="B8387" t="s">
        <v>23</v>
      </c>
      <c r="C8387" t="s">
        <v>24</v>
      </c>
      <c r="D8387" s="8">
        <v>0.75</v>
      </c>
      <c r="E8387" s="8">
        <v>0.98958333333333337</v>
      </c>
      <c r="F8387" t="s">
        <v>613</v>
      </c>
      <c r="J8387" t="s">
        <v>565</v>
      </c>
      <c r="K8387" t="s">
        <v>565</v>
      </c>
      <c r="M8387" t="s">
        <v>478</v>
      </c>
      <c r="N8387" t="str">
        <f>Tabela_tudo[[#This Row],[Médico]]&amp;" ("&amp;Tabela_tudo[[#This Row],[Obs]]&amp;")"</f>
        <v>BG (PALESTRA HALEXISTAR )</v>
      </c>
    </row>
    <row r="8388" spans="1:14" x14ac:dyDescent="0.3">
      <c r="A8388" s="1">
        <v>45224</v>
      </c>
      <c r="B8388" t="s">
        <v>47</v>
      </c>
      <c r="C8388" t="s">
        <v>24</v>
      </c>
      <c r="D8388" s="8">
        <v>0.8125</v>
      </c>
      <c r="E8388" s="8">
        <v>0.91666666666666663</v>
      </c>
      <c r="F8388" t="s">
        <v>716</v>
      </c>
      <c r="K8388" t="s">
        <v>565</v>
      </c>
      <c r="M8388" t="s">
        <v>478</v>
      </c>
      <c r="N8388" t="str">
        <f>Tabela_tudo[[#This Row],[Médico]]&amp;" ("&amp;Tabela_tudo[[#This Row],[Obs]]&amp;")"</f>
        <v>VIN (AULA LIGA ANESTESIOLOGIA )</v>
      </c>
    </row>
    <row r="8389" spans="1:14" x14ac:dyDescent="0.3">
      <c r="A8389" s="1">
        <v>45113</v>
      </c>
      <c r="B8389" t="s">
        <v>23</v>
      </c>
      <c r="C8389" t="s">
        <v>24</v>
      </c>
      <c r="D8389" s="8">
        <v>0.70833333333333337</v>
      </c>
      <c r="E8389" s="8">
        <v>0.79166666666666663</v>
      </c>
      <c r="F8389" t="s">
        <v>201</v>
      </c>
      <c r="J8389" t="s">
        <v>565</v>
      </c>
      <c r="M8389" t="s">
        <v>478</v>
      </c>
      <c r="N8389" t="str">
        <f>Tabela_tudo[[#This Row],[Médico]]&amp;" ("&amp;Tabela_tudo[[#This Row],[Obs]]&amp;")"</f>
        <v>BG (HOMENAGEM HED )</v>
      </c>
    </row>
    <row r="8390" spans="1:14" x14ac:dyDescent="0.3">
      <c r="A8390" s="1">
        <v>45114</v>
      </c>
      <c r="B8390" t="s">
        <v>73</v>
      </c>
      <c r="C8390" t="s">
        <v>24</v>
      </c>
      <c r="D8390" s="8"/>
      <c r="E8390" s="8"/>
      <c r="F8390" t="s">
        <v>205</v>
      </c>
      <c r="M8390" t="s">
        <v>478</v>
      </c>
      <c r="N8390" t="str">
        <f>Tabela_tudo[[#This Row],[Médico]]&amp;" ("&amp;Tabela_tudo[[#This Row],[Obs]]&amp;")"</f>
        <v>RT (ENTRANDO DE FÉRIAS NA SEGUNDA-FEIRA)</v>
      </c>
    </row>
    <row r="8391" spans="1:14" x14ac:dyDescent="0.3">
      <c r="A8391" s="1">
        <v>45112</v>
      </c>
      <c r="B8391" t="s">
        <v>47</v>
      </c>
      <c r="C8391" t="s">
        <v>24</v>
      </c>
      <c r="D8391" s="8">
        <v>0.8125</v>
      </c>
      <c r="E8391" s="8">
        <v>0.91666666666666663</v>
      </c>
      <c r="F8391" t="s">
        <v>231</v>
      </c>
      <c r="K8391" t="s">
        <v>565</v>
      </c>
      <c r="M8391" t="s">
        <v>478</v>
      </c>
      <c r="N8391" t="str">
        <f>Tabela_tudo[[#This Row],[Médico]]&amp;" ("&amp;Tabela_tudo[[#This Row],[Obs]]&amp;")"</f>
        <v>VIN (AULA LIGA DE ANESTEOLOGIA )</v>
      </c>
    </row>
    <row r="8392" spans="1:14" x14ac:dyDescent="0.3">
      <c r="A8392" s="1">
        <v>45229</v>
      </c>
      <c r="B8392" t="s">
        <v>66</v>
      </c>
      <c r="C8392" t="s">
        <v>24</v>
      </c>
      <c r="D8392" s="8">
        <v>0.58333333333333337</v>
      </c>
      <c r="E8392" s="8">
        <v>0.625</v>
      </c>
      <c r="F8392" t="s">
        <v>697</v>
      </c>
      <c r="I8392" t="s">
        <v>565</v>
      </c>
      <c r="M8392" t="s">
        <v>478</v>
      </c>
      <c r="N8392" t="str">
        <f>Tabela_tudo[[#This Row],[Médico]]&amp;" ("&amp;Tabela_tudo[[#This Row],[Obs]]&amp;")"</f>
        <v>MOZ (CERTIFICADORA)</v>
      </c>
    </row>
    <row r="8393" spans="1:14" x14ac:dyDescent="0.3">
      <c r="A8393" s="1">
        <v>45185</v>
      </c>
      <c r="B8393" t="s">
        <v>12</v>
      </c>
      <c r="C8393" t="s">
        <v>24</v>
      </c>
      <c r="D8393" s="8">
        <v>0.33333333333333331</v>
      </c>
      <c r="E8393" s="8">
        <v>0.69791666666666663</v>
      </c>
      <c r="F8393" t="s">
        <v>408</v>
      </c>
      <c r="G8393" t="s">
        <v>565</v>
      </c>
      <c r="H8393" t="s">
        <v>565</v>
      </c>
      <c r="I8393" t="s">
        <v>565</v>
      </c>
      <c r="J8393" t="s">
        <v>565</v>
      </c>
      <c r="M8393" t="s">
        <v>478</v>
      </c>
      <c r="N8393" t="str">
        <f>Tabela_tudo[[#This Row],[Médico]]&amp;" ("&amp;Tabela_tudo[[#This Row],[Obs]]&amp;")"</f>
        <v>EDU (MBA PRESENCIAL)</v>
      </c>
    </row>
    <row r="8394" spans="1:14" x14ac:dyDescent="0.3">
      <c r="A8394" s="1">
        <v>45114</v>
      </c>
      <c r="B8394" t="s">
        <v>50</v>
      </c>
      <c r="C8394" t="s">
        <v>24</v>
      </c>
      <c r="D8394" s="8"/>
      <c r="E8394" s="8"/>
      <c r="F8394" t="s">
        <v>205</v>
      </c>
      <c r="M8394" t="s">
        <v>478</v>
      </c>
      <c r="N8394" t="str">
        <f>Tabela_tudo[[#This Row],[Médico]]&amp;" ("&amp;Tabela_tudo[[#This Row],[Obs]]&amp;")"</f>
        <v>PJP (ENTRANDO DE FÉRIAS NA SEGUNDA-FEIRA)</v>
      </c>
    </row>
    <row r="8395" spans="1:14" x14ac:dyDescent="0.3">
      <c r="A8395" s="1">
        <v>45114</v>
      </c>
      <c r="B8395" t="s">
        <v>20</v>
      </c>
      <c r="C8395" t="s">
        <v>24</v>
      </c>
      <c r="D8395" s="8"/>
      <c r="E8395" s="8"/>
      <c r="F8395" t="s">
        <v>205</v>
      </c>
      <c r="M8395" t="s">
        <v>478</v>
      </c>
      <c r="N8395" t="str">
        <f>Tabela_tudo[[#This Row],[Médico]]&amp;" ("&amp;Tabela_tudo[[#This Row],[Obs]]&amp;")"</f>
        <v>ROB (ENTRANDO DE FÉRIAS NA SEGUNDA-FEIRA)</v>
      </c>
    </row>
    <row r="8396" spans="1:14" x14ac:dyDescent="0.3">
      <c r="A8396" s="1">
        <v>45128</v>
      </c>
      <c r="B8396" t="s">
        <v>94</v>
      </c>
      <c r="C8396" t="s">
        <v>24</v>
      </c>
      <c r="D8396" s="8">
        <v>0.45833333333333331</v>
      </c>
      <c r="E8396" s="8">
        <v>0.5</v>
      </c>
      <c r="F8396" t="s">
        <v>192</v>
      </c>
      <c r="H8396" t="s">
        <v>565</v>
      </c>
      <c r="M8396" t="s">
        <v>478</v>
      </c>
      <c r="N8396" t="str">
        <f>Tabela_tudo[[#This Row],[Médico]]&amp;" ("&amp;Tabela_tudo[[#This Row],[Obs]]&amp;")"</f>
        <v>TOT (ENTREGA CRACHA HDP)</v>
      </c>
    </row>
    <row r="8397" spans="1:14" x14ac:dyDescent="0.3">
      <c r="A8397" s="1">
        <v>45222</v>
      </c>
      <c r="B8397" t="s">
        <v>34</v>
      </c>
      <c r="C8397" t="s">
        <v>24</v>
      </c>
      <c r="D8397" s="8"/>
      <c r="E8397" s="8"/>
      <c r="F8397" t="s">
        <v>683</v>
      </c>
      <c r="M8397" t="s">
        <v>478</v>
      </c>
      <c r="N8397" t="str">
        <f>Tabela_tudo[[#This Row],[Médico]]&amp;" ("&amp;Tabela_tudo[[#This Row],[Obs]]&amp;")"</f>
        <v>LIP (CURSO - STARTUP WEEKEND HEALTH - FLORIANÓPOLIS)</v>
      </c>
    </row>
    <row r="8398" spans="1:14" x14ac:dyDescent="0.3">
      <c r="A8398" s="1">
        <v>45213</v>
      </c>
      <c r="B8398" t="s">
        <v>214</v>
      </c>
      <c r="C8398" t="s">
        <v>24</v>
      </c>
      <c r="D8398" s="8"/>
      <c r="E8398" s="8"/>
      <c r="F8398" t="s">
        <v>291</v>
      </c>
      <c r="M8398" t="s">
        <v>478</v>
      </c>
      <c r="N8398" t="str">
        <f>Tabela_tudo[[#This Row],[Médico]]&amp;" ("&amp;Tabela_tudo[[#This Row],[Obs]]&amp;")"</f>
        <v>IFA (TRABALHA)</v>
      </c>
    </row>
    <row r="8399" spans="1:14" x14ac:dyDescent="0.3">
      <c r="A8399" s="1">
        <v>45175</v>
      </c>
      <c r="B8399" t="s">
        <v>23</v>
      </c>
      <c r="C8399" t="s">
        <v>24</v>
      </c>
      <c r="D8399" s="8">
        <v>0.70833333333333337</v>
      </c>
      <c r="E8399" s="8">
        <v>0.98958333333333337</v>
      </c>
      <c r="F8399" t="s">
        <v>441</v>
      </c>
      <c r="J8399" t="s">
        <v>565</v>
      </c>
      <c r="K8399" t="s">
        <v>565</v>
      </c>
      <c r="M8399" t="s">
        <v>478</v>
      </c>
      <c r="N8399" t="str">
        <f>Tabela_tudo[[#This Row],[Médico]]&amp;" ("&amp;Tabela_tudo[[#This Row],[Obs]]&amp;")"</f>
        <v>BG (LIVRE P/ CLASA)</v>
      </c>
    </row>
    <row r="8400" spans="1:14" x14ac:dyDescent="0.3">
      <c r="A8400" s="1">
        <v>45034</v>
      </c>
      <c r="B8400" t="s">
        <v>17</v>
      </c>
      <c r="C8400" t="s">
        <v>24</v>
      </c>
      <c r="D8400" s="8">
        <v>0.33333333333333331</v>
      </c>
      <c r="E8400" s="8">
        <v>0.41666666666666669</v>
      </c>
      <c r="F8400" t="s">
        <v>208</v>
      </c>
      <c r="G8400" t="s">
        <v>565</v>
      </c>
      <c r="M8400" t="s">
        <v>478</v>
      </c>
      <c r="N8400" t="str">
        <f>Tabela_tudo[[#This Row],[Médico]]&amp;" ("&amp;Tabela_tudo[[#This Row],[Obs]]&amp;")"</f>
        <v>FAB (IR PRESENCIAL GATTI)</v>
      </c>
    </row>
    <row r="8401" spans="1:14" x14ac:dyDescent="0.3">
      <c r="A8401" s="1">
        <v>45175</v>
      </c>
      <c r="B8401" t="s">
        <v>50</v>
      </c>
      <c r="C8401" t="s">
        <v>24</v>
      </c>
      <c r="D8401" s="8">
        <v>0.70833333333333337</v>
      </c>
      <c r="E8401" s="8">
        <v>0.98958333333333337</v>
      </c>
      <c r="F8401" t="s">
        <v>441</v>
      </c>
      <c r="J8401" t="s">
        <v>565</v>
      </c>
      <c r="K8401" t="s">
        <v>565</v>
      </c>
      <c r="M8401" t="s">
        <v>478</v>
      </c>
      <c r="N8401" t="str">
        <f>Tabela_tudo[[#This Row],[Médico]]&amp;" ("&amp;Tabela_tudo[[#This Row],[Obs]]&amp;")"</f>
        <v>PJP (LIVRE P/ CLASA)</v>
      </c>
    </row>
    <row r="8402" spans="1:14" x14ac:dyDescent="0.3">
      <c r="A8402" s="1">
        <v>45132</v>
      </c>
      <c r="B8402" t="s">
        <v>17</v>
      </c>
      <c r="C8402" t="s">
        <v>24</v>
      </c>
      <c r="D8402" s="8">
        <v>0.72916666666666663</v>
      </c>
      <c r="E8402" s="8">
        <v>0.91666666666666663</v>
      </c>
      <c r="F8402" t="s">
        <v>247</v>
      </c>
      <c r="J8402" t="s">
        <v>565</v>
      </c>
      <c r="K8402" t="s">
        <v>565</v>
      </c>
      <c r="M8402" t="s">
        <v>478</v>
      </c>
      <c r="N8402" t="str">
        <f>Tabela_tudo[[#This Row],[Médico]]&amp;" ("&amp;Tabela_tudo[[#This Row],[Obs]]&amp;")"</f>
        <v>FAB (PALESTRA WEBIRAR SBA )</v>
      </c>
    </row>
    <row r="8403" spans="1:14" x14ac:dyDescent="0.3">
      <c r="A8403" s="1">
        <v>45127</v>
      </c>
      <c r="B8403" t="s">
        <v>23</v>
      </c>
      <c r="C8403" t="s">
        <v>24</v>
      </c>
      <c r="D8403" s="8">
        <v>0.29166666666666669</v>
      </c>
      <c r="E8403" s="8">
        <v>0.5</v>
      </c>
      <c r="F8403" t="s">
        <v>189</v>
      </c>
      <c r="G8403" t="s">
        <v>565</v>
      </c>
      <c r="H8403" t="s">
        <v>565</v>
      </c>
      <c r="M8403" t="s">
        <v>478</v>
      </c>
      <c r="N8403" t="str">
        <f>Tabela_tudo[[#This Row],[Médico]]&amp;" ("&amp;Tabela_tudo[[#This Row],[Obs]]&amp;")"</f>
        <v>BG (AULA BENTO GONÇALVES )</v>
      </c>
    </row>
    <row r="8404" spans="1:14" x14ac:dyDescent="0.3">
      <c r="A8404" s="1">
        <v>45034</v>
      </c>
      <c r="B8404" t="s">
        <v>52</v>
      </c>
      <c r="C8404" t="s">
        <v>24</v>
      </c>
      <c r="D8404" s="8">
        <v>0.70833333333333337</v>
      </c>
      <c r="E8404" s="8">
        <v>0.79166666666666663</v>
      </c>
      <c r="F8404" t="s">
        <v>208</v>
      </c>
      <c r="J8404" t="s">
        <v>565</v>
      </c>
      <c r="M8404" t="s">
        <v>478</v>
      </c>
      <c r="N8404" t="str">
        <f>Tabela_tudo[[#This Row],[Médico]]&amp;" ("&amp;Tabela_tudo[[#This Row],[Obs]]&amp;")"</f>
        <v>AEL (IR PRESENCIAL GATTI)</v>
      </c>
    </row>
    <row r="8405" spans="1:14" x14ac:dyDescent="0.3">
      <c r="A8405" s="1">
        <v>45126</v>
      </c>
      <c r="B8405" t="s">
        <v>23</v>
      </c>
      <c r="C8405" t="s">
        <v>24</v>
      </c>
      <c r="D8405" s="8">
        <v>0.625</v>
      </c>
      <c r="E8405" s="8">
        <v>0.91666666666666663</v>
      </c>
      <c r="F8405" t="s">
        <v>189</v>
      </c>
      <c r="I8405" t="s">
        <v>565</v>
      </c>
      <c r="J8405" t="s">
        <v>565</v>
      </c>
      <c r="K8405" t="s">
        <v>565</v>
      </c>
      <c r="M8405" t="s">
        <v>478</v>
      </c>
      <c r="N8405" t="str">
        <f>Tabela_tudo[[#This Row],[Médico]]&amp;" ("&amp;Tabela_tudo[[#This Row],[Obs]]&amp;")"</f>
        <v>BG (AULA BENTO GONÇALVES )</v>
      </c>
    </row>
    <row r="8406" spans="1:14" x14ac:dyDescent="0.3">
      <c r="A8406" s="1">
        <v>45167</v>
      </c>
      <c r="B8406" t="s">
        <v>214</v>
      </c>
      <c r="C8406" t="s">
        <v>24</v>
      </c>
      <c r="D8406" s="8"/>
      <c r="E8406" s="8"/>
      <c r="F8406" t="s">
        <v>383</v>
      </c>
      <c r="M8406" t="s">
        <v>478</v>
      </c>
      <c r="N8406" t="str">
        <f>Tabela_tudo[[#This Row],[Médico]]&amp;" ("&amp;Tabela_tudo[[#This Row],[Obs]]&amp;")"</f>
        <v>IFA (TRABALHA O DIA INTEIRO)</v>
      </c>
    </row>
    <row r="8407" spans="1:14" x14ac:dyDescent="0.3">
      <c r="A8407" s="1">
        <v>45034</v>
      </c>
      <c r="B8407" t="s">
        <v>73</v>
      </c>
      <c r="C8407" t="s">
        <v>24</v>
      </c>
      <c r="D8407" s="8">
        <v>0.79166666666666663</v>
      </c>
      <c r="E8407" s="8">
        <v>0.83333333333333337</v>
      </c>
      <c r="F8407" t="s">
        <v>207</v>
      </c>
      <c r="K8407" t="s">
        <v>565</v>
      </c>
      <c r="M8407" t="s">
        <v>478</v>
      </c>
      <c r="N8407" t="str">
        <f>Tabela_tudo[[#This Row],[Médico]]&amp;" ("&amp;Tabela_tudo[[#This Row],[Obs]]&amp;")"</f>
        <v>RT (TECNOPUC)</v>
      </c>
    </row>
    <row r="8408" spans="1:14" x14ac:dyDescent="0.3">
      <c r="A8408" s="1">
        <v>45138</v>
      </c>
      <c r="B8408" t="s">
        <v>94</v>
      </c>
      <c r="C8408" t="s">
        <v>24</v>
      </c>
      <c r="D8408" s="8">
        <v>0.66666666666666663</v>
      </c>
      <c r="E8408" s="8">
        <v>0.6875</v>
      </c>
      <c r="F8408" t="s">
        <v>271</v>
      </c>
      <c r="J8408" t="s">
        <v>565</v>
      </c>
      <c r="M8408" t="s">
        <v>478</v>
      </c>
      <c r="N8408" t="str">
        <f>Tabela_tudo[[#This Row],[Médico]]&amp;" ("&amp;Tabela_tudo[[#This Row],[Obs]]&amp;")"</f>
        <v>TOT (ASSINAR PAPÉIS E FAZER CRACHÁ NO HMV)</v>
      </c>
    </row>
    <row r="8409" spans="1:14" x14ac:dyDescent="0.3">
      <c r="A8409" s="1">
        <v>45084</v>
      </c>
      <c r="B8409" t="s">
        <v>68</v>
      </c>
      <c r="C8409" t="s">
        <v>24</v>
      </c>
      <c r="D8409" s="8"/>
      <c r="E8409" s="8"/>
      <c r="F8409" t="s">
        <v>130</v>
      </c>
      <c r="M8409" t="s">
        <v>478</v>
      </c>
      <c r="N8409" t="str">
        <f>Tabela_tudo[[#This Row],[Médico]]&amp;" ("&amp;Tabela_tudo[[#This Row],[Obs]]&amp;")"</f>
        <v>PED (HEN TRABALHA P/ PED)</v>
      </c>
    </row>
    <row r="8410" spans="1:14" x14ac:dyDescent="0.3">
      <c r="A8410" s="1">
        <v>45034</v>
      </c>
      <c r="B8410" t="s">
        <v>50</v>
      </c>
      <c r="C8410" t="s">
        <v>24</v>
      </c>
      <c r="D8410" s="8">
        <v>0.79166666666666663</v>
      </c>
      <c r="E8410" s="8">
        <v>0.83333333333333337</v>
      </c>
      <c r="F8410" t="s">
        <v>207</v>
      </c>
      <c r="K8410" t="s">
        <v>565</v>
      </c>
      <c r="M8410" t="s">
        <v>478</v>
      </c>
      <c r="N8410" t="str">
        <f>Tabela_tudo[[#This Row],[Médico]]&amp;" ("&amp;Tabela_tudo[[#This Row],[Obs]]&amp;")"</f>
        <v>PJP (TECNOPUC)</v>
      </c>
    </row>
    <row r="8411" spans="1:14" x14ac:dyDescent="0.3">
      <c r="A8411" s="1">
        <v>45217</v>
      </c>
      <c r="B8411" t="s">
        <v>7</v>
      </c>
      <c r="C8411" t="s">
        <v>24</v>
      </c>
      <c r="D8411" s="8">
        <v>0.45833333333333331</v>
      </c>
      <c r="E8411" s="8">
        <v>0.58333333333333337</v>
      </c>
      <c r="F8411" t="s">
        <v>688</v>
      </c>
      <c r="H8411" t="s">
        <v>565</v>
      </c>
      <c r="I8411" t="s">
        <v>565</v>
      </c>
      <c r="M8411" t="s">
        <v>478</v>
      </c>
      <c r="N8411" t="str">
        <f>Tabela_tudo[[#This Row],[Médico]]&amp;" ("&amp;Tabela_tudo[[#This Row],[Obs]]&amp;")"</f>
        <v>ARI (REUNIÃO HMV (HOMENAGEM))</v>
      </c>
    </row>
    <row r="8412" spans="1:14" x14ac:dyDescent="0.3">
      <c r="A8412" s="1">
        <v>45034</v>
      </c>
      <c r="B8412" t="s">
        <v>29</v>
      </c>
      <c r="C8412" t="s">
        <v>24</v>
      </c>
      <c r="D8412" s="8">
        <v>0.79166666666666663</v>
      </c>
      <c r="E8412" s="8">
        <v>0.83333333333333337</v>
      </c>
      <c r="F8412" t="s">
        <v>207</v>
      </c>
      <c r="K8412" t="s">
        <v>565</v>
      </c>
      <c r="M8412" t="s">
        <v>478</v>
      </c>
      <c r="N8412" t="str">
        <f>Tabela_tudo[[#This Row],[Médico]]&amp;" ("&amp;Tabela_tudo[[#This Row],[Obs]]&amp;")"</f>
        <v>JOA (TECNOPUC)</v>
      </c>
    </row>
    <row r="8413" spans="1:14" x14ac:dyDescent="0.3">
      <c r="A8413" s="1">
        <v>45034</v>
      </c>
      <c r="B8413" t="s">
        <v>47</v>
      </c>
      <c r="C8413" t="s">
        <v>24</v>
      </c>
      <c r="D8413" s="8">
        <v>0.79166666666666663</v>
      </c>
      <c r="E8413" s="8">
        <v>0.83333333333333337</v>
      </c>
      <c r="F8413" t="s">
        <v>207</v>
      </c>
      <c r="K8413" t="s">
        <v>565</v>
      </c>
      <c r="M8413" t="s">
        <v>478</v>
      </c>
      <c r="N8413" t="str">
        <f>Tabela_tudo[[#This Row],[Médico]]&amp;" ("&amp;Tabela_tudo[[#This Row],[Obs]]&amp;")"</f>
        <v>VIN (TECNOPUC)</v>
      </c>
    </row>
    <row r="8414" spans="1:14" x14ac:dyDescent="0.3">
      <c r="A8414" s="1">
        <v>45117</v>
      </c>
      <c r="B8414" t="s">
        <v>96</v>
      </c>
      <c r="C8414" t="s">
        <v>24</v>
      </c>
      <c r="D8414" s="8">
        <v>0.54166666666666663</v>
      </c>
      <c r="E8414" s="8">
        <v>0.625</v>
      </c>
      <c r="F8414" t="s">
        <v>210</v>
      </c>
      <c r="M8414" t="s">
        <v>477</v>
      </c>
      <c r="N8414" t="str">
        <f>Tabela_tudo[[#This Row],[Médico]]&amp;" ("&amp;Tabela_tudo[[#This Row],[Obs]]&amp;")"</f>
        <v>VF (SERV PSICOLOGIA )</v>
      </c>
    </row>
    <row r="8415" spans="1:14" x14ac:dyDescent="0.3">
      <c r="A8415" s="1">
        <v>45191</v>
      </c>
      <c r="B8415" t="s">
        <v>61</v>
      </c>
      <c r="C8415" t="s">
        <v>24</v>
      </c>
      <c r="D8415" s="8"/>
      <c r="E8415" s="8"/>
      <c r="F8415" t="s">
        <v>633</v>
      </c>
      <c r="M8415" t="s">
        <v>477</v>
      </c>
      <c r="N8415" t="str">
        <f>Tabela_tudo[[#This Row],[Médico]]&amp;" ("&amp;Tabela_tudo[[#This Row],[Obs]]&amp;")"</f>
        <v>AD (JARGS - TARDE)</v>
      </c>
    </row>
    <row r="8416" spans="1:14" x14ac:dyDescent="0.3">
      <c r="A8416" s="1">
        <v>45131</v>
      </c>
      <c r="B8416" t="s">
        <v>60</v>
      </c>
      <c r="C8416" t="s">
        <v>24</v>
      </c>
      <c r="D8416" s="8">
        <v>0.54166666666666663</v>
      </c>
      <c r="E8416" s="8">
        <v>0.625</v>
      </c>
      <c r="F8416" t="s">
        <v>255</v>
      </c>
      <c r="M8416" t="s">
        <v>477</v>
      </c>
      <c r="N8416" t="str">
        <f>Tabela_tudo[[#This Row],[Médico]]&amp;" ("&amp;Tabela_tudo[[#This Row],[Obs]]&amp;")"</f>
        <v>BMT (SERV DE PSICOLOGIA UNISINOS )</v>
      </c>
    </row>
    <row r="8417" spans="1:14" x14ac:dyDescent="0.3">
      <c r="A8417" s="1">
        <v>45096</v>
      </c>
      <c r="B8417" t="s">
        <v>83</v>
      </c>
      <c r="C8417" t="s">
        <v>24</v>
      </c>
      <c r="D8417" s="8">
        <v>0.54166666666666663</v>
      </c>
      <c r="E8417" s="8">
        <v>0.625</v>
      </c>
      <c r="F8417" t="s">
        <v>120</v>
      </c>
      <c r="M8417" t="s">
        <v>477</v>
      </c>
      <c r="N8417" t="str">
        <f>Tabela_tudo[[#This Row],[Médico]]&amp;" ("&amp;Tabela_tudo[[#This Row],[Obs]]&amp;")"</f>
        <v>MG (SERVIÇO PSICOLOGIA UNISINOS )</v>
      </c>
    </row>
    <row r="8418" spans="1:14" x14ac:dyDescent="0.3">
      <c r="A8418" s="1">
        <v>45201</v>
      </c>
      <c r="B8418" t="s">
        <v>40</v>
      </c>
      <c r="C8418" t="s">
        <v>24</v>
      </c>
      <c r="D8418" s="8">
        <v>0.6875</v>
      </c>
      <c r="E8418" s="8">
        <v>0.72916666666666663</v>
      </c>
      <c r="F8418" t="s">
        <v>420</v>
      </c>
      <c r="M8418" t="s">
        <v>481</v>
      </c>
      <c r="N8418" t="str">
        <f>Tabela_tudo[[#This Row],[Médico]]&amp;" ("&amp;Tabela_tudo[[#This Row],[Obs]]&amp;")"</f>
        <v>EMA (REUNIÃO C/ ESTATÍSTICO)</v>
      </c>
    </row>
    <row r="8419" spans="1:14" x14ac:dyDescent="0.3">
      <c r="A8419" s="1">
        <v>45201</v>
      </c>
      <c r="B8419" t="s">
        <v>103</v>
      </c>
      <c r="C8419" t="s">
        <v>24</v>
      </c>
      <c r="D8419" s="8">
        <v>0.6875</v>
      </c>
      <c r="E8419" s="8">
        <v>0.72916666666666663</v>
      </c>
      <c r="F8419" t="s">
        <v>420</v>
      </c>
      <c r="M8419" t="s">
        <v>481</v>
      </c>
      <c r="N8419" t="str">
        <f>Tabela_tudo[[#This Row],[Médico]]&amp;" ("&amp;Tabela_tudo[[#This Row],[Obs]]&amp;")"</f>
        <v>CAD (REUNIÃO C/ ESTATÍSTICO)</v>
      </c>
    </row>
    <row r="8420" spans="1:14" x14ac:dyDescent="0.3">
      <c r="A8420" s="1">
        <v>45103</v>
      </c>
      <c r="B8420" t="s">
        <v>39</v>
      </c>
      <c r="C8420" t="s">
        <v>24</v>
      </c>
      <c r="D8420" s="8">
        <v>0.54166666666666663</v>
      </c>
      <c r="E8420" s="8">
        <v>0.625</v>
      </c>
      <c r="F8420" t="s">
        <v>120</v>
      </c>
      <c r="M8420" t="s">
        <v>479</v>
      </c>
      <c r="N8420" t="str">
        <f>Tabela_tudo[[#This Row],[Médico]]&amp;" ("&amp;Tabela_tudo[[#This Row],[Obs]]&amp;")"</f>
        <v>KLA (SERVIÇO PSICOLOGIA UNISINOS )</v>
      </c>
    </row>
    <row r="8421" spans="1:14" x14ac:dyDescent="0.3">
      <c r="A8421" s="1">
        <v>45117</v>
      </c>
      <c r="B8421" t="s">
        <v>97</v>
      </c>
      <c r="C8421" t="s">
        <v>24</v>
      </c>
      <c r="D8421" s="8">
        <v>0.54166666666666663</v>
      </c>
      <c r="E8421" s="8">
        <v>0.625</v>
      </c>
      <c r="F8421" t="s">
        <v>210</v>
      </c>
      <c r="M8421" t="s">
        <v>479</v>
      </c>
      <c r="N8421" t="str">
        <f>Tabela_tudo[[#This Row],[Médico]]&amp;" ("&amp;Tabela_tudo[[#This Row],[Obs]]&amp;")"</f>
        <v>HAR (SERV PSICOLOGIA )</v>
      </c>
    </row>
    <row r="8422" spans="1:14" x14ac:dyDescent="0.3">
      <c r="A8422" s="1">
        <v>45131</v>
      </c>
      <c r="B8422" t="s">
        <v>59</v>
      </c>
      <c r="C8422" t="s">
        <v>24</v>
      </c>
      <c r="D8422" s="8">
        <v>0.54166666666666663</v>
      </c>
      <c r="E8422" s="8">
        <v>0.625</v>
      </c>
      <c r="F8422" t="s">
        <v>255</v>
      </c>
      <c r="M8422" t="s">
        <v>477</v>
      </c>
      <c r="N8422" t="str">
        <f>Tabela_tudo[[#This Row],[Médico]]&amp;" ("&amp;Tabela_tudo[[#This Row],[Obs]]&amp;")"</f>
        <v>WEN (SERV DE PSICOLOGIA UNISINOS )</v>
      </c>
    </row>
    <row r="8423" spans="1:14" x14ac:dyDescent="0.3">
      <c r="A8423" s="1">
        <v>45096</v>
      </c>
      <c r="B8423" t="s">
        <v>109</v>
      </c>
      <c r="C8423" t="s">
        <v>24</v>
      </c>
      <c r="D8423" s="8">
        <v>0.54166666666666663</v>
      </c>
      <c r="E8423" s="8">
        <v>0.625</v>
      </c>
      <c r="F8423" t="s">
        <v>120</v>
      </c>
      <c r="M8423" t="s">
        <v>479</v>
      </c>
      <c r="N8423" t="str">
        <f>Tabela_tudo[[#This Row],[Médico]]&amp;" ("&amp;Tabela_tudo[[#This Row],[Obs]]&amp;")"</f>
        <v>CA (SERVIÇO PSICOLOGIA UNISINOS )</v>
      </c>
    </row>
    <row r="8424" spans="1:14" x14ac:dyDescent="0.3">
      <c r="A8424" s="1">
        <v>45191</v>
      </c>
      <c r="B8424" t="s">
        <v>40</v>
      </c>
      <c r="C8424" t="s">
        <v>24</v>
      </c>
      <c r="D8424" s="8"/>
      <c r="E8424" s="8"/>
      <c r="F8424" t="s">
        <v>633</v>
      </c>
      <c r="M8424" t="s">
        <v>481</v>
      </c>
      <c r="N8424" t="str">
        <f>Tabela_tudo[[#This Row],[Médico]]&amp;" ("&amp;Tabela_tudo[[#This Row],[Obs]]&amp;")"</f>
        <v>EMA (JARGS - TARDE)</v>
      </c>
    </row>
    <row r="8425" spans="1:14" x14ac:dyDescent="0.3">
      <c r="A8425" s="1">
        <v>45191</v>
      </c>
      <c r="B8425" t="s">
        <v>96</v>
      </c>
      <c r="C8425" t="s">
        <v>24</v>
      </c>
      <c r="D8425" s="8"/>
      <c r="E8425" s="8"/>
      <c r="F8425" t="s">
        <v>632</v>
      </c>
      <c r="M8425" t="s">
        <v>477</v>
      </c>
      <c r="N8425" t="str">
        <f>Tabela_tudo[[#This Row],[Médico]]&amp;" ("&amp;Tabela_tudo[[#This Row],[Obs]]&amp;")"</f>
        <v>VF (JARGS - MANHÃ)</v>
      </c>
    </row>
    <row r="8426" spans="1:14" x14ac:dyDescent="0.3">
      <c r="A8426" s="1">
        <v>45191</v>
      </c>
      <c r="B8426" t="s">
        <v>149</v>
      </c>
      <c r="C8426" t="s">
        <v>24</v>
      </c>
      <c r="D8426" s="8"/>
      <c r="E8426" s="8"/>
      <c r="F8426" t="s">
        <v>632</v>
      </c>
      <c r="M8426" t="s">
        <v>477</v>
      </c>
      <c r="N8426" t="str">
        <f>Tabela_tudo[[#This Row],[Médico]]&amp;" ("&amp;Tabela_tudo[[#This Row],[Obs]]&amp;")"</f>
        <v>NF (JARGS - MANHÃ)</v>
      </c>
    </row>
    <row r="8427" spans="1:14" x14ac:dyDescent="0.3">
      <c r="A8427" s="1">
        <v>45191</v>
      </c>
      <c r="B8427" t="s">
        <v>80</v>
      </c>
      <c r="C8427" t="s">
        <v>24</v>
      </c>
      <c r="D8427" s="8"/>
      <c r="E8427" s="8"/>
      <c r="F8427" t="s">
        <v>633</v>
      </c>
      <c r="M8427" t="s">
        <v>477</v>
      </c>
      <c r="N8427" t="str">
        <f>Tabela_tudo[[#This Row],[Médico]]&amp;" ("&amp;Tabela_tudo[[#This Row],[Obs]]&amp;")"</f>
        <v>REC (JARGS - TARDE)</v>
      </c>
    </row>
    <row r="8428" spans="1:14" x14ac:dyDescent="0.3">
      <c r="A8428" s="1">
        <v>45191</v>
      </c>
      <c r="B8428" t="s">
        <v>27</v>
      </c>
      <c r="C8428" t="s">
        <v>24</v>
      </c>
      <c r="D8428" s="8"/>
      <c r="E8428" s="8"/>
      <c r="F8428" t="s">
        <v>633</v>
      </c>
      <c r="M8428" t="s">
        <v>481</v>
      </c>
      <c r="N8428" t="str">
        <f>Tabela_tudo[[#This Row],[Médico]]&amp;" ("&amp;Tabela_tudo[[#This Row],[Obs]]&amp;")"</f>
        <v>KIL (JARGS - TARDE)</v>
      </c>
    </row>
    <row r="8429" spans="1:14" x14ac:dyDescent="0.3">
      <c r="A8429" s="1">
        <v>45191</v>
      </c>
      <c r="B8429" t="s">
        <v>112</v>
      </c>
      <c r="C8429" t="s">
        <v>24</v>
      </c>
      <c r="D8429" s="8"/>
      <c r="E8429" s="8"/>
      <c r="F8429" t="s">
        <v>633</v>
      </c>
      <c r="M8429" t="s">
        <v>479</v>
      </c>
      <c r="N8429" t="str">
        <f>Tabela_tudo[[#This Row],[Médico]]&amp;" ("&amp;Tabela_tudo[[#This Row],[Obs]]&amp;")"</f>
        <v>FLE (JARGS - TARDE)</v>
      </c>
    </row>
    <row r="8430" spans="1:14" x14ac:dyDescent="0.3">
      <c r="A8430" s="1">
        <v>45191</v>
      </c>
      <c r="B8430" t="s">
        <v>39</v>
      </c>
      <c r="C8430" t="s">
        <v>24</v>
      </c>
      <c r="D8430" s="8"/>
      <c r="E8430" s="8"/>
      <c r="F8430" t="s">
        <v>633</v>
      </c>
      <c r="M8430" t="s">
        <v>479</v>
      </c>
      <c r="N8430" t="str">
        <f>Tabela_tudo[[#This Row],[Médico]]&amp;" ("&amp;Tabela_tudo[[#This Row],[Obs]]&amp;")"</f>
        <v>KLA (JARGS - TARDE)</v>
      </c>
    </row>
    <row r="8431" spans="1:14" x14ac:dyDescent="0.3">
      <c r="A8431" s="1">
        <v>45191</v>
      </c>
      <c r="B8431" t="s">
        <v>98</v>
      </c>
      <c r="C8431" t="s">
        <v>24</v>
      </c>
      <c r="D8431" s="8"/>
      <c r="E8431" s="8"/>
      <c r="F8431" t="s">
        <v>632</v>
      </c>
      <c r="M8431" t="s">
        <v>479</v>
      </c>
      <c r="N8431" t="str">
        <f>Tabela_tudo[[#This Row],[Médico]]&amp;" ("&amp;Tabela_tudo[[#This Row],[Obs]]&amp;")"</f>
        <v>NIC (JARGS - MANHÃ)</v>
      </c>
    </row>
    <row r="8432" spans="1:14" x14ac:dyDescent="0.3">
      <c r="A8432" s="1">
        <v>45087</v>
      </c>
      <c r="B8432" t="s">
        <v>134</v>
      </c>
      <c r="C8432" t="s">
        <v>24</v>
      </c>
      <c r="D8432" s="8"/>
      <c r="E8432" s="8"/>
      <c r="F8432" t="s">
        <v>135</v>
      </c>
      <c r="N8432" t="str">
        <f>Tabela_tudo[[#This Row],[Médico]]&amp;" ("&amp;Tabela_tudo[[#This Row],[Obs]]&amp;")"</f>
        <v>ELO (ELO TRABALHA )</v>
      </c>
    </row>
    <row r="8433" spans="1:14" x14ac:dyDescent="0.3">
      <c r="A8433" s="1">
        <v>45209</v>
      </c>
      <c r="B8433" t="s">
        <v>36</v>
      </c>
      <c r="C8433" t="s">
        <v>24</v>
      </c>
      <c r="D8433" s="8"/>
      <c r="E8433" s="8"/>
      <c r="F8433" t="s">
        <v>455</v>
      </c>
      <c r="M8433" t="s">
        <v>481</v>
      </c>
      <c r="N8433" t="str">
        <f>Tabela_tudo[[#This Row],[Médico]]&amp;" ("&amp;Tabela_tudo[[#This Row],[Obs]]&amp;")"</f>
        <v>DRI (FORA)</v>
      </c>
    </row>
    <row r="8434" spans="1:14" x14ac:dyDescent="0.3">
      <c r="A8434" s="1">
        <v>45138</v>
      </c>
      <c r="B8434" t="s">
        <v>35</v>
      </c>
      <c r="C8434" t="s">
        <v>24</v>
      </c>
      <c r="D8434" s="8">
        <v>0.54166666666666663</v>
      </c>
      <c r="E8434" s="8">
        <v>0.625</v>
      </c>
      <c r="F8434" t="s">
        <v>269</v>
      </c>
      <c r="M8434" t="s">
        <v>479</v>
      </c>
      <c r="N8434" t="str">
        <f>Tabela_tudo[[#This Row],[Médico]]&amp;" ("&amp;Tabela_tudo[[#This Row],[Obs]]&amp;")"</f>
        <v>FLA (SERVI PSICOLOGIA UNISINOS )</v>
      </c>
    </row>
    <row r="8435" spans="1:14" x14ac:dyDescent="0.3">
      <c r="A8435" s="1">
        <v>45191</v>
      </c>
      <c r="B8435" t="s">
        <v>59</v>
      </c>
      <c r="C8435" t="s">
        <v>24</v>
      </c>
      <c r="D8435" s="8"/>
      <c r="E8435" s="8"/>
      <c r="F8435" t="s">
        <v>632</v>
      </c>
      <c r="M8435" t="s">
        <v>477</v>
      </c>
      <c r="N8435" t="str">
        <f>Tabela_tudo[[#This Row],[Médico]]&amp;" ("&amp;Tabela_tudo[[#This Row],[Obs]]&amp;")"</f>
        <v>WEN (JARGS - MANHÃ)</v>
      </c>
    </row>
    <row r="8436" spans="1:14" x14ac:dyDescent="0.3">
      <c r="A8436" s="1">
        <v>45191</v>
      </c>
      <c r="B8436" t="s">
        <v>9</v>
      </c>
      <c r="C8436" t="s">
        <v>24</v>
      </c>
      <c r="D8436" s="8"/>
      <c r="E8436" s="8"/>
      <c r="F8436" t="s">
        <v>632</v>
      </c>
      <c r="M8436" t="s">
        <v>481</v>
      </c>
      <c r="N8436" t="str">
        <f>Tabela_tudo[[#This Row],[Médico]]&amp;" ("&amp;Tabela_tudo[[#This Row],[Obs]]&amp;")"</f>
        <v>KRE (JARGS - MANHÃ)</v>
      </c>
    </row>
    <row r="8437" spans="1:14" x14ac:dyDescent="0.3">
      <c r="A8437" s="1">
        <v>45191</v>
      </c>
      <c r="B8437" t="s">
        <v>109</v>
      </c>
      <c r="C8437" t="s">
        <v>24</v>
      </c>
      <c r="D8437" s="8"/>
      <c r="E8437" s="8"/>
      <c r="F8437" t="s">
        <v>632</v>
      </c>
      <c r="M8437" t="s">
        <v>479</v>
      </c>
      <c r="N8437" t="str">
        <f>Tabela_tudo[[#This Row],[Médico]]&amp;" ("&amp;Tabela_tudo[[#This Row],[Obs]]&amp;")"</f>
        <v>CA (JARGS - MANHÃ)</v>
      </c>
    </row>
    <row r="8438" spans="1:14" x14ac:dyDescent="0.3">
      <c r="A8438" s="1">
        <v>45191</v>
      </c>
      <c r="B8438" t="s">
        <v>60</v>
      </c>
      <c r="C8438" t="s">
        <v>24</v>
      </c>
      <c r="D8438" s="8"/>
      <c r="E8438" s="8"/>
      <c r="F8438" t="s">
        <v>632</v>
      </c>
      <c r="M8438" t="s">
        <v>477</v>
      </c>
      <c r="N8438" t="str">
        <f>Tabela_tudo[[#This Row],[Médico]]&amp;" ("&amp;Tabela_tudo[[#This Row],[Obs]]&amp;")"</f>
        <v>BMT (JARGS - MANHÃ)</v>
      </c>
    </row>
    <row r="8439" spans="1:14" x14ac:dyDescent="0.3">
      <c r="A8439" s="1">
        <v>45110</v>
      </c>
      <c r="B8439" t="s">
        <v>38</v>
      </c>
      <c r="C8439" t="s">
        <v>24</v>
      </c>
      <c r="D8439" s="8">
        <v>0.54166666666666663</v>
      </c>
      <c r="E8439" s="8">
        <v>0.625</v>
      </c>
      <c r="F8439" t="s">
        <v>217</v>
      </c>
      <c r="M8439" t="s">
        <v>481</v>
      </c>
      <c r="N8439" t="str">
        <f>Tabela_tudo[[#This Row],[Médico]]&amp;" ("&amp;Tabela_tudo[[#This Row],[Obs]]&amp;")"</f>
        <v>ORO (SERV PSICOLOGIA UNISINOS )</v>
      </c>
    </row>
    <row r="8440" spans="1:14" x14ac:dyDescent="0.3">
      <c r="A8440" s="1">
        <v>45227</v>
      </c>
      <c r="B8440" t="s">
        <v>39</v>
      </c>
      <c r="C8440" t="s">
        <v>24</v>
      </c>
      <c r="D8440" s="8">
        <v>0.29166666666666669</v>
      </c>
      <c r="E8440" s="8">
        <v>0.98958333333333337</v>
      </c>
      <c r="F8440" t="s">
        <v>699</v>
      </c>
      <c r="M8440" t="s">
        <v>479</v>
      </c>
      <c r="N8440" t="str">
        <f>Tabela_tudo[[#This Row],[Médico]]&amp;" ("&amp;Tabela_tudo[[#This Row],[Obs]]&amp;")"</f>
        <v>KLA (EVENTO ULBRA )</v>
      </c>
    </row>
    <row r="8441" spans="1:14" x14ac:dyDescent="0.3">
      <c r="A8441" s="1">
        <v>45134</v>
      </c>
      <c r="B8441" t="s">
        <v>9</v>
      </c>
      <c r="C8441" t="s">
        <v>24</v>
      </c>
      <c r="D8441" s="8"/>
      <c r="E8441" s="8"/>
      <c r="F8441" t="s">
        <v>252</v>
      </c>
      <c r="M8441" t="s">
        <v>481</v>
      </c>
      <c r="N8441" t="str">
        <f>Tabela_tudo[[#This Row],[Médico]]&amp;" ("&amp;Tabela_tudo[[#This Row],[Obs]]&amp;")"</f>
        <v>KRE (FORA DA ESCALA)</v>
      </c>
    </row>
    <row r="8442" spans="1:14" x14ac:dyDescent="0.3">
      <c r="A8442" s="1">
        <v>45138</v>
      </c>
      <c r="B8442" t="s">
        <v>36</v>
      </c>
      <c r="C8442" t="s">
        <v>24</v>
      </c>
      <c r="D8442" s="8">
        <v>0.54166666666666663</v>
      </c>
      <c r="E8442" s="8">
        <v>0.625</v>
      </c>
      <c r="F8442" t="s">
        <v>269</v>
      </c>
      <c r="M8442" t="s">
        <v>481</v>
      </c>
      <c r="N8442" t="str">
        <f>Tabela_tudo[[#This Row],[Médico]]&amp;" ("&amp;Tabela_tudo[[#This Row],[Obs]]&amp;")"</f>
        <v>DRI (SERVI PSICOLOGIA UNISINOS )</v>
      </c>
    </row>
    <row r="8443" spans="1:14" x14ac:dyDescent="0.3">
      <c r="A8443" s="1">
        <v>45227</v>
      </c>
      <c r="B8443" t="s">
        <v>69</v>
      </c>
      <c r="C8443" t="s">
        <v>24</v>
      </c>
      <c r="D8443" s="8">
        <v>0.29166666666666669</v>
      </c>
      <c r="E8443" s="8">
        <v>0.98958333333333337</v>
      </c>
      <c r="F8443" t="s">
        <v>699</v>
      </c>
      <c r="M8443" t="s">
        <v>479</v>
      </c>
      <c r="N8443" t="str">
        <f>Tabela_tudo[[#This Row],[Médico]]&amp;" ("&amp;Tabela_tudo[[#This Row],[Obs]]&amp;")"</f>
        <v>PRE (EVENTO ULBRA )</v>
      </c>
    </row>
    <row r="8444" spans="1:14" x14ac:dyDescent="0.3">
      <c r="A8444" s="1">
        <v>45136</v>
      </c>
      <c r="B8444" t="s">
        <v>9</v>
      </c>
      <c r="C8444" t="s">
        <v>24</v>
      </c>
      <c r="D8444" s="8"/>
      <c r="E8444" s="8"/>
      <c r="F8444" t="s">
        <v>252</v>
      </c>
      <c r="M8444" t="s">
        <v>481</v>
      </c>
      <c r="N8444" t="str">
        <f>Tabela_tudo[[#This Row],[Médico]]&amp;" ("&amp;Tabela_tudo[[#This Row],[Obs]]&amp;")"</f>
        <v>KRE (FORA DA ESCALA)</v>
      </c>
    </row>
    <row r="8445" spans="1:14" x14ac:dyDescent="0.3">
      <c r="A8445" s="1">
        <v>45135</v>
      </c>
      <c r="B8445" t="s">
        <v>9</v>
      </c>
      <c r="C8445" t="s">
        <v>24</v>
      </c>
      <c r="D8445" s="8"/>
      <c r="E8445" s="8"/>
      <c r="F8445" t="s">
        <v>252</v>
      </c>
      <c r="M8445" t="s">
        <v>481</v>
      </c>
      <c r="N8445" t="str">
        <f>Tabela_tudo[[#This Row],[Médico]]&amp;" ("&amp;Tabela_tudo[[#This Row],[Obs]]&amp;")"</f>
        <v>KRE (FORA DA ESCALA)</v>
      </c>
    </row>
    <row r="8446" spans="1:14" x14ac:dyDescent="0.3">
      <c r="A8446" s="1">
        <v>45159</v>
      </c>
      <c r="B8446" t="s">
        <v>36</v>
      </c>
      <c r="C8446" t="s">
        <v>24</v>
      </c>
      <c r="D8446" s="8">
        <v>0.54166666666666663</v>
      </c>
      <c r="E8446" s="8">
        <v>0.625</v>
      </c>
      <c r="F8446" t="s">
        <v>337</v>
      </c>
      <c r="M8446" t="s">
        <v>481</v>
      </c>
      <c r="N8446" t="str">
        <f>Tabela_tudo[[#This Row],[Médico]]&amp;" ("&amp;Tabela_tudo[[#This Row],[Obs]]&amp;")"</f>
        <v>DRI (PSICOLOGIA UNISINOS)</v>
      </c>
    </row>
    <row r="8447" spans="1:14" x14ac:dyDescent="0.3">
      <c r="A8447" s="1">
        <v>45089</v>
      </c>
      <c r="B8447" t="s">
        <v>62</v>
      </c>
      <c r="C8447" t="s">
        <v>24</v>
      </c>
      <c r="D8447" s="8">
        <v>0.54166666666666663</v>
      </c>
      <c r="E8447" s="8">
        <v>0.625</v>
      </c>
      <c r="F8447" t="s">
        <v>120</v>
      </c>
      <c r="M8447" t="s">
        <v>477</v>
      </c>
      <c r="N8447" t="str">
        <f>Tabela_tudo[[#This Row],[Médico]]&amp;" ("&amp;Tabela_tudo[[#This Row],[Obs]]&amp;")"</f>
        <v>RKS (SERVIÇO PSICOLOGIA UNISINOS )</v>
      </c>
    </row>
    <row r="8448" spans="1:14" x14ac:dyDescent="0.3">
      <c r="A8448" s="1">
        <v>45082</v>
      </c>
      <c r="B8448" t="s">
        <v>98</v>
      </c>
      <c r="C8448" t="s">
        <v>24</v>
      </c>
      <c r="D8448" s="8">
        <v>0.54166666666666663</v>
      </c>
      <c r="E8448" s="8">
        <v>0.625</v>
      </c>
      <c r="F8448" t="s">
        <v>120</v>
      </c>
      <c r="M8448" t="s">
        <v>479</v>
      </c>
      <c r="N8448" t="str">
        <f>Tabela_tudo[[#This Row],[Médico]]&amp;" ("&amp;Tabela_tudo[[#This Row],[Obs]]&amp;")"</f>
        <v>NIC (SERVIÇO PSICOLOGIA UNISINOS )</v>
      </c>
    </row>
    <row r="8449" spans="1:14" x14ac:dyDescent="0.3">
      <c r="A8449" s="1">
        <v>45124</v>
      </c>
      <c r="B8449" t="s">
        <v>80</v>
      </c>
      <c r="C8449" t="s">
        <v>24</v>
      </c>
      <c r="D8449" s="8">
        <v>0.54166666666666663</v>
      </c>
      <c r="E8449" s="8">
        <v>0.625</v>
      </c>
      <c r="F8449" t="s">
        <v>244</v>
      </c>
      <c r="M8449" t="s">
        <v>477</v>
      </c>
      <c r="N8449" t="str">
        <f>Tabela_tudo[[#This Row],[Médico]]&amp;" ("&amp;Tabela_tudo[[#This Row],[Obs]]&amp;")"</f>
        <v>REC (SERV DE PSICOLOGIA UNISINOS)</v>
      </c>
    </row>
    <row r="8450" spans="1:14" x14ac:dyDescent="0.3">
      <c r="A8450" s="1">
        <v>45110</v>
      </c>
      <c r="B8450" t="s">
        <v>57</v>
      </c>
      <c r="C8450" t="s">
        <v>24</v>
      </c>
      <c r="D8450" s="8">
        <v>0.54166666666666663</v>
      </c>
      <c r="E8450" s="8">
        <v>0.625</v>
      </c>
      <c r="F8450" t="s">
        <v>217</v>
      </c>
      <c r="M8450" t="s">
        <v>477</v>
      </c>
      <c r="N8450" t="str">
        <f>Tabela_tudo[[#This Row],[Médico]]&amp;" ("&amp;Tabela_tudo[[#This Row],[Obs]]&amp;")"</f>
        <v>BED (SERV PSICOLOGIA UNISINOS )</v>
      </c>
    </row>
    <row r="8451" spans="1:14" x14ac:dyDescent="0.3">
      <c r="A8451" s="1">
        <v>45082</v>
      </c>
      <c r="B8451" t="s">
        <v>103</v>
      </c>
      <c r="C8451" t="s">
        <v>24</v>
      </c>
      <c r="D8451" s="8">
        <v>0.54166666666666663</v>
      </c>
      <c r="E8451" s="8">
        <v>0.625</v>
      </c>
      <c r="F8451" t="s">
        <v>120</v>
      </c>
      <c r="M8451" t="s">
        <v>481</v>
      </c>
      <c r="N8451" t="str">
        <f>Tabela_tudo[[#This Row],[Médico]]&amp;" ("&amp;Tabela_tudo[[#This Row],[Obs]]&amp;")"</f>
        <v>CAD (SERVIÇO PSICOLOGIA UNISINOS )</v>
      </c>
    </row>
    <row r="8452" spans="1:14" x14ac:dyDescent="0.3">
      <c r="A8452" s="1">
        <v>45089</v>
      </c>
      <c r="B8452" t="s">
        <v>112</v>
      </c>
      <c r="C8452" t="s">
        <v>24</v>
      </c>
      <c r="D8452" s="8">
        <v>0.54166666666666663</v>
      </c>
      <c r="E8452" s="8">
        <v>0.625</v>
      </c>
      <c r="F8452" t="s">
        <v>120</v>
      </c>
      <c r="M8452" t="s">
        <v>479</v>
      </c>
      <c r="N8452" t="str">
        <f>Tabela_tudo[[#This Row],[Médico]]&amp;" ("&amp;Tabela_tudo[[#This Row],[Obs]]&amp;")"</f>
        <v>FLE (SERVIÇO PSICOLOGIA UNISINOS )</v>
      </c>
    </row>
    <row r="8453" spans="1:14" x14ac:dyDescent="0.3">
      <c r="A8453" s="1">
        <v>45145</v>
      </c>
      <c r="B8453" t="s">
        <v>80</v>
      </c>
      <c r="C8453" t="s">
        <v>24</v>
      </c>
      <c r="D8453" s="8">
        <v>0.54166666666666663</v>
      </c>
      <c r="E8453" s="8">
        <v>0.625</v>
      </c>
      <c r="F8453" t="s">
        <v>294</v>
      </c>
      <c r="M8453" t="s">
        <v>477</v>
      </c>
      <c r="N8453" t="str">
        <f>Tabela_tudo[[#This Row],[Médico]]&amp;" ("&amp;Tabela_tudo[[#This Row],[Obs]]&amp;")"</f>
        <v>REC (SERV. PSICOLOGIA UNISINOS )</v>
      </c>
    </row>
    <row r="8454" spans="1:14" x14ac:dyDescent="0.3">
      <c r="A8454" s="1">
        <v>45145</v>
      </c>
      <c r="B8454" t="s">
        <v>9</v>
      </c>
      <c r="C8454" t="s">
        <v>24</v>
      </c>
      <c r="D8454" s="8">
        <v>0.54166666666666663</v>
      </c>
      <c r="E8454" s="8">
        <v>0.625</v>
      </c>
      <c r="F8454" t="s">
        <v>294</v>
      </c>
      <c r="M8454" t="s">
        <v>481</v>
      </c>
      <c r="N8454" t="str">
        <f>Tabela_tudo[[#This Row],[Médico]]&amp;" ("&amp;Tabela_tudo[[#This Row],[Obs]]&amp;")"</f>
        <v>KRE (SERV. PSICOLOGIA UNISINOS )</v>
      </c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D7F7-596B-4797-B43E-215537C21FDC}">
  <sheetPr codeName="Planilha5"/>
  <dimension ref="A2:T75"/>
  <sheetViews>
    <sheetView showGridLines="0" zoomScale="110" zoomScaleNormal="110" workbookViewId="0">
      <selection activeCell="D3" sqref="D3:E3"/>
    </sheetView>
  </sheetViews>
  <sheetFormatPr defaultColWidth="0" defaultRowHeight="10.199999999999999" x14ac:dyDescent="0.2"/>
  <cols>
    <col min="1" max="1" width="3.44140625" style="34" customWidth="1"/>
    <col min="2" max="2" width="2.44140625" style="34" customWidth="1"/>
    <col min="3" max="3" width="19" style="34" customWidth="1"/>
    <col min="4" max="8" width="7" style="34" customWidth="1"/>
    <col min="9" max="9" width="10" style="34" customWidth="1"/>
    <col min="10" max="10" width="2.44140625" style="34" customWidth="1"/>
    <col min="11" max="11" width="3.5546875" style="34" customWidth="1"/>
    <col min="12" max="16" width="3" style="34" customWidth="1"/>
    <col min="17" max="17" width="9.44140625" style="34" customWidth="1"/>
    <col min="18" max="18" width="9.44140625" style="36" hidden="1" customWidth="1"/>
    <col min="19" max="16384" width="9.44140625" style="34" hidden="1"/>
  </cols>
  <sheetData>
    <row r="2" spans="2:10" ht="12" x14ac:dyDescent="0.25">
      <c r="C2" s="35">
        <f>DATE(G3,F3,D3)</f>
        <v>45260</v>
      </c>
      <c r="D2" s="70" t="s">
        <v>566</v>
      </c>
      <c r="E2" s="70"/>
      <c r="F2" s="30" t="s">
        <v>567</v>
      </c>
      <c r="G2" s="70" t="s">
        <v>568</v>
      </c>
      <c r="H2" s="70"/>
    </row>
    <row r="3" spans="2:10" ht="18" customHeight="1" x14ac:dyDescent="0.2">
      <c r="C3" s="31" t="str" cm="1">
        <f t="array" ref="C3">INDEX(Opções!F2:F8,WEEKDAY(C2))</f>
        <v>Quinta-feira</v>
      </c>
      <c r="D3" s="71">
        <v>30</v>
      </c>
      <c r="E3" s="71"/>
      <c r="F3" s="68">
        <v>11</v>
      </c>
      <c r="G3" s="71">
        <v>2023</v>
      </c>
      <c r="H3" s="71"/>
      <c r="I3" s="35">
        <f>IF(J3=0,"Sem Dados",IF(J3=C2,1,0))</f>
        <v>1</v>
      </c>
      <c r="J3" s="37">
        <f>_xlfn.MAXIFS(tudo!A:A,tudo!A:A,C2)</f>
        <v>45260</v>
      </c>
    </row>
    <row r="5" spans="2:10" ht="5.25" customHeight="1" x14ac:dyDescent="0.2">
      <c r="B5" s="38"/>
      <c r="C5" s="39"/>
      <c r="D5" s="39"/>
      <c r="E5" s="39"/>
      <c r="F5" s="39"/>
      <c r="G5" s="39"/>
      <c r="H5" s="39"/>
      <c r="I5" s="39"/>
      <c r="J5" s="40"/>
    </row>
    <row r="6" spans="2:10" x14ac:dyDescent="0.2">
      <c r="B6" s="41"/>
      <c r="C6" s="42" t="s">
        <v>13</v>
      </c>
      <c r="D6" s="42" t="str" cm="1">
        <f t="array" ref="D6">IFERROR(_xlfn.TEXTJOIN(" - ",1,_xlfn._xlws.FILTER(INDEX(Tabela_tudo[],_xlfn.SEQUENCE(ROWS(Tabela_tudo[])),{2}),(Tabela_tudo[Data]=Visualização!$C$2)*(Tabela_tudo[Compromisso]=C6))),"")</f>
        <v>DIF</v>
      </c>
      <c r="E6" s="42"/>
      <c r="F6" s="42"/>
      <c r="G6" s="42"/>
      <c r="H6" s="42"/>
      <c r="I6" s="42"/>
      <c r="J6" s="43"/>
    </row>
    <row r="7" spans="2:10" x14ac:dyDescent="0.2">
      <c r="B7" s="41"/>
      <c r="C7" s="42" t="s">
        <v>15</v>
      </c>
      <c r="D7" s="42" t="str" cm="1">
        <f t="array" ref="D7">IFERROR(_xlfn.TEXTJOIN(" - ",1,_xlfn._xlws.FILTER(INDEX(Tabela_tudo[],_xlfn.SEQUENCE(ROWS(Tabela_tudo[])),{2}),(Tabela_tudo[Data]=Visualização!$C$2)*(Tabela_tudo[Compromisso]=C7))),"")</f>
        <v>ANO</v>
      </c>
      <c r="E7" s="42"/>
      <c r="F7" s="42"/>
      <c r="G7" s="42"/>
      <c r="H7" s="42"/>
      <c r="I7" s="42"/>
      <c r="J7" s="43"/>
    </row>
    <row r="8" spans="2:10" x14ac:dyDescent="0.2">
      <c r="B8" s="41"/>
      <c r="C8" s="42" t="s">
        <v>8</v>
      </c>
      <c r="D8" s="42" t="str" cm="1">
        <f t="array" ref="D8">IFERROR(_xlfn.TEXTJOIN(" - ",1,_xlfn._xlws.FILTER(INDEX(Tabela_tudo[],_xlfn.SEQUENCE(ROWS(Tabela_tudo[])),{2}),(Tabela_tudo[Data]=Visualização!$C$2)*(Tabela_tudo[Compromisso]=C8))),"")</f>
        <v>EBB</v>
      </c>
      <c r="E8" s="42"/>
      <c r="F8" s="42"/>
      <c r="G8" s="42"/>
      <c r="H8" s="42"/>
      <c r="I8" s="42"/>
      <c r="J8" s="43"/>
    </row>
    <row r="9" spans="2:10" x14ac:dyDescent="0.2">
      <c r="B9" s="41"/>
      <c r="C9" s="42" t="s">
        <v>78</v>
      </c>
      <c r="D9" s="42" t="str" cm="1">
        <f t="array" ref="D9">IFERROR(_xlfn.TEXTJOIN(" - ",1,_xlfn._xlws.FILTER(INDEX(Tabela_tudo[],_xlfn.SEQUENCE(ROWS(Tabela_tudo[])),{2}),(Tabela_tudo[Data]=Visualização!$C$2)*(Tabela_tudo[Compromisso]=C9))),"")</f>
        <v/>
      </c>
      <c r="E9" s="42"/>
      <c r="F9" s="42"/>
      <c r="G9" s="42"/>
      <c r="H9" s="42"/>
      <c r="I9" s="42"/>
      <c r="J9" s="43"/>
    </row>
    <row r="10" spans="2:10" x14ac:dyDescent="0.2">
      <c r="B10" s="41"/>
      <c r="C10" s="42"/>
      <c r="D10" s="44" t="s">
        <v>569</v>
      </c>
      <c r="E10" s="42"/>
      <c r="F10" s="42"/>
      <c r="G10" s="44" t="s">
        <v>570</v>
      </c>
      <c r="H10" s="42"/>
      <c r="I10" s="42"/>
      <c r="J10" s="43"/>
    </row>
    <row r="11" spans="2:10" x14ac:dyDescent="0.2">
      <c r="B11" s="41"/>
      <c r="C11" s="42" t="s">
        <v>464</v>
      </c>
      <c r="D11" s="42" t="str" cm="1">
        <f t="array" ref="D11">IFERROR(_xlfn.TEXTJOIN(" - ",1,_xlfn._xlws.FILTER(INDEX(Tabela_tudo[],_xlfn.SEQUENCE(ROWS(Tabela_tudo[])),{2}),(Tabela_tudo[Data]=Visualização!$C$2)*(Tabela_tudo[Compromisso]=C11)*(Tabela_tudo[Nível]="Sócio"))),"")</f>
        <v>FQ - LIP - BRU - GRA</v>
      </c>
      <c r="E11" s="42"/>
      <c r="F11" s="42"/>
      <c r="G11" s="42" t="str" cm="1">
        <f t="array" ref="G11">IFERROR(_xlfn.TEXTJOIN(" - ",1,_xlfn._xlws.FILTER(INDEX(Tabela_tudo[],_xlfn.SEQUENCE(ROWS(Tabela_tudo[])),{2}),(Tabela_tudo[Data]=Visualização!$C$2)*(Tabela_tudo[Compromisso]=C11)*(Tabela_tudo[Nível]&lt;&gt;"Sócio"))),"")</f>
        <v/>
      </c>
      <c r="H11" s="42"/>
      <c r="I11" s="42"/>
      <c r="J11" s="43"/>
    </row>
    <row r="12" spans="2:10" x14ac:dyDescent="0.2">
      <c r="B12" s="41"/>
      <c r="C12" s="42" t="s">
        <v>30</v>
      </c>
      <c r="D12" s="42" t="str" cm="1">
        <f t="array" ref="D12">IFERROR(_xlfn.TEXTJOIN(" - ",1,_xlfn._xlws.FILTER(INDEX(Tabela_tudo[],_xlfn.SEQUENCE(ROWS(Tabela_tudo[])),{2}),(Tabela_tudo[Data]=Visualização!$C$2)*(Tabela_tudo[Compromisso]=C12)*(Tabela_tudo[Fixo]&lt;&gt;"Fixo"))),"")</f>
        <v/>
      </c>
      <c r="E12" s="42"/>
      <c r="F12" s="42"/>
      <c r="G12" s="42"/>
      <c r="H12" s="42"/>
      <c r="I12" s="42"/>
      <c r="J12" s="43"/>
    </row>
    <row r="13" spans="2:10" x14ac:dyDescent="0.2">
      <c r="B13" s="41"/>
      <c r="C13" s="42" t="s">
        <v>466</v>
      </c>
      <c r="D13" s="42" t="str" cm="1">
        <f t="array" ref="D13">IFERROR(_xlfn.TEXTJOIN(" - ",1,_xlfn._xlws.FILTER(INDEX(Tabela_tudo[],_xlfn.SEQUENCE(ROWS(Tabela_tudo[])),{2}),(Tabela_tudo[Data]=Visualização!$C$2)*(Tabela_tudo[Compromisso]=C13)*(Tabela_tudo[Fixo]&lt;&gt;"Fixo"))),"")</f>
        <v/>
      </c>
      <c r="E13" s="42"/>
      <c r="F13" s="42"/>
      <c r="G13" s="42"/>
      <c r="H13" s="42"/>
      <c r="I13" s="42"/>
      <c r="J13" s="43"/>
    </row>
    <row r="14" spans="2:10" x14ac:dyDescent="0.2">
      <c r="B14" s="41"/>
      <c r="C14" s="42" t="s">
        <v>465</v>
      </c>
      <c r="D14" s="42" t="str" cm="1">
        <f t="array" ref="D14">IFERROR(_xlfn.TEXTJOIN(" - ",1,_xlfn._xlws.FILTER(INDEX(Tabela_tudo[],_xlfn.SEQUENCE(ROWS(Tabela_tudo[])),{14}),(Tabela_tudo[Data]=Visualização!$C$2)*(Tabela_tudo[Compromisso]=C14)*(Tabela_tudo[Fixo]&lt;&gt;"Fixo"))),"")</f>
        <v/>
      </c>
      <c r="E14" s="42"/>
      <c r="F14" s="42"/>
      <c r="G14" s="42"/>
      <c r="H14" s="42"/>
      <c r="I14" s="42"/>
      <c r="J14" s="43"/>
    </row>
    <row r="15" spans="2:10" x14ac:dyDescent="0.2">
      <c r="B15" s="41"/>
      <c r="C15" s="42" t="s">
        <v>571</v>
      </c>
      <c r="D15" s="42" t="str" cm="1">
        <f t="array" ref="D15">IFERROR(_xlfn.TEXTJOIN(" - ",1,_xlfn._xlws.FILTER(INDEX(Tabela_tudo[],_xlfn.SEQUENCE(ROWS(Tabela_tudo[])),{2}),(Tabela_tudo[Data]=Visualização!$C$2)*(Tabela_tudo[Compromisso]="FORA")*(Tabela_tudo[Fixo]="Fixo"))),"")</f>
        <v>COR - MAF - IFA</v>
      </c>
      <c r="E15" s="42"/>
      <c r="F15" s="42"/>
      <c r="G15" s="42"/>
      <c r="H15" s="42"/>
      <c r="I15" s="42"/>
      <c r="J15" s="43"/>
    </row>
    <row r="16" spans="2:10" x14ac:dyDescent="0.2">
      <c r="B16" s="41"/>
      <c r="C16" s="42"/>
      <c r="D16" s="42"/>
      <c r="E16" s="42"/>
      <c r="F16" s="42"/>
      <c r="G16" s="42"/>
      <c r="H16" s="42"/>
      <c r="I16" s="42"/>
      <c r="J16" s="43"/>
    </row>
    <row r="17" spans="2:19" x14ac:dyDescent="0.2">
      <c r="B17" s="41"/>
      <c r="C17" s="42" t="s">
        <v>22</v>
      </c>
      <c r="D17" s="42" t="str" cm="1">
        <f t="array" ref="D17">IFERROR(_xlfn.TEXTJOIN(" - ",1,_xlfn._xlws.FILTER(INDEX(Tabela_tudo[],_xlfn.SEQUENCE(ROWS(Tabela_tudo[])),{2}),(Tabela_tudo[Data]=Visualização!$C$2)*(Tabela_tudo[Compromisso]=C17))),"")</f>
        <v/>
      </c>
      <c r="E17" s="42"/>
      <c r="F17" s="42"/>
      <c r="G17" s="42"/>
      <c r="H17" s="42"/>
      <c r="I17" s="42"/>
      <c r="J17" s="43"/>
    </row>
    <row r="18" spans="2:19" x14ac:dyDescent="0.2">
      <c r="B18" s="41"/>
      <c r="C18" s="42"/>
      <c r="D18" s="42"/>
      <c r="E18" s="42"/>
      <c r="F18" s="42"/>
      <c r="G18" s="42"/>
      <c r="H18" s="42"/>
      <c r="I18" s="42"/>
      <c r="J18" s="43"/>
    </row>
    <row r="19" spans="2:19" x14ac:dyDescent="0.2">
      <c r="B19" s="41"/>
      <c r="C19" s="42" t="s">
        <v>10</v>
      </c>
      <c r="D19" s="42" t="str" cm="1">
        <f t="array" ref="D19">IFERROR(_xlfn.TEXTJOIN(" - ",1,_xlfn._xlws.FILTER(INDEX(Tabela_tudo[],_xlfn.SEQUENCE(ROWS(Tabela_tudo[])),{2}),(Tabela_tudo[Data]=Visualização!$C$2)*(Tabela_tudo[Compromisso]=C19))),"")</f>
        <v/>
      </c>
      <c r="E19" s="42"/>
      <c r="F19" s="42"/>
      <c r="G19" s="42"/>
      <c r="H19" s="42"/>
      <c r="I19" s="42"/>
      <c r="J19" s="43"/>
    </row>
    <row r="20" spans="2:19" x14ac:dyDescent="0.2">
      <c r="B20" s="41"/>
      <c r="C20" s="42" t="s">
        <v>41</v>
      </c>
      <c r="D20" s="42" t="str" cm="1">
        <f t="array" ref="D20">IFERROR(_xlfn.TEXTJOIN(" - ",1,_xlfn._xlws.FILTER(INDEX(Tabela_tudo[],_xlfn.SEQUENCE(ROWS(Tabela_tudo[])),{2}),(Tabela_tudo[Data]=Visualização!$C$2)*(Tabela_tudo[Compromisso]=C20))),"")</f>
        <v/>
      </c>
      <c r="E20" s="42"/>
      <c r="F20" s="42"/>
      <c r="G20" s="42"/>
      <c r="H20" s="42"/>
      <c r="I20" s="42"/>
      <c r="J20" s="43"/>
    </row>
    <row r="21" spans="2:19" x14ac:dyDescent="0.2">
      <c r="B21" s="41"/>
      <c r="C21" s="42"/>
      <c r="D21" s="42"/>
      <c r="E21" s="42"/>
      <c r="F21" s="42"/>
      <c r="G21" s="42"/>
      <c r="H21" s="42"/>
      <c r="I21" s="42"/>
      <c r="J21" s="43"/>
    </row>
    <row r="22" spans="2:19" x14ac:dyDescent="0.2">
      <c r="B22" s="41"/>
      <c r="C22" s="42" t="s">
        <v>572</v>
      </c>
      <c r="D22" s="42"/>
      <c r="E22" s="42"/>
      <c r="F22" s="42"/>
      <c r="G22" s="42"/>
      <c r="H22" s="42"/>
      <c r="I22" s="42"/>
      <c r="J22" s="43"/>
    </row>
    <row r="23" spans="2:19" x14ac:dyDescent="0.2">
      <c r="B23" s="41"/>
      <c r="C23" s="42" t="s">
        <v>573</v>
      </c>
      <c r="D23" s="45" t="str" cm="1">
        <f t="array" ref="D23">IFERROR(TRANSPOSE(_xlfn.UNIQUE(_xlfn._xlws.FILTER(INDEX(Tabela_tudo[],_xlfn.SEQUENCE(ROWS(Tabela_tudo[])),{2}),(Tabela_tudo[Data]=Visualização!$C$2)*(Tabela_tudo[PrimeiroPeriodo]="X")))),"")</f>
        <v/>
      </c>
      <c r="E23" s="45"/>
      <c r="F23" s="46"/>
      <c r="G23" s="46"/>
      <c r="H23" s="46"/>
      <c r="I23" s="46"/>
      <c r="J23" s="47"/>
      <c r="S23" s="34" t="str" cm="1">
        <f t="array" ref="S23">IFERROR(TRANSPOSE(_xlfn._xlws.FILTER(INDEX(Tabela_tudo[],_xlfn.SEQUENCE(ROWS(Tabela_tudo[])),{3}),(Tabela_tudo[Data]=Visualização!$C$2)*(Tabela_tudo[PrimeiroPeriodo]="X"))),"")</f>
        <v/>
      </c>
    </row>
    <row r="24" spans="2:19" x14ac:dyDescent="0.2">
      <c r="B24" s="41"/>
      <c r="C24" s="42" t="s">
        <v>574</v>
      </c>
      <c r="D24" s="45" t="str" cm="1">
        <f t="array" ref="D24">IFERROR(TRANSPOSE(_xlfn.UNIQUE(_xlfn._xlws.FILTER(INDEX(Tabela_tudo[],_xlfn.SEQUENCE(ROWS(Tabela_tudo[])),{2}),(Tabela_tudo[Data]=Visualização!$C$2)*(Tabela_tudo[SegundoPeriodo]="X")))),"")</f>
        <v/>
      </c>
      <c r="E24" s="46"/>
      <c r="F24" s="46"/>
      <c r="G24" s="46"/>
      <c r="H24" s="46"/>
      <c r="I24" s="46"/>
      <c r="J24" s="47"/>
      <c r="S24" s="34" t="str" cm="1">
        <f t="array" ref="S24">IFERROR(TRANSPOSE(_xlfn._xlws.FILTER(INDEX(Tabela_tudo[],_xlfn.SEQUENCE(ROWS(Tabela_tudo[])),{3}),(Tabela_tudo[Data]=Visualização!$C$2)*(Tabela_tudo[SegundoPeriodo]="X"))),"")</f>
        <v/>
      </c>
    </row>
    <row r="25" spans="2:19" x14ac:dyDescent="0.2">
      <c r="B25" s="41"/>
      <c r="C25" s="42" t="s">
        <v>575</v>
      </c>
      <c r="D25" s="45" t="str" cm="1">
        <f t="array" ref="D25">IFERROR(TRANSPOSE(_xlfn.UNIQUE(_xlfn._xlws.FILTER(INDEX(Tabela_tudo[],_xlfn.SEQUENCE(ROWS(Tabela_tudo[])),{2}),(Tabela_tudo[Data]=Visualização!$C$2)*(Tabela_tudo[TerceiroPeriodo]="X")))),"")</f>
        <v/>
      </c>
      <c r="E25" s="46"/>
      <c r="F25" s="46"/>
      <c r="G25" s="46"/>
      <c r="H25" s="46"/>
      <c r="I25" s="46"/>
      <c r="J25" s="47"/>
      <c r="S25" s="34" t="str" cm="1">
        <f t="array" ref="S25">IFERROR(TRANSPOSE(_xlfn._xlws.FILTER(INDEX(Tabela_tudo[],_xlfn.SEQUENCE(ROWS(Tabela_tudo[])),{3}),(Tabela_tudo[Data]=Visualização!$C$2)*(Tabela_tudo[TerceiroPeriodo]="X"))),"")</f>
        <v/>
      </c>
    </row>
    <row r="26" spans="2:19" x14ac:dyDescent="0.2">
      <c r="B26" s="41"/>
      <c r="C26" s="42" t="s">
        <v>576</v>
      </c>
      <c r="D26" s="45" t="str" cm="1">
        <f t="array" ref="D26">IFERROR(TRANSPOSE(_xlfn.UNIQUE(_xlfn._xlws.FILTER(INDEX(Tabela_tudo[],_xlfn.SEQUENCE(ROWS(Tabela_tudo[])),{2}),(Tabela_tudo[Data]=Visualização!$C$2)*(Tabela_tudo[QuartoPeriodo]="X")))),"")</f>
        <v/>
      </c>
      <c r="E26" s="45"/>
      <c r="F26" s="46"/>
      <c r="G26" s="46"/>
      <c r="H26" s="46"/>
      <c r="I26" s="46"/>
      <c r="J26" s="47"/>
      <c r="S26" s="34" t="str" cm="1">
        <f t="array" ref="S26">IFERROR(TRANSPOSE(_xlfn._xlws.FILTER(INDEX(Tabela_tudo[],_xlfn.SEQUENCE(ROWS(Tabela_tudo[])),{3}),(Tabela_tudo[Data]=Visualização!$C$2)*(Tabela_tudo[QuartoPeriodo]="X"))),"")</f>
        <v/>
      </c>
    </row>
    <row r="27" spans="2:19" x14ac:dyDescent="0.2">
      <c r="B27" s="41"/>
      <c r="C27" s="42" t="s">
        <v>577</v>
      </c>
      <c r="D27" s="45" t="str" cm="1">
        <f t="array" ref="D27">IFERROR(TRANSPOSE(_xlfn.UNIQUE(_xlfn._xlws.FILTER(INDEX(Tabela_tudo[],_xlfn.SEQUENCE(ROWS(Tabela_tudo[])),{2}),(Tabela_tudo[Data]=Visualização!$C$2)*(Tabela_tudo[QuintoPeriodo]="X")))),"")</f>
        <v/>
      </c>
      <c r="E27" s="45"/>
      <c r="F27" s="45"/>
      <c r="G27" s="45"/>
      <c r="H27" s="45"/>
      <c r="I27" s="46"/>
      <c r="J27" s="47"/>
      <c r="S27" s="34" t="str" cm="1">
        <f t="array" ref="S27">IFERROR(TRANSPOSE(_xlfn._xlws.FILTER(INDEX(Tabela_tudo[],_xlfn.SEQUENCE(ROWS(Tabela_tudo[])),{3}),(Tabela_tudo[Data]=Visualização!$C$2)*(Tabela_tudo[QuintoPeriodo]="X"))),"")</f>
        <v/>
      </c>
    </row>
    <row r="28" spans="2:19" x14ac:dyDescent="0.2">
      <c r="B28" s="41"/>
      <c r="C28" s="42"/>
      <c r="D28" s="42"/>
      <c r="E28" s="42"/>
      <c r="F28" s="42"/>
      <c r="G28" s="42"/>
      <c r="H28" s="42"/>
      <c r="I28" s="42"/>
      <c r="J28" s="43"/>
    </row>
    <row r="29" spans="2:19" x14ac:dyDescent="0.2">
      <c r="B29" s="41"/>
      <c r="C29" s="42" t="s">
        <v>578</v>
      </c>
      <c r="D29" s="42"/>
      <c r="E29" s="42"/>
      <c r="F29" s="42"/>
      <c r="G29" s="42"/>
      <c r="H29" s="42"/>
      <c r="I29" s="42"/>
      <c r="J29" s="43"/>
    </row>
    <row r="30" spans="2:19" x14ac:dyDescent="0.2">
      <c r="B30" s="41"/>
      <c r="C30" s="42" t="s">
        <v>579</v>
      </c>
      <c r="D30" s="42" t="str" cm="1">
        <f t="array" ref="D30">IFERROR(_xlfn.TEXTJOIN(" - ",1,_xlfn._xlws.FILTER(INDEX(Tabela_tudo[],_xlfn.SEQUENCE(ROWS(Tabela_tudo[])),{2}),(Tabela_tudo[Data]=Visualização!$C$2)*(Tabela_tudo[Compromisso]="PRÉ-OP "&amp;C30)*(Tabela_tudo[Fixo]&lt;&gt;"Fixo"))),"")</f>
        <v/>
      </c>
      <c r="E30" s="42"/>
      <c r="F30" s="42"/>
      <c r="G30" s="42"/>
      <c r="H30" s="42"/>
      <c r="I30" s="42"/>
      <c r="J30" s="43"/>
    </row>
    <row r="31" spans="2:19" x14ac:dyDescent="0.2">
      <c r="B31" s="41"/>
      <c r="C31" s="42" t="s">
        <v>580</v>
      </c>
      <c r="D31" s="42" t="str" cm="1">
        <f t="array" ref="D31">IFERROR(_xlfn.TEXTJOIN(" - ",1,_xlfn._xlws.FILTER(INDEX(Tabela_tudo[],_xlfn.SEQUENCE(ROWS(Tabela_tudo[])),{2}),(Tabela_tudo[Data]=Visualização!$C$2)*(Tabela_tudo[Compromisso]="PRÉ-OP "&amp;C31)*(Tabela_tudo[Fixo]&lt;&gt;"Fixo"))),"")</f>
        <v/>
      </c>
      <c r="E31" s="42"/>
      <c r="F31" s="42"/>
      <c r="G31" s="42"/>
      <c r="H31" s="42"/>
      <c r="I31" s="42"/>
      <c r="J31" s="43"/>
    </row>
    <row r="32" spans="2:19" x14ac:dyDescent="0.2">
      <c r="B32" s="41"/>
      <c r="C32" s="42" t="s">
        <v>581</v>
      </c>
      <c r="D32" s="42" t="str" cm="1">
        <f t="array" ref="D32">IFERROR(_xlfn.TEXTJOIN(" - ",1,_xlfn._xlws.FILTER(INDEX(Tabela_tudo[],_xlfn.SEQUENCE(ROWS(Tabela_tudo[])),{2}),(Tabela_tudo[Data]=Visualização!$C$2)*(Tabela_tudo[Compromisso]="PRÉ-OP "&amp;C32)*(Tabela_tudo[Fixo]&lt;&gt;"Fixo"))),"")</f>
        <v/>
      </c>
      <c r="E32" s="42"/>
      <c r="F32" s="42"/>
      <c r="G32" s="42"/>
      <c r="H32" s="42"/>
      <c r="I32" s="42"/>
      <c r="J32" s="43"/>
    </row>
    <row r="33" spans="2:20" x14ac:dyDescent="0.2">
      <c r="B33" s="41"/>
      <c r="C33" s="42" t="s">
        <v>582</v>
      </c>
      <c r="D33" s="42" t="str" cm="1">
        <f t="array" ref="D33">IFERROR(_xlfn.TEXTJOIN(" - ",1,_xlfn._xlws.FILTER(INDEX(Tabela_tudo[],_xlfn.SEQUENCE(ROWS(Tabela_tudo[])),{2}),(Tabela_tudo[Data]=Visualização!$C$2)*(Tabela_tudo[Compromisso]="PRÉ-OP "&amp;C33)*(Tabela_tudo[Fixo]&lt;&gt;"Fixo"))),"")</f>
        <v/>
      </c>
      <c r="E33" s="42"/>
      <c r="F33" s="42"/>
      <c r="G33" s="42"/>
      <c r="H33" s="42"/>
      <c r="I33" s="42"/>
      <c r="J33" s="43"/>
    </row>
    <row r="34" spans="2:20" x14ac:dyDescent="0.2">
      <c r="B34" s="41"/>
      <c r="C34" s="42" t="s">
        <v>583</v>
      </c>
      <c r="D34" s="42" t="str" cm="1">
        <f t="array" ref="D34">IFERROR(_xlfn.TEXTJOIN(" - ",1,_xlfn._xlws.FILTER(INDEX(Tabela_tudo[],_xlfn.SEQUENCE(ROWS(Tabela_tudo[])),{2}),(Tabela_tudo[Data]=Visualização!$C$2)*(Tabela_tudo[Compromisso]="PRÉ-OP "&amp;C34)*(Tabela_tudo[Fixo]&lt;&gt;"Fixo"))),"")</f>
        <v/>
      </c>
      <c r="E34" s="42"/>
      <c r="F34" s="42"/>
      <c r="G34" s="42"/>
      <c r="H34" s="42"/>
      <c r="I34" s="42"/>
      <c r="J34" s="43"/>
    </row>
    <row r="35" spans="2:20" x14ac:dyDescent="0.2">
      <c r="B35" s="41"/>
      <c r="C35" s="42" t="s">
        <v>584</v>
      </c>
      <c r="D35" s="42" t="str" cm="1">
        <f t="array" ref="D35">IFERROR(_xlfn.TEXTJOIN(" - ",1,_xlfn._xlws.FILTER(INDEX(Tabela_tudo[],_xlfn.SEQUENCE(ROWS(Tabela_tudo[])),{2}),(Tabela_tudo[Data]=Visualização!$C$2)*(Tabela_tudo[Compromisso]="PRÉ-OP "&amp;C35)*(Tabela_tudo[Fixo]&lt;&gt;"Fixo"))),"")</f>
        <v/>
      </c>
      <c r="E35" s="42"/>
      <c r="F35" s="42"/>
      <c r="G35" s="42"/>
      <c r="H35" s="42"/>
      <c r="I35" s="42"/>
      <c r="J35" s="43"/>
    </row>
    <row r="36" spans="2:20" x14ac:dyDescent="0.2">
      <c r="B36" s="41"/>
      <c r="C36" s="42"/>
      <c r="D36" s="42"/>
      <c r="E36" s="42"/>
      <c r="F36" s="42"/>
      <c r="G36" s="42"/>
      <c r="H36" s="42"/>
      <c r="I36" s="42"/>
      <c r="J36" s="43"/>
    </row>
    <row r="37" spans="2:20" x14ac:dyDescent="0.2">
      <c r="B37" s="41"/>
      <c r="C37" s="42" t="s">
        <v>585</v>
      </c>
      <c r="D37" s="42"/>
      <c r="E37" s="42"/>
      <c r="F37" s="42"/>
      <c r="G37" s="42"/>
      <c r="H37" s="42"/>
      <c r="I37" s="42"/>
      <c r="J37" s="43"/>
    </row>
    <row r="38" spans="2:20" x14ac:dyDescent="0.2">
      <c r="B38" s="41"/>
      <c r="C38" s="42"/>
      <c r="D38" s="42"/>
      <c r="E38" s="42"/>
      <c r="F38" s="42"/>
      <c r="G38" s="42"/>
      <c r="H38" s="42"/>
      <c r="I38" s="42"/>
      <c r="J38" s="43"/>
    </row>
    <row r="39" spans="2:20" x14ac:dyDescent="0.2">
      <c r="B39" s="41"/>
      <c r="C39" s="48" t="s">
        <v>2</v>
      </c>
      <c r="D39" s="48" t="s">
        <v>1</v>
      </c>
      <c r="E39" s="48" t="s">
        <v>3</v>
      </c>
      <c r="F39" s="49" t="s">
        <v>4</v>
      </c>
      <c r="G39" s="49" t="s">
        <v>586</v>
      </c>
      <c r="H39" s="49"/>
      <c r="I39" s="50"/>
      <c r="J39" s="43"/>
    </row>
    <row r="40" spans="2:20" x14ac:dyDescent="0.2">
      <c r="B40" s="41"/>
      <c r="C40" s="51" t="str">
        <f>IF(T40="","",IF(S40=0,T40,"("&amp;S40&amp;") "&amp;T40))</f>
        <v>(Fixo) OUTRO COMPROMISSO</v>
      </c>
      <c r="D40" s="42" t="str" cm="1">
        <f t="array" ref="D40:D41">IFERROR(_xlfn._xlws.FILTER(INDEX(Tabela_tudo[],_xlfn.SEQUENCE(ROWS(Tabela_tudo[])),{2}),(Tabela_tudo[Data]=Visualização!$C$2)*(COUNTIF(Opções!I2:I19,Tabela_tudo[Compromisso])=0)),"")</f>
        <v>VIN</v>
      </c>
      <c r="E40" s="52" cm="1">
        <f t="array" ref="E40:E41">IFERROR(_xlfn._xlws.FILTER(INDEX(Tabela_tudo[],_xlfn.SEQUENCE(ROWS(Tabela_tudo[])),{4}),(Tabela_tudo[Data]=Visualização!$C$2)*(COUNTIF(Opções!I2:I19,Tabela_tudo[Compromisso])=0)),"")</f>
        <v>0.29166666666666669</v>
      </c>
      <c r="F40" s="52" cm="1">
        <f t="array" ref="F40:F41">IFERROR(_xlfn._xlws.FILTER(INDEX(Tabela_tudo[],_xlfn.SEQUENCE(ROWS(Tabela_tudo[])),{5}),(Tabela_tudo[Data]=Visualização!$C$2)*(COUNTIF(Opções!I2:I19,Tabela_tudo[Compromisso])=0)),"")</f>
        <v>0.91666666666666663</v>
      </c>
      <c r="G40" s="52" t="str" cm="1">
        <f t="array" ref="G40:G41">IFERROR(_xlfn._xlws.FILTER(INDEX(Tabela_tudo[],_xlfn.SEQUENCE(ROWS(Tabela_tudo[])),{6}),(Tabela_tudo[Data]=Visualização!$C$2)*(COUNTIF(Opções!I2:I19,Tabela_tudo[Compromisso])=0)),"")</f>
        <v>HED ALUNOS O DIA INTEIRO</v>
      </c>
      <c r="H40" s="52"/>
      <c r="I40" s="42"/>
      <c r="J40" s="43"/>
      <c r="S40" s="42" t="str" cm="1">
        <f t="array" ref="S40:S41">IFERROR(_xlfn._xlws.FILTER(INDEX(Tabela_tudo[],_xlfn.SEQUENCE(ROWS(Tabela_tudo[])),{12}),(Tabela_tudo[Data]=Visualização!$C$2)*(COUNTIF(Opções!I2:I19,Tabela_tudo[Compromisso])=0)),"")</f>
        <v>Fixo</v>
      </c>
      <c r="T40" s="51" t="str" cm="1">
        <f t="array" ref="T40:T41">IFERROR(_xlfn._xlws.FILTER(INDEX(Tabela_tudo[],_xlfn.SEQUENCE(ROWS(Tabela_tudo[])),{3}),(Tabela_tudo[Data]=Visualização!$C$2)*(COUNTIF(Opções!I2:I19,Tabela_tudo[Compromisso])=0)),"")</f>
        <v>OUTRO COMPROMISSO</v>
      </c>
    </row>
    <row r="41" spans="2:20" x14ac:dyDescent="0.2">
      <c r="B41" s="41"/>
      <c r="C41" s="51" t="str">
        <f t="shared" ref="C41:C66" si="0">IF(T41="","",IF(S41=0,T41,"("&amp;S41&amp;") "&amp;T41))</f>
        <v>(Fixo) FORA PERÍODO</v>
      </c>
      <c r="D41" s="42" t="str">
        <v>ISE</v>
      </c>
      <c r="E41" s="52">
        <v>0.29166666666666669</v>
      </c>
      <c r="F41" s="52">
        <v>0.5625</v>
      </c>
      <c r="G41" s="52">
        <v>0</v>
      </c>
      <c r="H41" s="52"/>
      <c r="I41" s="42"/>
      <c r="J41" s="43"/>
      <c r="S41" s="42" t="str">
        <v>Fixo</v>
      </c>
      <c r="T41" s="34" t="str">
        <v>FORA PERÍODO</v>
      </c>
    </row>
    <row r="42" spans="2:20" x14ac:dyDescent="0.2">
      <c r="B42" s="41"/>
      <c r="C42" s="51" t="str">
        <f t="shared" si="0"/>
        <v/>
      </c>
      <c r="D42" s="42"/>
      <c r="E42" s="52"/>
      <c r="F42" s="52"/>
      <c r="G42" s="52"/>
      <c r="H42" s="52"/>
      <c r="I42" s="42"/>
      <c r="J42" s="43"/>
      <c r="S42" s="42"/>
    </row>
    <row r="43" spans="2:20" x14ac:dyDescent="0.2">
      <c r="B43" s="41"/>
      <c r="C43" s="51" t="str">
        <f t="shared" si="0"/>
        <v/>
      </c>
      <c r="D43" s="42"/>
      <c r="E43" s="52"/>
      <c r="F43" s="52"/>
      <c r="G43" s="52"/>
      <c r="H43" s="52"/>
      <c r="I43" s="42"/>
      <c r="J43" s="43"/>
      <c r="S43" s="42"/>
    </row>
    <row r="44" spans="2:20" x14ac:dyDescent="0.2">
      <c r="B44" s="41"/>
      <c r="C44" s="51" t="str">
        <f t="shared" si="0"/>
        <v/>
      </c>
      <c r="D44" s="42"/>
      <c r="E44" s="52"/>
      <c r="F44" s="52"/>
      <c r="G44" s="52"/>
      <c r="H44" s="52"/>
      <c r="I44" s="42"/>
      <c r="J44" s="43"/>
      <c r="S44" s="42"/>
    </row>
    <row r="45" spans="2:20" x14ac:dyDescent="0.2">
      <c r="B45" s="41"/>
      <c r="C45" s="51" t="str">
        <f t="shared" si="0"/>
        <v/>
      </c>
      <c r="D45" s="42"/>
      <c r="E45" s="52"/>
      <c r="F45" s="52"/>
      <c r="G45" s="52"/>
      <c r="H45" s="52"/>
      <c r="I45" s="42"/>
      <c r="J45" s="43"/>
      <c r="S45" s="42"/>
    </row>
    <row r="46" spans="2:20" x14ac:dyDescent="0.2">
      <c r="B46" s="41"/>
      <c r="C46" s="51" t="str">
        <f t="shared" si="0"/>
        <v/>
      </c>
      <c r="D46" s="42"/>
      <c r="E46" s="52"/>
      <c r="F46" s="52"/>
      <c r="G46" s="52"/>
      <c r="H46" s="52"/>
      <c r="I46" s="42"/>
      <c r="J46" s="43"/>
      <c r="S46" s="42"/>
    </row>
    <row r="47" spans="2:20" x14ac:dyDescent="0.2">
      <c r="B47" s="41"/>
      <c r="C47" s="51" t="str">
        <f t="shared" si="0"/>
        <v/>
      </c>
      <c r="D47" s="42"/>
      <c r="E47" s="52"/>
      <c r="F47" s="52"/>
      <c r="G47" s="52"/>
      <c r="H47" s="52"/>
      <c r="I47" s="42"/>
      <c r="J47" s="43"/>
      <c r="S47" s="42"/>
    </row>
    <row r="48" spans="2:20" x14ac:dyDescent="0.2">
      <c r="B48" s="41"/>
      <c r="C48" s="51" t="str">
        <f t="shared" si="0"/>
        <v/>
      </c>
      <c r="D48" s="42"/>
      <c r="E48" s="52"/>
      <c r="F48" s="52"/>
      <c r="G48" s="52"/>
      <c r="H48" s="52"/>
      <c r="I48" s="42"/>
      <c r="J48" s="43"/>
      <c r="S48" s="42"/>
    </row>
    <row r="49" spans="2:19" x14ac:dyDescent="0.2">
      <c r="B49" s="41"/>
      <c r="C49" s="51" t="str">
        <f t="shared" si="0"/>
        <v/>
      </c>
      <c r="D49" s="42"/>
      <c r="E49" s="52"/>
      <c r="F49" s="52"/>
      <c r="G49" s="52"/>
      <c r="H49" s="52"/>
      <c r="I49" s="42"/>
      <c r="J49" s="43"/>
      <c r="S49" s="42"/>
    </row>
    <row r="50" spans="2:19" x14ac:dyDescent="0.2">
      <c r="B50" s="41"/>
      <c r="C50" s="51" t="str">
        <f t="shared" si="0"/>
        <v/>
      </c>
      <c r="D50" s="42"/>
      <c r="E50" s="52"/>
      <c r="F50" s="52"/>
      <c r="G50" s="52"/>
      <c r="H50" s="52"/>
      <c r="I50" s="42"/>
      <c r="J50" s="43"/>
      <c r="S50" s="42"/>
    </row>
    <row r="51" spans="2:19" x14ac:dyDescent="0.2">
      <c r="B51" s="41"/>
      <c r="C51" s="51" t="str">
        <f t="shared" si="0"/>
        <v/>
      </c>
      <c r="D51" s="42"/>
      <c r="E51" s="52"/>
      <c r="F51" s="52"/>
      <c r="G51" s="52"/>
      <c r="H51" s="52"/>
      <c r="I51" s="42"/>
      <c r="J51" s="43"/>
      <c r="S51" s="42"/>
    </row>
    <row r="52" spans="2:19" x14ac:dyDescent="0.2">
      <c r="B52" s="41"/>
      <c r="C52" s="51" t="str">
        <f t="shared" si="0"/>
        <v/>
      </c>
      <c r="D52" s="42"/>
      <c r="E52" s="52"/>
      <c r="F52" s="52"/>
      <c r="G52" s="52"/>
      <c r="H52" s="52"/>
      <c r="I52" s="42"/>
      <c r="J52" s="43"/>
      <c r="S52" s="42"/>
    </row>
    <row r="53" spans="2:19" x14ac:dyDescent="0.2">
      <c r="B53" s="41"/>
      <c r="C53" s="51" t="str">
        <f t="shared" si="0"/>
        <v/>
      </c>
      <c r="D53" s="42"/>
      <c r="E53" s="52"/>
      <c r="F53" s="52"/>
      <c r="G53" s="52"/>
      <c r="H53" s="52"/>
      <c r="I53" s="42"/>
      <c r="J53" s="43"/>
      <c r="S53" s="42"/>
    </row>
    <row r="54" spans="2:19" x14ac:dyDescent="0.2">
      <c r="B54" s="41"/>
      <c r="C54" s="51" t="str">
        <f>IF(T54="","",IF(S54=0,T54,"("&amp;S54&amp;") "&amp;T54))</f>
        <v/>
      </c>
      <c r="D54" s="42"/>
      <c r="E54" s="52"/>
      <c r="F54" s="52"/>
      <c r="G54" s="52"/>
      <c r="H54" s="52"/>
      <c r="I54" s="42"/>
      <c r="J54" s="43"/>
      <c r="S54" s="42"/>
    </row>
    <row r="55" spans="2:19" x14ac:dyDescent="0.2">
      <c r="B55" s="41"/>
      <c r="C55" s="51" t="str">
        <f t="shared" si="0"/>
        <v/>
      </c>
      <c r="D55" s="42"/>
      <c r="E55" s="52"/>
      <c r="F55" s="52"/>
      <c r="G55" s="52"/>
      <c r="H55" s="52"/>
      <c r="I55" s="42"/>
      <c r="J55" s="43"/>
      <c r="S55" s="42"/>
    </row>
    <row r="56" spans="2:19" x14ac:dyDescent="0.2">
      <c r="B56" s="41"/>
      <c r="C56" s="51" t="str">
        <f t="shared" si="0"/>
        <v/>
      </c>
      <c r="D56" s="42"/>
      <c r="E56" s="52"/>
      <c r="F56" s="52"/>
      <c r="G56" s="52"/>
      <c r="H56" s="52"/>
      <c r="I56" s="42"/>
      <c r="J56" s="43"/>
      <c r="S56" s="42"/>
    </row>
    <row r="57" spans="2:19" x14ac:dyDescent="0.2">
      <c r="B57" s="41"/>
      <c r="C57" s="51" t="str">
        <f t="shared" si="0"/>
        <v/>
      </c>
      <c r="D57" s="42"/>
      <c r="E57" s="52"/>
      <c r="F57" s="52"/>
      <c r="G57" s="52"/>
      <c r="H57" s="52"/>
      <c r="I57" s="42"/>
      <c r="J57" s="43"/>
      <c r="S57" s="42"/>
    </row>
    <row r="58" spans="2:19" x14ac:dyDescent="0.2">
      <c r="B58" s="41"/>
      <c r="C58" s="51" t="str">
        <f t="shared" si="0"/>
        <v/>
      </c>
      <c r="D58" s="42"/>
      <c r="E58" s="52"/>
      <c r="F58" s="52"/>
      <c r="G58" s="52"/>
      <c r="H58" s="52"/>
      <c r="I58" s="42"/>
      <c r="J58" s="43"/>
      <c r="S58" s="42"/>
    </row>
    <row r="59" spans="2:19" x14ac:dyDescent="0.2">
      <c r="B59" s="41"/>
      <c r="C59" s="51" t="str">
        <f t="shared" si="0"/>
        <v/>
      </c>
      <c r="D59" s="42"/>
      <c r="E59" s="52"/>
      <c r="F59" s="52"/>
      <c r="G59" s="52"/>
      <c r="H59" s="52"/>
      <c r="I59" s="42"/>
      <c r="J59" s="43"/>
      <c r="S59" s="42"/>
    </row>
    <row r="60" spans="2:19" x14ac:dyDescent="0.2">
      <c r="B60" s="41"/>
      <c r="C60" s="51" t="str">
        <f t="shared" si="0"/>
        <v/>
      </c>
      <c r="D60" s="42"/>
      <c r="E60" s="52"/>
      <c r="F60" s="52"/>
      <c r="G60" s="52"/>
      <c r="H60" s="52"/>
      <c r="I60" s="42"/>
      <c r="J60" s="43"/>
      <c r="S60" s="42"/>
    </row>
    <row r="61" spans="2:19" x14ac:dyDescent="0.2">
      <c r="B61" s="41"/>
      <c r="C61" s="51" t="str">
        <f t="shared" si="0"/>
        <v/>
      </c>
      <c r="D61" s="42"/>
      <c r="E61" s="52"/>
      <c r="F61" s="52"/>
      <c r="G61" s="52"/>
      <c r="H61" s="52"/>
      <c r="I61" s="42"/>
      <c r="J61" s="43"/>
      <c r="S61" s="42"/>
    </row>
    <row r="62" spans="2:19" x14ac:dyDescent="0.2">
      <c r="B62" s="41"/>
      <c r="C62" s="51" t="str">
        <f t="shared" si="0"/>
        <v/>
      </c>
      <c r="D62" s="42"/>
      <c r="E62" s="52"/>
      <c r="F62" s="52"/>
      <c r="G62" s="52"/>
      <c r="H62" s="52"/>
      <c r="I62" s="42"/>
      <c r="J62" s="43"/>
      <c r="S62" s="42"/>
    </row>
    <row r="63" spans="2:19" x14ac:dyDescent="0.2">
      <c r="B63" s="41"/>
      <c r="C63" s="51" t="str">
        <f>IF(T63="","",IF(S63=0,T63,"("&amp;S63&amp;") "&amp;T63))</f>
        <v/>
      </c>
      <c r="D63" s="42"/>
      <c r="E63" s="52"/>
      <c r="F63" s="52"/>
      <c r="G63" s="52"/>
      <c r="H63" s="52"/>
      <c r="I63" s="42"/>
      <c r="J63" s="43"/>
      <c r="S63" s="42"/>
    </row>
    <row r="64" spans="2:19" x14ac:dyDescent="0.2">
      <c r="B64" s="41"/>
      <c r="C64" s="51" t="str">
        <f t="shared" si="0"/>
        <v/>
      </c>
      <c r="D64" s="42"/>
      <c r="E64" s="52"/>
      <c r="F64" s="52"/>
      <c r="G64" s="52"/>
      <c r="H64" s="52"/>
      <c r="I64" s="42"/>
      <c r="J64" s="43"/>
      <c r="S64" s="42"/>
    </row>
    <row r="65" spans="2:19" x14ac:dyDescent="0.2">
      <c r="B65" s="41"/>
      <c r="C65" s="51" t="str">
        <f t="shared" si="0"/>
        <v/>
      </c>
      <c r="D65" s="42"/>
      <c r="E65" s="52"/>
      <c r="F65" s="52"/>
      <c r="G65" s="52"/>
      <c r="H65" s="52"/>
      <c r="I65" s="42"/>
      <c r="J65" s="43"/>
      <c r="S65" s="42"/>
    </row>
    <row r="66" spans="2:19" x14ac:dyDescent="0.2">
      <c r="B66" s="41"/>
      <c r="C66" s="51" t="str">
        <f t="shared" si="0"/>
        <v/>
      </c>
      <c r="D66" s="42"/>
      <c r="E66" s="52"/>
      <c r="F66" s="52"/>
      <c r="G66" s="52"/>
      <c r="H66" s="52"/>
      <c r="I66" s="42"/>
      <c r="J66" s="43"/>
      <c r="S66" s="42"/>
    </row>
    <row r="67" spans="2:19" x14ac:dyDescent="0.2">
      <c r="B67" s="41"/>
      <c r="C67" s="51"/>
      <c r="D67" s="42"/>
      <c r="E67" s="52"/>
      <c r="F67" s="52"/>
      <c r="G67" s="52"/>
      <c r="H67" s="52"/>
      <c r="I67" s="42"/>
      <c r="J67" s="43"/>
      <c r="S67" s="42"/>
    </row>
    <row r="68" spans="2:19" x14ac:dyDescent="0.2">
      <c r="B68" s="41"/>
      <c r="C68" s="51"/>
      <c r="D68" s="42"/>
      <c r="E68" s="52"/>
      <c r="F68" s="52"/>
      <c r="G68" s="52"/>
      <c r="H68" s="52"/>
      <c r="I68" s="42"/>
      <c r="J68" s="43"/>
      <c r="S68" s="42"/>
    </row>
    <row r="69" spans="2:19" x14ac:dyDescent="0.2">
      <c r="B69" s="53"/>
      <c r="C69" s="54"/>
      <c r="D69" s="55"/>
      <c r="E69" s="56"/>
      <c r="F69" s="56"/>
      <c r="G69" s="56"/>
      <c r="H69" s="56"/>
      <c r="I69" s="55"/>
      <c r="J69" s="57"/>
      <c r="S69" s="42"/>
    </row>
    <row r="70" spans="2:19" x14ac:dyDescent="0.2">
      <c r="B70" s="53"/>
      <c r="C70" s="54"/>
      <c r="D70" s="55"/>
      <c r="E70" s="56"/>
      <c r="F70" s="56"/>
      <c r="G70" s="56"/>
      <c r="H70" s="56"/>
      <c r="I70" s="55"/>
      <c r="J70" s="57"/>
      <c r="S70" s="42"/>
    </row>
    <row r="71" spans="2:19" x14ac:dyDescent="0.2">
      <c r="B71" s="53"/>
      <c r="C71" s="54"/>
      <c r="D71" s="55"/>
      <c r="E71" s="56"/>
      <c r="F71" s="56"/>
      <c r="G71" s="56"/>
      <c r="H71" s="56"/>
      <c r="I71" s="55"/>
      <c r="J71" s="57"/>
      <c r="S71" s="42"/>
    </row>
    <row r="72" spans="2:19" x14ac:dyDescent="0.2">
      <c r="B72" s="53"/>
      <c r="C72" s="54"/>
      <c r="D72" s="55"/>
      <c r="E72" s="56"/>
      <c r="F72" s="56"/>
      <c r="G72" s="56"/>
      <c r="H72" s="56"/>
      <c r="I72" s="55"/>
      <c r="J72" s="57"/>
      <c r="S72" s="42"/>
    </row>
    <row r="73" spans="2:19" x14ac:dyDescent="0.2">
      <c r="B73" s="53"/>
      <c r="C73" s="54"/>
      <c r="D73" s="55"/>
      <c r="E73" s="56"/>
      <c r="F73" s="56"/>
      <c r="G73" s="56"/>
      <c r="H73" s="56"/>
      <c r="I73" s="55"/>
      <c r="J73" s="57"/>
      <c r="S73" s="42"/>
    </row>
    <row r="74" spans="2:19" x14ac:dyDescent="0.2">
      <c r="B74" s="53"/>
      <c r="C74" s="54"/>
      <c r="D74" s="55"/>
      <c r="E74" s="56"/>
      <c r="F74" s="56"/>
      <c r="G74" s="56"/>
      <c r="H74" s="56"/>
      <c r="I74" s="55"/>
      <c r="J74" s="57"/>
    </row>
    <row r="75" spans="2:19" x14ac:dyDescent="0.2">
      <c r="B75" s="53"/>
      <c r="C75" s="55"/>
      <c r="D75" s="55"/>
      <c r="E75" s="55"/>
      <c r="F75" s="55"/>
      <c r="G75" s="55"/>
      <c r="H75" s="55"/>
      <c r="I75" s="55"/>
      <c r="J75" s="57"/>
    </row>
  </sheetData>
  <sheetProtection algorithmName="SHA-512" hashValue="TCkoV8x8hRSezXIsRYxaR4DzH1bfRt20wJBi4JwL67gzAQtNxUgu1NNPQT/LJNfpgJsI4Fq1AdVpD+EbuAJ6ug==" saltValue="7f3NRbarOctN2AuKTH1QYg==" spinCount="100000" sheet="1" objects="1" scenarios="1"/>
  <mergeCells count="4">
    <mergeCell ref="D2:E2"/>
    <mergeCell ref="D3:E3"/>
    <mergeCell ref="G2:H2"/>
    <mergeCell ref="G3:H3"/>
  </mergeCells>
  <conditionalFormatting sqref="E41:I73 E40:H40 I39:I40 S40:S73">
    <cfRule type="cellIs" dxfId="28" priority="9" operator="equal">
      <formula>0</formula>
    </cfRule>
  </conditionalFormatting>
  <conditionalFormatting sqref="I3">
    <cfRule type="cellIs" dxfId="27" priority="7" operator="equal">
      <formula>"Sem Dados"</formula>
    </cfRule>
    <cfRule type="cellIs" dxfId="26" priority="8" operator="equal">
      <formula>0</formula>
    </cfRule>
  </conditionalFormatting>
  <conditionalFormatting sqref="C2">
    <cfRule type="cellIs" dxfId="25" priority="5" operator="equal">
      <formula>"Sem Dados"</formula>
    </cfRule>
    <cfRule type="cellIs" dxfId="24" priority="6" operator="equal">
      <formula>0</formula>
    </cfRule>
  </conditionalFormatting>
  <conditionalFormatting sqref="E23">
    <cfRule type="expression" dxfId="23" priority="4">
      <formula>T23="período livre"</formula>
    </cfRule>
  </conditionalFormatting>
  <conditionalFormatting sqref="D23:D27">
    <cfRule type="expression" dxfId="22" priority="3">
      <formula>S23="período livre"</formula>
    </cfRule>
  </conditionalFormatting>
  <conditionalFormatting sqref="E26:E27">
    <cfRule type="expression" dxfId="21" priority="2">
      <formula>T26="período livre"</formula>
    </cfRule>
  </conditionalFormatting>
  <conditionalFormatting sqref="F27:H27">
    <cfRule type="expression" dxfId="20" priority="1">
      <formula>U27="período livre"</formula>
    </cfRule>
  </conditionalFormatting>
  <dataValidations count="3">
    <dataValidation type="list" allowBlank="1" showInputMessage="1" showErrorMessage="1" sqref="F3" xr:uid="{4CBE02C7-8390-4425-80BD-FD9CB3B9908E}">
      <formula1>"1,2,3,4,5,6,7,8,9,10,11,12"</formula1>
    </dataValidation>
    <dataValidation type="list" allowBlank="1" showInputMessage="1" showErrorMessage="1" sqref="G3" xr:uid="{34B82BDC-B8F6-46F7-8818-E6116F57AC17}">
      <formula1>"2023,2024,2025,2026,2027,2028,2029,2030"</formula1>
    </dataValidation>
    <dataValidation type="list" allowBlank="1" showInputMessage="1" showErrorMessage="1" sqref="D3:E3" xr:uid="{82C339EF-2178-4767-B1F5-7BE356231D34}">
      <formula1>"1,2,3,4,5,6,7,8,9,10,11,12,13,14,15,16,17,18,19,20,21,22,23,24,25,26,27,28,29,30,31"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57DB4-FFA7-4551-BD0F-859EB0D51CDC}">
          <x14:formula1>
            <xm:f>Opções!$A$2:$A$42</xm:f>
          </x14:formula1>
          <xm:sqref>C30:C35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D2D08-3AD6-43A9-95FC-1C6E4A5C4B9E}">
  <sheetPr codeName="Planilha10"/>
  <dimension ref="A1:M12"/>
  <sheetViews>
    <sheetView workbookViewId="0">
      <selection activeCell="G2" sqref="G2"/>
    </sheetView>
  </sheetViews>
  <sheetFormatPr defaultRowHeight="14.4" x14ac:dyDescent="0.3"/>
  <cols>
    <col min="1" max="7" width="12" customWidth="1"/>
    <col min="9" max="9" width="10.5546875" bestFit="1" customWidth="1"/>
  </cols>
  <sheetData>
    <row r="1" spans="1:13" x14ac:dyDescent="0.3">
      <c r="A1" s="27" t="s">
        <v>555</v>
      </c>
      <c r="B1" s="27" t="s">
        <v>454</v>
      </c>
      <c r="C1" s="27" t="s">
        <v>456</v>
      </c>
      <c r="D1" s="27" t="s">
        <v>457</v>
      </c>
      <c r="E1" s="27" t="s">
        <v>458</v>
      </c>
      <c r="F1" s="27" t="s">
        <v>459</v>
      </c>
      <c r="G1" s="27" t="s">
        <v>557</v>
      </c>
      <c r="I1" s="1">
        <f>Calendario!F2</f>
        <v>45200</v>
      </c>
      <c r="L1" t="s">
        <v>587</v>
      </c>
      <c r="M1">
        <v>1</v>
      </c>
    </row>
    <row r="2" spans="1:13" x14ac:dyDescent="0.3">
      <c r="A2" s="26">
        <f>IFERROR(IF($I$3=A$8,1,IF(#REF!&gt;=1,#REF!+1,"")),"")</f>
        <v>1</v>
      </c>
      <c r="B2" s="26">
        <f t="shared" ref="B2:G2" si="0">IFERROR(IF($I$3=B$8,1,IF(A2&gt;=1,A2+1,"")),"")</f>
        <v>2</v>
      </c>
      <c r="C2" s="26">
        <f t="shared" si="0"/>
        <v>3</v>
      </c>
      <c r="D2" s="26">
        <f t="shared" si="0"/>
        <v>4</v>
      </c>
      <c r="E2" s="26">
        <f t="shared" si="0"/>
        <v>5</v>
      </c>
      <c r="F2" s="26">
        <f t="shared" si="0"/>
        <v>6</v>
      </c>
      <c r="G2" s="26">
        <f t="shared" si="0"/>
        <v>7</v>
      </c>
      <c r="L2" t="s">
        <v>588</v>
      </c>
      <c r="M2">
        <v>2</v>
      </c>
    </row>
    <row r="3" spans="1:13" x14ac:dyDescent="0.3">
      <c r="A3" s="26">
        <f>G2+1</f>
        <v>8</v>
      </c>
      <c r="B3" s="26">
        <f>A3+1</f>
        <v>9</v>
      </c>
      <c r="C3" s="26">
        <f t="shared" ref="C3:G5" si="1">B3+1</f>
        <v>10</v>
      </c>
      <c r="D3" s="26">
        <f t="shared" si="1"/>
        <v>11</v>
      </c>
      <c r="E3" s="26">
        <f t="shared" si="1"/>
        <v>12</v>
      </c>
      <c r="F3" s="26">
        <f t="shared" si="1"/>
        <v>13</v>
      </c>
      <c r="G3" s="26">
        <f t="shared" si="1"/>
        <v>14</v>
      </c>
      <c r="I3">
        <f>WEEKDAY(I1,1)</f>
        <v>1</v>
      </c>
      <c r="J3" t="s">
        <v>451</v>
      </c>
      <c r="L3" t="s">
        <v>589</v>
      </c>
      <c r="M3">
        <v>3</v>
      </c>
    </row>
    <row r="4" spans="1:13" x14ac:dyDescent="0.3">
      <c r="A4" s="26">
        <f>G3+1</f>
        <v>15</v>
      </c>
      <c r="B4" s="26">
        <f>A4+1</f>
        <v>16</v>
      </c>
      <c r="C4" s="26">
        <f t="shared" si="1"/>
        <v>17</v>
      </c>
      <c r="D4" s="26">
        <f t="shared" si="1"/>
        <v>18</v>
      </c>
      <c r="E4" s="26">
        <f t="shared" si="1"/>
        <v>19</v>
      </c>
      <c r="F4" s="26">
        <f t="shared" si="1"/>
        <v>20</v>
      </c>
      <c r="G4" s="26">
        <f t="shared" si="1"/>
        <v>21</v>
      </c>
      <c r="I4" s="1">
        <f>EOMONTH(I1,0)</f>
        <v>45230</v>
      </c>
      <c r="J4" t="s">
        <v>590</v>
      </c>
      <c r="L4" t="s">
        <v>591</v>
      </c>
      <c r="M4">
        <v>4</v>
      </c>
    </row>
    <row r="5" spans="1:13" x14ac:dyDescent="0.3">
      <c r="A5" s="26">
        <f>G4+1</f>
        <v>22</v>
      </c>
      <c r="B5" s="26">
        <f>A5+1</f>
        <v>23</v>
      </c>
      <c r="C5" s="26">
        <f t="shared" si="1"/>
        <v>24</v>
      </c>
      <c r="D5" s="26">
        <f t="shared" si="1"/>
        <v>25</v>
      </c>
      <c r="E5" s="26">
        <f t="shared" si="1"/>
        <v>26</v>
      </c>
      <c r="F5" s="26">
        <f t="shared" si="1"/>
        <v>27</v>
      </c>
      <c r="G5" s="26">
        <f t="shared" si="1"/>
        <v>28</v>
      </c>
      <c r="I5">
        <f>DAY(I4)</f>
        <v>31</v>
      </c>
      <c r="J5" t="s">
        <v>566</v>
      </c>
      <c r="L5" t="s">
        <v>592</v>
      </c>
      <c r="M5">
        <v>5</v>
      </c>
    </row>
    <row r="6" spans="1:13" x14ac:dyDescent="0.3">
      <c r="A6" s="26">
        <f>IF(G5&gt;=I5,"",G5+1)</f>
        <v>29</v>
      </c>
      <c r="B6" s="26">
        <f t="shared" ref="B6:G7" si="2">IF(A6&gt;=$I$5,"",A6+1)</f>
        <v>30</v>
      </c>
      <c r="C6" s="26">
        <f t="shared" si="2"/>
        <v>31</v>
      </c>
      <c r="D6" s="26" t="str">
        <f t="shared" si="2"/>
        <v/>
      </c>
      <c r="E6" s="26" t="str">
        <f t="shared" si="2"/>
        <v/>
      </c>
      <c r="F6" s="26" t="str">
        <f t="shared" si="2"/>
        <v/>
      </c>
      <c r="G6" s="26" t="str">
        <f t="shared" si="2"/>
        <v/>
      </c>
      <c r="I6" s="1"/>
      <c r="L6" t="s">
        <v>593</v>
      </c>
      <c r="M6">
        <v>6</v>
      </c>
    </row>
    <row r="7" spans="1:13" x14ac:dyDescent="0.3">
      <c r="A7" s="26" t="str">
        <f>IF(G6&gt;=I5,"",G6+1)</f>
        <v/>
      </c>
      <c r="B7" s="26" t="str">
        <f t="shared" si="2"/>
        <v/>
      </c>
      <c r="C7" s="26" t="str">
        <f t="shared" si="2"/>
        <v/>
      </c>
      <c r="D7" s="26" t="str">
        <f t="shared" si="2"/>
        <v/>
      </c>
      <c r="E7" s="26" t="str">
        <f t="shared" si="2"/>
        <v/>
      </c>
      <c r="F7" s="26" t="str">
        <f t="shared" si="2"/>
        <v/>
      </c>
      <c r="G7" s="26" t="str">
        <f t="shared" si="2"/>
        <v/>
      </c>
      <c r="L7" t="s">
        <v>594</v>
      </c>
      <c r="M7">
        <v>7</v>
      </c>
    </row>
    <row r="8" spans="1:13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L8" t="s">
        <v>595</v>
      </c>
      <c r="M8">
        <v>8</v>
      </c>
    </row>
    <row r="9" spans="1:13" x14ac:dyDescent="0.3">
      <c r="L9" t="s">
        <v>596</v>
      </c>
      <c r="M9">
        <v>9</v>
      </c>
    </row>
    <row r="10" spans="1:13" x14ac:dyDescent="0.3">
      <c r="L10" t="s">
        <v>597</v>
      </c>
      <c r="M10">
        <v>10</v>
      </c>
    </row>
    <row r="11" spans="1:13" x14ac:dyDescent="0.3">
      <c r="L11" t="s">
        <v>598</v>
      </c>
      <c r="M11">
        <v>11</v>
      </c>
    </row>
    <row r="12" spans="1:13" x14ac:dyDescent="0.3">
      <c r="L12" t="s">
        <v>599</v>
      </c>
      <c r="M12">
        <v>12</v>
      </c>
    </row>
  </sheetData>
  <phoneticPr fontId="1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2B98-20C8-41CC-AA60-CB6583DB398D}">
  <sheetPr codeName="Planilha11"/>
  <dimension ref="A1:G1163"/>
  <sheetViews>
    <sheetView workbookViewId="0">
      <selection activeCell="G2" sqref="G2"/>
    </sheetView>
  </sheetViews>
  <sheetFormatPr defaultRowHeight="14.4" x14ac:dyDescent="0.3"/>
  <cols>
    <col min="1" max="1" width="9.5546875" bestFit="1" customWidth="1"/>
    <col min="2" max="2" width="45.21875" bestFit="1" customWidth="1"/>
    <col min="3" max="3" width="10.5546875" bestFit="1" customWidth="1"/>
    <col min="4" max="4" width="5.88671875" bestFit="1" customWidth="1"/>
    <col min="5" max="5" width="6.77734375" bestFit="1" customWidth="1"/>
    <col min="6" max="6" width="6.6640625" bestFit="1" customWidth="1"/>
    <col min="7" max="7" width="49.33203125" bestFit="1" customWidth="1"/>
    <col min="8" max="8" width="17.5546875" bestFit="1" customWidth="1"/>
  </cols>
  <sheetData>
    <row r="1" spans="1:7" x14ac:dyDescent="0.3">
      <c r="A1" t="s">
        <v>1</v>
      </c>
      <c r="B1" t="s">
        <v>2</v>
      </c>
      <c r="C1" t="s">
        <v>0</v>
      </c>
      <c r="D1" t="s">
        <v>566</v>
      </c>
      <c r="E1" t="s">
        <v>567</v>
      </c>
      <c r="F1" t="s">
        <v>568</v>
      </c>
      <c r="G1" t="s">
        <v>600</v>
      </c>
    </row>
    <row r="2" spans="1:7" x14ac:dyDescent="0.3">
      <c r="A2" t="s">
        <v>16</v>
      </c>
      <c r="B2" t="s">
        <v>464</v>
      </c>
      <c r="C2" s="1">
        <v>44928</v>
      </c>
      <c r="D2">
        <f>DAY(Tabela_ferias_folgas[[#This Row],[Data]])</f>
        <v>2</v>
      </c>
      <c r="E2">
        <f>MONTH(Tabela_ferias_folgas[[#This Row],[Data]])</f>
        <v>1</v>
      </c>
      <c r="F2">
        <f>YEAR(Tabela_ferias_folgas[[#This Row],[Data]])</f>
        <v>2023</v>
      </c>
      <c r="G2" t="str">
        <f>Tabela_ferias_folgas[[#This Row],[Médico]]&amp;" - "&amp;Tabela_ferias_folgas[[#This Row],[Compromisso]]</f>
        <v>PP - FÉRIAS</v>
      </c>
    </row>
    <row r="3" spans="1:7" x14ac:dyDescent="0.3">
      <c r="A3" t="s">
        <v>16</v>
      </c>
      <c r="B3" t="s">
        <v>464</v>
      </c>
      <c r="C3" s="1">
        <v>44929</v>
      </c>
      <c r="D3">
        <f>DAY(Tabela_ferias_folgas[[#This Row],[Data]])</f>
        <v>3</v>
      </c>
      <c r="E3">
        <f>MONTH(Tabela_ferias_folgas[[#This Row],[Data]])</f>
        <v>1</v>
      </c>
      <c r="F3">
        <f>YEAR(Tabela_ferias_folgas[[#This Row],[Data]])</f>
        <v>2023</v>
      </c>
      <c r="G3" t="str">
        <f>Tabela_ferias_folgas[[#This Row],[Médico]]&amp;" - "&amp;Tabela_ferias_folgas[[#This Row],[Compromisso]]</f>
        <v>PP - FÉRIAS</v>
      </c>
    </row>
    <row r="4" spans="1:7" x14ac:dyDescent="0.3">
      <c r="A4" t="s">
        <v>16</v>
      </c>
      <c r="B4" t="s">
        <v>464</v>
      </c>
      <c r="C4" s="1">
        <v>44930</v>
      </c>
      <c r="D4">
        <f>DAY(Tabela_ferias_folgas[[#This Row],[Data]])</f>
        <v>4</v>
      </c>
      <c r="E4">
        <f>MONTH(Tabela_ferias_folgas[[#This Row],[Data]])</f>
        <v>1</v>
      </c>
      <c r="F4">
        <f>YEAR(Tabela_ferias_folgas[[#This Row],[Data]])</f>
        <v>2023</v>
      </c>
      <c r="G4" t="str">
        <f>Tabela_ferias_folgas[[#This Row],[Médico]]&amp;" - "&amp;Tabela_ferias_folgas[[#This Row],[Compromisso]]</f>
        <v>PP - FÉRIAS</v>
      </c>
    </row>
    <row r="5" spans="1:7" x14ac:dyDescent="0.3">
      <c r="A5" t="s">
        <v>16</v>
      </c>
      <c r="B5" t="s">
        <v>464</v>
      </c>
      <c r="C5" s="1">
        <v>44931</v>
      </c>
      <c r="D5">
        <f>DAY(Tabela_ferias_folgas[[#This Row],[Data]])</f>
        <v>5</v>
      </c>
      <c r="E5">
        <f>MONTH(Tabela_ferias_folgas[[#This Row],[Data]])</f>
        <v>1</v>
      </c>
      <c r="F5">
        <f>YEAR(Tabela_ferias_folgas[[#This Row],[Data]])</f>
        <v>2023</v>
      </c>
      <c r="G5" t="str">
        <f>Tabela_ferias_folgas[[#This Row],[Médico]]&amp;" - "&amp;Tabela_ferias_folgas[[#This Row],[Compromisso]]</f>
        <v>PP - FÉRIAS</v>
      </c>
    </row>
    <row r="6" spans="1:7" x14ac:dyDescent="0.3">
      <c r="A6" t="s">
        <v>16</v>
      </c>
      <c r="B6" t="s">
        <v>464</v>
      </c>
      <c r="C6" s="1">
        <v>44932</v>
      </c>
      <c r="D6">
        <f>DAY(Tabela_ferias_folgas[[#This Row],[Data]])</f>
        <v>6</v>
      </c>
      <c r="E6">
        <f>MONTH(Tabela_ferias_folgas[[#This Row],[Data]])</f>
        <v>1</v>
      </c>
      <c r="F6">
        <f>YEAR(Tabela_ferias_folgas[[#This Row],[Data]])</f>
        <v>2023</v>
      </c>
      <c r="G6" t="str">
        <f>Tabela_ferias_folgas[[#This Row],[Médico]]&amp;" - "&amp;Tabela_ferias_folgas[[#This Row],[Compromisso]]</f>
        <v>PP - FÉRIAS</v>
      </c>
    </row>
    <row r="7" spans="1:7" x14ac:dyDescent="0.3">
      <c r="A7" t="s">
        <v>16</v>
      </c>
      <c r="B7" t="s">
        <v>464</v>
      </c>
      <c r="C7" s="1">
        <v>44933</v>
      </c>
      <c r="D7">
        <f>DAY(Tabela_ferias_folgas[[#This Row],[Data]])</f>
        <v>7</v>
      </c>
      <c r="E7">
        <f>MONTH(Tabela_ferias_folgas[[#This Row],[Data]])</f>
        <v>1</v>
      </c>
      <c r="F7">
        <f>YEAR(Tabela_ferias_folgas[[#This Row],[Data]])</f>
        <v>2023</v>
      </c>
      <c r="G7" t="str">
        <f>Tabela_ferias_folgas[[#This Row],[Médico]]&amp;" - "&amp;Tabela_ferias_folgas[[#This Row],[Compromisso]]</f>
        <v>PP - FÉRIAS</v>
      </c>
    </row>
    <row r="8" spans="1:7" x14ac:dyDescent="0.3">
      <c r="A8" t="s">
        <v>16</v>
      </c>
      <c r="B8" t="s">
        <v>464</v>
      </c>
      <c r="C8" s="1">
        <v>44934</v>
      </c>
      <c r="D8">
        <f>DAY(Tabela_ferias_folgas[[#This Row],[Data]])</f>
        <v>8</v>
      </c>
      <c r="E8">
        <f>MONTH(Tabela_ferias_folgas[[#This Row],[Data]])</f>
        <v>1</v>
      </c>
      <c r="F8">
        <f>YEAR(Tabela_ferias_folgas[[#This Row],[Data]])</f>
        <v>2023</v>
      </c>
      <c r="G8" t="str">
        <f>Tabela_ferias_folgas[[#This Row],[Médico]]&amp;" - "&amp;Tabela_ferias_folgas[[#This Row],[Compromisso]]</f>
        <v>PP - FÉRIAS</v>
      </c>
    </row>
    <row r="9" spans="1:7" x14ac:dyDescent="0.3">
      <c r="A9" t="s">
        <v>16</v>
      </c>
      <c r="B9" t="s">
        <v>464</v>
      </c>
      <c r="C9" s="1">
        <v>44935</v>
      </c>
      <c r="D9">
        <f>DAY(Tabela_ferias_folgas[[#This Row],[Data]])</f>
        <v>9</v>
      </c>
      <c r="E9">
        <f>MONTH(Tabela_ferias_folgas[[#This Row],[Data]])</f>
        <v>1</v>
      </c>
      <c r="F9">
        <f>YEAR(Tabela_ferias_folgas[[#This Row],[Data]])</f>
        <v>2023</v>
      </c>
      <c r="G9" t="str">
        <f>Tabela_ferias_folgas[[#This Row],[Médico]]&amp;" - "&amp;Tabela_ferias_folgas[[#This Row],[Compromisso]]</f>
        <v>PP - FÉRIAS</v>
      </c>
    </row>
    <row r="10" spans="1:7" x14ac:dyDescent="0.3">
      <c r="A10" t="s">
        <v>16</v>
      </c>
      <c r="B10" t="s">
        <v>464</v>
      </c>
      <c r="C10" s="1">
        <v>44936</v>
      </c>
      <c r="D10">
        <f>DAY(Tabela_ferias_folgas[[#This Row],[Data]])</f>
        <v>10</v>
      </c>
      <c r="E10">
        <f>MONTH(Tabela_ferias_folgas[[#This Row],[Data]])</f>
        <v>1</v>
      </c>
      <c r="F10">
        <f>YEAR(Tabela_ferias_folgas[[#This Row],[Data]])</f>
        <v>2023</v>
      </c>
      <c r="G10" t="str">
        <f>Tabela_ferias_folgas[[#This Row],[Médico]]&amp;" - "&amp;Tabela_ferias_folgas[[#This Row],[Compromisso]]</f>
        <v>PP - FÉRIAS</v>
      </c>
    </row>
    <row r="11" spans="1:7" x14ac:dyDescent="0.3">
      <c r="A11" t="s">
        <v>16</v>
      </c>
      <c r="B11" t="s">
        <v>464</v>
      </c>
      <c r="C11" s="1">
        <v>44937</v>
      </c>
      <c r="D11">
        <f>DAY(Tabela_ferias_folgas[[#This Row],[Data]])</f>
        <v>11</v>
      </c>
      <c r="E11">
        <f>MONTH(Tabela_ferias_folgas[[#This Row],[Data]])</f>
        <v>1</v>
      </c>
      <c r="F11">
        <f>YEAR(Tabela_ferias_folgas[[#This Row],[Data]])</f>
        <v>2023</v>
      </c>
      <c r="G11" t="str">
        <f>Tabela_ferias_folgas[[#This Row],[Médico]]&amp;" - "&amp;Tabela_ferias_folgas[[#This Row],[Compromisso]]</f>
        <v>PP - FÉRIAS</v>
      </c>
    </row>
    <row r="12" spans="1:7" x14ac:dyDescent="0.3">
      <c r="A12" t="s">
        <v>16</v>
      </c>
      <c r="B12" t="s">
        <v>464</v>
      </c>
      <c r="C12" s="1">
        <v>44938</v>
      </c>
      <c r="D12">
        <f>DAY(Tabela_ferias_folgas[[#This Row],[Data]])</f>
        <v>12</v>
      </c>
      <c r="E12">
        <f>MONTH(Tabela_ferias_folgas[[#This Row],[Data]])</f>
        <v>1</v>
      </c>
      <c r="F12">
        <f>YEAR(Tabela_ferias_folgas[[#This Row],[Data]])</f>
        <v>2023</v>
      </c>
      <c r="G12" t="str">
        <f>Tabela_ferias_folgas[[#This Row],[Médico]]&amp;" - "&amp;Tabela_ferias_folgas[[#This Row],[Compromisso]]</f>
        <v>PP - FÉRIAS</v>
      </c>
    </row>
    <row r="13" spans="1:7" x14ac:dyDescent="0.3">
      <c r="A13" t="s">
        <v>16</v>
      </c>
      <c r="B13" t="s">
        <v>464</v>
      </c>
      <c r="C13" s="1">
        <v>44939</v>
      </c>
      <c r="D13">
        <f>DAY(Tabela_ferias_folgas[[#This Row],[Data]])</f>
        <v>13</v>
      </c>
      <c r="E13">
        <f>MONTH(Tabela_ferias_folgas[[#This Row],[Data]])</f>
        <v>1</v>
      </c>
      <c r="F13">
        <f>YEAR(Tabela_ferias_folgas[[#This Row],[Data]])</f>
        <v>2023</v>
      </c>
      <c r="G13" t="str">
        <f>Tabela_ferias_folgas[[#This Row],[Médico]]&amp;" - "&amp;Tabela_ferias_folgas[[#This Row],[Compromisso]]</f>
        <v>PP - FÉRIAS</v>
      </c>
    </row>
    <row r="14" spans="1:7" x14ac:dyDescent="0.3">
      <c r="A14" t="s">
        <v>7</v>
      </c>
      <c r="B14" t="s">
        <v>464</v>
      </c>
      <c r="C14" s="1">
        <v>44935</v>
      </c>
      <c r="D14">
        <f>DAY(Tabela_ferias_folgas[[#This Row],[Data]])</f>
        <v>9</v>
      </c>
      <c r="E14">
        <f>MONTH(Tabela_ferias_folgas[[#This Row],[Data]])</f>
        <v>1</v>
      </c>
      <c r="F14">
        <f>YEAR(Tabela_ferias_folgas[[#This Row],[Data]])</f>
        <v>2023</v>
      </c>
      <c r="G14" t="str">
        <f>Tabela_ferias_folgas[[#This Row],[Médico]]&amp;" - "&amp;Tabela_ferias_folgas[[#This Row],[Compromisso]]</f>
        <v>ARI - FÉRIAS</v>
      </c>
    </row>
    <row r="15" spans="1:7" x14ac:dyDescent="0.3">
      <c r="A15" t="s">
        <v>7</v>
      </c>
      <c r="B15" t="s">
        <v>464</v>
      </c>
      <c r="C15" s="1">
        <v>44936</v>
      </c>
      <c r="D15">
        <f>DAY(Tabela_ferias_folgas[[#This Row],[Data]])</f>
        <v>10</v>
      </c>
      <c r="E15">
        <f>MONTH(Tabela_ferias_folgas[[#This Row],[Data]])</f>
        <v>1</v>
      </c>
      <c r="F15">
        <f>YEAR(Tabela_ferias_folgas[[#This Row],[Data]])</f>
        <v>2023</v>
      </c>
      <c r="G15" t="str">
        <f>Tabela_ferias_folgas[[#This Row],[Médico]]&amp;" - "&amp;Tabela_ferias_folgas[[#This Row],[Compromisso]]</f>
        <v>ARI - FÉRIAS</v>
      </c>
    </row>
    <row r="16" spans="1:7" x14ac:dyDescent="0.3">
      <c r="A16" t="s">
        <v>7</v>
      </c>
      <c r="B16" t="s">
        <v>464</v>
      </c>
      <c r="C16" s="1">
        <v>44937</v>
      </c>
      <c r="D16">
        <f>DAY(Tabela_ferias_folgas[[#This Row],[Data]])</f>
        <v>11</v>
      </c>
      <c r="E16">
        <f>MONTH(Tabela_ferias_folgas[[#This Row],[Data]])</f>
        <v>1</v>
      </c>
      <c r="F16">
        <f>YEAR(Tabela_ferias_folgas[[#This Row],[Data]])</f>
        <v>2023</v>
      </c>
      <c r="G16" t="str">
        <f>Tabela_ferias_folgas[[#This Row],[Médico]]&amp;" - "&amp;Tabela_ferias_folgas[[#This Row],[Compromisso]]</f>
        <v>ARI - FÉRIAS</v>
      </c>
    </row>
    <row r="17" spans="1:7" x14ac:dyDescent="0.3">
      <c r="A17" t="s">
        <v>7</v>
      </c>
      <c r="B17" t="s">
        <v>464</v>
      </c>
      <c r="C17" s="1">
        <v>44938</v>
      </c>
      <c r="D17">
        <f>DAY(Tabela_ferias_folgas[[#This Row],[Data]])</f>
        <v>12</v>
      </c>
      <c r="E17">
        <f>MONTH(Tabela_ferias_folgas[[#This Row],[Data]])</f>
        <v>1</v>
      </c>
      <c r="F17">
        <f>YEAR(Tabela_ferias_folgas[[#This Row],[Data]])</f>
        <v>2023</v>
      </c>
      <c r="G17" t="str">
        <f>Tabela_ferias_folgas[[#This Row],[Médico]]&amp;" - "&amp;Tabela_ferias_folgas[[#This Row],[Compromisso]]</f>
        <v>ARI - FÉRIAS</v>
      </c>
    </row>
    <row r="18" spans="1:7" x14ac:dyDescent="0.3">
      <c r="A18" t="s">
        <v>7</v>
      </c>
      <c r="B18" t="s">
        <v>464</v>
      </c>
      <c r="C18" s="1">
        <v>44939</v>
      </c>
      <c r="D18">
        <f>DAY(Tabela_ferias_folgas[[#This Row],[Data]])</f>
        <v>13</v>
      </c>
      <c r="E18">
        <f>MONTH(Tabela_ferias_folgas[[#This Row],[Data]])</f>
        <v>1</v>
      </c>
      <c r="F18">
        <f>YEAR(Tabela_ferias_folgas[[#This Row],[Data]])</f>
        <v>2023</v>
      </c>
      <c r="G18" t="str">
        <f>Tabela_ferias_folgas[[#This Row],[Médico]]&amp;" - "&amp;Tabela_ferias_folgas[[#This Row],[Compromisso]]</f>
        <v>ARI - FÉRIAS</v>
      </c>
    </row>
    <row r="19" spans="1:7" x14ac:dyDescent="0.3">
      <c r="A19" t="s">
        <v>12</v>
      </c>
      <c r="B19" t="s">
        <v>464</v>
      </c>
      <c r="C19" s="1">
        <v>44942</v>
      </c>
      <c r="D19">
        <f>DAY(Tabela_ferias_folgas[[#This Row],[Data]])</f>
        <v>16</v>
      </c>
      <c r="E19">
        <f>MONTH(Tabela_ferias_folgas[[#This Row],[Data]])</f>
        <v>1</v>
      </c>
      <c r="F19">
        <f>YEAR(Tabela_ferias_folgas[[#This Row],[Data]])</f>
        <v>2023</v>
      </c>
      <c r="G19" t="str">
        <f>Tabela_ferias_folgas[[#This Row],[Médico]]&amp;" - "&amp;Tabela_ferias_folgas[[#This Row],[Compromisso]]</f>
        <v>EDU - FÉRIAS</v>
      </c>
    </row>
    <row r="20" spans="1:7" x14ac:dyDescent="0.3">
      <c r="A20" t="s">
        <v>73</v>
      </c>
      <c r="B20" t="s">
        <v>464</v>
      </c>
      <c r="C20" s="1">
        <v>44935</v>
      </c>
      <c r="D20">
        <f>DAY(Tabela_ferias_folgas[[#This Row],[Data]])</f>
        <v>9</v>
      </c>
      <c r="E20">
        <f>MONTH(Tabela_ferias_folgas[[#This Row],[Data]])</f>
        <v>1</v>
      </c>
      <c r="F20">
        <f>YEAR(Tabela_ferias_folgas[[#This Row],[Data]])</f>
        <v>2023</v>
      </c>
      <c r="G20" t="str">
        <f>Tabela_ferias_folgas[[#This Row],[Médico]]&amp;" - "&amp;Tabela_ferias_folgas[[#This Row],[Compromisso]]</f>
        <v>RT - FÉRIAS</v>
      </c>
    </row>
    <row r="21" spans="1:7" x14ac:dyDescent="0.3">
      <c r="A21" t="s">
        <v>73</v>
      </c>
      <c r="B21" t="s">
        <v>464</v>
      </c>
      <c r="C21" s="1">
        <v>44936</v>
      </c>
      <c r="D21">
        <f>DAY(Tabela_ferias_folgas[[#This Row],[Data]])</f>
        <v>10</v>
      </c>
      <c r="E21">
        <f>MONTH(Tabela_ferias_folgas[[#This Row],[Data]])</f>
        <v>1</v>
      </c>
      <c r="F21">
        <f>YEAR(Tabela_ferias_folgas[[#This Row],[Data]])</f>
        <v>2023</v>
      </c>
      <c r="G21" t="str">
        <f>Tabela_ferias_folgas[[#This Row],[Médico]]&amp;" - "&amp;Tabela_ferias_folgas[[#This Row],[Compromisso]]</f>
        <v>RT - FÉRIAS</v>
      </c>
    </row>
    <row r="22" spans="1:7" x14ac:dyDescent="0.3">
      <c r="A22" t="s">
        <v>73</v>
      </c>
      <c r="B22" t="s">
        <v>464</v>
      </c>
      <c r="C22" s="1">
        <v>44937</v>
      </c>
      <c r="D22">
        <f>DAY(Tabela_ferias_folgas[[#This Row],[Data]])</f>
        <v>11</v>
      </c>
      <c r="E22">
        <f>MONTH(Tabela_ferias_folgas[[#This Row],[Data]])</f>
        <v>1</v>
      </c>
      <c r="F22">
        <f>YEAR(Tabela_ferias_folgas[[#This Row],[Data]])</f>
        <v>2023</v>
      </c>
      <c r="G22" t="str">
        <f>Tabela_ferias_folgas[[#This Row],[Médico]]&amp;" - "&amp;Tabela_ferias_folgas[[#This Row],[Compromisso]]</f>
        <v>RT - FÉRIAS</v>
      </c>
    </row>
    <row r="23" spans="1:7" x14ac:dyDescent="0.3">
      <c r="A23" t="s">
        <v>73</v>
      </c>
      <c r="B23" t="s">
        <v>464</v>
      </c>
      <c r="C23" s="1">
        <v>44938</v>
      </c>
      <c r="D23">
        <f>DAY(Tabela_ferias_folgas[[#This Row],[Data]])</f>
        <v>12</v>
      </c>
      <c r="E23">
        <f>MONTH(Tabela_ferias_folgas[[#This Row],[Data]])</f>
        <v>1</v>
      </c>
      <c r="F23">
        <f>YEAR(Tabela_ferias_folgas[[#This Row],[Data]])</f>
        <v>2023</v>
      </c>
      <c r="G23" t="str">
        <f>Tabela_ferias_folgas[[#This Row],[Médico]]&amp;" - "&amp;Tabela_ferias_folgas[[#This Row],[Compromisso]]</f>
        <v>RT - FÉRIAS</v>
      </c>
    </row>
    <row r="24" spans="1:7" x14ac:dyDescent="0.3">
      <c r="A24" t="s">
        <v>73</v>
      </c>
      <c r="B24" t="s">
        <v>464</v>
      </c>
      <c r="C24" s="1">
        <v>44939</v>
      </c>
      <c r="D24">
        <f>DAY(Tabela_ferias_folgas[[#This Row],[Data]])</f>
        <v>13</v>
      </c>
      <c r="E24">
        <f>MONTH(Tabela_ferias_folgas[[#This Row],[Data]])</f>
        <v>1</v>
      </c>
      <c r="F24">
        <f>YEAR(Tabela_ferias_folgas[[#This Row],[Data]])</f>
        <v>2023</v>
      </c>
      <c r="G24" t="str">
        <f>Tabela_ferias_folgas[[#This Row],[Médico]]&amp;" - "&amp;Tabela_ferias_folgas[[#This Row],[Compromisso]]</f>
        <v>RT - FÉRIAS</v>
      </c>
    </row>
    <row r="25" spans="1:7" x14ac:dyDescent="0.3">
      <c r="A25" t="s">
        <v>84</v>
      </c>
      <c r="B25" t="s">
        <v>464</v>
      </c>
      <c r="C25" s="1">
        <v>44942</v>
      </c>
      <c r="D25">
        <f>DAY(Tabela_ferias_folgas[[#This Row],[Data]])</f>
        <v>16</v>
      </c>
      <c r="E25">
        <f>MONTH(Tabela_ferias_folgas[[#This Row],[Data]])</f>
        <v>1</v>
      </c>
      <c r="F25">
        <f>YEAR(Tabela_ferias_folgas[[#This Row],[Data]])</f>
        <v>2023</v>
      </c>
      <c r="G25" t="str">
        <f>Tabela_ferias_folgas[[#This Row],[Médico]]&amp;" - "&amp;Tabela_ferias_folgas[[#This Row],[Compromisso]]</f>
        <v>ANO - FÉRIAS</v>
      </c>
    </row>
    <row r="26" spans="1:7" x14ac:dyDescent="0.3">
      <c r="A26" t="s">
        <v>84</v>
      </c>
      <c r="B26" t="s">
        <v>464</v>
      </c>
      <c r="C26" s="1">
        <v>44943</v>
      </c>
      <c r="D26">
        <f>DAY(Tabela_ferias_folgas[[#This Row],[Data]])</f>
        <v>17</v>
      </c>
      <c r="E26">
        <f>MONTH(Tabela_ferias_folgas[[#This Row],[Data]])</f>
        <v>1</v>
      </c>
      <c r="F26">
        <f>YEAR(Tabela_ferias_folgas[[#This Row],[Data]])</f>
        <v>2023</v>
      </c>
      <c r="G26" t="str">
        <f>Tabela_ferias_folgas[[#This Row],[Médico]]&amp;" - "&amp;Tabela_ferias_folgas[[#This Row],[Compromisso]]</f>
        <v>ANO - FÉRIAS</v>
      </c>
    </row>
    <row r="27" spans="1:7" x14ac:dyDescent="0.3">
      <c r="A27" t="s">
        <v>84</v>
      </c>
      <c r="B27" t="s">
        <v>464</v>
      </c>
      <c r="C27" s="1">
        <v>44944</v>
      </c>
      <c r="D27">
        <f>DAY(Tabela_ferias_folgas[[#This Row],[Data]])</f>
        <v>18</v>
      </c>
      <c r="E27">
        <f>MONTH(Tabela_ferias_folgas[[#This Row],[Data]])</f>
        <v>1</v>
      </c>
      <c r="F27">
        <f>YEAR(Tabela_ferias_folgas[[#This Row],[Data]])</f>
        <v>2023</v>
      </c>
      <c r="G27" t="str">
        <f>Tabela_ferias_folgas[[#This Row],[Médico]]&amp;" - "&amp;Tabela_ferias_folgas[[#This Row],[Compromisso]]</f>
        <v>ANO - FÉRIAS</v>
      </c>
    </row>
    <row r="28" spans="1:7" x14ac:dyDescent="0.3">
      <c r="A28" t="s">
        <v>84</v>
      </c>
      <c r="B28" t="s">
        <v>464</v>
      </c>
      <c r="C28" s="1">
        <v>44945</v>
      </c>
      <c r="D28">
        <f>DAY(Tabela_ferias_folgas[[#This Row],[Data]])</f>
        <v>19</v>
      </c>
      <c r="E28">
        <f>MONTH(Tabela_ferias_folgas[[#This Row],[Data]])</f>
        <v>1</v>
      </c>
      <c r="F28">
        <f>YEAR(Tabela_ferias_folgas[[#This Row],[Data]])</f>
        <v>2023</v>
      </c>
      <c r="G28" t="str">
        <f>Tabela_ferias_folgas[[#This Row],[Médico]]&amp;" - "&amp;Tabela_ferias_folgas[[#This Row],[Compromisso]]</f>
        <v>ANO - FÉRIAS</v>
      </c>
    </row>
    <row r="29" spans="1:7" x14ac:dyDescent="0.3">
      <c r="A29" t="s">
        <v>84</v>
      </c>
      <c r="B29" t="s">
        <v>464</v>
      </c>
      <c r="C29" s="1">
        <v>44946</v>
      </c>
      <c r="D29">
        <f>DAY(Tabela_ferias_folgas[[#This Row],[Data]])</f>
        <v>20</v>
      </c>
      <c r="E29">
        <f>MONTH(Tabela_ferias_folgas[[#This Row],[Data]])</f>
        <v>1</v>
      </c>
      <c r="F29">
        <f>YEAR(Tabela_ferias_folgas[[#This Row],[Data]])</f>
        <v>2023</v>
      </c>
      <c r="G29" t="str">
        <f>Tabela_ferias_folgas[[#This Row],[Médico]]&amp;" - "&amp;Tabela_ferias_folgas[[#This Row],[Compromisso]]</f>
        <v>ANO - FÉRIAS</v>
      </c>
    </row>
    <row r="30" spans="1:7" x14ac:dyDescent="0.3">
      <c r="A30" t="s">
        <v>84</v>
      </c>
      <c r="B30" t="s">
        <v>464</v>
      </c>
      <c r="C30" s="1">
        <v>44947</v>
      </c>
      <c r="D30">
        <f>DAY(Tabela_ferias_folgas[[#This Row],[Data]])</f>
        <v>21</v>
      </c>
      <c r="E30">
        <f>MONTH(Tabela_ferias_folgas[[#This Row],[Data]])</f>
        <v>1</v>
      </c>
      <c r="F30">
        <f>YEAR(Tabela_ferias_folgas[[#This Row],[Data]])</f>
        <v>2023</v>
      </c>
      <c r="G30" t="str">
        <f>Tabela_ferias_folgas[[#This Row],[Médico]]&amp;" - "&amp;Tabela_ferias_folgas[[#This Row],[Compromisso]]</f>
        <v>ANO - FÉRIAS</v>
      </c>
    </row>
    <row r="31" spans="1:7" x14ac:dyDescent="0.3">
      <c r="A31" t="s">
        <v>84</v>
      </c>
      <c r="B31" t="s">
        <v>464</v>
      </c>
      <c r="C31" s="1">
        <v>44948</v>
      </c>
      <c r="D31">
        <f>DAY(Tabela_ferias_folgas[[#This Row],[Data]])</f>
        <v>22</v>
      </c>
      <c r="E31">
        <f>MONTH(Tabela_ferias_folgas[[#This Row],[Data]])</f>
        <v>1</v>
      </c>
      <c r="F31">
        <f>YEAR(Tabela_ferias_folgas[[#This Row],[Data]])</f>
        <v>2023</v>
      </c>
      <c r="G31" t="str">
        <f>Tabela_ferias_folgas[[#This Row],[Médico]]&amp;" - "&amp;Tabela_ferias_folgas[[#This Row],[Compromisso]]</f>
        <v>ANO - FÉRIAS</v>
      </c>
    </row>
    <row r="32" spans="1:7" x14ac:dyDescent="0.3">
      <c r="A32" t="s">
        <v>84</v>
      </c>
      <c r="B32" t="s">
        <v>464</v>
      </c>
      <c r="C32" s="1">
        <v>44949</v>
      </c>
      <c r="D32">
        <f>DAY(Tabela_ferias_folgas[[#This Row],[Data]])</f>
        <v>23</v>
      </c>
      <c r="E32">
        <f>MONTH(Tabela_ferias_folgas[[#This Row],[Data]])</f>
        <v>1</v>
      </c>
      <c r="F32">
        <f>YEAR(Tabela_ferias_folgas[[#This Row],[Data]])</f>
        <v>2023</v>
      </c>
      <c r="G32" t="str">
        <f>Tabela_ferias_folgas[[#This Row],[Médico]]&amp;" - "&amp;Tabela_ferias_folgas[[#This Row],[Compromisso]]</f>
        <v>ANO - FÉRIAS</v>
      </c>
    </row>
    <row r="33" spans="1:7" x14ac:dyDescent="0.3">
      <c r="A33" t="s">
        <v>84</v>
      </c>
      <c r="B33" t="s">
        <v>464</v>
      </c>
      <c r="C33" s="1">
        <v>44950</v>
      </c>
      <c r="D33">
        <f>DAY(Tabela_ferias_folgas[[#This Row],[Data]])</f>
        <v>24</v>
      </c>
      <c r="E33">
        <f>MONTH(Tabela_ferias_folgas[[#This Row],[Data]])</f>
        <v>1</v>
      </c>
      <c r="F33">
        <f>YEAR(Tabela_ferias_folgas[[#This Row],[Data]])</f>
        <v>2023</v>
      </c>
      <c r="G33" t="str">
        <f>Tabela_ferias_folgas[[#This Row],[Médico]]&amp;" - "&amp;Tabela_ferias_folgas[[#This Row],[Compromisso]]</f>
        <v>ANO - FÉRIAS</v>
      </c>
    </row>
    <row r="34" spans="1:7" x14ac:dyDescent="0.3">
      <c r="A34" t="s">
        <v>84</v>
      </c>
      <c r="B34" t="s">
        <v>464</v>
      </c>
      <c r="C34" s="1">
        <v>44951</v>
      </c>
      <c r="D34">
        <f>DAY(Tabela_ferias_folgas[[#This Row],[Data]])</f>
        <v>25</v>
      </c>
      <c r="E34">
        <f>MONTH(Tabela_ferias_folgas[[#This Row],[Data]])</f>
        <v>1</v>
      </c>
      <c r="F34">
        <f>YEAR(Tabela_ferias_folgas[[#This Row],[Data]])</f>
        <v>2023</v>
      </c>
      <c r="G34" t="str">
        <f>Tabela_ferias_folgas[[#This Row],[Médico]]&amp;" - "&amp;Tabela_ferias_folgas[[#This Row],[Compromisso]]</f>
        <v>ANO - FÉRIAS</v>
      </c>
    </row>
    <row r="35" spans="1:7" x14ac:dyDescent="0.3">
      <c r="A35" t="s">
        <v>84</v>
      </c>
      <c r="B35" t="s">
        <v>464</v>
      </c>
      <c r="C35" s="1">
        <v>44952</v>
      </c>
      <c r="D35">
        <f>DAY(Tabela_ferias_folgas[[#This Row],[Data]])</f>
        <v>26</v>
      </c>
      <c r="E35">
        <f>MONTH(Tabela_ferias_folgas[[#This Row],[Data]])</f>
        <v>1</v>
      </c>
      <c r="F35">
        <f>YEAR(Tabela_ferias_folgas[[#This Row],[Data]])</f>
        <v>2023</v>
      </c>
      <c r="G35" t="str">
        <f>Tabela_ferias_folgas[[#This Row],[Médico]]&amp;" - "&amp;Tabela_ferias_folgas[[#This Row],[Compromisso]]</f>
        <v>ANO - FÉRIAS</v>
      </c>
    </row>
    <row r="36" spans="1:7" x14ac:dyDescent="0.3">
      <c r="A36" t="s">
        <v>84</v>
      </c>
      <c r="B36" t="s">
        <v>464</v>
      </c>
      <c r="C36" s="1">
        <v>44953</v>
      </c>
      <c r="D36">
        <f>DAY(Tabela_ferias_folgas[[#This Row],[Data]])</f>
        <v>27</v>
      </c>
      <c r="E36">
        <f>MONTH(Tabela_ferias_folgas[[#This Row],[Data]])</f>
        <v>1</v>
      </c>
      <c r="F36">
        <f>YEAR(Tabela_ferias_folgas[[#This Row],[Data]])</f>
        <v>2023</v>
      </c>
      <c r="G36" t="str">
        <f>Tabela_ferias_folgas[[#This Row],[Médico]]&amp;" - "&amp;Tabela_ferias_folgas[[#This Row],[Compromisso]]</f>
        <v>ANO - FÉRIAS</v>
      </c>
    </row>
    <row r="37" spans="1:7" x14ac:dyDescent="0.3">
      <c r="A37" t="s">
        <v>32</v>
      </c>
      <c r="B37" t="s">
        <v>464</v>
      </c>
      <c r="C37" s="1">
        <v>44928</v>
      </c>
      <c r="D37">
        <f>DAY(Tabela_ferias_folgas[[#This Row],[Data]])</f>
        <v>2</v>
      </c>
      <c r="E37">
        <f>MONTH(Tabela_ferias_folgas[[#This Row],[Data]])</f>
        <v>1</v>
      </c>
      <c r="F37">
        <f>YEAR(Tabela_ferias_folgas[[#This Row],[Data]])</f>
        <v>2023</v>
      </c>
      <c r="G37" t="str">
        <f>Tabela_ferias_folgas[[#This Row],[Médico]]&amp;" - "&amp;Tabela_ferias_folgas[[#This Row],[Compromisso]]</f>
        <v>JS - FÉRIAS</v>
      </c>
    </row>
    <row r="38" spans="1:7" x14ac:dyDescent="0.3">
      <c r="A38" t="s">
        <v>32</v>
      </c>
      <c r="B38" t="s">
        <v>464</v>
      </c>
      <c r="C38" s="1">
        <v>44929</v>
      </c>
      <c r="D38">
        <f>DAY(Tabela_ferias_folgas[[#This Row],[Data]])</f>
        <v>3</v>
      </c>
      <c r="E38">
        <f>MONTH(Tabela_ferias_folgas[[#This Row],[Data]])</f>
        <v>1</v>
      </c>
      <c r="F38">
        <f>YEAR(Tabela_ferias_folgas[[#This Row],[Data]])</f>
        <v>2023</v>
      </c>
      <c r="G38" t="str">
        <f>Tabela_ferias_folgas[[#This Row],[Médico]]&amp;" - "&amp;Tabela_ferias_folgas[[#This Row],[Compromisso]]</f>
        <v>JS - FÉRIAS</v>
      </c>
    </row>
    <row r="39" spans="1:7" x14ac:dyDescent="0.3">
      <c r="A39" t="s">
        <v>32</v>
      </c>
      <c r="B39" t="s">
        <v>464</v>
      </c>
      <c r="C39" s="1">
        <v>44930</v>
      </c>
      <c r="D39">
        <f>DAY(Tabela_ferias_folgas[[#This Row],[Data]])</f>
        <v>4</v>
      </c>
      <c r="E39">
        <f>MONTH(Tabela_ferias_folgas[[#This Row],[Data]])</f>
        <v>1</v>
      </c>
      <c r="F39">
        <f>YEAR(Tabela_ferias_folgas[[#This Row],[Data]])</f>
        <v>2023</v>
      </c>
      <c r="G39" t="str">
        <f>Tabela_ferias_folgas[[#This Row],[Médico]]&amp;" - "&amp;Tabela_ferias_folgas[[#This Row],[Compromisso]]</f>
        <v>JS - FÉRIAS</v>
      </c>
    </row>
    <row r="40" spans="1:7" x14ac:dyDescent="0.3">
      <c r="A40" t="s">
        <v>32</v>
      </c>
      <c r="B40" t="s">
        <v>464</v>
      </c>
      <c r="C40" s="1">
        <v>44931</v>
      </c>
      <c r="D40">
        <f>DAY(Tabela_ferias_folgas[[#This Row],[Data]])</f>
        <v>5</v>
      </c>
      <c r="E40">
        <f>MONTH(Tabela_ferias_folgas[[#This Row],[Data]])</f>
        <v>1</v>
      </c>
      <c r="F40">
        <f>YEAR(Tabela_ferias_folgas[[#This Row],[Data]])</f>
        <v>2023</v>
      </c>
      <c r="G40" t="str">
        <f>Tabela_ferias_folgas[[#This Row],[Médico]]&amp;" - "&amp;Tabela_ferias_folgas[[#This Row],[Compromisso]]</f>
        <v>JS - FÉRIAS</v>
      </c>
    </row>
    <row r="41" spans="1:7" x14ac:dyDescent="0.3">
      <c r="A41" t="s">
        <v>32</v>
      </c>
      <c r="B41" t="s">
        <v>464</v>
      </c>
      <c r="C41" s="1">
        <v>44932</v>
      </c>
      <c r="D41">
        <f>DAY(Tabela_ferias_folgas[[#This Row],[Data]])</f>
        <v>6</v>
      </c>
      <c r="E41">
        <f>MONTH(Tabela_ferias_folgas[[#This Row],[Data]])</f>
        <v>1</v>
      </c>
      <c r="F41">
        <f>YEAR(Tabela_ferias_folgas[[#This Row],[Data]])</f>
        <v>2023</v>
      </c>
      <c r="G41" t="str">
        <f>Tabela_ferias_folgas[[#This Row],[Médico]]&amp;" - "&amp;Tabela_ferias_folgas[[#This Row],[Compromisso]]</f>
        <v>JS - FÉRIAS</v>
      </c>
    </row>
    <row r="42" spans="1:7" x14ac:dyDescent="0.3">
      <c r="A42" t="s">
        <v>32</v>
      </c>
      <c r="B42" t="s">
        <v>464</v>
      </c>
      <c r="C42" s="1">
        <v>44933</v>
      </c>
      <c r="D42">
        <f>DAY(Tabela_ferias_folgas[[#This Row],[Data]])</f>
        <v>7</v>
      </c>
      <c r="E42">
        <f>MONTH(Tabela_ferias_folgas[[#This Row],[Data]])</f>
        <v>1</v>
      </c>
      <c r="F42">
        <f>YEAR(Tabela_ferias_folgas[[#This Row],[Data]])</f>
        <v>2023</v>
      </c>
      <c r="G42" t="str">
        <f>Tabela_ferias_folgas[[#This Row],[Médico]]&amp;" - "&amp;Tabela_ferias_folgas[[#This Row],[Compromisso]]</f>
        <v>JS - FÉRIAS</v>
      </c>
    </row>
    <row r="43" spans="1:7" x14ac:dyDescent="0.3">
      <c r="A43" t="s">
        <v>32</v>
      </c>
      <c r="B43" t="s">
        <v>464</v>
      </c>
      <c r="C43" s="1">
        <v>44934</v>
      </c>
      <c r="D43">
        <f>DAY(Tabela_ferias_folgas[[#This Row],[Data]])</f>
        <v>8</v>
      </c>
      <c r="E43">
        <f>MONTH(Tabela_ferias_folgas[[#This Row],[Data]])</f>
        <v>1</v>
      </c>
      <c r="F43">
        <f>YEAR(Tabela_ferias_folgas[[#This Row],[Data]])</f>
        <v>2023</v>
      </c>
      <c r="G43" t="str">
        <f>Tabela_ferias_folgas[[#This Row],[Médico]]&amp;" - "&amp;Tabela_ferias_folgas[[#This Row],[Compromisso]]</f>
        <v>JS - FÉRIAS</v>
      </c>
    </row>
    <row r="44" spans="1:7" x14ac:dyDescent="0.3">
      <c r="A44" t="s">
        <v>32</v>
      </c>
      <c r="B44" t="s">
        <v>464</v>
      </c>
      <c r="C44" s="1">
        <v>44935</v>
      </c>
      <c r="D44">
        <f>DAY(Tabela_ferias_folgas[[#This Row],[Data]])</f>
        <v>9</v>
      </c>
      <c r="E44">
        <f>MONTH(Tabela_ferias_folgas[[#This Row],[Data]])</f>
        <v>1</v>
      </c>
      <c r="F44">
        <f>YEAR(Tabela_ferias_folgas[[#This Row],[Data]])</f>
        <v>2023</v>
      </c>
      <c r="G44" t="str">
        <f>Tabela_ferias_folgas[[#This Row],[Médico]]&amp;" - "&amp;Tabela_ferias_folgas[[#This Row],[Compromisso]]</f>
        <v>JS - FÉRIAS</v>
      </c>
    </row>
    <row r="45" spans="1:7" x14ac:dyDescent="0.3">
      <c r="A45" t="s">
        <v>32</v>
      </c>
      <c r="B45" t="s">
        <v>464</v>
      </c>
      <c r="C45" s="1">
        <v>44936</v>
      </c>
      <c r="D45">
        <f>DAY(Tabela_ferias_folgas[[#This Row],[Data]])</f>
        <v>10</v>
      </c>
      <c r="E45">
        <f>MONTH(Tabela_ferias_folgas[[#This Row],[Data]])</f>
        <v>1</v>
      </c>
      <c r="F45">
        <f>YEAR(Tabela_ferias_folgas[[#This Row],[Data]])</f>
        <v>2023</v>
      </c>
      <c r="G45" t="str">
        <f>Tabela_ferias_folgas[[#This Row],[Médico]]&amp;" - "&amp;Tabela_ferias_folgas[[#This Row],[Compromisso]]</f>
        <v>JS - FÉRIAS</v>
      </c>
    </row>
    <row r="46" spans="1:7" x14ac:dyDescent="0.3">
      <c r="A46" t="s">
        <v>32</v>
      </c>
      <c r="B46" t="s">
        <v>464</v>
      </c>
      <c r="C46" s="1">
        <v>44937</v>
      </c>
      <c r="D46">
        <f>DAY(Tabela_ferias_folgas[[#This Row],[Data]])</f>
        <v>11</v>
      </c>
      <c r="E46">
        <f>MONTH(Tabela_ferias_folgas[[#This Row],[Data]])</f>
        <v>1</v>
      </c>
      <c r="F46">
        <f>YEAR(Tabela_ferias_folgas[[#This Row],[Data]])</f>
        <v>2023</v>
      </c>
      <c r="G46" t="str">
        <f>Tabela_ferias_folgas[[#This Row],[Médico]]&amp;" - "&amp;Tabela_ferias_folgas[[#This Row],[Compromisso]]</f>
        <v>JS - FÉRIAS</v>
      </c>
    </row>
    <row r="47" spans="1:7" x14ac:dyDescent="0.3">
      <c r="A47" t="s">
        <v>32</v>
      </c>
      <c r="B47" t="s">
        <v>464</v>
      </c>
      <c r="C47" s="1">
        <v>44938</v>
      </c>
      <c r="D47">
        <f>DAY(Tabela_ferias_folgas[[#This Row],[Data]])</f>
        <v>12</v>
      </c>
      <c r="E47">
        <f>MONTH(Tabela_ferias_folgas[[#This Row],[Data]])</f>
        <v>1</v>
      </c>
      <c r="F47">
        <f>YEAR(Tabela_ferias_folgas[[#This Row],[Data]])</f>
        <v>2023</v>
      </c>
      <c r="G47" t="str">
        <f>Tabela_ferias_folgas[[#This Row],[Médico]]&amp;" - "&amp;Tabela_ferias_folgas[[#This Row],[Compromisso]]</f>
        <v>JS - FÉRIAS</v>
      </c>
    </row>
    <row r="48" spans="1:7" x14ac:dyDescent="0.3">
      <c r="A48" t="s">
        <v>32</v>
      </c>
      <c r="B48" t="s">
        <v>464</v>
      </c>
      <c r="C48" s="1">
        <v>44939</v>
      </c>
      <c r="D48">
        <f>DAY(Tabela_ferias_folgas[[#This Row],[Data]])</f>
        <v>13</v>
      </c>
      <c r="E48">
        <f>MONTH(Tabela_ferias_folgas[[#This Row],[Data]])</f>
        <v>1</v>
      </c>
      <c r="F48">
        <f>YEAR(Tabela_ferias_folgas[[#This Row],[Data]])</f>
        <v>2023</v>
      </c>
      <c r="G48" t="str">
        <f>Tabela_ferias_folgas[[#This Row],[Médico]]&amp;" - "&amp;Tabela_ferias_folgas[[#This Row],[Compromisso]]</f>
        <v>JS - FÉRIAS</v>
      </c>
    </row>
    <row r="49" spans="1:7" x14ac:dyDescent="0.3">
      <c r="A49" t="s">
        <v>50</v>
      </c>
      <c r="B49" t="s">
        <v>464</v>
      </c>
      <c r="C49" s="1">
        <v>44928</v>
      </c>
      <c r="D49">
        <f>DAY(Tabela_ferias_folgas[[#This Row],[Data]])</f>
        <v>2</v>
      </c>
      <c r="E49">
        <f>MONTH(Tabela_ferias_folgas[[#This Row],[Data]])</f>
        <v>1</v>
      </c>
      <c r="F49">
        <f>YEAR(Tabela_ferias_folgas[[#This Row],[Data]])</f>
        <v>2023</v>
      </c>
      <c r="G49" t="str">
        <f>Tabela_ferias_folgas[[#This Row],[Médico]]&amp;" - "&amp;Tabela_ferias_folgas[[#This Row],[Compromisso]]</f>
        <v>PJP - FÉRIAS</v>
      </c>
    </row>
    <row r="50" spans="1:7" x14ac:dyDescent="0.3">
      <c r="A50" t="s">
        <v>50</v>
      </c>
      <c r="B50" t="s">
        <v>464</v>
      </c>
      <c r="C50" s="1">
        <v>44929</v>
      </c>
      <c r="D50">
        <f>DAY(Tabela_ferias_folgas[[#This Row],[Data]])</f>
        <v>3</v>
      </c>
      <c r="E50">
        <f>MONTH(Tabela_ferias_folgas[[#This Row],[Data]])</f>
        <v>1</v>
      </c>
      <c r="F50">
        <f>YEAR(Tabela_ferias_folgas[[#This Row],[Data]])</f>
        <v>2023</v>
      </c>
      <c r="G50" t="str">
        <f>Tabela_ferias_folgas[[#This Row],[Médico]]&amp;" - "&amp;Tabela_ferias_folgas[[#This Row],[Compromisso]]</f>
        <v>PJP - FÉRIAS</v>
      </c>
    </row>
    <row r="51" spans="1:7" x14ac:dyDescent="0.3">
      <c r="A51" t="s">
        <v>50</v>
      </c>
      <c r="B51" t="s">
        <v>464</v>
      </c>
      <c r="C51" s="1">
        <v>44930</v>
      </c>
      <c r="D51">
        <f>DAY(Tabela_ferias_folgas[[#This Row],[Data]])</f>
        <v>4</v>
      </c>
      <c r="E51">
        <f>MONTH(Tabela_ferias_folgas[[#This Row],[Data]])</f>
        <v>1</v>
      </c>
      <c r="F51">
        <f>YEAR(Tabela_ferias_folgas[[#This Row],[Data]])</f>
        <v>2023</v>
      </c>
      <c r="G51" t="str">
        <f>Tabela_ferias_folgas[[#This Row],[Médico]]&amp;" - "&amp;Tabela_ferias_folgas[[#This Row],[Compromisso]]</f>
        <v>PJP - FÉRIAS</v>
      </c>
    </row>
    <row r="52" spans="1:7" x14ac:dyDescent="0.3">
      <c r="A52" t="s">
        <v>50</v>
      </c>
      <c r="B52" t="s">
        <v>464</v>
      </c>
      <c r="C52" s="1">
        <v>44931</v>
      </c>
      <c r="D52">
        <f>DAY(Tabela_ferias_folgas[[#This Row],[Data]])</f>
        <v>5</v>
      </c>
      <c r="E52">
        <f>MONTH(Tabela_ferias_folgas[[#This Row],[Data]])</f>
        <v>1</v>
      </c>
      <c r="F52">
        <f>YEAR(Tabela_ferias_folgas[[#This Row],[Data]])</f>
        <v>2023</v>
      </c>
      <c r="G52" t="str">
        <f>Tabela_ferias_folgas[[#This Row],[Médico]]&amp;" - "&amp;Tabela_ferias_folgas[[#This Row],[Compromisso]]</f>
        <v>PJP - FÉRIAS</v>
      </c>
    </row>
    <row r="53" spans="1:7" x14ac:dyDescent="0.3">
      <c r="A53" t="s">
        <v>50</v>
      </c>
      <c r="B53" t="s">
        <v>464</v>
      </c>
      <c r="C53" s="1">
        <v>44932</v>
      </c>
      <c r="D53">
        <f>DAY(Tabela_ferias_folgas[[#This Row],[Data]])</f>
        <v>6</v>
      </c>
      <c r="E53">
        <f>MONTH(Tabela_ferias_folgas[[#This Row],[Data]])</f>
        <v>1</v>
      </c>
      <c r="F53">
        <f>YEAR(Tabela_ferias_folgas[[#This Row],[Data]])</f>
        <v>2023</v>
      </c>
      <c r="G53" t="str">
        <f>Tabela_ferias_folgas[[#This Row],[Médico]]&amp;" - "&amp;Tabela_ferias_folgas[[#This Row],[Compromisso]]</f>
        <v>PJP - FÉRIAS</v>
      </c>
    </row>
    <row r="54" spans="1:7" x14ac:dyDescent="0.3">
      <c r="A54" t="s">
        <v>47</v>
      </c>
      <c r="B54" t="s">
        <v>464</v>
      </c>
      <c r="C54" s="1">
        <v>44928</v>
      </c>
      <c r="D54">
        <f>DAY(Tabela_ferias_folgas[[#This Row],[Data]])</f>
        <v>2</v>
      </c>
      <c r="E54">
        <f>MONTH(Tabela_ferias_folgas[[#This Row],[Data]])</f>
        <v>1</v>
      </c>
      <c r="F54">
        <f>YEAR(Tabela_ferias_folgas[[#This Row],[Data]])</f>
        <v>2023</v>
      </c>
      <c r="G54" t="str">
        <f>Tabela_ferias_folgas[[#This Row],[Médico]]&amp;" - "&amp;Tabela_ferias_folgas[[#This Row],[Compromisso]]</f>
        <v>VIN - FÉRIAS</v>
      </c>
    </row>
    <row r="55" spans="1:7" x14ac:dyDescent="0.3">
      <c r="A55" t="s">
        <v>47</v>
      </c>
      <c r="B55" t="s">
        <v>464</v>
      </c>
      <c r="C55" s="1">
        <v>44929</v>
      </c>
      <c r="D55">
        <f>DAY(Tabela_ferias_folgas[[#This Row],[Data]])</f>
        <v>3</v>
      </c>
      <c r="E55">
        <f>MONTH(Tabela_ferias_folgas[[#This Row],[Data]])</f>
        <v>1</v>
      </c>
      <c r="F55">
        <f>YEAR(Tabela_ferias_folgas[[#This Row],[Data]])</f>
        <v>2023</v>
      </c>
      <c r="G55" t="str">
        <f>Tabela_ferias_folgas[[#This Row],[Médico]]&amp;" - "&amp;Tabela_ferias_folgas[[#This Row],[Compromisso]]</f>
        <v>VIN - FÉRIAS</v>
      </c>
    </row>
    <row r="56" spans="1:7" x14ac:dyDescent="0.3">
      <c r="A56" t="s">
        <v>47</v>
      </c>
      <c r="B56" t="s">
        <v>464</v>
      </c>
      <c r="C56" s="1">
        <v>44930</v>
      </c>
      <c r="D56">
        <f>DAY(Tabela_ferias_folgas[[#This Row],[Data]])</f>
        <v>4</v>
      </c>
      <c r="E56">
        <f>MONTH(Tabela_ferias_folgas[[#This Row],[Data]])</f>
        <v>1</v>
      </c>
      <c r="F56">
        <f>YEAR(Tabela_ferias_folgas[[#This Row],[Data]])</f>
        <v>2023</v>
      </c>
      <c r="G56" t="str">
        <f>Tabela_ferias_folgas[[#This Row],[Médico]]&amp;" - "&amp;Tabela_ferias_folgas[[#This Row],[Compromisso]]</f>
        <v>VIN - FÉRIAS</v>
      </c>
    </row>
    <row r="57" spans="1:7" x14ac:dyDescent="0.3">
      <c r="A57" t="s">
        <v>47</v>
      </c>
      <c r="B57" t="s">
        <v>464</v>
      </c>
      <c r="C57" s="1">
        <v>44931</v>
      </c>
      <c r="D57">
        <f>DAY(Tabela_ferias_folgas[[#This Row],[Data]])</f>
        <v>5</v>
      </c>
      <c r="E57">
        <f>MONTH(Tabela_ferias_folgas[[#This Row],[Data]])</f>
        <v>1</v>
      </c>
      <c r="F57">
        <f>YEAR(Tabela_ferias_folgas[[#This Row],[Data]])</f>
        <v>2023</v>
      </c>
      <c r="G57" t="str">
        <f>Tabela_ferias_folgas[[#This Row],[Médico]]&amp;" - "&amp;Tabela_ferias_folgas[[#This Row],[Compromisso]]</f>
        <v>VIN - FÉRIAS</v>
      </c>
    </row>
    <row r="58" spans="1:7" x14ac:dyDescent="0.3">
      <c r="A58" t="s">
        <v>47</v>
      </c>
      <c r="B58" t="s">
        <v>464</v>
      </c>
      <c r="C58" s="1">
        <v>44932</v>
      </c>
      <c r="D58">
        <f>DAY(Tabela_ferias_folgas[[#This Row],[Data]])</f>
        <v>6</v>
      </c>
      <c r="E58">
        <f>MONTH(Tabela_ferias_folgas[[#This Row],[Data]])</f>
        <v>1</v>
      </c>
      <c r="F58">
        <f>YEAR(Tabela_ferias_folgas[[#This Row],[Data]])</f>
        <v>2023</v>
      </c>
      <c r="G58" t="str">
        <f>Tabela_ferias_folgas[[#This Row],[Médico]]&amp;" - "&amp;Tabela_ferias_folgas[[#This Row],[Compromisso]]</f>
        <v>VIN - FÉRIAS</v>
      </c>
    </row>
    <row r="59" spans="1:7" x14ac:dyDescent="0.3">
      <c r="A59" t="s">
        <v>47</v>
      </c>
      <c r="C59" s="1">
        <v>44938</v>
      </c>
      <c r="D59">
        <f>DAY(Tabela_ferias_folgas[[#This Row],[Data]])</f>
        <v>12</v>
      </c>
      <c r="E59">
        <f>MONTH(Tabela_ferias_folgas[[#This Row],[Data]])</f>
        <v>1</v>
      </c>
      <c r="F59">
        <f>YEAR(Tabela_ferias_folgas[[#This Row],[Data]])</f>
        <v>2023</v>
      </c>
      <c r="G59" t="str">
        <f>Tabela_ferias_folgas[[#This Row],[Médico]]&amp;" - "&amp;Tabela_ferias_folgas[[#This Row],[Compromisso]]</f>
        <v xml:space="preserve">VIN - </v>
      </c>
    </row>
    <row r="60" spans="1:7" x14ac:dyDescent="0.3">
      <c r="A60" t="s">
        <v>47</v>
      </c>
      <c r="C60" s="1">
        <v>44939</v>
      </c>
      <c r="D60">
        <f>DAY(Tabela_ferias_folgas[[#This Row],[Data]])</f>
        <v>13</v>
      </c>
      <c r="E60">
        <f>MONTH(Tabela_ferias_folgas[[#This Row],[Data]])</f>
        <v>1</v>
      </c>
      <c r="F60">
        <f>YEAR(Tabela_ferias_folgas[[#This Row],[Data]])</f>
        <v>2023</v>
      </c>
      <c r="G60" t="str">
        <f>Tabela_ferias_folgas[[#This Row],[Médico]]&amp;" - "&amp;Tabela_ferias_folgas[[#This Row],[Compromisso]]</f>
        <v xml:space="preserve">VIN - </v>
      </c>
    </row>
    <row r="61" spans="1:7" x14ac:dyDescent="0.3">
      <c r="A61" t="s">
        <v>333</v>
      </c>
      <c r="B61" t="s">
        <v>466</v>
      </c>
      <c r="C61" s="1">
        <v>44940</v>
      </c>
      <c r="D61">
        <f>DAY(Tabela_ferias_folgas[[#This Row],[Data]])</f>
        <v>14</v>
      </c>
      <c r="E61">
        <f>MONTH(Tabela_ferias_folgas[[#This Row],[Data]])</f>
        <v>1</v>
      </c>
      <c r="F61">
        <f>YEAR(Tabela_ferias_folgas[[#This Row],[Data]])</f>
        <v>2023</v>
      </c>
      <c r="G61" t="str">
        <f>Tabela_ferias_folgas[[#This Row],[Médico]]&amp;" - "&amp;Tabela_ferias_folgas[[#This Row],[Compromisso]]</f>
        <v>COR - CURSO</v>
      </c>
    </row>
    <row r="62" spans="1:7" x14ac:dyDescent="0.3">
      <c r="A62" t="s">
        <v>12</v>
      </c>
      <c r="B62" t="s">
        <v>464</v>
      </c>
      <c r="C62" s="1">
        <v>44943</v>
      </c>
      <c r="D62">
        <f>DAY(Tabela_ferias_folgas[[#This Row],[Data]])</f>
        <v>17</v>
      </c>
      <c r="E62">
        <f>MONTH(Tabela_ferias_folgas[[#This Row],[Data]])</f>
        <v>1</v>
      </c>
      <c r="F62">
        <f>YEAR(Tabela_ferias_folgas[[#This Row],[Data]])</f>
        <v>2023</v>
      </c>
      <c r="G62" t="str">
        <f>Tabela_ferias_folgas[[#This Row],[Médico]]&amp;" - "&amp;Tabela_ferias_folgas[[#This Row],[Compromisso]]</f>
        <v>EDU - FÉRIAS</v>
      </c>
    </row>
    <row r="63" spans="1:7" x14ac:dyDescent="0.3">
      <c r="A63" t="s">
        <v>12</v>
      </c>
      <c r="B63" t="s">
        <v>464</v>
      </c>
      <c r="C63" s="1">
        <v>44944</v>
      </c>
      <c r="D63">
        <f>DAY(Tabela_ferias_folgas[[#This Row],[Data]])</f>
        <v>18</v>
      </c>
      <c r="E63">
        <f>MONTH(Tabela_ferias_folgas[[#This Row],[Data]])</f>
        <v>1</v>
      </c>
      <c r="F63">
        <f>YEAR(Tabela_ferias_folgas[[#This Row],[Data]])</f>
        <v>2023</v>
      </c>
      <c r="G63" t="str">
        <f>Tabela_ferias_folgas[[#This Row],[Médico]]&amp;" - "&amp;Tabela_ferias_folgas[[#This Row],[Compromisso]]</f>
        <v>EDU - FÉRIAS</v>
      </c>
    </row>
    <row r="64" spans="1:7" x14ac:dyDescent="0.3">
      <c r="A64" t="s">
        <v>12</v>
      </c>
      <c r="B64" t="s">
        <v>464</v>
      </c>
      <c r="C64" s="1">
        <v>44945</v>
      </c>
      <c r="D64">
        <f>DAY(Tabela_ferias_folgas[[#This Row],[Data]])</f>
        <v>19</v>
      </c>
      <c r="E64">
        <f>MONTH(Tabela_ferias_folgas[[#This Row],[Data]])</f>
        <v>1</v>
      </c>
      <c r="F64">
        <f>YEAR(Tabela_ferias_folgas[[#This Row],[Data]])</f>
        <v>2023</v>
      </c>
      <c r="G64" t="str">
        <f>Tabela_ferias_folgas[[#This Row],[Médico]]&amp;" - "&amp;Tabela_ferias_folgas[[#This Row],[Compromisso]]</f>
        <v>EDU - FÉRIAS</v>
      </c>
    </row>
    <row r="65" spans="1:7" x14ac:dyDescent="0.3">
      <c r="A65" t="s">
        <v>12</v>
      </c>
      <c r="B65" t="s">
        <v>464</v>
      </c>
      <c r="C65" s="1">
        <v>44946</v>
      </c>
      <c r="D65">
        <f>DAY(Tabela_ferias_folgas[[#This Row],[Data]])</f>
        <v>20</v>
      </c>
      <c r="E65">
        <f>MONTH(Tabela_ferias_folgas[[#This Row],[Data]])</f>
        <v>1</v>
      </c>
      <c r="F65">
        <f>YEAR(Tabela_ferias_folgas[[#This Row],[Data]])</f>
        <v>2023</v>
      </c>
      <c r="G65" t="str">
        <f>Tabela_ferias_folgas[[#This Row],[Médico]]&amp;" - "&amp;Tabela_ferias_folgas[[#This Row],[Compromisso]]</f>
        <v>EDU - FÉRIAS</v>
      </c>
    </row>
    <row r="66" spans="1:7" x14ac:dyDescent="0.3">
      <c r="A66" t="s">
        <v>12</v>
      </c>
      <c r="B66" t="s">
        <v>464</v>
      </c>
      <c r="C66" s="1">
        <v>44947</v>
      </c>
      <c r="D66">
        <f>DAY(Tabela_ferias_folgas[[#This Row],[Data]])</f>
        <v>21</v>
      </c>
      <c r="E66">
        <f>MONTH(Tabela_ferias_folgas[[#This Row],[Data]])</f>
        <v>1</v>
      </c>
      <c r="F66">
        <f>YEAR(Tabela_ferias_folgas[[#This Row],[Data]])</f>
        <v>2023</v>
      </c>
      <c r="G66" t="str">
        <f>Tabela_ferias_folgas[[#This Row],[Médico]]&amp;" - "&amp;Tabela_ferias_folgas[[#This Row],[Compromisso]]</f>
        <v>EDU - FÉRIAS</v>
      </c>
    </row>
    <row r="67" spans="1:7" x14ac:dyDescent="0.3">
      <c r="A67" t="s">
        <v>12</v>
      </c>
      <c r="B67" t="s">
        <v>464</v>
      </c>
      <c r="C67" s="1">
        <v>44948</v>
      </c>
      <c r="D67">
        <f>DAY(Tabela_ferias_folgas[[#This Row],[Data]])</f>
        <v>22</v>
      </c>
      <c r="E67">
        <f>MONTH(Tabela_ferias_folgas[[#This Row],[Data]])</f>
        <v>1</v>
      </c>
      <c r="F67">
        <f>YEAR(Tabela_ferias_folgas[[#This Row],[Data]])</f>
        <v>2023</v>
      </c>
      <c r="G67" t="str">
        <f>Tabela_ferias_folgas[[#This Row],[Médico]]&amp;" - "&amp;Tabela_ferias_folgas[[#This Row],[Compromisso]]</f>
        <v>EDU - FÉRIAS</v>
      </c>
    </row>
    <row r="68" spans="1:7" x14ac:dyDescent="0.3">
      <c r="A68" t="s">
        <v>12</v>
      </c>
      <c r="B68" t="s">
        <v>464</v>
      </c>
      <c r="C68" s="1">
        <v>44949</v>
      </c>
      <c r="D68">
        <f>DAY(Tabela_ferias_folgas[[#This Row],[Data]])</f>
        <v>23</v>
      </c>
      <c r="E68">
        <f>MONTH(Tabela_ferias_folgas[[#This Row],[Data]])</f>
        <v>1</v>
      </c>
      <c r="F68">
        <f>YEAR(Tabela_ferias_folgas[[#This Row],[Data]])</f>
        <v>2023</v>
      </c>
      <c r="G68" t="str">
        <f>Tabela_ferias_folgas[[#This Row],[Médico]]&amp;" - "&amp;Tabela_ferias_folgas[[#This Row],[Compromisso]]</f>
        <v>EDU - FÉRIAS</v>
      </c>
    </row>
    <row r="69" spans="1:7" x14ac:dyDescent="0.3">
      <c r="A69" t="s">
        <v>12</v>
      </c>
      <c r="B69" t="s">
        <v>464</v>
      </c>
      <c r="C69" s="1">
        <v>44950</v>
      </c>
      <c r="D69">
        <f>DAY(Tabela_ferias_folgas[[#This Row],[Data]])</f>
        <v>24</v>
      </c>
      <c r="E69">
        <f>MONTH(Tabela_ferias_folgas[[#This Row],[Data]])</f>
        <v>1</v>
      </c>
      <c r="F69">
        <f>YEAR(Tabela_ferias_folgas[[#This Row],[Data]])</f>
        <v>2023</v>
      </c>
      <c r="G69" t="str">
        <f>Tabela_ferias_folgas[[#This Row],[Médico]]&amp;" - "&amp;Tabela_ferias_folgas[[#This Row],[Compromisso]]</f>
        <v>EDU - FÉRIAS</v>
      </c>
    </row>
    <row r="70" spans="1:7" x14ac:dyDescent="0.3">
      <c r="A70" t="s">
        <v>12</v>
      </c>
      <c r="B70" t="s">
        <v>464</v>
      </c>
      <c r="C70" s="1">
        <v>44951</v>
      </c>
      <c r="D70">
        <f>DAY(Tabela_ferias_folgas[[#This Row],[Data]])</f>
        <v>25</v>
      </c>
      <c r="E70">
        <f>MONTH(Tabela_ferias_folgas[[#This Row],[Data]])</f>
        <v>1</v>
      </c>
      <c r="F70">
        <f>YEAR(Tabela_ferias_folgas[[#This Row],[Data]])</f>
        <v>2023</v>
      </c>
      <c r="G70" t="str">
        <f>Tabela_ferias_folgas[[#This Row],[Médico]]&amp;" - "&amp;Tabela_ferias_folgas[[#This Row],[Compromisso]]</f>
        <v>EDU - FÉRIAS</v>
      </c>
    </row>
    <row r="71" spans="1:7" x14ac:dyDescent="0.3">
      <c r="A71" t="s">
        <v>12</v>
      </c>
      <c r="B71" t="s">
        <v>464</v>
      </c>
      <c r="C71" s="1">
        <v>44952</v>
      </c>
      <c r="D71">
        <f>DAY(Tabela_ferias_folgas[[#This Row],[Data]])</f>
        <v>26</v>
      </c>
      <c r="E71">
        <f>MONTH(Tabela_ferias_folgas[[#This Row],[Data]])</f>
        <v>1</v>
      </c>
      <c r="F71">
        <f>YEAR(Tabela_ferias_folgas[[#This Row],[Data]])</f>
        <v>2023</v>
      </c>
      <c r="G71" t="str">
        <f>Tabela_ferias_folgas[[#This Row],[Médico]]&amp;" - "&amp;Tabela_ferias_folgas[[#This Row],[Compromisso]]</f>
        <v>EDU - FÉRIAS</v>
      </c>
    </row>
    <row r="72" spans="1:7" x14ac:dyDescent="0.3">
      <c r="A72" t="s">
        <v>12</v>
      </c>
      <c r="B72" t="s">
        <v>464</v>
      </c>
      <c r="C72" s="1">
        <v>44953</v>
      </c>
      <c r="D72">
        <f>DAY(Tabela_ferias_folgas[[#This Row],[Data]])</f>
        <v>27</v>
      </c>
      <c r="E72">
        <f>MONTH(Tabela_ferias_folgas[[#This Row],[Data]])</f>
        <v>1</v>
      </c>
      <c r="F72">
        <f>YEAR(Tabela_ferias_folgas[[#This Row],[Data]])</f>
        <v>2023</v>
      </c>
      <c r="G72" t="str">
        <f>Tabela_ferias_folgas[[#This Row],[Médico]]&amp;" - "&amp;Tabela_ferias_folgas[[#This Row],[Compromisso]]</f>
        <v>EDU - FÉRIAS</v>
      </c>
    </row>
    <row r="73" spans="1:7" x14ac:dyDescent="0.3">
      <c r="A73" t="s">
        <v>142</v>
      </c>
      <c r="B73" t="s">
        <v>464</v>
      </c>
      <c r="C73" s="1">
        <v>44942</v>
      </c>
      <c r="D73">
        <f>DAY(Tabela_ferias_folgas[[#This Row],[Data]])</f>
        <v>16</v>
      </c>
      <c r="E73">
        <f>MONTH(Tabela_ferias_folgas[[#This Row],[Data]])</f>
        <v>1</v>
      </c>
      <c r="F73">
        <f>YEAR(Tabela_ferias_folgas[[#This Row],[Data]])</f>
        <v>2023</v>
      </c>
      <c r="G73" t="str">
        <f>Tabela_ferias_folgas[[#This Row],[Médico]]&amp;" - "&amp;Tabela_ferias_folgas[[#This Row],[Compromisso]]</f>
        <v>VIV - FÉRIAS</v>
      </c>
    </row>
    <row r="74" spans="1:7" x14ac:dyDescent="0.3">
      <c r="A74" t="s">
        <v>142</v>
      </c>
      <c r="B74" t="s">
        <v>464</v>
      </c>
      <c r="C74" s="1">
        <v>44943</v>
      </c>
      <c r="D74">
        <f>DAY(Tabela_ferias_folgas[[#This Row],[Data]])</f>
        <v>17</v>
      </c>
      <c r="E74">
        <f>MONTH(Tabela_ferias_folgas[[#This Row],[Data]])</f>
        <v>1</v>
      </c>
      <c r="F74">
        <f>YEAR(Tabela_ferias_folgas[[#This Row],[Data]])</f>
        <v>2023</v>
      </c>
      <c r="G74" t="str">
        <f>Tabela_ferias_folgas[[#This Row],[Médico]]&amp;" - "&amp;Tabela_ferias_folgas[[#This Row],[Compromisso]]</f>
        <v>VIV - FÉRIAS</v>
      </c>
    </row>
    <row r="75" spans="1:7" x14ac:dyDescent="0.3">
      <c r="A75" t="s">
        <v>142</v>
      </c>
      <c r="B75" t="s">
        <v>464</v>
      </c>
      <c r="C75" s="1">
        <v>44944</v>
      </c>
      <c r="D75">
        <f>DAY(Tabela_ferias_folgas[[#This Row],[Data]])</f>
        <v>18</v>
      </c>
      <c r="E75">
        <f>MONTH(Tabela_ferias_folgas[[#This Row],[Data]])</f>
        <v>1</v>
      </c>
      <c r="F75">
        <f>YEAR(Tabela_ferias_folgas[[#This Row],[Data]])</f>
        <v>2023</v>
      </c>
      <c r="G75" t="str">
        <f>Tabela_ferias_folgas[[#This Row],[Médico]]&amp;" - "&amp;Tabela_ferias_folgas[[#This Row],[Compromisso]]</f>
        <v>VIV - FÉRIAS</v>
      </c>
    </row>
    <row r="76" spans="1:7" x14ac:dyDescent="0.3">
      <c r="A76" t="s">
        <v>142</v>
      </c>
      <c r="B76" t="s">
        <v>464</v>
      </c>
      <c r="C76" s="1">
        <v>44945</v>
      </c>
      <c r="D76">
        <f>DAY(Tabela_ferias_folgas[[#This Row],[Data]])</f>
        <v>19</v>
      </c>
      <c r="E76">
        <f>MONTH(Tabela_ferias_folgas[[#This Row],[Data]])</f>
        <v>1</v>
      </c>
      <c r="F76">
        <f>YEAR(Tabela_ferias_folgas[[#This Row],[Data]])</f>
        <v>2023</v>
      </c>
      <c r="G76" t="str">
        <f>Tabela_ferias_folgas[[#This Row],[Médico]]&amp;" - "&amp;Tabela_ferias_folgas[[#This Row],[Compromisso]]</f>
        <v>VIV - FÉRIAS</v>
      </c>
    </row>
    <row r="77" spans="1:7" x14ac:dyDescent="0.3">
      <c r="A77" t="s">
        <v>142</v>
      </c>
      <c r="B77" t="s">
        <v>464</v>
      </c>
      <c r="C77" s="1">
        <v>44946</v>
      </c>
      <c r="D77">
        <f>DAY(Tabela_ferias_folgas[[#This Row],[Data]])</f>
        <v>20</v>
      </c>
      <c r="E77">
        <f>MONTH(Tabela_ferias_folgas[[#This Row],[Data]])</f>
        <v>1</v>
      </c>
      <c r="F77">
        <f>YEAR(Tabela_ferias_folgas[[#This Row],[Data]])</f>
        <v>2023</v>
      </c>
      <c r="G77" t="str">
        <f>Tabela_ferias_folgas[[#This Row],[Médico]]&amp;" - "&amp;Tabela_ferias_folgas[[#This Row],[Compromisso]]</f>
        <v>VIV - FÉRIAS</v>
      </c>
    </row>
    <row r="78" spans="1:7" x14ac:dyDescent="0.3">
      <c r="A78" t="s">
        <v>142</v>
      </c>
      <c r="B78" t="s">
        <v>464</v>
      </c>
      <c r="C78" s="1">
        <v>44947</v>
      </c>
      <c r="D78">
        <f>DAY(Tabela_ferias_folgas[[#This Row],[Data]])</f>
        <v>21</v>
      </c>
      <c r="E78">
        <f>MONTH(Tabela_ferias_folgas[[#This Row],[Data]])</f>
        <v>1</v>
      </c>
      <c r="F78">
        <f>YEAR(Tabela_ferias_folgas[[#This Row],[Data]])</f>
        <v>2023</v>
      </c>
      <c r="G78" t="str">
        <f>Tabela_ferias_folgas[[#This Row],[Médico]]&amp;" - "&amp;Tabela_ferias_folgas[[#This Row],[Compromisso]]</f>
        <v>VIV - FÉRIAS</v>
      </c>
    </row>
    <row r="79" spans="1:7" x14ac:dyDescent="0.3">
      <c r="A79" t="s">
        <v>142</v>
      </c>
      <c r="B79" t="s">
        <v>464</v>
      </c>
      <c r="C79" s="1">
        <v>44948</v>
      </c>
      <c r="D79">
        <f>DAY(Tabela_ferias_folgas[[#This Row],[Data]])</f>
        <v>22</v>
      </c>
      <c r="E79">
        <f>MONTH(Tabela_ferias_folgas[[#This Row],[Data]])</f>
        <v>1</v>
      </c>
      <c r="F79">
        <f>YEAR(Tabela_ferias_folgas[[#This Row],[Data]])</f>
        <v>2023</v>
      </c>
      <c r="G79" t="str">
        <f>Tabela_ferias_folgas[[#This Row],[Médico]]&amp;" - "&amp;Tabela_ferias_folgas[[#This Row],[Compromisso]]</f>
        <v>VIV - FÉRIAS</v>
      </c>
    </row>
    <row r="80" spans="1:7" x14ac:dyDescent="0.3">
      <c r="A80" t="s">
        <v>142</v>
      </c>
      <c r="B80" t="s">
        <v>464</v>
      </c>
      <c r="C80" s="1">
        <v>44949</v>
      </c>
      <c r="D80">
        <f>DAY(Tabela_ferias_folgas[[#This Row],[Data]])</f>
        <v>23</v>
      </c>
      <c r="E80">
        <f>MONTH(Tabela_ferias_folgas[[#This Row],[Data]])</f>
        <v>1</v>
      </c>
      <c r="F80">
        <f>YEAR(Tabela_ferias_folgas[[#This Row],[Data]])</f>
        <v>2023</v>
      </c>
      <c r="G80" t="str">
        <f>Tabela_ferias_folgas[[#This Row],[Médico]]&amp;" - "&amp;Tabela_ferias_folgas[[#This Row],[Compromisso]]</f>
        <v>VIV - FÉRIAS</v>
      </c>
    </row>
    <row r="81" spans="1:7" x14ac:dyDescent="0.3">
      <c r="A81" t="s">
        <v>142</v>
      </c>
      <c r="B81" t="s">
        <v>464</v>
      </c>
      <c r="C81" s="1">
        <v>44950</v>
      </c>
      <c r="D81">
        <f>DAY(Tabela_ferias_folgas[[#This Row],[Data]])</f>
        <v>24</v>
      </c>
      <c r="E81">
        <f>MONTH(Tabela_ferias_folgas[[#This Row],[Data]])</f>
        <v>1</v>
      </c>
      <c r="F81">
        <f>YEAR(Tabela_ferias_folgas[[#This Row],[Data]])</f>
        <v>2023</v>
      </c>
      <c r="G81" t="str">
        <f>Tabela_ferias_folgas[[#This Row],[Médico]]&amp;" - "&amp;Tabela_ferias_folgas[[#This Row],[Compromisso]]</f>
        <v>VIV - FÉRIAS</v>
      </c>
    </row>
    <row r="82" spans="1:7" x14ac:dyDescent="0.3">
      <c r="A82" t="s">
        <v>142</v>
      </c>
      <c r="B82" t="s">
        <v>464</v>
      </c>
      <c r="C82" s="1">
        <v>44951</v>
      </c>
      <c r="D82">
        <f>DAY(Tabela_ferias_folgas[[#This Row],[Data]])</f>
        <v>25</v>
      </c>
      <c r="E82">
        <f>MONTH(Tabela_ferias_folgas[[#This Row],[Data]])</f>
        <v>1</v>
      </c>
      <c r="F82">
        <f>YEAR(Tabela_ferias_folgas[[#This Row],[Data]])</f>
        <v>2023</v>
      </c>
      <c r="G82" t="str">
        <f>Tabela_ferias_folgas[[#This Row],[Médico]]&amp;" - "&amp;Tabela_ferias_folgas[[#This Row],[Compromisso]]</f>
        <v>VIV - FÉRIAS</v>
      </c>
    </row>
    <row r="83" spans="1:7" x14ac:dyDescent="0.3">
      <c r="A83" t="s">
        <v>142</v>
      </c>
      <c r="B83" t="s">
        <v>464</v>
      </c>
      <c r="C83" s="1">
        <v>44952</v>
      </c>
      <c r="D83">
        <f>DAY(Tabela_ferias_folgas[[#This Row],[Data]])</f>
        <v>26</v>
      </c>
      <c r="E83">
        <f>MONTH(Tabela_ferias_folgas[[#This Row],[Data]])</f>
        <v>1</v>
      </c>
      <c r="F83">
        <f>YEAR(Tabela_ferias_folgas[[#This Row],[Data]])</f>
        <v>2023</v>
      </c>
      <c r="G83" t="str">
        <f>Tabela_ferias_folgas[[#This Row],[Médico]]&amp;" - "&amp;Tabela_ferias_folgas[[#This Row],[Compromisso]]</f>
        <v>VIV - FÉRIAS</v>
      </c>
    </row>
    <row r="84" spans="1:7" x14ac:dyDescent="0.3">
      <c r="A84" t="s">
        <v>142</v>
      </c>
      <c r="B84" t="s">
        <v>464</v>
      </c>
      <c r="C84" s="1">
        <v>44953</v>
      </c>
      <c r="D84">
        <f>DAY(Tabela_ferias_folgas[[#This Row],[Data]])</f>
        <v>27</v>
      </c>
      <c r="E84">
        <f>MONTH(Tabela_ferias_folgas[[#This Row],[Data]])</f>
        <v>1</v>
      </c>
      <c r="F84">
        <f>YEAR(Tabela_ferias_folgas[[#This Row],[Data]])</f>
        <v>2023</v>
      </c>
      <c r="G84" t="str">
        <f>Tabela_ferias_folgas[[#This Row],[Médico]]&amp;" - "&amp;Tabela_ferias_folgas[[#This Row],[Compromisso]]</f>
        <v>VIV - FÉRIAS</v>
      </c>
    </row>
    <row r="85" spans="1:7" x14ac:dyDescent="0.3">
      <c r="A85" t="s">
        <v>85</v>
      </c>
      <c r="B85" t="s">
        <v>464</v>
      </c>
      <c r="C85" s="1">
        <v>44942</v>
      </c>
      <c r="D85">
        <f>DAY(Tabela_ferias_folgas[[#This Row],[Data]])</f>
        <v>16</v>
      </c>
      <c r="E85">
        <f>MONTH(Tabela_ferias_folgas[[#This Row],[Data]])</f>
        <v>1</v>
      </c>
      <c r="F85">
        <f>YEAR(Tabela_ferias_folgas[[#This Row],[Data]])</f>
        <v>2023</v>
      </c>
      <c r="G85" t="str">
        <f>Tabela_ferias_folgas[[#This Row],[Médico]]&amp;" - "&amp;Tabela_ferias_folgas[[#This Row],[Compromisso]]</f>
        <v>ELF - FÉRIAS</v>
      </c>
    </row>
    <row r="86" spans="1:7" x14ac:dyDescent="0.3">
      <c r="A86" t="s">
        <v>85</v>
      </c>
      <c r="B86" t="s">
        <v>464</v>
      </c>
      <c r="C86" s="1">
        <v>44943</v>
      </c>
      <c r="D86">
        <f>DAY(Tabela_ferias_folgas[[#This Row],[Data]])</f>
        <v>17</v>
      </c>
      <c r="E86">
        <f>MONTH(Tabela_ferias_folgas[[#This Row],[Data]])</f>
        <v>1</v>
      </c>
      <c r="F86">
        <f>YEAR(Tabela_ferias_folgas[[#This Row],[Data]])</f>
        <v>2023</v>
      </c>
      <c r="G86" t="str">
        <f>Tabela_ferias_folgas[[#This Row],[Médico]]&amp;" - "&amp;Tabela_ferias_folgas[[#This Row],[Compromisso]]</f>
        <v>ELF - FÉRIAS</v>
      </c>
    </row>
    <row r="87" spans="1:7" x14ac:dyDescent="0.3">
      <c r="A87" t="s">
        <v>85</v>
      </c>
      <c r="B87" t="s">
        <v>464</v>
      </c>
      <c r="C87" s="1">
        <v>44944</v>
      </c>
      <c r="D87">
        <f>DAY(Tabela_ferias_folgas[[#This Row],[Data]])</f>
        <v>18</v>
      </c>
      <c r="E87">
        <f>MONTH(Tabela_ferias_folgas[[#This Row],[Data]])</f>
        <v>1</v>
      </c>
      <c r="F87">
        <f>YEAR(Tabela_ferias_folgas[[#This Row],[Data]])</f>
        <v>2023</v>
      </c>
      <c r="G87" t="str">
        <f>Tabela_ferias_folgas[[#This Row],[Médico]]&amp;" - "&amp;Tabela_ferias_folgas[[#This Row],[Compromisso]]</f>
        <v>ELF - FÉRIAS</v>
      </c>
    </row>
    <row r="88" spans="1:7" x14ac:dyDescent="0.3">
      <c r="A88" t="s">
        <v>85</v>
      </c>
      <c r="B88" t="s">
        <v>464</v>
      </c>
      <c r="C88" s="1">
        <v>44945</v>
      </c>
      <c r="D88">
        <f>DAY(Tabela_ferias_folgas[[#This Row],[Data]])</f>
        <v>19</v>
      </c>
      <c r="E88">
        <f>MONTH(Tabela_ferias_folgas[[#This Row],[Data]])</f>
        <v>1</v>
      </c>
      <c r="F88">
        <f>YEAR(Tabela_ferias_folgas[[#This Row],[Data]])</f>
        <v>2023</v>
      </c>
      <c r="G88" t="str">
        <f>Tabela_ferias_folgas[[#This Row],[Médico]]&amp;" - "&amp;Tabela_ferias_folgas[[#This Row],[Compromisso]]</f>
        <v>ELF - FÉRIAS</v>
      </c>
    </row>
    <row r="89" spans="1:7" x14ac:dyDescent="0.3">
      <c r="A89" t="s">
        <v>85</v>
      </c>
      <c r="B89" t="s">
        <v>464</v>
      </c>
      <c r="C89" s="1">
        <v>44946</v>
      </c>
      <c r="D89">
        <f>DAY(Tabela_ferias_folgas[[#This Row],[Data]])</f>
        <v>20</v>
      </c>
      <c r="E89">
        <f>MONTH(Tabela_ferias_folgas[[#This Row],[Data]])</f>
        <v>1</v>
      </c>
      <c r="F89">
        <f>YEAR(Tabela_ferias_folgas[[#This Row],[Data]])</f>
        <v>2023</v>
      </c>
      <c r="G89" t="str">
        <f>Tabela_ferias_folgas[[#This Row],[Médico]]&amp;" - "&amp;Tabela_ferias_folgas[[#This Row],[Compromisso]]</f>
        <v>ELF - FÉRIAS</v>
      </c>
    </row>
    <row r="90" spans="1:7" x14ac:dyDescent="0.3">
      <c r="A90" t="s">
        <v>85</v>
      </c>
      <c r="B90" t="s">
        <v>464</v>
      </c>
      <c r="C90" s="1">
        <v>44947</v>
      </c>
      <c r="D90">
        <f>DAY(Tabela_ferias_folgas[[#This Row],[Data]])</f>
        <v>21</v>
      </c>
      <c r="E90">
        <f>MONTH(Tabela_ferias_folgas[[#This Row],[Data]])</f>
        <v>1</v>
      </c>
      <c r="F90">
        <f>YEAR(Tabela_ferias_folgas[[#This Row],[Data]])</f>
        <v>2023</v>
      </c>
      <c r="G90" t="str">
        <f>Tabela_ferias_folgas[[#This Row],[Médico]]&amp;" - "&amp;Tabela_ferias_folgas[[#This Row],[Compromisso]]</f>
        <v>ELF - FÉRIAS</v>
      </c>
    </row>
    <row r="91" spans="1:7" x14ac:dyDescent="0.3">
      <c r="A91" t="s">
        <v>85</v>
      </c>
      <c r="B91" t="s">
        <v>464</v>
      </c>
      <c r="C91" s="1">
        <v>44948</v>
      </c>
      <c r="D91">
        <f>DAY(Tabela_ferias_folgas[[#This Row],[Data]])</f>
        <v>22</v>
      </c>
      <c r="E91">
        <f>MONTH(Tabela_ferias_folgas[[#This Row],[Data]])</f>
        <v>1</v>
      </c>
      <c r="F91">
        <f>YEAR(Tabela_ferias_folgas[[#This Row],[Data]])</f>
        <v>2023</v>
      </c>
      <c r="G91" t="str">
        <f>Tabela_ferias_folgas[[#This Row],[Médico]]&amp;" - "&amp;Tabela_ferias_folgas[[#This Row],[Compromisso]]</f>
        <v>ELF - FÉRIAS</v>
      </c>
    </row>
    <row r="92" spans="1:7" x14ac:dyDescent="0.3">
      <c r="A92" t="s">
        <v>85</v>
      </c>
      <c r="B92" t="s">
        <v>464</v>
      </c>
      <c r="C92" s="1">
        <v>44949</v>
      </c>
      <c r="D92">
        <f>DAY(Tabela_ferias_folgas[[#This Row],[Data]])</f>
        <v>23</v>
      </c>
      <c r="E92">
        <f>MONTH(Tabela_ferias_folgas[[#This Row],[Data]])</f>
        <v>1</v>
      </c>
      <c r="F92">
        <f>YEAR(Tabela_ferias_folgas[[#This Row],[Data]])</f>
        <v>2023</v>
      </c>
      <c r="G92" t="str">
        <f>Tabela_ferias_folgas[[#This Row],[Médico]]&amp;" - "&amp;Tabela_ferias_folgas[[#This Row],[Compromisso]]</f>
        <v>ELF - FÉRIAS</v>
      </c>
    </row>
    <row r="93" spans="1:7" x14ac:dyDescent="0.3">
      <c r="A93" t="s">
        <v>85</v>
      </c>
      <c r="B93" t="s">
        <v>464</v>
      </c>
      <c r="C93" s="1">
        <v>44950</v>
      </c>
      <c r="D93">
        <f>DAY(Tabela_ferias_folgas[[#This Row],[Data]])</f>
        <v>24</v>
      </c>
      <c r="E93">
        <f>MONTH(Tabela_ferias_folgas[[#This Row],[Data]])</f>
        <v>1</v>
      </c>
      <c r="F93">
        <f>YEAR(Tabela_ferias_folgas[[#This Row],[Data]])</f>
        <v>2023</v>
      </c>
      <c r="G93" t="str">
        <f>Tabela_ferias_folgas[[#This Row],[Médico]]&amp;" - "&amp;Tabela_ferias_folgas[[#This Row],[Compromisso]]</f>
        <v>ELF - FÉRIAS</v>
      </c>
    </row>
    <row r="94" spans="1:7" x14ac:dyDescent="0.3">
      <c r="A94" t="s">
        <v>85</v>
      </c>
      <c r="B94" t="s">
        <v>464</v>
      </c>
      <c r="C94" s="1">
        <v>44951</v>
      </c>
      <c r="D94">
        <f>DAY(Tabela_ferias_folgas[[#This Row],[Data]])</f>
        <v>25</v>
      </c>
      <c r="E94">
        <f>MONTH(Tabela_ferias_folgas[[#This Row],[Data]])</f>
        <v>1</v>
      </c>
      <c r="F94">
        <f>YEAR(Tabela_ferias_folgas[[#This Row],[Data]])</f>
        <v>2023</v>
      </c>
      <c r="G94" t="str">
        <f>Tabela_ferias_folgas[[#This Row],[Médico]]&amp;" - "&amp;Tabela_ferias_folgas[[#This Row],[Compromisso]]</f>
        <v>ELF - FÉRIAS</v>
      </c>
    </row>
    <row r="95" spans="1:7" x14ac:dyDescent="0.3">
      <c r="A95" t="s">
        <v>85</v>
      </c>
      <c r="B95" t="s">
        <v>464</v>
      </c>
      <c r="C95" s="1">
        <v>44952</v>
      </c>
      <c r="D95">
        <f>DAY(Tabela_ferias_folgas[[#This Row],[Data]])</f>
        <v>26</v>
      </c>
      <c r="E95">
        <f>MONTH(Tabela_ferias_folgas[[#This Row],[Data]])</f>
        <v>1</v>
      </c>
      <c r="F95">
        <f>YEAR(Tabela_ferias_folgas[[#This Row],[Data]])</f>
        <v>2023</v>
      </c>
      <c r="G95" t="str">
        <f>Tabela_ferias_folgas[[#This Row],[Médico]]&amp;" - "&amp;Tabela_ferias_folgas[[#This Row],[Compromisso]]</f>
        <v>ELF - FÉRIAS</v>
      </c>
    </row>
    <row r="96" spans="1:7" x14ac:dyDescent="0.3">
      <c r="A96" t="s">
        <v>85</v>
      </c>
      <c r="B96" t="s">
        <v>464</v>
      </c>
      <c r="C96" s="1">
        <v>44953</v>
      </c>
      <c r="D96">
        <f>DAY(Tabela_ferias_folgas[[#This Row],[Data]])</f>
        <v>27</v>
      </c>
      <c r="E96">
        <f>MONTH(Tabela_ferias_folgas[[#This Row],[Data]])</f>
        <v>1</v>
      </c>
      <c r="F96">
        <f>YEAR(Tabela_ferias_folgas[[#This Row],[Data]])</f>
        <v>2023</v>
      </c>
      <c r="G96" t="str">
        <f>Tabela_ferias_folgas[[#This Row],[Médico]]&amp;" - "&amp;Tabela_ferias_folgas[[#This Row],[Compromisso]]</f>
        <v>ELF - FÉRIAS</v>
      </c>
    </row>
    <row r="97" spans="1:7" x14ac:dyDescent="0.3">
      <c r="A97" t="s">
        <v>333</v>
      </c>
      <c r="B97" t="s">
        <v>466</v>
      </c>
      <c r="C97" s="1">
        <v>44952</v>
      </c>
      <c r="D97">
        <f>DAY(Tabela_ferias_folgas[[#This Row],[Data]])</f>
        <v>26</v>
      </c>
      <c r="E97">
        <f>MONTH(Tabela_ferias_folgas[[#This Row],[Data]])</f>
        <v>1</v>
      </c>
      <c r="F97">
        <f>YEAR(Tabela_ferias_folgas[[#This Row],[Data]])</f>
        <v>2023</v>
      </c>
      <c r="G97" t="str">
        <f>Tabela_ferias_folgas[[#This Row],[Médico]]&amp;" - "&amp;Tabela_ferias_folgas[[#This Row],[Compromisso]]</f>
        <v>COR - CURSO</v>
      </c>
    </row>
    <row r="98" spans="1:7" x14ac:dyDescent="0.3">
      <c r="A98" t="s">
        <v>333</v>
      </c>
      <c r="B98" t="s">
        <v>466</v>
      </c>
      <c r="C98" s="1">
        <v>44953</v>
      </c>
      <c r="D98">
        <f>DAY(Tabela_ferias_folgas[[#This Row],[Data]])</f>
        <v>27</v>
      </c>
      <c r="E98">
        <f>MONTH(Tabela_ferias_folgas[[#This Row],[Data]])</f>
        <v>1</v>
      </c>
      <c r="F98">
        <f>YEAR(Tabela_ferias_folgas[[#This Row],[Data]])</f>
        <v>2023</v>
      </c>
      <c r="G98" t="str">
        <f>Tabela_ferias_folgas[[#This Row],[Médico]]&amp;" - "&amp;Tabela_ferias_folgas[[#This Row],[Compromisso]]</f>
        <v>COR - CURSO</v>
      </c>
    </row>
    <row r="99" spans="1:7" x14ac:dyDescent="0.3">
      <c r="A99" t="s">
        <v>47</v>
      </c>
      <c r="C99" s="1">
        <v>44954</v>
      </c>
      <c r="D99">
        <f>DAY(Tabela_ferias_folgas[[#This Row],[Data]])</f>
        <v>28</v>
      </c>
      <c r="E99">
        <f>MONTH(Tabela_ferias_folgas[[#This Row],[Data]])</f>
        <v>1</v>
      </c>
      <c r="F99">
        <f>YEAR(Tabela_ferias_folgas[[#This Row],[Data]])</f>
        <v>2023</v>
      </c>
      <c r="G99" t="str">
        <f>Tabela_ferias_folgas[[#This Row],[Médico]]&amp;" - "&amp;Tabela_ferias_folgas[[#This Row],[Compromisso]]</f>
        <v xml:space="preserve">VIN - </v>
      </c>
    </row>
    <row r="100" spans="1:7" x14ac:dyDescent="0.3">
      <c r="A100" t="s">
        <v>47</v>
      </c>
      <c r="C100" s="1">
        <v>44955</v>
      </c>
      <c r="D100">
        <f>DAY(Tabela_ferias_folgas[[#This Row],[Data]])</f>
        <v>29</v>
      </c>
      <c r="E100">
        <f>MONTH(Tabela_ferias_folgas[[#This Row],[Data]])</f>
        <v>1</v>
      </c>
      <c r="F100">
        <f>YEAR(Tabela_ferias_folgas[[#This Row],[Data]])</f>
        <v>2023</v>
      </c>
      <c r="G100" t="str">
        <f>Tabela_ferias_folgas[[#This Row],[Médico]]&amp;" - "&amp;Tabela_ferias_folgas[[#This Row],[Compromisso]]</f>
        <v xml:space="preserve">VIN - </v>
      </c>
    </row>
    <row r="101" spans="1:7" x14ac:dyDescent="0.3">
      <c r="A101" t="s">
        <v>33</v>
      </c>
      <c r="B101" t="s">
        <v>464</v>
      </c>
      <c r="C101" s="1">
        <v>44956</v>
      </c>
      <c r="D101">
        <f>DAY(Tabela_ferias_folgas[[#This Row],[Data]])</f>
        <v>30</v>
      </c>
      <c r="E101">
        <f>MONTH(Tabela_ferias_folgas[[#This Row],[Data]])</f>
        <v>1</v>
      </c>
      <c r="F101">
        <f>YEAR(Tabela_ferias_folgas[[#This Row],[Data]])</f>
        <v>2023</v>
      </c>
      <c r="G101" t="str">
        <f>Tabela_ferias_folgas[[#This Row],[Médico]]&amp;" - "&amp;Tabela_ferias_folgas[[#This Row],[Compromisso]]</f>
        <v>DIF - FÉRIAS</v>
      </c>
    </row>
    <row r="102" spans="1:7" x14ac:dyDescent="0.3">
      <c r="A102" t="s">
        <v>33</v>
      </c>
      <c r="B102" t="s">
        <v>464</v>
      </c>
      <c r="C102" s="1">
        <v>44957</v>
      </c>
      <c r="D102">
        <f>DAY(Tabela_ferias_folgas[[#This Row],[Data]])</f>
        <v>31</v>
      </c>
      <c r="E102">
        <f>MONTH(Tabela_ferias_folgas[[#This Row],[Data]])</f>
        <v>1</v>
      </c>
      <c r="F102">
        <f>YEAR(Tabela_ferias_folgas[[#This Row],[Data]])</f>
        <v>2023</v>
      </c>
      <c r="G102" t="str">
        <f>Tabela_ferias_folgas[[#This Row],[Médico]]&amp;" - "&amp;Tabela_ferias_folgas[[#This Row],[Compromisso]]</f>
        <v>DIF - FÉRIAS</v>
      </c>
    </row>
    <row r="103" spans="1:7" x14ac:dyDescent="0.3">
      <c r="A103" t="s">
        <v>33</v>
      </c>
      <c r="B103" t="s">
        <v>464</v>
      </c>
      <c r="C103" s="1">
        <v>44958</v>
      </c>
      <c r="D103">
        <f>DAY(Tabela_ferias_folgas[[#This Row],[Data]])</f>
        <v>1</v>
      </c>
      <c r="E103">
        <f>MONTH(Tabela_ferias_folgas[[#This Row],[Data]])</f>
        <v>2</v>
      </c>
      <c r="F103">
        <f>YEAR(Tabela_ferias_folgas[[#This Row],[Data]])</f>
        <v>2023</v>
      </c>
      <c r="G103" t="str">
        <f>Tabela_ferias_folgas[[#This Row],[Médico]]&amp;" - "&amp;Tabela_ferias_folgas[[#This Row],[Compromisso]]</f>
        <v>DIF - FÉRIAS</v>
      </c>
    </row>
    <row r="104" spans="1:7" x14ac:dyDescent="0.3">
      <c r="A104" t="s">
        <v>33</v>
      </c>
      <c r="B104" t="s">
        <v>464</v>
      </c>
      <c r="C104" s="1">
        <v>44959</v>
      </c>
      <c r="D104">
        <f>DAY(Tabela_ferias_folgas[[#This Row],[Data]])</f>
        <v>2</v>
      </c>
      <c r="E104">
        <f>MONTH(Tabela_ferias_folgas[[#This Row],[Data]])</f>
        <v>2</v>
      </c>
      <c r="F104">
        <f>YEAR(Tabela_ferias_folgas[[#This Row],[Data]])</f>
        <v>2023</v>
      </c>
      <c r="G104" t="str">
        <f>Tabela_ferias_folgas[[#This Row],[Médico]]&amp;" - "&amp;Tabela_ferias_folgas[[#This Row],[Compromisso]]</f>
        <v>DIF - FÉRIAS</v>
      </c>
    </row>
    <row r="105" spans="1:7" x14ac:dyDescent="0.3">
      <c r="A105" t="s">
        <v>33</v>
      </c>
      <c r="B105" t="s">
        <v>464</v>
      </c>
      <c r="C105" s="1">
        <v>44960</v>
      </c>
      <c r="D105">
        <f>DAY(Tabela_ferias_folgas[[#This Row],[Data]])</f>
        <v>3</v>
      </c>
      <c r="E105">
        <f>MONTH(Tabela_ferias_folgas[[#This Row],[Data]])</f>
        <v>2</v>
      </c>
      <c r="F105">
        <f>YEAR(Tabela_ferias_folgas[[#This Row],[Data]])</f>
        <v>2023</v>
      </c>
      <c r="G105" t="str">
        <f>Tabela_ferias_folgas[[#This Row],[Médico]]&amp;" - "&amp;Tabela_ferias_folgas[[#This Row],[Compromisso]]</f>
        <v>DIF - FÉRIAS</v>
      </c>
    </row>
    <row r="106" spans="1:7" x14ac:dyDescent="0.3">
      <c r="A106" t="s">
        <v>33</v>
      </c>
      <c r="B106" t="s">
        <v>464</v>
      </c>
      <c r="C106" s="1">
        <v>44961</v>
      </c>
      <c r="D106">
        <f>DAY(Tabela_ferias_folgas[[#This Row],[Data]])</f>
        <v>4</v>
      </c>
      <c r="E106">
        <f>MONTH(Tabela_ferias_folgas[[#This Row],[Data]])</f>
        <v>2</v>
      </c>
      <c r="F106">
        <f>YEAR(Tabela_ferias_folgas[[#This Row],[Data]])</f>
        <v>2023</v>
      </c>
      <c r="G106" t="str">
        <f>Tabela_ferias_folgas[[#This Row],[Médico]]&amp;" - "&amp;Tabela_ferias_folgas[[#This Row],[Compromisso]]</f>
        <v>DIF - FÉRIAS</v>
      </c>
    </row>
    <row r="107" spans="1:7" x14ac:dyDescent="0.3">
      <c r="A107" t="s">
        <v>33</v>
      </c>
      <c r="B107" t="s">
        <v>464</v>
      </c>
      <c r="C107" s="1">
        <v>44962</v>
      </c>
      <c r="D107">
        <f>DAY(Tabela_ferias_folgas[[#This Row],[Data]])</f>
        <v>5</v>
      </c>
      <c r="E107">
        <f>MONTH(Tabela_ferias_folgas[[#This Row],[Data]])</f>
        <v>2</v>
      </c>
      <c r="F107">
        <f>YEAR(Tabela_ferias_folgas[[#This Row],[Data]])</f>
        <v>2023</v>
      </c>
      <c r="G107" t="str">
        <f>Tabela_ferias_folgas[[#This Row],[Médico]]&amp;" - "&amp;Tabela_ferias_folgas[[#This Row],[Compromisso]]</f>
        <v>DIF - FÉRIAS</v>
      </c>
    </row>
    <row r="108" spans="1:7" x14ac:dyDescent="0.3">
      <c r="A108" t="s">
        <v>33</v>
      </c>
      <c r="B108" t="s">
        <v>464</v>
      </c>
      <c r="C108" s="1">
        <v>44963</v>
      </c>
      <c r="D108">
        <f>DAY(Tabela_ferias_folgas[[#This Row],[Data]])</f>
        <v>6</v>
      </c>
      <c r="E108">
        <f>MONTH(Tabela_ferias_folgas[[#This Row],[Data]])</f>
        <v>2</v>
      </c>
      <c r="F108">
        <f>YEAR(Tabela_ferias_folgas[[#This Row],[Data]])</f>
        <v>2023</v>
      </c>
      <c r="G108" t="str">
        <f>Tabela_ferias_folgas[[#This Row],[Médico]]&amp;" - "&amp;Tabela_ferias_folgas[[#This Row],[Compromisso]]</f>
        <v>DIF - FÉRIAS</v>
      </c>
    </row>
    <row r="109" spans="1:7" x14ac:dyDescent="0.3">
      <c r="A109" t="s">
        <v>33</v>
      </c>
      <c r="B109" t="s">
        <v>464</v>
      </c>
      <c r="C109" s="1">
        <v>44964</v>
      </c>
      <c r="D109">
        <f>DAY(Tabela_ferias_folgas[[#This Row],[Data]])</f>
        <v>7</v>
      </c>
      <c r="E109">
        <f>MONTH(Tabela_ferias_folgas[[#This Row],[Data]])</f>
        <v>2</v>
      </c>
      <c r="F109">
        <f>YEAR(Tabela_ferias_folgas[[#This Row],[Data]])</f>
        <v>2023</v>
      </c>
      <c r="G109" t="str">
        <f>Tabela_ferias_folgas[[#This Row],[Médico]]&amp;" - "&amp;Tabela_ferias_folgas[[#This Row],[Compromisso]]</f>
        <v>DIF - FÉRIAS</v>
      </c>
    </row>
    <row r="110" spans="1:7" x14ac:dyDescent="0.3">
      <c r="A110" t="s">
        <v>33</v>
      </c>
      <c r="B110" t="s">
        <v>464</v>
      </c>
      <c r="C110" s="1">
        <v>44965</v>
      </c>
      <c r="D110">
        <f>DAY(Tabela_ferias_folgas[[#This Row],[Data]])</f>
        <v>8</v>
      </c>
      <c r="E110">
        <f>MONTH(Tabela_ferias_folgas[[#This Row],[Data]])</f>
        <v>2</v>
      </c>
      <c r="F110">
        <f>YEAR(Tabela_ferias_folgas[[#This Row],[Data]])</f>
        <v>2023</v>
      </c>
      <c r="G110" t="str">
        <f>Tabela_ferias_folgas[[#This Row],[Médico]]&amp;" - "&amp;Tabela_ferias_folgas[[#This Row],[Compromisso]]</f>
        <v>DIF - FÉRIAS</v>
      </c>
    </row>
    <row r="111" spans="1:7" x14ac:dyDescent="0.3">
      <c r="A111" t="s">
        <v>33</v>
      </c>
      <c r="B111" t="s">
        <v>464</v>
      </c>
      <c r="C111" s="1">
        <v>44966</v>
      </c>
      <c r="D111">
        <f>DAY(Tabela_ferias_folgas[[#This Row],[Data]])</f>
        <v>9</v>
      </c>
      <c r="E111">
        <f>MONTH(Tabela_ferias_folgas[[#This Row],[Data]])</f>
        <v>2</v>
      </c>
      <c r="F111">
        <f>YEAR(Tabela_ferias_folgas[[#This Row],[Data]])</f>
        <v>2023</v>
      </c>
      <c r="G111" t="str">
        <f>Tabela_ferias_folgas[[#This Row],[Médico]]&amp;" - "&amp;Tabela_ferias_folgas[[#This Row],[Compromisso]]</f>
        <v>DIF - FÉRIAS</v>
      </c>
    </row>
    <row r="112" spans="1:7" x14ac:dyDescent="0.3">
      <c r="A112" t="s">
        <v>33</v>
      </c>
      <c r="B112" t="s">
        <v>464</v>
      </c>
      <c r="C112" s="1">
        <v>44967</v>
      </c>
      <c r="D112">
        <f>DAY(Tabela_ferias_folgas[[#This Row],[Data]])</f>
        <v>10</v>
      </c>
      <c r="E112">
        <f>MONTH(Tabela_ferias_folgas[[#This Row],[Data]])</f>
        <v>2</v>
      </c>
      <c r="F112">
        <f>YEAR(Tabela_ferias_folgas[[#This Row],[Data]])</f>
        <v>2023</v>
      </c>
      <c r="G112" t="str">
        <f>Tabela_ferias_folgas[[#This Row],[Médico]]&amp;" - "&amp;Tabela_ferias_folgas[[#This Row],[Compromisso]]</f>
        <v>DIF - FÉRIAS</v>
      </c>
    </row>
    <row r="113" spans="1:7" x14ac:dyDescent="0.3">
      <c r="A113" t="s">
        <v>37</v>
      </c>
      <c r="B113" t="s">
        <v>464</v>
      </c>
      <c r="C113" s="1">
        <v>44956</v>
      </c>
      <c r="D113">
        <f>DAY(Tabela_ferias_folgas[[#This Row],[Data]])</f>
        <v>30</v>
      </c>
      <c r="E113">
        <f>MONTH(Tabela_ferias_folgas[[#This Row],[Data]])</f>
        <v>1</v>
      </c>
      <c r="F113">
        <f>YEAR(Tabela_ferias_folgas[[#This Row],[Data]])</f>
        <v>2023</v>
      </c>
      <c r="G113" t="str">
        <f>Tabela_ferias_folgas[[#This Row],[Médico]]&amp;" - "&amp;Tabela_ferias_folgas[[#This Row],[Compromisso]]</f>
        <v>EBB - FÉRIAS</v>
      </c>
    </row>
    <row r="114" spans="1:7" x14ac:dyDescent="0.3">
      <c r="A114" t="s">
        <v>37</v>
      </c>
      <c r="B114" t="s">
        <v>464</v>
      </c>
      <c r="C114" s="1">
        <v>44957</v>
      </c>
      <c r="D114">
        <f>DAY(Tabela_ferias_folgas[[#This Row],[Data]])</f>
        <v>31</v>
      </c>
      <c r="E114">
        <f>MONTH(Tabela_ferias_folgas[[#This Row],[Data]])</f>
        <v>1</v>
      </c>
      <c r="F114">
        <f>YEAR(Tabela_ferias_folgas[[#This Row],[Data]])</f>
        <v>2023</v>
      </c>
      <c r="G114" t="str">
        <f>Tabela_ferias_folgas[[#This Row],[Médico]]&amp;" - "&amp;Tabela_ferias_folgas[[#This Row],[Compromisso]]</f>
        <v>EBB - FÉRIAS</v>
      </c>
    </row>
    <row r="115" spans="1:7" x14ac:dyDescent="0.3">
      <c r="A115" t="s">
        <v>37</v>
      </c>
      <c r="B115" t="s">
        <v>464</v>
      </c>
      <c r="C115" s="1">
        <v>44958</v>
      </c>
      <c r="D115">
        <f>DAY(Tabela_ferias_folgas[[#This Row],[Data]])</f>
        <v>1</v>
      </c>
      <c r="E115">
        <f>MONTH(Tabela_ferias_folgas[[#This Row],[Data]])</f>
        <v>2</v>
      </c>
      <c r="F115">
        <f>YEAR(Tabela_ferias_folgas[[#This Row],[Data]])</f>
        <v>2023</v>
      </c>
      <c r="G115" t="str">
        <f>Tabela_ferias_folgas[[#This Row],[Médico]]&amp;" - "&amp;Tabela_ferias_folgas[[#This Row],[Compromisso]]</f>
        <v>EBB - FÉRIAS</v>
      </c>
    </row>
    <row r="116" spans="1:7" x14ac:dyDescent="0.3">
      <c r="A116" t="s">
        <v>37</v>
      </c>
      <c r="B116" t="s">
        <v>464</v>
      </c>
      <c r="C116" s="1">
        <v>44959</v>
      </c>
      <c r="D116">
        <f>DAY(Tabela_ferias_folgas[[#This Row],[Data]])</f>
        <v>2</v>
      </c>
      <c r="E116">
        <f>MONTH(Tabela_ferias_folgas[[#This Row],[Data]])</f>
        <v>2</v>
      </c>
      <c r="F116">
        <f>YEAR(Tabela_ferias_folgas[[#This Row],[Data]])</f>
        <v>2023</v>
      </c>
      <c r="G116" t="str">
        <f>Tabela_ferias_folgas[[#This Row],[Médico]]&amp;" - "&amp;Tabela_ferias_folgas[[#This Row],[Compromisso]]</f>
        <v>EBB - FÉRIAS</v>
      </c>
    </row>
    <row r="117" spans="1:7" x14ac:dyDescent="0.3">
      <c r="A117" t="s">
        <v>37</v>
      </c>
      <c r="B117" t="s">
        <v>464</v>
      </c>
      <c r="C117" s="1">
        <v>44960</v>
      </c>
      <c r="D117">
        <f>DAY(Tabela_ferias_folgas[[#This Row],[Data]])</f>
        <v>3</v>
      </c>
      <c r="E117">
        <f>MONTH(Tabela_ferias_folgas[[#This Row],[Data]])</f>
        <v>2</v>
      </c>
      <c r="F117">
        <f>YEAR(Tabela_ferias_folgas[[#This Row],[Data]])</f>
        <v>2023</v>
      </c>
      <c r="G117" t="str">
        <f>Tabela_ferias_folgas[[#This Row],[Médico]]&amp;" - "&amp;Tabela_ferias_folgas[[#This Row],[Compromisso]]</f>
        <v>EBB - FÉRIAS</v>
      </c>
    </row>
    <row r="118" spans="1:7" x14ac:dyDescent="0.3">
      <c r="A118" t="s">
        <v>37</v>
      </c>
      <c r="B118" t="s">
        <v>464</v>
      </c>
      <c r="C118" s="1">
        <v>44961</v>
      </c>
      <c r="D118">
        <f>DAY(Tabela_ferias_folgas[[#This Row],[Data]])</f>
        <v>4</v>
      </c>
      <c r="E118">
        <f>MONTH(Tabela_ferias_folgas[[#This Row],[Data]])</f>
        <v>2</v>
      </c>
      <c r="F118">
        <f>YEAR(Tabela_ferias_folgas[[#This Row],[Data]])</f>
        <v>2023</v>
      </c>
      <c r="G118" t="str">
        <f>Tabela_ferias_folgas[[#This Row],[Médico]]&amp;" - "&amp;Tabela_ferias_folgas[[#This Row],[Compromisso]]</f>
        <v>EBB - FÉRIAS</v>
      </c>
    </row>
    <row r="119" spans="1:7" x14ac:dyDescent="0.3">
      <c r="A119" t="s">
        <v>37</v>
      </c>
      <c r="B119" t="s">
        <v>464</v>
      </c>
      <c r="C119" s="1">
        <v>44962</v>
      </c>
      <c r="D119">
        <f>DAY(Tabela_ferias_folgas[[#This Row],[Data]])</f>
        <v>5</v>
      </c>
      <c r="E119">
        <f>MONTH(Tabela_ferias_folgas[[#This Row],[Data]])</f>
        <v>2</v>
      </c>
      <c r="F119">
        <f>YEAR(Tabela_ferias_folgas[[#This Row],[Data]])</f>
        <v>2023</v>
      </c>
      <c r="G119" t="str">
        <f>Tabela_ferias_folgas[[#This Row],[Médico]]&amp;" - "&amp;Tabela_ferias_folgas[[#This Row],[Compromisso]]</f>
        <v>EBB - FÉRIAS</v>
      </c>
    </row>
    <row r="120" spans="1:7" x14ac:dyDescent="0.3">
      <c r="A120" t="s">
        <v>37</v>
      </c>
      <c r="B120" t="s">
        <v>464</v>
      </c>
      <c r="C120" s="1">
        <v>44963</v>
      </c>
      <c r="D120">
        <f>DAY(Tabela_ferias_folgas[[#This Row],[Data]])</f>
        <v>6</v>
      </c>
      <c r="E120">
        <f>MONTH(Tabela_ferias_folgas[[#This Row],[Data]])</f>
        <v>2</v>
      </c>
      <c r="F120">
        <f>YEAR(Tabela_ferias_folgas[[#This Row],[Data]])</f>
        <v>2023</v>
      </c>
      <c r="G120" t="str">
        <f>Tabela_ferias_folgas[[#This Row],[Médico]]&amp;" - "&amp;Tabela_ferias_folgas[[#This Row],[Compromisso]]</f>
        <v>EBB - FÉRIAS</v>
      </c>
    </row>
    <row r="121" spans="1:7" x14ac:dyDescent="0.3">
      <c r="A121" t="s">
        <v>37</v>
      </c>
      <c r="B121" t="s">
        <v>464</v>
      </c>
      <c r="C121" s="1">
        <v>44964</v>
      </c>
      <c r="D121">
        <f>DAY(Tabela_ferias_folgas[[#This Row],[Data]])</f>
        <v>7</v>
      </c>
      <c r="E121">
        <f>MONTH(Tabela_ferias_folgas[[#This Row],[Data]])</f>
        <v>2</v>
      </c>
      <c r="F121">
        <f>YEAR(Tabela_ferias_folgas[[#This Row],[Data]])</f>
        <v>2023</v>
      </c>
      <c r="G121" t="str">
        <f>Tabela_ferias_folgas[[#This Row],[Médico]]&amp;" - "&amp;Tabela_ferias_folgas[[#This Row],[Compromisso]]</f>
        <v>EBB - FÉRIAS</v>
      </c>
    </row>
    <row r="122" spans="1:7" x14ac:dyDescent="0.3">
      <c r="A122" t="s">
        <v>37</v>
      </c>
      <c r="B122" t="s">
        <v>464</v>
      </c>
      <c r="C122" s="1">
        <v>44965</v>
      </c>
      <c r="D122">
        <f>DAY(Tabela_ferias_folgas[[#This Row],[Data]])</f>
        <v>8</v>
      </c>
      <c r="E122">
        <f>MONTH(Tabela_ferias_folgas[[#This Row],[Data]])</f>
        <v>2</v>
      </c>
      <c r="F122">
        <f>YEAR(Tabela_ferias_folgas[[#This Row],[Data]])</f>
        <v>2023</v>
      </c>
      <c r="G122" t="str">
        <f>Tabela_ferias_folgas[[#This Row],[Médico]]&amp;" - "&amp;Tabela_ferias_folgas[[#This Row],[Compromisso]]</f>
        <v>EBB - FÉRIAS</v>
      </c>
    </row>
    <row r="123" spans="1:7" x14ac:dyDescent="0.3">
      <c r="A123" t="s">
        <v>37</v>
      </c>
      <c r="B123" t="s">
        <v>464</v>
      </c>
      <c r="C123" s="1">
        <v>44966</v>
      </c>
      <c r="D123">
        <f>DAY(Tabela_ferias_folgas[[#This Row],[Data]])</f>
        <v>9</v>
      </c>
      <c r="E123">
        <f>MONTH(Tabela_ferias_folgas[[#This Row],[Data]])</f>
        <v>2</v>
      </c>
      <c r="F123">
        <f>YEAR(Tabela_ferias_folgas[[#This Row],[Data]])</f>
        <v>2023</v>
      </c>
      <c r="G123" t="str">
        <f>Tabela_ferias_folgas[[#This Row],[Médico]]&amp;" - "&amp;Tabela_ferias_folgas[[#This Row],[Compromisso]]</f>
        <v>EBB - FÉRIAS</v>
      </c>
    </row>
    <row r="124" spans="1:7" x14ac:dyDescent="0.3">
      <c r="A124" t="s">
        <v>37</v>
      </c>
      <c r="B124" t="s">
        <v>464</v>
      </c>
      <c r="C124" s="1">
        <v>44967</v>
      </c>
      <c r="D124">
        <f>DAY(Tabela_ferias_folgas[[#This Row],[Data]])</f>
        <v>10</v>
      </c>
      <c r="E124">
        <f>MONTH(Tabela_ferias_folgas[[#This Row],[Data]])</f>
        <v>2</v>
      </c>
      <c r="F124">
        <f>YEAR(Tabela_ferias_folgas[[#This Row],[Data]])</f>
        <v>2023</v>
      </c>
      <c r="G124" t="str">
        <f>Tabela_ferias_folgas[[#This Row],[Médico]]&amp;" - "&amp;Tabela_ferias_folgas[[#This Row],[Compromisso]]</f>
        <v>EBB - FÉRIAS</v>
      </c>
    </row>
    <row r="125" spans="1:7" x14ac:dyDescent="0.3">
      <c r="A125" t="s">
        <v>48</v>
      </c>
      <c r="B125" t="s">
        <v>464</v>
      </c>
      <c r="C125" s="1">
        <v>44956</v>
      </c>
      <c r="D125">
        <f>DAY(Tabela_ferias_folgas[[#This Row],[Data]])</f>
        <v>30</v>
      </c>
      <c r="E125">
        <f>MONTH(Tabela_ferias_folgas[[#This Row],[Data]])</f>
        <v>1</v>
      </c>
      <c r="F125">
        <f>YEAR(Tabela_ferias_folgas[[#This Row],[Data]])</f>
        <v>2023</v>
      </c>
      <c r="G125" t="str">
        <f>Tabela_ferias_folgas[[#This Row],[Médico]]&amp;" - "&amp;Tabela_ferias_folgas[[#This Row],[Compromisso]]</f>
        <v>MAF - FÉRIAS</v>
      </c>
    </row>
    <row r="126" spans="1:7" x14ac:dyDescent="0.3">
      <c r="A126" t="s">
        <v>48</v>
      </c>
      <c r="B126" t="s">
        <v>464</v>
      </c>
      <c r="C126" s="1">
        <v>44957</v>
      </c>
      <c r="D126">
        <f>DAY(Tabela_ferias_folgas[[#This Row],[Data]])</f>
        <v>31</v>
      </c>
      <c r="E126">
        <f>MONTH(Tabela_ferias_folgas[[#This Row],[Data]])</f>
        <v>1</v>
      </c>
      <c r="F126">
        <f>YEAR(Tabela_ferias_folgas[[#This Row],[Data]])</f>
        <v>2023</v>
      </c>
      <c r="G126" t="str">
        <f>Tabela_ferias_folgas[[#This Row],[Médico]]&amp;" - "&amp;Tabela_ferias_folgas[[#This Row],[Compromisso]]</f>
        <v>MAF - FÉRIAS</v>
      </c>
    </row>
    <row r="127" spans="1:7" x14ac:dyDescent="0.3">
      <c r="A127" t="s">
        <v>48</v>
      </c>
      <c r="B127" t="s">
        <v>464</v>
      </c>
      <c r="C127" s="1">
        <v>44958</v>
      </c>
      <c r="D127">
        <f>DAY(Tabela_ferias_folgas[[#This Row],[Data]])</f>
        <v>1</v>
      </c>
      <c r="E127">
        <f>MONTH(Tabela_ferias_folgas[[#This Row],[Data]])</f>
        <v>2</v>
      </c>
      <c r="F127">
        <f>YEAR(Tabela_ferias_folgas[[#This Row],[Data]])</f>
        <v>2023</v>
      </c>
      <c r="G127" t="str">
        <f>Tabela_ferias_folgas[[#This Row],[Médico]]&amp;" - "&amp;Tabela_ferias_folgas[[#This Row],[Compromisso]]</f>
        <v>MAF - FÉRIAS</v>
      </c>
    </row>
    <row r="128" spans="1:7" x14ac:dyDescent="0.3">
      <c r="A128" t="s">
        <v>48</v>
      </c>
      <c r="B128" t="s">
        <v>464</v>
      </c>
      <c r="C128" s="1">
        <v>44959</v>
      </c>
      <c r="D128">
        <f>DAY(Tabela_ferias_folgas[[#This Row],[Data]])</f>
        <v>2</v>
      </c>
      <c r="E128">
        <f>MONTH(Tabela_ferias_folgas[[#This Row],[Data]])</f>
        <v>2</v>
      </c>
      <c r="F128">
        <f>YEAR(Tabela_ferias_folgas[[#This Row],[Data]])</f>
        <v>2023</v>
      </c>
      <c r="G128" t="str">
        <f>Tabela_ferias_folgas[[#This Row],[Médico]]&amp;" - "&amp;Tabela_ferias_folgas[[#This Row],[Compromisso]]</f>
        <v>MAF - FÉRIAS</v>
      </c>
    </row>
    <row r="129" spans="1:7" x14ac:dyDescent="0.3">
      <c r="A129" t="s">
        <v>48</v>
      </c>
      <c r="B129" t="s">
        <v>464</v>
      </c>
      <c r="C129" s="1">
        <v>44960</v>
      </c>
      <c r="D129">
        <f>DAY(Tabela_ferias_folgas[[#This Row],[Data]])</f>
        <v>3</v>
      </c>
      <c r="E129">
        <f>MONTH(Tabela_ferias_folgas[[#This Row],[Data]])</f>
        <v>2</v>
      </c>
      <c r="F129">
        <f>YEAR(Tabela_ferias_folgas[[#This Row],[Data]])</f>
        <v>2023</v>
      </c>
      <c r="G129" t="str">
        <f>Tabela_ferias_folgas[[#This Row],[Médico]]&amp;" - "&amp;Tabela_ferias_folgas[[#This Row],[Compromisso]]</f>
        <v>MAF - FÉRIAS</v>
      </c>
    </row>
    <row r="130" spans="1:7" x14ac:dyDescent="0.3">
      <c r="A130" t="s">
        <v>48</v>
      </c>
      <c r="B130" t="s">
        <v>464</v>
      </c>
      <c r="C130" s="1">
        <v>44961</v>
      </c>
      <c r="D130">
        <f>DAY(Tabela_ferias_folgas[[#This Row],[Data]])</f>
        <v>4</v>
      </c>
      <c r="E130">
        <f>MONTH(Tabela_ferias_folgas[[#This Row],[Data]])</f>
        <v>2</v>
      </c>
      <c r="F130">
        <f>YEAR(Tabela_ferias_folgas[[#This Row],[Data]])</f>
        <v>2023</v>
      </c>
      <c r="G130" t="str">
        <f>Tabela_ferias_folgas[[#This Row],[Médico]]&amp;" - "&amp;Tabela_ferias_folgas[[#This Row],[Compromisso]]</f>
        <v>MAF - FÉRIAS</v>
      </c>
    </row>
    <row r="131" spans="1:7" x14ac:dyDescent="0.3">
      <c r="A131" t="s">
        <v>48</v>
      </c>
      <c r="B131" t="s">
        <v>464</v>
      </c>
      <c r="C131" s="1">
        <v>44962</v>
      </c>
      <c r="D131">
        <f>DAY(Tabela_ferias_folgas[[#This Row],[Data]])</f>
        <v>5</v>
      </c>
      <c r="E131">
        <f>MONTH(Tabela_ferias_folgas[[#This Row],[Data]])</f>
        <v>2</v>
      </c>
      <c r="F131">
        <f>YEAR(Tabela_ferias_folgas[[#This Row],[Data]])</f>
        <v>2023</v>
      </c>
      <c r="G131" t="str">
        <f>Tabela_ferias_folgas[[#This Row],[Médico]]&amp;" - "&amp;Tabela_ferias_folgas[[#This Row],[Compromisso]]</f>
        <v>MAF - FÉRIAS</v>
      </c>
    </row>
    <row r="132" spans="1:7" x14ac:dyDescent="0.3">
      <c r="A132" t="s">
        <v>48</v>
      </c>
      <c r="B132" t="s">
        <v>464</v>
      </c>
      <c r="C132" s="1">
        <v>44963</v>
      </c>
      <c r="D132">
        <f>DAY(Tabela_ferias_folgas[[#This Row],[Data]])</f>
        <v>6</v>
      </c>
      <c r="E132">
        <f>MONTH(Tabela_ferias_folgas[[#This Row],[Data]])</f>
        <v>2</v>
      </c>
      <c r="F132">
        <f>YEAR(Tabela_ferias_folgas[[#This Row],[Data]])</f>
        <v>2023</v>
      </c>
      <c r="G132" t="str">
        <f>Tabela_ferias_folgas[[#This Row],[Médico]]&amp;" - "&amp;Tabela_ferias_folgas[[#This Row],[Compromisso]]</f>
        <v>MAF - FÉRIAS</v>
      </c>
    </row>
    <row r="133" spans="1:7" x14ac:dyDescent="0.3">
      <c r="A133" t="s">
        <v>48</v>
      </c>
      <c r="B133" t="s">
        <v>464</v>
      </c>
      <c r="C133" s="1">
        <v>44964</v>
      </c>
      <c r="D133">
        <f>DAY(Tabela_ferias_folgas[[#This Row],[Data]])</f>
        <v>7</v>
      </c>
      <c r="E133">
        <f>MONTH(Tabela_ferias_folgas[[#This Row],[Data]])</f>
        <v>2</v>
      </c>
      <c r="F133">
        <f>YEAR(Tabela_ferias_folgas[[#This Row],[Data]])</f>
        <v>2023</v>
      </c>
      <c r="G133" t="str">
        <f>Tabela_ferias_folgas[[#This Row],[Médico]]&amp;" - "&amp;Tabela_ferias_folgas[[#This Row],[Compromisso]]</f>
        <v>MAF - FÉRIAS</v>
      </c>
    </row>
    <row r="134" spans="1:7" x14ac:dyDescent="0.3">
      <c r="A134" t="s">
        <v>48</v>
      </c>
      <c r="B134" t="s">
        <v>464</v>
      </c>
      <c r="C134" s="1">
        <v>44965</v>
      </c>
      <c r="D134">
        <f>DAY(Tabela_ferias_folgas[[#This Row],[Data]])</f>
        <v>8</v>
      </c>
      <c r="E134">
        <f>MONTH(Tabela_ferias_folgas[[#This Row],[Data]])</f>
        <v>2</v>
      </c>
      <c r="F134">
        <f>YEAR(Tabela_ferias_folgas[[#This Row],[Data]])</f>
        <v>2023</v>
      </c>
      <c r="G134" t="str">
        <f>Tabela_ferias_folgas[[#This Row],[Médico]]&amp;" - "&amp;Tabela_ferias_folgas[[#This Row],[Compromisso]]</f>
        <v>MAF - FÉRIAS</v>
      </c>
    </row>
    <row r="135" spans="1:7" x14ac:dyDescent="0.3">
      <c r="A135" t="s">
        <v>48</v>
      </c>
      <c r="B135" t="s">
        <v>464</v>
      </c>
      <c r="C135" s="1">
        <v>44966</v>
      </c>
      <c r="D135">
        <f>DAY(Tabela_ferias_folgas[[#This Row],[Data]])</f>
        <v>9</v>
      </c>
      <c r="E135">
        <f>MONTH(Tabela_ferias_folgas[[#This Row],[Data]])</f>
        <v>2</v>
      </c>
      <c r="F135">
        <f>YEAR(Tabela_ferias_folgas[[#This Row],[Data]])</f>
        <v>2023</v>
      </c>
      <c r="G135" t="str">
        <f>Tabela_ferias_folgas[[#This Row],[Médico]]&amp;" - "&amp;Tabela_ferias_folgas[[#This Row],[Compromisso]]</f>
        <v>MAF - FÉRIAS</v>
      </c>
    </row>
    <row r="136" spans="1:7" x14ac:dyDescent="0.3">
      <c r="A136" t="s">
        <v>48</v>
      </c>
      <c r="B136" t="s">
        <v>464</v>
      </c>
      <c r="C136" s="1">
        <v>44967</v>
      </c>
      <c r="D136">
        <f>DAY(Tabela_ferias_folgas[[#This Row],[Data]])</f>
        <v>10</v>
      </c>
      <c r="E136">
        <f>MONTH(Tabela_ferias_folgas[[#This Row],[Data]])</f>
        <v>2</v>
      </c>
      <c r="F136">
        <f>YEAR(Tabela_ferias_folgas[[#This Row],[Data]])</f>
        <v>2023</v>
      </c>
      <c r="G136" t="str">
        <f>Tabela_ferias_folgas[[#This Row],[Médico]]&amp;" - "&amp;Tabela_ferias_folgas[[#This Row],[Compromisso]]</f>
        <v>MAF - FÉRIAS</v>
      </c>
    </row>
    <row r="137" spans="1:7" x14ac:dyDescent="0.3">
      <c r="A137" t="s">
        <v>333</v>
      </c>
      <c r="B137" t="s">
        <v>464</v>
      </c>
      <c r="C137" s="1">
        <v>44956</v>
      </c>
      <c r="D137">
        <f>DAY(Tabela_ferias_folgas[[#This Row],[Data]])</f>
        <v>30</v>
      </c>
      <c r="E137">
        <f>MONTH(Tabela_ferias_folgas[[#This Row],[Data]])</f>
        <v>1</v>
      </c>
      <c r="F137">
        <f>YEAR(Tabela_ferias_folgas[[#This Row],[Data]])</f>
        <v>2023</v>
      </c>
      <c r="G137" t="str">
        <f>Tabela_ferias_folgas[[#This Row],[Médico]]&amp;" - "&amp;Tabela_ferias_folgas[[#This Row],[Compromisso]]</f>
        <v>COR - FÉRIAS</v>
      </c>
    </row>
    <row r="138" spans="1:7" x14ac:dyDescent="0.3">
      <c r="A138" t="s">
        <v>333</v>
      </c>
      <c r="B138" t="s">
        <v>464</v>
      </c>
      <c r="C138" s="1">
        <v>44957</v>
      </c>
      <c r="D138">
        <f>DAY(Tabela_ferias_folgas[[#This Row],[Data]])</f>
        <v>31</v>
      </c>
      <c r="E138">
        <f>MONTH(Tabela_ferias_folgas[[#This Row],[Data]])</f>
        <v>1</v>
      </c>
      <c r="F138">
        <f>YEAR(Tabela_ferias_folgas[[#This Row],[Data]])</f>
        <v>2023</v>
      </c>
      <c r="G138" t="str">
        <f>Tabela_ferias_folgas[[#This Row],[Médico]]&amp;" - "&amp;Tabela_ferias_folgas[[#This Row],[Compromisso]]</f>
        <v>COR - FÉRIAS</v>
      </c>
    </row>
    <row r="139" spans="1:7" x14ac:dyDescent="0.3">
      <c r="A139" t="s">
        <v>333</v>
      </c>
      <c r="B139" t="s">
        <v>464</v>
      </c>
      <c r="C139" s="1">
        <v>44958</v>
      </c>
      <c r="D139">
        <f>DAY(Tabela_ferias_folgas[[#This Row],[Data]])</f>
        <v>1</v>
      </c>
      <c r="E139">
        <f>MONTH(Tabela_ferias_folgas[[#This Row],[Data]])</f>
        <v>2</v>
      </c>
      <c r="F139">
        <f>YEAR(Tabela_ferias_folgas[[#This Row],[Data]])</f>
        <v>2023</v>
      </c>
      <c r="G139" t="str">
        <f>Tabela_ferias_folgas[[#This Row],[Médico]]&amp;" - "&amp;Tabela_ferias_folgas[[#This Row],[Compromisso]]</f>
        <v>COR - FÉRIAS</v>
      </c>
    </row>
    <row r="140" spans="1:7" x14ac:dyDescent="0.3">
      <c r="A140" t="s">
        <v>333</v>
      </c>
      <c r="B140" t="s">
        <v>464</v>
      </c>
      <c r="C140" s="1">
        <v>44959</v>
      </c>
      <c r="D140">
        <f>DAY(Tabela_ferias_folgas[[#This Row],[Data]])</f>
        <v>2</v>
      </c>
      <c r="E140">
        <f>MONTH(Tabela_ferias_folgas[[#This Row],[Data]])</f>
        <v>2</v>
      </c>
      <c r="F140">
        <f>YEAR(Tabela_ferias_folgas[[#This Row],[Data]])</f>
        <v>2023</v>
      </c>
      <c r="G140" t="str">
        <f>Tabela_ferias_folgas[[#This Row],[Médico]]&amp;" - "&amp;Tabela_ferias_folgas[[#This Row],[Compromisso]]</f>
        <v>COR - FÉRIAS</v>
      </c>
    </row>
    <row r="141" spans="1:7" x14ac:dyDescent="0.3">
      <c r="A141" t="s">
        <v>50</v>
      </c>
      <c r="B141" t="s">
        <v>464</v>
      </c>
      <c r="C141" s="1">
        <v>44956</v>
      </c>
      <c r="D141">
        <f>DAY(Tabela_ferias_folgas[[#This Row],[Data]])</f>
        <v>30</v>
      </c>
      <c r="E141">
        <f>MONTH(Tabela_ferias_folgas[[#This Row],[Data]])</f>
        <v>1</v>
      </c>
      <c r="F141">
        <f>YEAR(Tabela_ferias_folgas[[#This Row],[Data]])</f>
        <v>2023</v>
      </c>
      <c r="G141" t="str">
        <f>Tabela_ferias_folgas[[#This Row],[Médico]]&amp;" - "&amp;Tabela_ferias_folgas[[#This Row],[Compromisso]]</f>
        <v>PJP - FÉRIAS</v>
      </c>
    </row>
    <row r="142" spans="1:7" x14ac:dyDescent="0.3">
      <c r="A142" t="s">
        <v>50</v>
      </c>
      <c r="B142" t="s">
        <v>464</v>
      </c>
      <c r="C142" s="1">
        <v>44957</v>
      </c>
      <c r="D142">
        <f>DAY(Tabela_ferias_folgas[[#This Row],[Data]])</f>
        <v>31</v>
      </c>
      <c r="E142">
        <f>MONTH(Tabela_ferias_folgas[[#This Row],[Data]])</f>
        <v>1</v>
      </c>
      <c r="F142">
        <f>YEAR(Tabela_ferias_folgas[[#This Row],[Data]])</f>
        <v>2023</v>
      </c>
      <c r="G142" t="str">
        <f>Tabela_ferias_folgas[[#This Row],[Médico]]&amp;" - "&amp;Tabela_ferias_folgas[[#This Row],[Compromisso]]</f>
        <v>PJP - FÉRIAS</v>
      </c>
    </row>
    <row r="143" spans="1:7" x14ac:dyDescent="0.3">
      <c r="A143" t="s">
        <v>50</v>
      </c>
      <c r="B143" t="s">
        <v>464</v>
      </c>
      <c r="C143" s="1">
        <v>44958</v>
      </c>
      <c r="D143">
        <f>DAY(Tabela_ferias_folgas[[#This Row],[Data]])</f>
        <v>1</v>
      </c>
      <c r="E143">
        <f>MONTH(Tabela_ferias_folgas[[#This Row],[Data]])</f>
        <v>2</v>
      </c>
      <c r="F143">
        <f>YEAR(Tabela_ferias_folgas[[#This Row],[Data]])</f>
        <v>2023</v>
      </c>
      <c r="G143" t="str">
        <f>Tabela_ferias_folgas[[#This Row],[Médico]]&amp;" - "&amp;Tabela_ferias_folgas[[#This Row],[Compromisso]]</f>
        <v>PJP - FÉRIAS</v>
      </c>
    </row>
    <row r="144" spans="1:7" x14ac:dyDescent="0.3">
      <c r="A144" t="s">
        <v>50</v>
      </c>
      <c r="B144" t="s">
        <v>464</v>
      </c>
      <c r="C144" s="1">
        <v>44959</v>
      </c>
      <c r="D144">
        <f>DAY(Tabela_ferias_folgas[[#This Row],[Data]])</f>
        <v>2</v>
      </c>
      <c r="E144">
        <f>MONTH(Tabela_ferias_folgas[[#This Row],[Data]])</f>
        <v>2</v>
      </c>
      <c r="F144">
        <f>YEAR(Tabela_ferias_folgas[[#This Row],[Data]])</f>
        <v>2023</v>
      </c>
      <c r="G144" t="str">
        <f>Tabela_ferias_folgas[[#This Row],[Médico]]&amp;" - "&amp;Tabela_ferias_folgas[[#This Row],[Compromisso]]</f>
        <v>PJP - FÉRIAS</v>
      </c>
    </row>
    <row r="145" spans="1:7" x14ac:dyDescent="0.3">
      <c r="A145" t="s">
        <v>50</v>
      </c>
      <c r="B145" t="s">
        <v>464</v>
      </c>
      <c r="C145" s="1">
        <v>44960</v>
      </c>
      <c r="D145">
        <f>DAY(Tabela_ferias_folgas[[#This Row],[Data]])</f>
        <v>3</v>
      </c>
      <c r="E145">
        <f>MONTH(Tabela_ferias_folgas[[#This Row],[Data]])</f>
        <v>2</v>
      </c>
      <c r="F145">
        <f>YEAR(Tabela_ferias_folgas[[#This Row],[Data]])</f>
        <v>2023</v>
      </c>
      <c r="G145" t="str">
        <f>Tabela_ferias_folgas[[#This Row],[Médico]]&amp;" - "&amp;Tabela_ferias_folgas[[#This Row],[Compromisso]]</f>
        <v>PJP - FÉRIAS</v>
      </c>
    </row>
    <row r="146" spans="1:7" x14ac:dyDescent="0.3">
      <c r="A146" t="s">
        <v>333</v>
      </c>
      <c r="B146" t="s">
        <v>466</v>
      </c>
      <c r="C146" s="1">
        <v>44929</v>
      </c>
      <c r="D146">
        <f>DAY(Tabela_ferias_folgas[[#This Row],[Data]])</f>
        <v>3</v>
      </c>
      <c r="E146">
        <f>MONTH(Tabela_ferias_folgas[[#This Row],[Data]])</f>
        <v>1</v>
      </c>
      <c r="F146">
        <f>YEAR(Tabela_ferias_folgas[[#This Row],[Data]])</f>
        <v>2023</v>
      </c>
      <c r="G146" t="str">
        <f>Tabela_ferias_folgas[[#This Row],[Médico]]&amp;" - "&amp;Tabela_ferias_folgas[[#This Row],[Compromisso]]</f>
        <v>COR - CURSO</v>
      </c>
    </row>
    <row r="147" spans="1:7" x14ac:dyDescent="0.3">
      <c r="A147" t="s">
        <v>333</v>
      </c>
      <c r="B147" t="s">
        <v>466</v>
      </c>
      <c r="C147" s="1">
        <v>44930</v>
      </c>
      <c r="D147">
        <f>DAY(Tabela_ferias_folgas[[#This Row],[Data]])</f>
        <v>4</v>
      </c>
      <c r="E147">
        <f>MONTH(Tabela_ferias_folgas[[#This Row],[Data]])</f>
        <v>1</v>
      </c>
      <c r="F147">
        <f>YEAR(Tabela_ferias_folgas[[#This Row],[Data]])</f>
        <v>2023</v>
      </c>
      <c r="G147" t="str">
        <f>Tabela_ferias_folgas[[#This Row],[Médico]]&amp;" - "&amp;Tabela_ferias_folgas[[#This Row],[Compromisso]]</f>
        <v>COR - CURSO</v>
      </c>
    </row>
    <row r="148" spans="1:7" x14ac:dyDescent="0.3">
      <c r="A148" t="s">
        <v>12</v>
      </c>
      <c r="B148" t="s">
        <v>464</v>
      </c>
      <c r="C148" s="1">
        <v>44963</v>
      </c>
      <c r="D148">
        <f>DAY(Tabela_ferias_folgas[[#This Row],[Data]])</f>
        <v>6</v>
      </c>
      <c r="E148">
        <f>MONTH(Tabela_ferias_folgas[[#This Row],[Data]])</f>
        <v>2</v>
      </c>
      <c r="F148">
        <f>YEAR(Tabela_ferias_folgas[[#This Row],[Data]])</f>
        <v>2023</v>
      </c>
      <c r="G148" t="str">
        <f>Tabela_ferias_folgas[[#This Row],[Médico]]&amp;" - "&amp;Tabela_ferias_folgas[[#This Row],[Compromisso]]</f>
        <v>EDU - FÉRIAS</v>
      </c>
    </row>
    <row r="149" spans="1:7" x14ac:dyDescent="0.3">
      <c r="A149" t="s">
        <v>12</v>
      </c>
      <c r="B149" t="s">
        <v>464</v>
      </c>
      <c r="C149" s="1">
        <v>44964</v>
      </c>
      <c r="D149">
        <f>DAY(Tabela_ferias_folgas[[#This Row],[Data]])</f>
        <v>7</v>
      </c>
      <c r="E149">
        <f>MONTH(Tabela_ferias_folgas[[#This Row],[Data]])</f>
        <v>2</v>
      </c>
      <c r="F149">
        <f>YEAR(Tabela_ferias_folgas[[#This Row],[Data]])</f>
        <v>2023</v>
      </c>
      <c r="G149" t="str">
        <f>Tabela_ferias_folgas[[#This Row],[Médico]]&amp;" - "&amp;Tabela_ferias_folgas[[#This Row],[Compromisso]]</f>
        <v>EDU - FÉRIAS</v>
      </c>
    </row>
    <row r="150" spans="1:7" x14ac:dyDescent="0.3">
      <c r="A150" t="s">
        <v>12</v>
      </c>
      <c r="B150" t="s">
        <v>464</v>
      </c>
      <c r="C150" s="1">
        <v>44965</v>
      </c>
      <c r="D150">
        <f>DAY(Tabela_ferias_folgas[[#This Row],[Data]])</f>
        <v>8</v>
      </c>
      <c r="E150">
        <f>MONTH(Tabela_ferias_folgas[[#This Row],[Data]])</f>
        <v>2</v>
      </c>
      <c r="F150">
        <f>YEAR(Tabela_ferias_folgas[[#This Row],[Data]])</f>
        <v>2023</v>
      </c>
      <c r="G150" t="str">
        <f>Tabela_ferias_folgas[[#This Row],[Médico]]&amp;" - "&amp;Tabela_ferias_folgas[[#This Row],[Compromisso]]</f>
        <v>EDU - FÉRIAS</v>
      </c>
    </row>
    <row r="151" spans="1:7" x14ac:dyDescent="0.3">
      <c r="A151" t="s">
        <v>12</v>
      </c>
      <c r="B151" t="s">
        <v>464</v>
      </c>
      <c r="C151" s="1">
        <v>44966</v>
      </c>
      <c r="D151">
        <f>DAY(Tabela_ferias_folgas[[#This Row],[Data]])</f>
        <v>9</v>
      </c>
      <c r="E151">
        <f>MONTH(Tabela_ferias_folgas[[#This Row],[Data]])</f>
        <v>2</v>
      </c>
      <c r="F151">
        <f>YEAR(Tabela_ferias_folgas[[#This Row],[Data]])</f>
        <v>2023</v>
      </c>
      <c r="G151" t="str">
        <f>Tabela_ferias_folgas[[#This Row],[Médico]]&amp;" - "&amp;Tabela_ferias_folgas[[#This Row],[Compromisso]]</f>
        <v>EDU - FÉRIAS</v>
      </c>
    </row>
    <row r="152" spans="1:7" x14ac:dyDescent="0.3">
      <c r="A152" t="s">
        <v>12</v>
      </c>
      <c r="B152" t="s">
        <v>464</v>
      </c>
      <c r="C152" s="1">
        <v>44967</v>
      </c>
      <c r="D152">
        <f>DAY(Tabela_ferias_folgas[[#This Row],[Data]])</f>
        <v>10</v>
      </c>
      <c r="E152">
        <f>MONTH(Tabela_ferias_folgas[[#This Row],[Data]])</f>
        <v>2</v>
      </c>
      <c r="F152">
        <f>YEAR(Tabela_ferias_folgas[[#This Row],[Data]])</f>
        <v>2023</v>
      </c>
      <c r="G152" t="str">
        <f>Tabela_ferias_folgas[[#This Row],[Médico]]&amp;" - "&amp;Tabela_ferias_folgas[[#This Row],[Compromisso]]</f>
        <v>EDU - FÉRIAS</v>
      </c>
    </row>
    <row r="153" spans="1:7" x14ac:dyDescent="0.3">
      <c r="A153" t="s">
        <v>17</v>
      </c>
      <c r="B153" t="s">
        <v>464</v>
      </c>
      <c r="C153" s="1">
        <v>44963</v>
      </c>
      <c r="D153">
        <f>DAY(Tabela_ferias_folgas[[#This Row],[Data]])</f>
        <v>6</v>
      </c>
      <c r="E153">
        <f>MONTH(Tabela_ferias_folgas[[#This Row],[Data]])</f>
        <v>2</v>
      </c>
      <c r="F153">
        <f>YEAR(Tabela_ferias_folgas[[#This Row],[Data]])</f>
        <v>2023</v>
      </c>
      <c r="G153" t="str">
        <f>Tabela_ferias_folgas[[#This Row],[Médico]]&amp;" - "&amp;Tabela_ferias_folgas[[#This Row],[Compromisso]]</f>
        <v>FAB - FÉRIAS</v>
      </c>
    </row>
    <row r="154" spans="1:7" x14ac:dyDescent="0.3">
      <c r="A154" t="s">
        <v>17</v>
      </c>
      <c r="B154" t="s">
        <v>464</v>
      </c>
      <c r="C154" s="1">
        <v>44964</v>
      </c>
      <c r="D154">
        <f>DAY(Tabela_ferias_folgas[[#This Row],[Data]])</f>
        <v>7</v>
      </c>
      <c r="E154">
        <f>MONTH(Tabela_ferias_folgas[[#This Row],[Data]])</f>
        <v>2</v>
      </c>
      <c r="F154">
        <f>YEAR(Tabela_ferias_folgas[[#This Row],[Data]])</f>
        <v>2023</v>
      </c>
      <c r="G154" t="str">
        <f>Tabela_ferias_folgas[[#This Row],[Médico]]&amp;" - "&amp;Tabela_ferias_folgas[[#This Row],[Compromisso]]</f>
        <v>FAB - FÉRIAS</v>
      </c>
    </row>
    <row r="155" spans="1:7" x14ac:dyDescent="0.3">
      <c r="A155" t="s">
        <v>17</v>
      </c>
      <c r="B155" t="s">
        <v>464</v>
      </c>
      <c r="C155" s="1">
        <v>44965</v>
      </c>
      <c r="D155">
        <f>DAY(Tabela_ferias_folgas[[#This Row],[Data]])</f>
        <v>8</v>
      </c>
      <c r="E155">
        <f>MONTH(Tabela_ferias_folgas[[#This Row],[Data]])</f>
        <v>2</v>
      </c>
      <c r="F155">
        <f>YEAR(Tabela_ferias_folgas[[#This Row],[Data]])</f>
        <v>2023</v>
      </c>
      <c r="G155" t="str">
        <f>Tabela_ferias_folgas[[#This Row],[Médico]]&amp;" - "&amp;Tabela_ferias_folgas[[#This Row],[Compromisso]]</f>
        <v>FAB - FÉRIAS</v>
      </c>
    </row>
    <row r="156" spans="1:7" x14ac:dyDescent="0.3">
      <c r="A156" t="s">
        <v>17</v>
      </c>
      <c r="B156" t="s">
        <v>464</v>
      </c>
      <c r="C156" s="1">
        <v>44966</v>
      </c>
      <c r="D156">
        <f>DAY(Tabela_ferias_folgas[[#This Row],[Data]])</f>
        <v>9</v>
      </c>
      <c r="E156">
        <f>MONTH(Tabela_ferias_folgas[[#This Row],[Data]])</f>
        <v>2</v>
      </c>
      <c r="F156">
        <f>YEAR(Tabela_ferias_folgas[[#This Row],[Data]])</f>
        <v>2023</v>
      </c>
      <c r="G156" t="str">
        <f>Tabela_ferias_folgas[[#This Row],[Médico]]&amp;" - "&amp;Tabela_ferias_folgas[[#This Row],[Compromisso]]</f>
        <v>FAB - FÉRIAS</v>
      </c>
    </row>
    <row r="157" spans="1:7" x14ac:dyDescent="0.3">
      <c r="A157" t="s">
        <v>17</v>
      </c>
      <c r="B157" t="s">
        <v>464</v>
      </c>
      <c r="C157" s="1">
        <v>44967</v>
      </c>
      <c r="D157">
        <f>DAY(Tabela_ferias_folgas[[#This Row],[Data]])</f>
        <v>10</v>
      </c>
      <c r="E157">
        <f>MONTH(Tabela_ferias_folgas[[#This Row],[Data]])</f>
        <v>2</v>
      </c>
      <c r="F157">
        <f>YEAR(Tabela_ferias_folgas[[#This Row],[Data]])</f>
        <v>2023</v>
      </c>
      <c r="G157" t="str">
        <f>Tabela_ferias_folgas[[#This Row],[Médico]]&amp;" - "&amp;Tabela_ferias_folgas[[#This Row],[Compromisso]]</f>
        <v>FAB - FÉRIAS</v>
      </c>
    </row>
    <row r="158" spans="1:7" x14ac:dyDescent="0.3">
      <c r="A158" t="s">
        <v>17</v>
      </c>
      <c r="B158" t="s">
        <v>464</v>
      </c>
      <c r="C158" s="1">
        <v>44968</v>
      </c>
      <c r="D158">
        <f>DAY(Tabela_ferias_folgas[[#This Row],[Data]])</f>
        <v>11</v>
      </c>
      <c r="E158">
        <f>MONTH(Tabela_ferias_folgas[[#This Row],[Data]])</f>
        <v>2</v>
      </c>
      <c r="F158">
        <f>YEAR(Tabela_ferias_folgas[[#This Row],[Data]])</f>
        <v>2023</v>
      </c>
      <c r="G158" t="str">
        <f>Tabela_ferias_folgas[[#This Row],[Médico]]&amp;" - "&amp;Tabela_ferias_folgas[[#This Row],[Compromisso]]</f>
        <v>FAB - FÉRIAS</v>
      </c>
    </row>
    <row r="159" spans="1:7" x14ac:dyDescent="0.3">
      <c r="A159" t="s">
        <v>17</v>
      </c>
      <c r="B159" t="s">
        <v>464</v>
      </c>
      <c r="C159" s="1">
        <v>44969</v>
      </c>
      <c r="D159">
        <f>DAY(Tabela_ferias_folgas[[#This Row],[Data]])</f>
        <v>12</v>
      </c>
      <c r="E159">
        <f>MONTH(Tabela_ferias_folgas[[#This Row],[Data]])</f>
        <v>2</v>
      </c>
      <c r="F159">
        <f>YEAR(Tabela_ferias_folgas[[#This Row],[Data]])</f>
        <v>2023</v>
      </c>
      <c r="G159" t="str">
        <f>Tabela_ferias_folgas[[#This Row],[Médico]]&amp;" - "&amp;Tabela_ferias_folgas[[#This Row],[Compromisso]]</f>
        <v>FAB - FÉRIAS</v>
      </c>
    </row>
    <row r="160" spans="1:7" x14ac:dyDescent="0.3">
      <c r="A160" t="s">
        <v>17</v>
      </c>
      <c r="B160" t="s">
        <v>464</v>
      </c>
      <c r="C160" s="1">
        <v>44970</v>
      </c>
      <c r="D160">
        <f>DAY(Tabela_ferias_folgas[[#This Row],[Data]])</f>
        <v>13</v>
      </c>
      <c r="E160">
        <f>MONTH(Tabela_ferias_folgas[[#This Row],[Data]])</f>
        <v>2</v>
      </c>
      <c r="F160">
        <f>YEAR(Tabela_ferias_folgas[[#This Row],[Data]])</f>
        <v>2023</v>
      </c>
      <c r="G160" t="str">
        <f>Tabela_ferias_folgas[[#This Row],[Médico]]&amp;" - "&amp;Tabela_ferias_folgas[[#This Row],[Compromisso]]</f>
        <v>FAB - FÉRIAS</v>
      </c>
    </row>
    <row r="161" spans="1:7" x14ac:dyDescent="0.3">
      <c r="A161" t="s">
        <v>17</v>
      </c>
      <c r="B161" t="s">
        <v>464</v>
      </c>
      <c r="C161" s="1">
        <v>44971</v>
      </c>
      <c r="D161">
        <f>DAY(Tabela_ferias_folgas[[#This Row],[Data]])</f>
        <v>14</v>
      </c>
      <c r="E161">
        <f>MONTH(Tabela_ferias_folgas[[#This Row],[Data]])</f>
        <v>2</v>
      </c>
      <c r="F161">
        <f>YEAR(Tabela_ferias_folgas[[#This Row],[Data]])</f>
        <v>2023</v>
      </c>
      <c r="G161" t="str">
        <f>Tabela_ferias_folgas[[#This Row],[Médico]]&amp;" - "&amp;Tabela_ferias_folgas[[#This Row],[Compromisso]]</f>
        <v>FAB - FÉRIAS</v>
      </c>
    </row>
    <row r="162" spans="1:7" x14ac:dyDescent="0.3">
      <c r="A162" t="s">
        <v>17</v>
      </c>
      <c r="B162" t="s">
        <v>464</v>
      </c>
      <c r="C162" s="1">
        <v>44972</v>
      </c>
      <c r="D162">
        <f>DAY(Tabela_ferias_folgas[[#This Row],[Data]])</f>
        <v>15</v>
      </c>
      <c r="E162">
        <f>MONTH(Tabela_ferias_folgas[[#This Row],[Data]])</f>
        <v>2</v>
      </c>
      <c r="F162">
        <f>YEAR(Tabela_ferias_folgas[[#This Row],[Data]])</f>
        <v>2023</v>
      </c>
      <c r="G162" t="str">
        <f>Tabela_ferias_folgas[[#This Row],[Médico]]&amp;" - "&amp;Tabela_ferias_folgas[[#This Row],[Compromisso]]</f>
        <v>FAB - FÉRIAS</v>
      </c>
    </row>
    <row r="163" spans="1:7" x14ac:dyDescent="0.3">
      <c r="A163" t="s">
        <v>17</v>
      </c>
      <c r="B163" t="s">
        <v>464</v>
      </c>
      <c r="C163" s="1">
        <v>44973</v>
      </c>
      <c r="D163">
        <f>DAY(Tabela_ferias_folgas[[#This Row],[Data]])</f>
        <v>16</v>
      </c>
      <c r="E163">
        <f>MONTH(Tabela_ferias_folgas[[#This Row],[Data]])</f>
        <v>2</v>
      </c>
      <c r="F163">
        <f>YEAR(Tabela_ferias_folgas[[#This Row],[Data]])</f>
        <v>2023</v>
      </c>
      <c r="G163" t="str">
        <f>Tabela_ferias_folgas[[#This Row],[Médico]]&amp;" - "&amp;Tabela_ferias_folgas[[#This Row],[Compromisso]]</f>
        <v>FAB - FÉRIAS</v>
      </c>
    </row>
    <row r="164" spans="1:7" x14ac:dyDescent="0.3">
      <c r="A164" t="s">
        <v>17</v>
      </c>
      <c r="B164" t="s">
        <v>464</v>
      </c>
      <c r="C164" s="1">
        <v>44974</v>
      </c>
      <c r="D164">
        <f>DAY(Tabela_ferias_folgas[[#This Row],[Data]])</f>
        <v>17</v>
      </c>
      <c r="E164">
        <f>MONTH(Tabela_ferias_folgas[[#This Row],[Data]])</f>
        <v>2</v>
      </c>
      <c r="F164">
        <f>YEAR(Tabela_ferias_folgas[[#This Row],[Data]])</f>
        <v>2023</v>
      </c>
      <c r="G164" t="str">
        <f>Tabela_ferias_folgas[[#This Row],[Médico]]&amp;" - "&amp;Tabela_ferias_folgas[[#This Row],[Compromisso]]</f>
        <v>FAB - FÉRIAS</v>
      </c>
    </row>
    <row r="165" spans="1:7" x14ac:dyDescent="0.3">
      <c r="A165" t="s">
        <v>23</v>
      </c>
      <c r="B165" t="s">
        <v>464</v>
      </c>
      <c r="C165" s="1">
        <v>44970</v>
      </c>
      <c r="D165">
        <f>DAY(Tabela_ferias_folgas[[#This Row],[Data]])</f>
        <v>13</v>
      </c>
      <c r="E165">
        <f>MONTH(Tabela_ferias_folgas[[#This Row],[Data]])</f>
        <v>2</v>
      </c>
      <c r="F165">
        <f>YEAR(Tabela_ferias_folgas[[#This Row],[Data]])</f>
        <v>2023</v>
      </c>
      <c r="G165" t="str">
        <f>Tabela_ferias_folgas[[#This Row],[Médico]]&amp;" - "&amp;Tabela_ferias_folgas[[#This Row],[Compromisso]]</f>
        <v>BG - FÉRIAS</v>
      </c>
    </row>
    <row r="166" spans="1:7" x14ac:dyDescent="0.3">
      <c r="A166" t="s">
        <v>23</v>
      </c>
      <c r="B166" t="s">
        <v>464</v>
      </c>
      <c r="C166" s="1">
        <v>44971</v>
      </c>
      <c r="D166">
        <f>DAY(Tabela_ferias_folgas[[#This Row],[Data]])</f>
        <v>14</v>
      </c>
      <c r="E166">
        <f>MONTH(Tabela_ferias_folgas[[#This Row],[Data]])</f>
        <v>2</v>
      </c>
      <c r="F166">
        <f>YEAR(Tabela_ferias_folgas[[#This Row],[Data]])</f>
        <v>2023</v>
      </c>
      <c r="G166" t="str">
        <f>Tabela_ferias_folgas[[#This Row],[Médico]]&amp;" - "&amp;Tabela_ferias_folgas[[#This Row],[Compromisso]]</f>
        <v>BG - FÉRIAS</v>
      </c>
    </row>
    <row r="167" spans="1:7" x14ac:dyDescent="0.3">
      <c r="A167" t="s">
        <v>23</v>
      </c>
      <c r="B167" t="s">
        <v>464</v>
      </c>
      <c r="C167" s="1">
        <v>44972</v>
      </c>
      <c r="D167">
        <f>DAY(Tabela_ferias_folgas[[#This Row],[Data]])</f>
        <v>15</v>
      </c>
      <c r="E167">
        <f>MONTH(Tabela_ferias_folgas[[#This Row],[Data]])</f>
        <v>2</v>
      </c>
      <c r="F167">
        <f>YEAR(Tabela_ferias_folgas[[#This Row],[Data]])</f>
        <v>2023</v>
      </c>
      <c r="G167" t="str">
        <f>Tabela_ferias_folgas[[#This Row],[Médico]]&amp;" - "&amp;Tabela_ferias_folgas[[#This Row],[Compromisso]]</f>
        <v>BG - FÉRIAS</v>
      </c>
    </row>
    <row r="168" spans="1:7" x14ac:dyDescent="0.3">
      <c r="A168" t="s">
        <v>23</v>
      </c>
      <c r="B168" t="s">
        <v>464</v>
      </c>
      <c r="C168" s="1">
        <v>44973</v>
      </c>
      <c r="D168">
        <f>DAY(Tabela_ferias_folgas[[#This Row],[Data]])</f>
        <v>16</v>
      </c>
      <c r="E168">
        <f>MONTH(Tabela_ferias_folgas[[#This Row],[Data]])</f>
        <v>2</v>
      </c>
      <c r="F168">
        <f>YEAR(Tabela_ferias_folgas[[#This Row],[Data]])</f>
        <v>2023</v>
      </c>
      <c r="G168" t="str">
        <f>Tabela_ferias_folgas[[#This Row],[Médico]]&amp;" - "&amp;Tabela_ferias_folgas[[#This Row],[Compromisso]]</f>
        <v>BG - FÉRIAS</v>
      </c>
    </row>
    <row r="169" spans="1:7" x14ac:dyDescent="0.3">
      <c r="A169" t="s">
        <v>23</v>
      </c>
      <c r="B169" t="s">
        <v>464</v>
      </c>
      <c r="C169" s="1">
        <v>44974</v>
      </c>
      <c r="D169">
        <f>DAY(Tabela_ferias_folgas[[#This Row],[Data]])</f>
        <v>17</v>
      </c>
      <c r="E169">
        <f>MONTH(Tabela_ferias_folgas[[#This Row],[Data]])</f>
        <v>2</v>
      </c>
      <c r="F169">
        <f>YEAR(Tabela_ferias_folgas[[#This Row],[Data]])</f>
        <v>2023</v>
      </c>
      <c r="G169" t="str">
        <f>Tabela_ferias_folgas[[#This Row],[Médico]]&amp;" - "&amp;Tabela_ferias_folgas[[#This Row],[Compromisso]]</f>
        <v>BG - FÉRIAS</v>
      </c>
    </row>
    <row r="170" spans="1:7" x14ac:dyDescent="0.3">
      <c r="A170" t="s">
        <v>25</v>
      </c>
      <c r="B170" t="s">
        <v>464</v>
      </c>
      <c r="C170" s="1">
        <v>44970</v>
      </c>
      <c r="D170">
        <f>DAY(Tabela_ferias_folgas[[#This Row],[Data]])</f>
        <v>13</v>
      </c>
      <c r="E170">
        <f>MONTH(Tabela_ferias_folgas[[#This Row],[Data]])</f>
        <v>2</v>
      </c>
      <c r="F170">
        <f>YEAR(Tabela_ferias_folgas[[#This Row],[Data]])</f>
        <v>2023</v>
      </c>
      <c r="G170" t="str">
        <f>Tabela_ferias_folgas[[#This Row],[Médico]]&amp;" - "&amp;Tabela_ferias_folgas[[#This Row],[Compromisso]]</f>
        <v>HEN - FÉRIAS</v>
      </c>
    </row>
    <row r="171" spans="1:7" x14ac:dyDescent="0.3">
      <c r="A171" t="s">
        <v>25</v>
      </c>
      <c r="B171" t="s">
        <v>464</v>
      </c>
      <c r="C171" s="1">
        <v>44971</v>
      </c>
      <c r="D171">
        <f>DAY(Tabela_ferias_folgas[[#This Row],[Data]])</f>
        <v>14</v>
      </c>
      <c r="E171">
        <f>MONTH(Tabela_ferias_folgas[[#This Row],[Data]])</f>
        <v>2</v>
      </c>
      <c r="F171">
        <f>YEAR(Tabela_ferias_folgas[[#This Row],[Data]])</f>
        <v>2023</v>
      </c>
      <c r="G171" t="str">
        <f>Tabela_ferias_folgas[[#This Row],[Médico]]&amp;" - "&amp;Tabela_ferias_folgas[[#This Row],[Compromisso]]</f>
        <v>HEN - FÉRIAS</v>
      </c>
    </row>
    <row r="172" spans="1:7" x14ac:dyDescent="0.3">
      <c r="A172" t="s">
        <v>25</v>
      </c>
      <c r="B172" t="s">
        <v>464</v>
      </c>
      <c r="C172" s="1">
        <v>44972</v>
      </c>
      <c r="D172">
        <f>DAY(Tabela_ferias_folgas[[#This Row],[Data]])</f>
        <v>15</v>
      </c>
      <c r="E172">
        <f>MONTH(Tabela_ferias_folgas[[#This Row],[Data]])</f>
        <v>2</v>
      </c>
      <c r="F172">
        <f>YEAR(Tabela_ferias_folgas[[#This Row],[Data]])</f>
        <v>2023</v>
      </c>
      <c r="G172" t="str">
        <f>Tabela_ferias_folgas[[#This Row],[Médico]]&amp;" - "&amp;Tabela_ferias_folgas[[#This Row],[Compromisso]]</f>
        <v>HEN - FÉRIAS</v>
      </c>
    </row>
    <row r="173" spans="1:7" x14ac:dyDescent="0.3">
      <c r="A173" t="s">
        <v>25</v>
      </c>
      <c r="B173" t="s">
        <v>464</v>
      </c>
      <c r="C173" s="1">
        <v>44973</v>
      </c>
      <c r="D173">
        <f>DAY(Tabela_ferias_folgas[[#This Row],[Data]])</f>
        <v>16</v>
      </c>
      <c r="E173">
        <f>MONTH(Tabela_ferias_folgas[[#This Row],[Data]])</f>
        <v>2</v>
      </c>
      <c r="F173">
        <f>YEAR(Tabela_ferias_folgas[[#This Row],[Data]])</f>
        <v>2023</v>
      </c>
      <c r="G173" t="str">
        <f>Tabela_ferias_folgas[[#This Row],[Médico]]&amp;" - "&amp;Tabela_ferias_folgas[[#This Row],[Compromisso]]</f>
        <v>HEN - FÉRIAS</v>
      </c>
    </row>
    <row r="174" spans="1:7" x14ac:dyDescent="0.3">
      <c r="A174" t="s">
        <v>25</v>
      </c>
      <c r="B174" t="s">
        <v>464</v>
      </c>
      <c r="C174" s="1">
        <v>44974</v>
      </c>
      <c r="D174">
        <f>DAY(Tabela_ferias_folgas[[#This Row],[Data]])</f>
        <v>17</v>
      </c>
      <c r="E174">
        <f>MONTH(Tabela_ferias_folgas[[#This Row],[Data]])</f>
        <v>2</v>
      </c>
      <c r="F174">
        <f>YEAR(Tabela_ferias_folgas[[#This Row],[Data]])</f>
        <v>2023</v>
      </c>
      <c r="G174" t="str">
        <f>Tabela_ferias_folgas[[#This Row],[Médico]]&amp;" - "&amp;Tabela_ferias_folgas[[#This Row],[Compromisso]]</f>
        <v>HEN - FÉRIAS</v>
      </c>
    </row>
    <row r="175" spans="1:7" x14ac:dyDescent="0.3">
      <c r="A175" t="s">
        <v>44</v>
      </c>
      <c r="B175" t="s">
        <v>464</v>
      </c>
      <c r="C175" s="1">
        <v>44970</v>
      </c>
      <c r="D175">
        <f>DAY(Tabela_ferias_folgas[[#This Row],[Data]])</f>
        <v>13</v>
      </c>
      <c r="E175">
        <f>MONTH(Tabela_ferias_folgas[[#This Row],[Data]])</f>
        <v>2</v>
      </c>
      <c r="F175">
        <f>YEAR(Tabela_ferias_folgas[[#This Row],[Data]])</f>
        <v>2023</v>
      </c>
      <c r="G175" t="str">
        <f>Tabela_ferias_folgas[[#This Row],[Médico]]&amp;" - "&amp;Tabela_ferias_folgas[[#This Row],[Compromisso]]</f>
        <v>REI - FÉRIAS</v>
      </c>
    </row>
    <row r="176" spans="1:7" x14ac:dyDescent="0.3">
      <c r="A176" t="s">
        <v>44</v>
      </c>
      <c r="B176" t="s">
        <v>464</v>
      </c>
      <c r="C176" s="1">
        <v>44971</v>
      </c>
      <c r="D176">
        <f>DAY(Tabela_ferias_folgas[[#This Row],[Data]])</f>
        <v>14</v>
      </c>
      <c r="E176">
        <f>MONTH(Tabela_ferias_folgas[[#This Row],[Data]])</f>
        <v>2</v>
      </c>
      <c r="F176">
        <f>YEAR(Tabela_ferias_folgas[[#This Row],[Data]])</f>
        <v>2023</v>
      </c>
      <c r="G176" t="str">
        <f>Tabela_ferias_folgas[[#This Row],[Médico]]&amp;" - "&amp;Tabela_ferias_folgas[[#This Row],[Compromisso]]</f>
        <v>REI - FÉRIAS</v>
      </c>
    </row>
    <row r="177" spans="1:7" x14ac:dyDescent="0.3">
      <c r="A177" t="s">
        <v>44</v>
      </c>
      <c r="B177" t="s">
        <v>464</v>
      </c>
      <c r="C177" s="1">
        <v>44972</v>
      </c>
      <c r="D177">
        <f>DAY(Tabela_ferias_folgas[[#This Row],[Data]])</f>
        <v>15</v>
      </c>
      <c r="E177">
        <f>MONTH(Tabela_ferias_folgas[[#This Row],[Data]])</f>
        <v>2</v>
      </c>
      <c r="F177">
        <f>YEAR(Tabela_ferias_folgas[[#This Row],[Data]])</f>
        <v>2023</v>
      </c>
      <c r="G177" t="str">
        <f>Tabela_ferias_folgas[[#This Row],[Médico]]&amp;" - "&amp;Tabela_ferias_folgas[[#This Row],[Compromisso]]</f>
        <v>REI - FÉRIAS</v>
      </c>
    </row>
    <row r="178" spans="1:7" x14ac:dyDescent="0.3">
      <c r="A178" t="s">
        <v>44</v>
      </c>
      <c r="B178" t="s">
        <v>464</v>
      </c>
      <c r="C178" s="1">
        <v>44973</v>
      </c>
      <c r="D178">
        <f>DAY(Tabela_ferias_folgas[[#This Row],[Data]])</f>
        <v>16</v>
      </c>
      <c r="E178">
        <f>MONTH(Tabela_ferias_folgas[[#This Row],[Data]])</f>
        <v>2</v>
      </c>
      <c r="F178">
        <f>YEAR(Tabela_ferias_folgas[[#This Row],[Data]])</f>
        <v>2023</v>
      </c>
      <c r="G178" t="str">
        <f>Tabela_ferias_folgas[[#This Row],[Médico]]&amp;" - "&amp;Tabela_ferias_folgas[[#This Row],[Compromisso]]</f>
        <v>REI - FÉRIAS</v>
      </c>
    </row>
    <row r="179" spans="1:7" x14ac:dyDescent="0.3">
      <c r="A179" t="s">
        <v>44</v>
      </c>
      <c r="B179" t="s">
        <v>464</v>
      </c>
      <c r="C179" s="1">
        <v>44974</v>
      </c>
      <c r="D179">
        <f>DAY(Tabela_ferias_folgas[[#This Row],[Data]])</f>
        <v>17</v>
      </c>
      <c r="E179">
        <f>MONTH(Tabela_ferias_folgas[[#This Row],[Data]])</f>
        <v>2</v>
      </c>
      <c r="F179">
        <f>YEAR(Tabela_ferias_folgas[[#This Row],[Data]])</f>
        <v>2023</v>
      </c>
      <c r="G179" t="str">
        <f>Tabela_ferias_folgas[[#This Row],[Médico]]&amp;" - "&amp;Tabela_ferias_folgas[[#This Row],[Compromisso]]</f>
        <v>REI - FÉRIAS</v>
      </c>
    </row>
    <row r="180" spans="1:7" x14ac:dyDescent="0.3">
      <c r="A180" t="s">
        <v>44</v>
      </c>
      <c r="B180" t="s">
        <v>464</v>
      </c>
      <c r="C180" s="1">
        <v>44975</v>
      </c>
      <c r="D180">
        <f>DAY(Tabela_ferias_folgas[[#This Row],[Data]])</f>
        <v>18</v>
      </c>
      <c r="E180">
        <f>MONTH(Tabela_ferias_folgas[[#This Row],[Data]])</f>
        <v>2</v>
      </c>
      <c r="F180">
        <f>YEAR(Tabela_ferias_folgas[[#This Row],[Data]])</f>
        <v>2023</v>
      </c>
      <c r="G180" t="str">
        <f>Tabela_ferias_folgas[[#This Row],[Médico]]&amp;" - "&amp;Tabela_ferias_folgas[[#This Row],[Compromisso]]</f>
        <v>REI - FÉRIAS</v>
      </c>
    </row>
    <row r="181" spans="1:7" x14ac:dyDescent="0.3">
      <c r="A181" t="s">
        <v>44</v>
      </c>
      <c r="B181" t="s">
        <v>464</v>
      </c>
      <c r="C181" s="1">
        <v>44976</v>
      </c>
      <c r="D181">
        <f>DAY(Tabela_ferias_folgas[[#This Row],[Data]])</f>
        <v>19</v>
      </c>
      <c r="E181">
        <f>MONTH(Tabela_ferias_folgas[[#This Row],[Data]])</f>
        <v>2</v>
      </c>
      <c r="F181">
        <f>YEAR(Tabela_ferias_folgas[[#This Row],[Data]])</f>
        <v>2023</v>
      </c>
      <c r="G181" t="str">
        <f>Tabela_ferias_folgas[[#This Row],[Médico]]&amp;" - "&amp;Tabela_ferias_folgas[[#This Row],[Compromisso]]</f>
        <v>REI - FÉRIAS</v>
      </c>
    </row>
    <row r="182" spans="1:7" x14ac:dyDescent="0.3">
      <c r="A182" t="s">
        <v>44</v>
      </c>
      <c r="B182" t="s">
        <v>464</v>
      </c>
      <c r="C182" s="1">
        <v>44977</v>
      </c>
      <c r="D182">
        <f>DAY(Tabela_ferias_folgas[[#This Row],[Data]])</f>
        <v>20</v>
      </c>
      <c r="E182">
        <f>MONTH(Tabela_ferias_folgas[[#This Row],[Data]])</f>
        <v>2</v>
      </c>
      <c r="F182">
        <f>YEAR(Tabela_ferias_folgas[[#This Row],[Data]])</f>
        <v>2023</v>
      </c>
      <c r="G182" t="str">
        <f>Tabela_ferias_folgas[[#This Row],[Médico]]&amp;" - "&amp;Tabela_ferias_folgas[[#This Row],[Compromisso]]</f>
        <v>REI - FÉRIAS</v>
      </c>
    </row>
    <row r="183" spans="1:7" x14ac:dyDescent="0.3">
      <c r="A183" t="s">
        <v>44</v>
      </c>
      <c r="B183" t="s">
        <v>464</v>
      </c>
      <c r="C183" s="1">
        <v>44978</v>
      </c>
      <c r="D183">
        <f>DAY(Tabela_ferias_folgas[[#This Row],[Data]])</f>
        <v>21</v>
      </c>
      <c r="E183">
        <f>MONTH(Tabela_ferias_folgas[[#This Row],[Data]])</f>
        <v>2</v>
      </c>
      <c r="F183">
        <f>YEAR(Tabela_ferias_folgas[[#This Row],[Data]])</f>
        <v>2023</v>
      </c>
      <c r="G183" t="str">
        <f>Tabela_ferias_folgas[[#This Row],[Médico]]&amp;" - "&amp;Tabela_ferias_folgas[[#This Row],[Compromisso]]</f>
        <v>REI - FÉRIAS</v>
      </c>
    </row>
    <row r="184" spans="1:7" x14ac:dyDescent="0.3">
      <c r="A184" t="s">
        <v>44</v>
      </c>
      <c r="B184" t="s">
        <v>464</v>
      </c>
      <c r="C184" s="1">
        <v>44979</v>
      </c>
      <c r="D184">
        <f>DAY(Tabela_ferias_folgas[[#This Row],[Data]])</f>
        <v>22</v>
      </c>
      <c r="E184">
        <f>MONTH(Tabela_ferias_folgas[[#This Row],[Data]])</f>
        <v>2</v>
      </c>
      <c r="F184">
        <f>YEAR(Tabela_ferias_folgas[[#This Row],[Data]])</f>
        <v>2023</v>
      </c>
      <c r="G184" t="str">
        <f>Tabela_ferias_folgas[[#This Row],[Médico]]&amp;" - "&amp;Tabela_ferias_folgas[[#This Row],[Compromisso]]</f>
        <v>REI - FÉRIAS</v>
      </c>
    </row>
    <row r="185" spans="1:7" x14ac:dyDescent="0.3">
      <c r="A185" t="s">
        <v>44</v>
      </c>
      <c r="B185" t="s">
        <v>464</v>
      </c>
      <c r="C185" s="1">
        <v>44980</v>
      </c>
      <c r="D185">
        <f>DAY(Tabela_ferias_folgas[[#This Row],[Data]])</f>
        <v>23</v>
      </c>
      <c r="E185">
        <f>MONTH(Tabela_ferias_folgas[[#This Row],[Data]])</f>
        <v>2</v>
      </c>
      <c r="F185">
        <f>YEAR(Tabela_ferias_folgas[[#This Row],[Data]])</f>
        <v>2023</v>
      </c>
      <c r="G185" t="str">
        <f>Tabela_ferias_folgas[[#This Row],[Médico]]&amp;" - "&amp;Tabela_ferias_folgas[[#This Row],[Compromisso]]</f>
        <v>REI - FÉRIAS</v>
      </c>
    </row>
    <row r="186" spans="1:7" x14ac:dyDescent="0.3">
      <c r="A186" t="s">
        <v>44</v>
      </c>
      <c r="B186" t="s">
        <v>464</v>
      </c>
      <c r="C186" s="1">
        <v>44981</v>
      </c>
      <c r="D186">
        <f>DAY(Tabela_ferias_folgas[[#This Row],[Data]])</f>
        <v>24</v>
      </c>
      <c r="E186">
        <f>MONTH(Tabela_ferias_folgas[[#This Row],[Data]])</f>
        <v>2</v>
      </c>
      <c r="F186">
        <f>YEAR(Tabela_ferias_folgas[[#This Row],[Data]])</f>
        <v>2023</v>
      </c>
      <c r="G186" t="str">
        <f>Tabela_ferias_folgas[[#This Row],[Médico]]&amp;" - "&amp;Tabela_ferias_folgas[[#This Row],[Compromisso]]</f>
        <v>REI - FÉRIAS</v>
      </c>
    </row>
    <row r="187" spans="1:7" x14ac:dyDescent="0.3">
      <c r="A187" t="s">
        <v>14</v>
      </c>
      <c r="B187" t="s">
        <v>464</v>
      </c>
      <c r="C187" s="1">
        <v>44970</v>
      </c>
      <c r="D187">
        <f>DAY(Tabela_ferias_folgas[[#This Row],[Data]])</f>
        <v>13</v>
      </c>
      <c r="E187">
        <f>MONTH(Tabela_ferias_folgas[[#This Row],[Data]])</f>
        <v>2</v>
      </c>
      <c r="F187">
        <f>YEAR(Tabela_ferias_folgas[[#This Row],[Data]])</f>
        <v>2023</v>
      </c>
      <c r="G187" t="str">
        <f>Tabela_ferias_folgas[[#This Row],[Médico]]&amp;" - "&amp;Tabela_ferias_folgas[[#This Row],[Compromisso]]</f>
        <v>PW - FÉRIAS</v>
      </c>
    </row>
    <row r="188" spans="1:7" x14ac:dyDescent="0.3">
      <c r="A188" t="s">
        <v>14</v>
      </c>
      <c r="B188" t="s">
        <v>464</v>
      </c>
      <c r="C188" s="1">
        <v>44971</v>
      </c>
      <c r="D188">
        <f>DAY(Tabela_ferias_folgas[[#This Row],[Data]])</f>
        <v>14</v>
      </c>
      <c r="E188">
        <f>MONTH(Tabela_ferias_folgas[[#This Row],[Data]])</f>
        <v>2</v>
      </c>
      <c r="F188">
        <f>YEAR(Tabela_ferias_folgas[[#This Row],[Data]])</f>
        <v>2023</v>
      </c>
      <c r="G188" t="str">
        <f>Tabela_ferias_folgas[[#This Row],[Médico]]&amp;" - "&amp;Tabela_ferias_folgas[[#This Row],[Compromisso]]</f>
        <v>PW - FÉRIAS</v>
      </c>
    </row>
    <row r="189" spans="1:7" x14ac:dyDescent="0.3">
      <c r="A189" t="s">
        <v>14</v>
      </c>
      <c r="B189" t="s">
        <v>464</v>
      </c>
      <c r="C189" s="1">
        <v>44972</v>
      </c>
      <c r="D189">
        <f>DAY(Tabela_ferias_folgas[[#This Row],[Data]])</f>
        <v>15</v>
      </c>
      <c r="E189">
        <f>MONTH(Tabela_ferias_folgas[[#This Row],[Data]])</f>
        <v>2</v>
      </c>
      <c r="F189">
        <f>YEAR(Tabela_ferias_folgas[[#This Row],[Data]])</f>
        <v>2023</v>
      </c>
      <c r="G189" t="str">
        <f>Tabela_ferias_folgas[[#This Row],[Médico]]&amp;" - "&amp;Tabela_ferias_folgas[[#This Row],[Compromisso]]</f>
        <v>PW - FÉRIAS</v>
      </c>
    </row>
    <row r="190" spans="1:7" x14ac:dyDescent="0.3">
      <c r="A190" t="s">
        <v>14</v>
      </c>
      <c r="B190" t="s">
        <v>464</v>
      </c>
      <c r="C190" s="1">
        <v>44973</v>
      </c>
      <c r="D190">
        <f>DAY(Tabela_ferias_folgas[[#This Row],[Data]])</f>
        <v>16</v>
      </c>
      <c r="E190">
        <f>MONTH(Tabela_ferias_folgas[[#This Row],[Data]])</f>
        <v>2</v>
      </c>
      <c r="F190">
        <f>YEAR(Tabela_ferias_folgas[[#This Row],[Data]])</f>
        <v>2023</v>
      </c>
      <c r="G190" t="str">
        <f>Tabela_ferias_folgas[[#This Row],[Médico]]&amp;" - "&amp;Tabela_ferias_folgas[[#This Row],[Compromisso]]</f>
        <v>PW - FÉRIAS</v>
      </c>
    </row>
    <row r="191" spans="1:7" x14ac:dyDescent="0.3">
      <c r="A191" t="s">
        <v>14</v>
      </c>
      <c r="B191" t="s">
        <v>464</v>
      </c>
      <c r="C191" s="1">
        <v>44974</v>
      </c>
      <c r="D191">
        <f>DAY(Tabela_ferias_folgas[[#This Row],[Data]])</f>
        <v>17</v>
      </c>
      <c r="E191">
        <f>MONTH(Tabela_ferias_folgas[[#This Row],[Data]])</f>
        <v>2</v>
      </c>
      <c r="F191">
        <f>YEAR(Tabela_ferias_folgas[[#This Row],[Data]])</f>
        <v>2023</v>
      </c>
      <c r="G191" t="str">
        <f>Tabela_ferias_folgas[[#This Row],[Médico]]&amp;" - "&amp;Tabela_ferias_folgas[[#This Row],[Compromisso]]</f>
        <v>PW - FÉRIAS</v>
      </c>
    </row>
    <row r="192" spans="1:7" x14ac:dyDescent="0.3">
      <c r="A192" t="s">
        <v>7</v>
      </c>
      <c r="B192" t="s">
        <v>464</v>
      </c>
      <c r="C192" s="1">
        <v>44977</v>
      </c>
      <c r="D192">
        <f>DAY(Tabela_ferias_folgas[[#This Row],[Data]])</f>
        <v>20</v>
      </c>
      <c r="E192">
        <f>MONTH(Tabela_ferias_folgas[[#This Row],[Data]])</f>
        <v>2</v>
      </c>
      <c r="F192">
        <f>YEAR(Tabela_ferias_folgas[[#This Row],[Data]])</f>
        <v>2023</v>
      </c>
      <c r="G192" t="str">
        <f>Tabela_ferias_folgas[[#This Row],[Médico]]&amp;" - "&amp;Tabela_ferias_folgas[[#This Row],[Compromisso]]</f>
        <v>ARI - FÉRIAS</v>
      </c>
    </row>
    <row r="193" spans="1:7" x14ac:dyDescent="0.3">
      <c r="A193" t="s">
        <v>7</v>
      </c>
      <c r="B193" t="s">
        <v>464</v>
      </c>
      <c r="C193" s="1">
        <v>44978</v>
      </c>
      <c r="D193">
        <f>DAY(Tabela_ferias_folgas[[#This Row],[Data]])</f>
        <v>21</v>
      </c>
      <c r="E193">
        <f>MONTH(Tabela_ferias_folgas[[#This Row],[Data]])</f>
        <v>2</v>
      </c>
      <c r="F193">
        <f>YEAR(Tabela_ferias_folgas[[#This Row],[Data]])</f>
        <v>2023</v>
      </c>
      <c r="G193" t="str">
        <f>Tabela_ferias_folgas[[#This Row],[Médico]]&amp;" - "&amp;Tabela_ferias_folgas[[#This Row],[Compromisso]]</f>
        <v>ARI - FÉRIAS</v>
      </c>
    </row>
    <row r="194" spans="1:7" x14ac:dyDescent="0.3">
      <c r="A194" t="s">
        <v>7</v>
      </c>
      <c r="B194" t="s">
        <v>464</v>
      </c>
      <c r="C194" s="1">
        <v>44979</v>
      </c>
      <c r="D194">
        <f>DAY(Tabela_ferias_folgas[[#This Row],[Data]])</f>
        <v>22</v>
      </c>
      <c r="E194">
        <f>MONTH(Tabela_ferias_folgas[[#This Row],[Data]])</f>
        <v>2</v>
      </c>
      <c r="F194">
        <f>YEAR(Tabela_ferias_folgas[[#This Row],[Data]])</f>
        <v>2023</v>
      </c>
      <c r="G194" t="str">
        <f>Tabela_ferias_folgas[[#This Row],[Médico]]&amp;" - "&amp;Tabela_ferias_folgas[[#This Row],[Compromisso]]</f>
        <v>ARI - FÉRIAS</v>
      </c>
    </row>
    <row r="195" spans="1:7" x14ac:dyDescent="0.3">
      <c r="A195" t="s">
        <v>7</v>
      </c>
      <c r="B195" t="s">
        <v>464</v>
      </c>
      <c r="C195" s="1">
        <v>44980</v>
      </c>
      <c r="D195">
        <f>DAY(Tabela_ferias_folgas[[#This Row],[Data]])</f>
        <v>23</v>
      </c>
      <c r="E195">
        <f>MONTH(Tabela_ferias_folgas[[#This Row],[Data]])</f>
        <v>2</v>
      </c>
      <c r="F195">
        <f>YEAR(Tabela_ferias_folgas[[#This Row],[Data]])</f>
        <v>2023</v>
      </c>
      <c r="G195" t="str">
        <f>Tabela_ferias_folgas[[#This Row],[Médico]]&amp;" - "&amp;Tabela_ferias_folgas[[#This Row],[Compromisso]]</f>
        <v>ARI - FÉRIAS</v>
      </c>
    </row>
    <row r="196" spans="1:7" x14ac:dyDescent="0.3">
      <c r="A196" t="s">
        <v>7</v>
      </c>
      <c r="B196" t="s">
        <v>464</v>
      </c>
      <c r="C196" s="1">
        <v>44981</v>
      </c>
      <c r="D196">
        <f>DAY(Tabela_ferias_folgas[[#This Row],[Data]])</f>
        <v>24</v>
      </c>
      <c r="E196">
        <f>MONTH(Tabela_ferias_folgas[[#This Row],[Data]])</f>
        <v>2</v>
      </c>
      <c r="F196">
        <f>YEAR(Tabela_ferias_folgas[[#This Row],[Data]])</f>
        <v>2023</v>
      </c>
      <c r="G196" t="str">
        <f>Tabela_ferias_folgas[[#This Row],[Médico]]&amp;" - "&amp;Tabela_ferias_folgas[[#This Row],[Compromisso]]</f>
        <v>ARI - FÉRIAS</v>
      </c>
    </row>
    <row r="197" spans="1:7" x14ac:dyDescent="0.3">
      <c r="A197" t="s">
        <v>333</v>
      </c>
      <c r="B197" t="s">
        <v>464</v>
      </c>
      <c r="C197" s="1">
        <v>44977</v>
      </c>
      <c r="D197">
        <f>DAY(Tabela_ferias_folgas[[#This Row],[Data]])</f>
        <v>20</v>
      </c>
      <c r="E197">
        <f>MONTH(Tabela_ferias_folgas[[#This Row],[Data]])</f>
        <v>2</v>
      </c>
      <c r="F197">
        <f>YEAR(Tabela_ferias_folgas[[#This Row],[Data]])</f>
        <v>2023</v>
      </c>
      <c r="G197" t="str">
        <f>Tabela_ferias_folgas[[#This Row],[Médico]]&amp;" - "&amp;Tabela_ferias_folgas[[#This Row],[Compromisso]]</f>
        <v>COR - FÉRIAS</v>
      </c>
    </row>
    <row r="198" spans="1:7" x14ac:dyDescent="0.3">
      <c r="A198" t="s">
        <v>333</v>
      </c>
      <c r="B198" t="s">
        <v>464</v>
      </c>
      <c r="C198" s="1">
        <v>44978</v>
      </c>
      <c r="D198">
        <f>DAY(Tabela_ferias_folgas[[#This Row],[Data]])</f>
        <v>21</v>
      </c>
      <c r="E198">
        <f>MONTH(Tabela_ferias_folgas[[#This Row],[Data]])</f>
        <v>2</v>
      </c>
      <c r="F198">
        <f>YEAR(Tabela_ferias_folgas[[#This Row],[Data]])</f>
        <v>2023</v>
      </c>
      <c r="G198" t="str">
        <f>Tabela_ferias_folgas[[#This Row],[Médico]]&amp;" - "&amp;Tabela_ferias_folgas[[#This Row],[Compromisso]]</f>
        <v>COR - FÉRIAS</v>
      </c>
    </row>
    <row r="199" spans="1:7" x14ac:dyDescent="0.3">
      <c r="A199" t="s">
        <v>333</v>
      </c>
      <c r="B199" t="s">
        <v>464</v>
      </c>
      <c r="C199" s="1">
        <v>44979</v>
      </c>
      <c r="D199">
        <f>DAY(Tabela_ferias_folgas[[#This Row],[Data]])</f>
        <v>22</v>
      </c>
      <c r="E199">
        <f>MONTH(Tabela_ferias_folgas[[#This Row],[Data]])</f>
        <v>2</v>
      </c>
      <c r="F199">
        <f>YEAR(Tabela_ferias_folgas[[#This Row],[Data]])</f>
        <v>2023</v>
      </c>
      <c r="G199" t="str">
        <f>Tabela_ferias_folgas[[#This Row],[Médico]]&amp;" - "&amp;Tabela_ferias_folgas[[#This Row],[Compromisso]]</f>
        <v>COR - FÉRIAS</v>
      </c>
    </row>
    <row r="200" spans="1:7" x14ac:dyDescent="0.3">
      <c r="A200" t="s">
        <v>333</v>
      </c>
      <c r="B200" t="s">
        <v>464</v>
      </c>
      <c r="C200" s="1">
        <v>44980</v>
      </c>
      <c r="D200">
        <f>DAY(Tabela_ferias_folgas[[#This Row],[Data]])</f>
        <v>23</v>
      </c>
      <c r="E200">
        <f>MONTH(Tabela_ferias_folgas[[#This Row],[Data]])</f>
        <v>2</v>
      </c>
      <c r="F200">
        <f>YEAR(Tabela_ferias_folgas[[#This Row],[Data]])</f>
        <v>2023</v>
      </c>
      <c r="G200" t="str">
        <f>Tabela_ferias_folgas[[#This Row],[Médico]]&amp;" - "&amp;Tabela_ferias_folgas[[#This Row],[Compromisso]]</f>
        <v>COR - FÉRIAS</v>
      </c>
    </row>
    <row r="201" spans="1:7" x14ac:dyDescent="0.3">
      <c r="A201" t="s">
        <v>333</v>
      </c>
      <c r="B201" t="s">
        <v>464</v>
      </c>
      <c r="C201" s="1">
        <v>44981</v>
      </c>
      <c r="D201">
        <f>DAY(Tabela_ferias_folgas[[#This Row],[Data]])</f>
        <v>24</v>
      </c>
      <c r="E201">
        <f>MONTH(Tabela_ferias_folgas[[#This Row],[Data]])</f>
        <v>2</v>
      </c>
      <c r="F201">
        <f>YEAR(Tabela_ferias_folgas[[#This Row],[Data]])</f>
        <v>2023</v>
      </c>
      <c r="G201" t="str">
        <f>Tabela_ferias_folgas[[#This Row],[Médico]]&amp;" - "&amp;Tabela_ferias_folgas[[#This Row],[Compromisso]]</f>
        <v>COR - FÉRIAS</v>
      </c>
    </row>
    <row r="202" spans="1:7" x14ac:dyDescent="0.3">
      <c r="A202" t="s">
        <v>333</v>
      </c>
      <c r="B202" t="s">
        <v>464</v>
      </c>
      <c r="C202" s="1">
        <v>44982</v>
      </c>
      <c r="D202">
        <f>DAY(Tabela_ferias_folgas[[#This Row],[Data]])</f>
        <v>25</v>
      </c>
      <c r="E202">
        <f>MONTH(Tabela_ferias_folgas[[#This Row],[Data]])</f>
        <v>2</v>
      </c>
      <c r="F202">
        <f>YEAR(Tabela_ferias_folgas[[#This Row],[Data]])</f>
        <v>2023</v>
      </c>
      <c r="G202" t="str">
        <f>Tabela_ferias_folgas[[#This Row],[Médico]]&amp;" - "&amp;Tabela_ferias_folgas[[#This Row],[Compromisso]]</f>
        <v>COR - FÉRIAS</v>
      </c>
    </row>
    <row r="203" spans="1:7" x14ac:dyDescent="0.3">
      <c r="A203" t="s">
        <v>333</v>
      </c>
      <c r="B203" t="s">
        <v>464</v>
      </c>
      <c r="C203" s="1">
        <v>44983</v>
      </c>
      <c r="D203">
        <f>DAY(Tabela_ferias_folgas[[#This Row],[Data]])</f>
        <v>26</v>
      </c>
      <c r="E203">
        <f>MONTH(Tabela_ferias_folgas[[#This Row],[Data]])</f>
        <v>2</v>
      </c>
      <c r="F203">
        <f>YEAR(Tabela_ferias_folgas[[#This Row],[Data]])</f>
        <v>2023</v>
      </c>
      <c r="G203" t="str">
        <f>Tabela_ferias_folgas[[#This Row],[Médico]]&amp;" - "&amp;Tabela_ferias_folgas[[#This Row],[Compromisso]]</f>
        <v>COR - FÉRIAS</v>
      </c>
    </row>
    <row r="204" spans="1:7" x14ac:dyDescent="0.3">
      <c r="A204" t="s">
        <v>333</v>
      </c>
      <c r="B204" t="s">
        <v>464</v>
      </c>
      <c r="C204" s="1">
        <v>44984</v>
      </c>
      <c r="D204">
        <f>DAY(Tabela_ferias_folgas[[#This Row],[Data]])</f>
        <v>27</v>
      </c>
      <c r="E204">
        <f>MONTH(Tabela_ferias_folgas[[#This Row],[Data]])</f>
        <v>2</v>
      </c>
      <c r="F204">
        <f>YEAR(Tabela_ferias_folgas[[#This Row],[Data]])</f>
        <v>2023</v>
      </c>
      <c r="G204" t="str">
        <f>Tabela_ferias_folgas[[#This Row],[Médico]]&amp;" - "&amp;Tabela_ferias_folgas[[#This Row],[Compromisso]]</f>
        <v>COR - FÉRIAS</v>
      </c>
    </row>
    <row r="205" spans="1:7" x14ac:dyDescent="0.3">
      <c r="A205" t="s">
        <v>333</v>
      </c>
      <c r="B205" t="s">
        <v>464</v>
      </c>
      <c r="C205" s="1">
        <v>44985</v>
      </c>
      <c r="D205">
        <f>DAY(Tabela_ferias_folgas[[#This Row],[Data]])</f>
        <v>28</v>
      </c>
      <c r="E205">
        <f>MONTH(Tabela_ferias_folgas[[#This Row],[Data]])</f>
        <v>2</v>
      </c>
      <c r="F205">
        <f>YEAR(Tabela_ferias_folgas[[#This Row],[Data]])</f>
        <v>2023</v>
      </c>
      <c r="G205" t="str">
        <f>Tabela_ferias_folgas[[#This Row],[Médico]]&amp;" - "&amp;Tabela_ferias_folgas[[#This Row],[Compromisso]]</f>
        <v>COR - FÉRIAS</v>
      </c>
    </row>
    <row r="206" spans="1:7" x14ac:dyDescent="0.3">
      <c r="A206" t="s">
        <v>47</v>
      </c>
      <c r="C206" s="1">
        <v>44981</v>
      </c>
      <c r="D206">
        <f>DAY(Tabela_ferias_folgas[[#This Row],[Data]])</f>
        <v>24</v>
      </c>
      <c r="E206">
        <f>MONTH(Tabela_ferias_folgas[[#This Row],[Data]])</f>
        <v>2</v>
      </c>
      <c r="F206">
        <f>YEAR(Tabela_ferias_folgas[[#This Row],[Data]])</f>
        <v>2023</v>
      </c>
      <c r="G206" t="str">
        <f>Tabela_ferias_folgas[[#This Row],[Médico]]&amp;" - "&amp;Tabela_ferias_folgas[[#This Row],[Compromisso]]</f>
        <v xml:space="preserve">VIN - </v>
      </c>
    </row>
    <row r="207" spans="1:7" x14ac:dyDescent="0.3">
      <c r="A207" t="s">
        <v>71</v>
      </c>
      <c r="B207" t="s">
        <v>464</v>
      </c>
      <c r="C207" s="1">
        <v>44984</v>
      </c>
      <c r="D207">
        <f>DAY(Tabela_ferias_folgas[[#This Row],[Data]])</f>
        <v>27</v>
      </c>
      <c r="E207">
        <f>MONTH(Tabela_ferias_folgas[[#This Row],[Data]])</f>
        <v>2</v>
      </c>
      <c r="F207">
        <f>YEAR(Tabela_ferias_folgas[[#This Row],[Data]])</f>
        <v>2023</v>
      </c>
      <c r="G207" t="str">
        <f>Tabela_ferias_folgas[[#This Row],[Médico]]&amp;" - "&amp;Tabela_ferias_folgas[[#This Row],[Compromisso]]</f>
        <v>BRU - FÉRIAS</v>
      </c>
    </row>
    <row r="208" spans="1:7" x14ac:dyDescent="0.3">
      <c r="A208" t="s">
        <v>71</v>
      </c>
      <c r="B208" t="s">
        <v>464</v>
      </c>
      <c r="C208" s="1">
        <v>44985</v>
      </c>
      <c r="D208">
        <f>DAY(Tabela_ferias_folgas[[#This Row],[Data]])</f>
        <v>28</v>
      </c>
      <c r="E208">
        <f>MONTH(Tabela_ferias_folgas[[#This Row],[Data]])</f>
        <v>2</v>
      </c>
      <c r="F208">
        <f>YEAR(Tabela_ferias_folgas[[#This Row],[Data]])</f>
        <v>2023</v>
      </c>
      <c r="G208" t="str">
        <f>Tabela_ferias_folgas[[#This Row],[Médico]]&amp;" - "&amp;Tabela_ferias_folgas[[#This Row],[Compromisso]]</f>
        <v>BRU - FÉRIAS</v>
      </c>
    </row>
    <row r="209" spans="1:7" x14ac:dyDescent="0.3">
      <c r="A209" t="s">
        <v>71</v>
      </c>
      <c r="B209" t="s">
        <v>464</v>
      </c>
      <c r="C209" s="1">
        <v>44986</v>
      </c>
      <c r="D209">
        <f>DAY(Tabela_ferias_folgas[[#This Row],[Data]])</f>
        <v>1</v>
      </c>
      <c r="E209">
        <f>MONTH(Tabela_ferias_folgas[[#This Row],[Data]])</f>
        <v>3</v>
      </c>
      <c r="F209">
        <f>YEAR(Tabela_ferias_folgas[[#This Row],[Data]])</f>
        <v>2023</v>
      </c>
      <c r="G209" t="str">
        <f>Tabela_ferias_folgas[[#This Row],[Médico]]&amp;" - "&amp;Tabela_ferias_folgas[[#This Row],[Compromisso]]</f>
        <v>BRU - FÉRIAS</v>
      </c>
    </row>
    <row r="210" spans="1:7" x14ac:dyDescent="0.3">
      <c r="A210" t="s">
        <v>71</v>
      </c>
      <c r="B210" t="s">
        <v>464</v>
      </c>
      <c r="C210" s="1">
        <v>44987</v>
      </c>
      <c r="D210">
        <f>DAY(Tabela_ferias_folgas[[#This Row],[Data]])</f>
        <v>2</v>
      </c>
      <c r="E210">
        <f>MONTH(Tabela_ferias_folgas[[#This Row],[Data]])</f>
        <v>3</v>
      </c>
      <c r="F210">
        <f>YEAR(Tabela_ferias_folgas[[#This Row],[Data]])</f>
        <v>2023</v>
      </c>
      <c r="G210" t="str">
        <f>Tabela_ferias_folgas[[#This Row],[Médico]]&amp;" - "&amp;Tabela_ferias_folgas[[#This Row],[Compromisso]]</f>
        <v>BRU - FÉRIAS</v>
      </c>
    </row>
    <row r="211" spans="1:7" x14ac:dyDescent="0.3">
      <c r="A211" t="s">
        <v>71</v>
      </c>
      <c r="B211" t="s">
        <v>464</v>
      </c>
      <c r="C211" s="1">
        <v>44988</v>
      </c>
      <c r="D211">
        <f>DAY(Tabela_ferias_folgas[[#This Row],[Data]])</f>
        <v>3</v>
      </c>
      <c r="E211">
        <f>MONTH(Tabela_ferias_folgas[[#This Row],[Data]])</f>
        <v>3</v>
      </c>
      <c r="F211">
        <f>YEAR(Tabela_ferias_folgas[[#This Row],[Data]])</f>
        <v>2023</v>
      </c>
      <c r="G211" t="str">
        <f>Tabela_ferias_folgas[[#This Row],[Médico]]&amp;" - "&amp;Tabela_ferias_folgas[[#This Row],[Compromisso]]</f>
        <v>BRU - FÉRIAS</v>
      </c>
    </row>
    <row r="212" spans="1:7" x14ac:dyDescent="0.3">
      <c r="A212" t="s">
        <v>52</v>
      </c>
      <c r="B212" t="s">
        <v>464</v>
      </c>
      <c r="C212" s="1">
        <v>44984</v>
      </c>
      <c r="D212">
        <f>DAY(Tabela_ferias_folgas[[#This Row],[Data]])</f>
        <v>27</v>
      </c>
      <c r="E212">
        <f>MONTH(Tabela_ferias_folgas[[#This Row],[Data]])</f>
        <v>2</v>
      </c>
      <c r="F212">
        <f>YEAR(Tabela_ferias_folgas[[#This Row],[Data]])</f>
        <v>2023</v>
      </c>
      <c r="G212" t="str">
        <f>Tabela_ferias_folgas[[#This Row],[Médico]]&amp;" - "&amp;Tabela_ferias_folgas[[#This Row],[Compromisso]]</f>
        <v>AEL - FÉRIAS</v>
      </c>
    </row>
    <row r="213" spans="1:7" x14ac:dyDescent="0.3">
      <c r="A213" t="s">
        <v>52</v>
      </c>
      <c r="B213" t="s">
        <v>464</v>
      </c>
      <c r="C213" s="1">
        <v>44985</v>
      </c>
      <c r="D213">
        <f>DAY(Tabela_ferias_folgas[[#This Row],[Data]])</f>
        <v>28</v>
      </c>
      <c r="E213">
        <f>MONTH(Tabela_ferias_folgas[[#This Row],[Data]])</f>
        <v>2</v>
      </c>
      <c r="F213">
        <f>YEAR(Tabela_ferias_folgas[[#This Row],[Data]])</f>
        <v>2023</v>
      </c>
      <c r="G213" t="str">
        <f>Tabela_ferias_folgas[[#This Row],[Médico]]&amp;" - "&amp;Tabela_ferias_folgas[[#This Row],[Compromisso]]</f>
        <v>AEL - FÉRIAS</v>
      </c>
    </row>
    <row r="214" spans="1:7" x14ac:dyDescent="0.3">
      <c r="A214" t="s">
        <v>52</v>
      </c>
      <c r="B214" t="s">
        <v>464</v>
      </c>
      <c r="C214" s="1">
        <v>44986</v>
      </c>
      <c r="D214">
        <f>DAY(Tabela_ferias_folgas[[#This Row],[Data]])</f>
        <v>1</v>
      </c>
      <c r="E214">
        <f>MONTH(Tabela_ferias_folgas[[#This Row],[Data]])</f>
        <v>3</v>
      </c>
      <c r="F214">
        <f>YEAR(Tabela_ferias_folgas[[#This Row],[Data]])</f>
        <v>2023</v>
      </c>
      <c r="G214" t="str">
        <f>Tabela_ferias_folgas[[#This Row],[Médico]]&amp;" - "&amp;Tabela_ferias_folgas[[#This Row],[Compromisso]]</f>
        <v>AEL - FÉRIAS</v>
      </c>
    </row>
    <row r="215" spans="1:7" x14ac:dyDescent="0.3">
      <c r="A215" t="s">
        <v>52</v>
      </c>
      <c r="B215" t="s">
        <v>464</v>
      </c>
      <c r="C215" s="1">
        <v>44987</v>
      </c>
      <c r="D215">
        <f>DAY(Tabela_ferias_folgas[[#This Row],[Data]])</f>
        <v>2</v>
      </c>
      <c r="E215">
        <f>MONTH(Tabela_ferias_folgas[[#This Row],[Data]])</f>
        <v>3</v>
      </c>
      <c r="F215">
        <f>YEAR(Tabela_ferias_folgas[[#This Row],[Data]])</f>
        <v>2023</v>
      </c>
      <c r="G215" t="str">
        <f>Tabela_ferias_folgas[[#This Row],[Médico]]&amp;" - "&amp;Tabela_ferias_folgas[[#This Row],[Compromisso]]</f>
        <v>AEL - FÉRIAS</v>
      </c>
    </row>
    <row r="216" spans="1:7" x14ac:dyDescent="0.3">
      <c r="A216" t="s">
        <v>52</v>
      </c>
      <c r="B216" t="s">
        <v>464</v>
      </c>
      <c r="C216" s="1">
        <v>44988</v>
      </c>
      <c r="D216">
        <f>DAY(Tabela_ferias_folgas[[#This Row],[Data]])</f>
        <v>3</v>
      </c>
      <c r="E216">
        <f>MONTH(Tabela_ferias_folgas[[#This Row],[Data]])</f>
        <v>3</v>
      </c>
      <c r="F216">
        <f>YEAR(Tabela_ferias_folgas[[#This Row],[Data]])</f>
        <v>2023</v>
      </c>
      <c r="G216" t="str">
        <f>Tabela_ferias_folgas[[#This Row],[Médico]]&amp;" - "&amp;Tabela_ferias_folgas[[#This Row],[Compromisso]]</f>
        <v>AEL - FÉRIAS</v>
      </c>
    </row>
    <row r="217" spans="1:7" x14ac:dyDescent="0.3">
      <c r="A217" t="s">
        <v>72</v>
      </c>
      <c r="B217" t="s">
        <v>464</v>
      </c>
      <c r="C217" s="1">
        <v>44984</v>
      </c>
      <c r="D217">
        <f>DAY(Tabela_ferias_folgas[[#This Row],[Data]])</f>
        <v>27</v>
      </c>
      <c r="E217">
        <f>MONTH(Tabela_ferias_folgas[[#This Row],[Data]])</f>
        <v>2</v>
      </c>
      <c r="F217">
        <f>YEAR(Tabela_ferias_folgas[[#This Row],[Data]])</f>
        <v>2023</v>
      </c>
      <c r="G217" t="str">
        <f>Tabela_ferias_folgas[[#This Row],[Médico]]&amp;" - "&amp;Tabela_ferias_folgas[[#This Row],[Compromisso]]</f>
        <v>GRA - FÉRIAS</v>
      </c>
    </row>
    <row r="218" spans="1:7" x14ac:dyDescent="0.3">
      <c r="A218" t="s">
        <v>72</v>
      </c>
      <c r="B218" t="s">
        <v>464</v>
      </c>
      <c r="C218" s="1">
        <v>44985</v>
      </c>
      <c r="D218">
        <f>DAY(Tabela_ferias_folgas[[#This Row],[Data]])</f>
        <v>28</v>
      </c>
      <c r="E218">
        <f>MONTH(Tabela_ferias_folgas[[#This Row],[Data]])</f>
        <v>2</v>
      </c>
      <c r="F218">
        <f>YEAR(Tabela_ferias_folgas[[#This Row],[Data]])</f>
        <v>2023</v>
      </c>
      <c r="G218" t="str">
        <f>Tabela_ferias_folgas[[#This Row],[Médico]]&amp;" - "&amp;Tabela_ferias_folgas[[#This Row],[Compromisso]]</f>
        <v>GRA - FÉRIAS</v>
      </c>
    </row>
    <row r="219" spans="1:7" x14ac:dyDescent="0.3">
      <c r="A219" t="s">
        <v>72</v>
      </c>
      <c r="B219" t="s">
        <v>464</v>
      </c>
      <c r="C219" s="1">
        <v>44986</v>
      </c>
      <c r="D219">
        <f>DAY(Tabela_ferias_folgas[[#This Row],[Data]])</f>
        <v>1</v>
      </c>
      <c r="E219">
        <f>MONTH(Tabela_ferias_folgas[[#This Row],[Data]])</f>
        <v>3</v>
      </c>
      <c r="F219">
        <f>YEAR(Tabela_ferias_folgas[[#This Row],[Data]])</f>
        <v>2023</v>
      </c>
      <c r="G219" t="str">
        <f>Tabela_ferias_folgas[[#This Row],[Médico]]&amp;" - "&amp;Tabela_ferias_folgas[[#This Row],[Compromisso]]</f>
        <v>GRA - FÉRIAS</v>
      </c>
    </row>
    <row r="220" spans="1:7" x14ac:dyDescent="0.3">
      <c r="A220" t="s">
        <v>72</v>
      </c>
      <c r="B220" t="s">
        <v>464</v>
      </c>
      <c r="C220" s="1">
        <v>44987</v>
      </c>
      <c r="D220">
        <f>DAY(Tabela_ferias_folgas[[#This Row],[Data]])</f>
        <v>2</v>
      </c>
      <c r="E220">
        <f>MONTH(Tabela_ferias_folgas[[#This Row],[Data]])</f>
        <v>3</v>
      </c>
      <c r="F220">
        <f>YEAR(Tabela_ferias_folgas[[#This Row],[Data]])</f>
        <v>2023</v>
      </c>
      <c r="G220" t="str">
        <f>Tabela_ferias_folgas[[#This Row],[Médico]]&amp;" - "&amp;Tabela_ferias_folgas[[#This Row],[Compromisso]]</f>
        <v>GRA - FÉRIAS</v>
      </c>
    </row>
    <row r="221" spans="1:7" x14ac:dyDescent="0.3">
      <c r="A221" t="s">
        <v>72</v>
      </c>
      <c r="B221" t="s">
        <v>464</v>
      </c>
      <c r="C221" s="1">
        <v>44988</v>
      </c>
      <c r="D221">
        <f>DAY(Tabela_ferias_folgas[[#This Row],[Data]])</f>
        <v>3</v>
      </c>
      <c r="E221">
        <f>MONTH(Tabela_ferias_folgas[[#This Row],[Data]])</f>
        <v>3</v>
      </c>
      <c r="F221">
        <f>YEAR(Tabela_ferias_folgas[[#This Row],[Data]])</f>
        <v>2023</v>
      </c>
      <c r="G221" t="str">
        <f>Tabela_ferias_folgas[[#This Row],[Médico]]&amp;" - "&amp;Tabela_ferias_folgas[[#This Row],[Compromisso]]</f>
        <v>GRA - FÉRIAS</v>
      </c>
    </row>
    <row r="222" spans="1:7" x14ac:dyDescent="0.3">
      <c r="A222" t="s">
        <v>7</v>
      </c>
      <c r="B222" t="s">
        <v>464</v>
      </c>
      <c r="C222" s="1">
        <v>44991</v>
      </c>
      <c r="D222">
        <f>DAY(Tabela_ferias_folgas[[#This Row],[Data]])</f>
        <v>6</v>
      </c>
      <c r="E222">
        <f>MONTH(Tabela_ferias_folgas[[#This Row],[Data]])</f>
        <v>3</v>
      </c>
      <c r="F222">
        <f>YEAR(Tabela_ferias_folgas[[#This Row],[Data]])</f>
        <v>2023</v>
      </c>
      <c r="G222" t="str">
        <f>Tabela_ferias_folgas[[#This Row],[Médico]]&amp;" - "&amp;Tabela_ferias_folgas[[#This Row],[Compromisso]]</f>
        <v>ARI - FÉRIAS</v>
      </c>
    </row>
    <row r="223" spans="1:7" x14ac:dyDescent="0.3">
      <c r="A223" t="s">
        <v>7</v>
      </c>
      <c r="B223" t="s">
        <v>464</v>
      </c>
      <c r="C223" s="1">
        <v>44992</v>
      </c>
      <c r="D223">
        <f>DAY(Tabela_ferias_folgas[[#This Row],[Data]])</f>
        <v>7</v>
      </c>
      <c r="E223">
        <f>MONTH(Tabela_ferias_folgas[[#This Row],[Data]])</f>
        <v>3</v>
      </c>
      <c r="F223">
        <f>YEAR(Tabela_ferias_folgas[[#This Row],[Data]])</f>
        <v>2023</v>
      </c>
      <c r="G223" t="str">
        <f>Tabela_ferias_folgas[[#This Row],[Médico]]&amp;" - "&amp;Tabela_ferias_folgas[[#This Row],[Compromisso]]</f>
        <v>ARI - FÉRIAS</v>
      </c>
    </row>
    <row r="224" spans="1:7" x14ac:dyDescent="0.3">
      <c r="A224" t="s">
        <v>7</v>
      </c>
      <c r="B224" t="s">
        <v>464</v>
      </c>
      <c r="C224" s="1">
        <v>44993</v>
      </c>
      <c r="D224">
        <f>DAY(Tabela_ferias_folgas[[#This Row],[Data]])</f>
        <v>8</v>
      </c>
      <c r="E224">
        <f>MONTH(Tabela_ferias_folgas[[#This Row],[Data]])</f>
        <v>3</v>
      </c>
      <c r="F224">
        <f>YEAR(Tabela_ferias_folgas[[#This Row],[Data]])</f>
        <v>2023</v>
      </c>
      <c r="G224" t="str">
        <f>Tabela_ferias_folgas[[#This Row],[Médico]]&amp;" - "&amp;Tabela_ferias_folgas[[#This Row],[Compromisso]]</f>
        <v>ARI - FÉRIAS</v>
      </c>
    </row>
    <row r="225" spans="1:7" x14ac:dyDescent="0.3">
      <c r="A225" t="s">
        <v>7</v>
      </c>
      <c r="B225" t="s">
        <v>464</v>
      </c>
      <c r="C225" s="1">
        <v>44994</v>
      </c>
      <c r="D225">
        <f>DAY(Tabela_ferias_folgas[[#This Row],[Data]])</f>
        <v>9</v>
      </c>
      <c r="E225">
        <f>MONTH(Tabela_ferias_folgas[[#This Row],[Data]])</f>
        <v>3</v>
      </c>
      <c r="F225">
        <f>YEAR(Tabela_ferias_folgas[[#This Row],[Data]])</f>
        <v>2023</v>
      </c>
      <c r="G225" t="str">
        <f>Tabela_ferias_folgas[[#This Row],[Médico]]&amp;" - "&amp;Tabela_ferias_folgas[[#This Row],[Compromisso]]</f>
        <v>ARI - FÉRIAS</v>
      </c>
    </row>
    <row r="226" spans="1:7" x14ac:dyDescent="0.3">
      <c r="A226" t="s">
        <v>7</v>
      </c>
      <c r="B226" t="s">
        <v>464</v>
      </c>
      <c r="C226" s="1">
        <v>44995</v>
      </c>
      <c r="D226">
        <f>DAY(Tabela_ferias_folgas[[#This Row],[Data]])</f>
        <v>10</v>
      </c>
      <c r="E226">
        <f>MONTH(Tabela_ferias_folgas[[#This Row],[Data]])</f>
        <v>3</v>
      </c>
      <c r="F226">
        <f>YEAR(Tabela_ferias_folgas[[#This Row],[Data]])</f>
        <v>2023</v>
      </c>
      <c r="G226" t="str">
        <f>Tabela_ferias_folgas[[#This Row],[Médico]]&amp;" - "&amp;Tabela_ferias_folgas[[#This Row],[Compromisso]]</f>
        <v>ARI - FÉRIAS</v>
      </c>
    </row>
    <row r="227" spans="1:7" x14ac:dyDescent="0.3">
      <c r="A227" t="s">
        <v>7</v>
      </c>
      <c r="B227" t="s">
        <v>464</v>
      </c>
      <c r="C227" s="1">
        <v>44996</v>
      </c>
      <c r="D227">
        <f>DAY(Tabela_ferias_folgas[[#This Row],[Data]])</f>
        <v>11</v>
      </c>
      <c r="E227">
        <f>MONTH(Tabela_ferias_folgas[[#This Row],[Data]])</f>
        <v>3</v>
      </c>
      <c r="F227">
        <f>YEAR(Tabela_ferias_folgas[[#This Row],[Data]])</f>
        <v>2023</v>
      </c>
      <c r="G227" t="str">
        <f>Tabela_ferias_folgas[[#This Row],[Médico]]&amp;" - "&amp;Tabela_ferias_folgas[[#This Row],[Compromisso]]</f>
        <v>ARI - FÉRIAS</v>
      </c>
    </row>
    <row r="228" spans="1:7" x14ac:dyDescent="0.3">
      <c r="A228" t="s">
        <v>7</v>
      </c>
      <c r="B228" t="s">
        <v>464</v>
      </c>
      <c r="C228" s="1">
        <v>44997</v>
      </c>
      <c r="D228">
        <f>DAY(Tabela_ferias_folgas[[#This Row],[Data]])</f>
        <v>12</v>
      </c>
      <c r="E228">
        <f>MONTH(Tabela_ferias_folgas[[#This Row],[Data]])</f>
        <v>3</v>
      </c>
      <c r="F228">
        <f>YEAR(Tabela_ferias_folgas[[#This Row],[Data]])</f>
        <v>2023</v>
      </c>
      <c r="G228" t="str">
        <f>Tabela_ferias_folgas[[#This Row],[Médico]]&amp;" - "&amp;Tabela_ferias_folgas[[#This Row],[Compromisso]]</f>
        <v>ARI - FÉRIAS</v>
      </c>
    </row>
    <row r="229" spans="1:7" x14ac:dyDescent="0.3">
      <c r="A229" t="s">
        <v>68</v>
      </c>
      <c r="B229" t="s">
        <v>464</v>
      </c>
      <c r="C229" s="1">
        <v>44991</v>
      </c>
      <c r="D229">
        <f>DAY(Tabela_ferias_folgas[[#This Row],[Data]])</f>
        <v>6</v>
      </c>
      <c r="E229">
        <f>MONTH(Tabela_ferias_folgas[[#This Row],[Data]])</f>
        <v>3</v>
      </c>
      <c r="F229">
        <f>YEAR(Tabela_ferias_folgas[[#This Row],[Data]])</f>
        <v>2023</v>
      </c>
      <c r="G229" t="str">
        <f>Tabela_ferias_folgas[[#This Row],[Médico]]&amp;" - "&amp;Tabela_ferias_folgas[[#This Row],[Compromisso]]</f>
        <v>PED - FÉRIAS</v>
      </c>
    </row>
    <row r="230" spans="1:7" x14ac:dyDescent="0.3">
      <c r="A230" t="s">
        <v>68</v>
      </c>
      <c r="B230" t="s">
        <v>464</v>
      </c>
      <c r="C230" s="1">
        <v>44992</v>
      </c>
      <c r="D230">
        <f>DAY(Tabela_ferias_folgas[[#This Row],[Data]])</f>
        <v>7</v>
      </c>
      <c r="E230">
        <f>MONTH(Tabela_ferias_folgas[[#This Row],[Data]])</f>
        <v>3</v>
      </c>
      <c r="F230">
        <f>YEAR(Tabela_ferias_folgas[[#This Row],[Data]])</f>
        <v>2023</v>
      </c>
      <c r="G230" t="str">
        <f>Tabela_ferias_folgas[[#This Row],[Médico]]&amp;" - "&amp;Tabela_ferias_folgas[[#This Row],[Compromisso]]</f>
        <v>PED - FÉRIAS</v>
      </c>
    </row>
    <row r="231" spans="1:7" x14ac:dyDescent="0.3">
      <c r="A231" t="s">
        <v>68</v>
      </c>
      <c r="B231" t="s">
        <v>464</v>
      </c>
      <c r="C231" s="1">
        <v>44993</v>
      </c>
      <c r="D231">
        <f>DAY(Tabela_ferias_folgas[[#This Row],[Data]])</f>
        <v>8</v>
      </c>
      <c r="E231">
        <f>MONTH(Tabela_ferias_folgas[[#This Row],[Data]])</f>
        <v>3</v>
      </c>
      <c r="F231">
        <f>YEAR(Tabela_ferias_folgas[[#This Row],[Data]])</f>
        <v>2023</v>
      </c>
      <c r="G231" t="str">
        <f>Tabela_ferias_folgas[[#This Row],[Médico]]&amp;" - "&amp;Tabela_ferias_folgas[[#This Row],[Compromisso]]</f>
        <v>PED - FÉRIAS</v>
      </c>
    </row>
    <row r="232" spans="1:7" x14ac:dyDescent="0.3">
      <c r="A232" t="s">
        <v>68</v>
      </c>
      <c r="B232" t="s">
        <v>464</v>
      </c>
      <c r="C232" s="1">
        <v>44994</v>
      </c>
      <c r="D232">
        <f>DAY(Tabela_ferias_folgas[[#This Row],[Data]])</f>
        <v>9</v>
      </c>
      <c r="E232">
        <f>MONTH(Tabela_ferias_folgas[[#This Row],[Data]])</f>
        <v>3</v>
      </c>
      <c r="F232">
        <f>YEAR(Tabela_ferias_folgas[[#This Row],[Data]])</f>
        <v>2023</v>
      </c>
      <c r="G232" t="str">
        <f>Tabela_ferias_folgas[[#This Row],[Médico]]&amp;" - "&amp;Tabela_ferias_folgas[[#This Row],[Compromisso]]</f>
        <v>PED - FÉRIAS</v>
      </c>
    </row>
    <row r="233" spans="1:7" x14ac:dyDescent="0.3">
      <c r="A233" t="s">
        <v>68</v>
      </c>
      <c r="B233" t="s">
        <v>464</v>
      </c>
      <c r="C233" s="1">
        <v>44995</v>
      </c>
      <c r="D233">
        <f>DAY(Tabela_ferias_folgas[[#This Row],[Data]])</f>
        <v>10</v>
      </c>
      <c r="E233">
        <f>MONTH(Tabela_ferias_folgas[[#This Row],[Data]])</f>
        <v>3</v>
      </c>
      <c r="F233">
        <f>YEAR(Tabela_ferias_folgas[[#This Row],[Data]])</f>
        <v>2023</v>
      </c>
      <c r="G233" t="str">
        <f>Tabela_ferias_folgas[[#This Row],[Médico]]&amp;" - "&amp;Tabela_ferias_folgas[[#This Row],[Compromisso]]</f>
        <v>PED - FÉRIAS</v>
      </c>
    </row>
    <row r="234" spans="1:7" x14ac:dyDescent="0.3">
      <c r="A234" t="s">
        <v>68</v>
      </c>
      <c r="B234" t="s">
        <v>464</v>
      </c>
      <c r="C234" s="1">
        <v>44996</v>
      </c>
      <c r="D234">
        <f>DAY(Tabela_ferias_folgas[[#This Row],[Data]])</f>
        <v>11</v>
      </c>
      <c r="E234">
        <f>MONTH(Tabela_ferias_folgas[[#This Row],[Data]])</f>
        <v>3</v>
      </c>
      <c r="F234">
        <f>YEAR(Tabela_ferias_folgas[[#This Row],[Data]])</f>
        <v>2023</v>
      </c>
      <c r="G234" t="str">
        <f>Tabela_ferias_folgas[[#This Row],[Médico]]&amp;" - "&amp;Tabela_ferias_folgas[[#This Row],[Compromisso]]</f>
        <v>PED - FÉRIAS</v>
      </c>
    </row>
    <row r="235" spans="1:7" x14ac:dyDescent="0.3">
      <c r="A235" t="s">
        <v>68</v>
      </c>
      <c r="B235" t="s">
        <v>464</v>
      </c>
      <c r="C235" s="1">
        <v>44997</v>
      </c>
      <c r="D235">
        <f>DAY(Tabela_ferias_folgas[[#This Row],[Data]])</f>
        <v>12</v>
      </c>
      <c r="E235">
        <f>MONTH(Tabela_ferias_folgas[[#This Row],[Data]])</f>
        <v>3</v>
      </c>
      <c r="F235">
        <f>YEAR(Tabela_ferias_folgas[[#This Row],[Data]])</f>
        <v>2023</v>
      </c>
      <c r="G235" t="str">
        <f>Tabela_ferias_folgas[[#This Row],[Médico]]&amp;" - "&amp;Tabela_ferias_folgas[[#This Row],[Compromisso]]</f>
        <v>PED - FÉRIAS</v>
      </c>
    </row>
    <row r="236" spans="1:7" x14ac:dyDescent="0.3">
      <c r="A236" t="s">
        <v>63</v>
      </c>
      <c r="B236" t="s">
        <v>464</v>
      </c>
      <c r="C236" s="1">
        <v>44991</v>
      </c>
      <c r="D236">
        <f>DAY(Tabela_ferias_folgas[[#This Row],[Data]])</f>
        <v>6</v>
      </c>
      <c r="E236">
        <f>MONTH(Tabela_ferias_folgas[[#This Row],[Data]])</f>
        <v>3</v>
      </c>
      <c r="F236">
        <f>YEAR(Tabela_ferias_folgas[[#This Row],[Data]])</f>
        <v>2023</v>
      </c>
      <c r="G236" t="str">
        <f>Tabela_ferias_folgas[[#This Row],[Médico]]&amp;" - "&amp;Tabela_ferias_folgas[[#This Row],[Compromisso]]</f>
        <v>FQ - FÉRIAS</v>
      </c>
    </row>
    <row r="237" spans="1:7" x14ac:dyDescent="0.3">
      <c r="A237" t="s">
        <v>63</v>
      </c>
      <c r="B237" t="s">
        <v>464</v>
      </c>
      <c r="C237" s="1">
        <v>44992</v>
      </c>
      <c r="D237">
        <f>DAY(Tabela_ferias_folgas[[#This Row],[Data]])</f>
        <v>7</v>
      </c>
      <c r="E237">
        <f>MONTH(Tabela_ferias_folgas[[#This Row],[Data]])</f>
        <v>3</v>
      </c>
      <c r="F237">
        <f>YEAR(Tabela_ferias_folgas[[#This Row],[Data]])</f>
        <v>2023</v>
      </c>
      <c r="G237" t="str">
        <f>Tabela_ferias_folgas[[#This Row],[Médico]]&amp;" - "&amp;Tabela_ferias_folgas[[#This Row],[Compromisso]]</f>
        <v>FQ - FÉRIAS</v>
      </c>
    </row>
    <row r="238" spans="1:7" x14ac:dyDescent="0.3">
      <c r="A238" t="s">
        <v>63</v>
      </c>
      <c r="B238" t="s">
        <v>464</v>
      </c>
      <c r="C238" s="1">
        <v>44993</v>
      </c>
      <c r="D238">
        <f>DAY(Tabela_ferias_folgas[[#This Row],[Data]])</f>
        <v>8</v>
      </c>
      <c r="E238">
        <f>MONTH(Tabela_ferias_folgas[[#This Row],[Data]])</f>
        <v>3</v>
      </c>
      <c r="F238">
        <f>YEAR(Tabela_ferias_folgas[[#This Row],[Data]])</f>
        <v>2023</v>
      </c>
      <c r="G238" t="str">
        <f>Tabela_ferias_folgas[[#This Row],[Médico]]&amp;" - "&amp;Tabela_ferias_folgas[[#This Row],[Compromisso]]</f>
        <v>FQ - FÉRIAS</v>
      </c>
    </row>
    <row r="239" spans="1:7" x14ac:dyDescent="0.3">
      <c r="A239" t="s">
        <v>63</v>
      </c>
      <c r="B239" t="s">
        <v>464</v>
      </c>
      <c r="C239" s="1">
        <v>44994</v>
      </c>
      <c r="D239">
        <f>DAY(Tabela_ferias_folgas[[#This Row],[Data]])</f>
        <v>9</v>
      </c>
      <c r="E239">
        <f>MONTH(Tabela_ferias_folgas[[#This Row],[Data]])</f>
        <v>3</v>
      </c>
      <c r="F239">
        <f>YEAR(Tabela_ferias_folgas[[#This Row],[Data]])</f>
        <v>2023</v>
      </c>
      <c r="G239" t="str">
        <f>Tabela_ferias_folgas[[#This Row],[Médico]]&amp;" - "&amp;Tabela_ferias_folgas[[#This Row],[Compromisso]]</f>
        <v>FQ - FÉRIAS</v>
      </c>
    </row>
    <row r="240" spans="1:7" x14ac:dyDescent="0.3">
      <c r="A240" t="s">
        <v>63</v>
      </c>
      <c r="B240" t="s">
        <v>464</v>
      </c>
      <c r="C240" s="1">
        <v>44995</v>
      </c>
      <c r="D240">
        <f>DAY(Tabela_ferias_folgas[[#This Row],[Data]])</f>
        <v>10</v>
      </c>
      <c r="E240">
        <f>MONTH(Tabela_ferias_folgas[[#This Row],[Data]])</f>
        <v>3</v>
      </c>
      <c r="F240">
        <f>YEAR(Tabela_ferias_folgas[[#This Row],[Data]])</f>
        <v>2023</v>
      </c>
      <c r="G240" t="str">
        <f>Tabela_ferias_folgas[[#This Row],[Médico]]&amp;" - "&amp;Tabela_ferias_folgas[[#This Row],[Compromisso]]</f>
        <v>FQ - FÉRIAS</v>
      </c>
    </row>
    <row r="241" spans="1:7" x14ac:dyDescent="0.3">
      <c r="A241" t="s">
        <v>63</v>
      </c>
      <c r="B241" t="s">
        <v>464</v>
      </c>
      <c r="C241" s="1">
        <v>44996</v>
      </c>
      <c r="D241">
        <f>DAY(Tabela_ferias_folgas[[#This Row],[Data]])</f>
        <v>11</v>
      </c>
      <c r="E241">
        <f>MONTH(Tabela_ferias_folgas[[#This Row],[Data]])</f>
        <v>3</v>
      </c>
      <c r="F241">
        <f>YEAR(Tabela_ferias_folgas[[#This Row],[Data]])</f>
        <v>2023</v>
      </c>
      <c r="G241" t="str">
        <f>Tabela_ferias_folgas[[#This Row],[Médico]]&amp;" - "&amp;Tabela_ferias_folgas[[#This Row],[Compromisso]]</f>
        <v>FQ - FÉRIAS</v>
      </c>
    </row>
    <row r="242" spans="1:7" x14ac:dyDescent="0.3">
      <c r="A242" t="s">
        <v>63</v>
      </c>
      <c r="B242" t="s">
        <v>464</v>
      </c>
      <c r="C242" s="1">
        <v>44997</v>
      </c>
      <c r="D242">
        <f>DAY(Tabela_ferias_folgas[[#This Row],[Data]])</f>
        <v>12</v>
      </c>
      <c r="E242">
        <f>MONTH(Tabela_ferias_folgas[[#This Row],[Data]])</f>
        <v>3</v>
      </c>
      <c r="F242">
        <f>YEAR(Tabela_ferias_folgas[[#This Row],[Data]])</f>
        <v>2023</v>
      </c>
      <c r="G242" t="str">
        <f>Tabela_ferias_folgas[[#This Row],[Médico]]&amp;" - "&amp;Tabela_ferias_folgas[[#This Row],[Compromisso]]</f>
        <v>FQ - FÉRIAS</v>
      </c>
    </row>
    <row r="243" spans="1:7" x14ac:dyDescent="0.3">
      <c r="A243" t="s">
        <v>48</v>
      </c>
      <c r="B243" t="s">
        <v>464</v>
      </c>
      <c r="C243" s="1">
        <v>44991</v>
      </c>
      <c r="D243">
        <f>DAY(Tabela_ferias_folgas[[#This Row],[Data]])</f>
        <v>6</v>
      </c>
      <c r="E243">
        <f>MONTH(Tabela_ferias_folgas[[#This Row],[Data]])</f>
        <v>3</v>
      </c>
      <c r="F243">
        <f>YEAR(Tabela_ferias_folgas[[#This Row],[Data]])</f>
        <v>2023</v>
      </c>
      <c r="G243" t="str">
        <f>Tabela_ferias_folgas[[#This Row],[Médico]]&amp;" - "&amp;Tabela_ferias_folgas[[#This Row],[Compromisso]]</f>
        <v>MAF - FÉRIAS</v>
      </c>
    </row>
    <row r="244" spans="1:7" x14ac:dyDescent="0.3">
      <c r="A244" t="s">
        <v>48</v>
      </c>
      <c r="B244" t="s">
        <v>464</v>
      </c>
      <c r="C244" s="1">
        <v>44992</v>
      </c>
      <c r="D244">
        <f>DAY(Tabela_ferias_folgas[[#This Row],[Data]])</f>
        <v>7</v>
      </c>
      <c r="E244">
        <f>MONTH(Tabela_ferias_folgas[[#This Row],[Data]])</f>
        <v>3</v>
      </c>
      <c r="F244">
        <f>YEAR(Tabela_ferias_folgas[[#This Row],[Data]])</f>
        <v>2023</v>
      </c>
      <c r="G244" t="str">
        <f>Tabela_ferias_folgas[[#This Row],[Médico]]&amp;" - "&amp;Tabela_ferias_folgas[[#This Row],[Compromisso]]</f>
        <v>MAF - FÉRIAS</v>
      </c>
    </row>
    <row r="245" spans="1:7" x14ac:dyDescent="0.3">
      <c r="A245" t="s">
        <v>48</v>
      </c>
      <c r="B245" t="s">
        <v>464</v>
      </c>
      <c r="C245" s="1">
        <v>44993</v>
      </c>
      <c r="D245">
        <f>DAY(Tabela_ferias_folgas[[#This Row],[Data]])</f>
        <v>8</v>
      </c>
      <c r="E245">
        <f>MONTH(Tabela_ferias_folgas[[#This Row],[Data]])</f>
        <v>3</v>
      </c>
      <c r="F245">
        <f>YEAR(Tabela_ferias_folgas[[#This Row],[Data]])</f>
        <v>2023</v>
      </c>
      <c r="G245" t="str">
        <f>Tabela_ferias_folgas[[#This Row],[Médico]]&amp;" - "&amp;Tabela_ferias_folgas[[#This Row],[Compromisso]]</f>
        <v>MAF - FÉRIAS</v>
      </c>
    </row>
    <row r="246" spans="1:7" x14ac:dyDescent="0.3">
      <c r="A246" t="s">
        <v>48</v>
      </c>
      <c r="B246" t="s">
        <v>464</v>
      </c>
      <c r="C246" s="1">
        <v>44994</v>
      </c>
      <c r="D246">
        <f>DAY(Tabela_ferias_folgas[[#This Row],[Data]])</f>
        <v>9</v>
      </c>
      <c r="E246">
        <f>MONTH(Tabela_ferias_folgas[[#This Row],[Data]])</f>
        <v>3</v>
      </c>
      <c r="F246">
        <f>YEAR(Tabela_ferias_folgas[[#This Row],[Data]])</f>
        <v>2023</v>
      </c>
      <c r="G246" t="str">
        <f>Tabela_ferias_folgas[[#This Row],[Médico]]&amp;" - "&amp;Tabela_ferias_folgas[[#This Row],[Compromisso]]</f>
        <v>MAF - FÉRIAS</v>
      </c>
    </row>
    <row r="247" spans="1:7" x14ac:dyDescent="0.3">
      <c r="A247" t="s">
        <v>48</v>
      </c>
      <c r="B247" t="s">
        <v>464</v>
      </c>
      <c r="C247" s="1">
        <v>44995</v>
      </c>
      <c r="D247">
        <f>DAY(Tabela_ferias_folgas[[#This Row],[Data]])</f>
        <v>10</v>
      </c>
      <c r="E247">
        <f>MONTH(Tabela_ferias_folgas[[#This Row],[Data]])</f>
        <v>3</v>
      </c>
      <c r="F247">
        <f>YEAR(Tabela_ferias_folgas[[#This Row],[Data]])</f>
        <v>2023</v>
      </c>
      <c r="G247" t="str">
        <f>Tabela_ferias_folgas[[#This Row],[Médico]]&amp;" - "&amp;Tabela_ferias_folgas[[#This Row],[Compromisso]]</f>
        <v>MAF - FÉRIAS</v>
      </c>
    </row>
    <row r="248" spans="1:7" x14ac:dyDescent="0.3">
      <c r="A248" t="s">
        <v>48</v>
      </c>
      <c r="B248" t="s">
        <v>464</v>
      </c>
      <c r="C248" s="1">
        <v>44996</v>
      </c>
      <c r="D248">
        <f>DAY(Tabela_ferias_folgas[[#This Row],[Data]])</f>
        <v>11</v>
      </c>
      <c r="E248">
        <f>MONTH(Tabela_ferias_folgas[[#This Row],[Data]])</f>
        <v>3</v>
      </c>
      <c r="F248">
        <f>YEAR(Tabela_ferias_folgas[[#This Row],[Data]])</f>
        <v>2023</v>
      </c>
      <c r="G248" t="str">
        <f>Tabela_ferias_folgas[[#This Row],[Médico]]&amp;" - "&amp;Tabela_ferias_folgas[[#This Row],[Compromisso]]</f>
        <v>MAF - FÉRIAS</v>
      </c>
    </row>
    <row r="249" spans="1:7" x14ac:dyDescent="0.3">
      <c r="A249" t="s">
        <v>48</v>
      </c>
      <c r="B249" t="s">
        <v>464</v>
      </c>
      <c r="C249" s="1">
        <v>44997</v>
      </c>
      <c r="D249">
        <f>DAY(Tabela_ferias_folgas[[#This Row],[Data]])</f>
        <v>12</v>
      </c>
      <c r="E249">
        <f>MONTH(Tabela_ferias_folgas[[#This Row],[Data]])</f>
        <v>3</v>
      </c>
      <c r="F249">
        <f>YEAR(Tabela_ferias_folgas[[#This Row],[Data]])</f>
        <v>2023</v>
      </c>
      <c r="G249" t="str">
        <f>Tabela_ferias_folgas[[#This Row],[Médico]]&amp;" - "&amp;Tabela_ferias_folgas[[#This Row],[Compromisso]]</f>
        <v>MAF - FÉRIAS</v>
      </c>
    </row>
    <row r="250" spans="1:7" x14ac:dyDescent="0.3">
      <c r="A250" t="s">
        <v>84</v>
      </c>
      <c r="C250" s="1">
        <v>44994</v>
      </c>
      <c r="D250">
        <f>DAY(Tabela_ferias_folgas[[#This Row],[Data]])</f>
        <v>9</v>
      </c>
      <c r="E250">
        <f>MONTH(Tabela_ferias_folgas[[#This Row],[Data]])</f>
        <v>3</v>
      </c>
      <c r="F250">
        <f>YEAR(Tabela_ferias_folgas[[#This Row],[Data]])</f>
        <v>2023</v>
      </c>
      <c r="G250" t="str">
        <f>Tabela_ferias_folgas[[#This Row],[Médico]]&amp;" - "&amp;Tabela_ferias_folgas[[#This Row],[Compromisso]]</f>
        <v xml:space="preserve">ANO - </v>
      </c>
    </row>
    <row r="251" spans="1:7" x14ac:dyDescent="0.3">
      <c r="A251" t="s">
        <v>84</v>
      </c>
      <c r="C251" s="1">
        <v>44995</v>
      </c>
      <c r="D251">
        <f>DAY(Tabela_ferias_folgas[[#This Row],[Data]])</f>
        <v>10</v>
      </c>
      <c r="E251">
        <f>MONTH(Tabela_ferias_folgas[[#This Row],[Data]])</f>
        <v>3</v>
      </c>
      <c r="F251">
        <f>YEAR(Tabela_ferias_folgas[[#This Row],[Data]])</f>
        <v>2023</v>
      </c>
      <c r="G251" t="str">
        <f>Tabela_ferias_folgas[[#This Row],[Médico]]&amp;" - "&amp;Tabela_ferias_folgas[[#This Row],[Compromisso]]</f>
        <v xml:space="preserve">ANO - </v>
      </c>
    </row>
    <row r="252" spans="1:7" x14ac:dyDescent="0.3">
      <c r="A252" t="s">
        <v>84</v>
      </c>
      <c r="C252" s="1">
        <v>44996</v>
      </c>
      <c r="D252">
        <f>DAY(Tabela_ferias_folgas[[#This Row],[Data]])</f>
        <v>11</v>
      </c>
      <c r="E252">
        <f>MONTH(Tabela_ferias_folgas[[#This Row],[Data]])</f>
        <v>3</v>
      </c>
      <c r="F252">
        <f>YEAR(Tabela_ferias_folgas[[#This Row],[Data]])</f>
        <v>2023</v>
      </c>
      <c r="G252" t="str">
        <f>Tabela_ferias_folgas[[#This Row],[Médico]]&amp;" - "&amp;Tabela_ferias_folgas[[#This Row],[Compromisso]]</f>
        <v xml:space="preserve">ANO - </v>
      </c>
    </row>
    <row r="253" spans="1:7" x14ac:dyDescent="0.3">
      <c r="A253" t="s">
        <v>84</v>
      </c>
      <c r="C253" s="1">
        <v>44997</v>
      </c>
      <c r="D253">
        <f>DAY(Tabela_ferias_folgas[[#This Row],[Data]])</f>
        <v>12</v>
      </c>
      <c r="E253">
        <f>MONTH(Tabela_ferias_folgas[[#This Row],[Data]])</f>
        <v>3</v>
      </c>
      <c r="F253">
        <f>YEAR(Tabela_ferias_folgas[[#This Row],[Data]])</f>
        <v>2023</v>
      </c>
      <c r="G253" t="str">
        <f>Tabela_ferias_folgas[[#This Row],[Médico]]&amp;" - "&amp;Tabela_ferias_folgas[[#This Row],[Compromisso]]</f>
        <v xml:space="preserve">ANO - </v>
      </c>
    </row>
    <row r="254" spans="1:7" x14ac:dyDescent="0.3">
      <c r="A254" t="s">
        <v>84</v>
      </c>
      <c r="C254" s="1">
        <v>44998</v>
      </c>
      <c r="D254">
        <f>DAY(Tabela_ferias_folgas[[#This Row],[Data]])</f>
        <v>13</v>
      </c>
      <c r="E254">
        <f>MONTH(Tabela_ferias_folgas[[#This Row],[Data]])</f>
        <v>3</v>
      </c>
      <c r="F254">
        <f>YEAR(Tabela_ferias_folgas[[#This Row],[Data]])</f>
        <v>2023</v>
      </c>
      <c r="G254" t="str">
        <f>Tabela_ferias_folgas[[#This Row],[Médico]]&amp;" - "&amp;Tabela_ferias_folgas[[#This Row],[Compromisso]]</f>
        <v xml:space="preserve">ANO - </v>
      </c>
    </row>
    <row r="255" spans="1:7" x14ac:dyDescent="0.3">
      <c r="A255" t="s">
        <v>84</v>
      </c>
      <c r="C255" s="1">
        <v>44999</v>
      </c>
      <c r="D255">
        <f>DAY(Tabela_ferias_folgas[[#This Row],[Data]])</f>
        <v>14</v>
      </c>
      <c r="E255">
        <f>MONTH(Tabela_ferias_folgas[[#This Row],[Data]])</f>
        <v>3</v>
      </c>
      <c r="F255">
        <f>YEAR(Tabela_ferias_folgas[[#This Row],[Data]])</f>
        <v>2023</v>
      </c>
      <c r="G255" t="str">
        <f>Tabela_ferias_folgas[[#This Row],[Médico]]&amp;" - "&amp;Tabela_ferias_folgas[[#This Row],[Compromisso]]</f>
        <v xml:space="preserve">ANO - </v>
      </c>
    </row>
    <row r="256" spans="1:7" x14ac:dyDescent="0.3">
      <c r="A256" t="s">
        <v>84</v>
      </c>
      <c r="C256" s="1">
        <v>45000</v>
      </c>
      <c r="D256">
        <f>DAY(Tabela_ferias_folgas[[#This Row],[Data]])</f>
        <v>15</v>
      </c>
      <c r="E256">
        <f>MONTH(Tabela_ferias_folgas[[#This Row],[Data]])</f>
        <v>3</v>
      </c>
      <c r="F256">
        <f>YEAR(Tabela_ferias_folgas[[#This Row],[Data]])</f>
        <v>2023</v>
      </c>
      <c r="G256" t="str">
        <f>Tabela_ferias_folgas[[#This Row],[Médico]]&amp;" - "&amp;Tabela_ferias_folgas[[#This Row],[Compromisso]]</f>
        <v xml:space="preserve">ANO - </v>
      </c>
    </row>
    <row r="257" spans="1:7" x14ac:dyDescent="0.3">
      <c r="A257" t="s">
        <v>84</v>
      </c>
      <c r="C257" s="1">
        <v>45001</v>
      </c>
      <c r="D257">
        <f>DAY(Tabela_ferias_folgas[[#This Row],[Data]])</f>
        <v>16</v>
      </c>
      <c r="E257">
        <f>MONTH(Tabela_ferias_folgas[[#This Row],[Data]])</f>
        <v>3</v>
      </c>
      <c r="F257">
        <f>YEAR(Tabela_ferias_folgas[[#This Row],[Data]])</f>
        <v>2023</v>
      </c>
      <c r="G257" t="str">
        <f>Tabela_ferias_folgas[[#This Row],[Médico]]&amp;" - "&amp;Tabela_ferias_folgas[[#This Row],[Compromisso]]</f>
        <v xml:space="preserve">ANO - </v>
      </c>
    </row>
    <row r="258" spans="1:7" x14ac:dyDescent="0.3">
      <c r="A258" t="s">
        <v>84</v>
      </c>
      <c r="C258" s="1">
        <v>45002</v>
      </c>
      <c r="D258">
        <f>DAY(Tabela_ferias_folgas[[#This Row],[Data]])</f>
        <v>17</v>
      </c>
      <c r="E258">
        <f>MONTH(Tabela_ferias_folgas[[#This Row],[Data]])</f>
        <v>3</v>
      </c>
      <c r="F258">
        <f>YEAR(Tabela_ferias_folgas[[#This Row],[Data]])</f>
        <v>2023</v>
      </c>
      <c r="G258" t="str">
        <f>Tabela_ferias_folgas[[#This Row],[Médico]]&amp;" - "&amp;Tabela_ferias_folgas[[#This Row],[Compromisso]]</f>
        <v xml:space="preserve">ANO - </v>
      </c>
    </row>
    <row r="259" spans="1:7" x14ac:dyDescent="0.3">
      <c r="A259" t="s">
        <v>34</v>
      </c>
      <c r="C259" s="1">
        <v>44994</v>
      </c>
      <c r="D259">
        <f>DAY(Tabela_ferias_folgas[[#This Row],[Data]])</f>
        <v>9</v>
      </c>
      <c r="E259">
        <f>MONTH(Tabela_ferias_folgas[[#This Row],[Data]])</f>
        <v>3</v>
      </c>
      <c r="F259">
        <f>YEAR(Tabela_ferias_folgas[[#This Row],[Data]])</f>
        <v>2023</v>
      </c>
      <c r="G259" t="str">
        <f>Tabela_ferias_folgas[[#This Row],[Médico]]&amp;" - "&amp;Tabela_ferias_folgas[[#This Row],[Compromisso]]</f>
        <v xml:space="preserve">LIP - </v>
      </c>
    </row>
    <row r="260" spans="1:7" x14ac:dyDescent="0.3">
      <c r="A260" t="s">
        <v>34</v>
      </c>
      <c r="C260" s="1">
        <v>44995</v>
      </c>
      <c r="D260">
        <f>DAY(Tabela_ferias_folgas[[#This Row],[Data]])</f>
        <v>10</v>
      </c>
      <c r="E260">
        <f>MONTH(Tabela_ferias_folgas[[#This Row],[Data]])</f>
        <v>3</v>
      </c>
      <c r="F260">
        <f>YEAR(Tabela_ferias_folgas[[#This Row],[Data]])</f>
        <v>2023</v>
      </c>
      <c r="G260" t="str">
        <f>Tabela_ferias_folgas[[#This Row],[Médico]]&amp;" - "&amp;Tabela_ferias_folgas[[#This Row],[Compromisso]]</f>
        <v xml:space="preserve">LIP - </v>
      </c>
    </row>
    <row r="261" spans="1:7" x14ac:dyDescent="0.3">
      <c r="A261" t="s">
        <v>34</v>
      </c>
      <c r="C261" s="1">
        <v>44996</v>
      </c>
      <c r="D261">
        <f>DAY(Tabela_ferias_folgas[[#This Row],[Data]])</f>
        <v>11</v>
      </c>
      <c r="E261">
        <f>MONTH(Tabela_ferias_folgas[[#This Row],[Data]])</f>
        <v>3</v>
      </c>
      <c r="F261">
        <f>YEAR(Tabela_ferias_folgas[[#This Row],[Data]])</f>
        <v>2023</v>
      </c>
      <c r="G261" t="str">
        <f>Tabela_ferias_folgas[[#This Row],[Médico]]&amp;" - "&amp;Tabela_ferias_folgas[[#This Row],[Compromisso]]</f>
        <v xml:space="preserve">LIP - </v>
      </c>
    </row>
    <row r="262" spans="1:7" x14ac:dyDescent="0.3">
      <c r="A262" t="s">
        <v>34</v>
      </c>
      <c r="C262" s="1">
        <v>44997</v>
      </c>
      <c r="D262">
        <f>DAY(Tabela_ferias_folgas[[#This Row],[Data]])</f>
        <v>12</v>
      </c>
      <c r="E262">
        <f>MONTH(Tabela_ferias_folgas[[#This Row],[Data]])</f>
        <v>3</v>
      </c>
      <c r="F262">
        <f>YEAR(Tabela_ferias_folgas[[#This Row],[Data]])</f>
        <v>2023</v>
      </c>
      <c r="G262" t="str">
        <f>Tabela_ferias_folgas[[#This Row],[Médico]]&amp;" - "&amp;Tabela_ferias_folgas[[#This Row],[Compromisso]]</f>
        <v xml:space="preserve">LIP - </v>
      </c>
    </row>
    <row r="263" spans="1:7" x14ac:dyDescent="0.3">
      <c r="A263" t="s">
        <v>34</v>
      </c>
      <c r="C263" s="1">
        <v>44998</v>
      </c>
      <c r="D263">
        <f>DAY(Tabela_ferias_folgas[[#This Row],[Data]])</f>
        <v>13</v>
      </c>
      <c r="E263">
        <f>MONTH(Tabela_ferias_folgas[[#This Row],[Data]])</f>
        <v>3</v>
      </c>
      <c r="F263">
        <f>YEAR(Tabela_ferias_folgas[[#This Row],[Data]])</f>
        <v>2023</v>
      </c>
      <c r="G263" t="str">
        <f>Tabela_ferias_folgas[[#This Row],[Médico]]&amp;" - "&amp;Tabela_ferias_folgas[[#This Row],[Compromisso]]</f>
        <v xml:space="preserve">LIP - </v>
      </c>
    </row>
    <row r="264" spans="1:7" x14ac:dyDescent="0.3">
      <c r="A264" t="s">
        <v>34</v>
      </c>
      <c r="C264" s="1">
        <v>44999</v>
      </c>
      <c r="D264">
        <f>DAY(Tabela_ferias_folgas[[#This Row],[Data]])</f>
        <v>14</v>
      </c>
      <c r="E264">
        <f>MONTH(Tabela_ferias_folgas[[#This Row],[Data]])</f>
        <v>3</v>
      </c>
      <c r="F264">
        <f>YEAR(Tabela_ferias_folgas[[#This Row],[Data]])</f>
        <v>2023</v>
      </c>
      <c r="G264" t="str">
        <f>Tabela_ferias_folgas[[#This Row],[Médico]]&amp;" - "&amp;Tabela_ferias_folgas[[#This Row],[Compromisso]]</f>
        <v xml:space="preserve">LIP - </v>
      </c>
    </row>
    <row r="265" spans="1:7" x14ac:dyDescent="0.3">
      <c r="A265" t="s">
        <v>34</v>
      </c>
      <c r="C265" s="1">
        <v>45000</v>
      </c>
      <c r="D265">
        <f>DAY(Tabela_ferias_folgas[[#This Row],[Data]])</f>
        <v>15</v>
      </c>
      <c r="E265">
        <f>MONTH(Tabela_ferias_folgas[[#This Row],[Data]])</f>
        <v>3</v>
      </c>
      <c r="F265">
        <f>YEAR(Tabela_ferias_folgas[[#This Row],[Data]])</f>
        <v>2023</v>
      </c>
      <c r="G265" t="str">
        <f>Tabela_ferias_folgas[[#This Row],[Médico]]&amp;" - "&amp;Tabela_ferias_folgas[[#This Row],[Compromisso]]</f>
        <v xml:space="preserve">LIP - </v>
      </c>
    </row>
    <row r="266" spans="1:7" x14ac:dyDescent="0.3">
      <c r="A266" t="s">
        <v>34</v>
      </c>
      <c r="C266" s="1">
        <v>45001</v>
      </c>
      <c r="D266">
        <f>DAY(Tabela_ferias_folgas[[#This Row],[Data]])</f>
        <v>16</v>
      </c>
      <c r="E266">
        <f>MONTH(Tabela_ferias_folgas[[#This Row],[Data]])</f>
        <v>3</v>
      </c>
      <c r="F266">
        <f>YEAR(Tabela_ferias_folgas[[#This Row],[Data]])</f>
        <v>2023</v>
      </c>
      <c r="G266" t="str">
        <f>Tabela_ferias_folgas[[#This Row],[Médico]]&amp;" - "&amp;Tabela_ferias_folgas[[#This Row],[Compromisso]]</f>
        <v xml:space="preserve">LIP - </v>
      </c>
    </row>
    <row r="267" spans="1:7" x14ac:dyDescent="0.3">
      <c r="A267" t="s">
        <v>34</v>
      </c>
      <c r="C267" s="1">
        <v>45002</v>
      </c>
      <c r="D267">
        <f>DAY(Tabela_ferias_folgas[[#This Row],[Data]])</f>
        <v>17</v>
      </c>
      <c r="E267">
        <f>MONTH(Tabela_ferias_folgas[[#This Row],[Data]])</f>
        <v>3</v>
      </c>
      <c r="F267">
        <f>YEAR(Tabela_ferias_folgas[[#This Row],[Data]])</f>
        <v>2023</v>
      </c>
      <c r="G267" t="str">
        <f>Tabela_ferias_folgas[[#This Row],[Médico]]&amp;" - "&amp;Tabela_ferias_folgas[[#This Row],[Compromisso]]</f>
        <v xml:space="preserve">LIP - </v>
      </c>
    </row>
    <row r="268" spans="1:7" x14ac:dyDescent="0.3">
      <c r="A268" t="s">
        <v>50</v>
      </c>
      <c r="C268" s="1">
        <v>44994</v>
      </c>
      <c r="D268">
        <f>DAY(Tabela_ferias_folgas[[#This Row],[Data]])</f>
        <v>9</v>
      </c>
      <c r="E268">
        <f>MONTH(Tabela_ferias_folgas[[#This Row],[Data]])</f>
        <v>3</v>
      </c>
      <c r="F268">
        <f>YEAR(Tabela_ferias_folgas[[#This Row],[Data]])</f>
        <v>2023</v>
      </c>
      <c r="G268" t="str">
        <f>Tabela_ferias_folgas[[#This Row],[Médico]]&amp;" - "&amp;Tabela_ferias_folgas[[#This Row],[Compromisso]]</f>
        <v xml:space="preserve">PJP - </v>
      </c>
    </row>
    <row r="269" spans="1:7" x14ac:dyDescent="0.3">
      <c r="A269" t="s">
        <v>50</v>
      </c>
      <c r="C269" s="1">
        <v>44995</v>
      </c>
      <c r="D269">
        <f>DAY(Tabela_ferias_folgas[[#This Row],[Data]])</f>
        <v>10</v>
      </c>
      <c r="E269">
        <f>MONTH(Tabela_ferias_folgas[[#This Row],[Data]])</f>
        <v>3</v>
      </c>
      <c r="F269">
        <f>YEAR(Tabela_ferias_folgas[[#This Row],[Data]])</f>
        <v>2023</v>
      </c>
      <c r="G269" t="str">
        <f>Tabela_ferias_folgas[[#This Row],[Médico]]&amp;" - "&amp;Tabela_ferias_folgas[[#This Row],[Compromisso]]</f>
        <v xml:space="preserve">PJP - </v>
      </c>
    </row>
    <row r="270" spans="1:7" x14ac:dyDescent="0.3">
      <c r="A270" t="s">
        <v>50</v>
      </c>
      <c r="C270" s="1">
        <v>44996</v>
      </c>
      <c r="D270">
        <f>DAY(Tabela_ferias_folgas[[#This Row],[Data]])</f>
        <v>11</v>
      </c>
      <c r="E270">
        <f>MONTH(Tabela_ferias_folgas[[#This Row],[Data]])</f>
        <v>3</v>
      </c>
      <c r="F270">
        <f>YEAR(Tabela_ferias_folgas[[#This Row],[Data]])</f>
        <v>2023</v>
      </c>
      <c r="G270" t="str">
        <f>Tabela_ferias_folgas[[#This Row],[Médico]]&amp;" - "&amp;Tabela_ferias_folgas[[#This Row],[Compromisso]]</f>
        <v xml:space="preserve">PJP - </v>
      </c>
    </row>
    <row r="271" spans="1:7" x14ac:dyDescent="0.3">
      <c r="A271" t="s">
        <v>50</v>
      </c>
      <c r="C271" s="1">
        <v>44997</v>
      </c>
      <c r="D271">
        <f>DAY(Tabela_ferias_folgas[[#This Row],[Data]])</f>
        <v>12</v>
      </c>
      <c r="E271">
        <f>MONTH(Tabela_ferias_folgas[[#This Row],[Data]])</f>
        <v>3</v>
      </c>
      <c r="F271">
        <f>YEAR(Tabela_ferias_folgas[[#This Row],[Data]])</f>
        <v>2023</v>
      </c>
      <c r="G271" t="str">
        <f>Tabela_ferias_folgas[[#This Row],[Médico]]&amp;" - "&amp;Tabela_ferias_folgas[[#This Row],[Compromisso]]</f>
        <v xml:space="preserve">PJP - </v>
      </c>
    </row>
    <row r="272" spans="1:7" x14ac:dyDescent="0.3">
      <c r="A272" t="s">
        <v>50</v>
      </c>
      <c r="C272" s="1">
        <v>44998</v>
      </c>
      <c r="D272">
        <f>DAY(Tabela_ferias_folgas[[#This Row],[Data]])</f>
        <v>13</v>
      </c>
      <c r="E272">
        <f>MONTH(Tabela_ferias_folgas[[#This Row],[Data]])</f>
        <v>3</v>
      </c>
      <c r="F272">
        <f>YEAR(Tabela_ferias_folgas[[#This Row],[Data]])</f>
        <v>2023</v>
      </c>
      <c r="G272" t="str">
        <f>Tabela_ferias_folgas[[#This Row],[Médico]]&amp;" - "&amp;Tabela_ferias_folgas[[#This Row],[Compromisso]]</f>
        <v xml:space="preserve">PJP - </v>
      </c>
    </row>
    <row r="273" spans="1:7" x14ac:dyDescent="0.3">
      <c r="A273" t="s">
        <v>50</v>
      </c>
      <c r="C273" s="1">
        <v>44999</v>
      </c>
      <c r="D273">
        <f>DAY(Tabela_ferias_folgas[[#This Row],[Data]])</f>
        <v>14</v>
      </c>
      <c r="E273">
        <f>MONTH(Tabela_ferias_folgas[[#This Row],[Data]])</f>
        <v>3</v>
      </c>
      <c r="F273">
        <f>YEAR(Tabela_ferias_folgas[[#This Row],[Data]])</f>
        <v>2023</v>
      </c>
      <c r="G273" t="str">
        <f>Tabela_ferias_folgas[[#This Row],[Médico]]&amp;" - "&amp;Tabela_ferias_folgas[[#This Row],[Compromisso]]</f>
        <v xml:space="preserve">PJP - </v>
      </c>
    </row>
    <row r="274" spans="1:7" x14ac:dyDescent="0.3">
      <c r="A274" t="s">
        <v>50</v>
      </c>
      <c r="C274" s="1">
        <v>45000</v>
      </c>
      <c r="D274">
        <f>DAY(Tabela_ferias_folgas[[#This Row],[Data]])</f>
        <v>15</v>
      </c>
      <c r="E274">
        <f>MONTH(Tabela_ferias_folgas[[#This Row],[Data]])</f>
        <v>3</v>
      </c>
      <c r="F274">
        <f>YEAR(Tabela_ferias_folgas[[#This Row],[Data]])</f>
        <v>2023</v>
      </c>
      <c r="G274" t="str">
        <f>Tabela_ferias_folgas[[#This Row],[Médico]]&amp;" - "&amp;Tabela_ferias_folgas[[#This Row],[Compromisso]]</f>
        <v xml:space="preserve">PJP - </v>
      </c>
    </row>
    <row r="275" spans="1:7" x14ac:dyDescent="0.3">
      <c r="A275" t="s">
        <v>50</v>
      </c>
      <c r="C275" s="1">
        <v>45001</v>
      </c>
      <c r="D275">
        <f>DAY(Tabela_ferias_folgas[[#This Row],[Data]])</f>
        <v>16</v>
      </c>
      <c r="E275">
        <f>MONTH(Tabela_ferias_folgas[[#This Row],[Data]])</f>
        <v>3</v>
      </c>
      <c r="F275">
        <f>YEAR(Tabela_ferias_folgas[[#This Row],[Data]])</f>
        <v>2023</v>
      </c>
      <c r="G275" t="str">
        <f>Tabela_ferias_folgas[[#This Row],[Médico]]&amp;" - "&amp;Tabela_ferias_folgas[[#This Row],[Compromisso]]</f>
        <v xml:space="preserve">PJP - </v>
      </c>
    </row>
    <row r="276" spans="1:7" x14ac:dyDescent="0.3">
      <c r="A276" t="s">
        <v>50</v>
      </c>
      <c r="C276" s="1">
        <v>45002</v>
      </c>
      <c r="D276">
        <f>DAY(Tabela_ferias_folgas[[#This Row],[Data]])</f>
        <v>17</v>
      </c>
      <c r="E276">
        <f>MONTH(Tabela_ferias_folgas[[#This Row],[Data]])</f>
        <v>3</v>
      </c>
      <c r="F276">
        <f>YEAR(Tabela_ferias_folgas[[#This Row],[Data]])</f>
        <v>2023</v>
      </c>
      <c r="G276" t="str">
        <f>Tabela_ferias_folgas[[#This Row],[Médico]]&amp;" - "&amp;Tabela_ferias_folgas[[#This Row],[Compromisso]]</f>
        <v xml:space="preserve">PJP - </v>
      </c>
    </row>
    <row r="277" spans="1:7" x14ac:dyDescent="0.3">
      <c r="A277" t="s">
        <v>33</v>
      </c>
      <c r="C277" s="1">
        <v>45002</v>
      </c>
      <c r="D277">
        <f>DAY(Tabela_ferias_folgas[[#This Row],[Data]])</f>
        <v>17</v>
      </c>
      <c r="E277">
        <f>MONTH(Tabela_ferias_folgas[[#This Row],[Data]])</f>
        <v>3</v>
      </c>
      <c r="F277">
        <f>YEAR(Tabela_ferias_folgas[[#This Row],[Data]])</f>
        <v>2023</v>
      </c>
      <c r="G277" t="str">
        <f>Tabela_ferias_folgas[[#This Row],[Médico]]&amp;" - "&amp;Tabela_ferias_folgas[[#This Row],[Compromisso]]</f>
        <v xml:space="preserve">DIF - </v>
      </c>
    </row>
    <row r="278" spans="1:7" x14ac:dyDescent="0.3">
      <c r="A278" t="s">
        <v>33</v>
      </c>
      <c r="C278" s="1">
        <v>45003</v>
      </c>
      <c r="D278">
        <f>DAY(Tabela_ferias_folgas[[#This Row],[Data]])</f>
        <v>18</v>
      </c>
      <c r="E278">
        <f>MONTH(Tabela_ferias_folgas[[#This Row],[Data]])</f>
        <v>3</v>
      </c>
      <c r="F278">
        <f>YEAR(Tabela_ferias_folgas[[#This Row],[Data]])</f>
        <v>2023</v>
      </c>
      <c r="G278" t="str">
        <f>Tabela_ferias_folgas[[#This Row],[Médico]]&amp;" - "&amp;Tabela_ferias_folgas[[#This Row],[Compromisso]]</f>
        <v xml:space="preserve">DIF - </v>
      </c>
    </row>
    <row r="279" spans="1:7" x14ac:dyDescent="0.3">
      <c r="A279" t="s">
        <v>33</v>
      </c>
      <c r="C279" s="1">
        <v>45004</v>
      </c>
      <c r="D279">
        <f>DAY(Tabela_ferias_folgas[[#This Row],[Data]])</f>
        <v>19</v>
      </c>
      <c r="E279">
        <f>MONTH(Tabela_ferias_folgas[[#This Row],[Data]])</f>
        <v>3</v>
      </c>
      <c r="F279">
        <f>YEAR(Tabela_ferias_folgas[[#This Row],[Data]])</f>
        <v>2023</v>
      </c>
      <c r="G279" t="str">
        <f>Tabela_ferias_folgas[[#This Row],[Médico]]&amp;" - "&amp;Tabela_ferias_folgas[[#This Row],[Compromisso]]</f>
        <v xml:space="preserve">DIF - </v>
      </c>
    </row>
    <row r="280" spans="1:7" x14ac:dyDescent="0.3">
      <c r="A280" t="s">
        <v>33</v>
      </c>
      <c r="C280" s="1">
        <v>45005</v>
      </c>
      <c r="D280">
        <f>DAY(Tabela_ferias_folgas[[#This Row],[Data]])</f>
        <v>20</v>
      </c>
      <c r="E280">
        <f>MONTH(Tabela_ferias_folgas[[#This Row],[Data]])</f>
        <v>3</v>
      </c>
      <c r="F280">
        <f>YEAR(Tabela_ferias_folgas[[#This Row],[Data]])</f>
        <v>2023</v>
      </c>
      <c r="G280" t="str">
        <f>Tabela_ferias_folgas[[#This Row],[Médico]]&amp;" - "&amp;Tabela_ferias_folgas[[#This Row],[Compromisso]]</f>
        <v xml:space="preserve">DIF - </v>
      </c>
    </row>
    <row r="281" spans="1:7" x14ac:dyDescent="0.3">
      <c r="A281" t="s">
        <v>33</v>
      </c>
      <c r="C281" s="1">
        <v>45006</v>
      </c>
      <c r="D281">
        <f>DAY(Tabela_ferias_folgas[[#This Row],[Data]])</f>
        <v>21</v>
      </c>
      <c r="E281">
        <f>MONTH(Tabela_ferias_folgas[[#This Row],[Data]])</f>
        <v>3</v>
      </c>
      <c r="F281">
        <f>YEAR(Tabela_ferias_folgas[[#This Row],[Data]])</f>
        <v>2023</v>
      </c>
      <c r="G281" t="str">
        <f>Tabela_ferias_folgas[[#This Row],[Médico]]&amp;" - "&amp;Tabela_ferias_folgas[[#This Row],[Compromisso]]</f>
        <v xml:space="preserve">DIF - </v>
      </c>
    </row>
    <row r="282" spans="1:7" x14ac:dyDescent="0.3">
      <c r="A282" t="s">
        <v>33</v>
      </c>
      <c r="C282" s="1">
        <v>45007</v>
      </c>
      <c r="D282">
        <f>DAY(Tabela_ferias_folgas[[#This Row],[Data]])</f>
        <v>22</v>
      </c>
      <c r="E282">
        <f>MONTH(Tabela_ferias_folgas[[#This Row],[Data]])</f>
        <v>3</v>
      </c>
      <c r="F282">
        <f>YEAR(Tabela_ferias_folgas[[#This Row],[Data]])</f>
        <v>2023</v>
      </c>
      <c r="G282" t="str">
        <f>Tabela_ferias_folgas[[#This Row],[Médico]]&amp;" - "&amp;Tabela_ferias_folgas[[#This Row],[Compromisso]]</f>
        <v xml:space="preserve">DIF - </v>
      </c>
    </row>
    <row r="283" spans="1:7" x14ac:dyDescent="0.3">
      <c r="A283" t="s">
        <v>33</v>
      </c>
      <c r="C283" s="1">
        <v>45008</v>
      </c>
      <c r="D283">
        <f>DAY(Tabela_ferias_folgas[[#This Row],[Data]])</f>
        <v>23</v>
      </c>
      <c r="E283">
        <f>MONTH(Tabela_ferias_folgas[[#This Row],[Data]])</f>
        <v>3</v>
      </c>
      <c r="F283">
        <f>YEAR(Tabela_ferias_folgas[[#This Row],[Data]])</f>
        <v>2023</v>
      </c>
      <c r="G283" t="str">
        <f>Tabela_ferias_folgas[[#This Row],[Médico]]&amp;" - "&amp;Tabela_ferias_folgas[[#This Row],[Compromisso]]</f>
        <v xml:space="preserve">DIF - </v>
      </c>
    </row>
    <row r="284" spans="1:7" x14ac:dyDescent="0.3">
      <c r="A284" t="s">
        <v>33</v>
      </c>
      <c r="C284" s="1">
        <v>45009</v>
      </c>
      <c r="D284">
        <f>DAY(Tabela_ferias_folgas[[#This Row],[Data]])</f>
        <v>24</v>
      </c>
      <c r="E284">
        <f>MONTH(Tabela_ferias_folgas[[#This Row],[Data]])</f>
        <v>3</v>
      </c>
      <c r="F284">
        <f>YEAR(Tabela_ferias_folgas[[#This Row],[Data]])</f>
        <v>2023</v>
      </c>
      <c r="G284" t="str">
        <f>Tabela_ferias_folgas[[#This Row],[Médico]]&amp;" - "&amp;Tabela_ferias_folgas[[#This Row],[Compromisso]]</f>
        <v xml:space="preserve">DIF - </v>
      </c>
    </row>
    <row r="285" spans="1:7" x14ac:dyDescent="0.3">
      <c r="A285" t="s">
        <v>33</v>
      </c>
      <c r="C285" s="1">
        <v>45010</v>
      </c>
      <c r="D285">
        <f>DAY(Tabela_ferias_folgas[[#This Row],[Data]])</f>
        <v>25</v>
      </c>
      <c r="E285">
        <f>MONTH(Tabela_ferias_folgas[[#This Row],[Data]])</f>
        <v>3</v>
      </c>
      <c r="F285">
        <f>YEAR(Tabela_ferias_folgas[[#This Row],[Data]])</f>
        <v>2023</v>
      </c>
      <c r="G285" t="str">
        <f>Tabela_ferias_folgas[[#This Row],[Médico]]&amp;" - "&amp;Tabela_ferias_folgas[[#This Row],[Compromisso]]</f>
        <v xml:space="preserve">DIF - </v>
      </c>
    </row>
    <row r="286" spans="1:7" x14ac:dyDescent="0.3">
      <c r="A286" t="s">
        <v>66</v>
      </c>
      <c r="C286" s="1">
        <v>45002</v>
      </c>
      <c r="D286">
        <f>DAY(Tabela_ferias_folgas[[#This Row],[Data]])</f>
        <v>17</v>
      </c>
      <c r="E286">
        <f>MONTH(Tabela_ferias_folgas[[#This Row],[Data]])</f>
        <v>3</v>
      </c>
      <c r="F286">
        <f>YEAR(Tabela_ferias_folgas[[#This Row],[Data]])</f>
        <v>2023</v>
      </c>
      <c r="G286" t="str">
        <f>Tabela_ferias_folgas[[#This Row],[Médico]]&amp;" - "&amp;Tabela_ferias_folgas[[#This Row],[Compromisso]]</f>
        <v xml:space="preserve">MOZ - </v>
      </c>
    </row>
    <row r="287" spans="1:7" x14ac:dyDescent="0.3">
      <c r="A287" t="s">
        <v>66</v>
      </c>
      <c r="C287" s="1">
        <v>45003</v>
      </c>
      <c r="D287">
        <f>DAY(Tabela_ferias_folgas[[#This Row],[Data]])</f>
        <v>18</v>
      </c>
      <c r="E287">
        <f>MONTH(Tabela_ferias_folgas[[#This Row],[Data]])</f>
        <v>3</v>
      </c>
      <c r="F287">
        <f>YEAR(Tabela_ferias_folgas[[#This Row],[Data]])</f>
        <v>2023</v>
      </c>
      <c r="G287" t="str">
        <f>Tabela_ferias_folgas[[#This Row],[Médico]]&amp;" - "&amp;Tabela_ferias_folgas[[#This Row],[Compromisso]]</f>
        <v xml:space="preserve">MOZ - </v>
      </c>
    </row>
    <row r="288" spans="1:7" x14ac:dyDescent="0.3">
      <c r="A288" t="s">
        <v>66</v>
      </c>
      <c r="C288" s="1">
        <v>45004</v>
      </c>
      <c r="D288">
        <f>DAY(Tabela_ferias_folgas[[#This Row],[Data]])</f>
        <v>19</v>
      </c>
      <c r="E288">
        <f>MONTH(Tabela_ferias_folgas[[#This Row],[Data]])</f>
        <v>3</v>
      </c>
      <c r="F288">
        <f>YEAR(Tabela_ferias_folgas[[#This Row],[Data]])</f>
        <v>2023</v>
      </c>
      <c r="G288" t="str">
        <f>Tabela_ferias_folgas[[#This Row],[Médico]]&amp;" - "&amp;Tabela_ferias_folgas[[#This Row],[Compromisso]]</f>
        <v xml:space="preserve">MOZ - </v>
      </c>
    </row>
    <row r="289" spans="1:7" x14ac:dyDescent="0.3">
      <c r="A289" t="s">
        <v>66</v>
      </c>
      <c r="C289" s="1">
        <v>45005</v>
      </c>
      <c r="D289">
        <f>DAY(Tabela_ferias_folgas[[#This Row],[Data]])</f>
        <v>20</v>
      </c>
      <c r="E289">
        <f>MONTH(Tabela_ferias_folgas[[#This Row],[Data]])</f>
        <v>3</v>
      </c>
      <c r="F289">
        <f>YEAR(Tabela_ferias_folgas[[#This Row],[Data]])</f>
        <v>2023</v>
      </c>
      <c r="G289" t="str">
        <f>Tabela_ferias_folgas[[#This Row],[Médico]]&amp;" - "&amp;Tabela_ferias_folgas[[#This Row],[Compromisso]]</f>
        <v xml:space="preserve">MOZ - </v>
      </c>
    </row>
    <row r="290" spans="1:7" x14ac:dyDescent="0.3">
      <c r="A290" t="s">
        <v>66</v>
      </c>
      <c r="C290" s="1">
        <v>45006</v>
      </c>
      <c r="D290">
        <f>DAY(Tabela_ferias_folgas[[#This Row],[Data]])</f>
        <v>21</v>
      </c>
      <c r="E290">
        <f>MONTH(Tabela_ferias_folgas[[#This Row],[Data]])</f>
        <v>3</v>
      </c>
      <c r="F290">
        <f>YEAR(Tabela_ferias_folgas[[#This Row],[Data]])</f>
        <v>2023</v>
      </c>
      <c r="G290" t="str">
        <f>Tabela_ferias_folgas[[#This Row],[Médico]]&amp;" - "&amp;Tabela_ferias_folgas[[#This Row],[Compromisso]]</f>
        <v xml:space="preserve">MOZ - </v>
      </c>
    </row>
    <row r="291" spans="1:7" x14ac:dyDescent="0.3">
      <c r="A291" t="s">
        <v>66</v>
      </c>
      <c r="C291" s="1">
        <v>45007</v>
      </c>
      <c r="D291">
        <f>DAY(Tabela_ferias_folgas[[#This Row],[Data]])</f>
        <v>22</v>
      </c>
      <c r="E291">
        <f>MONTH(Tabela_ferias_folgas[[#This Row],[Data]])</f>
        <v>3</v>
      </c>
      <c r="F291">
        <f>YEAR(Tabela_ferias_folgas[[#This Row],[Data]])</f>
        <v>2023</v>
      </c>
      <c r="G291" t="str">
        <f>Tabela_ferias_folgas[[#This Row],[Médico]]&amp;" - "&amp;Tabela_ferias_folgas[[#This Row],[Compromisso]]</f>
        <v xml:space="preserve">MOZ - </v>
      </c>
    </row>
    <row r="292" spans="1:7" x14ac:dyDescent="0.3">
      <c r="A292" t="s">
        <v>66</v>
      </c>
      <c r="C292" s="1">
        <v>45008</v>
      </c>
      <c r="D292">
        <f>DAY(Tabela_ferias_folgas[[#This Row],[Data]])</f>
        <v>23</v>
      </c>
      <c r="E292">
        <f>MONTH(Tabela_ferias_folgas[[#This Row],[Data]])</f>
        <v>3</v>
      </c>
      <c r="F292">
        <f>YEAR(Tabela_ferias_folgas[[#This Row],[Data]])</f>
        <v>2023</v>
      </c>
      <c r="G292" t="str">
        <f>Tabela_ferias_folgas[[#This Row],[Médico]]&amp;" - "&amp;Tabela_ferias_folgas[[#This Row],[Compromisso]]</f>
        <v xml:space="preserve">MOZ - </v>
      </c>
    </row>
    <row r="293" spans="1:7" x14ac:dyDescent="0.3">
      <c r="A293" t="s">
        <v>66</v>
      </c>
      <c r="C293" s="1">
        <v>45009</v>
      </c>
      <c r="D293">
        <f>DAY(Tabela_ferias_folgas[[#This Row],[Data]])</f>
        <v>24</v>
      </c>
      <c r="E293">
        <f>MONTH(Tabela_ferias_folgas[[#This Row],[Data]])</f>
        <v>3</v>
      </c>
      <c r="F293">
        <f>YEAR(Tabela_ferias_folgas[[#This Row],[Data]])</f>
        <v>2023</v>
      </c>
      <c r="G293" t="str">
        <f>Tabela_ferias_folgas[[#This Row],[Médico]]&amp;" - "&amp;Tabela_ferias_folgas[[#This Row],[Compromisso]]</f>
        <v xml:space="preserve">MOZ - </v>
      </c>
    </row>
    <row r="294" spans="1:7" x14ac:dyDescent="0.3">
      <c r="A294" t="s">
        <v>66</v>
      </c>
      <c r="C294" s="1">
        <v>45010</v>
      </c>
      <c r="D294">
        <f>DAY(Tabela_ferias_folgas[[#This Row],[Data]])</f>
        <v>25</v>
      </c>
      <c r="E294">
        <f>MONTH(Tabela_ferias_folgas[[#This Row],[Data]])</f>
        <v>3</v>
      </c>
      <c r="F294">
        <f>YEAR(Tabela_ferias_folgas[[#This Row],[Data]])</f>
        <v>2023</v>
      </c>
      <c r="G294" t="str">
        <f>Tabela_ferias_folgas[[#This Row],[Médico]]&amp;" - "&amp;Tabela_ferias_folgas[[#This Row],[Compromisso]]</f>
        <v xml:space="preserve">MOZ - </v>
      </c>
    </row>
    <row r="295" spans="1:7" x14ac:dyDescent="0.3">
      <c r="A295" t="s">
        <v>47</v>
      </c>
      <c r="C295" s="1">
        <v>45002</v>
      </c>
      <c r="D295">
        <f>DAY(Tabela_ferias_folgas[[#This Row],[Data]])</f>
        <v>17</v>
      </c>
      <c r="E295">
        <f>MONTH(Tabela_ferias_folgas[[#This Row],[Data]])</f>
        <v>3</v>
      </c>
      <c r="F295">
        <f>YEAR(Tabela_ferias_folgas[[#This Row],[Data]])</f>
        <v>2023</v>
      </c>
      <c r="G295" t="str">
        <f>Tabela_ferias_folgas[[#This Row],[Médico]]&amp;" - "&amp;Tabela_ferias_folgas[[#This Row],[Compromisso]]</f>
        <v xml:space="preserve">VIN - </v>
      </c>
    </row>
    <row r="296" spans="1:7" x14ac:dyDescent="0.3">
      <c r="A296" t="s">
        <v>47</v>
      </c>
      <c r="C296" s="1">
        <v>45003</v>
      </c>
      <c r="D296">
        <f>DAY(Tabela_ferias_folgas[[#This Row],[Data]])</f>
        <v>18</v>
      </c>
      <c r="E296">
        <f>MONTH(Tabela_ferias_folgas[[#This Row],[Data]])</f>
        <v>3</v>
      </c>
      <c r="F296">
        <f>YEAR(Tabela_ferias_folgas[[#This Row],[Data]])</f>
        <v>2023</v>
      </c>
      <c r="G296" t="str">
        <f>Tabela_ferias_folgas[[#This Row],[Médico]]&amp;" - "&amp;Tabela_ferias_folgas[[#This Row],[Compromisso]]</f>
        <v xml:space="preserve">VIN - </v>
      </c>
    </row>
    <row r="297" spans="1:7" x14ac:dyDescent="0.3">
      <c r="A297" t="s">
        <v>47</v>
      </c>
      <c r="C297" s="1">
        <v>45004</v>
      </c>
      <c r="D297">
        <f>DAY(Tabela_ferias_folgas[[#This Row],[Data]])</f>
        <v>19</v>
      </c>
      <c r="E297">
        <f>MONTH(Tabela_ferias_folgas[[#This Row],[Data]])</f>
        <v>3</v>
      </c>
      <c r="F297">
        <f>YEAR(Tabela_ferias_folgas[[#This Row],[Data]])</f>
        <v>2023</v>
      </c>
      <c r="G297" t="str">
        <f>Tabela_ferias_folgas[[#This Row],[Médico]]&amp;" - "&amp;Tabela_ferias_folgas[[#This Row],[Compromisso]]</f>
        <v xml:space="preserve">VIN - </v>
      </c>
    </row>
    <row r="298" spans="1:7" x14ac:dyDescent="0.3">
      <c r="A298" t="s">
        <v>47</v>
      </c>
      <c r="C298" s="1">
        <v>45005</v>
      </c>
      <c r="D298">
        <f>DAY(Tabela_ferias_folgas[[#This Row],[Data]])</f>
        <v>20</v>
      </c>
      <c r="E298">
        <f>MONTH(Tabela_ferias_folgas[[#This Row],[Data]])</f>
        <v>3</v>
      </c>
      <c r="F298">
        <f>YEAR(Tabela_ferias_folgas[[#This Row],[Data]])</f>
        <v>2023</v>
      </c>
      <c r="G298" t="str">
        <f>Tabela_ferias_folgas[[#This Row],[Médico]]&amp;" - "&amp;Tabela_ferias_folgas[[#This Row],[Compromisso]]</f>
        <v xml:space="preserve">VIN - </v>
      </c>
    </row>
    <row r="299" spans="1:7" x14ac:dyDescent="0.3">
      <c r="A299" t="s">
        <v>47</v>
      </c>
      <c r="C299" s="1">
        <v>45006</v>
      </c>
      <c r="D299">
        <f>DAY(Tabela_ferias_folgas[[#This Row],[Data]])</f>
        <v>21</v>
      </c>
      <c r="E299">
        <f>MONTH(Tabela_ferias_folgas[[#This Row],[Data]])</f>
        <v>3</v>
      </c>
      <c r="F299">
        <f>YEAR(Tabela_ferias_folgas[[#This Row],[Data]])</f>
        <v>2023</v>
      </c>
      <c r="G299" t="str">
        <f>Tabela_ferias_folgas[[#This Row],[Médico]]&amp;" - "&amp;Tabela_ferias_folgas[[#This Row],[Compromisso]]</f>
        <v xml:space="preserve">VIN - </v>
      </c>
    </row>
    <row r="300" spans="1:7" x14ac:dyDescent="0.3">
      <c r="A300" t="s">
        <v>47</v>
      </c>
      <c r="C300" s="1">
        <v>45007</v>
      </c>
      <c r="D300">
        <f>DAY(Tabela_ferias_folgas[[#This Row],[Data]])</f>
        <v>22</v>
      </c>
      <c r="E300">
        <f>MONTH(Tabela_ferias_folgas[[#This Row],[Data]])</f>
        <v>3</v>
      </c>
      <c r="F300">
        <f>YEAR(Tabela_ferias_folgas[[#This Row],[Data]])</f>
        <v>2023</v>
      </c>
      <c r="G300" t="str">
        <f>Tabela_ferias_folgas[[#This Row],[Médico]]&amp;" - "&amp;Tabela_ferias_folgas[[#This Row],[Compromisso]]</f>
        <v xml:space="preserve">VIN - </v>
      </c>
    </row>
    <row r="301" spans="1:7" x14ac:dyDescent="0.3">
      <c r="A301" t="s">
        <v>47</v>
      </c>
      <c r="C301" s="1">
        <v>45008</v>
      </c>
      <c r="D301">
        <f>DAY(Tabela_ferias_folgas[[#This Row],[Data]])</f>
        <v>23</v>
      </c>
      <c r="E301">
        <f>MONTH(Tabela_ferias_folgas[[#This Row],[Data]])</f>
        <v>3</v>
      </c>
      <c r="F301">
        <f>YEAR(Tabela_ferias_folgas[[#This Row],[Data]])</f>
        <v>2023</v>
      </c>
      <c r="G301" t="str">
        <f>Tabela_ferias_folgas[[#This Row],[Médico]]&amp;" - "&amp;Tabela_ferias_folgas[[#This Row],[Compromisso]]</f>
        <v xml:space="preserve">VIN - </v>
      </c>
    </row>
    <row r="302" spans="1:7" x14ac:dyDescent="0.3">
      <c r="A302" t="s">
        <v>47</v>
      </c>
      <c r="C302" s="1">
        <v>45009</v>
      </c>
      <c r="D302">
        <f>DAY(Tabela_ferias_folgas[[#This Row],[Data]])</f>
        <v>24</v>
      </c>
      <c r="E302">
        <f>MONTH(Tabela_ferias_folgas[[#This Row],[Data]])</f>
        <v>3</v>
      </c>
      <c r="F302">
        <f>YEAR(Tabela_ferias_folgas[[#This Row],[Data]])</f>
        <v>2023</v>
      </c>
      <c r="G302" t="str">
        <f>Tabela_ferias_folgas[[#This Row],[Médico]]&amp;" - "&amp;Tabela_ferias_folgas[[#This Row],[Compromisso]]</f>
        <v xml:space="preserve">VIN - </v>
      </c>
    </row>
    <row r="303" spans="1:7" x14ac:dyDescent="0.3">
      <c r="A303" t="s">
        <v>47</v>
      </c>
      <c r="C303" s="1">
        <v>45010</v>
      </c>
      <c r="D303">
        <f>DAY(Tabela_ferias_folgas[[#This Row],[Data]])</f>
        <v>25</v>
      </c>
      <c r="E303">
        <f>MONTH(Tabela_ferias_folgas[[#This Row],[Data]])</f>
        <v>3</v>
      </c>
      <c r="F303">
        <f>YEAR(Tabela_ferias_folgas[[#This Row],[Data]])</f>
        <v>2023</v>
      </c>
      <c r="G303" t="str">
        <f>Tabela_ferias_folgas[[#This Row],[Médico]]&amp;" - "&amp;Tabela_ferias_folgas[[#This Row],[Compromisso]]</f>
        <v xml:space="preserve">VIN - </v>
      </c>
    </row>
    <row r="304" spans="1:7" x14ac:dyDescent="0.3">
      <c r="A304" t="s">
        <v>72</v>
      </c>
      <c r="B304" t="s">
        <v>464</v>
      </c>
      <c r="C304" s="1">
        <v>45003</v>
      </c>
      <c r="D304">
        <f>DAY(Tabela_ferias_folgas[[#This Row],[Data]])</f>
        <v>18</v>
      </c>
      <c r="E304">
        <f>MONTH(Tabela_ferias_folgas[[#This Row],[Data]])</f>
        <v>3</v>
      </c>
      <c r="F304">
        <f>YEAR(Tabela_ferias_folgas[[#This Row],[Data]])</f>
        <v>2023</v>
      </c>
      <c r="G304" t="str">
        <f>Tabela_ferias_folgas[[#This Row],[Médico]]&amp;" - "&amp;Tabela_ferias_folgas[[#This Row],[Compromisso]]</f>
        <v>GRA - FÉRIAS</v>
      </c>
    </row>
    <row r="305" spans="1:7" x14ac:dyDescent="0.3">
      <c r="A305" t="s">
        <v>72</v>
      </c>
      <c r="B305" t="s">
        <v>464</v>
      </c>
      <c r="C305" s="1">
        <v>45004</v>
      </c>
      <c r="D305">
        <f>DAY(Tabela_ferias_folgas[[#This Row],[Data]])</f>
        <v>19</v>
      </c>
      <c r="E305">
        <f>MONTH(Tabela_ferias_folgas[[#This Row],[Data]])</f>
        <v>3</v>
      </c>
      <c r="F305">
        <f>YEAR(Tabela_ferias_folgas[[#This Row],[Data]])</f>
        <v>2023</v>
      </c>
      <c r="G305" t="str">
        <f>Tabela_ferias_folgas[[#This Row],[Médico]]&amp;" - "&amp;Tabela_ferias_folgas[[#This Row],[Compromisso]]</f>
        <v>GRA - FÉRIAS</v>
      </c>
    </row>
    <row r="306" spans="1:7" x14ac:dyDescent="0.3">
      <c r="A306" t="s">
        <v>72</v>
      </c>
      <c r="B306" t="s">
        <v>464</v>
      </c>
      <c r="C306" s="1">
        <v>45005</v>
      </c>
      <c r="D306">
        <f>DAY(Tabela_ferias_folgas[[#This Row],[Data]])</f>
        <v>20</v>
      </c>
      <c r="E306">
        <f>MONTH(Tabela_ferias_folgas[[#This Row],[Data]])</f>
        <v>3</v>
      </c>
      <c r="F306">
        <f>YEAR(Tabela_ferias_folgas[[#This Row],[Data]])</f>
        <v>2023</v>
      </c>
      <c r="G306" t="str">
        <f>Tabela_ferias_folgas[[#This Row],[Médico]]&amp;" - "&amp;Tabela_ferias_folgas[[#This Row],[Compromisso]]</f>
        <v>GRA - FÉRIAS</v>
      </c>
    </row>
    <row r="307" spans="1:7" x14ac:dyDescent="0.3">
      <c r="A307" t="s">
        <v>72</v>
      </c>
      <c r="B307" t="s">
        <v>464</v>
      </c>
      <c r="C307" s="1">
        <v>45006</v>
      </c>
      <c r="D307">
        <f>DAY(Tabela_ferias_folgas[[#This Row],[Data]])</f>
        <v>21</v>
      </c>
      <c r="E307">
        <f>MONTH(Tabela_ferias_folgas[[#This Row],[Data]])</f>
        <v>3</v>
      </c>
      <c r="F307">
        <f>YEAR(Tabela_ferias_folgas[[#This Row],[Data]])</f>
        <v>2023</v>
      </c>
      <c r="G307" t="str">
        <f>Tabela_ferias_folgas[[#This Row],[Médico]]&amp;" - "&amp;Tabela_ferias_folgas[[#This Row],[Compromisso]]</f>
        <v>GRA - FÉRIAS</v>
      </c>
    </row>
    <row r="308" spans="1:7" x14ac:dyDescent="0.3">
      <c r="A308" t="s">
        <v>72</v>
      </c>
      <c r="B308" t="s">
        <v>464</v>
      </c>
      <c r="C308" s="1">
        <v>45007</v>
      </c>
      <c r="D308">
        <f>DAY(Tabela_ferias_folgas[[#This Row],[Data]])</f>
        <v>22</v>
      </c>
      <c r="E308">
        <f>MONTH(Tabela_ferias_folgas[[#This Row],[Data]])</f>
        <v>3</v>
      </c>
      <c r="F308">
        <f>YEAR(Tabela_ferias_folgas[[#This Row],[Data]])</f>
        <v>2023</v>
      </c>
      <c r="G308" t="str">
        <f>Tabela_ferias_folgas[[#This Row],[Médico]]&amp;" - "&amp;Tabela_ferias_folgas[[#This Row],[Compromisso]]</f>
        <v>GRA - FÉRIAS</v>
      </c>
    </row>
    <row r="309" spans="1:7" x14ac:dyDescent="0.3">
      <c r="A309" t="s">
        <v>72</v>
      </c>
      <c r="B309" t="s">
        <v>464</v>
      </c>
      <c r="C309" s="1">
        <v>45008</v>
      </c>
      <c r="D309">
        <f>DAY(Tabela_ferias_folgas[[#This Row],[Data]])</f>
        <v>23</v>
      </c>
      <c r="E309">
        <f>MONTH(Tabela_ferias_folgas[[#This Row],[Data]])</f>
        <v>3</v>
      </c>
      <c r="F309">
        <f>YEAR(Tabela_ferias_folgas[[#This Row],[Data]])</f>
        <v>2023</v>
      </c>
      <c r="G309" t="str">
        <f>Tabela_ferias_folgas[[#This Row],[Médico]]&amp;" - "&amp;Tabela_ferias_folgas[[#This Row],[Compromisso]]</f>
        <v>GRA - FÉRIAS</v>
      </c>
    </row>
    <row r="310" spans="1:7" x14ac:dyDescent="0.3">
      <c r="A310" t="s">
        <v>72</v>
      </c>
      <c r="B310" t="s">
        <v>464</v>
      </c>
      <c r="C310" s="1">
        <v>45009</v>
      </c>
      <c r="D310">
        <f>DAY(Tabela_ferias_folgas[[#This Row],[Data]])</f>
        <v>24</v>
      </c>
      <c r="E310">
        <f>MONTH(Tabela_ferias_folgas[[#This Row],[Data]])</f>
        <v>3</v>
      </c>
      <c r="F310">
        <f>YEAR(Tabela_ferias_folgas[[#This Row],[Data]])</f>
        <v>2023</v>
      </c>
      <c r="G310" t="str">
        <f>Tabela_ferias_folgas[[#This Row],[Médico]]&amp;" - "&amp;Tabela_ferias_folgas[[#This Row],[Compromisso]]</f>
        <v>GRA - FÉRIAS</v>
      </c>
    </row>
    <row r="311" spans="1:7" x14ac:dyDescent="0.3">
      <c r="A311" t="s">
        <v>72</v>
      </c>
      <c r="B311" t="s">
        <v>464</v>
      </c>
      <c r="C311" s="1">
        <v>45010</v>
      </c>
      <c r="D311">
        <f>DAY(Tabela_ferias_folgas[[#This Row],[Data]])</f>
        <v>25</v>
      </c>
      <c r="E311">
        <f>MONTH(Tabela_ferias_folgas[[#This Row],[Data]])</f>
        <v>3</v>
      </c>
      <c r="F311">
        <f>YEAR(Tabela_ferias_folgas[[#This Row],[Data]])</f>
        <v>2023</v>
      </c>
      <c r="G311" t="str">
        <f>Tabela_ferias_folgas[[#This Row],[Médico]]&amp;" - "&amp;Tabela_ferias_folgas[[#This Row],[Compromisso]]</f>
        <v>GRA - FÉRIAS</v>
      </c>
    </row>
    <row r="312" spans="1:7" x14ac:dyDescent="0.3">
      <c r="A312" t="s">
        <v>72</v>
      </c>
      <c r="B312" t="s">
        <v>464</v>
      </c>
      <c r="C312" s="1">
        <v>45011</v>
      </c>
      <c r="D312">
        <f>DAY(Tabela_ferias_folgas[[#This Row],[Data]])</f>
        <v>26</v>
      </c>
      <c r="E312">
        <f>MONTH(Tabela_ferias_folgas[[#This Row],[Data]])</f>
        <v>3</v>
      </c>
      <c r="F312">
        <f>YEAR(Tabela_ferias_folgas[[#This Row],[Data]])</f>
        <v>2023</v>
      </c>
      <c r="G312" t="str">
        <f>Tabela_ferias_folgas[[#This Row],[Médico]]&amp;" - "&amp;Tabela_ferias_folgas[[#This Row],[Compromisso]]</f>
        <v>GRA - FÉRIAS</v>
      </c>
    </row>
    <row r="313" spans="1:7" x14ac:dyDescent="0.3">
      <c r="A313" t="s">
        <v>72</v>
      </c>
      <c r="B313" t="s">
        <v>464</v>
      </c>
      <c r="C313" s="1">
        <v>45012</v>
      </c>
      <c r="D313">
        <f>DAY(Tabela_ferias_folgas[[#This Row],[Data]])</f>
        <v>27</v>
      </c>
      <c r="E313">
        <f>MONTH(Tabela_ferias_folgas[[#This Row],[Data]])</f>
        <v>3</v>
      </c>
      <c r="F313">
        <f>YEAR(Tabela_ferias_folgas[[#This Row],[Data]])</f>
        <v>2023</v>
      </c>
      <c r="G313" t="str">
        <f>Tabela_ferias_folgas[[#This Row],[Médico]]&amp;" - "&amp;Tabela_ferias_folgas[[#This Row],[Compromisso]]</f>
        <v>GRA - FÉRIAS</v>
      </c>
    </row>
    <row r="314" spans="1:7" x14ac:dyDescent="0.3">
      <c r="A314" t="s">
        <v>72</v>
      </c>
      <c r="B314" t="s">
        <v>464</v>
      </c>
      <c r="C314" s="1">
        <v>45013</v>
      </c>
      <c r="D314">
        <f>DAY(Tabela_ferias_folgas[[#This Row],[Data]])</f>
        <v>28</v>
      </c>
      <c r="E314">
        <f>MONTH(Tabela_ferias_folgas[[#This Row],[Data]])</f>
        <v>3</v>
      </c>
      <c r="F314">
        <f>YEAR(Tabela_ferias_folgas[[#This Row],[Data]])</f>
        <v>2023</v>
      </c>
      <c r="G314" t="str">
        <f>Tabela_ferias_folgas[[#This Row],[Médico]]&amp;" - "&amp;Tabela_ferias_folgas[[#This Row],[Compromisso]]</f>
        <v>GRA - FÉRIAS</v>
      </c>
    </row>
    <row r="315" spans="1:7" x14ac:dyDescent="0.3">
      <c r="A315" t="s">
        <v>72</v>
      </c>
      <c r="B315" t="s">
        <v>464</v>
      </c>
      <c r="C315" s="1">
        <v>45014</v>
      </c>
      <c r="D315">
        <f>DAY(Tabela_ferias_folgas[[#This Row],[Data]])</f>
        <v>29</v>
      </c>
      <c r="E315">
        <f>MONTH(Tabela_ferias_folgas[[#This Row],[Data]])</f>
        <v>3</v>
      </c>
      <c r="F315">
        <f>YEAR(Tabela_ferias_folgas[[#This Row],[Data]])</f>
        <v>2023</v>
      </c>
      <c r="G315" t="str">
        <f>Tabela_ferias_folgas[[#This Row],[Médico]]&amp;" - "&amp;Tabela_ferias_folgas[[#This Row],[Compromisso]]</f>
        <v>GRA - FÉRIAS</v>
      </c>
    </row>
    <row r="316" spans="1:7" x14ac:dyDescent="0.3">
      <c r="A316" t="s">
        <v>72</v>
      </c>
      <c r="B316" t="s">
        <v>464</v>
      </c>
      <c r="C316" s="1">
        <v>45015</v>
      </c>
      <c r="D316">
        <f>DAY(Tabela_ferias_folgas[[#This Row],[Data]])</f>
        <v>30</v>
      </c>
      <c r="E316">
        <f>MONTH(Tabela_ferias_folgas[[#This Row],[Data]])</f>
        <v>3</v>
      </c>
      <c r="F316">
        <f>YEAR(Tabela_ferias_folgas[[#This Row],[Data]])</f>
        <v>2023</v>
      </c>
      <c r="G316" t="str">
        <f>Tabela_ferias_folgas[[#This Row],[Médico]]&amp;" - "&amp;Tabela_ferias_folgas[[#This Row],[Compromisso]]</f>
        <v>GRA - FÉRIAS</v>
      </c>
    </row>
    <row r="317" spans="1:7" x14ac:dyDescent="0.3">
      <c r="A317" t="s">
        <v>72</v>
      </c>
      <c r="B317" t="s">
        <v>464</v>
      </c>
      <c r="C317" s="1">
        <v>45016</v>
      </c>
      <c r="D317">
        <f>DAY(Tabela_ferias_folgas[[#This Row],[Data]])</f>
        <v>31</v>
      </c>
      <c r="E317">
        <f>MONTH(Tabela_ferias_folgas[[#This Row],[Data]])</f>
        <v>3</v>
      </c>
      <c r="F317">
        <f>YEAR(Tabela_ferias_folgas[[#This Row],[Data]])</f>
        <v>2023</v>
      </c>
      <c r="G317" t="str">
        <f>Tabela_ferias_folgas[[#This Row],[Médico]]&amp;" - "&amp;Tabela_ferias_folgas[[#This Row],[Compromisso]]</f>
        <v>GRA - FÉRIAS</v>
      </c>
    </row>
    <row r="318" spans="1:7" x14ac:dyDescent="0.3">
      <c r="A318" t="s">
        <v>72</v>
      </c>
      <c r="B318" t="s">
        <v>464</v>
      </c>
      <c r="C318" s="1">
        <v>45017</v>
      </c>
      <c r="D318">
        <f>DAY(Tabela_ferias_folgas[[#This Row],[Data]])</f>
        <v>1</v>
      </c>
      <c r="E318">
        <f>MONTH(Tabela_ferias_folgas[[#This Row],[Data]])</f>
        <v>4</v>
      </c>
      <c r="F318">
        <f>YEAR(Tabela_ferias_folgas[[#This Row],[Data]])</f>
        <v>2023</v>
      </c>
      <c r="G318" t="str">
        <f>Tabela_ferias_folgas[[#This Row],[Médico]]&amp;" - "&amp;Tabela_ferias_folgas[[#This Row],[Compromisso]]</f>
        <v>GRA - FÉRIAS</v>
      </c>
    </row>
    <row r="319" spans="1:7" x14ac:dyDescent="0.3">
      <c r="A319" t="s">
        <v>75</v>
      </c>
      <c r="B319" t="s">
        <v>464</v>
      </c>
      <c r="C319" s="1">
        <v>45005</v>
      </c>
      <c r="D319">
        <f>DAY(Tabela_ferias_folgas[[#This Row],[Data]])</f>
        <v>20</v>
      </c>
      <c r="E319">
        <f>MONTH(Tabela_ferias_folgas[[#This Row],[Data]])</f>
        <v>3</v>
      </c>
      <c r="F319">
        <f>YEAR(Tabela_ferias_folgas[[#This Row],[Data]])</f>
        <v>2023</v>
      </c>
      <c r="G319" t="str">
        <f>Tabela_ferias_folgas[[#This Row],[Médico]]&amp;" - "&amp;Tabela_ferias_folgas[[#This Row],[Compromisso]]</f>
        <v>KOP - FÉRIAS</v>
      </c>
    </row>
    <row r="320" spans="1:7" x14ac:dyDescent="0.3">
      <c r="A320" t="s">
        <v>75</v>
      </c>
      <c r="B320" t="s">
        <v>464</v>
      </c>
      <c r="C320" s="1">
        <v>45006</v>
      </c>
      <c r="D320">
        <f>DAY(Tabela_ferias_folgas[[#This Row],[Data]])</f>
        <v>21</v>
      </c>
      <c r="E320">
        <f>MONTH(Tabela_ferias_folgas[[#This Row],[Data]])</f>
        <v>3</v>
      </c>
      <c r="F320">
        <f>YEAR(Tabela_ferias_folgas[[#This Row],[Data]])</f>
        <v>2023</v>
      </c>
      <c r="G320" t="str">
        <f>Tabela_ferias_folgas[[#This Row],[Médico]]&amp;" - "&amp;Tabela_ferias_folgas[[#This Row],[Compromisso]]</f>
        <v>KOP - FÉRIAS</v>
      </c>
    </row>
    <row r="321" spans="1:7" x14ac:dyDescent="0.3">
      <c r="A321" t="s">
        <v>75</v>
      </c>
      <c r="B321" t="s">
        <v>464</v>
      </c>
      <c r="C321" s="1">
        <v>45007</v>
      </c>
      <c r="D321">
        <f>DAY(Tabela_ferias_folgas[[#This Row],[Data]])</f>
        <v>22</v>
      </c>
      <c r="E321">
        <f>MONTH(Tabela_ferias_folgas[[#This Row],[Data]])</f>
        <v>3</v>
      </c>
      <c r="F321">
        <f>YEAR(Tabela_ferias_folgas[[#This Row],[Data]])</f>
        <v>2023</v>
      </c>
      <c r="G321" t="str">
        <f>Tabela_ferias_folgas[[#This Row],[Médico]]&amp;" - "&amp;Tabela_ferias_folgas[[#This Row],[Compromisso]]</f>
        <v>KOP - FÉRIAS</v>
      </c>
    </row>
    <row r="322" spans="1:7" x14ac:dyDescent="0.3">
      <c r="A322" t="s">
        <v>75</v>
      </c>
      <c r="B322" t="s">
        <v>464</v>
      </c>
      <c r="C322" s="1">
        <v>45008</v>
      </c>
      <c r="D322">
        <f>DAY(Tabela_ferias_folgas[[#This Row],[Data]])</f>
        <v>23</v>
      </c>
      <c r="E322">
        <f>MONTH(Tabela_ferias_folgas[[#This Row],[Data]])</f>
        <v>3</v>
      </c>
      <c r="F322">
        <f>YEAR(Tabela_ferias_folgas[[#This Row],[Data]])</f>
        <v>2023</v>
      </c>
      <c r="G322" t="str">
        <f>Tabela_ferias_folgas[[#This Row],[Médico]]&amp;" - "&amp;Tabela_ferias_folgas[[#This Row],[Compromisso]]</f>
        <v>KOP - FÉRIAS</v>
      </c>
    </row>
    <row r="323" spans="1:7" x14ac:dyDescent="0.3">
      <c r="A323" t="s">
        <v>75</v>
      </c>
      <c r="B323" t="s">
        <v>464</v>
      </c>
      <c r="C323" s="1">
        <v>45009</v>
      </c>
      <c r="D323">
        <f>DAY(Tabela_ferias_folgas[[#This Row],[Data]])</f>
        <v>24</v>
      </c>
      <c r="E323">
        <f>MONTH(Tabela_ferias_folgas[[#This Row],[Data]])</f>
        <v>3</v>
      </c>
      <c r="F323">
        <f>YEAR(Tabela_ferias_folgas[[#This Row],[Data]])</f>
        <v>2023</v>
      </c>
      <c r="G323" t="str">
        <f>Tabela_ferias_folgas[[#This Row],[Médico]]&amp;" - "&amp;Tabela_ferias_folgas[[#This Row],[Compromisso]]</f>
        <v>KOP - FÉRIAS</v>
      </c>
    </row>
    <row r="324" spans="1:7" x14ac:dyDescent="0.3">
      <c r="A324" t="s">
        <v>75</v>
      </c>
      <c r="B324" t="s">
        <v>464</v>
      </c>
      <c r="C324" s="1">
        <v>45010</v>
      </c>
      <c r="D324">
        <f>DAY(Tabela_ferias_folgas[[#This Row],[Data]])</f>
        <v>25</v>
      </c>
      <c r="E324">
        <f>MONTH(Tabela_ferias_folgas[[#This Row],[Data]])</f>
        <v>3</v>
      </c>
      <c r="F324">
        <f>YEAR(Tabela_ferias_folgas[[#This Row],[Data]])</f>
        <v>2023</v>
      </c>
      <c r="G324" t="str">
        <f>Tabela_ferias_folgas[[#This Row],[Médico]]&amp;" - "&amp;Tabela_ferias_folgas[[#This Row],[Compromisso]]</f>
        <v>KOP - FÉRIAS</v>
      </c>
    </row>
    <row r="325" spans="1:7" x14ac:dyDescent="0.3">
      <c r="A325" t="s">
        <v>75</v>
      </c>
      <c r="B325" t="s">
        <v>464</v>
      </c>
      <c r="C325" s="1">
        <v>45011</v>
      </c>
      <c r="D325">
        <f>DAY(Tabela_ferias_folgas[[#This Row],[Data]])</f>
        <v>26</v>
      </c>
      <c r="E325">
        <f>MONTH(Tabela_ferias_folgas[[#This Row],[Data]])</f>
        <v>3</v>
      </c>
      <c r="F325">
        <f>YEAR(Tabela_ferias_folgas[[#This Row],[Data]])</f>
        <v>2023</v>
      </c>
      <c r="G325" t="str">
        <f>Tabela_ferias_folgas[[#This Row],[Médico]]&amp;" - "&amp;Tabela_ferias_folgas[[#This Row],[Compromisso]]</f>
        <v>KOP - FÉRIAS</v>
      </c>
    </row>
    <row r="326" spans="1:7" x14ac:dyDescent="0.3">
      <c r="A326" t="s">
        <v>75</v>
      </c>
      <c r="B326" t="s">
        <v>464</v>
      </c>
      <c r="C326" s="1">
        <v>45012</v>
      </c>
      <c r="D326">
        <f>DAY(Tabela_ferias_folgas[[#This Row],[Data]])</f>
        <v>27</v>
      </c>
      <c r="E326">
        <f>MONTH(Tabela_ferias_folgas[[#This Row],[Data]])</f>
        <v>3</v>
      </c>
      <c r="F326">
        <f>YEAR(Tabela_ferias_folgas[[#This Row],[Data]])</f>
        <v>2023</v>
      </c>
      <c r="G326" t="str">
        <f>Tabela_ferias_folgas[[#This Row],[Médico]]&amp;" - "&amp;Tabela_ferias_folgas[[#This Row],[Compromisso]]</f>
        <v>KOP - FÉRIAS</v>
      </c>
    </row>
    <row r="327" spans="1:7" x14ac:dyDescent="0.3">
      <c r="A327" t="s">
        <v>75</v>
      </c>
      <c r="B327" t="s">
        <v>464</v>
      </c>
      <c r="C327" s="1">
        <v>45013</v>
      </c>
      <c r="D327">
        <f>DAY(Tabela_ferias_folgas[[#This Row],[Data]])</f>
        <v>28</v>
      </c>
      <c r="E327">
        <f>MONTH(Tabela_ferias_folgas[[#This Row],[Data]])</f>
        <v>3</v>
      </c>
      <c r="F327">
        <f>YEAR(Tabela_ferias_folgas[[#This Row],[Data]])</f>
        <v>2023</v>
      </c>
      <c r="G327" t="str">
        <f>Tabela_ferias_folgas[[#This Row],[Médico]]&amp;" - "&amp;Tabela_ferias_folgas[[#This Row],[Compromisso]]</f>
        <v>KOP - FÉRIAS</v>
      </c>
    </row>
    <row r="328" spans="1:7" x14ac:dyDescent="0.3">
      <c r="A328" t="s">
        <v>75</v>
      </c>
      <c r="B328" t="s">
        <v>464</v>
      </c>
      <c r="C328" s="1">
        <v>45014</v>
      </c>
      <c r="D328">
        <f>DAY(Tabela_ferias_folgas[[#This Row],[Data]])</f>
        <v>29</v>
      </c>
      <c r="E328">
        <f>MONTH(Tabela_ferias_folgas[[#This Row],[Data]])</f>
        <v>3</v>
      </c>
      <c r="F328">
        <f>YEAR(Tabela_ferias_folgas[[#This Row],[Data]])</f>
        <v>2023</v>
      </c>
      <c r="G328" t="str">
        <f>Tabela_ferias_folgas[[#This Row],[Médico]]&amp;" - "&amp;Tabela_ferias_folgas[[#This Row],[Compromisso]]</f>
        <v>KOP - FÉRIAS</v>
      </c>
    </row>
    <row r="329" spans="1:7" x14ac:dyDescent="0.3">
      <c r="A329" t="s">
        <v>75</v>
      </c>
      <c r="B329" t="s">
        <v>464</v>
      </c>
      <c r="C329" s="1">
        <v>45015</v>
      </c>
      <c r="D329">
        <f>DAY(Tabela_ferias_folgas[[#This Row],[Data]])</f>
        <v>30</v>
      </c>
      <c r="E329">
        <f>MONTH(Tabela_ferias_folgas[[#This Row],[Data]])</f>
        <v>3</v>
      </c>
      <c r="F329">
        <f>YEAR(Tabela_ferias_folgas[[#This Row],[Data]])</f>
        <v>2023</v>
      </c>
      <c r="G329" t="str">
        <f>Tabela_ferias_folgas[[#This Row],[Médico]]&amp;" - "&amp;Tabela_ferias_folgas[[#This Row],[Compromisso]]</f>
        <v>KOP - FÉRIAS</v>
      </c>
    </row>
    <row r="330" spans="1:7" x14ac:dyDescent="0.3">
      <c r="A330" t="s">
        <v>75</v>
      </c>
      <c r="B330" t="s">
        <v>464</v>
      </c>
      <c r="C330" s="1">
        <v>45016</v>
      </c>
      <c r="D330">
        <f>DAY(Tabela_ferias_folgas[[#This Row],[Data]])</f>
        <v>31</v>
      </c>
      <c r="E330">
        <f>MONTH(Tabela_ferias_folgas[[#This Row],[Data]])</f>
        <v>3</v>
      </c>
      <c r="F330">
        <f>YEAR(Tabela_ferias_folgas[[#This Row],[Data]])</f>
        <v>2023</v>
      </c>
      <c r="G330" t="str">
        <f>Tabela_ferias_folgas[[#This Row],[Médico]]&amp;" - "&amp;Tabela_ferias_folgas[[#This Row],[Compromisso]]</f>
        <v>KOP - FÉRIAS</v>
      </c>
    </row>
    <row r="331" spans="1:7" x14ac:dyDescent="0.3">
      <c r="A331" t="s">
        <v>75</v>
      </c>
      <c r="B331" t="s">
        <v>464</v>
      </c>
      <c r="C331" s="1">
        <v>45017</v>
      </c>
      <c r="D331">
        <f>DAY(Tabela_ferias_folgas[[#This Row],[Data]])</f>
        <v>1</v>
      </c>
      <c r="E331">
        <f>MONTH(Tabela_ferias_folgas[[#This Row],[Data]])</f>
        <v>4</v>
      </c>
      <c r="F331">
        <f>YEAR(Tabela_ferias_folgas[[#This Row],[Data]])</f>
        <v>2023</v>
      </c>
      <c r="G331" t="str">
        <f>Tabela_ferias_folgas[[#This Row],[Médico]]&amp;" - "&amp;Tabela_ferias_folgas[[#This Row],[Compromisso]]</f>
        <v>KOP - FÉRIAS</v>
      </c>
    </row>
    <row r="332" spans="1:7" x14ac:dyDescent="0.3">
      <c r="A332" t="s">
        <v>23</v>
      </c>
      <c r="B332" t="s">
        <v>466</v>
      </c>
      <c r="C332" s="1">
        <v>45015</v>
      </c>
      <c r="D332">
        <f>DAY(Tabela_ferias_folgas[[#This Row],[Data]])</f>
        <v>30</v>
      </c>
      <c r="E332">
        <f>MONTH(Tabela_ferias_folgas[[#This Row],[Data]])</f>
        <v>3</v>
      </c>
      <c r="F332">
        <f>YEAR(Tabela_ferias_folgas[[#This Row],[Data]])</f>
        <v>2023</v>
      </c>
      <c r="G332" t="str">
        <f>Tabela_ferias_folgas[[#This Row],[Médico]]&amp;" - "&amp;Tabela_ferias_folgas[[#This Row],[Compromisso]]</f>
        <v>BG - CURSO</v>
      </c>
    </row>
    <row r="333" spans="1:7" x14ac:dyDescent="0.3">
      <c r="A333" t="s">
        <v>47</v>
      </c>
      <c r="C333" s="1">
        <v>45015</v>
      </c>
      <c r="D333">
        <f>DAY(Tabela_ferias_folgas[[#This Row],[Data]])</f>
        <v>30</v>
      </c>
      <c r="E333">
        <f>MONTH(Tabela_ferias_folgas[[#This Row],[Data]])</f>
        <v>3</v>
      </c>
      <c r="F333">
        <f>YEAR(Tabela_ferias_folgas[[#This Row],[Data]])</f>
        <v>2023</v>
      </c>
      <c r="G333" t="str">
        <f>Tabela_ferias_folgas[[#This Row],[Médico]]&amp;" - "&amp;Tabela_ferias_folgas[[#This Row],[Compromisso]]</f>
        <v xml:space="preserve">VIN - </v>
      </c>
    </row>
    <row r="334" spans="1:7" x14ac:dyDescent="0.3">
      <c r="A334" t="s">
        <v>23</v>
      </c>
      <c r="C334" s="1">
        <v>45019</v>
      </c>
      <c r="D334">
        <f>DAY(Tabela_ferias_folgas[[#This Row],[Data]])</f>
        <v>3</v>
      </c>
      <c r="E334">
        <f>MONTH(Tabela_ferias_folgas[[#This Row],[Data]])</f>
        <v>4</v>
      </c>
      <c r="F334">
        <f>YEAR(Tabela_ferias_folgas[[#This Row],[Data]])</f>
        <v>2023</v>
      </c>
      <c r="G334" t="str">
        <f>Tabela_ferias_folgas[[#This Row],[Médico]]&amp;" - "&amp;Tabela_ferias_folgas[[#This Row],[Compromisso]]</f>
        <v xml:space="preserve">BG - </v>
      </c>
    </row>
    <row r="335" spans="1:7" x14ac:dyDescent="0.3">
      <c r="A335" t="s">
        <v>23</v>
      </c>
      <c r="C335" s="1">
        <v>45020</v>
      </c>
      <c r="D335">
        <f>DAY(Tabela_ferias_folgas[[#This Row],[Data]])</f>
        <v>4</v>
      </c>
      <c r="E335">
        <f>MONTH(Tabela_ferias_folgas[[#This Row],[Data]])</f>
        <v>4</v>
      </c>
      <c r="F335">
        <f>YEAR(Tabela_ferias_folgas[[#This Row],[Data]])</f>
        <v>2023</v>
      </c>
      <c r="G335" t="str">
        <f>Tabela_ferias_folgas[[#This Row],[Médico]]&amp;" - "&amp;Tabela_ferias_folgas[[#This Row],[Compromisso]]</f>
        <v xml:space="preserve">BG - </v>
      </c>
    </row>
    <row r="336" spans="1:7" x14ac:dyDescent="0.3">
      <c r="A336" t="s">
        <v>23</v>
      </c>
      <c r="C336" s="1">
        <v>45021</v>
      </c>
      <c r="D336">
        <f>DAY(Tabela_ferias_folgas[[#This Row],[Data]])</f>
        <v>5</v>
      </c>
      <c r="E336">
        <f>MONTH(Tabela_ferias_folgas[[#This Row],[Data]])</f>
        <v>4</v>
      </c>
      <c r="F336">
        <f>YEAR(Tabela_ferias_folgas[[#This Row],[Data]])</f>
        <v>2023</v>
      </c>
      <c r="G336" t="str">
        <f>Tabela_ferias_folgas[[#This Row],[Médico]]&amp;" - "&amp;Tabela_ferias_folgas[[#This Row],[Compromisso]]</f>
        <v xml:space="preserve">BG - </v>
      </c>
    </row>
    <row r="337" spans="1:7" x14ac:dyDescent="0.3">
      <c r="A337" t="s">
        <v>64</v>
      </c>
      <c r="B337" t="s">
        <v>464</v>
      </c>
      <c r="C337" s="1">
        <v>45021</v>
      </c>
      <c r="D337">
        <f>DAY(Tabela_ferias_folgas[[#This Row],[Data]])</f>
        <v>5</v>
      </c>
      <c r="E337">
        <f>MONTH(Tabela_ferias_folgas[[#This Row],[Data]])</f>
        <v>4</v>
      </c>
      <c r="F337">
        <f>YEAR(Tabela_ferias_folgas[[#This Row],[Data]])</f>
        <v>2023</v>
      </c>
      <c r="G337" t="str">
        <f>Tabela_ferias_folgas[[#This Row],[Médico]]&amp;" - "&amp;Tabela_ferias_folgas[[#This Row],[Compromisso]]</f>
        <v>SAR - FÉRIAS</v>
      </c>
    </row>
    <row r="338" spans="1:7" x14ac:dyDescent="0.3">
      <c r="A338" t="s">
        <v>64</v>
      </c>
      <c r="B338" t="s">
        <v>464</v>
      </c>
      <c r="C338" s="1">
        <v>45022</v>
      </c>
      <c r="D338">
        <f>DAY(Tabela_ferias_folgas[[#This Row],[Data]])</f>
        <v>6</v>
      </c>
      <c r="E338">
        <f>MONTH(Tabela_ferias_folgas[[#This Row],[Data]])</f>
        <v>4</v>
      </c>
      <c r="F338">
        <f>YEAR(Tabela_ferias_folgas[[#This Row],[Data]])</f>
        <v>2023</v>
      </c>
      <c r="G338" t="str">
        <f>Tabela_ferias_folgas[[#This Row],[Médico]]&amp;" - "&amp;Tabela_ferias_folgas[[#This Row],[Compromisso]]</f>
        <v>SAR - FÉRIAS</v>
      </c>
    </row>
    <row r="339" spans="1:7" x14ac:dyDescent="0.3">
      <c r="A339" t="s">
        <v>64</v>
      </c>
      <c r="B339" t="s">
        <v>464</v>
      </c>
      <c r="C339" s="1">
        <v>45023</v>
      </c>
      <c r="D339">
        <f>DAY(Tabela_ferias_folgas[[#This Row],[Data]])</f>
        <v>7</v>
      </c>
      <c r="E339">
        <f>MONTH(Tabela_ferias_folgas[[#This Row],[Data]])</f>
        <v>4</v>
      </c>
      <c r="F339">
        <f>YEAR(Tabela_ferias_folgas[[#This Row],[Data]])</f>
        <v>2023</v>
      </c>
      <c r="G339" t="str">
        <f>Tabela_ferias_folgas[[#This Row],[Médico]]&amp;" - "&amp;Tabela_ferias_folgas[[#This Row],[Compromisso]]</f>
        <v>SAR - FÉRIAS</v>
      </c>
    </row>
    <row r="340" spans="1:7" x14ac:dyDescent="0.3">
      <c r="A340" t="s">
        <v>64</v>
      </c>
      <c r="B340" t="s">
        <v>464</v>
      </c>
      <c r="C340" s="1">
        <v>45024</v>
      </c>
      <c r="D340">
        <f>DAY(Tabela_ferias_folgas[[#This Row],[Data]])</f>
        <v>8</v>
      </c>
      <c r="E340">
        <f>MONTH(Tabela_ferias_folgas[[#This Row],[Data]])</f>
        <v>4</v>
      </c>
      <c r="F340">
        <f>YEAR(Tabela_ferias_folgas[[#This Row],[Data]])</f>
        <v>2023</v>
      </c>
      <c r="G340" t="str">
        <f>Tabela_ferias_folgas[[#This Row],[Médico]]&amp;" - "&amp;Tabela_ferias_folgas[[#This Row],[Compromisso]]</f>
        <v>SAR - FÉRIAS</v>
      </c>
    </row>
    <row r="341" spans="1:7" x14ac:dyDescent="0.3">
      <c r="A341" t="s">
        <v>64</v>
      </c>
      <c r="B341" t="s">
        <v>464</v>
      </c>
      <c r="C341" s="1">
        <v>45025</v>
      </c>
      <c r="D341">
        <f>DAY(Tabela_ferias_folgas[[#This Row],[Data]])</f>
        <v>9</v>
      </c>
      <c r="E341">
        <f>MONTH(Tabela_ferias_folgas[[#This Row],[Data]])</f>
        <v>4</v>
      </c>
      <c r="F341">
        <f>YEAR(Tabela_ferias_folgas[[#This Row],[Data]])</f>
        <v>2023</v>
      </c>
      <c r="G341" t="str">
        <f>Tabela_ferias_folgas[[#This Row],[Médico]]&amp;" - "&amp;Tabela_ferias_folgas[[#This Row],[Compromisso]]</f>
        <v>SAR - FÉRIAS</v>
      </c>
    </row>
    <row r="342" spans="1:7" x14ac:dyDescent="0.3">
      <c r="A342" t="s">
        <v>64</v>
      </c>
      <c r="B342" t="s">
        <v>464</v>
      </c>
      <c r="C342" s="1">
        <v>45026</v>
      </c>
      <c r="D342">
        <f>DAY(Tabela_ferias_folgas[[#This Row],[Data]])</f>
        <v>10</v>
      </c>
      <c r="E342">
        <f>MONTH(Tabela_ferias_folgas[[#This Row],[Data]])</f>
        <v>4</v>
      </c>
      <c r="F342">
        <f>YEAR(Tabela_ferias_folgas[[#This Row],[Data]])</f>
        <v>2023</v>
      </c>
      <c r="G342" t="str">
        <f>Tabela_ferias_folgas[[#This Row],[Médico]]&amp;" - "&amp;Tabela_ferias_folgas[[#This Row],[Compromisso]]</f>
        <v>SAR - FÉRIAS</v>
      </c>
    </row>
    <row r="343" spans="1:7" x14ac:dyDescent="0.3">
      <c r="A343" t="s">
        <v>64</v>
      </c>
      <c r="B343" t="s">
        <v>464</v>
      </c>
      <c r="C343" s="1">
        <v>45027</v>
      </c>
      <c r="D343">
        <f>DAY(Tabela_ferias_folgas[[#This Row],[Data]])</f>
        <v>11</v>
      </c>
      <c r="E343">
        <f>MONTH(Tabela_ferias_folgas[[#This Row],[Data]])</f>
        <v>4</v>
      </c>
      <c r="F343">
        <f>YEAR(Tabela_ferias_folgas[[#This Row],[Data]])</f>
        <v>2023</v>
      </c>
      <c r="G343" t="str">
        <f>Tabela_ferias_folgas[[#This Row],[Médico]]&amp;" - "&amp;Tabela_ferias_folgas[[#This Row],[Compromisso]]</f>
        <v>SAR - FÉRIAS</v>
      </c>
    </row>
    <row r="344" spans="1:7" x14ac:dyDescent="0.3">
      <c r="A344" t="s">
        <v>64</v>
      </c>
      <c r="B344" t="s">
        <v>464</v>
      </c>
      <c r="C344" s="1">
        <v>45028</v>
      </c>
      <c r="D344">
        <f>DAY(Tabela_ferias_folgas[[#This Row],[Data]])</f>
        <v>12</v>
      </c>
      <c r="E344">
        <f>MONTH(Tabela_ferias_folgas[[#This Row],[Data]])</f>
        <v>4</v>
      </c>
      <c r="F344">
        <f>YEAR(Tabela_ferias_folgas[[#This Row],[Data]])</f>
        <v>2023</v>
      </c>
      <c r="G344" t="str">
        <f>Tabela_ferias_folgas[[#This Row],[Médico]]&amp;" - "&amp;Tabela_ferias_folgas[[#This Row],[Compromisso]]</f>
        <v>SAR - FÉRIAS</v>
      </c>
    </row>
    <row r="345" spans="1:7" x14ac:dyDescent="0.3">
      <c r="A345" t="s">
        <v>64</v>
      </c>
      <c r="B345" t="s">
        <v>464</v>
      </c>
      <c r="C345" s="1">
        <v>45029</v>
      </c>
      <c r="D345">
        <f>DAY(Tabela_ferias_folgas[[#This Row],[Data]])</f>
        <v>13</v>
      </c>
      <c r="E345">
        <f>MONTH(Tabela_ferias_folgas[[#This Row],[Data]])</f>
        <v>4</v>
      </c>
      <c r="F345">
        <f>YEAR(Tabela_ferias_folgas[[#This Row],[Data]])</f>
        <v>2023</v>
      </c>
      <c r="G345" t="str">
        <f>Tabela_ferias_folgas[[#This Row],[Médico]]&amp;" - "&amp;Tabela_ferias_folgas[[#This Row],[Compromisso]]</f>
        <v>SAR - FÉRIAS</v>
      </c>
    </row>
    <row r="346" spans="1:7" x14ac:dyDescent="0.3">
      <c r="A346" t="s">
        <v>64</v>
      </c>
      <c r="B346" t="s">
        <v>464</v>
      </c>
      <c r="C346" s="1">
        <v>45030</v>
      </c>
      <c r="D346">
        <f>DAY(Tabela_ferias_folgas[[#This Row],[Data]])</f>
        <v>14</v>
      </c>
      <c r="E346">
        <f>MONTH(Tabela_ferias_folgas[[#This Row],[Data]])</f>
        <v>4</v>
      </c>
      <c r="F346">
        <f>YEAR(Tabela_ferias_folgas[[#This Row],[Data]])</f>
        <v>2023</v>
      </c>
      <c r="G346" t="str">
        <f>Tabela_ferias_folgas[[#This Row],[Médico]]&amp;" - "&amp;Tabela_ferias_folgas[[#This Row],[Compromisso]]</f>
        <v>SAR - FÉRIAS</v>
      </c>
    </row>
    <row r="347" spans="1:7" x14ac:dyDescent="0.3">
      <c r="A347" t="s">
        <v>47</v>
      </c>
      <c r="C347" s="1">
        <v>45022</v>
      </c>
      <c r="D347">
        <f>DAY(Tabela_ferias_folgas[[#This Row],[Data]])</f>
        <v>6</v>
      </c>
      <c r="E347">
        <f>MONTH(Tabela_ferias_folgas[[#This Row],[Data]])</f>
        <v>4</v>
      </c>
      <c r="F347">
        <f>YEAR(Tabela_ferias_folgas[[#This Row],[Data]])</f>
        <v>2023</v>
      </c>
      <c r="G347" t="str">
        <f>Tabela_ferias_folgas[[#This Row],[Médico]]&amp;" - "&amp;Tabela_ferias_folgas[[#This Row],[Compromisso]]</f>
        <v xml:space="preserve">VIN - </v>
      </c>
    </row>
    <row r="348" spans="1:7" x14ac:dyDescent="0.3">
      <c r="A348" t="s">
        <v>47</v>
      </c>
      <c r="C348" s="1">
        <v>45029</v>
      </c>
      <c r="D348">
        <f>DAY(Tabela_ferias_folgas[[#This Row],[Data]])</f>
        <v>13</v>
      </c>
      <c r="E348">
        <f>MONTH(Tabela_ferias_folgas[[#This Row],[Data]])</f>
        <v>4</v>
      </c>
      <c r="F348">
        <f>YEAR(Tabela_ferias_folgas[[#This Row],[Data]])</f>
        <v>2023</v>
      </c>
      <c r="G348" t="str">
        <f>Tabela_ferias_folgas[[#This Row],[Médico]]&amp;" - "&amp;Tabela_ferias_folgas[[#This Row],[Compromisso]]</f>
        <v xml:space="preserve">VIN - </v>
      </c>
    </row>
    <row r="349" spans="1:7" x14ac:dyDescent="0.3">
      <c r="A349" t="s">
        <v>47</v>
      </c>
      <c r="C349" s="1">
        <v>45030</v>
      </c>
      <c r="D349">
        <f>DAY(Tabela_ferias_folgas[[#This Row],[Data]])</f>
        <v>14</v>
      </c>
      <c r="E349">
        <f>MONTH(Tabela_ferias_folgas[[#This Row],[Data]])</f>
        <v>4</v>
      </c>
      <c r="F349">
        <f>YEAR(Tabela_ferias_folgas[[#This Row],[Data]])</f>
        <v>2023</v>
      </c>
      <c r="G349" t="str">
        <f>Tabela_ferias_folgas[[#This Row],[Médico]]&amp;" - "&amp;Tabela_ferias_folgas[[#This Row],[Compromisso]]</f>
        <v xml:space="preserve">VIN - </v>
      </c>
    </row>
    <row r="350" spans="1:7" x14ac:dyDescent="0.3">
      <c r="A350" t="s">
        <v>47</v>
      </c>
      <c r="C350" s="1">
        <v>45031</v>
      </c>
      <c r="D350">
        <f>DAY(Tabela_ferias_folgas[[#This Row],[Data]])</f>
        <v>15</v>
      </c>
      <c r="E350">
        <f>MONTH(Tabela_ferias_folgas[[#This Row],[Data]])</f>
        <v>4</v>
      </c>
      <c r="F350">
        <f>YEAR(Tabela_ferias_folgas[[#This Row],[Data]])</f>
        <v>2023</v>
      </c>
      <c r="G350" t="str">
        <f>Tabela_ferias_folgas[[#This Row],[Médico]]&amp;" - "&amp;Tabela_ferias_folgas[[#This Row],[Compromisso]]</f>
        <v xml:space="preserve">VIN - </v>
      </c>
    </row>
    <row r="351" spans="1:7" x14ac:dyDescent="0.3">
      <c r="A351" t="s">
        <v>47</v>
      </c>
      <c r="C351" s="1">
        <v>45036</v>
      </c>
      <c r="D351">
        <f>DAY(Tabela_ferias_folgas[[#This Row],[Data]])</f>
        <v>20</v>
      </c>
      <c r="E351">
        <f>MONTH(Tabela_ferias_folgas[[#This Row],[Data]])</f>
        <v>4</v>
      </c>
      <c r="F351">
        <f>YEAR(Tabela_ferias_folgas[[#This Row],[Data]])</f>
        <v>2023</v>
      </c>
      <c r="G351" t="str">
        <f>Tabela_ferias_folgas[[#This Row],[Médico]]&amp;" - "&amp;Tabela_ferias_folgas[[#This Row],[Compromisso]]</f>
        <v xml:space="preserve">VIN - </v>
      </c>
    </row>
    <row r="352" spans="1:7" x14ac:dyDescent="0.3">
      <c r="A352" t="s">
        <v>47</v>
      </c>
      <c r="C352" s="1">
        <v>45037</v>
      </c>
      <c r="D352">
        <f>DAY(Tabela_ferias_folgas[[#This Row],[Data]])</f>
        <v>21</v>
      </c>
      <c r="E352">
        <f>MONTH(Tabela_ferias_folgas[[#This Row],[Data]])</f>
        <v>4</v>
      </c>
      <c r="F352">
        <f>YEAR(Tabela_ferias_folgas[[#This Row],[Data]])</f>
        <v>2023</v>
      </c>
      <c r="G352" t="str">
        <f>Tabela_ferias_folgas[[#This Row],[Médico]]&amp;" - "&amp;Tabela_ferias_folgas[[#This Row],[Compromisso]]</f>
        <v xml:space="preserve">VIN - </v>
      </c>
    </row>
    <row r="353" spans="1:7" x14ac:dyDescent="0.3">
      <c r="A353" t="s">
        <v>47</v>
      </c>
      <c r="C353" s="1">
        <v>45038</v>
      </c>
      <c r="D353">
        <f>DAY(Tabela_ferias_folgas[[#This Row],[Data]])</f>
        <v>22</v>
      </c>
      <c r="E353">
        <f>MONTH(Tabela_ferias_folgas[[#This Row],[Data]])</f>
        <v>4</v>
      </c>
      <c r="F353">
        <f>YEAR(Tabela_ferias_folgas[[#This Row],[Data]])</f>
        <v>2023</v>
      </c>
      <c r="G353" t="str">
        <f>Tabela_ferias_folgas[[#This Row],[Médico]]&amp;" - "&amp;Tabela_ferias_folgas[[#This Row],[Compromisso]]</f>
        <v xml:space="preserve">VIN - </v>
      </c>
    </row>
    <row r="354" spans="1:7" x14ac:dyDescent="0.3">
      <c r="A354" t="s">
        <v>47</v>
      </c>
      <c r="C354" s="1">
        <v>45039</v>
      </c>
      <c r="D354">
        <f>DAY(Tabela_ferias_folgas[[#This Row],[Data]])</f>
        <v>23</v>
      </c>
      <c r="E354">
        <f>MONTH(Tabela_ferias_folgas[[#This Row],[Data]])</f>
        <v>4</v>
      </c>
      <c r="F354">
        <f>YEAR(Tabela_ferias_folgas[[#This Row],[Data]])</f>
        <v>2023</v>
      </c>
      <c r="G354" t="str">
        <f>Tabela_ferias_folgas[[#This Row],[Médico]]&amp;" - "&amp;Tabela_ferias_folgas[[#This Row],[Compromisso]]</f>
        <v xml:space="preserve">VIN - </v>
      </c>
    </row>
    <row r="355" spans="1:7" x14ac:dyDescent="0.3">
      <c r="A355" t="s">
        <v>84</v>
      </c>
      <c r="C355" s="1">
        <v>45036</v>
      </c>
      <c r="D355">
        <f>DAY(Tabela_ferias_folgas[[#This Row],[Data]])</f>
        <v>20</v>
      </c>
      <c r="E355">
        <f>MONTH(Tabela_ferias_folgas[[#This Row],[Data]])</f>
        <v>4</v>
      </c>
      <c r="F355">
        <f>YEAR(Tabela_ferias_folgas[[#This Row],[Data]])</f>
        <v>2023</v>
      </c>
      <c r="G355" t="str">
        <f>Tabela_ferias_folgas[[#This Row],[Médico]]&amp;" - "&amp;Tabela_ferias_folgas[[#This Row],[Compromisso]]</f>
        <v xml:space="preserve">ANO - </v>
      </c>
    </row>
    <row r="356" spans="1:7" x14ac:dyDescent="0.3">
      <c r="A356" t="s">
        <v>84</v>
      </c>
      <c r="C356" s="1">
        <v>45037</v>
      </c>
      <c r="D356">
        <f>DAY(Tabela_ferias_folgas[[#This Row],[Data]])</f>
        <v>21</v>
      </c>
      <c r="E356">
        <f>MONTH(Tabela_ferias_folgas[[#This Row],[Data]])</f>
        <v>4</v>
      </c>
      <c r="F356">
        <f>YEAR(Tabela_ferias_folgas[[#This Row],[Data]])</f>
        <v>2023</v>
      </c>
      <c r="G356" t="str">
        <f>Tabela_ferias_folgas[[#This Row],[Médico]]&amp;" - "&amp;Tabela_ferias_folgas[[#This Row],[Compromisso]]</f>
        <v xml:space="preserve">ANO - </v>
      </c>
    </row>
    <row r="357" spans="1:7" x14ac:dyDescent="0.3">
      <c r="A357" t="s">
        <v>84</v>
      </c>
      <c r="C357" s="1">
        <v>45038</v>
      </c>
      <c r="D357">
        <f>DAY(Tabela_ferias_folgas[[#This Row],[Data]])</f>
        <v>22</v>
      </c>
      <c r="E357">
        <f>MONTH(Tabela_ferias_folgas[[#This Row],[Data]])</f>
        <v>4</v>
      </c>
      <c r="F357">
        <f>YEAR(Tabela_ferias_folgas[[#This Row],[Data]])</f>
        <v>2023</v>
      </c>
      <c r="G357" t="str">
        <f>Tabela_ferias_folgas[[#This Row],[Médico]]&amp;" - "&amp;Tabela_ferias_folgas[[#This Row],[Compromisso]]</f>
        <v xml:space="preserve">ANO - </v>
      </c>
    </row>
    <row r="358" spans="1:7" x14ac:dyDescent="0.3">
      <c r="A358" t="s">
        <v>84</v>
      </c>
      <c r="C358" s="1">
        <v>45039</v>
      </c>
      <c r="D358">
        <f>DAY(Tabela_ferias_folgas[[#This Row],[Data]])</f>
        <v>23</v>
      </c>
      <c r="E358">
        <f>MONTH(Tabela_ferias_folgas[[#This Row],[Data]])</f>
        <v>4</v>
      </c>
      <c r="F358">
        <f>YEAR(Tabela_ferias_folgas[[#This Row],[Data]])</f>
        <v>2023</v>
      </c>
      <c r="G358" t="str">
        <f>Tabela_ferias_folgas[[#This Row],[Médico]]&amp;" - "&amp;Tabela_ferias_folgas[[#This Row],[Compromisso]]</f>
        <v xml:space="preserve">ANO - </v>
      </c>
    </row>
    <row r="359" spans="1:7" x14ac:dyDescent="0.3">
      <c r="A359" t="s">
        <v>23</v>
      </c>
      <c r="C359" s="1">
        <v>45036</v>
      </c>
      <c r="D359">
        <f>DAY(Tabela_ferias_folgas[[#This Row],[Data]])</f>
        <v>20</v>
      </c>
      <c r="E359">
        <f>MONTH(Tabela_ferias_folgas[[#This Row],[Data]])</f>
        <v>4</v>
      </c>
      <c r="F359">
        <f>YEAR(Tabela_ferias_folgas[[#This Row],[Data]])</f>
        <v>2023</v>
      </c>
      <c r="G359" t="str">
        <f>Tabela_ferias_folgas[[#This Row],[Médico]]&amp;" - "&amp;Tabela_ferias_folgas[[#This Row],[Compromisso]]</f>
        <v xml:space="preserve">BG - </v>
      </c>
    </row>
    <row r="360" spans="1:7" x14ac:dyDescent="0.3">
      <c r="A360" t="s">
        <v>23</v>
      </c>
      <c r="C360" s="1">
        <v>45037</v>
      </c>
      <c r="D360">
        <f>DAY(Tabela_ferias_folgas[[#This Row],[Data]])</f>
        <v>21</v>
      </c>
      <c r="E360">
        <f>MONTH(Tabela_ferias_folgas[[#This Row],[Data]])</f>
        <v>4</v>
      </c>
      <c r="F360">
        <f>YEAR(Tabela_ferias_folgas[[#This Row],[Data]])</f>
        <v>2023</v>
      </c>
      <c r="G360" t="str">
        <f>Tabela_ferias_folgas[[#This Row],[Médico]]&amp;" - "&amp;Tabela_ferias_folgas[[#This Row],[Compromisso]]</f>
        <v xml:space="preserve">BG - </v>
      </c>
    </row>
    <row r="361" spans="1:7" x14ac:dyDescent="0.3">
      <c r="A361" t="s">
        <v>23</v>
      </c>
      <c r="C361" s="1">
        <v>45038</v>
      </c>
      <c r="D361">
        <f>DAY(Tabela_ferias_folgas[[#This Row],[Data]])</f>
        <v>22</v>
      </c>
      <c r="E361">
        <f>MONTH(Tabela_ferias_folgas[[#This Row],[Data]])</f>
        <v>4</v>
      </c>
      <c r="F361">
        <f>YEAR(Tabela_ferias_folgas[[#This Row],[Data]])</f>
        <v>2023</v>
      </c>
      <c r="G361" t="str">
        <f>Tabela_ferias_folgas[[#This Row],[Médico]]&amp;" - "&amp;Tabela_ferias_folgas[[#This Row],[Compromisso]]</f>
        <v xml:space="preserve">BG - </v>
      </c>
    </row>
    <row r="362" spans="1:7" x14ac:dyDescent="0.3">
      <c r="A362" t="s">
        <v>23</v>
      </c>
      <c r="C362" s="1">
        <v>45039</v>
      </c>
      <c r="D362">
        <f>DAY(Tabela_ferias_folgas[[#This Row],[Data]])</f>
        <v>23</v>
      </c>
      <c r="E362">
        <f>MONTH(Tabela_ferias_folgas[[#This Row],[Data]])</f>
        <v>4</v>
      </c>
      <c r="F362">
        <f>YEAR(Tabela_ferias_folgas[[#This Row],[Data]])</f>
        <v>2023</v>
      </c>
      <c r="G362" t="str">
        <f>Tabela_ferias_folgas[[#This Row],[Médico]]&amp;" - "&amp;Tabela_ferias_folgas[[#This Row],[Compromisso]]</f>
        <v xml:space="preserve">BG - </v>
      </c>
    </row>
    <row r="363" spans="1:7" x14ac:dyDescent="0.3">
      <c r="A363" t="s">
        <v>71</v>
      </c>
      <c r="C363" s="1">
        <v>45036</v>
      </c>
      <c r="D363">
        <f>DAY(Tabela_ferias_folgas[[#This Row],[Data]])</f>
        <v>20</v>
      </c>
      <c r="E363">
        <f>MONTH(Tabela_ferias_folgas[[#This Row],[Data]])</f>
        <v>4</v>
      </c>
      <c r="F363">
        <f>YEAR(Tabela_ferias_folgas[[#This Row],[Data]])</f>
        <v>2023</v>
      </c>
      <c r="G363" t="str">
        <f>Tabela_ferias_folgas[[#This Row],[Médico]]&amp;" - "&amp;Tabela_ferias_folgas[[#This Row],[Compromisso]]</f>
        <v xml:space="preserve">BRU - </v>
      </c>
    </row>
    <row r="364" spans="1:7" x14ac:dyDescent="0.3">
      <c r="A364" t="s">
        <v>71</v>
      </c>
      <c r="C364" s="1">
        <v>45037</v>
      </c>
      <c r="D364">
        <f>DAY(Tabela_ferias_folgas[[#This Row],[Data]])</f>
        <v>21</v>
      </c>
      <c r="E364">
        <f>MONTH(Tabela_ferias_folgas[[#This Row],[Data]])</f>
        <v>4</v>
      </c>
      <c r="F364">
        <f>YEAR(Tabela_ferias_folgas[[#This Row],[Data]])</f>
        <v>2023</v>
      </c>
      <c r="G364" t="str">
        <f>Tabela_ferias_folgas[[#This Row],[Médico]]&amp;" - "&amp;Tabela_ferias_folgas[[#This Row],[Compromisso]]</f>
        <v xml:space="preserve">BRU - </v>
      </c>
    </row>
    <row r="365" spans="1:7" x14ac:dyDescent="0.3">
      <c r="A365" t="s">
        <v>71</v>
      </c>
      <c r="C365" s="1">
        <v>45038</v>
      </c>
      <c r="D365">
        <f>DAY(Tabela_ferias_folgas[[#This Row],[Data]])</f>
        <v>22</v>
      </c>
      <c r="E365">
        <f>MONTH(Tabela_ferias_folgas[[#This Row],[Data]])</f>
        <v>4</v>
      </c>
      <c r="F365">
        <f>YEAR(Tabela_ferias_folgas[[#This Row],[Data]])</f>
        <v>2023</v>
      </c>
      <c r="G365" t="str">
        <f>Tabela_ferias_folgas[[#This Row],[Médico]]&amp;" - "&amp;Tabela_ferias_folgas[[#This Row],[Compromisso]]</f>
        <v xml:space="preserve">BRU - </v>
      </c>
    </row>
    <row r="366" spans="1:7" x14ac:dyDescent="0.3">
      <c r="A366" t="s">
        <v>71</v>
      </c>
      <c r="C366" s="1">
        <v>45039</v>
      </c>
      <c r="D366">
        <f>DAY(Tabela_ferias_folgas[[#This Row],[Data]])</f>
        <v>23</v>
      </c>
      <c r="E366">
        <f>MONTH(Tabela_ferias_folgas[[#This Row],[Data]])</f>
        <v>4</v>
      </c>
      <c r="F366">
        <f>YEAR(Tabela_ferias_folgas[[#This Row],[Data]])</f>
        <v>2023</v>
      </c>
      <c r="G366" t="str">
        <f>Tabela_ferias_folgas[[#This Row],[Médico]]&amp;" - "&amp;Tabela_ferias_folgas[[#This Row],[Compromisso]]</f>
        <v xml:space="preserve">BRU - </v>
      </c>
    </row>
    <row r="367" spans="1:7" x14ac:dyDescent="0.3">
      <c r="A367" t="s">
        <v>21</v>
      </c>
      <c r="B367" t="s">
        <v>464</v>
      </c>
      <c r="C367" s="1">
        <v>45040</v>
      </c>
      <c r="D367">
        <f>DAY(Tabela_ferias_folgas[[#This Row],[Data]])</f>
        <v>24</v>
      </c>
      <c r="E367">
        <f>MONTH(Tabela_ferias_folgas[[#This Row],[Data]])</f>
        <v>4</v>
      </c>
      <c r="F367">
        <f>YEAR(Tabela_ferias_folgas[[#This Row],[Data]])</f>
        <v>2023</v>
      </c>
      <c r="G367" t="str">
        <f>Tabela_ferias_folgas[[#This Row],[Médico]]&amp;" - "&amp;Tabela_ferias_folgas[[#This Row],[Compromisso]]</f>
        <v>RA - FÉRIAS</v>
      </c>
    </row>
    <row r="368" spans="1:7" x14ac:dyDescent="0.3">
      <c r="A368" t="s">
        <v>21</v>
      </c>
      <c r="B368" t="s">
        <v>464</v>
      </c>
      <c r="C368" s="1">
        <v>45041</v>
      </c>
      <c r="D368">
        <f>DAY(Tabela_ferias_folgas[[#This Row],[Data]])</f>
        <v>25</v>
      </c>
      <c r="E368">
        <f>MONTH(Tabela_ferias_folgas[[#This Row],[Data]])</f>
        <v>4</v>
      </c>
      <c r="F368">
        <f>YEAR(Tabela_ferias_folgas[[#This Row],[Data]])</f>
        <v>2023</v>
      </c>
      <c r="G368" t="str">
        <f>Tabela_ferias_folgas[[#This Row],[Médico]]&amp;" - "&amp;Tabela_ferias_folgas[[#This Row],[Compromisso]]</f>
        <v>RA - FÉRIAS</v>
      </c>
    </row>
    <row r="369" spans="1:7" x14ac:dyDescent="0.3">
      <c r="A369" t="s">
        <v>21</v>
      </c>
      <c r="B369" t="s">
        <v>464</v>
      </c>
      <c r="C369" s="1">
        <v>45042</v>
      </c>
      <c r="D369">
        <f>DAY(Tabela_ferias_folgas[[#This Row],[Data]])</f>
        <v>26</v>
      </c>
      <c r="E369">
        <f>MONTH(Tabela_ferias_folgas[[#This Row],[Data]])</f>
        <v>4</v>
      </c>
      <c r="F369">
        <f>YEAR(Tabela_ferias_folgas[[#This Row],[Data]])</f>
        <v>2023</v>
      </c>
      <c r="G369" t="str">
        <f>Tabela_ferias_folgas[[#This Row],[Médico]]&amp;" - "&amp;Tabela_ferias_folgas[[#This Row],[Compromisso]]</f>
        <v>RA - FÉRIAS</v>
      </c>
    </row>
    <row r="370" spans="1:7" x14ac:dyDescent="0.3">
      <c r="A370" t="s">
        <v>21</v>
      </c>
      <c r="B370" t="s">
        <v>464</v>
      </c>
      <c r="C370" s="1">
        <v>45043</v>
      </c>
      <c r="D370">
        <f>DAY(Tabela_ferias_folgas[[#This Row],[Data]])</f>
        <v>27</v>
      </c>
      <c r="E370">
        <f>MONTH(Tabela_ferias_folgas[[#This Row],[Data]])</f>
        <v>4</v>
      </c>
      <c r="F370">
        <f>YEAR(Tabela_ferias_folgas[[#This Row],[Data]])</f>
        <v>2023</v>
      </c>
      <c r="G370" t="str">
        <f>Tabela_ferias_folgas[[#This Row],[Médico]]&amp;" - "&amp;Tabela_ferias_folgas[[#This Row],[Compromisso]]</f>
        <v>RA - FÉRIAS</v>
      </c>
    </row>
    <row r="371" spans="1:7" x14ac:dyDescent="0.3">
      <c r="A371" t="s">
        <v>21</v>
      </c>
      <c r="B371" t="s">
        <v>464</v>
      </c>
      <c r="C371" s="1">
        <v>45044</v>
      </c>
      <c r="D371">
        <f>DAY(Tabela_ferias_folgas[[#This Row],[Data]])</f>
        <v>28</v>
      </c>
      <c r="E371">
        <f>MONTH(Tabela_ferias_folgas[[#This Row],[Data]])</f>
        <v>4</v>
      </c>
      <c r="F371">
        <f>YEAR(Tabela_ferias_folgas[[#This Row],[Data]])</f>
        <v>2023</v>
      </c>
      <c r="G371" t="str">
        <f>Tabela_ferias_folgas[[#This Row],[Médico]]&amp;" - "&amp;Tabela_ferias_folgas[[#This Row],[Compromisso]]</f>
        <v>RA - FÉRIAS</v>
      </c>
    </row>
    <row r="372" spans="1:7" x14ac:dyDescent="0.3">
      <c r="A372" t="s">
        <v>283</v>
      </c>
      <c r="B372" t="s">
        <v>464</v>
      </c>
      <c r="C372" s="1">
        <v>45040</v>
      </c>
      <c r="D372">
        <f>DAY(Tabela_ferias_folgas[[#This Row],[Data]])</f>
        <v>24</v>
      </c>
      <c r="E372">
        <f>MONTH(Tabela_ferias_folgas[[#This Row],[Data]])</f>
        <v>4</v>
      </c>
      <c r="F372">
        <f>YEAR(Tabela_ferias_folgas[[#This Row],[Data]])</f>
        <v>2023</v>
      </c>
      <c r="G372" t="str">
        <f>Tabela_ferias_folgas[[#This Row],[Médico]]&amp;" - "&amp;Tabela_ferias_folgas[[#This Row],[Compromisso]]</f>
        <v>JU - FÉRIAS</v>
      </c>
    </row>
    <row r="373" spans="1:7" x14ac:dyDescent="0.3">
      <c r="A373" t="s">
        <v>283</v>
      </c>
      <c r="B373" t="s">
        <v>464</v>
      </c>
      <c r="C373" s="1">
        <v>45041</v>
      </c>
      <c r="D373">
        <f>DAY(Tabela_ferias_folgas[[#This Row],[Data]])</f>
        <v>25</v>
      </c>
      <c r="E373">
        <f>MONTH(Tabela_ferias_folgas[[#This Row],[Data]])</f>
        <v>4</v>
      </c>
      <c r="F373">
        <f>YEAR(Tabela_ferias_folgas[[#This Row],[Data]])</f>
        <v>2023</v>
      </c>
      <c r="G373" t="str">
        <f>Tabela_ferias_folgas[[#This Row],[Médico]]&amp;" - "&amp;Tabela_ferias_folgas[[#This Row],[Compromisso]]</f>
        <v>JU - FÉRIAS</v>
      </c>
    </row>
    <row r="374" spans="1:7" x14ac:dyDescent="0.3">
      <c r="A374" t="s">
        <v>283</v>
      </c>
      <c r="B374" t="s">
        <v>464</v>
      </c>
      <c r="C374" s="1">
        <v>45042</v>
      </c>
      <c r="D374">
        <f>DAY(Tabela_ferias_folgas[[#This Row],[Data]])</f>
        <v>26</v>
      </c>
      <c r="E374">
        <f>MONTH(Tabela_ferias_folgas[[#This Row],[Data]])</f>
        <v>4</v>
      </c>
      <c r="F374">
        <f>YEAR(Tabela_ferias_folgas[[#This Row],[Data]])</f>
        <v>2023</v>
      </c>
      <c r="G374" t="str">
        <f>Tabela_ferias_folgas[[#This Row],[Médico]]&amp;" - "&amp;Tabela_ferias_folgas[[#This Row],[Compromisso]]</f>
        <v>JU - FÉRIAS</v>
      </c>
    </row>
    <row r="375" spans="1:7" x14ac:dyDescent="0.3">
      <c r="A375" t="s">
        <v>283</v>
      </c>
      <c r="B375" t="s">
        <v>464</v>
      </c>
      <c r="C375" s="1">
        <v>45043</v>
      </c>
      <c r="D375">
        <f>DAY(Tabela_ferias_folgas[[#This Row],[Data]])</f>
        <v>27</v>
      </c>
      <c r="E375">
        <f>MONTH(Tabela_ferias_folgas[[#This Row],[Data]])</f>
        <v>4</v>
      </c>
      <c r="F375">
        <f>YEAR(Tabela_ferias_folgas[[#This Row],[Data]])</f>
        <v>2023</v>
      </c>
      <c r="G375" t="str">
        <f>Tabela_ferias_folgas[[#This Row],[Médico]]&amp;" - "&amp;Tabela_ferias_folgas[[#This Row],[Compromisso]]</f>
        <v>JU - FÉRIAS</v>
      </c>
    </row>
    <row r="376" spans="1:7" x14ac:dyDescent="0.3">
      <c r="A376" t="s">
        <v>283</v>
      </c>
      <c r="B376" t="s">
        <v>464</v>
      </c>
      <c r="C376" s="1">
        <v>45044</v>
      </c>
      <c r="D376">
        <f>DAY(Tabela_ferias_folgas[[#This Row],[Data]])</f>
        <v>28</v>
      </c>
      <c r="E376">
        <f>MONTH(Tabela_ferias_folgas[[#This Row],[Data]])</f>
        <v>4</v>
      </c>
      <c r="F376">
        <f>YEAR(Tabela_ferias_folgas[[#This Row],[Data]])</f>
        <v>2023</v>
      </c>
      <c r="G376" t="str">
        <f>Tabela_ferias_folgas[[#This Row],[Médico]]&amp;" - "&amp;Tabela_ferias_folgas[[#This Row],[Compromisso]]</f>
        <v>JU - FÉRIAS</v>
      </c>
    </row>
    <row r="377" spans="1:7" x14ac:dyDescent="0.3">
      <c r="A377" t="s">
        <v>23</v>
      </c>
      <c r="B377" t="s">
        <v>464</v>
      </c>
      <c r="C377" s="1">
        <v>45043</v>
      </c>
      <c r="D377">
        <f>DAY(Tabela_ferias_folgas[[#This Row],[Data]])</f>
        <v>27</v>
      </c>
      <c r="E377">
        <f>MONTH(Tabela_ferias_folgas[[#This Row],[Data]])</f>
        <v>4</v>
      </c>
      <c r="F377">
        <f>YEAR(Tabela_ferias_folgas[[#This Row],[Data]])</f>
        <v>2023</v>
      </c>
      <c r="G377" t="str">
        <f>Tabela_ferias_folgas[[#This Row],[Médico]]&amp;" - "&amp;Tabela_ferias_folgas[[#This Row],[Compromisso]]</f>
        <v>BG - FÉRIAS</v>
      </c>
    </row>
    <row r="378" spans="1:7" x14ac:dyDescent="0.3">
      <c r="A378" t="s">
        <v>23</v>
      </c>
      <c r="B378" t="s">
        <v>464</v>
      </c>
      <c r="C378" s="1">
        <v>45044</v>
      </c>
      <c r="D378">
        <f>DAY(Tabela_ferias_folgas[[#This Row],[Data]])</f>
        <v>28</v>
      </c>
      <c r="E378">
        <f>MONTH(Tabela_ferias_folgas[[#This Row],[Data]])</f>
        <v>4</v>
      </c>
      <c r="F378">
        <f>YEAR(Tabela_ferias_folgas[[#This Row],[Data]])</f>
        <v>2023</v>
      </c>
      <c r="G378" t="str">
        <f>Tabela_ferias_folgas[[#This Row],[Médico]]&amp;" - "&amp;Tabela_ferias_folgas[[#This Row],[Compromisso]]</f>
        <v>BG - FÉRIAS</v>
      </c>
    </row>
    <row r="379" spans="1:7" x14ac:dyDescent="0.3">
      <c r="A379" t="s">
        <v>23</v>
      </c>
      <c r="B379" t="s">
        <v>464</v>
      </c>
      <c r="C379" s="1">
        <v>45045</v>
      </c>
      <c r="D379">
        <f>DAY(Tabela_ferias_folgas[[#This Row],[Data]])</f>
        <v>29</v>
      </c>
      <c r="E379">
        <f>MONTH(Tabela_ferias_folgas[[#This Row],[Data]])</f>
        <v>4</v>
      </c>
      <c r="F379">
        <f>YEAR(Tabela_ferias_folgas[[#This Row],[Data]])</f>
        <v>2023</v>
      </c>
      <c r="G379" t="str">
        <f>Tabela_ferias_folgas[[#This Row],[Médico]]&amp;" - "&amp;Tabela_ferias_folgas[[#This Row],[Compromisso]]</f>
        <v>BG - FÉRIAS</v>
      </c>
    </row>
    <row r="380" spans="1:7" x14ac:dyDescent="0.3">
      <c r="A380" t="s">
        <v>23</v>
      </c>
      <c r="B380" t="s">
        <v>464</v>
      </c>
      <c r="C380" s="1">
        <v>45046</v>
      </c>
      <c r="D380">
        <f>DAY(Tabela_ferias_folgas[[#This Row],[Data]])</f>
        <v>30</v>
      </c>
      <c r="E380">
        <f>MONTH(Tabela_ferias_folgas[[#This Row],[Data]])</f>
        <v>4</v>
      </c>
      <c r="F380">
        <f>YEAR(Tabela_ferias_folgas[[#This Row],[Data]])</f>
        <v>2023</v>
      </c>
      <c r="G380" t="str">
        <f>Tabela_ferias_folgas[[#This Row],[Médico]]&amp;" - "&amp;Tabela_ferias_folgas[[#This Row],[Compromisso]]</f>
        <v>BG - FÉRIAS</v>
      </c>
    </row>
    <row r="381" spans="1:7" x14ac:dyDescent="0.3">
      <c r="A381" t="s">
        <v>23</v>
      </c>
      <c r="B381" t="s">
        <v>464</v>
      </c>
      <c r="C381" s="1">
        <v>45047</v>
      </c>
      <c r="D381">
        <f>DAY(Tabela_ferias_folgas[[#This Row],[Data]])</f>
        <v>1</v>
      </c>
      <c r="E381">
        <f>MONTH(Tabela_ferias_folgas[[#This Row],[Data]])</f>
        <v>5</v>
      </c>
      <c r="F381">
        <f>YEAR(Tabela_ferias_folgas[[#This Row],[Data]])</f>
        <v>2023</v>
      </c>
      <c r="G381" t="str">
        <f>Tabela_ferias_folgas[[#This Row],[Médico]]&amp;" - "&amp;Tabela_ferias_folgas[[#This Row],[Compromisso]]</f>
        <v>BG - FÉRIAS</v>
      </c>
    </row>
    <row r="382" spans="1:7" x14ac:dyDescent="0.3">
      <c r="A382" t="s">
        <v>23</v>
      </c>
      <c r="B382" t="s">
        <v>464</v>
      </c>
      <c r="C382" s="1">
        <v>45048</v>
      </c>
      <c r="D382">
        <f>DAY(Tabela_ferias_folgas[[#This Row],[Data]])</f>
        <v>2</v>
      </c>
      <c r="E382">
        <f>MONTH(Tabela_ferias_folgas[[#This Row],[Data]])</f>
        <v>5</v>
      </c>
      <c r="F382">
        <f>YEAR(Tabela_ferias_folgas[[#This Row],[Data]])</f>
        <v>2023</v>
      </c>
      <c r="G382" t="str">
        <f>Tabela_ferias_folgas[[#This Row],[Médico]]&amp;" - "&amp;Tabela_ferias_folgas[[#This Row],[Compromisso]]</f>
        <v>BG - FÉRIAS</v>
      </c>
    </row>
    <row r="383" spans="1:7" x14ac:dyDescent="0.3">
      <c r="A383" t="s">
        <v>23</v>
      </c>
      <c r="B383" t="s">
        <v>464</v>
      </c>
      <c r="C383" s="1">
        <v>45049</v>
      </c>
      <c r="D383">
        <f>DAY(Tabela_ferias_folgas[[#This Row],[Data]])</f>
        <v>3</v>
      </c>
      <c r="E383">
        <f>MONTH(Tabela_ferias_folgas[[#This Row],[Data]])</f>
        <v>5</v>
      </c>
      <c r="F383">
        <f>YEAR(Tabela_ferias_folgas[[#This Row],[Data]])</f>
        <v>2023</v>
      </c>
      <c r="G383" t="str">
        <f>Tabela_ferias_folgas[[#This Row],[Médico]]&amp;" - "&amp;Tabela_ferias_folgas[[#This Row],[Compromisso]]</f>
        <v>BG - FÉRIAS</v>
      </c>
    </row>
    <row r="384" spans="1:7" x14ac:dyDescent="0.3">
      <c r="A384" t="s">
        <v>23</v>
      </c>
      <c r="B384" t="s">
        <v>464</v>
      </c>
      <c r="C384" s="1">
        <v>45050</v>
      </c>
      <c r="D384">
        <f>DAY(Tabela_ferias_folgas[[#This Row],[Data]])</f>
        <v>4</v>
      </c>
      <c r="E384">
        <f>MONTH(Tabela_ferias_folgas[[#This Row],[Data]])</f>
        <v>5</v>
      </c>
      <c r="F384">
        <f>YEAR(Tabela_ferias_folgas[[#This Row],[Data]])</f>
        <v>2023</v>
      </c>
      <c r="G384" t="str">
        <f>Tabela_ferias_folgas[[#This Row],[Médico]]&amp;" - "&amp;Tabela_ferias_folgas[[#This Row],[Compromisso]]</f>
        <v>BG - FÉRIAS</v>
      </c>
    </row>
    <row r="385" spans="1:7" x14ac:dyDescent="0.3">
      <c r="A385" t="s">
        <v>23</v>
      </c>
      <c r="B385" t="s">
        <v>464</v>
      </c>
      <c r="C385" s="1">
        <v>45051</v>
      </c>
      <c r="D385">
        <f>DAY(Tabela_ferias_folgas[[#This Row],[Data]])</f>
        <v>5</v>
      </c>
      <c r="E385">
        <f>MONTH(Tabela_ferias_folgas[[#This Row],[Data]])</f>
        <v>5</v>
      </c>
      <c r="F385">
        <f>YEAR(Tabela_ferias_folgas[[#This Row],[Data]])</f>
        <v>2023</v>
      </c>
      <c r="G385" t="str">
        <f>Tabela_ferias_folgas[[#This Row],[Médico]]&amp;" - "&amp;Tabela_ferias_folgas[[#This Row],[Compromisso]]</f>
        <v>BG - FÉRIAS</v>
      </c>
    </row>
    <row r="386" spans="1:7" x14ac:dyDescent="0.3">
      <c r="A386" t="s">
        <v>23</v>
      </c>
      <c r="B386" t="s">
        <v>464</v>
      </c>
      <c r="C386" s="1">
        <v>45052</v>
      </c>
      <c r="D386">
        <f>DAY(Tabela_ferias_folgas[[#This Row],[Data]])</f>
        <v>6</v>
      </c>
      <c r="E386">
        <f>MONTH(Tabela_ferias_folgas[[#This Row],[Data]])</f>
        <v>5</v>
      </c>
      <c r="F386">
        <f>YEAR(Tabela_ferias_folgas[[#This Row],[Data]])</f>
        <v>2023</v>
      </c>
      <c r="G386" t="str">
        <f>Tabela_ferias_folgas[[#This Row],[Médico]]&amp;" - "&amp;Tabela_ferias_folgas[[#This Row],[Compromisso]]</f>
        <v>BG - FÉRIAS</v>
      </c>
    </row>
    <row r="387" spans="1:7" x14ac:dyDescent="0.3">
      <c r="A387" t="s">
        <v>23</v>
      </c>
      <c r="B387" t="s">
        <v>464</v>
      </c>
      <c r="C387" s="1">
        <v>45053</v>
      </c>
      <c r="D387">
        <f>DAY(Tabela_ferias_folgas[[#This Row],[Data]])</f>
        <v>7</v>
      </c>
      <c r="E387">
        <f>MONTH(Tabela_ferias_folgas[[#This Row],[Data]])</f>
        <v>5</v>
      </c>
      <c r="F387">
        <f>YEAR(Tabela_ferias_folgas[[#This Row],[Data]])</f>
        <v>2023</v>
      </c>
      <c r="G387" t="str">
        <f>Tabela_ferias_folgas[[#This Row],[Médico]]&amp;" - "&amp;Tabela_ferias_folgas[[#This Row],[Compromisso]]</f>
        <v>BG - FÉRIAS</v>
      </c>
    </row>
    <row r="388" spans="1:7" x14ac:dyDescent="0.3">
      <c r="A388" t="s">
        <v>23</v>
      </c>
      <c r="B388" t="s">
        <v>464</v>
      </c>
      <c r="C388" s="1">
        <v>45054</v>
      </c>
      <c r="D388">
        <f>DAY(Tabela_ferias_folgas[[#This Row],[Data]])</f>
        <v>8</v>
      </c>
      <c r="E388">
        <f>MONTH(Tabela_ferias_folgas[[#This Row],[Data]])</f>
        <v>5</v>
      </c>
      <c r="F388">
        <f>YEAR(Tabela_ferias_folgas[[#This Row],[Data]])</f>
        <v>2023</v>
      </c>
      <c r="G388" t="str">
        <f>Tabela_ferias_folgas[[#This Row],[Médico]]&amp;" - "&amp;Tabela_ferias_folgas[[#This Row],[Compromisso]]</f>
        <v>BG - FÉRIAS</v>
      </c>
    </row>
    <row r="389" spans="1:7" x14ac:dyDescent="0.3">
      <c r="A389" t="s">
        <v>23</v>
      </c>
      <c r="B389" t="s">
        <v>464</v>
      </c>
      <c r="C389" s="1">
        <v>45055</v>
      </c>
      <c r="D389">
        <f>DAY(Tabela_ferias_folgas[[#This Row],[Data]])</f>
        <v>9</v>
      </c>
      <c r="E389">
        <f>MONTH(Tabela_ferias_folgas[[#This Row],[Data]])</f>
        <v>5</v>
      </c>
      <c r="F389">
        <f>YEAR(Tabela_ferias_folgas[[#This Row],[Data]])</f>
        <v>2023</v>
      </c>
      <c r="G389" t="str">
        <f>Tabela_ferias_folgas[[#This Row],[Médico]]&amp;" - "&amp;Tabela_ferias_folgas[[#This Row],[Compromisso]]</f>
        <v>BG - FÉRIAS</v>
      </c>
    </row>
    <row r="390" spans="1:7" x14ac:dyDescent="0.3">
      <c r="A390" t="s">
        <v>23</v>
      </c>
      <c r="B390" t="s">
        <v>464</v>
      </c>
      <c r="C390" s="1">
        <v>45056</v>
      </c>
      <c r="D390">
        <f>DAY(Tabela_ferias_folgas[[#This Row],[Data]])</f>
        <v>10</v>
      </c>
      <c r="E390">
        <f>MONTH(Tabela_ferias_folgas[[#This Row],[Data]])</f>
        <v>5</v>
      </c>
      <c r="F390">
        <f>YEAR(Tabela_ferias_folgas[[#This Row],[Data]])</f>
        <v>2023</v>
      </c>
      <c r="G390" t="str">
        <f>Tabela_ferias_folgas[[#This Row],[Médico]]&amp;" - "&amp;Tabela_ferias_folgas[[#This Row],[Compromisso]]</f>
        <v>BG - FÉRIAS</v>
      </c>
    </row>
    <row r="391" spans="1:7" x14ac:dyDescent="0.3">
      <c r="A391" t="s">
        <v>23</v>
      </c>
      <c r="B391" t="s">
        <v>464</v>
      </c>
      <c r="C391" s="1">
        <v>45057</v>
      </c>
      <c r="D391">
        <f>DAY(Tabela_ferias_folgas[[#This Row],[Data]])</f>
        <v>11</v>
      </c>
      <c r="E391">
        <f>MONTH(Tabela_ferias_folgas[[#This Row],[Data]])</f>
        <v>5</v>
      </c>
      <c r="F391">
        <f>YEAR(Tabela_ferias_folgas[[#This Row],[Data]])</f>
        <v>2023</v>
      </c>
      <c r="G391" t="str">
        <f>Tabela_ferias_folgas[[#This Row],[Médico]]&amp;" - "&amp;Tabela_ferias_folgas[[#This Row],[Compromisso]]</f>
        <v>BG - FÉRIAS</v>
      </c>
    </row>
    <row r="392" spans="1:7" x14ac:dyDescent="0.3">
      <c r="A392" t="s">
        <v>23</v>
      </c>
      <c r="B392" t="s">
        <v>464</v>
      </c>
      <c r="C392" s="1">
        <v>45058</v>
      </c>
      <c r="D392">
        <f>DAY(Tabela_ferias_folgas[[#This Row],[Data]])</f>
        <v>12</v>
      </c>
      <c r="E392">
        <f>MONTH(Tabela_ferias_folgas[[#This Row],[Data]])</f>
        <v>5</v>
      </c>
      <c r="F392">
        <f>YEAR(Tabela_ferias_folgas[[#This Row],[Data]])</f>
        <v>2023</v>
      </c>
      <c r="G392" t="str">
        <f>Tabela_ferias_folgas[[#This Row],[Médico]]&amp;" - "&amp;Tabela_ferias_folgas[[#This Row],[Compromisso]]</f>
        <v>BG - FÉRIAS</v>
      </c>
    </row>
    <row r="393" spans="1:7" x14ac:dyDescent="0.3">
      <c r="A393" t="s">
        <v>23</v>
      </c>
      <c r="B393" t="s">
        <v>464</v>
      </c>
      <c r="C393" s="1">
        <v>45059</v>
      </c>
      <c r="D393">
        <f>DAY(Tabela_ferias_folgas[[#This Row],[Data]])</f>
        <v>13</v>
      </c>
      <c r="E393">
        <f>MONTH(Tabela_ferias_folgas[[#This Row],[Data]])</f>
        <v>5</v>
      </c>
      <c r="F393">
        <f>YEAR(Tabela_ferias_folgas[[#This Row],[Data]])</f>
        <v>2023</v>
      </c>
      <c r="G393" t="str">
        <f>Tabela_ferias_folgas[[#This Row],[Médico]]&amp;" - "&amp;Tabela_ferias_folgas[[#This Row],[Compromisso]]</f>
        <v>BG - FÉRIAS</v>
      </c>
    </row>
    <row r="394" spans="1:7" x14ac:dyDescent="0.3">
      <c r="A394" t="s">
        <v>23</v>
      </c>
      <c r="B394" t="s">
        <v>464</v>
      </c>
      <c r="C394" s="1">
        <v>45060</v>
      </c>
      <c r="D394">
        <f>DAY(Tabela_ferias_folgas[[#This Row],[Data]])</f>
        <v>14</v>
      </c>
      <c r="E394">
        <f>MONTH(Tabela_ferias_folgas[[#This Row],[Data]])</f>
        <v>5</v>
      </c>
      <c r="F394">
        <f>YEAR(Tabela_ferias_folgas[[#This Row],[Data]])</f>
        <v>2023</v>
      </c>
      <c r="G394" t="str">
        <f>Tabela_ferias_folgas[[#This Row],[Médico]]&amp;" - "&amp;Tabela_ferias_folgas[[#This Row],[Compromisso]]</f>
        <v>BG - FÉRIAS</v>
      </c>
    </row>
    <row r="395" spans="1:7" x14ac:dyDescent="0.3">
      <c r="A395" t="s">
        <v>66</v>
      </c>
      <c r="B395" t="s">
        <v>466</v>
      </c>
      <c r="C395" s="1">
        <v>45051</v>
      </c>
      <c r="D395">
        <f>DAY(Tabela_ferias_folgas[[#This Row],[Data]])</f>
        <v>5</v>
      </c>
      <c r="E395">
        <f>MONTH(Tabela_ferias_folgas[[#This Row],[Data]])</f>
        <v>5</v>
      </c>
      <c r="F395">
        <f>YEAR(Tabela_ferias_folgas[[#This Row],[Data]])</f>
        <v>2023</v>
      </c>
      <c r="G395" t="str">
        <f>Tabela_ferias_folgas[[#This Row],[Médico]]&amp;" - "&amp;Tabela_ferias_folgas[[#This Row],[Compromisso]]</f>
        <v>MOZ - CURSO</v>
      </c>
    </row>
    <row r="396" spans="1:7" x14ac:dyDescent="0.3">
      <c r="A396" t="s">
        <v>71</v>
      </c>
      <c r="B396" t="s">
        <v>466</v>
      </c>
      <c r="C396" s="1">
        <v>45051</v>
      </c>
      <c r="D396">
        <f>DAY(Tabela_ferias_folgas[[#This Row],[Data]])</f>
        <v>5</v>
      </c>
      <c r="E396">
        <f>MONTH(Tabela_ferias_folgas[[#This Row],[Data]])</f>
        <v>5</v>
      </c>
      <c r="F396">
        <f>YEAR(Tabela_ferias_folgas[[#This Row],[Data]])</f>
        <v>2023</v>
      </c>
      <c r="G396" t="str">
        <f>Tabela_ferias_folgas[[#This Row],[Médico]]&amp;" - "&amp;Tabela_ferias_folgas[[#This Row],[Compromisso]]</f>
        <v>BRU - CURSO</v>
      </c>
    </row>
    <row r="397" spans="1:7" x14ac:dyDescent="0.3">
      <c r="A397" t="s">
        <v>71</v>
      </c>
      <c r="B397" t="s">
        <v>466</v>
      </c>
      <c r="C397" s="1">
        <v>45052</v>
      </c>
      <c r="D397">
        <f>DAY(Tabela_ferias_folgas[[#This Row],[Data]])</f>
        <v>6</v>
      </c>
      <c r="E397">
        <f>MONTH(Tabela_ferias_folgas[[#This Row],[Data]])</f>
        <v>5</v>
      </c>
      <c r="F397">
        <f>YEAR(Tabela_ferias_folgas[[#This Row],[Data]])</f>
        <v>2023</v>
      </c>
      <c r="G397" t="str">
        <f>Tabela_ferias_folgas[[#This Row],[Médico]]&amp;" - "&amp;Tabela_ferias_folgas[[#This Row],[Compromisso]]</f>
        <v>BRU - CURSO</v>
      </c>
    </row>
    <row r="398" spans="1:7" x14ac:dyDescent="0.3">
      <c r="A398" t="s">
        <v>14</v>
      </c>
      <c r="B398" t="s">
        <v>464</v>
      </c>
      <c r="C398" s="1">
        <v>45054</v>
      </c>
      <c r="D398">
        <f>DAY(Tabela_ferias_folgas[[#This Row],[Data]])</f>
        <v>8</v>
      </c>
      <c r="E398">
        <f>MONTH(Tabela_ferias_folgas[[#This Row],[Data]])</f>
        <v>5</v>
      </c>
      <c r="F398">
        <f>YEAR(Tabela_ferias_folgas[[#This Row],[Data]])</f>
        <v>2023</v>
      </c>
      <c r="G398" t="str">
        <f>Tabela_ferias_folgas[[#This Row],[Médico]]&amp;" - "&amp;Tabela_ferias_folgas[[#This Row],[Compromisso]]</f>
        <v>PW - FÉRIAS</v>
      </c>
    </row>
    <row r="399" spans="1:7" x14ac:dyDescent="0.3">
      <c r="A399" t="s">
        <v>14</v>
      </c>
      <c r="B399" t="s">
        <v>464</v>
      </c>
      <c r="C399" s="1">
        <v>45055</v>
      </c>
      <c r="D399">
        <f>DAY(Tabela_ferias_folgas[[#This Row],[Data]])</f>
        <v>9</v>
      </c>
      <c r="E399">
        <f>MONTH(Tabela_ferias_folgas[[#This Row],[Data]])</f>
        <v>5</v>
      </c>
      <c r="F399">
        <f>YEAR(Tabela_ferias_folgas[[#This Row],[Data]])</f>
        <v>2023</v>
      </c>
      <c r="G399" t="str">
        <f>Tabela_ferias_folgas[[#This Row],[Médico]]&amp;" - "&amp;Tabela_ferias_folgas[[#This Row],[Compromisso]]</f>
        <v>PW - FÉRIAS</v>
      </c>
    </row>
    <row r="400" spans="1:7" x14ac:dyDescent="0.3">
      <c r="A400" t="s">
        <v>14</v>
      </c>
      <c r="B400" t="s">
        <v>464</v>
      </c>
      <c r="C400" s="1">
        <v>45056</v>
      </c>
      <c r="D400">
        <f>DAY(Tabela_ferias_folgas[[#This Row],[Data]])</f>
        <v>10</v>
      </c>
      <c r="E400">
        <f>MONTH(Tabela_ferias_folgas[[#This Row],[Data]])</f>
        <v>5</v>
      </c>
      <c r="F400">
        <f>YEAR(Tabela_ferias_folgas[[#This Row],[Data]])</f>
        <v>2023</v>
      </c>
      <c r="G400" t="str">
        <f>Tabela_ferias_folgas[[#This Row],[Médico]]&amp;" - "&amp;Tabela_ferias_folgas[[#This Row],[Compromisso]]</f>
        <v>PW - FÉRIAS</v>
      </c>
    </row>
    <row r="401" spans="1:7" x14ac:dyDescent="0.3">
      <c r="A401" t="s">
        <v>14</v>
      </c>
      <c r="B401" t="s">
        <v>464</v>
      </c>
      <c r="C401" s="1">
        <v>45057</v>
      </c>
      <c r="D401">
        <f>DAY(Tabela_ferias_folgas[[#This Row],[Data]])</f>
        <v>11</v>
      </c>
      <c r="E401">
        <f>MONTH(Tabela_ferias_folgas[[#This Row],[Data]])</f>
        <v>5</v>
      </c>
      <c r="F401">
        <f>YEAR(Tabela_ferias_folgas[[#This Row],[Data]])</f>
        <v>2023</v>
      </c>
      <c r="G401" t="str">
        <f>Tabela_ferias_folgas[[#This Row],[Médico]]&amp;" - "&amp;Tabela_ferias_folgas[[#This Row],[Compromisso]]</f>
        <v>PW - FÉRIAS</v>
      </c>
    </row>
    <row r="402" spans="1:7" x14ac:dyDescent="0.3">
      <c r="A402" t="s">
        <v>14</v>
      </c>
      <c r="B402" t="s">
        <v>464</v>
      </c>
      <c r="C402" s="1">
        <v>45058</v>
      </c>
      <c r="D402">
        <f>DAY(Tabela_ferias_folgas[[#This Row],[Data]])</f>
        <v>12</v>
      </c>
      <c r="E402">
        <f>MONTH(Tabela_ferias_folgas[[#This Row],[Data]])</f>
        <v>5</v>
      </c>
      <c r="F402">
        <f>YEAR(Tabela_ferias_folgas[[#This Row],[Data]])</f>
        <v>2023</v>
      </c>
      <c r="G402" t="str">
        <f>Tabela_ferias_folgas[[#This Row],[Médico]]&amp;" - "&amp;Tabela_ferias_folgas[[#This Row],[Compromisso]]</f>
        <v>PW - FÉRIAS</v>
      </c>
    </row>
    <row r="403" spans="1:7" x14ac:dyDescent="0.3">
      <c r="A403" t="s">
        <v>14</v>
      </c>
      <c r="B403" t="s">
        <v>464</v>
      </c>
      <c r="C403" s="1">
        <v>45059</v>
      </c>
      <c r="D403">
        <f>DAY(Tabela_ferias_folgas[[#This Row],[Data]])</f>
        <v>13</v>
      </c>
      <c r="E403">
        <f>MONTH(Tabela_ferias_folgas[[#This Row],[Data]])</f>
        <v>5</v>
      </c>
      <c r="F403">
        <f>YEAR(Tabela_ferias_folgas[[#This Row],[Data]])</f>
        <v>2023</v>
      </c>
      <c r="G403" t="str">
        <f>Tabela_ferias_folgas[[#This Row],[Médico]]&amp;" - "&amp;Tabela_ferias_folgas[[#This Row],[Compromisso]]</f>
        <v>PW - FÉRIAS</v>
      </c>
    </row>
    <row r="404" spans="1:7" x14ac:dyDescent="0.3">
      <c r="A404" t="s">
        <v>14</v>
      </c>
      <c r="B404" t="s">
        <v>464</v>
      </c>
      <c r="C404" s="1">
        <v>45060</v>
      </c>
      <c r="D404">
        <f>DAY(Tabela_ferias_folgas[[#This Row],[Data]])</f>
        <v>14</v>
      </c>
      <c r="E404">
        <f>MONTH(Tabela_ferias_folgas[[#This Row],[Data]])</f>
        <v>5</v>
      </c>
      <c r="F404">
        <f>YEAR(Tabela_ferias_folgas[[#This Row],[Data]])</f>
        <v>2023</v>
      </c>
      <c r="G404" t="str">
        <f>Tabela_ferias_folgas[[#This Row],[Médico]]&amp;" - "&amp;Tabela_ferias_folgas[[#This Row],[Compromisso]]</f>
        <v>PW - FÉRIAS</v>
      </c>
    </row>
    <row r="405" spans="1:7" x14ac:dyDescent="0.3">
      <c r="A405" t="s">
        <v>14</v>
      </c>
      <c r="B405" t="s">
        <v>464</v>
      </c>
      <c r="C405" s="1">
        <v>45061</v>
      </c>
      <c r="D405">
        <f>DAY(Tabela_ferias_folgas[[#This Row],[Data]])</f>
        <v>15</v>
      </c>
      <c r="E405">
        <f>MONTH(Tabela_ferias_folgas[[#This Row],[Data]])</f>
        <v>5</v>
      </c>
      <c r="F405">
        <f>YEAR(Tabela_ferias_folgas[[#This Row],[Data]])</f>
        <v>2023</v>
      </c>
      <c r="G405" t="str">
        <f>Tabela_ferias_folgas[[#This Row],[Médico]]&amp;" - "&amp;Tabela_ferias_folgas[[#This Row],[Compromisso]]</f>
        <v>PW - FÉRIAS</v>
      </c>
    </row>
    <row r="406" spans="1:7" x14ac:dyDescent="0.3">
      <c r="A406" t="s">
        <v>14</v>
      </c>
      <c r="B406" t="s">
        <v>464</v>
      </c>
      <c r="C406" s="1">
        <v>45062</v>
      </c>
      <c r="D406">
        <f>DAY(Tabela_ferias_folgas[[#This Row],[Data]])</f>
        <v>16</v>
      </c>
      <c r="E406">
        <f>MONTH(Tabela_ferias_folgas[[#This Row],[Data]])</f>
        <v>5</v>
      </c>
      <c r="F406">
        <f>YEAR(Tabela_ferias_folgas[[#This Row],[Data]])</f>
        <v>2023</v>
      </c>
      <c r="G406" t="str">
        <f>Tabela_ferias_folgas[[#This Row],[Médico]]&amp;" - "&amp;Tabela_ferias_folgas[[#This Row],[Compromisso]]</f>
        <v>PW - FÉRIAS</v>
      </c>
    </row>
    <row r="407" spans="1:7" x14ac:dyDescent="0.3">
      <c r="A407" t="s">
        <v>14</v>
      </c>
      <c r="B407" t="s">
        <v>464</v>
      </c>
      <c r="C407" s="1">
        <v>45063</v>
      </c>
      <c r="D407">
        <f>DAY(Tabela_ferias_folgas[[#This Row],[Data]])</f>
        <v>17</v>
      </c>
      <c r="E407">
        <f>MONTH(Tabela_ferias_folgas[[#This Row],[Data]])</f>
        <v>5</v>
      </c>
      <c r="F407">
        <f>YEAR(Tabela_ferias_folgas[[#This Row],[Data]])</f>
        <v>2023</v>
      </c>
      <c r="G407" t="str">
        <f>Tabela_ferias_folgas[[#This Row],[Médico]]&amp;" - "&amp;Tabela_ferias_folgas[[#This Row],[Compromisso]]</f>
        <v>PW - FÉRIAS</v>
      </c>
    </row>
    <row r="408" spans="1:7" x14ac:dyDescent="0.3">
      <c r="A408" t="s">
        <v>14</v>
      </c>
      <c r="B408" t="s">
        <v>464</v>
      </c>
      <c r="C408" s="1">
        <v>45064</v>
      </c>
      <c r="D408">
        <f>DAY(Tabela_ferias_folgas[[#This Row],[Data]])</f>
        <v>18</v>
      </c>
      <c r="E408">
        <f>MONTH(Tabela_ferias_folgas[[#This Row],[Data]])</f>
        <v>5</v>
      </c>
      <c r="F408">
        <f>YEAR(Tabela_ferias_folgas[[#This Row],[Data]])</f>
        <v>2023</v>
      </c>
      <c r="G408" t="str">
        <f>Tabela_ferias_folgas[[#This Row],[Médico]]&amp;" - "&amp;Tabela_ferias_folgas[[#This Row],[Compromisso]]</f>
        <v>PW - FÉRIAS</v>
      </c>
    </row>
    <row r="409" spans="1:7" x14ac:dyDescent="0.3">
      <c r="A409" t="s">
        <v>14</v>
      </c>
      <c r="B409" t="s">
        <v>464</v>
      </c>
      <c r="C409" s="1">
        <v>45065</v>
      </c>
      <c r="D409">
        <f>DAY(Tabela_ferias_folgas[[#This Row],[Data]])</f>
        <v>19</v>
      </c>
      <c r="E409">
        <f>MONTH(Tabela_ferias_folgas[[#This Row],[Data]])</f>
        <v>5</v>
      </c>
      <c r="F409">
        <f>YEAR(Tabela_ferias_folgas[[#This Row],[Data]])</f>
        <v>2023</v>
      </c>
      <c r="G409" t="str">
        <f>Tabela_ferias_folgas[[#This Row],[Médico]]&amp;" - "&amp;Tabela_ferias_folgas[[#This Row],[Compromisso]]</f>
        <v>PW - FÉRIAS</v>
      </c>
    </row>
    <row r="410" spans="1:7" x14ac:dyDescent="0.3">
      <c r="A410" t="s">
        <v>14</v>
      </c>
      <c r="B410" t="s">
        <v>464</v>
      </c>
      <c r="C410" s="1">
        <v>45066</v>
      </c>
      <c r="D410">
        <f>DAY(Tabela_ferias_folgas[[#This Row],[Data]])</f>
        <v>20</v>
      </c>
      <c r="E410">
        <f>MONTH(Tabela_ferias_folgas[[#This Row],[Data]])</f>
        <v>5</v>
      </c>
      <c r="F410">
        <f>YEAR(Tabela_ferias_folgas[[#This Row],[Data]])</f>
        <v>2023</v>
      </c>
      <c r="G410" t="str">
        <f>Tabela_ferias_folgas[[#This Row],[Médico]]&amp;" - "&amp;Tabela_ferias_folgas[[#This Row],[Compromisso]]</f>
        <v>PW - FÉRIAS</v>
      </c>
    </row>
    <row r="411" spans="1:7" x14ac:dyDescent="0.3">
      <c r="A411" t="s">
        <v>14</v>
      </c>
      <c r="B411" t="s">
        <v>464</v>
      </c>
      <c r="C411" s="1">
        <v>45067</v>
      </c>
      <c r="D411">
        <f>DAY(Tabela_ferias_folgas[[#This Row],[Data]])</f>
        <v>21</v>
      </c>
      <c r="E411">
        <f>MONTH(Tabela_ferias_folgas[[#This Row],[Data]])</f>
        <v>5</v>
      </c>
      <c r="F411">
        <f>YEAR(Tabela_ferias_folgas[[#This Row],[Data]])</f>
        <v>2023</v>
      </c>
      <c r="G411" t="str">
        <f>Tabela_ferias_folgas[[#This Row],[Médico]]&amp;" - "&amp;Tabela_ferias_folgas[[#This Row],[Compromisso]]</f>
        <v>PW - FÉRIAS</v>
      </c>
    </row>
    <row r="412" spans="1:7" x14ac:dyDescent="0.3">
      <c r="A412" t="s">
        <v>14</v>
      </c>
      <c r="B412" t="s">
        <v>464</v>
      </c>
      <c r="C412" s="1">
        <v>45068</v>
      </c>
      <c r="D412">
        <f>DAY(Tabela_ferias_folgas[[#This Row],[Data]])</f>
        <v>22</v>
      </c>
      <c r="E412">
        <f>MONTH(Tabela_ferias_folgas[[#This Row],[Data]])</f>
        <v>5</v>
      </c>
      <c r="F412">
        <f>YEAR(Tabela_ferias_folgas[[#This Row],[Data]])</f>
        <v>2023</v>
      </c>
      <c r="G412" t="str">
        <f>Tabela_ferias_folgas[[#This Row],[Médico]]&amp;" - "&amp;Tabela_ferias_folgas[[#This Row],[Compromisso]]</f>
        <v>PW - FÉRIAS</v>
      </c>
    </row>
    <row r="413" spans="1:7" x14ac:dyDescent="0.3">
      <c r="A413" t="s">
        <v>14</v>
      </c>
      <c r="B413" t="s">
        <v>464</v>
      </c>
      <c r="C413" s="1">
        <v>45069</v>
      </c>
      <c r="D413">
        <f>DAY(Tabela_ferias_folgas[[#This Row],[Data]])</f>
        <v>23</v>
      </c>
      <c r="E413">
        <f>MONTH(Tabela_ferias_folgas[[#This Row],[Data]])</f>
        <v>5</v>
      </c>
      <c r="F413">
        <f>YEAR(Tabela_ferias_folgas[[#This Row],[Data]])</f>
        <v>2023</v>
      </c>
      <c r="G413" t="str">
        <f>Tabela_ferias_folgas[[#This Row],[Médico]]&amp;" - "&amp;Tabela_ferias_folgas[[#This Row],[Compromisso]]</f>
        <v>PW - FÉRIAS</v>
      </c>
    </row>
    <row r="414" spans="1:7" x14ac:dyDescent="0.3">
      <c r="A414" t="s">
        <v>14</v>
      </c>
      <c r="B414" t="s">
        <v>464</v>
      </c>
      <c r="C414" s="1">
        <v>45070</v>
      </c>
      <c r="D414">
        <f>DAY(Tabela_ferias_folgas[[#This Row],[Data]])</f>
        <v>24</v>
      </c>
      <c r="E414">
        <f>MONTH(Tabela_ferias_folgas[[#This Row],[Data]])</f>
        <v>5</v>
      </c>
      <c r="F414">
        <f>YEAR(Tabela_ferias_folgas[[#This Row],[Data]])</f>
        <v>2023</v>
      </c>
      <c r="G414" t="str">
        <f>Tabela_ferias_folgas[[#This Row],[Médico]]&amp;" - "&amp;Tabela_ferias_folgas[[#This Row],[Compromisso]]</f>
        <v>PW - FÉRIAS</v>
      </c>
    </row>
    <row r="415" spans="1:7" x14ac:dyDescent="0.3">
      <c r="A415" t="s">
        <v>14</v>
      </c>
      <c r="B415" t="s">
        <v>464</v>
      </c>
      <c r="C415" s="1">
        <v>45071</v>
      </c>
      <c r="D415">
        <f>DAY(Tabela_ferias_folgas[[#This Row],[Data]])</f>
        <v>25</v>
      </c>
      <c r="E415">
        <f>MONTH(Tabela_ferias_folgas[[#This Row],[Data]])</f>
        <v>5</v>
      </c>
      <c r="F415">
        <f>YEAR(Tabela_ferias_folgas[[#This Row],[Data]])</f>
        <v>2023</v>
      </c>
      <c r="G415" t="str">
        <f>Tabela_ferias_folgas[[#This Row],[Médico]]&amp;" - "&amp;Tabela_ferias_folgas[[#This Row],[Compromisso]]</f>
        <v>PW - FÉRIAS</v>
      </c>
    </row>
    <row r="416" spans="1:7" x14ac:dyDescent="0.3">
      <c r="A416" t="s">
        <v>14</v>
      </c>
      <c r="B416" t="s">
        <v>464</v>
      </c>
      <c r="C416" s="1">
        <v>45072</v>
      </c>
      <c r="D416">
        <f>DAY(Tabela_ferias_folgas[[#This Row],[Data]])</f>
        <v>26</v>
      </c>
      <c r="E416">
        <f>MONTH(Tabela_ferias_folgas[[#This Row],[Data]])</f>
        <v>5</v>
      </c>
      <c r="F416">
        <f>YEAR(Tabela_ferias_folgas[[#This Row],[Data]])</f>
        <v>2023</v>
      </c>
      <c r="G416" t="str">
        <f>Tabela_ferias_folgas[[#This Row],[Médico]]&amp;" - "&amp;Tabela_ferias_folgas[[#This Row],[Compromisso]]</f>
        <v>PW - FÉRIAS</v>
      </c>
    </row>
    <row r="417" spans="1:7" x14ac:dyDescent="0.3">
      <c r="A417" t="s">
        <v>63</v>
      </c>
      <c r="B417" t="s">
        <v>464</v>
      </c>
      <c r="C417" s="1">
        <v>45054</v>
      </c>
      <c r="D417">
        <f>DAY(Tabela_ferias_folgas[[#This Row],[Data]])</f>
        <v>8</v>
      </c>
      <c r="E417">
        <f>MONTH(Tabela_ferias_folgas[[#This Row],[Data]])</f>
        <v>5</v>
      </c>
      <c r="F417">
        <f>YEAR(Tabela_ferias_folgas[[#This Row],[Data]])</f>
        <v>2023</v>
      </c>
      <c r="G417" t="str">
        <f>Tabela_ferias_folgas[[#This Row],[Médico]]&amp;" - "&amp;Tabela_ferias_folgas[[#This Row],[Compromisso]]</f>
        <v>FQ - FÉRIAS</v>
      </c>
    </row>
    <row r="418" spans="1:7" x14ac:dyDescent="0.3">
      <c r="A418" t="s">
        <v>63</v>
      </c>
      <c r="B418" t="s">
        <v>464</v>
      </c>
      <c r="C418" s="1">
        <v>45055</v>
      </c>
      <c r="D418">
        <f>DAY(Tabela_ferias_folgas[[#This Row],[Data]])</f>
        <v>9</v>
      </c>
      <c r="E418">
        <f>MONTH(Tabela_ferias_folgas[[#This Row],[Data]])</f>
        <v>5</v>
      </c>
      <c r="F418">
        <f>YEAR(Tabela_ferias_folgas[[#This Row],[Data]])</f>
        <v>2023</v>
      </c>
      <c r="G418" t="str">
        <f>Tabela_ferias_folgas[[#This Row],[Médico]]&amp;" - "&amp;Tabela_ferias_folgas[[#This Row],[Compromisso]]</f>
        <v>FQ - FÉRIAS</v>
      </c>
    </row>
    <row r="419" spans="1:7" x14ac:dyDescent="0.3">
      <c r="A419" t="s">
        <v>63</v>
      </c>
      <c r="B419" t="s">
        <v>464</v>
      </c>
      <c r="C419" s="1">
        <v>45056</v>
      </c>
      <c r="D419">
        <f>DAY(Tabela_ferias_folgas[[#This Row],[Data]])</f>
        <v>10</v>
      </c>
      <c r="E419">
        <f>MONTH(Tabela_ferias_folgas[[#This Row],[Data]])</f>
        <v>5</v>
      </c>
      <c r="F419">
        <f>YEAR(Tabela_ferias_folgas[[#This Row],[Data]])</f>
        <v>2023</v>
      </c>
      <c r="G419" t="str">
        <f>Tabela_ferias_folgas[[#This Row],[Médico]]&amp;" - "&amp;Tabela_ferias_folgas[[#This Row],[Compromisso]]</f>
        <v>FQ - FÉRIAS</v>
      </c>
    </row>
    <row r="420" spans="1:7" x14ac:dyDescent="0.3">
      <c r="A420" t="s">
        <v>63</v>
      </c>
      <c r="B420" t="s">
        <v>464</v>
      </c>
      <c r="C420" s="1">
        <v>45057</v>
      </c>
      <c r="D420">
        <f>DAY(Tabela_ferias_folgas[[#This Row],[Data]])</f>
        <v>11</v>
      </c>
      <c r="E420">
        <f>MONTH(Tabela_ferias_folgas[[#This Row],[Data]])</f>
        <v>5</v>
      </c>
      <c r="F420">
        <f>YEAR(Tabela_ferias_folgas[[#This Row],[Data]])</f>
        <v>2023</v>
      </c>
      <c r="G420" t="str">
        <f>Tabela_ferias_folgas[[#This Row],[Médico]]&amp;" - "&amp;Tabela_ferias_folgas[[#This Row],[Compromisso]]</f>
        <v>FQ - FÉRIAS</v>
      </c>
    </row>
    <row r="421" spans="1:7" x14ac:dyDescent="0.3">
      <c r="A421" t="s">
        <v>63</v>
      </c>
      <c r="B421" t="s">
        <v>464</v>
      </c>
      <c r="C421" s="1">
        <v>45058</v>
      </c>
      <c r="D421">
        <f>DAY(Tabela_ferias_folgas[[#This Row],[Data]])</f>
        <v>12</v>
      </c>
      <c r="E421">
        <f>MONTH(Tabela_ferias_folgas[[#This Row],[Data]])</f>
        <v>5</v>
      </c>
      <c r="F421">
        <f>YEAR(Tabela_ferias_folgas[[#This Row],[Data]])</f>
        <v>2023</v>
      </c>
      <c r="G421" t="str">
        <f>Tabela_ferias_folgas[[#This Row],[Médico]]&amp;" - "&amp;Tabela_ferias_folgas[[#This Row],[Compromisso]]</f>
        <v>FQ - FÉRIAS</v>
      </c>
    </row>
    <row r="422" spans="1:7" x14ac:dyDescent="0.3">
      <c r="A422" t="s">
        <v>63</v>
      </c>
      <c r="B422" t="s">
        <v>464</v>
      </c>
      <c r="C422" s="1">
        <v>45059</v>
      </c>
      <c r="D422">
        <f>DAY(Tabela_ferias_folgas[[#This Row],[Data]])</f>
        <v>13</v>
      </c>
      <c r="E422">
        <f>MONTH(Tabela_ferias_folgas[[#This Row],[Data]])</f>
        <v>5</v>
      </c>
      <c r="F422">
        <f>YEAR(Tabela_ferias_folgas[[#This Row],[Data]])</f>
        <v>2023</v>
      </c>
      <c r="G422" t="str">
        <f>Tabela_ferias_folgas[[#This Row],[Médico]]&amp;" - "&amp;Tabela_ferias_folgas[[#This Row],[Compromisso]]</f>
        <v>FQ - FÉRIAS</v>
      </c>
    </row>
    <row r="423" spans="1:7" x14ac:dyDescent="0.3">
      <c r="A423" t="s">
        <v>63</v>
      </c>
      <c r="B423" t="s">
        <v>464</v>
      </c>
      <c r="C423" s="1">
        <v>45060</v>
      </c>
      <c r="D423">
        <f>DAY(Tabela_ferias_folgas[[#This Row],[Data]])</f>
        <v>14</v>
      </c>
      <c r="E423">
        <f>MONTH(Tabela_ferias_folgas[[#This Row],[Data]])</f>
        <v>5</v>
      </c>
      <c r="F423">
        <f>YEAR(Tabela_ferias_folgas[[#This Row],[Data]])</f>
        <v>2023</v>
      </c>
      <c r="G423" t="str">
        <f>Tabela_ferias_folgas[[#This Row],[Médico]]&amp;" - "&amp;Tabela_ferias_folgas[[#This Row],[Compromisso]]</f>
        <v>FQ - FÉRIAS</v>
      </c>
    </row>
    <row r="424" spans="1:7" x14ac:dyDescent="0.3">
      <c r="A424" t="s">
        <v>63</v>
      </c>
      <c r="B424" t="s">
        <v>464</v>
      </c>
      <c r="C424" s="1">
        <v>45061</v>
      </c>
      <c r="D424">
        <f>DAY(Tabela_ferias_folgas[[#This Row],[Data]])</f>
        <v>15</v>
      </c>
      <c r="E424">
        <f>MONTH(Tabela_ferias_folgas[[#This Row],[Data]])</f>
        <v>5</v>
      </c>
      <c r="F424">
        <f>YEAR(Tabela_ferias_folgas[[#This Row],[Data]])</f>
        <v>2023</v>
      </c>
      <c r="G424" t="str">
        <f>Tabela_ferias_folgas[[#This Row],[Médico]]&amp;" - "&amp;Tabela_ferias_folgas[[#This Row],[Compromisso]]</f>
        <v>FQ - FÉRIAS</v>
      </c>
    </row>
    <row r="425" spans="1:7" x14ac:dyDescent="0.3">
      <c r="A425" t="s">
        <v>63</v>
      </c>
      <c r="B425" t="s">
        <v>464</v>
      </c>
      <c r="C425" s="1">
        <v>45062</v>
      </c>
      <c r="D425">
        <f>DAY(Tabela_ferias_folgas[[#This Row],[Data]])</f>
        <v>16</v>
      </c>
      <c r="E425">
        <f>MONTH(Tabela_ferias_folgas[[#This Row],[Data]])</f>
        <v>5</v>
      </c>
      <c r="F425">
        <f>YEAR(Tabela_ferias_folgas[[#This Row],[Data]])</f>
        <v>2023</v>
      </c>
      <c r="G425" t="str">
        <f>Tabela_ferias_folgas[[#This Row],[Médico]]&amp;" - "&amp;Tabela_ferias_folgas[[#This Row],[Compromisso]]</f>
        <v>FQ - FÉRIAS</v>
      </c>
    </row>
    <row r="426" spans="1:7" x14ac:dyDescent="0.3">
      <c r="A426" t="s">
        <v>63</v>
      </c>
      <c r="B426" t="s">
        <v>464</v>
      </c>
      <c r="C426" s="1">
        <v>45063</v>
      </c>
      <c r="D426">
        <f>DAY(Tabela_ferias_folgas[[#This Row],[Data]])</f>
        <v>17</v>
      </c>
      <c r="E426">
        <f>MONTH(Tabela_ferias_folgas[[#This Row],[Data]])</f>
        <v>5</v>
      </c>
      <c r="F426">
        <f>YEAR(Tabela_ferias_folgas[[#This Row],[Data]])</f>
        <v>2023</v>
      </c>
      <c r="G426" t="str">
        <f>Tabela_ferias_folgas[[#This Row],[Médico]]&amp;" - "&amp;Tabela_ferias_folgas[[#This Row],[Compromisso]]</f>
        <v>FQ - FÉRIAS</v>
      </c>
    </row>
    <row r="427" spans="1:7" x14ac:dyDescent="0.3">
      <c r="A427" t="s">
        <v>63</v>
      </c>
      <c r="B427" t="s">
        <v>464</v>
      </c>
      <c r="C427" s="1">
        <v>45064</v>
      </c>
      <c r="D427">
        <f>DAY(Tabela_ferias_folgas[[#This Row],[Data]])</f>
        <v>18</v>
      </c>
      <c r="E427">
        <f>MONTH(Tabela_ferias_folgas[[#This Row],[Data]])</f>
        <v>5</v>
      </c>
      <c r="F427">
        <f>YEAR(Tabela_ferias_folgas[[#This Row],[Data]])</f>
        <v>2023</v>
      </c>
      <c r="G427" t="str">
        <f>Tabela_ferias_folgas[[#This Row],[Médico]]&amp;" - "&amp;Tabela_ferias_folgas[[#This Row],[Compromisso]]</f>
        <v>FQ - FÉRIAS</v>
      </c>
    </row>
    <row r="428" spans="1:7" x14ac:dyDescent="0.3">
      <c r="A428" t="s">
        <v>63</v>
      </c>
      <c r="B428" t="s">
        <v>464</v>
      </c>
      <c r="C428" s="1">
        <v>45065</v>
      </c>
      <c r="D428">
        <f>DAY(Tabela_ferias_folgas[[#This Row],[Data]])</f>
        <v>19</v>
      </c>
      <c r="E428">
        <f>MONTH(Tabela_ferias_folgas[[#This Row],[Data]])</f>
        <v>5</v>
      </c>
      <c r="F428">
        <f>YEAR(Tabela_ferias_folgas[[#This Row],[Data]])</f>
        <v>2023</v>
      </c>
      <c r="G428" t="str">
        <f>Tabela_ferias_folgas[[#This Row],[Médico]]&amp;" - "&amp;Tabela_ferias_folgas[[#This Row],[Compromisso]]</f>
        <v>FQ - FÉRIAS</v>
      </c>
    </row>
    <row r="429" spans="1:7" x14ac:dyDescent="0.3">
      <c r="A429" t="s">
        <v>66</v>
      </c>
      <c r="B429" t="s">
        <v>464</v>
      </c>
      <c r="C429" s="1">
        <v>45054</v>
      </c>
      <c r="D429">
        <f>DAY(Tabela_ferias_folgas[[#This Row],[Data]])</f>
        <v>8</v>
      </c>
      <c r="E429">
        <f>MONTH(Tabela_ferias_folgas[[#This Row],[Data]])</f>
        <v>5</v>
      </c>
      <c r="F429">
        <f>YEAR(Tabela_ferias_folgas[[#This Row],[Data]])</f>
        <v>2023</v>
      </c>
      <c r="G429" t="str">
        <f>Tabela_ferias_folgas[[#This Row],[Médico]]&amp;" - "&amp;Tabela_ferias_folgas[[#This Row],[Compromisso]]</f>
        <v>MOZ - FÉRIAS</v>
      </c>
    </row>
    <row r="430" spans="1:7" x14ac:dyDescent="0.3">
      <c r="A430" t="s">
        <v>66</v>
      </c>
      <c r="B430" t="s">
        <v>464</v>
      </c>
      <c r="C430" s="1">
        <v>45055</v>
      </c>
      <c r="D430">
        <f>DAY(Tabela_ferias_folgas[[#This Row],[Data]])</f>
        <v>9</v>
      </c>
      <c r="E430">
        <f>MONTH(Tabela_ferias_folgas[[#This Row],[Data]])</f>
        <v>5</v>
      </c>
      <c r="F430">
        <f>YEAR(Tabela_ferias_folgas[[#This Row],[Data]])</f>
        <v>2023</v>
      </c>
      <c r="G430" t="str">
        <f>Tabela_ferias_folgas[[#This Row],[Médico]]&amp;" - "&amp;Tabela_ferias_folgas[[#This Row],[Compromisso]]</f>
        <v>MOZ - FÉRIAS</v>
      </c>
    </row>
    <row r="431" spans="1:7" x14ac:dyDescent="0.3">
      <c r="A431" t="s">
        <v>66</v>
      </c>
      <c r="B431" t="s">
        <v>464</v>
      </c>
      <c r="C431" s="1">
        <v>45056</v>
      </c>
      <c r="D431">
        <f>DAY(Tabela_ferias_folgas[[#This Row],[Data]])</f>
        <v>10</v>
      </c>
      <c r="E431">
        <f>MONTH(Tabela_ferias_folgas[[#This Row],[Data]])</f>
        <v>5</v>
      </c>
      <c r="F431">
        <f>YEAR(Tabela_ferias_folgas[[#This Row],[Data]])</f>
        <v>2023</v>
      </c>
      <c r="G431" t="str">
        <f>Tabela_ferias_folgas[[#This Row],[Médico]]&amp;" - "&amp;Tabela_ferias_folgas[[#This Row],[Compromisso]]</f>
        <v>MOZ - FÉRIAS</v>
      </c>
    </row>
    <row r="432" spans="1:7" x14ac:dyDescent="0.3">
      <c r="A432" t="s">
        <v>66</v>
      </c>
      <c r="B432" t="s">
        <v>464</v>
      </c>
      <c r="C432" s="1">
        <v>45057</v>
      </c>
      <c r="D432">
        <f>DAY(Tabela_ferias_folgas[[#This Row],[Data]])</f>
        <v>11</v>
      </c>
      <c r="E432">
        <f>MONTH(Tabela_ferias_folgas[[#This Row],[Data]])</f>
        <v>5</v>
      </c>
      <c r="F432">
        <f>YEAR(Tabela_ferias_folgas[[#This Row],[Data]])</f>
        <v>2023</v>
      </c>
      <c r="G432" t="str">
        <f>Tabela_ferias_folgas[[#This Row],[Médico]]&amp;" - "&amp;Tabela_ferias_folgas[[#This Row],[Compromisso]]</f>
        <v>MOZ - FÉRIAS</v>
      </c>
    </row>
    <row r="433" spans="1:7" x14ac:dyDescent="0.3">
      <c r="A433" t="s">
        <v>66</v>
      </c>
      <c r="B433" t="s">
        <v>464</v>
      </c>
      <c r="C433" s="1">
        <v>45058</v>
      </c>
      <c r="D433">
        <f>DAY(Tabela_ferias_folgas[[#This Row],[Data]])</f>
        <v>12</v>
      </c>
      <c r="E433">
        <f>MONTH(Tabela_ferias_folgas[[#This Row],[Data]])</f>
        <v>5</v>
      </c>
      <c r="F433">
        <f>YEAR(Tabela_ferias_folgas[[#This Row],[Data]])</f>
        <v>2023</v>
      </c>
      <c r="G433" t="str">
        <f>Tabela_ferias_folgas[[#This Row],[Médico]]&amp;" - "&amp;Tabela_ferias_folgas[[#This Row],[Compromisso]]</f>
        <v>MOZ - FÉRIAS</v>
      </c>
    </row>
    <row r="434" spans="1:7" x14ac:dyDescent="0.3">
      <c r="A434" t="s">
        <v>73</v>
      </c>
      <c r="B434" t="s">
        <v>464</v>
      </c>
      <c r="C434" s="1">
        <v>45061</v>
      </c>
      <c r="D434">
        <f>DAY(Tabela_ferias_folgas[[#This Row],[Data]])</f>
        <v>15</v>
      </c>
      <c r="E434">
        <f>MONTH(Tabela_ferias_folgas[[#This Row],[Data]])</f>
        <v>5</v>
      </c>
      <c r="F434">
        <f>YEAR(Tabela_ferias_folgas[[#This Row],[Data]])</f>
        <v>2023</v>
      </c>
      <c r="G434" t="str">
        <f>Tabela_ferias_folgas[[#This Row],[Médico]]&amp;" - "&amp;Tabela_ferias_folgas[[#This Row],[Compromisso]]</f>
        <v>RT - FÉRIAS</v>
      </c>
    </row>
    <row r="435" spans="1:7" x14ac:dyDescent="0.3">
      <c r="A435" t="s">
        <v>73</v>
      </c>
      <c r="B435" t="s">
        <v>464</v>
      </c>
      <c r="C435" s="1">
        <v>45062</v>
      </c>
      <c r="D435">
        <f>DAY(Tabela_ferias_folgas[[#This Row],[Data]])</f>
        <v>16</v>
      </c>
      <c r="E435">
        <f>MONTH(Tabela_ferias_folgas[[#This Row],[Data]])</f>
        <v>5</v>
      </c>
      <c r="F435">
        <f>YEAR(Tabela_ferias_folgas[[#This Row],[Data]])</f>
        <v>2023</v>
      </c>
      <c r="G435" t="str">
        <f>Tabela_ferias_folgas[[#This Row],[Médico]]&amp;" - "&amp;Tabela_ferias_folgas[[#This Row],[Compromisso]]</f>
        <v>RT - FÉRIAS</v>
      </c>
    </row>
    <row r="436" spans="1:7" x14ac:dyDescent="0.3">
      <c r="A436" t="s">
        <v>73</v>
      </c>
      <c r="B436" t="s">
        <v>464</v>
      </c>
      <c r="C436" s="1">
        <v>45063</v>
      </c>
      <c r="D436">
        <f>DAY(Tabela_ferias_folgas[[#This Row],[Data]])</f>
        <v>17</v>
      </c>
      <c r="E436">
        <f>MONTH(Tabela_ferias_folgas[[#This Row],[Data]])</f>
        <v>5</v>
      </c>
      <c r="F436">
        <f>YEAR(Tabela_ferias_folgas[[#This Row],[Data]])</f>
        <v>2023</v>
      </c>
      <c r="G436" t="str">
        <f>Tabela_ferias_folgas[[#This Row],[Médico]]&amp;" - "&amp;Tabela_ferias_folgas[[#This Row],[Compromisso]]</f>
        <v>RT - FÉRIAS</v>
      </c>
    </row>
    <row r="437" spans="1:7" x14ac:dyDescent="0.3">
      <c r="A437" t="s">
        <v>73</v>
      </c>
      <c r="B437" t="s">
        <v>464</v>
      </c>
      <c r="C437" s="1">
        <v>45064</v>
      </c>
      <c r="D437">
        <f>DAY(Tabela_ferias_folgas[[#This Row],[Data]])</f>
        <v>18</v>
      </c>
      <c r="E437">
        <f>MONTH(Tabela_ferias_folgas[[#This Row],[Data]])</f>
        <v>5</v>
      </c>
      <c r="F437">
        <f>YEAR(Tabela_ferias_folgas[[#This Row],[Data]])</f>
        <v>2023</v>
      </c>
      <c r="G437" t="str">
        <f>Tabela_ferias_folgas[[#This Row],[Médico]]&amp;" - "&amp;Tabela_ferias_folgas[[#This Row],[Compromisso]]</f>
        <v>RT - FÉRIAS</v>
      </c>
    </row>
    <row r="438" spans="1:7" x14ac:dyDescent="0.3">
      <c r="A438" t="s">
        <v>73</v>
      </c>
      <c r="B438" t="s">
        <v>464</v>
      </c>
      <c r="C438" s="1">
        <v>45065</v>
      </c>
      <c r="D438">
        <f>DAY(Tabela_ferias_folgas[[#This Row],[Data]])</f>
        <v>19</v>
      </c>
      <c r="E438">
        <f>MONTH(Tabela_ferias_folgas[[#This Row],[Data]])</f>
        <v>5</v>
      </c>
      <c r="F438">
        <f>YEAR(Tabela_ferias_folgas[[#This Row],[Data]])</f>
        <v>2023</v>
      </c>
      <c r="G438" t="str">
        <f>Tabela_ferias_folgas[[#This Row],[Médico]]&amp;" - "&amp;Tabela_ferias_folgas[[#This Row],[Compromisso]]</f>
        <v>RT - FÉRIAS</v>
      </c>
    </row>
    <row r="439" spans="1:7" x14ac:dyDescent="0.3">
      <c r="A439" t="s">
        <v>25</v>
      </c>
      <c r="B439" t="s">
        <v>464</v>
      </c>
      <c r="C439" s="1">
        <v>45061</v>
      </c>
      <c r="D439">
        <f>DAY(Tabela_ferias_folgas[[#This Row],[Data]])</f>
        <v>15</v>
      </c>
      <c r="E439">
        <f>MONTH(Tabela_ferias_folgas[[#This Row],[Data]])</f>
        <v>5</v>
      </c>
      <c r="F439">
        <f>YEAR(Tabela_ferias_folgas[[#This Row],[Data]])</f>
        <v>2023</v>
      </c>
      <c r="G439" t="str">
        <f>Tabela_ferias_folgas[[#This Row],[Médico]]&amp;" - "&amp;Tabela_ferias_folgas[[#This Row],[Compromisso]]</f>
        <v>HEN - FÉRIAS</v>
      </c>
    </row>
    <row r="440" spans="1:7" x14ac:dyDescent="0.3">
      <c r="A440" t="s">
        <v>25</v>
      </c>
      <c r="B440" t="s">
        <v>464</v>
      </c>
      <c r="C440" s="1">
        <v>45062</v>
      </c>
      <c r="D440">
        <f>DAY(Tabela_ferias_folgas[[#This Row],[Data]])</f>
        <v>16</v>
      </c>
      <c r="E440">
        <f>MONTH(Tabela_ferias_folgas[[#This Row],[Data]])</f>
        <v>5</v>
      </c>
      <c r="F440">
        <f>YEAR(Tabela_ferias_folgas[[#This Row],[Data]])</f>
        <v>2023</v>
      </c>
      <c r="G440" t="str">
        <f>Tabela_ferias_folgas[[#This Row],[Médico]]&amp;" - "&amp;Tabela_ferias_folgas[[#This Row],[Compromisso]]</f>
        <v>HEN - FÉRIAS</v>
      </c>
    </row>
    <row r="441" spans="1:7" x14ac:dyDescent="0.3">
      <c r="A441" t="s">
        <v>25</v>
      </c>
      <c r="B441" t="s">
        <v>464</v>
      </c>
      <c r="C441" s="1">
        <v>45063</v>
      </c>
      <c r="D441">
        <f>DAY(Tabela_ferias_folgas[[#This Row],[Data]])</f>
        <v>17</v>
      </c>
      <c r="E441">
        <f>MONTH(Tabela_ferias_folgas[[#This Row],[Data]])</f>
        <v>5</v>
      </c>
      <c r="F441">
        <f>YEAR(Tabela_ferias_folgas[[#This Row],[Data]])</f>
        <v>2023</v>
      </c>
      <c r="G441" t="str">
        <f>Tabela_ferias_folgas[[#This Row],[Médico]]&amp;" - "&amp;Tabela_ferias_folgas[[#This Row],[Compromisso]]</f>
        <v>HEN - FÉRIAS</v>
      </c>
    </row>
    <row r="442" spans="1:7" x14ac:dyDescent="0.3">
      <c r="A442" t="s">
        <v>25</v>
      </c>
      <c r="B442" t="s">
        <v>464</v>
      </c>
      <c r="C442" s="1">
        <v>45064</v>
      </c>
      <c r="D442">
        <f>DAY(Tabela_ferias_folgas[[#This Row],[Data]])</f>
        <v>18</v>
      </c>
      <c r="E442">
        <f>MONTH(Tabela_ferias_folgas[[#This Row],[Data]])</f>
        <v>5</v>
      </c>
      <c r="F442">
        <f>YEAR(Tabela_ferias_folgas[[#This Row],[Data]])</f>
        <v>2023</v>
      </c>
      <c r="G442" t="str">
        <f>Tabela_ferias_folgas[[#This Row],[Médico]]&amp;" - "&amp;Tabela_ferias_folgas[[#This Row],[Compromisso]]</f>
        <v>HEN - FÉRIAS</v>
      </c>
    </row>
    <row r="443" spans="1:7" x14ac:dyDescent="0.3">
      <c r="A443" t="s">
        <v>25</v>
      </c>
      <c r="B443" t="s">
        <v>464</v>
      </c>
      <c r="C443" s="1">
        <v>45065</v>
      </c>
      <c r="D443">
        <f>DAY(Tabela_ferias_folgas[[#This Row],[Data]])</f>
        <v>19</v>
      </c>
      <c r="E443">
        <f>MONTH(Tabela_ferias_folgas[[#This Row],[Data]])</f>
        <v>5</v>
      </c>
      <c r="F443">
        <f>YEAR(Tabela_ferias_folgas[[#This Row],[Data]])</f>
        <v>2023</v>
      </c>
      <c r="G443" t="str">
        <f>Tabela_ferias_folgas[[#This Row],[Médico]]&amp;" - "&amp;Tabela_ferias_folgas[[#This Row],[Compromisso]]</f>
        <v>HEN - FÉRIAS</v>
      </c>
    </row>
    <row r="444" spans="1:7" x14ac:dyDescent="0.3">
      <c r="A444" t="s">
        <v>66</v>
      </c>
      <c r="B444" t="s">
        <v>466</v>
      </c>
      <c r="C444" s="1">
        <v>45064</v>
      </c>
      <c r="D444">
        <f>DAY(Tabela_ferias_folgas[[#This Row],[Data]])</f>
        <v>18</v>
      </c>
      <c r="E444">
        <f>MONTH(Tabela_ferias_folgas[[#This Row],[Data]])</f>
        <v>5</v>
      </c>
      <c r="F444">
        <f>YEAR(Tabela_ferias_folgas[[#This Row],[Data]])</f>
        <v>2023</v>
      </c>
      <c r="G444" t="str">
        <f>Tabela_ferias_folgas[[#This Row],[Médico]]&amp;" - "&amp;Tabela_ferias_folgas[[#This Row],[Compromisso]]</f>
        <v>MOZ - CURSO</v>
      </c>
    </row>
    <row r="445" spans="1:7" x14ac:dyDescent="0.3">
      <c r="A445" t="s">
        <v>47</v>
      </c>
      <c r="C445" s="1">
        <v>45065</v>
      </c>
      <c r="D445">
        <f>DAY(Tabela_ferias_folgas[[#This Row],[Data]])</f>
        <v>19</v>
      </c>
      <c r="E445">
        <f>MONTH(Tabela_ferias_folgas[[#This Row],[Data]])</f>
        <v>5</v>
      </c>
      <c r="F445">
        <f>YEAR(Tabela_ferias_folgas[[#This Row],[Data]])</f>
        <v>2023</v>
      </c>
      <c r="G445" t="str">
        <f>Tabela_ferias_folgas[[#This Row],[Médico]]&amp;" - "&amp;Tabela_ferias_folgas[[#This Row],[Compromisso]]</f>
        <v xml:space="preserve">VIN - </v>
      </c>
    </row>
    <row r="446" spans="1:7" x14ac:dyDescent="0.3">
      <c r="A446" t="s">
        <v>47</v>
      </c>
      <c r="C446" s="1">
        <v>45066</v>
      </c>
      <c r="D446">
        <f>DAY(Tabela_ferias_folgas[[#This Row],[Data]])</f>
        <v>20</v>
      </c>
      <c r="E446">
        <f>MONTH(Tabela_ferias_folgas[[#This Row],[Data]])</f>
        <v>5</v>
      </c>
      <c r="F446">
        <f>YEAR(Tabela_ferias_folgas[[#This Row],[Data]])</f>
        <v>2023</v>
      </c>
      <c r="G446" t="str">
        <f>Tabela_ferias_folgas[[#This Row],[Médico]]&amp;" - "&amp;Tabela_ferias_folgas[[#This Row],[Compromisso]]</f>
        <v xml:space="preserve">VIN - </v>
      </c>
    </row>
    <row r="447" spans="1:7" x14ac:dyDescent="0.3">
      <c r="A447" t="s">
        <v>47</v>
      </c>
      <c r="C447" s="1">
        <v>45067</v>
      </c>
      <c r="D447">
        <f>DAY(Tabela_ferias_folgas[[#This Row],[Data]])</f>
        <v>21</v>
      </c>
      <c r="E447">
        <f>MONTH(Tabela_ferias_folgas[[#This Row],[Data]])</f>
        <v>5</v>
      </c>
      <c r="F447">
        <f>YEAR(Tabela_ferias_folgas[[#This Row],[Data]])</f>
        <v>2023</v>
      </c>
      <c r="G447" t="str">
        <f>Tabela_ferias_folgas[[#This Row],[Médico]]&amp;" - "&amp;Tabela_ferias_folgas[[#This Row],[Compromisso]]</f>
        <v xml:space="preserve">VIN - </v>
      </c>
    </row>
    <row r="448" spans="1:7" x14ac:dyDescent="0.3">
      <c r="A448" t="s">
        <v>23</v>
      </c>
      <c r="C448" s="1">
        <v>45066</v>
      </c>
      <c r="D448">
        <f>DAY(Tabela_ferias_folgas[[#This Row],[Data]])</f>
        <v>20</v>
      </c>
      <c r="E448">
        <f>MONTH(Tabela_ferias_folgas[[#This Row],[Data]])</f>
        <v>5</v>
      </c>
      <c r="F448">
        <f>YEAR(Tabela_ferias_folgas[[#This Row],[Data]])</f>
        <v>2023</v>
      </c>
      <c r="G448" t="str">
        <f>Tabela_ferias_folgas[[#This Row],[Médico]]&amp;" - "&amp;Tabela_ferias_folgas[[#This Row],[Compromisso]]</f>
        <v xml:space="preserve">BG - </v>
      </c>
    </row>
    <row r="449" spans="1:7" x14ac:dyDescent="0.3">
      <c r="A449" t="s">
        <v>23</v>
      </c>
      <c r="C449" s="1">
        <v>45067</v>
      </c>
      <c r="D449">
        <f>DAY(Tabela_ferias_folgas[[#This Row],[Data]])</f>
        <v>21</v>
      </c>
      <c r="E449">
        <f>MONTH(Tabela_ferias_folgas[[#This Row],[Data]])</f>
        <v>5</v>
      </c>
      <c r="F449">
        <f>YEAR(Tabela_ferias_folgas[[#This Row],[Data]])</f>
        <v>2023</v>
      </c>
      <c r="G449" t="str">
        <f>Tabela_ferias_folgas[[#This Row],[Médico]]&amp;" - "&amp;Tabela_ferias_folgas[[#This Row],[Compromisso]]</f>
        <v xml:space="preserve">BG - </v>
      </c>
    </row>
    <row r="450" spans="1:7" x14ac:dyDescent="0.3">
      <c r="A450" t="s">
        <v>16</v>
      </c>
      <c r="B450" t="s">
        <v>464</v>
      </c>
      <c r="C450" s="1">
        <v>45068</v>
      </c>
      <c r="D450">
        <f>DAY(Tabela_ferias_folgas[[#This Row],[Data]])</f>
        <v>22</v>
      </c>
      <c r="E450">
        <f>MONTH(Tabela_ferias_folgas[[#This Row],[Data]])</f>
        <v>5</v>
      </c>
      <c r="F450">
        <f>YEAR(Tabela_ferias_folgas[[#This Row],[Data]])</f>
        <v>2023</v>
      </c>
      <c r="G450" t="str">
        <f>Tabela_ferias_folgas[[#This Row],[Médico]]&amp;" - "&amp;Tabela_ferias_folgas[[#This Row],[Compromisso]]</f>
        <v>PP - FÉRIAS</v>
      </c>
    </row>
    <row r="451" spans="1:7" x14ac:dyDescent="0.3">
      <c r="A451" t="s">
        <v>16</v>
      </c>
      <c r="B451" t="s">
        <v>464</v>
      </c>
      <c r="C451" s="1">
        <v>45069</v>
      </c>
      <c r="D451">
        <f>DAY(Tabela_ferias_folgas[[#This Row],[Data]])</f>
        <v>23</v>
      </c>
      <c r="E451">
        <f>MONTH(Tabela_ferias_folgas[[#This Row],[Data]])</f>
        <v>5</v>
      </c>
      <c r="F451">
        <f>YEAR(Tabela_ferias_folgas[[#This Row],[Data]])</f>
        <v>2023</v>
      </c>
      <c r="G451" t="str">
        <f>Tabela_ferias_folgas[[#This Row],[Médico]]&amp;" - "&amp;Tabela_ferias_folgas[[#This Row],[Compromisso]]</f>
        <v>PP - FÉRIAS</v>
      </c>
    </row>
    <row r="452" spans="1:7" x14ac:dyDescent="0.3">
      <c r="A452" t="s">
        <v>16</v>
      </c>
      <c r="B452" t="s">
        <v>464</v>
      </c>
      <c r="C452" s="1">
        <v>45070</v>
      </c>
      <c r="D452">
        <f>DAY(Tabela_ferias_folgas[[#This Row],[Data]])</f>
        <v>24</v>
      </c>
      <c r="E452">
        <f>MONTH(Tabela_ferias_folgas[[#This Row],[Data]])</f>
        <v>5</v>
      </c>
      <c r="F452">
        <f>YEAR(Tabela_ferias_folgas[[#This Row],[Data]])</f>
        <v>2023</v>
      </c>
      <c r="G452" t="str">
        <f>Tabela_ferias_folgas[[#This Row],[Médico]]&amp;" - "&amp;Tabela_ferias_folgas[[#This Row],[Compromisso]]</f>
        <v>PP - FÉRIAS</v>
      </c>
    </row>
    <row r="453" spans="1:7" x14ac:dyDescent="0.3">
      <c r="A453" t="s">
        <v>16</v>
      </c>
      <c r="B453" t="s">
        <v>464</v>
      </c>
      <c r="C453" s="1">
        <v>45071</v>
      </c>
      <c r="D453">
        <f>DAY(Tabela_ferias_folgas[[#This Row],[Data]])</f>
        <v>25</v>
      </c>
      <c r="E453">
        <f>MONTH(Tabela_ferias_folgas[[#This Row],[Data]])</f>
        <v>5</v>
      </c>
      <c r="F453">
        <f>YEAR(Tabela_ferias_folgas[[#This Row],[Data]])</f>
        <v>2023</v>
      </c>
      <c r="G453" t="str">
        <f>Tabela_ferias_folgas[[#This Row],[Médico]]&amp;" - "&amp;Tabela_ferias_folgas[[#This Row],[Compromisso]]</f>
        <v>PP - FÉRIAS</v>
      </c>
    </row>
    <row r="454" spans="1:7" x14ac:dyDescent="0.3">
      <c r="A454" t="s">
        <v>16</v>
      </c>
      <c r="B454" t="s">
        <v>464</v>
      </c>
      <c r="C454" s="1">
        <v>45072</v>
      </c>
      <c r="D454">
        <f>DAY(Tabela_ferias_folgas[[#This Row],[Data]])</f>
        <v>26</v>
      </c>
      <c r="E454">
        <f>MONTH(Tabela_ferias_folgas[[#This Row],[Data]])</f>
        <v>5</v>
      </c>
      <c r="F454">
        <f>YEAR(Tabela_ferias_folgas[[#This Row],[Data]])</f>
        <v>2023</v>
      </c>
      <c r="G454" t="str">
        <f>Tabela_ferias_folgas[[#This Row],[Médico]]&amp;" - "&amp;Tabela_ferias_folgas[[#This Row],[Compromisso]]</f>
        <v>PP - FÉRIAS</v>
      </c>
    </row>
    <row r="455" spans="1:7" x14ac:dyDescent="0.3">
      <c r="A455" t="s">
        <v>85</v>
      </c>
      <c r="B455" t="s">
        <v>464</v>
      </c>
      <c r="C455" s="1">
        <v>45068</v>
      </c>
      <c r="D455">
        <f>DAY(Tabela_ferias_folgas[[#This Row],[Data]])</f>
        <v>22</v>
      </c>
      <c r="E455">
        <f>MONTH(Tabela_ferias_folgas[[#This Row],[Data]])</f>
        <v>5</v>
      </c>
      <c r="F455">
        <f>YEAR(Tabela_ferias_folgas[[#This Row],[Data]])</f>
        <v>2023</v>
      </c>
      <c r="G455" t="str">
        <f>Tabela_ferias_folgas[[#This Row],[Médico]]&amp;" - "&amp;Tabela_ferias_folgas[[#This Row],[Compromisso]]</f>
        <v>ELF - FÉRIAS</v>
      </c>
    </row>
    <row r="456" spans="1:7" x14ac:dyDescent="0.3">
      <c r="A456" t="s">
        <v>85</v>
      </c>
      <c r="B456" t="s">
        <v>464</v>
      </c>
      <c r="C456" s="1">
        <v>45069</v>
      </c>
      <c r="D456">
        <f>DAY(Tabela_ferias_folgas[[#This Row],[Data]])</f>
        <v>23</v>
      </c>
      <c r="E456">
        <f>MONTH(Tabela_ferias_folgas[[#This Row],[Data]])</f>
        <v>5</v>
      </c>
      <c r="F456">
        <f>YEAR(Tabela_ferias_folgas[[#This Row],[Data]])</f>
        <v>2023</v>
      </c>
      <c r="G456" t="str">
        <f>Tabela_ferias_folgas[[#This Row],[Médico]]&amp;" - "&amp;Tabela_ferias_folgas[[#This Row],[Compromisso]]</f>
        <v>ELF - FÉRIAS</v>
      </c>
    </row>
    <row r="457" spans="1:7" x14ac:dyDescent="0.3">
      <c r="A457" t="s">
        <v>85</v>
      </c>
      <c r="B457" t="s">
        <v>464</v>
      </c>
      <c r="C457" s="1">
        <v>45070</v>
      </c>
      <c r="D457">
        <f>DAY(Tabela_ferias_folgas[[#This Row],[Data]])</f>
        <v>24</v>
      </c>
      <c r="E457">
        <f>MONTH(Tabela_ferias_folgas[[#This Row],[Data]])</f>
        <v>5</v>
      </c>
      <c r="F457">
        <f>YEAR(Tabela_ferias_folgas[[#This Row],[Data]])</f>
        <v>2023</v>
      </c>
      <c r="G457" t="str">
        <f>Tabela_ferias_folgas[[#This Row],[Médico]]&amp;" - "&amp;Tabela_ferias_folgas[[#This Row],[Compromisso]]</f>
        <v>ELF - FÉRIAS</v>
      </c>
    </row>
    <row r="458" spans="1:7" x14ac:dyDescent="0.3">
      <c r="A458" t="s">
        <v>85</v>
      </c>
      <c r="B458" t="s">
        <v>464</v>
      </c>
      <c r="C458" s="1">
        <v>45071</v>
      </c>
      <c r="D458">
        <f>DAY(Tabela_ferias_folgas[[#This Row],[Data]])</f>
        <v>25</v>
      </c>
      <c r="E458">
        <f>MONTH(Tabela_ferias_folgas[[#This Row],[Data]])</f>
        <v>5</v>
      </c>
      <c r="F458">
        <f>YEAR(Tabela_ferias_folgas[[#This Row],[Data]])</f>
        <v>2023</v>
      </c>
      <c r="G458" t="str">
        <f>Tabela_ferias_folgas[[#This Row],[Médico]]&amp;" - "&amp;Tabela_ferias_folgas[[#This Row],[Compromisso]]</f>
        <v>ELF - FÉRIAS</v>
      </c>
    </row>
    <row r="459" spans="1:7" x14ac:dyDescent="0.3">
      <c r="A459" t="s">
        <v>85</v>
      </c>
      <c r="B459" t="s">
        <v>464</v>
      </c>
      <c r="C459" s="1">
        <v>45072</v>
      </c>
      <c r="D459">
        <f>DAY(Tabela_ferias_folgas[[#This Row],[Data]])</f>
        <v>26</v>
      </c>
      <c r="E459">
        <f>MONTH(Tabela_ferias_folgas[[#This Row],[Data]])</f>
        <v>5</v>
      </c>
      <c r="F459">
        <f>YEAR(Tabela_ferias_folgas[[#This Row],[Data]])</f>
        <v>2023</v>
      </c>
      <c r="G459" t="str">
        <f>Tabela_ferias_folgas[[#This Row],[Médico]]&amp;" - "&amp;Tabela_ferias_folgas[[#This Row],[Compromisso]]</f>
        <v>ELF - FÉRIAS</v>
      </c>
    </row>
    <row r="460" spans="1:7" x14ac:dyDescent="0.3">
      <c r="A460" t="s">
        <v>85</v>
      </c>
      <c r="B460" t="s">
        <v>464</v>
      </c>
      <c r="C460" s="1">
        <v>45073</v>
      </c>
      <c r="D460">
        <f>DAY(Tabela_ferias_folgas[[#This Row],[Data]])</f>
        <v>27</v>
      </c>
      <c r="E460">
        <f>MONTH(Tabela_ferias_folgas[[#This Row],[Data]])</f>
        <v>5</v>
      </c>
      <c r="F460">
        <f>YEAR(Tabela_ferias_folgas[[#This Row],[Data]])</f>
        <v>2023</v>
      </c>
      <c r="G460" t="str">
        <f>Tabela_ferias_folgas[[#This Row],[Médico]]&amp;" - "&amp;Tabela_ferias_folgas[[#This Row],[Compromisso]]</f>
        <v>ELF - FÉRIAS</v>
      </c>
    </row>
    <row r="461" spans="1:7" x14ac:dyDescent="0.3">
      <c r="A461" t="s">
        <v>85</v>
      </c>
      <c r="B461" t="s">
        <v>464</v>
      </c>
      <c r="C461" s="1">
        <v>45074</v>
      </c>
      <c r="D461">
        <f>DAY(Tabela_ferias_folgas[[#This Row],[Data]])</f>
        <v>28</v>
      </c>
      <c r="E461">
        <f>MONTH(Tabela_ferias_folgas[[#This Row],[Data]])</f>
        <v>5</v>
      </c>
      <c r="F461">
        <f>YEAR(Tabela_ferias_folgas[[#This Row],[Data]])</f>
        <v>2023</v>
      </c>
      <c r="G461" t="str">
        <f>Tabela_ferias_folgas[[#This Row],[Médico]]&amp;" - "&amp;Tabela_ferias_folgas[[#This Row],[Compromisso]]</f>
        <v>ELF - FÉRIAS</v>
      </c>
    </row>
    <row r="462" spans="1:7" x14ac:dyDescent="0.3">
      <c r="A462" t="s">
        <v>142</v>
      </c>
      <c r="B462" t="s">
        <v>464</v>
      </c>
      <c r="C462" s="1">
        <v>45073</v>
      </c>
      <c r="D462">
        <f>DAY(Tabela_ferias_folgas[[#This Row],[Data]])</f>
        <v>27</v>
      </c>
      <c r="E462">
        <f>MONTH(Tabela_ferias_folgas[[#This Row],[Data]])</f>
        <v>5</v>
      </c>
      <c r="F462">
        <f>YEAR(Tabela_ferias_folgas[[#This Row],[Data]])</f>
        <v>2023</v>
      </c>
      <c r="G462" t="str">
        <f>Tabela_ferias_folgas[[#This Row],[Médico]]&amp;" - "&amp;Tabela_ferias_folgas[[#This Row],[Compromisso]]</f>
        <v>VIV - FÉRIAS</v>
      </c>
    </row>
    <row r="463" spans="1:7" x14ac:dyDescent="0.3">
      <c r="A463" t="s">
        <v>142</v>
      </c>
      <c r="B463" t="s">
        <v>464</v>
      </c>
      <c r="C463" s="1">
        <v>45074</v>
      </c>
      <c r="D463">
        <f>DAY(Tabela_ferias_folgas[[#This Row],[Data]])</f>
        <v>28</v>
      </c>
      <c r="E463">
        <f>MONTH(Tabela_ferias_folgas[[#This Row],[Data]])</f>
        <v>5</v>
      </c>
      <c r="F463">
        <f>YEAR(Tabela_ferias_folgas[[#This Row],[Data]])</f>
        <v>2023</v>
      </c>
      <c r="G463" t="str">
        <f>Tabela_ferias_folgas[[#This Row],[Médico]]&amp;" - "&amp;Tabela_ferias_folgas[[#This Row],[Compromisso]]</f>
        <v>VIV - FÉRIAS</v>
      </c>
    </row>
    <row r="464" spans="1:7" x14ac:dyDescent="0.3">
      <c r="A464" t="s">
        <v>142</v>
      </c>
      <c r="B464" t="s">
        <v>464</v>
      </c>
      <c r="C464" s="1">
        <v>45075</v>
      </c>
      <c r="D464">
        <f>DAY(Tabela_ferias_folgas[[#This Row],[Data]])</f>
        <v>29</v>
      </c>
      <c r="E464">
        <f>MONTH(Tabela_ferias_folgas[[#This Row],[Data]])</f>
        <v>5</v>
      </c>
      <c r="F464">
        <f>YEAR(Tabela_ferias_folgas[[#This Row],[Data]])</f>
        <v>2023</v>
      </c>
      <c r="G464" t="str">
        <f>Tabela_ferias_folgas[[#This Row],[Médico]]&amp;" - "&amp;Tabela_ferias_folgas[[#This Row],[Compromisso]]</f>
        <v>VIV - FÉRIAS</v>
      </c>
    </row>
    <row r="465" spans="1:7" x14ac:dyDescent="0.3">
      <c r="A465" t="s">
        <v>142</v>
      </c>
      <c r="B465" t="s">
        <v>464</v>
      </c>
      <c r="C465" s="1">
        <v>45076</v>
      </c>
      <c r="D465">
        <f>DAY(Tabela_ferias_folgas[[#This Row],[Data]])</f>
        <v>30</v>
      </c>
      <c r="E465">
        <f>MONTH(Tabela_ferias_folgas[[#This Row],[Data]])</f>
        <v>5</v>
      </c>
      <c r="F465">
        <f>YEAR(Tabela_ferias_folgas[[#This Row],[Data]])</f>
        <v>2023</v>
      </c>
      <c r="G465" t="str">
        <f>Tabela_ferias_folgas[[#This Row],[Médico]]&amp;" - "&amp;Tabela_ferias_folgas[[#This Row],[Compromisso]]</f>
        <v>VIV - FÉRIAS</v>
      </c>
    </row>
    <row r="466" spans="1:7" x14ac:dyDescent="0.3">
      <c r="A466" t="s">
        <v>142</v>
      </c>
      <c r="B466" t="s">
        <v>464</v>
      </c>
      <c r="C466" s="1">
        <v>45077</v>
      </c>
      <c r="D466">
        <f>DAY(Tabela_ferias_folgas[[#This Row],[Data]])</f>
        <v>31</v>
      </c>
      <c r="E466">
        <f>MONTH(Tabela_ferias_folgas[[#This Row],[Data]])</f>
        <v>5</v>
      </c>
      <c r="F466">
        <f>YEAR(Tabela_ferias_folgas[[#This Row],[Data]])</f>
        <v>2023</v>
      </c>
      <c r="G466" t="str">
        <f>Tabela_ferias_folgas[[#This Row],[Médico]]&amp;" - "&amp;Tabela_ferias_folgas[[#This Row],[Compromisso]]</f>
        <v>VIV - FÉRIAS</v>
      </c>
    </row>
    <row r="467" spans="1:7" x14ac:dyDescent="0.3">
      <c r="A467" t="s">
        <v>142</v>
      </c>
      <c r="B467" t="s">
        <v>464</v>
      </c>
      <c r="C467" s="1">
        <v>45078</v>
      </c>
      <c r="D467">
        <f>DAY(Tabela_ferias_folgas[[#This Row],[Data]])</f>
        <v>1</v>
      </c>
      <c r="E467">
        <f>MONTH(Tabela_ferias_folgas[[#This Row],[Data]])</f>
        <v>6</v>
      </c>
      <c r="F467">
        <f>YEAR(Tabela_ferias_folgas[[#This Row],[Data]])</f>
        <v>2023</v>
      </c>
      <c r="G467" t="str">
        <f>Tabela_ferias_folgas[[#This Row],[Médico]]&amp;" - "&amp;Tabela_ferias_folgas[[#This Row],[Compromisso]]</f>
        <v>VIV - FÉRIAS</v>
      </c>
    </row>
    <row r="468" spans="1:7" x14ac:dyDescent="0.3">
      <c r="A468" t="s">
        <v>142</v>
      </c>
      <c r="B468" t="s">
        <v>464</v>
      </c>
      <c r="C468" s="1">
        <v>45079</v>
      </c>
      <c r="D468">
        <f>DAY(Tabela_ferias_folgas[[#This Row],[Data]])</f>
        <v>2</v>
      </c>
      <c r="E468">
        <f>MONTH(Tabela_ferias_folgas[[#This Row],[Data]])</f>
        <v>6</v>
      </c>
      <c r="F468">
        <f>YEAR(Tabela_ferias_folgas[[#This Row],[Data]])</f>
        <v>2023</v>
      </c>
      <c r="G468" t="str">
        <f>Tabela_ferias_folgas[[#This Row],[Médico]]&amp;" - "&amp;Tabela_ferias_folgas[[#This Row],[Compromisso]]</f>
        <v>VIV - FÉRIAS</v>
      </c>
    </row>
    <row r="469" spans="1:7" x14ac:dyDescent="0.3">
      <c r="A469" t="s">
        <v>142</v>
      </c>
      <c r="B469" t="s">
        <v>464</v>
      </c>
      <c r="C469" s="1">
        <v>45080</v>
      </c>
      <c r="D469">
        <f>DAY(Tabela_ferias_folgas[[#This Row],[Data]])</f>
        <v>3</v>
      </c>
      <c r="E469">
        <f>MONTH(Tabela_ferias_folgas[[#This Row],[Data]])</f>
        <v>6</v>
      </c>
      <c r="F469">
        <f>YEAR(Tabela_ferias_folgas[[#This Row],[Data]])</f>
        <v>2023</v>
      </c>
      <c r="G469" t="str">
        <f>Tabela_ferias_folgas[[#This Row],[Médico]]&amp;" - "&amp;Tabela_ferias_folgas[[#This Row],[Compromisso]]</f>
        <v>VIV - FÉRIAS</v>
      </c>
    </row>
    <row r="470" spans="1:7" x14ac:dyDescent="0.3">
      <c r="A470" t="s">
        <v>142</v>
      </c>
      <c r="B470" t="s">
        <v>464</v>
      </c>
      <c r="C470" s="1">
        <v>45081</v>
      </c>
      <c r="D470">
        <f>DAY(Tabela_ferias_folgas[[#This Row],[Data]])</f>
        <v>4</v>
      </c>
      <c r="E470">
        <f>MONTH(Tabela_ferias_folgas[[#This Row],[Data]])</f>
        <v>6</v>
      </c>
      <c r="F470">
        <f>YEAR(Tabela_ferias_folgas[[#This Row],[Data]])</f>
        <v>2023</v>
      </c>
      <c r="G470" t="str">
        <f>Tabela_ferias_folgas[[#This Row],[Médico]]&amp;" - "&amp;Tabela_ferias_folgas[[#This Row],[Compromisso]]</f>
        <v>VIV - FÉRIAS</v>
      </c>
    </row>
    <row r="471" spans="1:7" x14ac:dyDescent="0.3">
      <c r="A471" t="s">
        <v>142</v>
      </c>
      <c r="B471" t="s">
        <v>464</v>
      </c>
      <c r="C471" s="1">
        <v>45082</v>
      </c>
      <c r="D471">
        <f>DAY(Tabela_ferias_folgas[[#This Row],[Data]])</f>
        <v>5</v>
      </c>
      <c r="E471">
        <f>MONTH(Tabela_ferias_folgas[[#This Row],[Data]])</f>
        <v>6</v>
      </c>
      <c r="F471">
        <f>YEAR(Tabela_ferias_folgas[[#This Row],[Data]])</f>
        <v>2023</v>
      </c>
      <c r="G471" t="str">
        <f>Tabela_ferias_folgas[[#This Row],[Médico]]&amp;" - "&amp;Tabela_ferias_folgas[[#This Row],[Compromisso]]</f>
        <v>VIV - FÉRIAS</v>
      </c>
    </row>
    <row r="472" spans="1:7" x14ac:dyDescent="0.3">
      <c r="A472" t="s">
        <v>142</v>
      </c>
      <c r="B472" t="s">
        <v>464</v>
      </c>
      <c r="C472" s="1">
        <v>45083</v>
      </c>
      <c r="D472">
        <f>DAY(Tabela_ferias_folgas[[#This Row],[Data]])</f>
        <v>6</v>
      </c>
      <c r="E472">
        <f>MONTH(Tabela_ferias_folgas[[#This Row],[Data]])</f>
        <v>6</v>
      </c>
      <c r="F472">
        <f>YEAR(Tabela_ferias_folgas[[#This Row],[Data]])</f>
        <v>2023</v>
      </c>
      <c r="G472" t="str">
        <f>Tabela_ferias_folgas[[#This Row],[Médico]]&amp;" - "&amp;Tabela_ferias_folgas[[#This Row],[Compromisso]]</f>
        <v>VIV - FÉRIAS</v>
      </c>
    </row>
    <row r="473" spans="1:7" x14ac:dyDescent="0.3">
      <c r="A473" t="s">
        <v>142</v>
      </c>
      <c r="B473" t="s">
        <v>464</v>
      </c>
      <c r="C473" s="1">
        <v>45084</v>
      </c>
      <c r="D473">
        <f>DAY(Tabela_ferias_folgas[[#This Row],[Data]])</f>
        <v>7</v>
      </c>
      <c r="E473">
        <f>MONTH(Tabela_ferias_folgas[[#This Row],[Data]])</f>
        <v>6</v>
      </c>
      <c r="F473">
        <f>YEAR(Tabela_ferias_folgas[[#This Row],[Data]])</f>
        <v>2023</v>
      </c>
      <c r="G473" t="str">
        <f>Tabela_ferias_folgas[[#This Row],[Médico]]&amp;" - "&amp;Tabela_ferias_folgas[[#This Row],[Compromisso]]</f>
        <v>VIV - FÉRIAS</v>
      </c>
    </row>
    <row r="474" spans="1:7" x14ac:dyDescent="0.3">
      <c r="A474" t="s">
        <v>142</v>
      </c>
      <c r="B474" t="s">
        <v>464</v>
      </c>
      <c r="C474" s="1">
        <v>45085</v>
      </c>
      <c r="D474">
        <f>DAY(Tabela_ferias_folgas[[#This Row],[Data]])</f>
        <v>8</v>
      </c>
      <c r="E474">
        <f>MONTH(Tabela_ferias_folgas[[#This Row],[Data]])</f>
        <v>6</v>
      </c>
      <c r="F474">
        <f>YEAR(Tabela_ferias_folgas[[#This Row],[Data]])</f>
        <v>2023</v>
      </c>
      <c r="G474" t="str">
        <f>Tabela_ferias_folgas[[#This Row],[Médico]]&amp;" - "&amp;Tabela_ferias_folgas[[#This Row],[Compromisso]]</f>
        <v>VIV - FÉRIAS</v>
      </c>
    </row>
    <row r="475" spans="1:7" x14ac:dyDescent="0.3">
      <c r="A475" t="s">
        <v>142</v>
      </c>
      <c r="B475" t="s">
        <v>464</v>
      </c>
      <c r="C475" s="1">
        <v>45086</v>
      </c>
      <c r="D475">
        <f>DAY(Tabela_ferias_folgas[[#This Row],[Data]])</f>
        <v>9</v>
      </c>
      <c r="E475">
        <f>MONTH(Tabela_ferias_folgas[[#This Row],[Data]])</f>
        <v>6</v>
      </c>
      <c r="F475">
        <f>YEAR(Tabela_ferias_folgas[[#This Row],[Data]])</f>
        <v>2023</v>
      </c>
      <c r="G475" t="str">
        <f>Tabela_ferias_folgas[[#This Row],[Médico]]&amp;" - "&amp;Tabela_ferias_folgas[[#This Row],[Compromisso]]</f>
        <v>VIV - FÉRIAS</v>
      </c>
    </row>
    <row r="476" spans="1:7" x14ac:dyDescent="0.3">
      <c r="A476" t="s">
        <v>33</v>
      </c>
      <c r="B476" t="s">
        <v>464</v>
      </c>
      <c r="C476" s="1">
        <v>45075</v>
      </c>
      <c r="D476">
        <f>DAY(Tabela_ferias_folgas[[#This Row],[Data]])</f>
        <v>29</v>
      </c>
      <c r="E476">
        <f>MONTH(Tabela_ferias_folgas[[#This Row],[Data]])</f>
        <v>5</v>
      </c>
      <c r="F476">
        <f>YEAR(Tabela_ferias_folgas[[#This Row],[Data]])</f>
        <v>2023</v>
      </c>
      <c r="G476" t="str">
        <f>Tabela_ferias_folgas[[#This Row],[Médico]]&amp;" - "&amp;Tabela_ferias_folgas[[#This Row],[Compromisso]]</f>
        <v>DIF - FÉRIAS</v>
      </c>
    </row>
    <row r="477" spans="1:7" x14ac:dyDescent="0.3">
      <c r="A477" t="s">
        <v>33</v>
      </c>
      <c r="B477" t="s">
        <v>464</v>
      </c>
      <c r="C477" s="1">
        <v>45076</v>
      </c>
      <c r="D477">
        <f>DAY(Tabela_ferias_folgas[[#This Row],[Data]])</f>
        <v>30</v>
      </c>
      <c r="E477">
        <f>MONTH(Tabela_ferias_folgas[[#This Row],[Data]])</f>
        <v>5</v>
      </c>
      <c r="F477">
        <f>YEAR(Tabela_ferias_folgas[[#This Row],[Data]])</f>
        <v>2023</v>
      </c>
      <c r="G477" t="str">
        <f>Tabela_ferias_folgas[[#This Row],[Médico]]&amp;" - "&amp;Tabela_ferias_folgas[[#This Row],[Compromisso]]</f>
        <v>DIF - FÉRIAS</v>
      </c>
    </row>
    <row r="478" spans="1:7" x14ac:dyDescent="0.3">
      <c r="A478" t="s">
        <v>33</v>
      </c>
      <c r="B478" t="s">
        <v>464</v>
      </c>
      <c r="C478" s="1">
        <v>45077</v>
      </c>
      <c r="D478">
        <f>DAY(Tabela_ferias_folgas[[#This Row],[Data]])</f>
        <v>31</v>
      </c>
      <c r="E478">
        <f>MONTH(Tabela_ferias_folgas[[#This Row],[Data]])</f>
        <v>5</v>
      </c>
      <c r="F478">
        <f>YEAR(Tabela_ferias_folgas[[#This Row],[Data]])</f>
        <v>2023</v>
      </c>
      <c r="G478" t="str">
        <f>Tabela_ferias_folgas[[#This Row],[Médico]]&amp;" - "&amp;Tabela_ferias_folgas[[#This Row],[Compromisso]]</f>
        <v>DIF - FÉRIAS</v>
      </c>
    </row>
    <row r="479" spans="1:7" x14ac:dyDescent="0.3">
      <c r="A479" t="s">
        <v>33</v>
      </c>
      <c r="B479" t="s">
        <v>464</v>
      </c>
      <c r="C479" s="1">
        <v>45078</v>
      </c>
      <c r="D479">
        <f>DAY(Tabela_ferias_folgas[[#This Row],[Data]])</f>
        <v>1</v>
      </c>
      <c r="E479">
        <f>MONTH(Tabela_ferias_folgas[[#This Row],[Data]])</f>
        <v>6</v>
      </c>
      <c r="F479">
        <f>YEAR(Tabela_ferias_folgas[[#This Row],[Data]])</f>
        <v>2023</v>
      </c>
      <c r="G479" t="str">
        <f>Tabela_ferias_folgas[[#This Row],[Médico]]&amp;" - "&amp;Tabela_ferias_folgas[[#This Row],[Compromisso]]</f>
        <v>DIF - FÉRIAS</v>
      </c>
    </row>
    <row r="480" spans="1:7" x14ac:dyDescent="0.3">
      <c r="A480" t="s">
        <v>33</v>
      </c>
      <c r="B480" t="s">
        <v>464</v>
      </c>
      <c r="C480" s="1">
        <v>45079</v>
      </c>
      <c r="D480">
        <f>DAY(Tabela_ferias_folgas[[#This Row],[Data]])</f>
        <v>2</v>
      </c>
      <c r="E480">
        <f>MONTH(Tabela_ferias_folgas[[#This Row],[Data]])</f>
        <v>6</v>
      </c>
      <c r="F480">
        <f>YEAR(Tabela_ferias_folgas[[#This Row],[Data]])</f>
        <v>2023</v>
      </c>
      <c r="G480" t="str">
        <f>Tabela_ferias_folgas[[#This Row],[Médico]]&amp;" - "&amp;Tabela_ferias_folgas[[#This Row],[Compromisso]]</f>
        <v>DIF - FÉRIAS</v>
      </c>
    </row>
    <row r="481" spans="1:7" x14ac:dyDescent="0.3">
      <c r="A481" t="s">
        <v>33</v>
      </c>
      <c r="B481" t="s">
        <v>464</v>
      </c>
      <c r="C481" s="1">
        <v>45080</v>
      </c>
      <c r="D481">
        <f>DAY(Tabela_ferias_folgas[[#This Row],[Data]])</f>
        <v>3</v>
      </c>
      <c r="E481">
        <f>MONTH(Tabela_ferias_folgas[[#This Row],[Data]])</f>
        <v>6</v>
      </c>
      <c r="F481">
        <f>YEAR(Tabela_ferias_folgas[[#This Row],[Data]])</f>
        <v>2023</v>
      </c>
      <c r="G481" t="str">
        <f>Tabela_ferias_folgas[[#This Row],[Médico]]&amp;" - "&amp;Tabela_ferias_folgas[[#This Row],[Compromisso]]</f>
        <v>DIF - FÉRIAS</v>
      </c>
    </row>
    <row r="482" spans="1:7" x14ac:dyDescent="0.3">
      <c r="A482" t="s">
        <v>33</v>
      </c>
      <c r="B482" t="s">
        <v>464</v>
      </c>
      <c r="C482" s="1">
        <v>45081</v>
      </c>
      <c r="D482">
        <f>DAY(Tabela_ferias_folgas[[#This Row],[Data]])</f>
        <v>4</v>
      </c>
      <c r="E482">
        <f>MONTH(Tabela_ferias_folgas[[#This Row],[Data]])</f>
        <v>6</v>
      </c>
      <c r="F482">
        <f>YEAR(Tabela_ferias_folgas[[#This Row],[Data]])</f>
        <v>2023</v>
      </c>
      <c r="G482" t="str">
        <f>Tabela_ferias_folgas[[#This Row],[Médico]]&amp;" - "&amp;Tabela_ferias_folgas[[#This Row],[Compromisso]]</f>
        <v>DIF - FÉRIAS</v>
      </c>
    </row>
    <row r="483" spans="1:7" x14ac:dyDescent="0.3">
      <c r="A483" t="s">
        <v>33</v>
      </c>
      <c r="B483" t="s">
        <v>464</v>
      </c>
      <c r="C483" s="1">
        <v>45082</v>
      </c>
      <c r="D483">
        <f>DAY(Tabela_ferias_folgas[[#This Row],[Data]])</f>
        <v>5</v>
      </c>
      <c r="E483">
        <f>MONTH(Tabela_ferias_folgas[[#This Row],[Data]])</f>
        <v>6</v>
      </c>
      <c r="F483">
        <f>YEAR(Tabela_ferias_folgas[[#This Row],[Data]])</f>
        <v>2023</v>
      </c>
      <c r="G483" t="str">
        <f>Tabela_ferias_folgas[[#This Row],[Médico]]&amp;" - "&amp;Tabela_ferias_folgas[[#This Row],[Compromisso]]</f>
        <v>DIF - FÉRIAS</v>
      </c>
    </row>
    <row r="484" spans="1:7" x14ac:dyDescent="0.3">
      <c r="A484" t="s">
        <v>33</v>
      </c>
      <c r="B484" t="s">
        <v>464</v>
      </c>
      <c r="C484" s="1">
        <v>45083</v>
      </c>
      <c r="D484">
        <f>DAY(Tabela_ferias_folgas[[#This Row],[Data]])</f>
        <v>6</v>
      </c>
      <c r="E484">
        <f>MONTH(Tabela_ferias_folgas[[#This Row],[Data]])</f>
        <v>6</v>
      </c>
      <c r="F484">
        <f>YEAR(Tabela_ferias_folgas[[#This Row],[Data]])</f>
        <v>2023</v>
      </c>
      <c r="G484" t="str">
        <f>Tabela_ferias_folgas[[#This Row],[Médico]]&amp;" - "&amp;Tabela_ferias_folgas[[#This Row],[Compromisso]]</f>
        <v>DIF - FÉRIAS</v>
      </c>
    </row>
    <row r="485" spans="1:7" x14ac:dyDescent="0.3">
      <c r="A485" t="s">
        <v>33</v>
      </c>
      <c r="B485" t="s">
        <v>464</v>
      </c>
      <c r="C485" s="1">
        <v>45084</v>
      </c>
      <c r="D485">
        <f>DAY(Tabela_ferias_folgas[[#This Row],[Data]])</f>
        <v>7</v>
      </c>
      <c r="E485">
        <f>MONTH(Tabela_ferias_folgas[[#This Row],[Data]])</f>
        <v>6</v>
      </c>
      <c r="F485">
        <f>YEAR(Tabela_ferias_folgas[[#This Row],[Data]])</f>
        <v>2023</v>
      </c>
      <c r="G485" t="str">
        <f>Tabela_ferias_folgas[[#This Row],[Médico]]&amp;" - "&amp;Tabela_ferias_folgas[[#This Row],[Compromisso]]</f>
        <v>DIF - FÉRIAS</v>
      </c>
    </row>
    <row r="486" spans="1:7" x14ac:dyDescent="0.3">
      <c r="A486" t="s">
        <v>33</v>
      </c>
      <c r="B486" t="s">
        <v>464</v>
      </c>
      <c r="C486" s="1">
        <v>45085</v>
      </c>
      <c r="D486">
        <f>DAY(Tabela_ferias_folgas[[#This Row],[Data]])</f>
        <v>8</v>
      </c>
      <c r="E486">
        <f>MONTH(Tabela_ferias_folgas[[#This Row],[Data]])</f>
        <v>6</v>
      </c>
      <c r="F486">
        <f>YEAR(Tabela_ferias_folgas[[#This Row],[Data]])</f>
        <v>2023</v>
      </c>
      <c r="G486" t="str">
        <f>Tabela_ferias_folgas[[#This Row],[Médico]]&amp;" - "&amp;Tabela_ferias_folgas[[#This Row],[Compromisso]]</f>
        <v>DIF - FÉRIAS</v>
      </c>
    </row>
    <row r="487" spans="1:7" x14ac:dyDescent="0.3">
      <c r="A487" t="s">
        <v>33</v>
      </c>
      <c r="B487" t="s">
        <v>464</v>
      </c>
      <c r="C487" s="1">
        <v>45086</v>
      </c>
      <c r="D487">
        <f>DAY(Tabela_ferias_folgas[[#This Row],[Data]])</f>
        <v>9</v>
      </c>
      <c r="E487">
        <f>MONTH(Tabela_ferias_folgas[[#This Row],[Data]])</f>
        <v>6</v>
      </c>
      <c r="F487">
        <f>YEAR(Tabela_ferias_folgas[[#This Row],[Data]])</f>
        <v>2023</v>
      </c>
      <c r="G487" t="str">
        <f>Tabela_ferias_folgas[[#This Row],[Médico]]&amp;" - "&amp;Tabela_ferias_folgas[[#This Row],[Compromisso]]</f>
        <v>DIF - FÉRIAS</v>
      </c>
    </row>
    <row r="488" spans="1:7" x14ac:dyDescent="0.3">
      <c r="A488" t="s">
        <v>33</v>
      </c>
      <c r="B488" t="s">
        <v>464</v>
      </c>
      <c r="C488" s="1">
        <v>45087</v>
      </c>
      <c r="D488">
        <f>DAY(Tabela_ferias_folgas[[#This Row],[Data]])</f>
        <v>10</v>
      </c>
      <c r="E488">
        <f>MONTH(Tabela_ferias_folgas[[#This Row],[Data]])</f>
        <v>6</v>
      </c>
      <c r="F488">
        <f>YEAR(Tabela_ferias_folgas[[#This Row],[Data]])</f>
        <v>2023</v>
      </c>
      <c r="G488" t="str">
        <f>Tabela_ferias_folgas[[#This Row],[Médico]]&amp;" - "&amp;Tabela_ferias_folgas[[#This Row],[Compromisso]]</f>
        <v>DIF - FÉRIAS</v>
      </c>
    </row>
    <row r="489" spans="1:7" x14ac:dyDescent="0.3">
      <c r="A489" t="s">
        <v>33</v>
      </c>
      <c r="B489" t="s">
        <v>464</v>
      </c>
      <c r="C489" s="1">
        <v>45088</v>
      </c>
      <c r="D489">
        <f>DAY(Tabela_ferias_folgas[[#This Row],[Data]])</f>
        <v>11</v>
      </c>
      <c r="E489">
        <f>MONTH(Tabela_ferias_folgas[[#This Row],[Data]])</f>
        <v>6</v>
      </c>
      <c r="F489">
        <f>YEAR(Tabela_ferias_folgas[[#This Row],[Data]])</f>
        <v>2023</v>
      </c>
      <c r="G489" t="str">
        <f>Tabela_ferias_folgas[[#This Row],[Médico]]&amp;" - "&amp;Tabela_ferias_folgas[[#This Row],[Compromisso]]</f>
        <v>DIF - FÉRIAS</v>
      </c>
    </row>
    <row r="490" spans="1:7" x14ac:dyDescent="0.3">
      <c r="A490" t="s">
        <v>33</v>
      </c>
      <c r="B490" t="s">
        <v>464</v>
      </c>
      <c r="C490" s="1">
        <v>45089</v>
      </c>
      <c r="D490">
        <f>DAY(Tabela_ferias_folgas[[#This Row],[Data]])</f>
        <v>12</v>
      </c>
      <c r="E490">
        <f>MONTH(Tabela_ferias_folgas[[#This Row],[Data]])</f>
        <v>6</v>
      </c>
      <c r="F490">
        <f>YEAR(Tabela_ferias_folgas[[#This Row],[Data]])</f>
        <v>2023</v>
      </c>
      <c r="G490" t="str">
        <f>Tabela_ferias_folgas[[#This Row],[Médico]]&amp;" - "&amp;Tabela_ferias_folgas[[#This Row],[Compromisso]]</f>
        <v>DIF - FÉRIAS</v>
      </c>
    </row>
    <row r="491" spans="1:7" x14ac:dyDescent="0.3">
      <c r="A491" t="s">
        <v>33</v>
      </c>
      <c r="B491" t="s">
        <v>464</v>
      </c>
      <c r="C491" s="1">
        <v>45090</v>
      </c>
      <c r="D491">
        <f>DAY(Tabela_ferias_folgas[[#This Row],[Data]])</f>
        <v>13</v>
      </c>
      <c r="E491">
        <f>MONTH(Tabela_ferias_folgas[[#This Row],[Data]])</f>
        <v>6</v>
      </c>
      <c r="F491">
        <f>YEAR(Tabela_ferias_folgas[[#This Row],[Data]])</f>
        <v>2023</v>
      </c>
      <c r="G491" t="str">
        <f>Tabela_ferias_folgas[[#This Row],[Médico]]&amp;" - "&amp;Tabela_ferias_folgas[[#This Row],[Compromisso]]</f>
        <v>DIF - FÉRIAS</v>
      </c>
    </row>
    <row r="492" spans="1:7" x14ac:dyDescent="0.3">
      <c r="A492" t="s">
        <v>33</v>
      </c>
      <c r="B492" t="s">
        <v>464</v>
      </c>
      <c r="C492" s="1">
        <v>45091</v>
      </c>
      <c r="D492">
        <f>DAY(Tabela_ferias_folgas[[#This Row],[Data]])</f>
        <v>14</v>
      </c>
      <c r="E492">
        <f>MONTH(Tabela_ferias_folgas[[#This Row],[Data]])</f>
        <v>6</v>
      </c>
      <c r="F492">
        <f>YEAR(Tabela_ferias_folgas[[#This Row],[Data]])</f>
        <v>2023</v>
      </c>
      <c r="G492" t="str">
        <f>Tabela_ferias_folgas[[#This Row],[Médico]]&amp;" - "&amp;Tabela_ferias_folgas[[#This Row],[Compromisso]]</f>
        <v>DIF - FÉRIAS</v>
      </c>
    </row>
    <row r="493" spans="1:7" x14ac:dyDescent="0.3">
      <c r="A493" t="s">
        <v>33</v>
      </c>
      <c r="B493" t="s">
        <v>464</v>
      </c>
      <c r="C493" s="1">
        <v>45092</v>
      </c>
      <c r="D493">
        <f>DAY(Tabela_ferias_folgas[[#This Row],[Data]])</f>
        <v>15</v>
      </c>
      <c r="E493">
        <f>MONTH(Tabela_ferias_folgas[[#This Row],[Data]])</f>
        <v>6</v>
      </c>
      <c r="F493">
        <f>YEAR(Tabela_ferias_folgas[[#This Row],[Data]])</f>
        <v>2023</v>
      </c>
      <c r="G493" t="str">
        <f>Tabela_ferias_folgas[[#This Row],[Médico]]&amp;" - "&amp;Tabela_ferias_folgas[[#This Row],[Compromisso]]</f>
        <v>DIF - FÉRIAS</v>
      </c>
    </row>
    <row r="494" spans="1:7" x14ac:dyDescent="0.3">
      <c r="A494" t="s">
        <v>33</v>
      </c>
      <c r="B494" t="s">
        <v>464</v>
      </c>
      <c r="C494" s="1">
        <v>45093</v>
      </c>
      <c r="D494">
        <f>DAY(Tabela_ferias_folgas[[#This Row],[Data]])</f>
        <v>16</v>
      </c>
      <c r="E494">
        <f>MONTH(Tabela_ferias_folgas[[#This Row],[Data]])</f>
        <v>6</v>
      </c>
      <c r="F494">
        <f>YEAR(Tabela_ferias_folgas[[#This Row],[Data]])</f>
        <v>2023</v>
      </c>
      <c r="G494" t="str">
        <f>Tabela_ferias_folgas[[#This Row],[Médico]]&amp;" - "&amp;Tabela_ferias_folgas[[#This Row],[Compromisso]]</f>
        <v>DIF - FÉRIAS</v>
      </c>
    </row>
    <row r="495" spans="1:7" x14ac:dyDescent="0.3">
      <c r="A495" t="s">
        <v>47</v>
      </c>
      <c r="B495" t="s">
        <v>464</v>
      </c>
      <c r="C495" s="1">
        <v>45075</v>
      </c>
      <c r="D495">
        <f>DAY(Tabela_ferias_folgas[[#This Row],[Data]])</f>
        <v>29</v>
      </c>
      <c r="E495">
        <f>MONTH(Tabela_ferias_folgas[[#This Row],[Data]])</f>
        <v>5</v>
      </c>
      <c r="F495">
        <f>YEAR(Tabela_ferias_folgas[[#This Row],[Data]])</f>
        <v>2023</v>
      </c>
      <c r="G495" t="str">
        <f>Tabela_ferias_folgas[[#This Row],[Médico]]&amp;" - "&amp;Tabela_ferias_folgas[[#This Row],[Compromisso]]</f>
        <v>VIN - FÉRIAS</v>
      </c>
    </row>
    <row r="496" spans="1:7" x14ac:dyDescent="0.3">
      <c r="A496" t="s">
        <v>47</v>
      </c>
      <c r="B496" t="s">
        <v>464</v>
      </c>
      <c r="C496" s="1">
        <v>45076</v>
      </c>
      <c r="D496">
        <f>DAY(Tabela_ferias_folgas[[#This Row],[Data]])</f>
        <v>30</v>
      </c>
      <c r="E496">
        <f>MONTH(Tabela_ferias_folgas[[#This Row],[Data]])</f>
        <v>5</v>
      </c>
      <c r="F496">
        <f>YEAR(Tabela_ferias_folgas[[#This Row],[Data]])</f>
        <v>2023</v>
      </c>
      <c r="G496" t="str">
        <f>Tabela_ferias_folgas[[#This Row],[Médico]]&amp;" - "&amp;Tabela_ferias_folgas[[#This Row],[Compromisso]]</f>
        <v>VIN - FÉRIAS</v>
      </c>
    </row>
    <row r="497" spans="1:7" x14ac:dyDescent="0.3">
      <c r="A497" t="s">
        <v>47</v>
      </c>
      <c r="B497" t="s">
        <v>464</v>
      </c>
      <c r="C497" s="1">
        <v>45077</v>
      </c>
      <c r="D497">
        <f>DAY(Tabela_ferias_folgas[[#This Row],[Data]])</f>
        <v>31</v>
      </c>
      <c r="E497">
        <f>MONTH(Tabela_ferias_folgas[[#This Row],[Data]])</f>
        <v>5</v>
      </c>
      <c r="F497">
        <f>YEAR(Tabela_ferias_folgas[[#This Row],[Data]])</f>
        <v>2023</v>
      </c>
      <c r="G497" t="str">
        <f>Tabela_ferias_folgas[[#This Row],[Médico]]&amp;" - "&amp;Tabela_ferias_folgas[[#This Row],[Compromisso]]</f>
        <v>VIN - FÉRIAS</v>
      </c>
    </row>
    <row r="498" spans="1:7" x14ac:dyDescent="0.3">
      <c r="A498" t="s">
        <v>47</v>
      </c>
      <c r="B498" t="s">
        <v>464</v>
      </c>
      <c r="C498" s="1">
        <v>45078</v>
      </c>
      <c r="D498">
        <f>DAY(Tabela_ferias_folgas[[#This Row],[Data]])</f>
        <v>1</v>
      </c>
      <c r="E498">
        <f>MONTH(Tabela_ferias_folgas[[#This Row],[Data]])</f>
        <v>6</v>
      </c>
      <c r="F498">
        <f>YEAR(Tabela_ferias_folgas[[#This Row],[Data]])</f>
        <v>2023</v>
      </c>
      <c r="G498" t="str">
        <f>Tabela_ferias_folgas[[#This Row],[Médico]]&amp;" - "&amp;Tabela_ferias_folgas[[#This Row],[Compromisso]]</f>
        <v>VIN - FÉRIAS</v>
      </c>
    </row>
    <row r="499" spans="1:7" x14ac:dyDescent="0.3">
      <c r="A499" t="s">
        <v>47</v>
      </c>
      <c r="B499" t="s">
        <v>464</v>
      </c>
      <c r="C499" s="1">
        <v>45079</v>
      </c>
      <c r="D499">
        <f>DAY(Tabela_ferias_folgas[[#This Row],[Data]])</f>
        <v>2</v>
      </c>
      <c r="E499">
        <f>MONTH(Tabela_ferias_folgas[[#This Row],[Data]])</f>
        <v>6</v>
      </c>
      <c r="F499">
        <f>YEAR(Tabela_ferias_folgas[[#This Row],[Data]])</f>
        <v>2023</v>
      </c>
      <c r="G499" t="str">
        <f>Tabela_ferias_folgas[[#This Row],[Médico]]&amp;" - "&amp;Tabela_ferias_folgas[[#This Row],[Compromisso]]</f>
        <v>VIN - FÉRIAS</v>
      </c>
    </row>
    <row r="500" spans="1:7" x14ac:dyDescent="0.3">
      <c r="A500" t="s">
        <v>23</v>
      </c>
      <c r="B500" t="s">
        <v>601</v>
      </c>
      <c r="C500" s="1">
        <v>45078</v>
      </c>
      <c r="D500">
        <f>DAY(Tabela_ferias_folgas[[#This Row],[Data]])</f>
        <v>1</v>
      </c>
      <c r="E500">
        <f>MONTH(Tabela_ferias_folgas[[#This Row],[Data]])</f>
        <v>6</v>
      </c>
      <c r="F500">
        <f>YEAR(Tabela_ferias_folgas[[#This Row],[Data]])</f>
        <v>2023</v>
      </c>
      <c r="G500" t="str">
        <f>Tabela_ferias_folgas[[#This Row],[Médico]]&amp;" - "&amp;Tabela_ferias_folgas[[#This Row],[Compromisso]]</f>
        <v>BG - CONGRESSO (ESAIC)</v>
      </c>
    </row>
    <row r="501" spans="1:7" x14ac:dyDescent="0.3">
      <c r="A501" t="s">
        <v>23</v>
      </c>
      <c r="B501" t="s">
        <v>601</v>
      </c>
      <c r="C501" s="1">
        <v>45079</v>
      </c>
      <c r="D501">
        <f>DAY(Tabela_ferias_folgas[[#This Row],[Data]])</f>
        <v>2</v>
      </c>
      <c r="E501">
        <f>MONTH(Tabela_ferias_folgas[[#This Row],[Data]])</f>
        <v>6</v>
      </c>
      <c r="F501">
        <f>YEAR(Tabela_ferias_folgas[[#This Row],[Data]])</f>
        <v>2023</v>
      </c>
      <c r="G501" t="str">
        <f>Tabela_ferias_folgas[[#This Row],[Médico]]&amp;" - "&amp;Tabela_ferias_folgas[[#This Row],[Compromisso]]</f>
        <v>BG - CONGRESSO (ESAIC)</v>
      </c>
    </row>
    <row r="502" spans="1:7" x14ac:dyDescent="0.3">
      <c r="A502" t="s">
        <v>23</v>
      </c>
      <c r="B502" t="s">
        <v>601</v>
      </c>
      <c r="C502" s="1">
        <v>45080</v>
      </c>
      <c r="D502">
        <f>DAY(Tabela_ferias_folgas[[#This Row],[Data]])</f>
        <v>3</v>
      </c>
      <c r="E502">
        <f>MONTH(Tabela_ferias_folgas[[#This Row],[Data]])</f>
        <v>6</v>
      </c>
      <c r="F502">
        <f>YEAR(Tabela_ferias_folgas[[#This Row],[Data]])</f>
        <v>2023</v>
      </c>
      <c r="G502" t="str">
        <f>Tabela_ferias_folgas[[#This Row],[Médico]]&amp;" - "&amp;Tabela_ferias_folgas[[#This Row],[Compromisso]]</f>
        <v>BG - CONGRESSO (ESAIC)</v>
      </c>
    </row>
    <row r="503" spans="1:7" x14ac:dyDescent="0.3">
      <c r="A503" t="s">
        <v>23</v>
      </c>
      <c r="B503" t="s">
        <v>601</v>
      </c>
      <c r="C503" s="1">
        <v>45081</v>
      </c>
      <c r="D503">
        <f>DAY(Tabela_ferias_folgas[[#This Row],[Data]])</f>
        <v>4</v>
      </c>
      <c r="E503">
        <f>MONTH(Tabela_ferias_folgas[[#This Row],[Data]])</f>
        <v>6</v>
      </c>
      <c r="F503">
        <f>YEAR(Tabela_ferias_folgas[[#This Row],[Data]])</f>
        <v>2023</v>
      </c>
      <c r="G503" t="str">
        <f>Tabela_ferias_folgas[[#This Row],[Médico]]&amp;" - "&amp;Tabela_ferias_folgas[[#This Row],[Compromisso]]</f>
        <v>BG - CONGRESSO (ESAIC)</v>
      </c>
    </row>
    <row r="504" spans="1:7" x14ac:dyDescent="0.3">
      <c r="A504" t="s">
        <v>23</v>
      </c>
      <c r="B504" t="s">
        <v>601</v>
      </c>
      <c r="C504" s="1">
        <v>45082</v>
      </c>
      <c r="D504">
        <f>DAY(Tabela_ferias_folgas[[#This Row],[Data]])</f>
        <v>5</v>
      </c>
      <c r="E504">
        <f>MONTH(Tabela_ferias_folgas[[#This Row],[Data]])</f>
        <v>6</v>
      </c>
      <c r="F504">
        <f>YEAR(Tabela_ferias_folgas[[#This Row],[Data]])</f>
        <v>2023</v>
      </c>
      <c r="G504" t="str">
        <f>Tabela_ferias_folgas[[#This Row],[Médico]]&amp;" - "&amp;Tabela_ferias_folgas[[#This Row],[Compromisso]]</f>
        <v>BG - CONGRESSO (ESAIC)</v>
      </c>
    </row>
    <row r="505" spans="1:7" x14ac:dyDescent="0.3">
      <c r="A505" t="s">
        <v>23</v>
      </c>
      <c r="B505" t="s">
        <v>601</v>
      </c>
      <c r="C505" s="1">
        <v>45083</v>
      </c>
      <c r="D505">
        <f>DAY(Tabela_ferias_folgas[[#This Row],[Data]])</f>
        <v>6</v>
      </c>
      <c r="E505">
        <f>MONTH(Tabela_ferias_folgas[[#This Row],[Data]])</f>
        <v>6</v>
      </c>
      <c r="F505">
        <f>YEAR(Tabela_ferias_folgas[[#This Row],[Data]])</f>
        <v>2023</v>
      </c>
      <c r="G505" t="str">
        <f>Tabela_ferias_folgas[[#This Row],[Médico]]&amp;" - "&amp;Tabela_ferias_folgas[[#This Row],[Compromisso]]</f>
        <v>BG - CONGRESSO (ESAIC)</v>
      </c>
    </row>
    <row r="506" spans="1:7" x14ac:dyDescent="0.3">
      <c r="A506" t="s">
        <v>23</v>
      </c>
      <c r="B506" t="s">
        <v>601</v>
      </c>
      <c r="C506" s="1">
        <v>45084</v>
      </c>
      <c r="D506">
        <f>DAY(Tabela_ferias_folgas[[#This Row],[Data]])</f>
        <v>7</v>
      </c>
      <c r="E506">
        <f>MONTH(Tabela_ferias_folgas[[#This Row],[Data]])</f>
        <v>6</v>
      </c>
      <c r="F506">
        <f>YEAR(Tabela_ferias_folgas[[#This Row],[Data]])</f>
        <v>2023</v>
      </c>
      <c r="G506" t="str">
        <f>Tabela_ferias_folgas[[#This Row],[Médico]]&amp;" - "&amp;Tabela_ferias_folgas[[#This Row],[Compromisso]]</f>
        <v>BG - CONGRESSO (ESAIC)</v>
      </c>
    </row>
    <row r="507" spans="1:7" x14ac:dyDescent="0.3">
      <c r="A507" t="s">
        <v>23</v>
      </c>
      <c r="B507" t="s">
        <v>601</v>
      </c>
      <c r="C507" s="1">
        <v>45085</v>
      </c>
      <c r="D507">
        <f>DAY(Tabela_ferias_folgas[[#This Row],[Data]])</f>
        <v>8</v>
      </c>
      <c r="E507">
        <f>MONTH(Tabela_ferias_folgas[[#This Row],[Data]])</f>
        <v>6</v>
      </c>
      <c r="F507">
        <f>YEAR(Tabela_ferias_folgas[[#This Row],[Data]])</f>
        <v>2023</v>
      </c>
      <c r="G507" t="str">
        <f>Tabela_ferias_folgas[[#This Row],[Médico]]&amp;" - "&amp;Tabela_ferias_folgas[[#This Row],[Compromisso]]</f>
        <v>BG - CONGRESSO (ESAIC)</v>
      </c>
    </row>
    <row r="508" spans="1:7" x14ac:dyDescent="0.3">
      <c r="A508" t="s">
        <v>47</v>
      </c>
      <c r="B508" t="s">
        <v>602</v>
      </c>
      <c r="C508" s="1">
        <v>45086</v>
      </c>
      <c r="D508">
        <f>DAY(Tabela_ferias_folgas[[#This Row],[Data]])</f>
        <v>9</v>
      </c>
      <c r="E508">
        <f>MONTH(Tabela_ferias_folgas[[#This Row],[Data]])</f>
        <v>6</v>
      </c>
      <c r="F508">
        <f>YEAR(Tabela_ferias_folgas[[#This Row],[Data]])</f>
        <v>2023</v>
      </c>
      <c r="G508" t="str">
        <f>Tabela_ferias_folgas[[#This Row],[Médico]]&amp;" - "&amp;Tabela_ferias_folgas[[#This Row],[Compromisso]]</f>
        <v>VIN - CONGRESSO (JOSULBRA)</v>
      </c>
    </row>
    <row r="509" spans="1:7" x14ac:dyDescent="0.3">
      <c r="A509" t="s">
        <v>47</v>
      </c>
      <c r="B509" t="s">
        <v>602</v>
      </c>
      <c r="C509" s="1">
        <v>45087</v>
      </c>
      <c r="D509">
        <f>DAY(Tabela_ferias_folgas[[#This Row],[Data]])</f>
        <v>10</v>
      </c>
      <c r="E509">
        <f>MONTH(Tabela_ferias_folgas[[#This Row],[Data]])</f>
        <v>6</v>
      </c>
      <c r="F509">
        <f>YEAR(Tabela_ferias_folgas[[#This Row],[Data]])</f>
        <v>2023</v>
      </c>
      <c r="G509" t="str">
        <f>Tabela_ferias_folgas[[#This Row],[Médico]]&amp;" - "&amp;Tabela_ferias_folgas[[#This Row],[Compromisso]]</f>
        <v>VIN - CONGRESSO (JOSULBRA)</v>
      </c>
    </row>
    <row r="510" spans="1:7" x14ac:dyDescent="0.3">
      <c r="A510" t="s">
        <v>47</v>
      </c>
      <c r="B510" t="s">
        <v>602</v>
      </c>
      <c r="C510" s="1">
        <v>45088</v>
      </c>
      <c r="D510">
        <f>DAY(Tabela_ferias_folgas[[#This Row],[Data]])</f>
        <v>11</v>
      </c>
      <c r="E510">
        <f>MONTH(Tabela_ferias_folgas[[#This Row],[Data]])</f>
        <v>6</v>
      </c>
      <c r="F510">
        <f>YEAR(Tabela_ferias_folgas[[#This Row],[Data]])</f>
        <v>2023</v>
      </c>
      <c r="G510" t="str">
        <f>Tabela_ferias_folgas[[#This Row],[Médico]]&amp;" - "&amp;Tabela_ferias_folgas[[#This Row],[Compromisso]]</f>
        <v>VIN - CONGRESSO (JOSULBRA)</v>
      </c>
    </row>
    <row r="511" spans="1:7" x14ac:dyDescent="0.3">
      <c r="A511" t="s">
        <v>66</v>
      </c>
      <c r="B511" t="s">
        <v>464</v>
      </c>
      <c r="C511" s="1">
        <v>45089</v>
      </c>
      <c r="D511">
        <f>DAY(Tabela_ferias_folgas[[#This Row],[Data]])</f>
        <v>12</v>
      </c>
      <c r="E511">
        <f>MONTH(Tabela_ferias_folgas[[#This Row],[Data]])</f>
        <v>6</v>
      </c>
      <c r="F511">
        <f>YEAR(Tabela_ferias_folgas[[#This Row],[Data]])</f>
        <v>2023</v>
      </c>
      <c r="G511" t="str">
        <f>Tabela_ferias_folgas[[#This Row],[Médico]]&amp;" - "&amp;Tabela_ferias_folgas[[#This Row],[Compromisso]]</f>
        <v>MOZ - FÉRIAS</v>
      </c>
    </row>
    <row r="512" spans="1:7" x14ac:dyDescent="0.3">
      <c r="A512" t="s">
        <v>66</v>
      </c>
      <c r="B512" t="s">
        <v>464</v>
      </c>
      <c r="C512" s="1">
        <v>45090</v>
      </c>
      <c r="D512">
        <f>DAY(Tabela_ferias_folgas[[#This Row],[Data]])</f>
        <v>13</v>
      </c>
      <c r="E512">
        <f>MONTH(Tabela_ferias_folgas[[#This Row],[Data]])</f>
        <v>6</v>
      </c>
      <c r="F512">
        <f>YEAR(Tabela_ferias_folgas[[#This Row],[Data]])</f>
        <v>2023</v>
      </c>
      <c r="G512" t="str">
        <f>Tabela_ferias_folgas[[#This Row],[Médico]]&amp;" - "&amp;Tabela_ferias_folgas[[#This Row],[Compromisso]]</f>
        <v>MOZ - FÉRIAS</v>
      </c>
    </row>
    <row r="513" spans="1:7" x14ac:dyDescent="0.3">
      <c r="A513" t="s">
        <v>66</v>
      </c>
      <c r="B513" t="s">
        <v>464</v>
      </c>
      <c r="C513" s="1">
        <v>45091</v>
      </c>
      <c r="D513">
        <f>DAY(Tabela_ferias_folgas[[#This Row],[Data]])</f>
        <v>14</v>
      </c>
      <c r="E513">
        <f>MONTH(Tabela_ferias_folgas[[#This Row],[Data]])</f>
        <v>6</v>
      </c>
      <c r="F513">
        <f>YEAR(Tabela_ferias_folgas[[#This Row],[Data]])</f>
        <v>2023</v>
      </c>
      <c r="G513" t="str">
        <f>Tabela_ferias_folgas[[#This Row],[Médico]]&amp;" - "&amp;Tabela_ferias_folgas[[#This Row],[Compromisso]]</f>
        <v>MOZ - FÉRIAS</v>
      </c>
    </row>
    <row r="514" spans="1:7" x14ac:dyDescent="0.3">
      <c r="A514" t="s">
        <v>66</v>
      </c>
      <c r="B514" t="s">
        <v>464</v>
      </c>
      <c r="C514" s="1">
        <v>45092</v>
      </c>
      <c r="D514">
        <f>DAY(Tabela_ferias_folgas[[#This Row],[Data]])</f>
        <v>15</v>
      </c>
      <c r="E514">
        <f>MONTH(Tabela_ferias_folgas[[#This Row],[Data]])</f>
        <v>6</v>
      </c>
      <c r="F514">
        <f>YEAR(Tabela_ferias_folgas[[#This Row],[Data]])</f>
        <v>2023</v>
      </c>
      <c r="G514" t="str">
        <f>Tabela_ferias_folgas[[#This Row],[Médico]]&amp;" - "&amp;Tabela_ferias_folgas[[#This Row],[Compromisso]]</f>
        <v>MOZ - FÉRIAS</v>
      </c>
    </row>
    <row r="515" spans="1:7" x14ac:dyDescent="0.3">
      <c r="A515" t="s">
        <v>66</v>
      </c>
      <c r="B515" t="s">
        <v>464</v>
      </c>
      <c r="C515" s="1">
        <v>45093</v>
      </c>
      <c r="D515">
        <f>DAY(Tabela_ferias_folgas[[#This Row],[Data]])</f>
        <v>16</v>
      </c>
      <c r="E515">
        <f>MONTH(Tabela_ferias_folgas[[#This Row],[Data]])</f>
        <v>6</v>
      </c>
      <c r="F515">
        <f>YEAR(Tabela_ferias_folgas[[#This Row],[Data]])</f>
        <v>2023</v>
      </c>
      <c r="G515" t="str">
        <f>Tabela_ferias_folgas[[#This Row],[Médico]]&amp;" - "&amp;Tabela_ferias_folgas[[#This Row],[Compromisso]]</f>
        <v>MOZ - FÉRIAS</v>
      </c>
    </row>
    <row r="516" spans="1:7" x14ac:dyDescent="0.3">
      <c r="A516" t="s">
        <v>68</v>
      </c>
      <c r="B516" t="s">
        <v>464</v>
      </c>
      <c r="C516" s="1">
        <v>45096</v>
      </c>
      <c r="D516">
        <f>DAY(Tabela_ferias_folgas[[#This Row],[Data]])</f>
        <v>19</v>
      </c>
      <c r="E516">
        <f>MONTH(Tabela_ferias_folgas[[#This Row],[Data]])</f>
        <v>6</v>
      </c>
      <c r="F516">
        <f>YEAR(Tabela_ferias_folgas[[#This Row],[Data]])</f>
        <v>2023</v>
      </c>
      <c r="G516" t="str">
        <f>Tabela_ferias_folgas[[#This Row],[Médico]]&amp;" - "&amp;Tabela_ferias_folgas[[#This Row],[Compromisso]]</f>
        <v>PED - FÉRIAS</v>
      </c>
    </row>
    <row r="517" spans="1:7" x14ac:dyDescent="0.3">
      <c r="A517" t="s">
        <v>68</v>
      </c>
      <c r="B517" t="s">
        <v>464</v>
      </c>
      <c r="C517" s="1">
        <v>45097</v>
      </c>
      <c r="D517">
        <f>DAY(Tabela_ferias_folgas[[#This Row],[Data]])</f>
        <v>20</v>
      </c>
      <c r="E517">
        <f>MONTH(Tabela_ferias_folgas[[#This Row],[Data]])</f>
        <v>6</v>
      </c>
      <c r="F517">
        <f>YEAR(Tabela_ferias_folgas[[#This Row],[Data]])</f>
        <v>2023</v>
      </c>
      <c r="G517" t="str">
        <f>Tabela_ferias_folgas[[#This Row],[Médico]]&amp;" - "&amp;Tabela_ferias_folgas[[#This Row],[Compromisso]]</f>
        <v>PED - FÉRIAS</v>
      </c>
    </row>
    <row r="518" spans="1:7" x14ac:dyDescent="0.3">
      <c r="A518" t="s">
        <v>68</v>
      </c>
      <c r="B518" t="s">
        <v>464</v>
      </c>
      <c r="C518" s="1">
        <v>45098</v>
      </c>
      <c r="D518">
        <f>DAY(Tabela_ferias_folgas[[#This Row],[Data]])</f>
        <v>21</v>
      </c>
      <c r="E518">
        <f>MONTH(Tabela_ferias_folgas[[#This Row],[Data]])</f>
        <v>6</v>
      </c>
      <c r="F518">
        <f>YEAR(Tabela_ferias_folgas[[#This Row],[Data]])</f>
        <v>2023</v>
      </c>
      <c r="G518" t="str">
        <f>Tabela_ferias_folgas[[#This Row],[Médico]]&amp;" - "&amp;Tabela_ferias_folgas[[#This Row],[Compromisso]]</f>
        <v>PED - FÉRIAS</v>
      </c>
    </row>
    <row r="519" spans="1:7" x14ac:dyDescent="0.3">
      <c r="A519" t="s">
        <v>68</v>
      </c>
      <c r="B519" t="s">
        <v>464</v>
      </c>
      <c r="C519" s="1">
        <v>45099</v>
      </c>
      <c r="D519">
        <f>DAY(Tabela_ferias_folgas[[#This Row],[Data]])</f>
        <v>22</v>
      </c>
      <c r="E519">
        <f>MONTH(Tabela_ferias_folgas[[#This Row],[Data]])</f>
        <v>6</v>
      </c>
      <c r="F519">
        <f>YEAR(Tabela_ferias_folgas[[#This Row],[Data]])</f>
        <v>2023</v>
      </c>
      <c r="G519" t="str">
        <f>Tabela_ferias_folgas[[#This Row],[Médico]]&amp;" - "&amp;Tabela_ferias_folgas[[#This Row],[Compromisso]]</f>
        <v>PED - FÉRIAS</v>
      </c>
    </row>
    <row r="520" spans="1:7" x14ac:dyDescent="0.3">
      <c r="A520" t="s">
        <v>68</v>
      </c>
      <c r="B520" t="s">
        <v>464</v>
      </c>
      <c r="C520" s="1">
        <v>45100</v>
      </c>
      <c r="D520">
        <f>DAY(Tabela_ferias_folgas[[#This Row],[Data]])</f>
        <v>23</v>
      </c>
      <c r="E520">
        <f>MONTH(Tabela_ferias_folgas[[#This Row],[Data]])</f>
        <v>6</v>
      </c>
      <c r="F520">
        <f>YEAR(Tabela_ferias_folgas[[#This Row],[Data]])</f>
        <v>2023</v>
      </c>
      <c r="G520" t="str">
        <f>Tabela_ferias_folgas[[#This Row],[Médico]]&amp;" - "&amp;Tabela_ferias_folgas[[#This Row],[Compromisso]]</f>
        <v>PED - FÉRIAS</v>
      </c>
    </row>
    <row r="521" spans="1:7" x14ac:dyDescent="0.3">
      <c r="A521" t="s">
        <v>68</v>
      </c>
      <c r="B521" t="s">
        <v>464</v>
      </c>
      <c r="C521" s="1">
        <v>45101</v>
      </c>
      <c r="D521">
        <f>DAY(Tabela_ferias_folgas[[#This Row],[Data]])</f>
        <v>24</v>
      </c>
      <c r="E521">
        <f>MONTH(Tabela_ferias_folgas[[#This Row],[Data]])</f>
        <v>6</v>
      </c>
      <c r="F521">
        <f>YEAR(Tabela_ferias_folgas[[#This Row],[Data]])</f>
        <v>2023</v>
      </c>
      <c r="G521" t="str">
        <f>Tabela_ferias_folgas[[#This Row],[Médico]]&amp;" - "&amp;Tabela_ferias_folgas[[#This Row],[Compromisso]]</f>
        <v>PED - FÉRIAS</v>
      </c>
    </row>
    <row r="522" spans="1:7" x14ac:dyDescent="0.3">
      <c r="A522" t="s">
        <v>68</v>
      </c>
      <c r="B522" t="s">
        <v>464</v>
      </c>
      <c r="C522" s="1">
        <v>45102</v>
      </c>
      <c r="D522">
        <f>DAY(Tabela_ferias_folgas[[#This Row],[Data]])</f>
        <v>25</v>
      </c>
      <c r="E522">
        <f>MONTH(Tabela_ferias_folgas[[#This Row],[Data]])</f>
        <v>6</v>
      </c>
      <c r="F522">
        <f>YEAR(Tabela_ferias_folgas[[#This Row],[Data]])</f>
        <v>2023</v>
      </c>
      <c r="G522" t="str">
        <f>Tabela_ferias_folgas[[#This Row],[Médico]]&amp;" - "&amp;Tabela_ferias_folgas[[#This Row],[Compromisso]]</f>
        <v>PED - FÉRIAS</v>
      </c>
    </row>
    <row r="523" spans="1:7" x14ac:dyDescent="0.3">
      <c r="A523" t="s">
        <v>68</v>
      </c>
      <c r="B523" t="s">
        <v>464</v>
      </c>
      <c r="C523" s="1">
        <v>45103</v>
      </c>
      <c r="D523">
        <f>DAY(Tabela_ferias_folgas[[#This Row],[Data]])</f>
        <v>26</v>
      </c>
      <c r="E523">
        <f>MONTH(Tabela_ferias_folgas[[#This Row],[Data]])</f>
        <v>6</v>
      </c>
      <c r="F523">
        <f>YEAR(Tabela_ferias_folgas[[#This Row],[Data]])</f>
        <v>2023</v>
      </c>
      <c r="G523" t="str">
        <f>Tabela_ferias_folgas[[#This Row],[Médico]]&amp;" - "&amp;Tabela_ferias_folgas[[#This Row],[Compromisso]]</f>
        <v>PED - FÉRIAS</v>
      </c>
    </row>
    <row r="524" spans="1:7" x14ac:dyDescent="0.3">
      <c r="A524" t="s">
        <v>68</v>
      </c>
      <c r="B524" t="s">
        <v>464</v>
      </c>
      <c r="C524" s="1">
        <v>45104</v>
      </c>
      <c r="D524">
        <f>DAY(Tabela_ferias_folgas[[#This Row],[Data]])</f>
        <v>27</v>
      </c>
      <c r="E524">
        <f>MONTH(Tabela_ferias_folgas[[#This Row],[Data]])</f>
        <v>6</v>
      </c>
      <c r="F524">
        <f>YEAR(Tabela_ferias_folgas[[#This Row],[Data]])</f>
        <v>2023</v>
      </c>
      <c r="G524" t="str">
        <f>Tabela_ferias_folgas[[#This Row],[Médico]]&amp;" - "&amp;Tabela_ferias_folgas[[#This Row],[Compromisso]]</f>
        <v>PED - FÉRIAS</v>
      </c>
    </row>
    <row r="525" spans="1:7" x14ac:dyDescent="0.3">
      <c r="A525" t="s">
        <v>68</v>
      </c>
      <c r="B525" t="s">
        <v>464</v>
      </c>
      <c r="C525" s="1">
        <v>45105</v>
      </c>
      <c r="D525">
        <f>DAY(Tabela_ferias_folgas[[#This Row],[Data]])</f>
        <v>28</v>
      </c>
      <c r="E525">
        <f>MONTH(Tabela_ferias_folgas[[#This Row],[Data]])</f>
        <v>6</v>
      </c>
      <c r="F525">
        <f>YEAR(Tabela_ferias_folgas[[#This Row],[Data]])</f>
        <v>2023</v>
      </c>
      <c r="G525" t="str">
        <f>Tabela_ferias_folgas[[#This Row],[Médico]]&amp;" - "&amp;Tabela_ferias_folgas[[#This Row],[Compromisso]]</f>
        <v>PED - FÉRIAS</v>
      </c>
    </row>
    <row r="526" spans="1:7" x14ac:dyDescent="0.3">
      <c r="A526" t="s">
        <v>68</v>
      </c>
      <c r="B526" t="s">
        <v>464</v>
      </c>
      <c r="C526" s="1">
        <v>45106</v>
      </c>
      <c r="D526">
        <f>DAY(Tabela_ferias_folgas[[#This Row],[Data]])</f>
        <v>29</v>
      </c>
      <c r="E526">
        <f>MONTH(Tabela_ferias_folgas[[#This Row],[Data]])</f>
        <v>6</v>
      </c>
      <c r="F526">
        <f>YEAR(Tabela_ferias_folgas[[#This Row],[Data]])</f>
        <v>2023</v>
      </c>
      <c r="G526" t="str">
        <f>Tabela_ferias_folgas[[#This Row],[Médico]]&amp;" - "&amp;Tabela_ferias_folgas[[#This Row],[Compromisso]]</f>
        <v>PED - FÉRIAS</v>
      </c>
    </row>
    <row r="527" spans="1:7" x14ac:dyDescent="0.3">
      <c r="A527" t="s">
        <v>68</v>
      </c>
      <c r="B527" t="s">
        <v>464</v>
      </c>
      <c r="C527" s="1">
        <v>45107</v>
      </c>
      <c r="D527">
        <f>DAY(Tabela_ferias_folgas[[#This Row],[Data]])</f>
        <v>30</v>
      </c>
      <c r="E527">
        <f>MONTH(Tabela_ferias_folgas[[#This Row],[Data]])</f>
        <v>6</v>
      </c>
      <c r="F527">
        <f>YEAR(Tabela_ferias_folgas[[#This Row],[Data]])</f>
        <v>2023</v>
      </c>
      <c r="G527" t="str">
        <f>Tabela_ferias_folgas[[#This Row],[Médico]]&amp;" - "&amp;Tabela_ferias_folgas[[#This Row],[Compromisso]]</f>
        <v>PED - FÉRIAS</v>
      </c>
    </row>
    <row r="528" spans="1:7" x14ac:dyDescent="0.3">
      <c r="A528" t="s">
        <v>44</v>
      </c>
      <c r="B528" t="s">
        <v>464</v>
      </c>
      <c r="C528" s="1">
        <v>45096</v>
      </c>
      <c r="D528">
        <f>DAY(Tabela_ferias_folgas[[#This Row],[Data]])</f>
        <v>19</v>
      </c>
      <c r="E528">
        <f>MONTH(Tabela_ferias_folgas[[#This Row],[Data]])</f>
        <v>6</v>
      </c>
      <c r="F528">
        <f>YEAR(Tabela_ferias_folgas[[#This Row],[Data]])</f>
        <v>2023</v>
      </c>
      <c r="G528" t="str">
        <f>Tabela_ferias_folgas[[#This Row],[Médico]]&amp;" - "&amp;Tabela_ferias_folgas[[#This Row],[Compromisso]]</f>
        <v>REI - FÉRIAS</v>
      </c>
    </row>
    <row r="529" spans="1:7" x14ac:dyDescent="0.3">
      <c r="A529" t="s">
        <v>44</v>
      </c>
      <c r="B529" t="s">
        <v>464</v>
      </c>
      <c r="C529" s="1">
        <v>45097</v>
      </c>
      <c r="D529">
        <f>DAY(Tabela_ferias_folgas[[#This Row],[Data]])</f>
        <v>20</v>
      </c>
      <c r="E529">
        <f>MONTH(Tabela_ferias_folgas[[#This Row],[Data]])</f>
        <v>6</v>
      </c>
      <c r="F529">
        <f>YEAR(Tabela_ferias_folgas[[#This Row],[Data]])</f>
        <v>2023</v>
      </c>
      <c r="G529" t="str">
        <f>Tabela_ferias_folgas[[#This Row],[Médico]]&amp;" - "&amp;Tabela_ferias_folgas[[#This Row],[Compromisso]]</f>
        <v>REI - FÉRIAS</v>
      </c>
    </row>
    <row r="530" spans="1:7" x14ac:dyDescent="0.3">
      <c r="A530" t="s">
        <v>44</v>
      </c>
      <c r="B530" t="s">
        <v>464</v>
      </c>
      <c r="C530" s="1">
        <v>45098</v>
      </c>
      <c r="D530">
        <f>DAY(Tabela_ferias_folgas[[#This Row],[Data]])</f>
        <v>21</v>
      </c>
      <c r="E530">
        <f>MONTH(Tabela_ferias_folgas[[#This Row],[Data]])</f>
        <v>6</v>
      </c>
      <c r="F530">
        <f>YEAR(Tabela_ferias_folgas[[#This Row],[Data]])</f>
        <v>2023</v>
      </c>
      <c r="G530" t="str">
        <f>Tabela_ferias_folgas[[#This Row],[Médico]]&amp;" - "&amp;Tabela_ferias_folgas[[#This Row],[Compromisso]]</f>
        <v>REI - FÉRIAS</v>
      </c>
    </row>
    <row r="531" spans="1:7" x14ac:dyDescent="0.3">
      <c r="A531" t="s">
        <v>44</v>
      </c>
      <c r="B531" t="s">
        <v>464</v>
      </c>
      <c r="C531" s="1">
        <v>45099</v>
      </c>
      <c r="D531">
        <f>DAY(Tabela_ferias_folgas[[#This Row],[Data]])</f>
        <v>22</v>
      </c>
      <c r="E531">
        <f>MONTH(Tabela_ferias_folgas[[#This Row],[Data]])</f>
        <v>6</v>
      </c>
      <c r="F531">
        <f>YEAR(Tabela_ferias_folgas[[#This Row],[Data]])</f>
        <v>2023</v>
      </c>
      <c r="G531" t="str">
        <f>Tabela_ferias_folgas[[#This Row],[Médico]]&amp;" - "&amp;Tabela_ferias_folgas[[#This Row],[Compromisso]]</f>
        <v>REI - FÉRIAS</v>
      </c>
    </row>
    <row r="532" spans="1:7" x14ac:dyDescent="0.3">
      <c r="A532" t="s">
        <v>44</v>
      </c>
      <c r="B532" t="s">
        <v>464</v>
      </c>
      <c r="C532" s="1">
        <v>45100</v>
      </c>
      <c r="D532">
        <f>DAY(Tabela_ferias_folgas[[#This Row],[Data]])</f>
        <v>23</v>
      </c>
      <c r="E532">
        <f>MONTH(Tabela_ferias_folgas[[#This Row],[Data]])</f>
        <v>6</v>
      </c>
      <c r="F532">
        <f>YEAR(Tabela_ferias_folgas[[#This Row],[Data]])</f>
        <v>2023</v>
      </c>
      <c r="G532" t="str">
        <f>Tabela_ferias_folgas[[#This Row],[Médico]]&amp;" - "&amp;Tabela_ferias_folgas[[#This Row],[Compromisso]]</f>
        <v>REI - FÉRIAS</v>
      </c>
    </row>
    <row r="533" spans="1:7" x14ac:dyDescent="0.3">
      <c r="A533" t="s">
        <v>32</v>
      </c>
      <c r="B533" t="s">
        <v>464</v>
      </c>
      <c r="C533" s="1">
        <v>45096</v>
      </c>
      <c r="D533">
        <f>DAY(Tabela_ferias_folgas[[#This Row],[Data]])</f>
        <v>19</v>
      </c>
      <c r="E533">
        <f>MONTH(Tabela_ferias_folgas[[#This Row],[Data]])</f>
        <v>6</v>
      </c>
      <c r="F533">
        <f>YEAR(Tabela_ferias_folgas[[#This Row],[Data]])</f>
        <v>2023</v>
      </c>
      <c r="G533" t="str">
        <f>Tabela_ferias_folgas[[#This Row],[Médico]]&amp;" - "&amp;Tabela_ferias_folgas[[#This Row],[Compromisso]]</f>
        <v>JS - FÉRIAS</v>
      </c>
    </row>
    <row r="534" spans="1:7" x14ac:dyDescent="0.3">
      <c r="A534" t="s">
        <v>32</v>
      </c>
      <c r="B534" t="s">
        <v>464</v>
      </c>
      <c r="C534" s="1">
        <v>45097</v>
      </c>
      <c r="D534">
        <f>DAY(Tabela_ferias_folgas[[#This Row],[Data]])</f>
        <v>20</v>
      </c>
      <c r="E534">
        <f>MONTH(Tabela_ferias_folgas[[#This Row],[Data]])</f>
        <v>6</v>
      </c>
      <c r="F534">
        <f>YEAR(Tabela_ferias_folgas[[#This Row],[Data]])</f>
        <v>2023</v>
      </c>
      <c r="G534" t="str">
        <f>Tabela_ferias_folgas[[#This Row],[Médico]]&amp;" - "&amp;Tabela_ferias_folgas[[#This Row],[Compromisso]]</f>
        <v>JS - FÉRIAS</v>
      </c>
    </row>
    <row r="535" spans="1:7" x14ac:dyDescent="0.3">
      <c r="A535" t="s">
        <v>32</v>
      </c>
      <c r="B535" t="s">
        <v>464</v>
      </c>
      <c r="C535" s="1">
        <v>45098</v>
      </c>
      <c r="D535">
        <f>DAY(Tabela_ferias_folgas[[#This Row],[Data]])</f>
        <v>21</v>
      </c>
      <c r="E535">
        <f>MONTH(Tabela_ferias_folgas[[#This Row],[Data]])</f>
        <v>6</v>
      </c>
      <c r="F535">
        <f>YEAR(Tabela_ferias_folgas[[#This Row],[Data]])</f>
        <v>2023</v>
      </c>
      <c r="G535" t="str">
        <f>Tabela_ferias_folgas[[#This Row],[Médico]]&amp;" - "&amp;Tabela_ferias_folgas[[#This Row],[Compromisso]]</f>
        <v>JS - FÉRIAS</v>
      </c>
    </row>
    <row r="536" spans="1:7" x14ac:dyDescent="0.3">
      <c r="A536" t="s">
        <v>32</v>
      </c>
      <c r="B536" t="s">
        <v>464</v>
      </c>
      <c r="C536" s="1">
        <v>45099</v>
      </c>
      <c r="D536">
        <f>DAY(Tabela_ferias_folgas[[#This Row],[Data]])</f>
        <v>22</v>
      </c>
      <c r="E536">
        <f>MONTH(Tabela_ferias_folgas[[#This Row],[Data]])</f>
        <v>6</v>
      </c>
      <c r="F536">
        <f>YEAR(Tabela_ferias_folgas[[#This Row],[Data]])</f>
        <v>2023</v>
      </c>
      <c r="G536" t="str">
        <f>Tabela_ferias_folgas[[#This Row],[Médico]]&amp;" - "&amp;Tabela_ferias_folgas[[#This Row],[Compromisso]]</f>
        <v>JS - FÉRIAS</v>
      </c>
    </row>
    <row r="537" spans="1:7" x14ac:dyDescent="0.3">
      <c r="A537" t="s">
        <v>32</v>
      </c>
      <c r="B537" t="s">
        <v>464</v>
      </c>
      <c r="C537" s="1">
        <v>45100</v>
      </c>
      <c r="D537">
        <f>DAY(Tabela_ferias_folgas[[#This Row],[Data]])</f>
        <v>23</v>
      </c>
      <c r="E537">
        <f>MONTH(Tabela_ferias_folgas[[#This Row],[Data]])</f>
        <v>6</v>
      </c>
      <c r="F537">
        <f>YEAR(Tabela_ferias_folgas[[#This Row],[Data]])</f>
        <v>2023</v>
      </c>
      <c r="G537" t="str">
        <f>Tabela_ferias_folgas[[#This Row],[Médico]]&amp;" - "&amp;Tabela_ferias_folgas[[#This Row],[Compromisso]]</f>
        <v>JS - FÉRIAS</v>
      </c>
    </row>
    <row r="538" spans="1:7" x14ac:dyDescent="0.3">
      <c r="A538" t="s">
        <v>23</v>
      </c>
      <c r="B538" t="s">
        <v>466</v>
      </c>
      <c r="C538" s="1">
        <v>45097</v>
      </c>
      <c r="D538">
        <f>DAY(Tabela_ferias_folgas[[#This Row],[Data]])</f>
        <v>20</v>
      </c>
      <c r="E538">
        <f>MONTH(Tabela_ferias_folgas[[#This Row],[Data]])</f>
        <v>6</v>
      </c>
      <c r="F538">
        <f>YEAR(Tabela_ferias_folgas[[#This Row],[Data]])</f>
        <v>2023</v>
      </c>
      <c r="G538" t="str">
        <f>Tabela_ferias_folgas[[#This Row],[Médico]]&amp;" - "&amp;Tabela_ferias_folgas[[#This Row],[Compromisso]]</f>
        <v>BG - CURSO</v>
      </c>
    </row>
    <row r="539" spans="1:7" x14ac:dyDescent="0.3">
      <c r="A539" t="s">
        <v>34</v>
      </c>
      <c r="B539" t="s">
        <v>464</v>
      </c>
      <c r="C539" s="1">
        <v>45103</v>
      </c>
      <c r="D539">
        <f>DAY(Tabela_ferias_folgas[[#This Row],[Data]])</f>
        <v>26</v>
      </c>
      <c r="E539">
        <f>MONTH(Tabela_ferias_folgas[[#This Row],[Data]])</f>
        <v>6</v>
      </c>
      <c r="F539">
        <f>YEAR(Tabela_ferias_folgas[[#This Row],[Data]])</f>
        <v>2023</v>
      </c>
      <c r="G539" t="str">
        <f>Tabela_ferias_folgas[[#This Row],[Médico]]&amp;" - "&amp;Tabela_ferias_folgas[[#This Row],[Compromisso]]</f>
        <v>LIP - FÉRIAS</v>
      </c>
    </row>
    <row r="540" spans="1:7" x14ac:dyDescent="0.3">
      <c r="A540" t="s">
        <v>34</v>
      </c>
      <c r="B540" t="s">
        <v>464</v>
      </c>
      <c r="C540" s="1">
        <v>45104</v>
      </c>
      <c r="D540">
        <f>DAY(Tabela_ferias_folgas[[#This Row],[Data]])</f>
        <v>27</v>
      </c>
      <c r="E540">
        <f>MONTH(Tabela_ferias_folgas[[#This Row],[Data]])</f>
        <v>6</v>
      </c>
      <c r="F540">
        <f>YEAR(Tabela_ferias_folgas[[#This Row],[Data]])</f>
        <v>2023</v>
      </c>
      <c r="G540" t="str">
        <f>Tabela_ferias_folgas[[#This Row],[Médico]]&amp;" - "&amp;Tabela_ferias_folgas[[#This Row],[Compromisso]]</f>
        <v>LIP - FÉRIAS</v>
      </c>
    </row>
    <row r="541" spans="1:7" x14ac:dyDescent="0.3">
      <c r="A541" t="s">
        <v>34</v>
      </c>
      <c r="B541" t="s">
        <v>464</v>
      </c>
      <c r="C541" s="1">
        <v>45105</v>
      </c>
      <c r="D541">
        <f>DAY(Tabela_ferias_folgas[[#This Row],[Data]])</f>
        <v>28</v>
      </c>
      <c r="E541">
        <f>MONTH(Tabela_ferias_folgas[[#This Row],[Data]])</f>
        <v>6</v>
      </c>
      <c r="F541">
        <f>YEAR(Tabela_ferias_folgas[[#This Row],[Data]])</f>
        <v>2023</v>
      </c>
      <c r="G541" t="str">
        <f>Tabela_ferias_folgas[[#This Row],[Médico]]&amp;" - "&amp;Tabela_ferias_folgas[[#This Row],[Compromisso]]</f>
        <v>LIP - FÉRIAS</v>
      </c>
    </row>
    <row r="542" spans="1:7" x14ac:dyDescent="0.3">
      <c r="A542" t="s">
        <v>34</v>
      </c>
      <c r="B542" t="s">
        <v>464</v>
      </c>
      <c r="C542" s="1">
        <v>45106</v>
      </c>
      <c r="D542">
        <f>DAY(Tabela_ferias_folgas[[#This Row],[Data]])</f>
        <v>29</v>
      </c>
      <c r="E542">
        <f>MONTH(Tabela_ferias_folgas[[#This Row],[Data]])</f>
        <v>6</v>
      </c>
      <c r="F542">
        <f>YEAR(Tabela_ferias_folgas[[#This Row],[Data]])</f>
        <v>2023</v>
      </c>
      <c r="G542" t="str">
        <f>Tabela_ferias_folgas[[#This Row],[Médico]]&amp;" - "&amp;Tabela_ferias_folgas[[#This Row],[Compromisso]]</f>
        <v>LIP - FÉRIAS</v>
      </c>
    </row>
    <row r="543" spans="1:7" x14ac:dyDescent="0.3">
      <c r="A543" t="s">
        <v>34</v>
      </c>
      <c r="B543" t="s">
        <v>464</v>
      </c>
      <c r="C543" s="1">
        <v>45107</v>
      </c>
      <c r="D543">
        <f>DAY(Tabela_ferias_folgas[[#This Row],[Data]])</f>
        <v>30</v>
      </c>
      <c r="E543">
        <f>MONTH(Tabela_ferias_folgas[[#This Row],[Data]])</f>
        <v>6</v>
      </c>
      <c r="F543">
        <f>YEAR(Tabela_ferias_folgas[[#This Row],[Data]])</f>
        <v>2023</v>
      </c>
      <c r="G543" t="str">
        <f>Tabela_ferias_folgas[[#This Row],[Médico]]&amp;" - "&amp;Tabela_ferias_folgas[[#This Row],[Compromisso]]</f>
        <v>LIP - FÉRIAS</v>
      </c>
    </row>
    <row r="544" spans="1:7" x14ac:dyDescent="0.3">
      <c r="A544" t="s">
        <v>34</v>
      </c>
      <c r="B544" t="s">
        <v>464</v>
      </c>
      <c r="C544" s="1">
        <v>45108</v>
      </c>
      <c r="D544">
        <f>DAY(Tabela_ferias_folgas[[#This Row],[Data]])</f>
        <v>1</v>
      </c>
      <c r="E544">
        <f>MONTH(Tabela_ferias_folgas[[#This Row],[Data]])</f>
        <v>7</v>
      </c>
      <c r="F544">
        <f>YEAR(Tabela_ferias_folgas[[#This Row],[Data]])</f>
        <v>2023</v>
      </c>
      <c r="G544" t="str">
        <f>Tabela_ferias_folgas[[#This Row],[Médico]]&amp;" - "&amp;Tabela_ferias_folgas[[#This Row],[Compromisso]]</f>
        <v>LIP - FÉRIAS</v>
      </c>
    </row>
    <row r="545" spans="1:7" x14ac:dyDescent="0.3">
      <c r="A545" t="s">
        <v>34</v>
      </c>
      <c r="B545" t="s">
        <v>464</v>
      </c>
      <c r="C545" s="1">
        <v>45109</v>
      </c>
      <c r="D545">
        <f>DAY(Tabela_ferias_folgas[[#This Row],[Data]])</f>
        <v>2</v>
      </c>
      <c r="E545">
        <f>MONTH(Tabela_ferias_folgas[[#This Row],[Data]])</f>
        <v>7</v>
      </c>
      <c r="F545">
        <f>YEAR(Tabela_ferias_folgas[[#This Row],[Data]])</f>
        <v>2023</v>
      </c>
      <c r="G545" t="str">
        <f>Tabela_ferias_folgas[[#This Row],[Médico]]&amp;" - "&amp;Tabela_ferias_folgas[[#This Row],[Compromisso]]</f>
        <v>LIP - FÉRIAS</v>
      </c>
    </row>
    <row r="546" spans="1:7" x14ac:dyDescent="0.3">
      <c r="A546" t="s">
        <v>34</v>
      </c>
      <c r="B546" t="s">
        <v>464</v>
      </c>
      <c r="C546" s="1">
        <v>45110</v>
      </c>
      <c r="D546">
        <f>DAY(Tabela_ferias_folgas[[#This Row],[Data]])</f>
        <v>3</v>
      </c>
      <c r="E546">
        <f>MONTH(Tabela_ferias_folgas[[#This Row],[Data]])</f>
        <v>7</v>
      </c>
      <c r="F546">
        <f>YEAR(Tabela_ferias_folgas[[#This Row],[Data]])</f>
        <v>2023</v>
      </c>
      <c r="G546" t="str">
        <f>Tabela_ferias_folgas[[#This Row],[Médico]]&amp;" - "&amp;Tabela_ferias_folgas[[#This Row],[Compromisso]]</f>
        <v>LIP - FÉRIAS</v>
      </c>
    </row>
    <row r="547" spans="1:7" x14ac:dyDescent="0.3">
      <c r="A547" t="s">
        <v>34</v>
      </c>
      <c r="B547" t="s">
        <v>464</v>
      </c>
      <c r="C547" s="1">
        <v>45111</v>
      </c>
      <c r="D547">
        <f>DAY(Tabela_ferias_folgas[[#This Row],[Data]])</f>
        <v>4</v>
      </c>
      <c r="E547">
        <f>MONTH(Tabela_ferias_folgas[[#This Row],[Data]])</f>
        <v>7</v>
      </c>
      <c r="F547">
        <f>YEAR(Tabela_ferias_folgas[[#This Row],[Data]])</f>
        <v>2023</v>
      </c>
      <c r="G547" t="str">
        <f>Tabela_ferias_folgas[[#This Row],[Médico]]&amp;" - "&amp;Tabela_ferias_folgas[[#This Row],[Compromisso]]</f>
        <v>LIP - FÉRIAS</v>
      </c>
    </row>
    <row r="548" spans="1:7" x14ac:dyDescent="0.3">
      <c r="A548" t="s">
        <v>34</v>
      </c>
      <c r="B548" t="s">
        <v>464</v>
      </c>
      <c r="C548" s="1">
        <v>45112</v>
      </c>
      <c r="D548">
        <f>DAY(Tabela_ferias_folgas[[#This Row],[Data]])</f>
        <v>5</v>
      </c>
      <c r="E548">
        <f>MONTH(Tabela_ferias_folgas[[#This Row],[Data]])</f>
        <v>7</v>
      </c>
      <c r="F548">
        <f>YEAR(Tabela_ferias_folgas[[#This Row],[Data]])</f>
        <v>2023</v>
      </c>
      <c r="G548" t="str">
        <f>Tabela_ferias_folgas[[#This Row],[Médico]]&amp;" - "&amp;Tabela_ferias_folgas[[#This Row],[Compromisso]]</f>
        <v>LIP - FÉRIAS</v>
      </c>
    </row>
    <row r="549" spans="1:7" x14ac:dyDescent="0.3">
      <c r="A549" t="s">
        <v>34</v>
      </c>
      <c r="B549" t="s">
        <v>464</v>
      </c>
      <c r="C549" s="1">
        <v>45113</v>
      </c>
      <c r="D549">
        <f>DAY(Tabela_ferias_folgas[[#This Row],[Data]])</f>
        <v>6</v>
      </c>
      <c r="E549">
        <f>MONTH(Tabela_ferias_folgas[[#This Row],[Data]])</f>
        <v>7</v>
      </c>
      <c r="F549">
        <f>YEAR(Tabela_ferias_folgas[[#This Row],[Data]])</f>
        <v>2023</v>
      </c>
      <c r="G549" t="str">
        <f>Tabela_ferias_folgas[[#This Row],[Médico]]&amp;" - "&amp;Tabela_ferias_folgas[[#This Row],[Compromisso]]</f>
        <v>LIP - FÉRIAS</v>
      </c>
    </row>
    <row r="550" spans="1:7" x14ac:dyDescent="0.3">
      <c r="A550" t="s">
        <v>34</v>
      </c>
      <c r="B550" t="s">
        <v>464</v>
      </c>
      <c r="C550" s="1">
        <v>45114</v>
      </c>
      <c r="D550">
        <f>DAY(Tabela_ferias_folgas[[#This Row],[Data]])</f>
        <v>7</v>
      </c>
      <c r="E550">
        <f>MONTH(Tabela_ferias_folgas[[#This Row],[Data]])</f>
        <v>7</v>
      </c>
      <c r="F550">
        <f>YEAR(Tabela_ferias_folgas[[#This Row],[Data]])</f>
        <v>2023</v>
      </c>
      <c r="G550" t="str">
        <f>Tabela_ferias_folgas[[#This Row],[Médico]]&amp;" - "&amp;Tabela_ferias_folgas[[#This Row],[Compromisso]]</f>
        <v>LIP - FÉRIAS</v>
      </c>
    </row>
    <row r="551" spans="1:7" x14ac:dyDescent="0.3">
      <c r="A551" t="s">
        <v>34</v>
      </c>
      <c r="B551" t="s">
        <v>464</v>
      </c>
      <c r="C551" s="1">
        <v>45115</v>
      </c>
      <c r="D551">
        <f>DAY(Tabela_ferias_folgas[[#This Row],[Data]])</f>
        <v>8</v>
      </c>
      <c r="E551">
        <f>MONTH(Tabela_ferias_folgas[[#This Row],[Data]])</f>
        <v>7</v>
      </c>
      <c r="F551">
        <f>YEAR(Tabela_ferias_folgas[[#This Row],[Data]])</f>
        <v>2023</v>
      </c>
      <c r="G551" t="str">
        <f>Tabela_ferias_folgas[[#This Row],[Médico]]&amp;" - "&amp;Tabela_ferias_folgas[[#This Row],[Compromisso]]</f>
        <v>LIP - FÉRIAS</v>
      </c>
    </row>
    <row r="552" spans="1:7" x14ac:dyDescent="0.3">
      <c r="A552" t="s">
        <v>34</v>
      </c>
      <c r="B552" t="s">
        <v>464</v>
      </c>
      <c r="C552" s="1">
        <v>45116</v>
      </c>
      <c r="D552">
        <f>DAY(Tabela_ferias_folgas[[#This Row],[Data]])</f>
        <v>9</v>
      </c>
      <c r="E552">
        <f>MONTH(Tabela_ferias_folgas[[#This Row],[Data]])</f>
        <v>7</v>
      </c>
      <c r="F552">
        <f>YEAR(Tabela_ferias_folgas[[#This Row],[Data]])</f>
        <v>2023</v>
      </c>
      <c r="G552" t="str">
        <f>Tabela_ferias_folgas[[#This Row],[Médico]]&amp;" - "&amp;Tabela_ferias_folgas[[#This Row],[Compromisso]]</f>
        <v>LIP - FÉRIAS</v>
      </c>
    </row>
    <row r="553" spans="1:7" x14ac:dyDescent="0.3">
      <c r="A553" t="s">
        <v>50</v>
      </c>
      <c r="B553" t="s">
        <v>464</v>
      </c>
      <c r="C553" s="1">
        <v>45108</v>
      </c>
      <c r="D553">
        <f>DAY(Tabela_ferias_folgas[[#This Row],[Data]])</f>
        <v>1</v>
      </c>
      <c r="E553">
        <f>MONTH(Tabela_ferias_folgas[[#This Row],[Data]])</f>
        <v>7</v>
      </c>
      <c r="F553">
        <f>YEAR(Tabela_ferias_folgas[[#This Row],[Data]])</f>
        <v>2023</v>
      </c>
      <c r="G553" t="str">
        <f>Tabela_ferias_folgas[[#This Row],[Médico]]&amp;" - "&amp;Tabela_ferias_folgas[[#This Row],[Compromisso]]</f>
        <v>PJP - FÉRIAS</v>
      </c>
    </row>
    <row r="554" spans="1:7" x14ac:dyDescent="0.3">
      <c r="A554" t="s">
        <v>50</v>
      </c>
      <c r="B554" t="s">
        <v>464</v>
      </c>
      <c r="C554" s="1">
        <v>45109</v>
      </c>
      <c r="D554">
        <f>DAY(Tabela_ferias_folgas[[#This Row],[Data]])</f>
        <v>2</v>
      </c>
      <c r="E554">
        <f>MONTH(Tabela_ferias_folgas[[#This Row],[Data]])</f>
        <v>7</v>
      </c>
      <c r="F554">
        <f>YEAR(Tabela_ferias_folgas[[#This Row],[Data]])</f>
        <v>2023</v>
      </c>
      <c r="G554" t="str">
        <f>Tabela_ferias_folgas[[#This Row],[Médico]]&amp;" - "&amp;Tabela_ferias_folgas[[#This Row],[Compromisso]]</f>
        <v>PJP - FÉRIAS</v>
      </c>
    </row>
    <row r="555" spans="1:7" x14ac:dyDescent="0.3">
      <c r="A555" t="s">
        <v>50</v>
      </c>
      <c r="B555" t="s">
        <v>464</v>
      </c>
      <c r="C555" s="1">
        <v>45110</v>
      </c>
      <c r="D555">
        <f>DAY(Tabela_ferias_folgas[[#This Row],[Data]])</f>
        <v>3</v>
      </c>
      <c r="E555">
        <f>MONTH(Tabela_ferias_folgas[[#This Row],[Data]])</f>
        <v>7</v>
      </c>
      <c r="F555">
        <f>YEAR(Tabela_ferias_folgas[[#This Row],[Data]])</f>
        <v>2023</v>
      </c>
      <c r="G555" t="str">
        <f>Tabela_ferias_folgas[[#This Row],[Médico]]&amp;" - "&amp;Tabela_ferias_folgas[[#This Row],[Compromisso]]</f>
        <v>PJP - FÉRIAS</v>
      </c>
    </row>
    <row r="556" spans="1:7" x14ac:dyDescent="0.3">
      <c r="A556" t="s">
        <v>50</v>
      </c>
      <c r="B556" t="s">
        <v>464</v>
      </c>
      <c r="C556" s="1">
        <v>45111</v>
      </c>
      <c r="D556">
        <f>DAY(Tabela_ferias_folgas[[#This Row],[Data]])</f>
        <v>4</v>
      </c>
      <c r="E556">
        <f>MONTH(Tabela_ferias_folgas[[#This Row],[Data]])</f>
        <v>7</v>
      </c>
      <c r="F556">
        <f>YEAR(Tabela_ferias_folgas[[#This Row],[Data]])</f>
        <v>2023</v>
      </c>
      <c r="G556" t="str">
        <f>Tabela_ferias_folgas[[#This Row],[Médico]]&amp;" - "&amp;Tabela_ferias_folgas[[#This Row],[Compromisso]]</f>
        <v>PJP - FÉRIAS</v>
      </c>
    </row>
    <row r="557" spans="1:7" x14ac:dyDescent="0.3">
      <c r="A557" t="s">
        <v>50</v>
      </c>
      <c r="B557" t="s">
        <v>464</v>
      </c>
      <c r="C557" s="1">
        <v>45112</v>
      </c>
      <c r="D557">
        <f>DAY(Tabela_ferias_folgas[[#This Row],[Data]])</f>
        <v>5</v>
      </c>
      <c r="E557">
        <f>MONTH(Tabela_ferias_folgas[[#This Row],[Data]])</f>
        <v>7</v>
      </c>
      <c r="F557">
        <f>YEAR(Tabela_ferias_folgas[[#This Row],[Data]])</f>
        <v>2023</v>
      </c>
      <c r="G557" t="str">
        <f>Tabela_ferias_folgas[[#This Row],[Médico]]&amp;" - "&amp;Tabela_ferias_folgas[[#This Row],[Compromisso]]</f>
        <v>PJP - FÉRIAS</v>
      </c>
    </row>
    <row r="558" spans="1:7" x14ac:dyDescent="0.3">
      <c r="A558" t="s">
        <v>50</v>
      </c>
      <c r="B558" t="s">
        <v>464</v>
      </c>
      <c r="C558" s="1">
        <v>45113</v>
      </c>
      <c r="D558">
        <f>DAY(Tabela_ferias_folgas[[#This Row],[Data]])</f>
        <v>6</v>
      </c>
      <c r="E558">
        <f>MONTH(Tabela_ferias_folgas[[#This Row],[Data]])</f>
        <v>7</v>
      </c>
      <c r="F558">
        <f>YEAR(Tabela_ferias_folgas[[#This Row],[Data]])</f>
        <v>2023</v>
      </c>
      <c r="G558" t="str">
        <f>Tabela_ferias_folgas[[#This Row],[Médico]]&amp;" - "&amp;Tabela_ferias_folgas[[#This Row],[Compromisso]]</f>
        <v>PJP - FÉRIAS</v>
      </c>
    </row>
    <row r="559" spans="1:7" x14ac:dyDescent="0.3">
      <c r="A559" t="s">
        <v>50</v>
      </c>
      <c r="B559" t="s">
        <v>464</v>
      </c>
      <c r="C559" s="1">
        <v>45114</v>
      </c>
      <c r="D559">
        <f>DAY(Tabela_ferias_folgas[[#This Row],[Data]])</f>
        <v>7</v>
      </c>
      <c r="E559">
        <f>MONTH(Tabela_ferias_folgas[[#This Row],[Data]])</f>
        <v>7</v>
      </c>
      <c r="F559">
        <f>YEAR(Tabela_ferias_folgas[[#This Row],[Data]])</f>
        <v>2023</v>
      </c>
      <c r="G559" t="str">
        <f>Tabela_ferias_folgas[[#This Row],[Médico]]&amp;" - "&amp;Tabela_ferias_folgas[[#This Row],[Compromisso]]</f>
        <v>PJP - FÉRIAS</v>
      </c>
    </row>
    <row r="560" spans="1:7" x14ac:dyDescent="0.3">
      <c r="A560" t="s">
        <v>50</v>
      </c>
      <c r="B560" t="s">
        <v>464</v>
      </c>
      <c r="C560" s="1">
        <v>45115</v>
      </c>
      <c r="D560">
        <f>DAY(Tabela_ferias_folgas[[#This Row],[Data]])</f>
        <v>8</v>
      </c>
      <c r="E560">
        <f>MONTH(Tabela_ferias_folgas[[#This Row],[Data]])</f>
        <v>7</v>
      </c>
      <c r="F560">
        <f>YEAR(Tabela_ferias_folgas[[#This Row],[Data]])</f>
        <v>2023</v>
      </c>
      <c r="G560" t="str">
        <f>Tabela_ferias_folgas[[#This Row],[Médico]]&amp;" - "&amp;Tabela_ferias_folgas[[#This Row],[Compromisso]]</f>
        <v>PJP - FÉRIAS</v>
      </c>
    </row>
    <row r="561" spans="1:7" x14ac:dyDescent="0.3">
      <c r="A561" t="s">
        <v>50</v>
      </c>
      <c r="B561" t="s">
        <v>464</v>
      </c>
      <c r="C561" s="1">
        <v>45116</v>
      </c>
      <c r="D561">
        <f>DAY(Tabela_ferias_folgas[[#This Row],[Data]])</f>
        <v>9</v>
      </c>
      <c r="E561">
        <f>MONTH(Tabela_ferias_folgas[[#This Row],[Data]])</f>
        <v>7</v>
      </c>
      <c r="F561">
        <f>YEAR(Tabela_ferias_folgas[[#This Row],[Data]])</f>
        <v>2023</v>
      </c>
      <c r="G561" t="str">
        <f>Tabela_ferias_folgas[[#This Row],[Médico]]&amp;" - "&amp;Tabela_ferias_folgas[[#This Row],[Compromisso]]</f>
        <v>PJP - FÉRIAS</v>
      </c>
    </row>
    <row r="562" spans="1:7" x14ac:dyDescent="0.3">
      <c r="A562" t="s">
        <v>50</v>
      </c>
      <c r="B562" t="s">
        <v>464</v>
      </c>
      <c r="C562" s="1">
        <v>45117</v>
      </c>
      <c r="D562">
        <f>DAY(Tabela_ferias_folgas[[#This Row],[Data]])</f>
        <v>10</v>
      </c>
      <c r="E562">
        <f>MONTH(Tabela_ferias_folgas[[#This Row],[Data]])</f>
        <v>7</v>
      </c>
      <c r="F562">
        <f>YEAR(Tabela_ferias_folgas[[#This Row],[Data]])</f>
        <v>2023</v>
      </c>
      <c r="G562" t="str">
        <f>Tabela_ferias_folgas[[#This Row],[Médico]]&amp;" - "&amp;Tabela_ferias_folgas[[#This Row],[Compromisso]]</f>
        <v>PJP - FÉRIAS</v>
      </c>
    </row>
    <row r="563" spans="1:7" x14ac:dyDescent="0.3">
      <c r="A563" t="s">
        <v>50</v>
      </c>
      <c r="B563" t="s">
        <v>464</v>
      </c>
      <c r="C563" s="1">
        <v>45118</v>
      </c>
      <c r="D563">
        <f>DAY(Tabela_ferias_folgas[[#This Row],[Data]])</f>
        <v>11</v>
      </c>
      <c r="E563">
        <f>MONTH(Tabela_ferias_folgas[[#This Row],[Data]])</f>
        <v>7</v>
      </c>
      <c r="F563">
        <f>YEAR(Tabela_ferias_folgas[[#This Row],[Data]])</f>
        <v>2023</v>
      </c>
      <c r="G563" t="str">
        <f>Tabela_ferias_folgas[[#This Row],[Médico]]&amp;" - "&amp;Tabela_ferias_folgas[[#This Row],[Compromisso]]</f>
        <v>PJP - FÉRIAS</v>
      </c>
    </row>
    <row r="564" spans="1:7" x14ac:dyDescent="0.3">
      <c r="A564" t="s">
        <v>50</v>
      </c>
      <c r="B564" t="s">
        <v>464</v>
      </c>
      <c r="C564" s="1">
        <v>45119</v>
      </c>
      <c r="D564">
        <f>DAY(Tabela_ferias_folgas[[#This Row],[Data]])</f>
        <v>12</v>
      </c>
      <c r="E564">
        <f>MONTH(Tabela_ferias_folgas[[#This Row],[Data]])</f>
        <v>7</v>
      </c>
      <c r="F564">
        <f>YEAR(Tabela_ferias_folgas[[#This Row],[Data]])</f>
        <v>2023</v>
      </c>
      <c r="G564" t="str">
        <f>Tabela_ferias_folgas[[#This Row],[Médico]]&amp;" - "&amp;Tabela_ferias_folgas[[#This Row],[Compromisso]]</f>
        <v>PJP - FÉRIAS</v>
      </c>
    </row>
    <row r="565" spans="1:7" x14ac:dyDescent="0.3">
      <c r="A565" t="s">
        <v>50</v>
      </c>
      <c r="B565" t="s">
        <v>464</v>
      </c>
      <c r="C565" s="1">
        <v>45120</v>
      </c>
      <c r="D565">
        <f>DAY(Tabela_ferias_folgas[[#This Row],[Data]])</f>
        <v>13</v>
      </c>
      <c r="E565">
        <f>MONTH(Tabela_ferias_folgas[[#This Row],[Data]])</f>
        <v>7</v>
      </c>
      <c r="F565">
        <f>YEAR(Tabela_ferias_folgas[[#This Row],[Data]])</f>
        <v>2023</v>
      </c>
      <c r="G565" t="str">
        <f>Tabela_ferias_folgas[[#This Row],[Médico]]&amp;" - "&amp;Tabela_ferias_folgas[[#This Row],[Compromisso]]</f>
        <v>PJP - FÉRIAS</v>
      </c>
    </row>
    <row r="566" spans="1:7" x14ac:dyDescent="0.3">
      <c r="A566" t="s">
        <v>50</v>
      </c>
      <c r="B566" t="s">
        <v>464</v>
      </c>
      <c r="C566" s="1">
        <v>45121</v>
      </c>
      <c r="D566">
        <f>DAY(Tabela_ferias_folgas[[#This Row],[Data]])</f>
        <v>14</v>
      </c>
      <c r="E566">
        <f>MONTH(Tabela_ferias_folgas[[#This Row],[Data]])</f>
        <v>7</v>
      </c>
      <c r="F566">
        <f>YEAR(Tabela_ferias_folgas[[#This Row],[Data]])</f>
        <v>2023</v>
      </c>
      <c r="G566" t="str">
        <f>Tabela_ferias_folgas[[#This Row],[Médico]]&amp;" - "&amp;Tabela_ferias_folgas[[#This Row],[Compromisso]]</f>
        <v>PJP - FÉRIAS</v>
      </c>
    </row>
    <row r="567" spans="1:7" x14ac:dyDescent="0.3">
      <c r="A567" t="s">
        <v>50</v>
      </c>
      <c r="B567" t="s">
        <v>464</v>
      </c>
      <c r="C567" s="1">
        <v>45122</v>
      </c>
      <c r="D567">
        <f>DAY(Tabela_ferias_folgas[[#This Row],[Data]])</f>
        <v>15</v>
      </c>
      <c r="E567">
        <f>MONTH(Tabela_ferias_folgas[[#This Row],[Data]])</f>
        <v>7</v>
      </c>
      <c r="F567">
        <f>YEAR(Tabela_ferias_folgas[[#This Row],[Data]])</f>
        <v>2023</v>
      </c>
      <c r="G567" t="str">
        <f>Tabela_ferias_folgas[[#This Row],[Médico]]&amp;" - "&amp;Tabela_ferias_folgas[[#This Row],[Compromisso]]</f>
        <v>PJP - FÉRIAS</v>
      </c>
    </row>
    <row r="568" spans="1:7" x14ac:dyDescent="0.3">
      <c r="A568" t="s">
        <v>50</v>
      </c>
      <c r="B568" t="s">
        <v>464</v>
      </c>
      <c r="C568" s="1">
        <v>45123</v>
      </c>
      <c r="D568">
        <f>DAY(Tabela_ferias_folgas[[#This Row],[Data]])</f>
        <v>16</v>
      </c>
      <c r="E568">
        <f>MONTH(Tabela_ferias_folgas[[#This Row],[Data]])</f>
        <v>7</v>
      </c>
      <c r="F568">
        <f>YEAR(Tabela_ferias_folgas[[#This Row],[Data]])</f>
        <v>2023</v>
      </c>
      <c r="G568" t="str">
        <f>Tabela_ferias_folgas[[#This Row],[Médico]]&amp;" - "&amp;Tabela_ferias_folgas[[#This Row],[Compromisso]]</f>
        <v>PJP - FÉRIAS</v>
      </c>
    </row>
    <row r="569" spans="1:7" x14ac:dyDescent="0.3">
      <c r="A569" t="s">
        <v>71</v>
      </c>
      <c r="B569" t="s">
        <v>603</v>
      </c>
      <c r="C569" s="1">
        <v>45111</v>
      </c>
      <c r="D569">
        <f>DAY(Tabela_ferias_folgas[[#This Row],[Data]])</f>
        <v>4</v>
      </c>
      <c r="E569">
        <f>MONTH(Tabela_ferias_folgas[[#This Row],[Data]])</f>
        <v>7</v>
      </c>
      <c r="F569">
        <f>YEAR(Tabela_ferias_folgas[[#This Row],[Data]])</f>
        <v>2023</v>
      </c>
      <c r="G569" t="str">
        <f>Tabela_ferias_folgas[[#This Row],[Médico]]&amp;" - "&amp;Tabela_ferias_folgas[[#This Row],[Compromisso]]</f>
        <v>BRU - CONGRESSO (PROVA TSA)</v>
      </c>
    </row>
    <row r="570" spans="1:7" x14ac:dyDescent="0.3">
      <c r="A570" t="s">
        <v>52</v>
      </c>
      <c r="B570" t="s">
        <v>603</v>
      </c>
      <c r="C570" s="1">
        <v>45111</v>
      </c>
      <c r="D570">
        <f>DAY(Tabela_ferias_folgas[[#This Row],[Data]])</f>
        <v>4</v>
      </c>
      <c r="E570">
        <f>MONTH(Tabela_ferias_folgas[[#This Row],[Data]])</f>
        <v>7</v>
      </c>
      <c r="F570">
        <f>YEAR(Tabela_ferias_folgas[[#This Row],[Data]])</f>
        <v>2023</v>
      </c>
      <c r="G570" t="str">
        <f>Tabela_ferias_folgas[[#This Row],[Médico]]&amp;" - "&amp;Tabela_ferias_folgas[[#This Row],[Compromisso]]</f>
        <v>AEL - CONGRESSO (PROVA TSA)</v>
      </c>
    </row>
    <row r="571" spans="1:7" x14ac:dyDescent="0.3">
      <c r="A571" t="s">
        <v>85</v>
      </c>
      <c r="B571" t="s">
        <v>464</v>
      </c>
      <c r="C571" s="1">
        <v>45121</v>
      </c>
      <c r="D571">
        <f>DAY(Tabela_ferias_folgas[[#This Row],[Data]])</f>
        <v>14</v>
      </c>
      <c r="E571">
        <f>MONTH(Tabela_ferias_folgas[[#This Row],[Data]])</f>
        <v>7</v>
      </c>
      <c r="F571">
        <f>YEAR(Tabela_ferias_folgas[[#This Row],[Data]])</f>
        <v>2023</v>
      </c>
      <c r="G571" t="str">
        <f>Tabela_ferias_folgas[[#This Row],[Médico]]&amp;" - "&amp;Tabela_ferias_folgas[[#This Row],[Compromisso]]</f>
        <v>ELF - FÉRIAS</v>
      </c>
    </row>
    <row r="572" spans="1:7" x14ac:dyDescent="0.3">
      <c r="A572" t="s">
        <v>85</v>
      </c>
      <c r="B572" t="s">
        <v>464</v>
      </c>
      <c r="C572" s="1">
        <v>45122</v>
      </c>
      <c r="D572">
        <f>DAY(Tabela_ferias_folgas[[#This Row],[Data]])</f>
        <v>15</v>
      </c>
      <c r="E572">
        <f>MONTH(Tabela_ferias_folgas[[#This Row],[Data]])</f>
        <v>7</v>
      </c>
      <c r="F572">
        <f>YEAR(Tabela_ferias_folgas[[#This Row],[Data]])</f>
        <v>2023</v>
      </c>
      <c r="G572" t="str">
        <f>Tabela_ferias_folgas[[#This Row],[Médico]]&amp;" - "&amp;Tabela_ferias_folgas[[#This Row],[Compromisso]]</f>
        <v>ELF - FÉRIAS</v>
      </c>
    </row>
    <row r="573" spans="1:7" x14ac:dyDescent="0.3">
      <c r="A573" t="s">
        <v>85</v>
      </c>
      <c r="B573" t="s">
        <v>464</v>
      </c>
      <c r="C573" s="1">
        <v>45123</v>
      </c>
      <c r="D573">
        <f>DAY(Tabela_ferias_folgas[[#This Row],[Data]])</f>
        <v>16</v>
      </c>
      <c r="E573">
        <f>MONTH(Tabela_ferias_folgas[[#This Row],[Data]])</f>
        <v>7</v>
      </c>
      <c r="F573">
        <f>YEAR(Tabela_ferias_folgas[[#This Row],[Data]])</f>
        <v>2023</v>
      </c>
      <c r="G573" t="str">
        <f>Tabela_ferias_folgas[[#This Row],[Médico]]&amp;" - "&amp;Tabela_ferias_folgas[[#This Row],[Compromisso]]</f>
        <v>ELF - FÉRIAS</v>
      </c>
    </row>
    <row r="574" spans="1:7" x14ac:dyDescent="0.3">
      <c r="A574" t="s">
        <v>85</v>
      </c>
      <c r="B574" t="s">
        <v>464</v>
      </c>
      <c r="C574" s="1">
        <v>45124</v>
      </c>
      <c r="D574">
        <f>DAY(Tabela_ferias_folgas[[#This Row],[Data]])</f>
        <v>17</v>
      </c>
      <c r="E574">
        <f>MONTH(Tabela_ferias_folgas[[#This Row],[Data]])</f>
        <v>7</v>
      </c>
      <c r="F574">
        <f>YEAR(Tabela_ferias_folgas[[#This Row],[Data]])</f>
        <v>2023</v>
      </c>
      <c r="G574" t="str">
        <f>Tabela_ferias_folgas[[#This Row],[Médico]]&amp;" - "&amp;Tabela_ferias_folgas[[#This Row],[Compromisso]]</f>
        <v>ELF - FÉRIAS</v>
      </c>
    </row>
    <row r="575" spans="1:7" x14ac:dyDescent="0.3">
      <c r="A575" t="s">
        <v>85</v>
      </c>
      <c r="B575" t="s">
        <v>464</v>
      </c>
      <c r="C575" s="1">
        <v>45125</v>
      </c>
      <c r="D575">
        <f>DAY(Tabela_ferias_folgas[[#This Row],[Data]])</f>
        <v>18</v>
      </c>
      <c r="E575">
        <f>MONTH(Tabela_ferias_folgas[[#This Row],[Data]])</f>
        <v>7</v>
      </c>
      <c r="F575">
        <f>YEAR(Tabela_ferias_folgas[[#This Row],[Data]])</f>
        <v>2023</v>
      </c>
      <c r="G575" t="str">
        <f>Tabela_ferias_folgas[[#This Row],[Médico]]&amp;" - "&amp;Tabela_ferias_folgas[[#This Row],[Compromisso]]</f>
        <v>ELF - FÉRIAS</v>
      </c>
    </row>
    <row r="576" spans="1:7" x14ac:dyDescent="0.3">
      <c r="A576" t="s">
        <v>85</v>
      </c>
      <c r="B576" t="s">
        <v>464</v>
      </c>
      <c r="C576" s="1">
        <v>45126</v>
      </c>
      <c r="D576">
        <f>DAY(Tabela_ferias_folgas[[#This Row],[Data]])</f>
        <v>19</v>
      </c>
      <c r="E576">
        <f>MONTH(Tabela_ferias_folgas[[#This Row],[Data]])</f>
        <v>7</v>
      </c>
      <c r="F576">
        <f>YEAR(Tabela_ferias_folgas[[#This Row],[Data]])</f>
        <v>2023</v>
      </c>
      <c r="G576" t="str">
        <f>Tabela_ferias_folgas[[#This Row],[Médico]]&amp;" - "&amp;Tabela_ferias_folgas[[#This Row],[Compromisso]]</f>
        <v>ELF - FÉRIAS</v>
      </c>
    </row>
    <row r="577" spans="1:7" x14ac:dyDescent="0.3">
      <c r="A577" t="s">
        <v>85</v>
      </c>
      <c r="B577" t="s">
        <v>464</v>
      </c>
      <c r="C577" s="1">
        <v>45127</v>
      </c>
      <c r="D577">
        <f>DAY(Tabela_ferias_folgas[[#This Row],[Data]])</f>
        <v>20</v>
      </c>
      <c r="E577">
        <f>MONTH(Tabela_ferias_folgas[[#This Row],[Data]])</f>
        <v>7</v>
      </c>
      <c r="F577">
        <f>YEAR(Tabela_ferias_folgas[[#This Row],[Data]])</f>
        <v>2023</v>
      </c>
      <c r="G577" t="str">
        <f>Tabela_ferias_folgas[[#This Row],[Médico]]&amp;" - "&amp;Tabela_ferias_folgas[[#This Row],[Compromisso]]</f>
        <v>ELF - FÉRIAS</v>
      </c>
    </row>
    <row r="578" spans="1:7" x14ac:dyDescent="0.3">
      <c r="A578" t="s">
        <v>85</v>
      </c>
      <c r="B578" t="s">
        <v>464</v>
      </c>
      <c r="C578" s="1">
        <v>45128</v>
      </c>
      <c r="D578">
        <f>DAY(Tabela_ferias_folgas[[#This Row],[Data]])</f>
        <v>21</v>
      </c>
      <c r="E578">
        <f>MONTH(Tabela_ferias_folgas[[#This Row],[Data]])</f>
        <v>7</v>
      </c>
      <c r="F578">
        <f>YEAR(Tabela_ferias_folgas[[#This Row],[Data]])</f>
        <v>2023</v>
      </c>
      <c r="G578" t="str">
        <f>Tabela_ferias_folgas[[#This Row],[Médico]]&amp;" - "&amp;Tabela_ferias_folgas[[#This Row],[Compromisso]]</f>
        <v>ELF - FÉRIAS</v>
      </c>
    </row>
    <row r="579" spans="1:7" x14ac:dyDescent="0.3">
      <c r="A579" t="s">
        <v>85</v>
      </c>
      <c r="B579" t="s">
        <v>464</v>
      </c>
      <c r="C579" s="1">
        <v>45129</v>
      </c>
      <c r="D579">
        <f>DAY(Tabela_ferias_folgas[[#This Row],[Data]])</f>
        <v>22</v>
      </c>
      <c r="E579">
        <f>MONTH(Tabela_ferias_folgas[[#This Row],[Data]])</f>
        <v>7</v>
      </c>
      <c r="F579">
        <f>YEAR(Tabela_ferias_folgas[[#This Row],[Data]])</f>
        <v>2023</v>
      </c>
      <c r="G579" t="str">
        <f>Tabela_ferias_folgas[[#This Row],[Médico]]&amp;" - "&amp;Tabela_ferias_folgas[[#This Row],[Compromisso]]</f>
        <v>ELF - FÉRIAS</v>
      </c>
    </row>
    <row r="580" spans="1:7" x14ac:dyDescent="0.3">
      <c r="A580" t="s">
        <v>85</v>
      </c>
      <c r="B580" t="s">
        <v>464</v>
      </c>
      <c r="C580" s="1">
        <v>45130</v>
      </c>
      <c r="D580">
        <f>DAY(Tabela_ferias_folgas[[#This Row],[Data]])</f>
        <v>23</v>
      </c>
      <c r="E580">
        <f>MONTH(Tabela_ferias_folgas[[#This Row],[Data]])</f>
        <v>7</v>
      </c>
      <c r="F580">
        <f>YEAR(Tabela_ferias_folgas[[#This Row],[Data]])</f>
        <v>2023</v>
      </c>
      <c r="G580" t="str">
        <f>Tabela_ferias_folgas[[#This Row],[Médico]]&amp;" - "&amp;Tabela_ferias_folgas[[#This Row],[Compromisso]]</f>
        <v>ELF - FÉRIAS</v>
      </c>
    </row>
    <row r="581" spans="1:7" x14ac:dyDescent="0.3">
      <c r="A581" t="s">
        <v>23</v>
      </c>
      <c r="B581" t="s">
        <v>604</v>
      </c>
      <c r="C581" s="1">
        <v>45122</v>
      </c>
      <c r="D581">
        <f>DAY(Tabela_ferias_folgas[[#This Row],[Data]])</f>
        <v>15</v>
      </c>
      <c r="E581">
        <f>MONTH(Tabela_ferias_folgas[[#This Row],[Data]])</f>
        <v>7</v>
      </c>
      <c r="F581">
        <f>YEAR(Tabela_ferias_folgas[[#This Row],[Data]])</f>
        <v>2023</v>
      </c>
      <c r="G581" t="str">
        <f>Tabela_ferias_folgas[[#This Row],[Médico]]&amp;" - "&amp;Tabela_ferias_folgas[[#This Row],[Compromisso]]</f>
        <v>BG - CONGRESSO (SIAPBM - CARTAGENA)</v>
      </c>
    </row>
    <row r="582" spans="1:7" x14ac:dyDescent="0.3">
      <c r="A582" t="s">
        <v>23</v>
      </c>
      <c r="B582" t="s">
        <v>604</v>
      </c>
      <c r="C582" s="1">
        <v>45123</v>
      </c>
      <c r="D582">
        <f>DAY(Tabela_ferias_folgas[[#This Row],[Data]])</f>
        <v>16</v>
      </c>
      <c r="E582">
        <f>MONTH(Tabela_ferias_folgas[[#This Row],[Data]])</f>
        <v>7</v>
      </c>
      <c r="F582">
        <f>YEAR(Tabela_ferias_folgas[[#This Row],[Data]])</f>
        <v>2023</v>
      </c>
      <c r="G582" t="str">
        <f>Tabela_ferias_folgas[[#This Row],[Médico]]&amp;" - "&amp;Tabela_ferias_folgas[[#This Row],[Compromisso]]</f>
        <v>BG - CONGRESSO (SIAPBM - CARTAGENA)</v>
      </c>
    </row>
    <row r="583" spans="1:7" x14ac:dyDescent="0.3">
      <c r="A583" t="s">
        <v>23</v>
      </c>
      <c r="B583" t="s">
        <v>604</v>
      </c>
      <c r="C583" s="1">
        <v>45124</v>
      </c>
      <c r="D583">
        <f>DAY(Tabela_ferias_folgas[[#This Row],[Data]])</f>
        <v>17</v>
      </c>
      <c r="E583">
        <f>MONTH(Tabela_ferias_folgas[[#This Row],[Data]])</f>
        <v>7</v>
      </c>
      <c r="F583">
        <f>YEAR(Tabela_ferias_folgas[[#This Row],[Data]])</f>
        <v>2023</v>
      </c>
      <c r="G583" t="str">
        <f>Tabela_ferias_folgas[[#This Row],[Médico]]&amp;" - "&amp;Tabela_ferias_folgas[[#This Row],[Compromisso]]</f>
        <v>BG - CONGRESSO (SIAPBM - CARTAGENA)</v>
      </c>
    </row>
    <row r="584" spans="1:7" x14ac:dyDescent="0.3">
      <c r="A584" t="s">
        <v>23</v>
      </c>
      <c r="B584" t="s">
        <v>604</v>
      </c>
      <c r="C584" s="1">
        <v>45125</v>
      </c>
      <c r="D584">
        <f>DAY(Tabela_ferias_folgas[[#This Row],[Data]])</f>
        <v>18</v>
      </c>
      <c r="E584">
        <f>MONTH(Tabela_ferias_folgas[[#This Row],[Data]])</f>
        <v>7</v>
      </c>
      <c r="F584">
        <f>YEAR(Tabela_ferias_folgas[[#This Row],[Data]])</f>
        <v>2023</v>
      </c>
      <c r="G584" t="str">
        <f>Tabela_ferias_folgas[[#This Row],[Médico]]&amp;" - "&amp;Tabela_ferias_folgas[[#This Row],[Compromisso]]</f>
        <v>BG - CONGRESSO (SIAPBM - CARTAGENA)</v>
      </c>
    </row>
    <row r="585" spans="1:7" x14ac:dyDescent="0.3">
      <c r="A585" t="s">
        <v>23</v>
      </c>
      <c r="B585" t="s">
        <v>604</v>
      </c>
      <c r="C585" s="1">
        <v>45126</v>
      </c>
      <c r="D585">
        <f>DAY(Tabela_ferias_folgas[[#This Row],[Data]])</f>
        <v>19</v>
      </c>
      <c r="E585">
        <f>MONTH(Tabela_ferias_folgas[[#This Row],[Data]])</f>
        <v>7</v>
      </c>
      <c r="F585">
        <f>YEAR(Tabela_ferias_folgas[[#This Row],[Data]])</f>
        <v>2023</v>
      </c>
      <c r="G585" t="str">
        <f>Tabela_ferias_folgas[[#This Row],[Médico]]&amp;" - "&amp;Tabela_ferias_folgas[[#This Row],[Compromisso]]</f>
        <v>BG - CONGRESSO (SIAPBM - CARTAGENA)</v>
      </c>
    </row>
    <row r="586" spans="1:7" x14ac:dyDescent="0.3">
      <c r="A586" t="s">
        <v>47</v>
      </c>
      <c r="B586" t="s">
        <v>604</v>
      </c>
      <c r="C586" s="1">
        <v>45122</v>
      </c>
      <c r="D586">
        <f>DAY(Tabela_ferias_folgas[[#This Row],[Data]])</f>
        <v>15</v>
      </c>
      <c r="E586">
        <f>MONTH(Tabela_ferias_folgas[[#This Row],[Data]])</f>
        <v>7</v>
      </c>
      <c r="F586">
        <f>YEAR(Tabela_ferias_folgas[[#This Row],[Data]])</f>
        <v>2023</v>
      </c>
      <c r="G586" t="str">
        <f>Tabela_ferias_folgas[[#This Row],[Médico]]&amp;" - "&amp;Tabela_ferias_folgas[[#This Row],[Compromisso]]</f>
        <v>VIN - CONGRESSO (SIAPBM - CARTAGENA)</v>
      </c>
    </row>
    <row r="587" spans="1:7" x14ac:dyDescent="0.3">
      <c r="A587" t="s">
        <v>47</v>
      </c>
      <c r="B587" t="s">
        <v>604</v>
      </c>
      <c r="C587" s="1">
        <v>45123</v>
      </c>
      <c r="D587">
        <f>DAY(Tabela_ferias_folgas[[#This Row],[Data]])</f>
        <v>16</v>
      </c>
      <c r="E587">
        <f>MONTH(Tabela_ferias_folgas[[#This Row],[Data]])</f>
        <v>7</v>
      </c>
      <c r="F587">
        <f>YEAR(Tabela_ferias_folgas[[#This Row],[Data]])</f>
        <v>2023</v>
      </c>
      <c r="G587" t="str">
        <f>Tabela_ferias_folgas[[#This Row],[Médico]]&amp;" - "&amp;Tabela_ferias_folgas[[#This Row],[Compromisso]]</f>
        <v>VIN - CONGRESSO (SIAPBM - CARTAGENA)</v>
      </c>
    </row>
    <row r="588" spans="1:7" x14ac:dyDescent="0.3">
      <c r="A588" t="s">
        <v>37</v>
      </c>
      <c r="B588" t="s">
        <v>464</v>
      </c>
      <c r="C588" s="1">
        <v>45124</v>
      </c>
      <c r="D588">
        <f>DAY(Tabela_ferias_folgas[[#This Row],[Data]])</f>
        <v>17</v>
      </c>
      <c r="E588">
        <f>MONTH(Tabela_ferias_folgas[[#This Row],[Data]])</f>
        <v>7</v>
      </c>
      <c r="F588">
        <f>YEAR(Tabela_ferias_folgas[[#This Row],[Data]])</f>
        <v>2023</v>
      </c>
      <c r="G588" t="str">
        <f>Tabela_ferias_folgas[[#This Row],[Médico]]&amp;" - "&amp;Tabela_ferias_folgas[[#This Row],[Compromisso]]</f>
        <v>EBB - FÉRIAS</v>
      </c>
    </row>
    <row r="589" spans="1:7" x14ac:dyDescent="0.3">
      <c r="A589" t="s">
        <v>37</v>
      </c>
      <c r="B589" t="s">
        <v>464</v>
      </c>
      <c r="C589" s="1">
        <v>45125</v>
      </c>
      <c r="D589">
        <f>DAY(Tabela_ferias_folgas[[#This Row],[Data]])</f>
        <v>18</v>
      </c>
      <c r="E589">
        <f>MONTH(Tabela_ferias_folgas[[#This Row],[Data]])</f>
        <v>7</v>
      </c>
      <c r="F589">
        <f>YEAR(Tabela_ferias_folgas[[#This Row],[Data]])</f>
        <v>2023</v>
      </c>
      <c r="G589" t="str">
        <f>Tabela_ferias_folgas[[#This Row],[Médico]]&amp;" - "&amp;Tabela_ferias_folgas[[#This Row],[Compromisso]]</f>
        <v>EBB - FÉRIAS</v>
      </c>
    </row>
    <row r="590" spans="1:7" x14ac:dyDescent="0.3">
      <c r="A590" t="s">
        <v>37</v>
      </c>
      <c r="B590" t="s">
        <v>464</v>
      </c>
      <c r="C590" s="1">
        <v>45126</v>
      </c>
      <c r="D590">
        <f>DAY(Tabela_ferias_folgas[[#This Row],[Data]])</f>
        <v>19</v>
      </c>
      <c r="E590">
        <f>MONTH(Tabela_ferias_folgas[[#This Row],[Data]])</f>
        <v>7</v>
      </c>
      <c r="F590">
        <f>YEAR(Tabela_ferias_folgas[[#This Row],[Data]])</f>
        <v>2023</v>
      </c>
      <c r="G590" t="str">
        <f>Tabela_ferias_folgas[[#This Row],[Médico]]&amp;" - "&amp;Tabela_ferias_folgas[[#This Row],[Compromisso]]</f>
        <v>EBB - FÉRIAS</v>
      </c>
    </row>
    <row r="591" spans="1:7" x14ac:dyDescent="0.3">
      <c r="A591" t="s">
        <v>37</v>
      </c>
      <c r="B591" t="s">
        <v>464</v>
      </c>
      <c r="C591" s="1">
        <v>45127</v>
      </c>
      <c r="D591">
        <f>DAY(Tabela_ferias_folgas[[#This Row],[Data]])</f>
        <v>20</v>
      </c>
      <c r="E591">
        <f>MONTH(Tabela_ferias_folgas[[#This Row],[Data]])</f>
        <v>7</v>
      </c>
      <c r="F591">
        <f>YEAR(Tabela_ferias_folgas[[#This Row],[Data]])</f>
        <v>2023</v>
      </c>
      <c r="G591" t="str">
        <f>Tabela_ferias_folgas[[#This Row],[Médico]]&amp;" - "&amp;Tabela_ferias_folgas[[#This Row],[Compromisso]]</f>
        <v>EBB - FÉRIAS</v>
      </c>
    </row>
    <row r="592" spans="1:7" x14ac:dyDescent="0.3">
      <c r="A592" t="s">
        <v>37</v>
      </c>
      <c r="B592" t="s">
        <v>464</v>
      </c>
      <c r="C592" s="1">
        <v>45128</v>
      </c>
      <c r="D592">
        <f>DAY(Tabela_ferias_folgas[[#This Row],[Data]])</f>
        <v>21</v>
      </c>
      <c r="E592">
        <f>MONTH(Tabela_ferias_folgas[[#This Row],[Data]])</f>
        <v>7</v>
      </c>
      <c r="F592">
        <f>YEAR(Tabela_ferias_folgas[[#This Row],[Data]])</f>
        <v>2023</v>
      </c>
      <c r="G592" t="str">
        <f>Tabela_ferias_folgas[[#This Row],[Médico]]&amp;" - "&amp;Tabela_ferias_folgas[[#This Row],[Compromisso]]</f>
        <v>EBB - FÉRIAS</v>
      </c>
    </row>
    <row r="593" spans="1:7" x14ac:dyDescent="0.3">
      <c r="A593" t="s">
        <v>37</v>
      </c>
      <c r="B593" t="s">
        <v>464</v>
      </c>
      <c r="C593" s="1">
        <v>45129</v>
      </c>
      <c r="D593">
        <f>DAY(Tabela_ferias_folgas[[#This Row],[Data]])</f>
        <v>22</v>
      </c>
      <c r="E593">
        <f>MONTH(Tabela_ferias_folgas[[#This Row],[Data]])</f>
        <v>7</v>
      </c>
      <c r="F593">
        <f>YEAR(Tabela_ferias_folgas[[#This Row],[Data]])</f>
        <v>2023</v>
      </c>
      <c r="G593" t="str">
        <f>Tabela_ferias_folgas[[#This Row],[Médico]]&amp;" - "&amp;Tabela_ferias_folgas[[#This Row],[Compromisso]]</f>
        <v>EBB - FÉRIAS</v>
      </c>
    </row>
    <row r="594" spans="1:7" x14ac:dyDescent="0.3">
      <c r="A594" t="s">
        <v>37</v>
      </c>
      <c r="B594" t="s">
        <v>464</v>
      </c>
      <c r="C594" s="1">
        <v>45130</v>
      </c>
      <c r="D594">
        <f>DAY(Tabela_ferias_folgas[[#This Row],[Data]])</f>
        <v>23</v>
      </c>
      <c r="E594">
        <f>MONTH(Tabela_ferias_folgas[[#This Row],[Data]])</f>
        <v>7</v>
      </c>
      <c r="F594">
        <f>YEAR(Tabela_ferias_folgas[[#This Row],[Data]])</f>
        <v>2023</v>
      </c>
      <c r="G594" t="str">
        <f>Tabela_ferias_folgas[[#This Row],[Médico]]&amp;" - "&amp;Tabela_ferias_folgas[[#This Row],[Compromisso]]</f>
        <v>EBB - FÉRIAS</v>
      </c>
    </row>
    <row r="595" spans="1:7" x14ac:dyDescent="0.3">
      <c r="A595" t="s">
        <v>37</v>
      </c>
      <c r="B595" t="s">
        <v>464</v>
      </c>
      <c r="C595" s="1">
        <v>45131</v>
      </c>
      <c r="D595">
        <f>DAY(Tabela_ferias_folgas[[#This Row],[Data]])</f>
        <v>24</v>
      </c>
      <c r="E595">
        <f>MONTH(Tabela_ferias_folgas[[#This Row],[Data]])</f>
        <v>7</v>
      </c>
      <c r="F595">
        <f>YEAR(Tabela_ferias_folgas[[#This Row],[Data]])</f>
        <v>2023</v>
      </c>
      <c r="G595" t="str">
        <f>Tabela_ferias_folgas[[#This Row],[Médico]]&amp;" - "&amp;Tabela_ferias_folgas[[#This Row],[Compromisso]]</f>
        <v>EBB - FÉRIAS</v>
      </c>
    </row>
    <row r="596" spans="1:7" x14ac:dyDescent="0.3">
      <c r="A596" t="s">
        <v>37</v>
      </c>
      <c r="B596" t="s">
        <v>464</v>
      </c>
      <c r="C596" s="1">
        <v>45132</v>
      </c>
      <c r="D596">
        <f>DAY(Tabela_ferias_folgas[[#This Row],[Data]])</f>
        <v>25</v>
      </c>
      <c r="E596">
        <f>MONTH(Tabela_ferias_folgas[[#This Row],[Data]])</f>
        <v>7</v>
      </c>
      <c r="F596">
        <f>YEAR(Tabela_ferias_folgas[[#This Row],[Data]])</f>
        <v>2023</v>
      </c>
      <c r="G596" t="str">
        <f>Tabela_ferias_folgas[[#This Row],[Médico]]&amp;" - "&amp;Tabela_ferias_folgas[[#This Row],[Compromisso]]</f>
        <v>EBB - FÉRIAS</v>
      </c>
    </row>
    <row r="597" spans="1:7" x14ac:dyDescent="0.3">
      <c r="A597" t="s">
        <v>37</v>
      </c>
      <c r="B597" t="s">
        <v>464</v>
      </c>
      <c r="C597" s="1">
        <v>45133</v>
      </c>
      <c r="D597">
        <f>DAY(Tabela_ferias_folgas[[#This Row],[Data]])</f>
        <v>26</v>
      </c>
      <c r="E597">
        <f>MONTH(Tabela_ferias_folgas[[#This Row],[Data]])</f>
        <v>7</v>
      </c>
      <c r="F597">
        <f>YEAR(Tabela_ferias_folgas[[#This Row],[Data]])</f>
        <v>2023</v>
      </c>
      <c r="G597" t="str">
        <f>Tabela_ferias_folgas[[#This Row],[Médico]]&amp;" - "&amp;Tabela_ferias_folgas[[#This Row],[Compromisso]]</f>
        <v>EBB - FÉRIAS</v>
      </c>
    </row>
    <row r="598" spans="1:7" x14ac:dyDescent="0.3">
      <c r="A598" t="s">
        <v>37</v>
      </c>
      <c r="B598" t="s">
        <v>464</v>
      </c>
      <c r="C598" s="1">
        <v>45134</v>
      </c>
      <c r="D598">
        <f>DAY(Tabela_ferias_folgas[[#This Row],[Data]])</f>
        <v>27</v>
      </c>
      <c r="E598">
        <f>MONTH(Tabela_ferias_folgas[[#This Row],[Data]])</f>
        <v>7</v>
      </c>
      <c r="F598">
        <f>YEAR(Tabela_ferias_folgas[[#This Row],[Data]])</f>
        <v>2023</v>
      </c>
      <c r="G598" t="str">
        <f>Tabela_ferias_folgas[[#This Row],[Médico]]&amp;" - "&amp;Tabela_ferias_folgas[[#This Row],[Compromisso]]</f>
        <v>EBB - FÉRIAS</v>
      </c>
    </row>
    <row r="599" spans="1:7" x14ac:dyDescent="0.3">
      <c r="A599" t="s">
        <v>37</v>
      </c>
      <c r="B599" t="s">
        <v>464</v>
      </c>
      <c r="C599" s="1">
        <v>45135</v>
      </c>
      <c r="D599">
        <f>DAY(Tabela_ferias_folgas[[#This Row],[Data]])</f>
        <v>28</v>
      </c>
      <c r="E599">
        <f>MONTH(Tabela_ferias_folgas[[#This Row],[Data]])</f>
        <v>7</v>
      </c>
      <c r="F599">
        <f>YEAR(Tabela_ferias_folgas[[#This Row],[Data]])</f>
        <v>2023</v>
      </c>
      <c r="G599" t="str">
        <f>Tabela_ferias_folgas[[#This Row],[Médico]]&amp;" - "&amp;Tabela_ferias_folgas[[#This Row],[Compromisso]]</f>
        <v>EBB - FÉRIAS</v>
      </c>
    </row>
    <row r="600" spans="1:7" x14ac:dyDescent="0.3">
      <c r="A600" t="s">
        <v>12</v>
      </c>
      <c r="B600" t="s">
        <v>464</v>
      </c>
      <c r="C600" s="1">
        <v>45124</v>
      </c>
      <c r="D600">
        <f>DAY(Tabela_ferias_folgas[[#This Row],[Data]])</f>
        <v>17</v>
      </c>
      <c r="E600">
        <f>MONTH(Tabela_ferias_folgas[[#This Row],[Data]])</f>
        <v>7</v>
      </c>
      <c r="F600">
        <f>YEAR(Tabela_ferias_folgas[[#This Row],[Data]])</f>
        <v>2023</v>
      </c>
      <c r="G600" t="str">
        <f>Tabela_ferias_folgas[[#This Row],[Médico]]&amp;" - "&amp;Tabela_ferias_folgas[[#This Row],[Compromisso]]</f>
        <v>EDU - FÉRIAS</v>
      </c>
    </row>
    <row r="601" spans="1:7" x14ac:dyDescent="0.3">
      <c r="A601" t="s">
        <v>12</v>
      </c>
      <c r="B601" t="s">
        <v>464</v>
      </c>
      <c r="C601" s="1">
        <v>45125</v>
      </c>
      <c r="D601">
        <f>DAY(Tabela_ferias_folgas[[#This Row],[Data]])</f>
        <v>18</v>
      </c>
      <c r="E601">
        <f>MONTH(Tabela_ferias_folgas[[#This Row],[Data]])</f>
        <v>7</v>
      </c>
      <c r="F601">
        <f>YEAR(Tabela_ferias_folgas[[#This Row],[Data]])</f>
        <v>2023</v>
      </c>
      <c r="G601" t="str">
        <f>Tabela_ferias_folgas[[#This Row],[Médico]]&amp;" - "&amp;Tabela_ferias_folgas[[#This Row],[Compromisso]]</f>
        <v>EDU - FÉRIAS</v>
      </c>
    </row>
    <row r="602" spans="1:7" x14ac:dyDescent="0.3">
      <c r="A602" t="s">
        <v>12</v>
      </c>
      <c r="B602" t="s">
        <v>464</v>
      </c>
      <c r="C602" s="1">
        <v>45126</v>
      </c>
      <c r="D602">
        <f>DAY(Tabela_ferias_folgas[[#This Row],[Data]])</f>
        <v>19</v>
      </c>
      <c r="E602">
        <f>MONTH(Tabela_ferias_folgas[[#This Row],[Data]])</f>
        <v>7</v>
      </c>
      <c r="F602">
        <f>YEAR(Tabela_ferias_folgas[[#This Row],[Data]])</f>
        <v>2023</v>
      </c>
      <c r="G602" t="str">
        <f>Tabela_ferias_folgas[[#This Row],[Médico]]&amp;" - "&amp;Tabela_ferias_folgas[[#This Row],[Compromisso]]</f>
        <v>EDU - FÉRIAS</v>
      </c>
    </row>
    <row r="603" spans="1:7" x14ac:dyDescent="0.3">
      <c r="A603" t="s">
        <v>12</v>
      </c>
      <c r="B603" t="s">
        <v>464</v>
      </c>
      <c r="C603" s="1">
        <v>45127</v>
      </c>
      <c r="D603">
        <f>DAY(Tabela_ferias_folgas[[#This Row],[Data]])</f>
        <v>20</v>
      </c>
      <c r="E603">
        <f>MONTH(Tabela_ferias_folgas[[#This Row],[Data]])</f>
        <v>7</v>
      </c>
      <c r="F603">
        <f>YEAR(Tabela_ferias_folgas[[#This Row],[Data]])</f>
        <v>2023</v>
      </c>
      <c r="G603" t="str">
        <f>Tabela_ferias_folgas[[#This Row],[Médico]]&amp;" - "&amp;Tabela_ferias_folgas[[#This Row],[Compromisso]]</f>
        <v>EDU - FÉRIAS</v>
      </c>
    </row>
    <row r="604" spans="1:7" x14ac:dyDescent="0.3">
      <c r="A604" t="s">
        <v>12</v>
      </c>
      <c r="B604" t="s">
        <v>464</v>
      </c>
      <c r="C604" s="1">
        <v>45128</v>
      </c>
      <c r="D604">
        <f>DAY(Tabela_ferias_folgas[[#This Row],[Data]])</f>
        <v>21</v>
      </c>
      <c r="E604">
        <f>MONTH(Tabela_ferias_folgas[[#This Row],[Data]])</f>
        <v>7</v>
      </c>
      <c r="F604">
        <f>YEAR(Tabela_ferias_folgas[[#This Row],[Data]])</f>
        <v>2023</v>
      </c>
      <c r="G604" t="str">
        <f>Tabela_ferias_folgas[[#This Row],[Médico]]&amp;" - "&amp;Tabela_ferias_folgas[[#This Row],[Compromisso]]</f>
        <v>EDU - FÉRIAS</v>
      </c>
    </row>
    <row r="605" spans="1:7" x14ac:dyDescent="0.3">
      <c r="A605" t="s">
        <v>12</v>
      </c>
      <c r="B605" t="s">
        <v>464</v>
      </c>
      <c r="C605" s="1">
        <v>45129</v>
      </c>
      <c r="D605">
        <f>DAY(Tabela_ferias_folgas[[#This Row],[Data]])</f>
        <v>22</v>
      </c>
      <c r="E605">
        <f>MONTH(Tabela_ferias_folgas[[#This Row],[Data]])</f>
        <v>7</v>
      </c>
      <c r="F605">
        <f>YEAR(Tabela_ferias_folgas[[#This Row],[Data]])</f>
        <v>2023</v>
      </c>
      <c r="G605" t="str">
        <f>Tabela_ferias_folgas[[#This Row],[Médico]]&amp;" - "&amp;Tabela_ferias_folgas[[#This Row],[Compromisso]]</f>
        <v>EDU - FÉRIAS</v>
      </c>
    </row>
    <row r="606" spans="1:7" x14ac:dyDescent="0.3">
      <c r="A606" t="s">
        <v>12</v>
      </c>
      <c r="B606" t="s">
        <v>464</v>
      </c>
      <c r="C606" s="1">
        <v>45130</v>
      </c>
      <c r="D606">
        <f>DAY(Tabela_ferias_folgas[[#This Row],[Data]])</f>
        <v>23</v>
      </c>
      <c r="E606">
        <f>MONTH(Tabela_ferias_folgas[[#This Row],[Data]])</f>
        <v>7</v>
      </c>
      <c r="F606">
        <f>YEAR(Tabela_ferias_folgas[[#This Row],[Data]])</f>
        <v>2023</v>
      </c>
      <c r="G606" t="str">
        <f>Tabela_ferias_folgas[[#This Row],[Médico]]&amp;" - "&amp;Tabela_ferias_folgas[[#This Row],[Compromisso]]</f>
        <v>EDU - FÉRIAS</v>
      </c>
    </row>
    <row r="607" spans="1:7" x14ac:dyDescent="0.3">
      <c r="A607" t="s">
        <v>32</v>
      </c>
      <c r="B607" t="s">
        <v>464</v>
      </c>
      <c r="C607" s="1">
        <v>45131</v>
      </c>
      <c r="D607">
        <f>DAY(Tabela_ferias_folgas[[#This Row],[Data]])</f>
        <v>24</v>
      </c>
      <c r="E607">
        <f>MONTH(Tabela_ferias_folgas[[#This Row],[Data]])</f>
        <v>7</v>
      </c>
      <c r="F607">
        <f>YEAR(Tabela_ferias_folgas[[#This Row],[Data]])</f>
        <v>2023</v>
      </c>
      <c r="G607" t="str">
        <f>Tabela_ferias_folgas[[#This Row],[Médico]]&amp;" - "&amp;Tabela_ferias_folgas[[#This Row],[Compromisso]]</f>
        <v>JS - FÉRIAS</v>
      </c>
    </row>
    <row r="608" spans="1:7" x14ac:dyDescent="0.3">
      <c r="A608" t="s">
        <v>32</v>
      </c>
      <c r="B608" t="s">
        <v>464</v>
      </c>
      <c r="C608" s="1">
        <v>45132</v>
      </c>
      <c r="D608">
        <f>DAY(Tabela_ferias_folgas[[#This Row],[Data]])</f>
        <v>25</v>
      </c>
      <c r="E608">
        <f>MONTH(Tabela_ferias_folgas[[#This Row],[Data]])</f>
        <v>7</v>
      </c>
      <c r="F608">
        <f>YEAR(Tabela_ferias_folgas[[#This Row],[Data]])</f>
        <v>2023</v>
      </c>
      <c r="G608" t="str">
        <f>Tabela_ferias_folgas[[#This Row],[Médico]]&amp;" - "&amp;Tabela_ferias_folgas[[#This Row],[Compromisso]]</f>
        <v>JS - FÉRIAS</v>
      </c>
    </row>
    <row r="609" spans="1:7" x14ac:dyDescent="0.3">
      <c r="A609" t="s">
        <v>32</v>
      </c>
      <c r="B609" t="s">
        <v>464</v>
      </c>
      <c r="C609" s="1">
        <v>45133</v>
      </c>
      <c r="D609">
        <f>DAY(Tabela_ferias_folgas[[#This Row],[Data]])</f>
        <v>26</v>
      </c>
      <c r="E609">
        <f>MONTH(Tabela_ferias_folgas[[#This Row],[Data]])</f>
        <v>7</v>
      </c>
      <c r="F609">
        <f>YEAR(Tabela_ferias_folgas[[#This Row],[Data]])</f>
        <v>2023</v>
      </c>
      <c r="G609" t="str">
        <f>Tabela_ferias_folgas[[#This Row],[Médico]]&amp;" - "&amp;Tabela_ferias_folgas[[#This Row],[Compromisso]]</f>
        <v>JS - FÉRIAS</v>
      </c>
    </row>
    <row r="610" spans="1:7" x14ac:dyDescent="0.3">
      <c r="A610" t="s">
        <v>32</v>
      </c>
      <c r="B610" t="s">
        <v>464</v>
      </c>
      <c r="C610" s="1">
        <v>45134</v>
      </c>
      <c r="D610">
        <f>DAY(Tabela_ferias_folgas[[#This Row],[Data]])</f>
        <v>27</v>
      </c>
      <c r="E610">
        <f>MONTH(Tabela_ferias_folgas[[#This Row],[Data]])</f>
        <v>7</v>
      </c>
      <c r="F610">
        <f>YEAR(Tabela_ferias_folgas[[#This Row],[Data]])</f>
        <v>2023</v>
      </c>
      <c r="G610" t="str">
        <f>Tabela_ferias_folgas[[#This Row],[Médico]]&amp;" - "&amp;Tabela_ferias_folgas[[#This Row],[Compromisso]]</f>
        <v>JS - FÉRIAS</v>
      </c>
    </row>
    <row r="611" spans="1:7" x14ac:dyDescent="0.3">
      <c r="A611" t="s">
        <v>32</v>
      </c>
      <c r="B611" t="s">
        <v>464</v>
      </c>
      <c r="C611" s="1">
        <v>45135</v>
      </c>
      <c r="D611">
        <f>DAY(Tabela_ferias_folgas[[#This Row],[Data]])</f>
        <v>28</v>
      </c>
      <c r="E611">
        <f>MONTH(Tabela_ferias_folgas[[#This Row],[Data]])</f>
        <v>7</v>
      </c>
      <c r="F611">
        <f>YEAR(Tabela_ferias_folgas[[#This Row],[Data]])</f>
        <v>2023</v>
      </c>
      <c r="G611" t="str">
        <f>Tabela_ferias_folgas[[#This Row],[Médico]]&amp;" - "&amp;Tabela_ferias_folgas[[#This Row],[Compromisso]]</f>
        <v>JS - FÉRIAS</v>
      </c>
    </row>
    <row r="612" spans="1:7" x14ac:dyDescent="0.3">
      <c r="A612" t="s">
        <v>32</v>
      </c>
      <c r="B612" t="s">
        <v>464</v>
      </c>
      <c r="C612" s="1">
        <v>45136</v>
      </c>
      <c r="D612">
        <f>DAY(Tabela_ferias_folgas[[#This Row],[Data]])</f>
        <v>29</v>
      </c>
      <c r="E612">
        <f>MONTH(Tabela_ferias_folgas[[#This Row],[Data]])</f>
        <v>7</v>
      </c>
      <c r="F612">
        <f>YEAR(Tabela_ferias_folgas[[#This Row],[Data]])</f>
        <v>2023</v>
      </c>
      <c r="G612" t="str">
        <f>Tabela_ferias_folgas[[#This Row],[Médico]]&amp;" - "&amp;Tabela_ferias_folgas[[#This Row],[Compromisso]]</f>
        <v>JS - FÉRIAS</v>
      </c>
    </row>
    <row r="613" spans="1:7" x14ac:dyDescent="0.3">
      <c r="A613" t="s">
        <v>32</v>
      </c>
      <c r="B613" t="s">
        <v>464</v>
      </c>
      <c r="C613" s="1">
        <v>45137</v>
      </c>
      <c r="D613">
        <f>DAY(Tabela_ferias_folgas[[#This Row],[Data]])</f>
        <v>30</v>
      </c>
      <c r="E613">
        <f>MONTH(Tabela_ferias_folgas[[#This Row],[Data]])</f>
        <v>7</v>
      </c>
      <c r="F613">
        <f>YEAR(Tabela_ferias_folgas[[#This Row],[Data]])</f>
        <v>2023</v>
      </c>
      <c r="G613" t="str">
        <f>Tabela_ferias_folgas[[#This Row],[Médico]]&amp;" - "&amp;Tabela_ferias_folgas[[#This Row],[Compromisso]]</f>
        <v>JS - FÉRIAS</v>
      </c>
    </row>
    <row r="614" spans="1:7" x14ac:dyDescent="0.3">
      <c r="A614" t="s">
        <v>84</v>
      </c>
      <c r="B614" t="s">
        <v>464</v>
      </c>
      <c r="C614" s="1">
        <v>45131</v>
      </c>
      <c r="D614">
        <f>DAY(Tabela_ferias_folgas[[#This Row],[Data]])</f>
        <v>24</v>
      </c>
      <c r="E614">
        <f>MONTH(Tabela_ferias_folgas[[#This Row],[Data]])</f>
        <v>7</v>
      </c>
      <c r="F614">
        <f>YEAR(Tabela_ferias_folgas[[#This Row],[Data]])</f>
        <v>2023</v>
      </c>
      <c r="G614" t="str">
        <f>Tabela_ferias_folgas[[#This Row],[Médico]]&amp;" - "&amp;Tabela_ferias_folgas[[#This Row],[Compromisso]]</f>
        <v>ANO - FÉRIAS</v>
      </c>
    </row>
    <row r="615" spans="1:7" x14ac:dyDescent="0.3">
      <c r="A615" t="s">
        <v>84</v>
      </c>
      <c r="B615" t="s">
        <v>464</v>
      </c>
      <c r="C615" s="1">
        <v>45132</v>
      </c>
      <c r="D615">
        <f>DAY(Tabela_ferias_folgas[[#This Row],[Data]])</f>
        <v>25</v>
      </c>
      <c r="E615">
        <f>MONTH(Tabela_ferias_folgas[[#This Row],[Data]])</f>
        <v>7</v>
      </c>
      <c r="F615">
        <f>YEAR(Tabela_ferias_folgas[[#This Row],[Data]])</f>
        <v>2023</v>
      </c>
      <c r="G615" t="str">
        <f>Tabela_ferias_folgas[[#This Row],[Médico]]&amp;" - "&amp;Tabela_ferias_folgas[[#This Row],[Compromisso]]</f>
        <v>ANO - FÉRIAS</v>
      </c>
    </row>
    <row r="616" spans="1:7" x14ac:dyDescent="0.3">
      <c r="A616" t="s">
        <v>84</v>
      </c>
      <c r="B616" t="s">
        <v>464</v>
      </c>
      <c r="C616" s="1">
        <v>45133</v>
      </c>
      <c r="D616">
        <f>DAY(Tabela_ferias_folgas[[#This Row],[Data]])</f>
        <v>26</v>
      </c>
      <c r="E616">
        <f>MONTH(Tabela_ferias_folgas[[#This Row],[Data]])</f>
        <v>7</v>
      </c>
      <c r="F616">
        <f>YEAR(Tabela_ferias_folgas[[#This Row],[Data]])</f>
        <v>2023</v>
      </c>
      <c r="G616" t="str">
        <f>Tabela_ferias_folgas[[#This Row],[Médico]]&amp;" - "&amp;Tabela_ferias_folgas[[#This Row],[Compromisso]]</f>
        <v>ANO - FÉRIAS</v>
      </c>
    </row>
    <row r="617" spans="1:7" x14ac:dyDescent="0.3">
      <c r="A617" t="s">
        <v>84</v>
      </c>
      <c r="B617" t="s">
        <v>464</v>
      </c>
      <c r="C617" s="1">
        <v>45134</v>
      </c>
      <c r="D617">
        <f>DAY(Tabela_ferias_folgas[[#This Row],[Data]])</f>
        <v>27</v>
      </c>
      <c r="E617">
        <f>MONTH(Tabela_ferias_folgas[[#This Row],[Data]])</f>
        <v>7</v>
      </c>
      <c r="F617">
        <f>YEAR(Tabela_ferias_folgas[[#This Row],[Data]])</f>
        <v>2023</v>
      </c>
      <c r="G617" t="str">
        <f>Tabela_ferias_folgas[[#This Row],[Médico]]&amp;" - "&amp;Tabela_ferias_folgas[[#This Row],[Compromisso]]</f>
        <v>ANO - FÉRIAS</v>
      </c>
    </row>
    <row r="618" spans="1:7" x14ac:dyDescent="0.3">
      <c r="A618" t="s">
        <v>84</v>
      </c>
      <c r="B618" t="s">
        <v>464</v>
      </c>
      <c r="C618" s="1">
        <v>45135</v>
      </c>
      <c r="D618">
        <f>DAY(Tabela_ferias_folgas[[#This Row],[Data]])</f>
        <v>28</v>
      </c>
      <c r="E618">
        <f>MONTH(Tabela_ferias_folgas[[#This Row],[Data]])</f>
        <v>7</v>
      </c>
      <c r="F618">
        <f>YEAR(Tabela_ferias_folgas[[#This Row],[Data]])</f>
        <v>2023</v>
      </c>
      <c r="G618" t="str">
        <f>Tabela_ferias_folgas[[#This Row],[Médico]]&amp;" - "&amp;Tabela_ferias_folgas[[#This Row],[Compromisso]]</f>
        <v>ANO - FÉRIAS</v>
      </c>
    </row>
    <row r="619" spans="1:7" x14ac:dyDescent="0.3">
      <c r="A619" t="s">
        <v>64</v>
      </c>
      <c r="B619" t="s">
        <v>464</v>
      </c>
      <c r="C619" s="1">
        <v>45131</v>
      </c>
      <c r="D619">
        <f>DAY(Tabela_ferias_folgas[[#This Row],[Data]])</f>
        <v>24</v>
      </c>
      <c r="E619">
        <f>MONTH(Tabela_ferias_folgas[[#This Row],[Data]])</f>
        <v>7</v>
      </c>
      <c r="F619">
        <f>YEAR(Tabela_ferias_folgas[[#This Row],[Data]])</f>
        <v>2023</v>
      </c>
      <c r="G619" t="str">
        <f>Tabela_ferias_folgas[[#This Row],[Médico]]&amp;" - "&amp;Tabela_ferias_folgas[[#This Row],[Compromisso]]</f>
        <v>SAR - FÉRIAS</v>
      </c>
    </row>
    <row r="620" spans="1:7" x14ac:dyDescent="0.3">
      <c r="A620" t="s">
        <v>64</v>
      </c>
      <c r="B620" t="s">
        <v>464</v>
      </c>
      <c r="C620" s="1">
        <v>45132</v>
      </c>
      <c r="D620">
        <f>DAY(Tabela_ferias_folgas[[#This Row],[Data]])</f>
        <v>25</v>
      </c>
      <c r="E620">
        <f>MONTH(Tabela_ferias_folgas[[#This Row],[Data]])</f>
        <v>7</v>
      </c>
      <c r="F620">
        <f>YEAR(Tabela_ferias_folgas[[#This Row],[Data]])</f>
        <v>2023</v>
      </c>
      <c r="G620" t="str">
        <f>Tabela_ferias_folgas[[#This Row],[Médico]]&amp;" - "&amp;Tabela_ferias_folgas[[#This Row],[Compromisso]]</f>
        <v>SAR - FÉRIAS</v>
      </c>
    </row>
    <row r="621" spans="1:7" x14ac:dyDescent="0.3">
      <c r="A621" t="s">
        <v>64</v>
      </c>
      <c r="B621" t="s">
        <v>464</v>
      </c>
      <c r="C621" s="1">
        <v>45133</v>
      </c>
      <c r="D621">
        <f>DAY(Tabela_ferias_folgas[[#This Row],[Data]])</f>
        <v>26</v>
      </c>
      <c r="E621">
        <f>MONTH(Tabela_ferias_folgas[[#This Row],[Data]])</f>
        <v>7</v>
      </c>
      <c r="F621">
        <f>YEAR(Tabela_ferias_folgas[[#This Row],[Data]])</f>
        <v>2023</v>
      </c>
      <c r="G621" t="str">
        <f>Tabela_ferias_folgas[[#This Row],[Médico]]&amp;" - "&amp;Tabela_ferias_folgas[[#This Row],[Compromisso]]</f>
        <v>SAR - FÉRIAS</v>
      </c>
    </row>
    <row r="622" spans="1:7" x14ac:dyDescent="0.3">
      <c r="A622" t="s">
        <v>64</v>
      </c>
      <c r="B622" t="s">
        <v>464</v>
      </c>
      <c r="C622" s="1">
        <v>45134</v>
      </c>
      <c r="D622">
        <f>DAY(Tabela_ferias_folgas[[#This Row],[Data]])</f>
        <v>27</v>
      </c>
      <c r="E622">
        <f>MONTH(Tabela_ferias_folgas[[#This Row],[Data]])</f>
        <v>7</v>
      </c>
      <c r="F622">
        <f>YEAR(Tabela_ferias_folgas[[#This Row],[Data]])</f>
        <v>2023</v>
      </c>
      <c r="G622" t="str">
        <f>Tabela_ferias_folgas[[#This Row],[Médico]]&amp;" - "&amp;Tabela_ferias_folgas[[#This Row],[Compromisso]]</f>
        <v>SAR - FÉRIAS</v>
      </c>
    </row>
    <row r="623" spans="1:7" x14ac:dyDescent="0.3">
      <c r="A623" t="s">
        <v>64</v>
      </c>
      <c r="B623" t="s">
        <v>464</v>
      </c>
      <c r="C623" s="1">
        <v>45135</v>
      </c>
      <c r="D623">
        <f>DAY(Tabela_ferias_folgas[[#This Row],[Data]])</f>
        <v>28</v>
      </c>
      <c r="E623">
        <f>MONTH(Tabela_ferias_folgas[[#This Row],[Data]])</f>
        <v>7</v>
      </c>
      <c r="F623">
        <f>YEAR(Tabela_ferias_folgas[[#This Row],[Data]])</f>
        <v>2023</v>
      </c>
      <c r="G623" t="str">
        <f>Tabela_ferias_folgas[[#This Row],[Médico]]&amp;" - "&amp;Tabela_ferias_folgas[[#This Row],[Compromisso]]</f>
        <v>SAR - FÉRIAS</v>
      </c>
    </row>
    <row r="624" spans="1:7" x14ac:dyDescent="0.3">
      <c r="A624" t="s">
        <v>283</v>
      </c>
      <c r="B624" t="s">
        <v>464</v>
      </c>
      <c r="C624" s="1">
        <v>45138</v>
      </c>
      <c r="D624">
        <f>DAY(Tabela_ferias_folgas[[#This Row],[Data]])</f>
        <v>31</v>
      </c>
      <c r="E624">
        <f>MONTH(Tabela_ferias_folgas[[#This Row],[Data]])</f>
        <v>7</v>
      </c>
      <c r="F624">
        <f>YEAR(Tabela_ferias_folgas[[#This Row],[Data]])</f>
        <v>2023</v>
      </c>
      <c r="G624" t="str">
        <f>Tabela_ferias_folgas[[#This Row],[Médico]]&amp;" - "&amp;Tabela_ferias_folgas[[#This Row],[Compromisso]]</f>
        <v>JU - FÉRIAS</v>
      </c>
    </row>
    <row r="625" spans="1:7" x14ac:dyDescent="0.3">
      <c r="A625" t="s">
        <v>283</v>
      </c>
      <c r="B625" t="s">
        <v>464</v>
      </c>
      <c r="C625" s="1">
        <v>45139</v>
      </c>
      <c r="D625">
        <f>DAY(Tabela_ferias_folgas[[#This Row],[Data]])</f>
        <v>1</v>
      </c>
      <c r="E625">
        <f>MONTH(Tabela_ferias_folgas[[#This Row],[Data]])</f>
        <v>8</v>
      </c>
      <c r="F625">
        <f>YEAR(Tabela_ferias_folgas[[#This Row],[Data]])</f>
        <v>2023</v>
      </c>
      <c r="G625" t="str">
        <f>Tabela_ferias_folgas[[#This Row],[Médico]]&amp;" - "&amp;Tabela_ferias_folgas[[#This Row],[Compromisso]]</f>
        <v>JU - FÉRIAS</v>
      </c>
    </row>
    <row r="626" spans="1:7" x14ac:dyDescent="0.3">
      <c r="A626" t="s">
        <v>283</v>
      </c>
      <c r="B626" t="s">
        <v>464</v>
      </c>
      <c r="C626" s="1">
        <v>45140</v>
      </c>
      <c r="D626">
        <f>DAY(Tabela_ferias_folgas[[#This Row],[Data]])</f>
        <v>2</v>
      </c>
      <c r="E626">
        <f>MONTH(Tabela_ferias_folgas[[#This Row],[Data]])</f>
        <v>8</v>
      </c>
      <c r="F626">
        <f>YEAR(Tabela_ferias_folgas[[#This Row],[Data]])</f>
        <v>2023</v>
      </c>
      <c r="G626" t="str">
        <f>Tabela_ferias_folgas[[#This Row],[Médico]]&amp;" - "&amp;Tabela_ferias_folgas[[#This Row],[Compromisso]]</f>
        <v>JU - FÉRIAS</v>
      </c>
    </row>
    <row r="627" spans="1:7" x14ac:dyDescent="0.3">
      <c r="A627" t="s">
        <v>283</v>
      </c>
      <c r="B627" t="s">
        <v>464</v>
      </c>
      <c r="C627" s="1">
        <v>45141</v>
      </c>
      <c r="D627">
        <f>DAY(Tabela_ferias_folgas[[#This Row],[Data]])</f>
        <v>3</v>
      </c>
      <c r="E627">
        <f>MONTH(Tabela_ferias_folgas[[#This Row],[Data]])</f>
        <v>8</v>
      </c>
      <c r="F627">
        <f>YEAR(Tabela_ferias_folgas[[#This Row],[Data]])</f>
        <v>2023</v>
      </c>
      <c r="G627" t="str">
        <f>Tabela_ferias_folgas[[#This Row],[Médico]]&amp;" - "&amp;Tabela_ferias_folgas[[#This Row],[Compromisso]]</f>
        <v>JU - FÉRIAS</v>
      </c>
    </row>
    <row r="628" spans="1:7" x14ac:dyDescent="0.3">
      <c r="A628" t="s">
        <v>283</v>
      </c>
      <c r="B628" t="s">
        <v>464</v>
      </c>
      <c r="C628" s="1">
        <v>45142</v>
      </c>
      <c r="D628">
        <f>DAY(Tabela_ferias_folgas[[#This Row],[Data]])</f>
        <v>4</v>
      </c>
      <c r="E628">
        <f>MONTH(Tabela_ferias_folgas[[#This Row],[Data]])</f>
        <v>8</v>
      </c>
      <c r="F628">
        <f>YEAR(Tabela_ferias_folgas[[#This Row],[Data]])</f>
        <v>2023</v>
      </c>
      <c r="G628" t="str">
        <f>Tabela_ferias_folgas[[#This Row],[Médico]]&amp;" - "&amp;Tabela_ferias_folgas[[#This Row],[Compromisso]]</f>
        <v>JU - FÉRIAS</v>
      </c>
    </row>
    <row r="629" spans="1:7" x14ac:dyDescent="0.3">
      <c r="A629" t="s">
        <v>283</v>
      </c>
      <c r="B629" t="s">
        <v>464</v>
      </c>
      <c r="C629" s="1">
        <v>45143</v>
      </c>
      <c r="D629">
        <f>DAY(Tabela_ferias_folgas[[#This Row],[Data]])</f>
        <v>5</v>
      </c>
      <c r="E629">
        <f>MONTH(Tabela_ferias_folgas[[#This Row],[Data]])</f>
        <v>8</v>
      </c>
      <c r="F629">
        <f>YEAR(Tabela_ferias_folgas[[#This Row],[Data]])</f>
        <v>2023</v>
      </c>
      <c r="G629" t="str">
        <f>Tabela_ferias_folgas[[#This Row],[Médico]]&amp;" - "&amp;Tabela_ferias_folgas[[#This Row],[Compromisso]]</f>
        <v>JU - FÉRIAS</v>
      </c>
    </row>
    <row r="630" spans="1:7" x14ac:dyDescent="0.3">
      <c r="A630" t="s">
        <v>283</v>
      </c>
      <c r="B630" t="s">
        <v>464</v>
      </c>
      <c r="C630" s="1">
        <v>45144</v>
      </c>
      <c r="D630">
        <f>DAY(Tabela_ferias_folgas[[#This Row],[Data]])</f>
        <v>6</v>
      </c>
      <c r="E630">
        <f>MONTH(Tabela_ferias_folgas[[#This Row],[Data]])</f>
        <v>8</v>
      </c>
      <c r="F630">
        <f>YEAR(Tabela_ferias_folgas[[#This Row],[Data]])</f>
        <v>2023</v>
      </c>
      <c r="G630" t="str">
        <f>Tabela_ferias_folgas[[#This Row],[Médico]]&amp;" - "&amp;Tabela_ferias_folgas[[#This Row],[Compromisso]]</f>
        <v>JU - FÉRIAS</v>
      </c>
    </row>
    <row r="631" spans="1:7" x14ac:dyDescent="0.3">
      <c r="A631" t="s">
        <v>283</v>
      </c>
      <c r="B631" t="s">
        <v>464</v>
      </c>
      <c r="C631" s="1">
        <v>45145</v>
      </c>
      <c r="D631">
        <f>DAY(Tabela_ferias_folgas[[#This Row],[Data]])</f>
        <v>7</v>
      </c>
      <c r="E631">
        <f>MONTH(Tabela_ferias_folgas[[#This Row],[Data]])</f>
        <v>8</v>
      </c>
      <c r="F631">
        <f>YEAR(Tabela_ferias_folgas[[#This Row],[Data]])</f>
        <v>2023</v>
      </c>
      <c r="G631" t="str">
        <f>Tabela_ferias_folgas[[#This Row],[Médico]]&amp;" - "&amp;Tabela_ferias_folgas[[#This Row],[Compromisso]]</f>
        <v>JU - FÉRIAS</v>
      </c>
    </row>
    <row r="632" spans="1:7" x14ac:dyDescent="0.3">
      <c r="A632" t="s">
        <v>283</v>
      </c>
      <c r="B632" t="s">
        <v>464</v>
      </c>
      <c r="C632" s="1">
        <v>45146</v>
      </c>
      <c r="D632">
        <f>DAY(Tabela_ferias_folgas[[#This Row],[Data]])</f>
        <v>8</v>
      </c>
      <c r="E632">
        <f>MONTH(Tabela_ferias_folgas[[#This Row],[Data]])</f>
        <v>8</v>
      </c>
      <c r="F632">
        <f>YEAR(Tabela_ferias_folgas[[#This Row],[Data]])</f>
        <v>2023</v>
      </c>
      <c r="G632" t="str">
        <f>Tabela_ferias_folgas[[#This Row],[Médico]]&amp;" - "&amp;Tabela_ferias_folgas[[#This Row],[Compromisso]]</f>
        <v>JU - FÉRIAS</v>
      </c>
    </row>
    <row r="633" spans="1:7" x14ac:dyDescent="0.3">
      <c r="A633" t="s">
        <v>283</v>
      </c>
      <c r="B633" t="s">
        <v>464</v>
      </c>
      <c r="C633" s="1">
        <v>45147</v>
      </c>
      <c r="D633">
        <f>DAY(Tabela_ferias_folgas[[#This Row],[Data]])</f>
        <v>9</v>
      </c>
      <c r="E633">
        <f>MONTH(Tabela_ferias_folgas[[#This Row],[Data]])</f>
        <v>8</v>
      </c>
      <c r="F633">
        <f>YEAR(Tabela_ferias_folgas[[#This Row],[Data]])</f>
        <v>2023</v>
      </c>
      <c r="G633" t="str">
        <f>Tabela_ferias_folgas[[#This Row],[Médico]]&amp;" - "&amp;Tabela_ferias_folgas[[#This Row],[Compromisso]]</f>
        <v>JU - FÉRIAS</v>
      </c>
    </row>
    <row r="634" spans="1:7" x14ac:dyDescent="0.3">
      <c r="A634" t="s">
        <v>283</v>
      </c>
      <c r="B634" t="s">
        <v>464</v>
      </c>
      <c r="C634" s="1">
        <v>45148</v>
      </c>
      <c r="D634">
        <f>DAY(Tabela_ferias_folgas[[#This Row],[Data]])</f>
        <v>10</v>
      </c>
      <c r="E634">
        <f>MONTH(Tabela_ferias_folgas[[#This Row],[Data]])</f>
        <v>8</v>
      </c>
      <c r="F634">
        <f>YEAR(Tabela_ferias_folgas[[#This Row],[Data]])</f>
        <v>2023</v>
      </c>
      <c r="G634" t="str">
        <f>Tabela_ferias_folgas[[#This Row],[Médico]]&amp;" - "&amp;Tabela_ferias_folgas[[#This Row],[Compromisso]]</f>
        <v>JU - FÉRIAS</v>
      </c>
    </row>
    <row r="635" spans="1:7" x14ac:dyDescent="0.3">
      <c r="A635" t="s">
        <v>283</v>
      </c>
      <c r="B635" t="s">
        <v>464</v>
      </c>
      <c r="C635" s="1">
        <v>45149</v>
      </c>
      <c r="D635">
        <f>DAY(Tabela_ferias_folgas[[#This Row],[Data]])</f>
        <v>11</v>
      </c>
      <c r="E635">
        <f>MONTH(Tabela_ferias_folgas[[#This Row],[Data]])</f>
        <v>8</v>
      </c>
      <c r="F635">
        <f>YEAR(Tabela_ferias_folgas[[#This Row],[Data]])</f>
        <v>2023</v>
      </c>
      <c r="G635" t="str">
        <f>Tabela_ferias_folgas[[#This Row],[Médico]]&amp;" - "&amp;Tabela_ferias_folgas[[#This Row],[Compromisso]]</f>
        <v>JU - FÉRIAS</v>
      </c>
    </row>
    <row r="636" spans="1:7" x14ac:dyDescent="0.3">
      <c r="A636" t="s">
        <v>283</v>
      </c>
      <c r="B636" t="s">
        <v>464</v>
      </c>
      <c r="C636" s="1">
        <v>45150</v>
      </c>
      <c r="D636">
        <f>DAY(Tabela_ferias_folgas[[#This Row],[Data]])</f>
        <v>12</v>
      </c>
      <c r="E636">
        <f>MONTH(Tabela_ferias_folgas[[#This Row],[Data]])</f>
        <v>8</v>
      </c>
      <c r="F636">
        <f>YEAR(Tabela_ferias_folgas[[#This Row],[Data]])</f>
        <v>2023</v>
      </c>
      <c r="G636" t="str">
        <f>Tabela_ferias_folgas[[#This Row],[Médico]]&amp;" - "&amp;Tabela_ferias_folgas[[#This Row],[Compromisso]]</f>
        <v>JU - FÉRIAS</v>
      </c>
    </row>
    <row r="637" spans="1:7" x14ac:dyDescent="0.3">
      <c r="A637" t="s">
        <v>283</v>
      </c>
      <c r="B637" t="s">
        <v>464</v>
      </c>
      <c r="C637" s="1">
        <v>45151</v>
      </c>
      <c r="D637">
        <f>DAY(Tabela_ferias_folgas[[#This Row],[Data]])</f>
        <v>13</v>
      </c>
      <c r="E637">
        <f>MONTH(Tabela_ferias_folgas[[#This Row],[Data]])</f>
        <v>8</v>
      </c>
      <c r="F637">
        <f>YEAR(Tabela_ferias_folgas[[#This Row],[Data]])</f>
        <v>2023</v>
      </c>
      <c r="G637" t="str">
        <f>Tabela_ferias_folgas[[#This Row],[Médico]]&amp;" - "&amp;Tabela_ferias_folgas[[#This Row],[Compromisso]]</f>
        <v>JU - FÉRIAS</v>
      </c>
    </row>
    <row r="638" spans="1:7" x14ac:dyDescent="0.3">
      <c r="A638" t="s">
        <v>48</v>
      </c>
      <c r="B638" t="s">
        <v>464</v>
      </c>
      <c r="C638" s="1">
        <v>45145</v>
      </c>
      <c r="D638">
        <f>DAY(Tabela_ferias_folgas[[#This Row],[Data]])</f>
        <v>7</v>
      </c>
      <c r="E638">
        <f>MONTH(Tabela_ferias_folgas[[#This Row],[Data]])</f>
        <v>8</v>
      </c>
      <c r="F638">
        <f>YEAR(Tabela_ferias_folgas[[#This Row],[Data]])</f>
        <v>2023</v>
      </c>
      <c r="G638" t="str">
        <f>Tabela_ferias_folgas[[#This Row],[Médico]]&amp;" - "&amp;Tabela_ferias_folgas[[#This Row],[Compromisso]]</f>
        <v>MAF - FÉRIAS</v>
      </c>
    </row>
    <row r="639" spans="1:7" x14ac:dyDescent="0.3">
      <c r="A639" t="s">
        <v>48</v>
      </c>
      <c r="B639" t="s">
        <v>464</v>
      </c>
      <c r="C639" s="1">
        <v>45146</v>
      </c>
      <c r="D639">
        <f>DAY(Tabela_ferias_folgas[[#This Row],[Data]])</f>
        <v>8</v>
      </c>
      <c r="E639">
        <f>MONTH(Tabela_ferias_folgas[[#This Row],[Data]])</f>
        <v>8</v>
      </c>
      <c r="F639">
        <f>YEAR(Tabela_ferias_folgas[[#This Row],[Data]])</f>
        <v>2023</v>
      </c>
      <c r="G639" t="str">
        <f>Tabela_ferias_folgas[[#This Row],[Médico]]&amp;" - "&amp;Tabela_ferias_folgas[[#This Row],[Compromisso]]</f>
        <v>MAF - FÉRIAS</v>
      </c>
    </row>
    <row r="640" spans="1:7" x14ac:dyDescent="0.3">
      <c r="A640" t="s">
        <v>48</v>
      </c>
      <c r="B640" t="s">
        <v>464</v>
      </c>
      <c r="C640" s="1">
        <v>45147</v>
      </c>
      <c r="D640">
        <f>DAY(Tabela_ferias_folgas[[#This Row],[Data]])</f>
        <v>9</v>
      </c>
      <c r="E640">
        <f>MONTH(Tabela_ferias_folgas[[#This Row],[Data]])</f>
        <v>8</v>
      </c>
      <c r="F640">
        <f>YEAR(Tabela_ferias_folgas[[#This Row],[Data]])</f>
        <v>2023</v>
      </c>
      <c r="G640" t="str">
        <f>Tabela_ferias_folgas[[#This Row],[Médico]]&amp;" - "&amp;Tabela_ferias_folgas[[#This Row],[Compromisso]]</f>
        <v>MAF - FÉRIAS</v>
      </c>
    </row>
    <row r="641" spans="1:7" x14ac:dyDescent="0.3">
      <c r="A641" t="s">
        <v>48</v>
      </c>
      <c r="B641" t="s">
        <v>464</v>
      </c>
      <c r="C641" s="1">
        <v>45148</v>
      </c>
      <c r="D641">
        <f>DAY(Tabela_ferias_folgas[[#This Row],[Data]])</f>
        <v>10</v>
      </c>
      <c r="E641">
        <f>MONTH(Tabela_ferias_folgas[[#This Row],[Data]])</f>
        <v>8</v>
      </c>
      <c r="F641">
        <f>YEAR(Tabela_ferias_folgas[[#This Row],[Data]])</f>
        <v>2023</v>
      </c>
      <c r="G641" t="str">
        <f>Tabela_ferias_folgas[[#This Row],[Médico]]&amp;" - "&amp;Tabela_ferias_folgas[[#This Row],[Compromisso]]</f>
        <v>MAF - FÉRIAS</v>
      </c>
    </row>
    <row r="642" spans="1:7" x14ac:dyDescent="0.3">
      <c r="A642" t="s">
        <v>48</v>
      </c>
      <c r="B642" t="s">
        <v>464</v>
      </c>
      <c r="C642" s="1">
        <v>45149</v>
      </c>
      <c r="D642">
        <f>DAY(Tabela_ferias_folgas[[#This Row],[Data]])</f>
        <v>11</v>
      </c>
      <c r="E642">
        <f>MONTH(Tabela_ferias_folgas[[#This Row],[Data]])</f>
        <v>8</v>
      </c>
      <c r="F642">
        <f>YEAR(Tabela_ferias_folgas[[#This Row],[Data]])</f>
        <v>2023</v>
      </c>
      <c r="G642" t="str">
        <f>Tabela_ferias_folgas[[#This Row],[Médico]]&amp;" - "&amp;Tabela_ferias_folgas[[#This Row],[Compromisso]]</f>
        <v>MAF - FÉRIAS</v>
      </c>
    </row>
    <row r="643" spans="1:7" x14ac:dyDescent="0.3">
      <c r="A643" t="s">
        <v>48</v>
      </c>
      <c r="B643" t="s">
        <v>464</v>
      </c>
      <c r="C643" s="1">
        <v>45150</v>
      </c>
      <c r="D643">
        <f>DAY(Tabela_ferias_folgas[[#This Row],[Data]])</f>
        <v>12</v>
      </c>
      <c r="E643">
        <f>MONTH(Tabela_ferias_folgas[[#This Row],[Data]])</f>
        <v>8</v>
      </c>
      <c r="F643">
        <f>YEAR(Tabela_ferias_folgas[[#This Row],[Data]])</f>
        <v>2023</v>
      </c>
      <c r="G643" t="str">
        <f>Tabela_ferias_folgas[[#This Row],[Médico]]&amp;" - "&amp;Tabela_ferias_folgas[[#This Row],[Compromisso]]</f>
        <v>MAF - FÉRIAS</v>
      </c>
    </row>
    <row r="644" spans="1:7" x14ac:dyDescent="0.3">
      <c r="A644" t="s">
        <v>48</v>
      </c>
      <c r="B644" t="s">
        <v>464</v>
      </c>
      <c r="C644" s="1">
        <v>45151</v>
      </c>
      <c r="D644">
        <f>DAY(Tabela_ferias_folgas[[#This Row],[Data]])</f>
        <v>13</v>
      </c>
      <c r="E644">
        <f>MONTH(Tabela_ferias_folgas[[#This Row],[Data]])</f>
        <v>8</v>
      </c>
      <c r="F644">
        <f>YEAR(Tabela_ferias_folgas[[#This Row],[Data]])</f>
        <v>2023</v>
      </c>
      <c r="G644" t="str">
        <f>Tabela_ferias_folgas[[#This Row],[Médico]]&amp;" - "&amp;Tabela_ferias_folgas[[#This Row],[Compromisso]]</f>
        <v>MAF - FÉRIAS</v>
      </c>
    </row>
    <row r="645" spans="1:7" x14ac:dyDescent="0.3">
      <c r="A645" t="s">
        <v>48</v>
      </c>
      <c r="B645" t="s">
        <v>464</v>
      </c>
      <c r="C645" s="1">
        <v>45152</v>
      </c>
      <c r="D645">
        <f>DAY(Tabela_ferias_folgas[[#This Row],[Data]])</f>
        <v>14</v>
      </c>
      <c r="E645">
        <f>MONTH(Tabela_ferias_folgas[[#This Row],[Data]])</f>
        <v>8</v>
      </c>
      <c r="F645">
        <f>YEAR(Tabela_ferias_folgas[[#This Row],[Data]])</f>
        <v>2023</v>
      </c>
      <c r="G645" t="str">
        <f>Tabela_ferias_folgas[[#This Row],[Médico]]&amp;" - "&amp;Tabela_ferias_folgas[[#This Row],[Compromisso]]</f>
        <v>MAF - FÉRIAS</v>
      </c>
    </row>
    <row r="646" spans="1:7" x14ac:dyDescent="0.3">
      <c r="A646" t="s">
        <v>48</v>
      </c>
      <c r="B646" t="s">
        <v>464</v>
      </c>
      <c r="C646" s="1">
        <v>45153</v>
      </c>
      <c r="D646">
        <f>DAY(Tabela_ferias_folgas[[#This Row],[Data]])</f>
        <v>15</v>
      </c>
      <c r="E646">
        <f>MONTH(Tabela_ferias_folgas[[#This Row],[Data]])</f>
        <v>8</v>
      </c>
      <c r="F646">
        <f>YEAR(Tabela_ferias_folgas[[#This Row],[Data]])</f>
        <v>2023</v>
      </c>
      <c r="G646" t="str">
        <f>Tabela_ferias_folgas[[#This Row],[Médico]]&amp;" - "&amp;Tabela_ferias_folgas[[#This Row],[Compromisso]]</f>
        <v>MAF - FÉRIAS</v>
      </c>
    </row>
    <row r="647" spans="1:7" x14ac:dyDescent="0.3">
      <c r="A647" t="s">
        <v>48</v>
      </c>
      <c r="B647" t="s">
        <v>464</v>
      </c>
      <c r="C647" s="1">
        <v>45154</v>
      </c>
      <c r="D647">
        <f>DAY(Tabela_ferias_folgas[[#This Row],[Data]])</f>
        <v>16</v>
      </c>
      <c r="E647">
        <f>MONTH(Tabela_ferias_folgas[[#This Row],[Data]])</f>
        <v>8</v>
      </c>
      <c r="F647">
        <f>YEAR(Tabela_ferias_folgas[[#This Row],[Data]])</f>
        <v>2023</v>
      </c>
      <c r="G647" t="str">
        <f>Tabela_ferias_folgas[[#This Row],[Médico]]&amp;" - "&amp;Tabela_ferias_folgas[[#This Row],[Compromisso]]</f>
        <v>MAF - FÉRIAS</v>
      </c>
    </row>
    <row r="648" spans="1:7" x14ac:dyDescent="0.3">
      <c r="A648" t="s">
        <v>48</v>
      </c>
      <c r="B648" t="s">
        <v>464</v>
      </c>
      <c r="C648" s="1">
        <v>45155</v>
      </c>
      <c r="D648">
        <f>DAY(Tabela_ferias_folgas[[#This Row],[Data]])</f>
        <v>17</v>
      </c>
      <c r="E648">
        <f>MONTH(Tabela_ferias_folgas[[#This Row],[Data]])</f>
        <v>8</v>
      </c>
      <c r="F648">
        <f>YEAR(Tabela_ferias_folgas[[#This Row],[Data]])</f>
        <v>2023</v>
      </c>
      <c r="G648" t="str">
        <f>Tabela_ferias_folgas[[#This Row],[Médico]]&amp;" - "&amp;Tabela_ferias_folgas[[#This Row],[Compromisso]]</f>
        <v>MAF - FÉRIAS</v>
      </c>
    </row>
    <row r="649" spans="1:7" x14ac:dyDescent="0.3">
      <c r="A649" t="s">
        <v>48</v>
      </c>
      <c r="B649" t="s">
        <v>464</v>
      </c>
      <c r="C649" s="1">
        <v>45156</v>
      </c>
      <c r="D649">
        <f>DAY(Tabela_ferias_folgas[[#This Row],[Data]])</f>
        <v>18</v>
      </c>
      <c r="E649">
        <f>MONTH(Tabela_ferias_folgas[[#This Row],[Data]])</f>
        <v>8</v>
      </c>
      <c r="F649">
        <f>YEAR(Tabela_ferias_folgas[[#This Row],[Data]])</f>
        <v>2023</v>
      </c>
      <c r="G649" t="str">
        <f>Tabela_ferias_folgas[[#This Row],[Médico]]&amp;" - "&amp;Tabela_ferias_folgas[[#This Row],[Compromisso]]</f>
        <v>MAF - FÉRIAS</v>
      </c>
    </row>
    <row r="650" spans="1:7" x14ac:dyDescent="0.3">
      <c r="A650" t="s">
        <v>48</v>
      </c>
      <c r="B650" t="s">
        <v>464</v>
      </c>
      <c r="C650" s="1">
        <v>45157</v>
      </c>
      <c r="D650">
        <f>DAY(Tabela_ferias_folgas[[#This Row],[Data]])</f>
        <v>19</v>
      </c>
      <c r="E650">
        <f>MONTH(Tabela_ferias_folgas[[#This Row],[Data]])</f>
        <v>8</v>
      </c>
      <c r="F650">
        <f>YEAR(Tabela_ferias_folgas[[#This Row],[Data]])</f>
        <v>2023</v>
      </c>
      <c r="G650" t="str">
        <f>Tabela_ferias_folgas[[#This Row],[Médico]]&amp;" - "&amp;Tabela_ferias_folgas[[#This Row],[Compromisso]]</f>
        <v>MAF - FÉRIAS</v>
      </c>
    </row>
    <row r="651" spans="1:7" x14ac:dyDescent="0.3">
      <c r="A651" t="s">
        <v>48</v>
      </c>
      <c r="B651" t="s">
        <v>464</v>
      </c>
      <c r="C651" s="1">
        <v>45158</v>
      </c>
      <c r="D651">
        <f>DAY(Tabela_ferias_folgas[[#This Row],[Data]])</f>
        <v>20</v>
      </c>
      <c r="E651">
        <f>MONTH(Tabela_ferias_folgas[[#This Row],[Data]])</f>
        <v>8</v>
      </c>
      <c r="F651">
        <f>YEAR(Tabela_ferias_folgas[[#This Row],[Data]])</f>
        <v>2023</v>
      </c>
      <c r="G651" t="str">
        <f>Tabela_ferias_folgas[[#This Row],[Médico]]&amp;" - "&amp;Tabela_ferias_folgas[[#This Row],[Compromisso]]</f>
        <v>MAF - FÉRIAS</v>
      </c>
    </row>
    <row r="652" spans="1:7" x14ac:dyDescent="0.3">
      <c r="A652" t="s">
        <v>68</v>
      </c>
      <c r="B652" t="s">
        <v>464</v>
      </c>
      <c r="C652" s="1">
        <v>45145</v>
      </c>
      <c r="D652">
        <f>DAY(Tabela_ferias_folgas[[#This Row],[Data]])</f>
        <v>7</v>
      </c>
      <c r="E652">
        <f>MONTH(Tabela_ferias_folgas[[#This Row],[Data]])</f>
        <v>8</v>
      </c>
      <c r="F652">
        <f>YEAR(Tabela_ferias_folgas[[#This Row],[Data]])</f>
        <v>2023</v>
      </c>
      <c r="G652" t="str">
        <f>Tabela_ferias_folgas[[#This Row],[Médico]]&amp;" - "&amp;Tabela_ferias_folgas[[#This Row],[Compromisso]]</f>
        <v>PED - FÉRIAS</v>
      </c>
    </row>
    <row r="653" spans="1:7" x14ac:dyDescent="0.3">
      <c r="A653" t="s">
        <v>68</v>
      </c>
      <c r="B653" t="s">
        <v>464</v>
      </c>
      <c r="C653" s="1">
        <v>45146</v>
      </c>
      <c r="D653">
        <f>DAY(Tabela_ferias_folgas[[#This Row],[Data]])</f>
        <v>8</v>
      </c>
      <c r="E653">
        <f>MONTH(Tabela_ferias_folgas[[#This Row],[Data]])</f>
        <v>8</v>
      </c>
      <c r="F653">
        <f>YEAR(Tabela_ferias_folgas[[#This Row],[Data]])</f>
        <v>2023</v>
      </c>
      <c r="G653" t="str">
        <f>Tabela_ferias_folgas[[#This Row],[Médico]]&amp;" - "&amp;Tabela_ferias_folgas[[#This Row],[Compromisso]]</f>
        <v>PED - FÉRIAS</v>
      </c>
    </row>
    <row r="654" spans="1:7" x14ac:dyDescent="0.3">
      <c r="A654" t="s">
        <v>68</v>
      </c>
      <c r="B654" t="s">
        <v>464</v>
      </c>
      <c r="C654" s="1">
        <v>45147</v>
      </c>
      <c r="D654">
        <f>DAY(Tabela_ferias_folgas[[#This Row],[Data]])</f>
        <v>9</v>
      </c>
      <c r="E654">
        <f>MONTH(Tabela_ferias_folgas[[#This Row],[Data]])</f>
        <v>8</v>
      </c>
      <c r="F654">
        <f>YEAR(Tabela_ferias_folgas[[#This Row],[Data]])</f>
        <v>2023</v>
      </c>
      <c r="G654" t="str">
        <f>Tabela_ferias_folgas[[#This Row],[Médico]]&amp;" - "&amp;Tabela_ferias_folgas[[#This Row],[Compromisso]]</f>
        <v>PED - FÉRIAS</v>
      </c>
    </row>
    <row r="655" spans="1:7" x14ac:dyDescent="0.3">
      <c r="A655" t="s">
        <v>68</v>
      </c>
      <c r="B655" t="s">
        <v>464</v>
      </c>
      <c r="C655" s="1">
        <v>45148</v>
      </c>
      <c r="D655">
        <f>DAY(Tabela_ferias_folgas[[#This Row],[Data]])</f>
        <v>10</v>
      </c>
      <c r="E655">
        <f>MONTH(Tabela_ferias_folgas[[#This Row],[Data]])</f>
        <v>8</v>
      </c>
      <c r="F655">
        <f>YEAR(Tabela_ferias_folgas[[#This Row],[Data]])</f>
        <v>2023</v>
      </c>
      <c r="G655" t="str">
        <f>Tabela_ferias_folgas[[#This Row],[Médico]]&amp;" - "&amp;Tabela_ferias_folgas[[#This Row],[Compromisso]]</f>
        <v>PED - FÉRIAS</v>
      </c>
    </row>
    <row r="656" spans="1:7" x14ac:dyDescent="0.3">
      <c r="A656" t="s">
        <v>68</v>
      </c>
      <c r="B656" t="s">
        <v>464</v>
      </c>
      <c r="C656" s="1">
        <v>45149</v>
      </c>
      <c r="D656">
        <f>DAY(Tabela_ferias_folgas[[#This Row],[Data]])</f>
        <v>11</v>
      </c>
      <c r="E656">
        <f>MONTH(Tabela_ferias_folgas[[#This Row],[Data]])</f>
        <v>8</v>
      </c>
      <c r="F656">
        <f>YEAR(Tabela_ferias_folgas[[#This Row],[Data]])</f>
        <v>2023</v>
      </c>
      <c r="G656" t="str">
        <f>Tabela_ferias_folgas[[#This Row],[Médico]]&amp;" - "&amp;Tabela_ferias_folgas[[#This Row],[Compromisso]]</f>
        <v>PED - FÉRIAS</v>
      </c>
    </row>
    <row r="657" spans="1:7" x14ac:dyDescent="0.3">
      <c r="A657" t="s">
        <v>68</v>
      </c>
      <c r="B657" t="s">
        <v>464</v>
      </c>
      <c r="C657" s="1">
        <v>45150</v>
      </c>
      <c r="D657">
        <f>DAY(Tabela_ferias_folgas[[#This Row],[Data]])</f>
        <v>12</v>
      </c>
      <c r="E657">
        <f>MONTH(Tabela_ferias_folgas[[#This Row],[Data]])</f>
        <v>8</v>
      </c>
      <c r="F657">
        <f>YEAR(Tabela_ferias_folgas[[#This Row],[Data]])</f>
        <v>2023</v>
      </c>
      <c r="G657" t="str">
        <f>Tabela_ferias_folgas[[#This Row],[Médico]]&amp;" - "&amp;Tabela_ferias_folgas[[#This Row],[Compromisso]]</f>
        <v>PED - FÉRIAS</v>
      </c>
    </row>
    <row r="658" spans="1:7" x14ac:dyDescent="0.3">
      <c r="A658" t="s">
        <v>68</v>
      </c>
      <c r="B658" t="s">
        <v>464</v>
      </c>
      <c r="C658" s="1">
        <v>45151</v>
      </c>
      <c r="D658">
        <f>DAY(Tabela_ferias_folgas[[#This Row],[Data]])</f>
        <v>13</v>
      </c>
      <c r="E658">
        <f>MONTH(Tabela_ferias_folgas[[#This Row],[Data]])</f>
        <v>8</v>
      </c>
      <c r="F658">
        <f>YEAR(Tabela_ferias_folgas[[#This Row],[Data]])</f>
        <v>2023</v>
      </c>
      <c r="G658" t="str">
        <f>Tabela_ferias_folgas[[#This Row],[Médico]]&amp;" - "&amp;Tabela_ferias_folgas[[#This Row],[Compromisso]]</f>
        <v>PED - FÉRIAS</v>
      </c>
    </row>
    <row r="659" spans="1:7" x14ac:dyDescent="0.3">
      <c r="A659" t="s">
        <v>63</v>
      </c>
      <c r="B659" t="s">
        <v>464</v>
      </c>
      <c r="C659" s="1">
        <v>45145</v>
      </c>
      <c r="D659">
        <f>DAY(Tabela_ferias_folgas[[#This Row],[Data]])</f>
        <v>7</v>
      </c>
      <c r="E659">
        <f>MONTH(Tabela_ferias_folgas[[#This Row],[Data]])</f>
        <v>8</v>
      </c>
      <c r="F659">
        <f>YEAR(Tabela_ferias_folgas[[#This Row],[Data]])</f>
        <v>2023</v>
      </c>
      <c r="G659" t="str">
        <f>Tabela_ferias_folgas[[#This Row],[Médico]]&amp;" - "&amp;Tabela_ferias_folgas[[#This Row],[Compromisso]]</f>
        <v>FQ - FÉRIAS</v>
      </c>
    </row>
    <row r="660" spans="1:7" x14ac:dyDescent="0.3">
      <c r="A660" t="s">
        <v>63</v>
      </c>
      <c r="B660" t="s">
        <v>464</v>
      </c>
      <c r="C660" s="1">
        <v>45146</v>
      </c>
      <c r="D660">
        <f>DAY(Tabela_ferias_folgas[[#This Row],[Data]])</f>
        <v>8</v>
      </c>
      <c r="E660">
        <f>MONTH(Tabela_ferias_folgas[[#This Row],[Data]])</f>
        <v>8</v>
      </c>
      <c r="F660">
        <f>YEAR(Tabela_ferias_folgas[[#This Row],[Data]])</f>
        <v>2023</v>
      </c>
      <c r="G660" t="str">
        <f>Tabela_ferias_folgas[[#This Row],[Médico]]&amp;" - "&amp;Tabela_ferias_folgas[[#This Row],[Compromisso]]</f>
        <v>FQ - FÉRIAS</v>
      </c>
    </row>
    <row r="661" spans="1:7" x14ac:dyDescent="0.3">
      <c r="A661" t="s">
        <v>63</v>
      </c>
      <c r="B661" t="s">
        <v>464</v>
      </c>
      <c r="C661" s="1">
        <v>45147</v>
      </c>
      <c r="D661">
        <f>DAY(Tabela_ferias_folgas[[#This Row],[Data]])</f>
        <v>9</v>
      </c>
      <c r="E661">
        <f>MONTH(Tabela_ferias_folgas[[#This Row],[Data]])</f>
        <v>8</v>
      </c>
      <c r="F661">
        <f>YEAR(Tabela_ferias_folgas[[#This Row],[Data]])</f>
        <v>2023</v>
      </c>
      <c r="G661" t="str">
        <f>Tabela_ferias_folgas[[#This Row],[Médico]]&amp;" - "&amp;Tabela_ferias_folgas[[#This Row],[Compromisso]]</f>
        <v>FQ - FÉRIAS</v>
      </c>
    </row>
    <row r="662" spans="1:7" x14ac:dyDescent="0.3">
      <c r="A662" t="s">
        <v>63</v>
      </c>
      <c r="B662" t="s">
        <v>464</v>
      </c>
      <c r="C662" s="1">
        <v>45148</v>
      </c>
      <c r="D662">
        <f>DAY(Tabela_ferias_folgas[[#This Row],[Data]])</f>
        <v>10</v>
      </c>
      <c r="E662">
        <f>MONTH(Tabela_ferias_folgas[[#This Row],[Data]])</f>
        <v>8</v>
      </c>
      <c r="F662">
        <f>YEAR(Tabela_ferias_folgas[[#This Row],[Data]])</f>
        <v>2023</v>
      </c>
      <c r="G662" t="str">
        <f>Tabela_ferias_folgas[[#This Row],[Médico]]&amp;" - "&amp;Tabela_ferias_folgas[[#This Row],[Compromisso]]</f>
        <v>FQ - FÉRIAS</v>
      </c>
    </row>
    <row r="663" spans="1:7" x14ac:dyDescent="0.3">
      <c r="A663" t="s">
        <v>63</v>
      </c>
      <c r="B663" t="s">
        <v>464</v>
      </c>
      <c r="C663" s="1">
        <v>45149</v>
      </c>
      <c r="D663">
        <f>DAY(Tabela_ferias_folgas[[#This Row],[Data]])</f>
        <v>11</v>
      </c>
      <c r="E663">
        <f>MONTH(Tabela_ferias_folgas[[#This Row],[Data]])</f>
        <v>8</v>
      </c>
      <c r="F663">
        <f>YEAR(Tabela_ferias_folgas[[#This Row],[Data]])</f>
        <v>2023</v>
      </c>
      <c r="G663" t="str">
        <f>Tabela_ferias_folgas[[#This Row],[Médico]]&amp;" - "&amp;Tabela_ferias_folgas[[#This Row],[Compromisso]]</f>
        <v>FQ - FÉRIAS</v>
      </c>
    </row>
    <row r="664" spans="1:7" x14ac:dyDescent="0.3">
      <c r="A664" t="s">
        <v>63</v>
      </c>
      <c r="B664" t="s">
        <v>464</v>
      </c>
      <c r="C664" s="1">
        <v>45150</v>
      </c>
      <c r="D664">
        <f>DAY(Tabela_ferias_folgas[[#This Row],[Data]])</f>
        <v>12</v>
      </c>
      <c r="E664">
        <f>MONTH(Tabela_ferias_folgas[[#This Row],[Data]])</f>
        <v>8</v>
      </c>
      <c r="F664">
        <f>YEAR(Tabela_ferias_folgas[[#This Row],[Data]])</f>
        <v>2023</v>
      </c>
      <c r="G664" t="str">
        <f>Tabela_ferias_folgas[[#This Row],[Médico]]&amp;" - "&amp;Tabela_ferias_folgas[[#This Row],[Compromisso]]</f>
        <v>FQ - FÉRIAS</v>
      </c>
    </row>
    <row r="665" spans="1:7" x14ac:dyDescent="0.3">
      <c r="A665" t="s">
        <v>63</v>
      </c>
      <c r="B665" t="s">
        <v>464</v>
      </c>
      <c r="C665" s="1">
        <v>45151</v>
      </c>
      <c r="D665">
        <f>DAY(Tabela_ferias_folgas[[#This Row],[Data]])</f>
        <v>13</v>
      </c>
      <c r="E665">
        <f>MONTH(Tabela_ferias_folgas[[#This Row],[Data]])</f>
        <v>8</v>
      </c>
      <c r="F665">
        <f>YEAR(Tabela_ferias_folgas[[#This Row],[Data]])</f>
        <v>2023</v>
      </c>
      <c r="G665" t="str">
        <f>Tabela_ferias_folgas[[#This Row],[Médico]]&amp;" - "&amp;Tabela_ferias_folgas[[#This Row],[Compromisso]]</f>
        <v>FQ - FÉRIAS</v>
      </c>
    </row>
    <row r="666" spans="1:7" x14ac:dyDescent="0.3">
      <c r="A666" t="s">
        <v>12</v>
      </c>
      <c r="B666" t="s">
        <v>464</v>
      </c>
      <c r="C666" s="1">
        <v>45149</v>
      </c>
      <c r="D666">
        <f>DAY(Tabela_ferias_folgas[[#This Row],[Data]])</f>
        <v>11</v>
      </c>
      <c r="E666">
        <f>MONTH(Tabela_ferias_folgas[[#This Row],[Data]])</f>
        <v>8</v>
      </c>
      <c r="F666">
        <f>YEAR(Tabela_ferias_folgas[[#This Row],[Data]])</f>
        <v>2023</v>
      </c>
      <c r="G666" t="str">
        <f>Tabela_ferias_folgas[[#This Row],[Médico]]&amp;" - "&amp;Tabela_ferias_folgas[[#This Row],[Compromisso]]</f>
        <v>EDU - FÉRIAS</v>
      </c>
    </row>
    <row r="667" spans="1:7" x14ac:dyDescent="0.3">
      <c r="A667" t="s">
        <v>12</v>
      </c>
      <c r="B667" t="s">
        <v>464</v>
      </c>
      <c r="C667" s="1">
        <v>45150</v>
      </c>
      <c r="D667">
        <f>DAY(Tabela_ferias_folgas[[#This Row],[Data]])</f>
        <v>12</v>
      </c>
      <c r="E667">
        <f>MONTH(Tabela_ferias_folgas[[#This Row],[Data]])</f>
        <v>8</v>
      </c>
      <c r="F667">
        <f>YEAR(Tabela_ferias_folgas[[#This Row],[Data]])</f>
        <v>2023</v>
      </c>
      <c r="G667" t="str">
        <f>Tabela_ferias_folgas[[#This Row],[Médico]]&amp;" - "&amp;Tabela_ferias_folgas[[#This Row],[Compromisso]]</f>
        <v>EDU - FÉRIAS</v>
      </c>
    </row>
    <row r="668" spans="1:7" x14ac:dyDescent="0.3">
      <c r="A668" t="s">
        <v>12</v>
      </c>
      <c r="B668" t="s">
        <v>464</v>
      </c>
      <c r="C668" s="1">
        <v>45151</v>
      </c>
      <c r="D668">
        <f>DAY(Tabela_ferias_folgas[[#This Row],[Data]])</f>
        <v>13</v>
      </c>
      <c r="E668">
        <f>MONTH(Tabela_ferias_folgas[[#This Row],[Data]])</f>
        <v>8</v>
      </c>
      <c r="F668">
        <f>YEAR(Tabela_ferias_folgas[[#This Row],[Data]])</f>
        <v>2023</v>
      </c>
      <c r="G668" t="str">
        <f>Tabela_ferias_folgas[[#This Row],[Médico]]&amp;" - "&amp;Tabela_ferias_folgas[[#This Row],[Compromisso]]</f>
        <v>EDU - FÉRIAS</v>
      </c>
    </row>
    <row r="669" spans="1:7" x14ac:dyDescent="0.3">
      <c r="A669" t="s">
        <v>12</v>
      </c>
      <c r="B669" t="s">
        <v>464</v>
      </c>
      <c r="C669" s="1">
        <v>45152</v>
      </c>
      <c r="D669">
        <f>DAY(Tabela_ferias_folgas[[#This Row],[Data]])</f>
        <v>14</v>
      </c>
      <c r="E669">
        <f>MONTH(Tabela_ferias_folgas[[#This Row],[Data]])</f>
        <v>8</v>
      </c>
      <c r="F669">
        <f>YEAR(Tabela_ferias_folgas[[#This Row],[Data]])</f>
        <v>2023</v>
      </c>
      <c r="G669" t="str">
        <f>Tabela_ferias_folgas[[#This Row],[Médico]]&amp;" - "&amp;Tabela_ferias_folgas[[#This Row],[Compromisso]]</f>
        <v>EDU - FÉRIAS</v>
      </c>
    </row>
    <row r="670" spans="1:7" x14ac:dyDescent="0.3">
      <c r="A670" t="s">
        <v>12</v>
      </c>
      <c r="B670" t="s">
        <v>464</v>
      </c>
      <c r="C670" s="1">
        <v>45153</v>
      </c>
      <c r="D670">
        <f>DAY(Tabela_ferias_folgas[[#This Row],[Data]])</f>
        <v>15</v>
      </c>
      <c r="E670">
        <f>MONTH(Tabela_ferias_folgas[[#This Row],[Data]])</f>
        <v>8</v>
      </c>
      <c r="F670">
        <f>YEAR(Tabela_ferias_folgas[[#This Row],[Data]])</f>
        <v>2023</v>
      </c>
      <c r="G670" t="str">
        <f>Tabela_ferias_folgas[[#This Row],[Médico]]&amp;" - "&amp;Tabela_ferias_folgas[[#This Row],[Compromisso]]</f>
        <v>EDU - FÉRIAS</v>
      </c>
    </row>
    <row r="671" spans="1:7" x14ac:dyDescent="0.3">
      <c r="A671" t="s">
        <v>12</v>
      </c>
      <c r="B671" t="s">
        <v>464</v>
      </c>
      <c r="C671" s="1">
        <v>45154</v>
      </c>
      <c r="D671">
        <f>DAY(Tabela_ferias_folgas[[#This Row],[Data]])</f>
        <v>16</v>
      </c>
      <c r="E671">
        <f>MONTH(Tabela_ferias_folgas[[#This Row],[Data]])</f>
        <v>8</v>
      </c>
      <c r="F671">
        <f>YEAR(Tabela_ferias_folgas[[#This Row],[Data]])</f>
        <v>2023</v>
      </c>
      <c r="G671" t="str">
        <f>Tabela_ferias_folgas[[#This Row],[Médico]]&amp;" - "&amp;Tabela_ferias_folgas[[#This Row],[Compromisso]]</f>
        <v>EDU - FÉRIAS</v>
      </c>
    </row>
    <row r="672" spans="1:7" x14ac:dyDescent="0.3">
      <c r="A672" t="s">
        <v>12</v>
      </c>
      <c r="B672" t="s">
        <v>464</v>
      </c>
      <c r="C672" s="1">
        <v>45155</v>
      </c>
      <c r="D672">
        <f>DAY(Tabela_ferias_folgas[[#This Row],[Data]])</f>
        <v>17</v>
      </c>
      <c r="E672">
        <f>MONTH(Tabela_ferias_folgas[[#This Row],[Data]])</f>
        <v>8</v>
      </c>
      <c r="F672">
        <f>YEAR(Tabela_ferias_folgas[[#This Row],[Data]])</f>
        <v>2023</v>
      </c>
      <c r="G672" t="str">
        <f>Tabela_ferias_folgas[[#This Row],[Médico]]&amp;" - "&amp;Tabela_ferias_folgas[[#This Row],[Compromisso]]</f>
        <v>EDU - FÉRIAS</v>
      </c>
    </row>
    <row r="673" spans="1:7" x14ac:dyDescent="0.3">
      <c r="A673" t="s">
        <v>12</v>
      </c>
      <c r="B673" t="s">
        <v>464</v>
      </c>
      <c r="C673" s="1">
        <v>45156</v>
      </c>
      <c r="D673">
        <f>DAY(Tabela_ferias_folgas[[#This Row],[Data]])</f>
        <v>18</v>
      </c>
      <c r="E673">
        <f>MONTH(Tabela_ferias_folgas[[#This Row],[Data]])</f>
        <v>8</v>
      </c>
      <c r="F673">
        <f>YEAR(Tabela_ferias_folgas[[#This Row],[Data]])</f>
        <v>2023</v>
      </c>
      <c r="G673" t="str">
        <f>Tabela_ferias_folgas[[#This Row],[Médico]]&amp;" - "&amp;Tabela_ferias_folgas[[#This Row],[Compromisso]]</f>
        <v>EDU - FÉRIAS</v>
      </c>
    </row>
    <row r="674" spans="1:7" x14ac:dyDescent="0.3">
      <c r="A674" t="s">
        <v>12</v>
      </c>
      <c r="B674" t="s">
        <v>464</v>
      </c>
      <c r="C674" s="1">
        <v>45157</v>
      </c>
      <c r="D674">
        <f>DAY(Tabela_ferias_folgas[[#This Row],[Data]])</f>
        <v>19</v>
      </c>
      <c r="E674">
        <f>MONTH(Tabela_ferias_folgas[[#This Row],[Data]])</f>
        <v>8</v>
      </c>
      <c r="F674">
        <f>YEAR(Tabela_ferias_folgas[[#This Row],[Data]])</f>
        <v>2023</v>
      </c>
      <c r="G674" t="str">
        <f>Tabela_ferias_folgas[[#This Row],[Médico]]&amp;" - "&amp;Tabela_ferias_folgas[[#This Row],[Compromisso]]</f>
        <v>EDU - FÉRIAS</v>
      </c>
    </row>
    <row r="675" spans="1:7" x14ac:dyDescent="0.3">
      <c r="A675" t="s">
        <v>12</v>
      </c>
      <c r="B675" t="s">
        <v>464</v>
      </c>
      <c r="C675" s="1">
        <v>45158</v>
      </c>
      <c r="D675">
        <f>DAY(Tabela_ferias_folgas[[#This Row],[Data]])</f>
        <v>20</v>
      </c>
      <c r="E675">
        <f>MONTH(Tabela_ferias_folgas[[#This Row],[Data]])</f>
        <v>8</v>
      </c>
      <c r="F675">
        <f>YEAR(Tabela_ferias_folgas[[#This Row],[Data]])</f>
        <v>2023</v>
      </c>
      <c r="G675" t="str">
        <f>Tabela_ferias_folgas[[#This Row],[Médico]]&amp;" - "&amp;Tabela_ferias_folgas[[#This Row],[Compromisso]]</f>
        <v>EDU - FÉRIAS</v>
      </c>
    </row>
    <row r="676" spans="1:7" x14ac:dyDescent="0.3">
      <c r="A676" t="s">
        <v>12</v>
      </c>
      <c r="B676" t="s">
        <v>464</v>
      </c>
      <c r="C676" s="1">
        <v>45159</v>
      </c>
      <c r="D676">
        <f>DAY(Tabela_ferias_folgas[[#This Row],[Data]])</f>
        <v>21</v>
      </c>
      <c r="E676">
        <f>MONTH(Tabela_ferias_folgas[[#This Row],[Data]])</f>
        <v>8</v>
      </c>
      <c r="F676">
        <f>YEAR(Tabela_ferias_folgas[[#This Row],[Data]])</f>
        <v>2023</v>
      </c>
      <c r="G676" t="str">
        <f>Tabela_ferias_folgas[[#This Row],[Médico]]&amp;" - "&amp;Tabela_ferias_folgas[[#This Row],[Compromisso]]</f>
        <v>EDU - FÉRIAS</v>
      </c>
    </row>
    <row r="677" spans="1:7" x14ac:dyDescent="0.3">
      <c r="A677" t="s">
        <v>12</v>
      </c>
      <c r="B677" t="s">
        <v>464</v>
      </c>
      <c r="C677" s="1">
        <v>45160</v>
      </c>
      <c r="D677">
        <f>DAY(Tabela_ferias_folgas[[#This Row],[Data]])</f>
        <v>22</v>
      </c>
      <c r="E677">
        <f>MONTH(Tabela_ferias_folgas[[#This Row],[Data]])</f>
        <v>8</v>
      </c>
      <c r="F677">
        <f>YEAR(Tabela_ferias_folgas[[#This Row],[Data]])</f>
        <v>2023</v>
      </c>
      <c r="G677" t="str">
        <f>Tabela_ferias_folgas[[#This Row],[Médico]]&amp;" - "&amp;Tabela_ferias_folgas[[#This Row],[Compromisso]]</f>
        <v>EDU - FÉRIAS</v>
      </c>
    </row>
    <row r="678" spans="1:7" x14ac:dyDescent="0.3">
      <c r="A678" t="s">
        <v>12</v>
      </c>
      <c r="B678" t="s">
        <v>464</v>
      </c>
      <c r="C678" s="1">
        <v>45161</v>
      </c>
      <c r="D678">
        <f>DAY(Tabela_ferias_folgas[[#This Row],[Data]])</f>
        <v>23</v>
      </c>
      <c r="E678">
        <f>MONTH(Tabela_ferias_folgas[[#This Row],[Data]])</f>
        <v>8</v>
      </c>
      <c r="F678">
        <f>YEAR(Tabela_ferias_folgas[[#This Row],[Data]])</f>
        <v>2023</v>
      </c>
      <c r="G678" t="str">
        <f>Tabela_ferias_folgas[[#This Row],[Médico]]&amp;" - "&amp;Tabela_ferias_folgas[[#This Row],[Compromisso]]</f>
        <v>EDU - FÉRIAS</v>
      </c>
    </row>
    <row r="679" spans="1:7" x14ac:dyDescent="0.3">
      <c r="A679" t="s">
        <v>12</v>
      </c>
      <c r="B679" t="s">
        <v>464</v>
      </c>
      <c r="C679" s="1">
        <v>45162</v>
      </c>
      <c r="D679">
        <f>DAY(Tabela_ferias_folgas[[#This Row],[Data]])</f>
        <v>24</v>
      </c>
      <c r="E679">
        <f>MONTH(Tabela_ferias_folgas[[#This Row],[Data]])</f>
        <v>8</v>
      </c>
      <c r="F679">
        <f>YEAR(Tabela_ferias_folgas[[#This Row],[Data]])</f>
        <v>2023</v>
      </c>
      <c r="G679" t="str">
        <f>Tabela_ferias_folgas[[#This Row],[Médico]]&amp;" - "&amp;Tabela_ferias_folgas[[#This Row],[Compromisso]]</f>
        <v>EDU - FÉRIAS</v>
      </c>
    </row>
    <row r="680" spans="1:7" x14ac:dyDescent="0.3">
      <c r="A680" t="s">
        <v>12</v>
      </c>
      <c r="B680" t="s">
        <v>464</v>
      </c>
      <c r="C680" s="1">
        <v>45163</v>
      </c>
      <c r="D680">
        <f>DAY(Tabela_ferias_folgas[[#This Row],[Data]])</f>
        <v>25</v>
      </c>
      <c r="E680">
        <f>MONTH(Tabela_ferias_folgas[[#This Row],[Data]])</f>
        <v>8</v>
      </c>
      <c r="F680">
        <f>YEAR(Tabela_ferias_folgas[[#This Row],[Data]])</f>
        <v>2023</v>
      </c>
      <c r="G680" t="str">
        <f>Tabela_ferias_folgas[[#This Row],[Médico]]&amp;" - "&amp;Tabela_ferias_folgas[[#This Row],[Compromisso]]</f>
        <v>EDU - FÉRIAS</v>
      </c>
    </row>
    <row r="681" spans="1:7" x14ac:dyDescent="0.3">
      <c r="A681" t="s">
        <v>12</v>
      </c>
      <c r="B681" t="s">
        <v>464</v>
      </c>
      <c r="C681" s="1">
        <v>45164</v>
      </c>
      <c r="D681">
        <f>DAY(Tabela_ferias_folgas[[#This Row],[Data]])</f>
        <v>26</v>
      </c>
      <c r="E681">
        <f>MONTH(Tabela_ferias_folgas[[#This Row],[Data]])</f>
        <v>8</v>
      </c>
      <c r="F681">
        <f>YEAR(Tabela_ferias_folgas[[#This Row],[Data]])</f>
        <v>2023</v>
      </c>
      <c r="G681" t="str">
        <f>Tabela_ferias_folgas[[#This Row],[Médico]]&amp;" - "&amp;Tabela_ferias_folgas[[#This Row],[Compromisso]]</f>
        <v>EDU - FÉRIAS</v>
      </c>
    </row>
    <row r="682" spans="1:7" x14ac:dyDescent="0.3">
      <c r="A682" t="s">
        <v>12</v>
      </c>
      <c r="B682" t="s">
        <v>464</v>
      </c>
      <c r="C682" s="1">
        <v>45165</v>
      </c>
      <c r="D682">
        <f>DAY(Tabela_ferias_folgas[[#This Row],[Data]])</f>
        <v>27</v>
      </c>
      <c r="E682">
        <f>MONTH(Tabela_ferias_folgas[[#This Row],[Data]])</f>
        <v>8</v>
      </c>
      <c r="F682">
        <f>YEAR(Tabela_ferias_folgas[[#This Row],[Data]])</f>
        <v>2023</v>
      </c>
      <c r="G682" t="str">
        <f>Tabela_ferias_folgas[[#This Row],[Médico]]&amp;" - "&amp;Tabela_ferias_folgas[[#This Row],[Compromisso]]</f>
        <v>EDU - FÉRIAS</v>
      </c>
    </row>
    <row r="683" spans="1:7" x14ac:dyDescent="0.3">
      <c r="A683" t="s">
        <v>47</v>
      </c>
      <c r="B683" t="s">
        <v>605</v>
      </c>
      <c r="C683" s="1">
        <v>45155</v>
      </c>
      <c r="D683">
        <f>DAY(Tabela_ferias_folgas[[#This Row],[Data]])</f>
        <v>17</v>
      </c>
      <c r="E683">
        <f>MONTH(Tabela_ferias_folgas[[#This Row],[Data]])</f>
        <v>8</v>
      </c>
      <c r="F683">
        <f>YEAR(Tabela_ferias_folgas[[#This Row],[Data]])</f>
        <v>2023</v>
      </c>
      <c r="G683" t="str">
        <f>Tabela_ferias_folgas[[#This Row],[Médico]]&amp;" - "&amp;Tabela_ferias_folgas[[#This Row],[Compromisso]]</f>
        <v>VIN - CONGRESSO (JABC)</v>
      </c>
    </row>
    <row r="684" spans="1:7" x14ac:dyDescent="0.3">
      <c r="A684" t="s">
        <v>47</v>
      </c>
      <c r="B684" t="s">
        <v>605</v>
      </c>
      <c r="C684" s="1">
        <v>45156</v>
      </c>
      <c r="D684">
        <f>DAY(Tabela_ferias_folgas[[#This Row],[Data]])</f>
        <v>18</v>
      </c>
      <c r="E684">
        <f>MONTH(Tabela_ferias_folgas[[#This Row],[Data]])</f>
        <v>8</v>
      </c>
      <c r="F684">
        <f>YEAR(Tabela_ferias_folgas[[#This Row],[Data]])</f>
        <v>2023</v>
      </c>
      <c r="G684" t="str">
        <f>Tabela_ferias_folgas[[#This Row],[Médico]]&amp;" - "&amp;Tabela_ferias_folgas[[#This Row],[Compromisso]]</f>
        <v>VIN - CONGRESSO (JABC)</v>
      </c>
    </row>
    <row r="685" spans="1:7" x14ac:dyDescent="0.3">
      <c r="A685" t="s">
        <v>47</v>
      </c>
      <c r="B685" t="s">
        <v>605</v>
      </c>
      <c r="C685" s="1">
        <v>45157</v>
      </c>
      <c r="D685">
        <f>DAY(Tabela_ferias_folgas[[#This Row],[Data]])</f>
        <v>19</v>
      </c>
      <c r="E685">
        <f>MONTH(Tabela_ferias_folgas[[#This Row],[Data]])</f>
        <v>8</v>
      </c>
      <c r="F685">
        <f>YEAR(Tabela_ferias_folgas[[#This Row],[Data]])</f>
        <v>2023</v>
      </c>
      <c r="G685" t="str">
        <f>Tabela_ferias_folgas[[#This Row],[Médico]]&amp;" - "&amp;Tabela_ferias_folgas[[#This Row],[Compromisso]]</f>
        <v>VIN - CONGRESSO (JABC)</v>
      </c>
    </row>
    <row r="686" spans="1:7" x14ac:dyDescent="0.3">
      <c r="A686" t="s">
        <v>47</v>
      </c>
      <c r="B686" t="s">
        <v>605</v>
      </c>
      <c r="C686" s="1">
        <v>45158</v>
      </c>
      <c r="D686">
        <f>DAY(Tabela_ferias_folgas[[#This Row],[Data]])</f>
        <v>20</v>
      </c>
      <c r="E686">
        <f>MONTH(Tabela_ferias_folgas[[#This Row],[Data]])</f>
        <v>8</v>
      </c>
      <c r="F686">
        <f>YEAR(Tabela_ferias_folgas[[#This Row],[Data]])</f>
        <v>2023</v>
      </c>
      <c r="G686" t="str">
        <f>Tabela_ferias_folgas[[#This Row],[Médico]]&amp;" - "&amp;Tabela_ferias_folgas[[#This Row],[Compromisso]]</f>
        <v>VIN - CONGRESSO (JABC)</v>
      </c>
    </row>
    <row r="687" spans="1:7" x14ac:dyDescent="0.3">
      <c r="A687" t="s">
        <v>47</v>
      </c>
      <c r="B687" t="s">
        <v>606</v>
      </c>
      <c r="C687" s="1">
        <v>45176</v>
      </c>
      <c r="D687">
        <f>DAY(Tabela_ferias_folgas[[#This Row],[Data]])</f>
        <v>7</v>
      </c>
      <c r="E687">
        <f>MONTH(Tabela_ferias_folgas[[#This Row],[Data]])</f>
        <v>9</v>
      </c>
      <c r="F687">
        <f>YEAR(Tabela_ferias_folgas[[#This Row],[Data]])</f>
        <v>2023</v>
      </c>
      <c r="G687" t="str">
        <f>Tabela_ferias_folgas[[#This Row],[Médico]]&amp;" - "&amp;Tabela_ferias_folgas[[#This Row],[Compromisso]]</f>
        <v>VIN - CONGRESSO (CLASA)</v>
      </c>
    </row>
    <row r="688" spans="1:7" x14ac:dyDescent="0.3">
      <c r="A688" t="s">
        <v>47</v>
      </c>
      <c r="B688" t="s">
        <v>606</v>
      </c>
      <c r="C688" s="1">
        <v>45177</v>
      </c>
      <c r="D688">
        <f>DAY(Tabela_ferias_folgas[[#This Row],[Data]])</f>
        <v>8</v>
      </c>
      <c r="E688">
        <f>MONTH(Tabela_ferias_folgas[[#This Row],[Data]])</f>
        <v>9</v>
      </c>
      <c r="F688">
        <f>YEAR(Tabela_ferias_folgas[[#This Row],[Data]])</f>
        <v>2023</v>
      </c>
      <c r="G688" t="str">
        <f>Tabela_ferias_folgas[[#This Row],[Médico]]&amp;" - "&amp;Tabela_ferias_folgas[[#This Row],[Compromisso]]</f>
        <v>VIN - CONGRESSO (CLASA)</v>
      </c>
    </row>
    <row r="689" spans="1:7" x14ac:dyDescent="0.3">
      <c r="A689" t="s">
        <v>47</v>
      </c>
      <c r="B689" t="s">
        <v>606</v>
      </c>
      <c r="C689" s="1">
        <v>45178</v>
      </c>
      <c r="D689">
        <f>DAY(Tabela_ferias_folgas[[#This Row],[Data]])</f>
        <v>9</v>
      </c>
      <c r="E689">
        <f>MONTH(Tabela_ferias_folgas[[#This Row],[Data]])</f>
        <v>9</v>
      </c>
      <c r="F689">
        <f>YEAR(Tabela_ferias_folgas[[#This Row],[Data]])</f>
        <v>2023</v>
      </c>
      <c r="G689" t="str">
        <f>Tabela_ferias_folgas[[#This Row],[Médico]]&amp;" - "&amp;Tabela_ferias_folgas[[#This Row],[Compromisso]]</f>
        <v>VIN - CONGRESSO (CLASA)</v>
      </c>
    </row>
    <row r="690" spans="1:7" x14ac:dyDescent="0.3">
      <c r="A690" t="s">
        <v>47</v>
      </c>
      <c r="B690" t="s">
        <v>606</v>
      </c>
      <c r="C690" s="1">
        <v>45179</v>
      </c>
      <c r="D690">
        <f>DAY(Tabela_ferias_folgas[[#This Row],[Data]])</f>
        <v>10</v>
      </c>
      <c r="E690">
        <f>MONTH(Tabela_ferias_folgas[[#This Row],[Data]])</f>
        <v>9</v>
      </c>
      <c r="F690">
        <f>YEAR(Tabela_ferias_folgas[[#This Row],[Data]])</f>
        <v>2023</v>
      </c>
      <c r="G690" t="str">
        <f>Tabela_ferias_folgas[[#This Row],[Médico]]&amp;" - "&amp;Tabela_ferias_folgas[[#This Row],[Compromisso]]</f>
        <v>VIN - CONGRESSO (CLASA)</v>
      </c>
    </row>
    <row r="691" spans="1:7" x14ac:dyDescent="0.3">
      <c r="A691" t="s">
        <v>68</v>
      </c>
      <c r="B691" t="s">
        <v>606</v>
      </c>
      <c r="C691" s="1">
        <v>45176</v>
      </c>
      <c r="D691">
        <f>DAY(Tabela_ferias_folgas[[#This Row],[Data]])</f>
        <v>7</v>
      </c>
      <c r="E691">
        <f>MONTH(Tabela_ferias_folgas[[#This Row],[Data]])</f>
        <v>9</v>
      </c>
      <c r="F691">
        <f>YEAR(Tabela_ferias_folgas[[#This Row],[Data]])</f>
        <v>2023</v>
      </c>
      <c r="G691" t="str">
        <f>Tabela_ferias_folgas[[#This Row],[Médico]]&amp;" - "&amp;Tabela_ferias_folgas[[#This Row],[Compromisso]]</f>
        <v>PED - CONGRESSO (CLASA)</v>
      </c>
    </row>
    <row r="692" spans="1:7" x14ac:dyDescent="0.3">
      <c r="A692" t="s">
        <v>68</v>
      </c>
      <c r="B692" t="s">
        <v>606</v>
      </c>
      <c r="C692" s="1">
        <v>45177</v>
      </c>
      <c r="D692">
        <f>DAY(Tabela_ferias_folgas[[#This Row],[Data]])</f>
        <v>8</v>
      </c>
      <c r="E692">
        <f>MONTH(Tabela_ferias_folgas[[#This Row],[Data]])</f>
        <v>9</v>
      </c>
      <c r="F692">
        <f>YEAR(Tabela_ferias_folgas[[#This Row],[Data]])</f>
        <v>2023</v>
      </c>
      <c r="G692" t="str">
        <f>Tabela_ferias_folgas[[#This Row],[Médico]]&amp;" - "&amp;Tabela_ferias_folgas[[#This Row],[Compromisso]]</f>
        <v>PED - CONGRESSO (CLASA)</v>
      </c>
    </row>
    <row r="693" spans="1:7" x14ac:dyDescent="0.3">
      <c r="A693" t="s">
        <v>68</v>
      </c>
      <c r="B693" t="s">
        <v>606</v>
      </c>
      <c r="C693" s="1">
        <v>45178</v>
      </c>
      <c r="D693">
        <f>DAY(Tabela_ferias_folgas[[#This Row],[Data]])</f>
        <v>9</v>
      </c>
      <c r="E693">
        <f>MONTH(Tabela_ferias_folgas[[#This Row],[Data]])</f>
        <v>9</v>
      </c>
      <c r="F693">
        <f>YEAR(Tabela_ferias_folgas[[#This Row],[Data]])</f>
        <v>2023</v>
      </c>
      <c r="G693" t="str">
        <f>Tabela_ferias_folgas[[#This Row],[Médico]]&amp;" - "&amp;Tabela_ferias_folgas[[#This Row],[Compromisso]]</f>
        <v>PED - CONGRESSO (CLASA)</v>
      </c>
    </row>
    <row r="694" spans="1:7" x14ac:dyDescent="0.3">
      <c r="A694" t="s">
        <v>68</v>
      </c>
      <c r="B694" t="s">
        <v>606</v>
      </c>
      <c r="C694" s="1">
        <v>45179</v>
      </c>
      <c r="D694">
        <f>DAY(Tabela_ferias_folgas[[#This Row],[Data]])</f>
        <v>10</v>
      </c>
      <c r="E694">
        <f>MONTH(Tabela_ferias_folgas[[#This Row],[Data]])</f>
        <v>9</v>
      </c>
      <c r="F694">
        <f>YEAR(Tabela_ferias_folgas[[#This Row],[Data]])</f>
        <v>2023</v>
      </c>
      <c r="G694" t="str">
        <f>Tabela_ferias_folgas[[#This Row],[Médico]]&amp;" - "&amp;Tabela_ferias_folgas[[#This Row],[Compromisso]]</f>
        <v>PED - CONGRESSO (CLASA)</v>
      </c>
    </row>
    <row r="695" spans="1:7" x14ac:dyDescent="0.3">
      <c r="A695" t="s">
        <v>214</v>
      </c>
      <c r="B695" t="s">
        <v>464</v>
      </c>
      <c r="C695" s="1">
        <v>45194</v>
      </c>
      <c r="D695">
        <f>DAY(Tabela_ferias_folgas[[#This Row],[Data]])</f>
        <v>25</v>
      </c>
      <c r="E695">
        <f>MONTH(Tabela_ferias_folgas[[#This Row],[Data]])</f>
        <v>9</v>
      </c>
      <c r="F695">
        <f>YEAR(Tabela_ferias_folgas[[#This Row],[Data]])</f>
        <v>2023</v>
      </c>
      <c r="G695" t="str">
        <f>Tabela_ferias_folgas[[#This Row],[Médico]]&amp;" - "&amp;Tabela_ferias_folgas[[#This Row],[Compromisso]]</f>
        <v>IFA - FÉRIAS</v>
      </c>
    </row>
    <row r="696" spans="1:7" x14ac:dyDescent="0.3">
      <c r="A696" t="s">
        <v>214</v>
      </c>
      <c r="B696" t="s">
        <v>464</v>
      </c>
      <c r="C696" s="1">
        <v>45195</v>
      </c>
      <c r="D696">
        <f>DAY(Tabela_ferias_folgas[[#This Row],[Data]])</f>
        <v>26</v>
      </c>
      <c r="E696">
        <f>MONTH(Tabela_ferias_folgas[[#This Row],[Data]])</f>
        <v>9</v>
      </c>
      <c r="F696">
        <f>YEAR(Tabela_ferias_folgas[[#This Row],[Data]])</f>
        <v>2023</v>
      </c>
      <c r="G696" t="str">
        <f>Tabela_ferias_folgas[[#This Row],[Médico]]&amp;" - "&amp;Tabela_ferias_folgas[[#This Row],[Compromisso]]</f>
        <v>IFA - FÉRIAS</v>
      </c>
    </row>
    <row r="697" spans="1:7" x14ac:dyDescent="0.3">
      <c r="A697" t="s">
        <v>214</v>
      </c>
      <c r="B697" t="s">
        <v>464</v>
      </c>
      <c r="C697" s="1">
        <v>45196</v>
      </c>
      <c r="D697">
        <f>DAY(Tabela_ferias_folgas[[#This Row],[Data]])</f>
        <v>27</v>
      </c>
      <c r="E697">
        <f>MONTH(Tabela_ferias_folgas[[#This Row],[Data]])</f>
        <v>9</v>
      </c>
      <c r="F697">
        <f>YEAR(Tabela_ferias_folgas[[#This Row],[Data]])</f>
        <v>2023</v>
      </c>
      <c r="G697" t="str">
        <f>Tabela_ferias_folgas[[#This Row],[Médico]]&amp;" - "&amp;Tabela_ferias_folgas[[#This Row],[Compromisso]]</f>
        <v>IFA - FÉRIAS</v>
      </c>
    </row>
    <row r="698" spans="1:7" x14ac:dyDescent="0.3">
      <c r="A698" t="s">
        <v>214</v>
      </c>
      <c r="B698" t="s">
        <v>464</v>
      </c>
      <c r="C698" s="1">
        <v>45197</v>
      </c>
      <c r="D698">
        <f>DAY(Tabela_ferias_folgas[[#This Row],[Data]])</f>
        <v>28</v>
      </c>
      <c r="E698">
        <f>MONTH(Tabela_ferias_folgas[[#This Row],[Data]])</f>
        <v>9</v>
      </c>
      <c r="F698">
        <f>YEAR(Tabela_ferias_folgas[[#This Row],[Data]])</f>
        <v>2023</v>
      </c>
      <c r="G698" t="str">
        <f>Tabela_ferias_folgas[[#This Row],[Médico]]&amp;" - "&amp;Tabela_ferias_folgas[[#This Row],[Compromisso]]</f>
        <v>IFA - FÉRIAS</v>
      </c>
    </row>
    <row r="699" spans="1:7" x14ac:dyDescent="0.3">
      <c r="A699" t="s">
        <v>214</v>
      </c>
      <c r="B699" t="s">
        <v>464</v>
      </c>
      <c r="C699" s="1">
        <v>45198</v>
      </c>
      <c r="D699">
        <f>DAY(Tabela_ferias_folgas[[#This Row],[Data]])</f>
        <v>29</v>
      </c>
      <c r="E699">
        <f>MONTH(Tabela_ferias_folgas[[#This Row],[Data]])</f>
        <v>9</v>
      </c>
      <c r="F699">
        <f>YEAR(Tabela_ferias_folgas[[#This Row],[Data]])</f>
        <v>2023</v>
      </c>
      <c r="G699" t="str">
        <f>Tabela_ferias_folgas[[#This Row],[Médico]]&amp;" - "&amp;Tabela_ferias_folgas[[#This Row],[Compromisso]]</f>
        <v>IFA - FÉRIAS</v>
      </c>
    </row>
    <row r="700" spans="1:7" x14ac:dyDescent="0.3">
      <c r="A700" t="s">
        <v>214</v>
      </c>
      <c r="B700" t="s">
        <v>464</v>
      </c>
      <c r="C700" s="1">
        <v>45199</v>
      </c>
      <c r="D700">
        <f>DAY(Tabela_ferias_folgas[[#This Row],[Data]])</f>
        <v>30</v>
      </c>
      <c r="E700">
        <f>MONTH(Tabela_ferias_folgas[[#This Row],[Data]])</f>
        <v>9</v>
      </c>
      <c r="F700">
        <f>YEAR(Tabela_ferias_folgas[[#This Row],[Data]])</f>
        <v>2023</v>
      </c>
      <c r="G700" t="str">
        <f>Tabela_ferias_folgas[[#This Row],[Médico]]&amp;" - "&amp;Tabela_ferias_folgas[[#This Row],[Compromisso]]</f>
        <v>IFA - FÉRIAS</v>
      </c>
    </row>
    <row r="701" spans="1:7" x14ac:dyDescent="0.3">
      <c r="A701" t="s">
        <v>75</v>
      </c>
      <c r="B701" t="s">
        <v>464</v>
      </c>
      <c r="C701" s="1">
        <v>45194</v>
      </c>
      <c r="D701">
        <f>DAY(Tabela_ferias_folgas[[#This Row],[Data]])</f>
        <v>25</v>
      </c>
      <c r="E701">
        <f>MONTH(Tabela_ferias_folgas[[#This Row],[Data]])</f>
        <v>9</v>
      </c>
      <c r="F701">
        <f>YEAR(Tabela_ferias_folgas[[#This Row],[Data]])</f>
        <v>2023</v>
      </c>
      <c r="G701" t="str">
        <f>Tabela_ferias_folgas[[#This Row],[Médico]]&amp;" - "&amp;Tabela_ferias_folgas[[#This Row],[Compromisso]]</f>
        <v>KOP - FÉRIAS</v>
      </c>
    </row>
    <row r="702" spans="1:7" x14ac:dyDescent="0.3">
      <c r="A702" t="s">
        <v>75</v>
      </c>
      <c r="B702" t="s">
        <v>464</v>
      </c>
      <c r="C702" s="1">
        <v>45195</v>
      </c>
      <c r="D702">
        <f>DAY(Tabela_ferias_folgas[[#This Row],[Data]])</f>
        <v>26</v>
      </c>
      <c r="E702">
        <f>MONTH(Tabela_ferias_folgas[[#This Row],[Data]])</f>
        <v>9</v>
      </c>
      <c r="F702">
        <f>YEAR(Tabela_ferias_folgas[[#This Row],[Data]])</f>
        <v>2023</v>
      </c>
      <c r="G702" t="str">
        <f>Tabela_ferias_folgas[[#This Row],[Médico]]&amp;" - "&amp;Tabela_ferias_folgas[[#This Row],[Compromisso]]</f>
        <v>KOP - FÉRIAS</v>
      </c>
    </row>
    <row r="703" spans="1:7" x14ac:dyDescent="0.3">
      <c r="A703" t="s">
        <v>75</v>
      </c>
      <c r="B703" t="s">
        <v>464</v>
      </c>
      <c r="C703" s="1">
        <v>45196</v>
      </c>
      <c r="D703">
        <f>DAY(Tabela_ferias_folgas[[#This Row],[Data]])</f>
        <v>27</v>
      </c>
      <c r="E703">
        <f>MONTH(Tabela_ferias_folgas[[#This Row],[Data]])</f>
        <v>9</v>
      </c>
      <c r="F703">
        <f>YEAR(Tabela_ferias_folgas[[#This Row],[Data]])</f>
        <v>2023</v>
      </c>
      <c r="G703" t="str">
        <f>Tabela_ferias_folgas[[#This Row],[Médico]]&amp;" - "&amp;Tabela_ferias_folgas[[#This Row],[Compromisso]]</f>
        <v>KOP - FÉRIAS</v>
      </c>
    </row>
    <row r="704" spans="1:7" x14ac:dyDescent="0.3">
      <c r="A704" t="s">
        <v>75</v>
      </c>
      <c r="B704" t="s">
        <v>464</v>
      </c>
      <c r="C704" s="1">
        <v>45197</v>
      </c>
      <c r="D704">
        <f>DAY(Tabela_ferias_folgas[[#This Row],[Data]])</f>
        <v>28</v>
      </c>
      <c r="E704">
        <f>MONTH(Tabela_ferias_folgas[[#This Row],[Data]])</f>
        <v>9</v>
      </c>
      <c r="F704">
        <f>YEAR(Tabela_ferias_folgas[[#This Row],[Data]])</f>
        <v>2023</v>
      </c>
      <c r="G704" t="str">
        <f>Tabela_ferias_folgas[[#This Row],[Médico]]&amp;" - "&amp;Tabela_ferias_folgas[[#This Row],[Compromisso]]</f>
        <v>KOP - FÉRIAS</v>
      </c>
    </row>
    <row r="705" spans="1:7" x14ac:dyDescent="0.3">
      <c r="A705" t="s">
        <v>75</v>
      </c>
      <c r="B705" t="s">
        <v>464</v>
      </c>
      <c r="C705" s="1">
        <v>45198</v>
      </c>
      <c r="D705">
        <f>DAY(Tabela_ferias_folgas[[#This Row],[Data]])</f>
        <v>29</v>
      </c>
      <c r="E705">
        <f>MONTH(Tabela_ferias_folgas[[#This Row],[Data]])</f>
        <v>9</v>
      </c>
      <c r="F705">
        <f>YEAR(Tabela_ferias_folgas[[#This Row],[Data]])</f>
        <v>2023</v>
      </c>
      <c r="G705" t="str">
        <f>Tabela_ferias_folgas[[#This Row],[Médico]]&amp;" - "&amp;Tabela_ferias_folgas[[#This Row],[Compromisso]]</f>
        <v>KOP - FÉRIAS</v>
      </c>
    </row>
    <row r="706" spans="1:7" x14ac:dyDescent="0.3">
      <c r="A706" t="s">
        <v>75</v>
      </c>
      <c r="B706" t="s">
        <v>464</v>
      </c>
      <c r="C706" s="1">
        <v>45199</v>
      </c>
      <c r="D706">
        <f>DAY(Tabela_ferias_folgas[[#This Row],[Data]])</f>
        <v>30</v>
      </c>
      <c r="E706">
        <f>MONTH(Tabela_ferias_folgas[[#This Row],[Data]])</f>
        <v>9</v>
      </c>
      <c r="F706">
        <f>YEAR(Tabela_ferias_folgas[[#This Row],[Data]])</f>
        <v>2023</v>
      </c>
      <c r="G706" t="str">
        <f>Tabela_ferias_folgas[[#This Row],[Médico]]&amp;" - "&amp;Tabela_ferias_folgas[[#This Row],[Compromisso]]</f>
        <v>KOP - FÉRIAS</v>
      </c>
    </row>
    <row r="707" spans="1:7" x14ac:dyDescent="0.3">
      <c r="A707" t="s">
        <v>7</v>
      </c>
      <c r="B707" t="s">
        <v>464</v>
      </c>
      <c r="C707" s="1">
        <v>45194</v>
      </c>
      <c r="D707">
        <f>DAY(Tabela_ferias_folgas[[#This Row],[Data]])</f>
        <v>25</v>
      </c>
      <c r="E707">
        <f>MONTH(Tabela_ferias_folgas[[#This Row],[Data]])</f>
        <v>9</v>
      </c>
      <c r="F707">
        <f>YEAR(Tabela_ferias_folgas[[#This Row],[Data]])</f>
        <v>2023</v>
      </c>
      <c r="G707" t="str">
        <f>Tabela_ferias_folgas[[#This Row],[Médico]]&amp;" - "&amp;Tabela_ferias_folgas[[#This Row],[Compromisso]]</f>
        <v>ARI - FÉRIAS</v>
      </c>
    </row>
    <row r="708" spans="1:7" x14ac:dyDescent="0.3">
      <c r="A708" t="s">
        <v>7</v>
      </c>
      <c r="B708" t="s">
        <v>464</v>
      </c>
      <c r="C708" s="1">
        <v>45195</v>
      </c>
      <c r="D708">
        <f>DAY(Tabela_ferias_folgas[[#This Row],[Data]])</f>
        <v>26</v>
      </c>
      <c r="E708">
        <f>MONTH(Tabela_ferias_folgas[[#This Row],[Data]])</f>
        <v>9</v>
      </c>
      <c r="F708">
        <f>YEAR(Tabela_ferias_folgas[[#This Row],[Data]])</f>
        <v>2023</v>
      </c>
      <c r="G708" t="str">
        <f>Tabela_ferias_folgas[[#This Row],[Médico]]&amp;" - "&amp;Tabela_ferias_folgas[[#This Row],[Compromisso]]</f>
        <v>ARI - FÉRIAS</v>
      </c>
    </row>
    <row r="709" spans="1:7" x14ac:dyDescent="0.3">
      <c r="A709" t="s">
        <v>7</v>
      </c>
      <c r="B709" t="s">
        <v>464</v>
      </c>
      <c r="C709" s="1">
        <v>45196</v>
      </c>
      <c r="D709">
        <f>DAY(Tabela_ferias_folgas[[#This Row],[Data]])</f>
        <v>27</v>
      </c>
      <c r="E709">
        <f>MONTH(Tabela_ferias_folgas[[#This Row],[Data]])</f>
        <v>9</v>
      </c>
      <c r="F709">
        <f>YEAR(Tabela_ferias_folgas[[#This Row],[Data]])</f>
        <v>2023</v>
      </c>
      <c r="G709" t="str">
        <f>Tabela_ferias_folgas[[#This Row],[Médico]]&amp;" - "&amp;Tabela_ferias_folgas[[#This Row],[Compromisso]]</f>
        <v>ARI - FÉRIAS</v>
      </c>
    </row>
    <row r="710" spans="1:7" x14ac:dyDescent="0.3">
      <c r="A710" t="s">
        <v>7</v>
      </c>
      <c r="B710" t="s">
        <v>464</v>
      </c>
      <c r="C710" s="1">
        <v>45197</v>
      </c>
      <c r="D710">
        <f>DAY(Tabela_ferias_folgas[[#This Row],[Data]])</f>
        <v>28</v>
      </c>
      <c r="E710">
        <f>MONTH(Tabela_ferias_folgas[[#This Row],[Data]])</f>
        <v>9</v>
      </c>
      <c r="F710">
        <f>YEAR(Tabela_ferias_folgas[[#This Row],[Data]])</f>
        <v>2023</v>
      </c>
      <c r="G710" t="str">
        <f>Tabela_ferias_folgas[[#This Row],[Médico]]&amp;" - "&amp;Tabela_ferias_folgas[[#This Row],[Compromisso]]</f>
        <v>ARI - FÉRIAS</v>
      </c>
    </row>
    <row r="711" spans="1:7" x14ac:dyDescent="0.3">
      <c r="A711" t="s">
        <v>7</v>
      </c>
      <c r="B711" t="s">
        <v>464</v>
      </c>
      <c r="C711" s="1">
        <v>45198</v>
      </c>
      <c r="D711">
        <f>DAY(Tabela_ferias_folgas[[#This Row],[Data]])</f>
        <v>29</v>
      </c>
      <c r="E711">
        <f>MONTH(Tabela_ferias_folgas[[#This Row],[Data]])</f>
        <v>9</v>
      </c>
      <c r="F711">
        <f>YEAR(Tabela_ferias_folgas[[#This Row],[Data]])</f>
        <v>2023</v>
      </c>
      <c r="G711" t="str">
        <f>Tabela_ferias_folgas[[#This Row],[Médico]]&amp;" - "&amp;Tabela_ferias_folgas[[#This Row],[Compromisso]]</f>
        <v>ARI - FÉRIAS</v>
      </c>
    </row>
    <row r="712" spans="1:7" x14ac:dyDescent="0.3">
      <c r="A712" t="s">
        <v>7</v>
      </c>
      <c r="B712" t="s">
        <v>464</v>
      </c>
      <c r="C712" s="1">
        <v>45199</v>
      </c>
      <c r="D712">
        <f>DAY(Tabela_ferias_folgas[[#This Row],[Data]])</f>
        <v>30</v>
      </c>
      <c r="E712">
        <f>MONTH(Tabela_ferias_folgas[[#This Row],[Data]])</f>
        <v>9</v>
      </c>
      <c r="F712">
        <f>YEAR(Tabela_ferias_folgas[[#This Row],[Data]])</f>
        <v>2023</v>
      </c>
      <c r="G712" t="str">
        <f>Tabela_ferias_folgas[[#This Row],[Médico]]&amp;" - "&amp;Tabela_ferias_folgas[[#This Row],[Compromisso]]</f>
        <v>ARI - FÉRIAS</v>
      </c>
    </row>
    <row r="713" spans="1:7" x14ac:dyDescent="0.3">
      <c r="A713" t="s">
        <v>17</v>
      </c>
      <c r="B713" t="s">
        <v>607</v>
      </c>
      <c r="C713" s="1">
        <v>45194</v>
      </c>
      <c r="D713">
        <f>DAY(Tabela_ferias_folgas[[#This Row],[Data]])</f>
        <v>25</v>
      </c>
      <c r="E713">
        <f>MONTH(Tabela_ferias_folgas[[#This Row],[Data]])</f>
        <v>9</v>
      </c>
      <c r="F713">
        <f>YEAR(Tabela_ferias_folgas[[#This Row],[Data]])</f>
        <v>2023</v>
      </c>
      <c r="G713" t="str">
        <f>Tabela_ferias_folgas[[#This Row],[Médico]]&amp;" - "&amp;Tabela_ferias_folgas[[#This Row],[Compromisso]]</f>
        <v>FAB - CONGRESSO (ANEST. ARG.)</v>
      </c>
    </row>
    <row r="714" spans="1:7" x14ac:dyDescent="0.3">
      <c r="A714" t="s">
        <v>17</v>
      </c>
      <c r="B714" t="s">
        <v>607</v>
      </c>
      <c r="C714" s="1">
        <v>45195</v>
      </c>
      <c r="D714">
        <f>DAY(Tabela_ferias_folgas[[#This Row],[Data]])</f>
        <v>26</v>
      </c>
      <c r="E714">
        <f>MONTH(Tabela_ferias_folgas[[#This Row],[Data]])</f>
        <v>9</v>
      </c>
      <c r="F714">
        <f>YEAR(Tabela_ferias_folgas[[#This Row],[Data]])</f>
        <v>2023</v>
      </c>
      <c r="G714" t="str">
        <f>Tabela_ferias_folgas[[#This Row],[Médico]]&amp;" - "&amp;Tabela_ferias_folgas[[#This Row],[Compromisso]]</f>
        <v>FAB - CONGRESSO (ANEST. ARG.)</v>
      </c>
    </row>
    <row r="715" spans="1:7" x14ac:dyDescent="0.3">
      <c r="A715" t="s">
        <v>17</v>
      </c>
      <c r="B715" t="s">
        <v>607</v>
      </c>
      <c r="C715" s="1">
        <v>45196</v>
      </c>
      <c r="D715">
        <f>DAY(Tabela_ferias_folgas[[#This Row],[Data]])</f>
        <v>27</v>
      </c>
      <c r="E715">
        <f>MONTH(Tabela_ferias_folgas[[#This Row],[Data]])</f>
        <v>9</v>
      </c>
      <c r="F715">
        <f>YEAR(Tabela_ferias_folgas[[#This Row],[Data]])</f>
        <v>2023</v>
      </c>
      <c r="G715" t="str">
        <f>Tabela_ferias_folgas[[#This Row],[Médico]]&amp;" - "&amp;Tabela_ferias_folgas[[#This Row],[Compromisso]]</f>
        <v>FAB - CONGRESSO (ANEST. ARG.)</v>
      </c>
    </row>
    <row r="716" spans="1:7" x14ac:dyDescent="0.3">
      <c r="A716" t="s">
        <v>17</v>
      </c>
      <c r="B716" t="s">
        <v>607</v>
      </c>
      <c r="C716" s="1">
        <v>45197</v>
      </c>
      <c r="D716">
        <f>DAY(Tabela_ferias_folgas[[#This Row],[Data]])</f>
        <v>28</v>
      </c>
      <c r="E716">
        <f>MONTH(Tabela_ferias_folgas[[#This Row],[Data]])</f>
        <v>9</v>
      </c>
      <c r="F716">
        <f>YEAR(Tabela_ferias_folgas[[#This Row],[Data]])</f>
        <v>2023</v>
      </c>
      <c r="G716" t="str">
        <f>Tabela_ferias_folgas[[#This Row],[Médico]]&amp;" - "&amp;Tabela_ferias_folgas[[#This Row],[Compromisso]]</f>
        <v>FAB - CONGRESSO (ANEST. ARG.)</v>
      </c>
    </row>
    <row r="717" spans="1:7" x14ac:dyDescent="0.3">
      <c r="A717" t="s">
        <v>17</v>
      </c>
      <c r="B717" t="s">
        <v>607</v>
      </c>
      <c r="C717" s="1">
        <v>45198</v>
      </c>
      <c r="D717">
        <f>DAY(Tabela_ferias_folgas[[#This Row],[Data]])</f>
        <v>29</v>
      </c>
      <c r="E717">
        <f>MONTH(Tabela_ferias_folgas[[#This Row],[Data]])</f>
        <v>9</v>
      </c>
      <c r="F717">
        <f>YEAR(Tabela_ferias_folgas[[#This Row],[Data]])</f>
        <v>2023</v>
      </c>
      <c r="G717" t="str">
        <f>Tabela_ferias_folgas[[#This Row],[Médico]]&amp;" - "&amp;Tabela_ferias_folgas[[#This Row],[Compromisso]]</f>
        <v>FAB - CONGRESSO (ANEST. ARG.)</v>
      </c>
    </row>
    <row r="718" spans="1:7" x14ac:dyDescent="0.3">
      <c r="A718" t="s">
        <v>52</v>
      </c>
      <c r="B718" t="s">
        <v>464</v>
      </c>
      <c r="C718" s="1">
        <v>45201</v>
      </c>
      <c r="D718">
        <f>DAY(Tabela_ferias_folgas[[#This Row],[Data]])</f>
        <v>2</v>
      </c>
      <c r="E718">
        <f>MONTH(Tabela_ferias_folgas[[#This Row],[Data]])</f>
        <v>10</v>
      </c>
      <c r="F718">
        <f>YEAR(Tabela_ferias_folgas[[#This Row],[Data]])</f>
        <v>2023</v>
      </c>
      <c r="G718" t="str">
        <f>Tabela_ferias_folgas[[#This Row],[Médico]]&amp;" - "&amp;Tabela_ferias_folgas[[#This Row],[Compromisso]]</f>
        <v>AEL - FÉRIAS</v>
      </c>
    </row>
    <row r="719" spans="1:7" x14ac:dyDescent="0.3">
      <c r="A719" t="s">
        <v>52</v>
      </c>
      <c r="B719" t="s">
        <v>464</v>
      </c>
      <c r="C719" s="1">
        <v>45202</v>
      </c>
      <c r="D719">
        <f>DAY(Tabela_ferias_folgas[[#This Row],[Data]])</f>
        <v>3</v>
      </c>
      <c r="E719">
        <f>MONTH(Tabela_ferias_folgas[[#This Row],[Data]])</f>
        <v>10</v>
      </c>
      <c r="F719">
        <f>YEAR(Tabela_ferias_folgas[[#This Row],[Data]])</f>
        <v>2023</v>
      </c>
      <c r="G719" t="str">
        <f>Tabela_ferias_folgas[[#This Row],[Médico]]&amp;" - "&amp;Tabela_ferias_folgas[[#This Row],[Compromisso]]</f>
        <v>AEL - FÉRIAS</v>
      </c>
    </row>
    <row r="720" spans="1:7" x14ac:dyDescent="0.3">
      <c r="A720" t="s">
        <v>52</v>
      </c>
      <c r="B720" t="s">
        <v>464</v>
      </c>
      <c r="C720" s="1">
        <v>45203</v>
      </c>
      <c r="D720">
        <f>DAY(Tabela_ferias_folgas[[#This Row],[Data]])</f>
        <v>4</v>
      </c>
      <c r="E720">
        <f>MONTH(Tabela_ferias_folgas[[#This Row],[Data]])</f>
        <v>10</v>
      </c>
      <c r="F720">
        <f>YEAR(Tabela_ferias_folgas[[#This Row],[Data]])</f>
        <v>2023</v>
      </c>
      <c r="G720" t="str">
        <f>Tabela_ferias_folgas[[#This Row],[Médico]]&amp;" - "&amp;Tabela_ferias_folgas[[#This Row],[Compromisso]]</f>
        <v>AEL - FÉRIAS</v>
      </c>
    </row>
    <row r="721" spans="1:7" x14ac:dyDescent="0.3">
      <c r="A721" t="s">
        <v>52</v>
      </c>
      <c r="B721" t="s">
        <v>464</v>
      </c>
      <c r="C721" s="1">
        <v>45204</v>
      </c>
      <c r="D721">
        <f>DAY(Tabela_ferias_folgas[[#This Row],[Data]])</f>
        <v>5</v>
      </c>
      <c r="E721">
        <f>MONTH(Tabela_ferias_folgas[[#This Row],[Data]])</f>
        <v>10</v>
      </c>
      <c r="F721">
        <f>YEAR(Tabela_ferias_folgas[[#This Row],[Data]])</f>
        <v>2023</v>
      </c>
      <c r="G721" t="str">
        <f>Tabela_ferias_folgas[[#This Row],[Médico]]&amp;" - "&amp;Tabela_ferias_folgas[[#This Row],[Compromisso]]</f>
        <v>AEL - FÉRIAS</v>
      </c>
    </row>
    <row r="722" spans="1:7" x14ac:dyDescent="0.3">
      <c r="A722" t="s">
        <v>52</v>
      </c>
      <c r="B722" t="s">
        <v>464</v>
      </c>
      <c r="C722" s="1">
        <v>45205</v>
      </c>
      <c r="D722">
        <f>DAY(Tabela_ferias_folgas[[#This Row],[Data]])</f>
        <v>6</v>
      </c>
      <c r="E722">
        <f>MONTH(Tabela_ferias_folgas[[#This Row],[Data]])</f>
        <v>10</v>
      </c>
      <c r="F722">
        <f>YEAR(Tabela_ferias_folgas[[#This Row],[Data]])</f>
        <v>2023</v>
      </c>
      <c r="G722" t="str">
        <f>Tabela_ferias_folgas[[#This Row],[Médico]]&amp;" - "&amp;Tabela_ferias_folgas[[#This Row],[Compromisso]]</f>
        <v>AEL - FÉRIAS</v>
      </c>
    </row>
    <row r="723" spans="1:7" x14ac:dyDescent="0.3">
      <c r="A723" t="s">
        <v>52</v>
      </c>
      <c r="B723" t="s">
        <v>464</v>
      </c>
      <c r="C723" s="1">
        <v>45206</v>
      </c>
      <c r="D723">
        <f>DAY(Tabela_ferias_folgas[[#This Row],[Data]])</f>
        <v>7</v>
      </c>
      <c r="E723">
        <f>MONTH(Tabela_ferias_folgas[[#This Row],[Data]])</f>
        <v>10</v>
      </c>
      <c r="F723">
        <f>YEAR(Tabela_ferias_folgas[[#This Row],[Data]])</f>
        <v>2023</v>
      </c>
      <c r="G723" t="str">
        <f>Tabela_ferias_folgas[[#This Row],[Médico]]&amp;" - "&amp;Tabela_ferias_folgas[[#This Row],[Compromisso]]</f>
        <v>AEL - FÉRIAS</v>
      </c>
    </row>
    <row r="724" spans="1:7" x14ac:dyDescent="0.3">
      <c r="A724" t="s">
        <v>52</v>
      </c>
      <c r="B724" t="s">
        <v>464</v>
      </c>
      <c r="C724" s="1">
        <v>45207</v>
      </c>
      <c r="D724">
        <f>DAY(Tabela_ferias_folgas[[#This Row],[Data]])</f>
        <v>8</v>
      </c>
      <c r="E724">
        <f>MONTH(Tabela_ferias_folgas[[#This Row],[Data]])</f>
        <v>10</v>
      </c>
      <c r="F724">
        <f>YEAR(Tabela_ferias_folgas[[#This Row],[Data]])</f>
        <v>2023</v>
      </c>
      <c r="G724" t="str">
        <f>Tabela_ferias_folgas[[#This Row],[Médico]]&amp;" - "&amp;Tabela_ferias_folgas[[#This Row],[Compromisso]]</f>
        <v>AEL - FÉRIAS</v>
      </c>
    </row>
    <row r="725" spans="1:7" x14ac:dyDescent="0.3">
      <c r="A725" t="s">
        <v>52</v>
      </c>
      <c r="B725" t="s">
        <v>464</v>
      </c>
      <c r="C725" s="1">
        <v>45208</v>
      </c>
      <c r="D725">
        <f>DAY(Tabela_ferias_folgas[[#This Row],[Data]])</f>
        <v>9</v>
      </c>
      <c r="E725">
        <f>MONTH(Tabela_ferias_folgas[[#This Row],[Data]])</f>
        <v>10</v>
      </c>
      <c r="F725">
        <f>YEAR(Tabela_ferias_folgas[[#This Row],[Data]])</f>
        <v>2023</v>
      </c>
      <c r="G725" t="str">
        <f>Tabela_ferias_folgas[[#This Row],[Médico]]&amp;" - "&amp;Tabela_ferias_folgas[[#This Row],[Compromisso]]</f>
        <v>AEL - FÉRIAS</v>
      </c>
    </row>
    <row r="726" spans="1:7" x14ac:dyDescent="0.3">
      <c r="A726" t="s">
        <v>52</v>
      </c>
      <c r="B726" t="s">
        <v>464</v>
      </c>
      <c r="C726" s="1">
        <v>45209</v>
      </c>
      <c r="D726">
        <f>DAY(Tabela_ferias_folgas[[#This Row],[Data]])</f>
        <v>10</v>
      </c>
      <c r="E726">
        <f>MONTH(Tabela_ferias_folgas[[#This Row],[Data]])</f>
        <v>10</v>
      </c>
      <c r="F726">
        <f>YEAR(Tabela_ferias_folgas[[#This Row],[Data]])</f>
        <v>2023</v>
      </c>
      <c r="G726" t="str">
        <f>Tabela_ferias_folgas[[#This Row],[Médico]]&amp;" - "&amp;Tabela_ferias_folgas[[#This Row],[Compromisso]]</f>
        <v>AEL - FÉRIAS</v>
      </c>
    </row>
    <row r="727" spans="1:7" x14ac:dyDescent="0.3">
      <c r="A727" t="s">
        <v>52</v>
      </c>
      <c r="B727" t="s">
        <v>464</v>
      </c>
      <c r="C727" s="1">
        <v>45210</v>
      </c>
      <c r="D727">
        <f>DAY(Tabela_ferias_folgas[[#This Row],[Data]])</f>
        <v>11</v>
      </c>
      <c r="E727">
        <f>MONTH(Tabela_ferias_folgas[[#This Row],[Data]])</f>
        <v>10</v>
      </c>
      <c r="F727">
        <f>YEAR(Tabela_ferias_folgas[[#This Row],[Data]])</f>
        <v>2023</v>
      </c>
      <c r="G727" t="str">
        <f>Tabela_ferias_folgas[[#This Row],[Médico]]&amp;" - "&amp;Tabela_ferias_folgas[[#This Row],[Compromisso]]</f>
        <v>AEL - FÉRIAS</v>
      </c>
    </row>
    <row r="728" spans="1:7" x14ac:dyDescent="0.3">
      <c r="A728" t="s">
        <v>52</v>
      </c>
      <c r="B728" t="s">
        <v>464</v>
      </c>
      <c r="C728" s="1">
        <v>45211</v>
      </c>
      <c r="D728">
        <f>DAY(Tabela_ferias_folgas[[#This Row],[Data]])</f>
        <v>12</v>
      </c>
      <c r="E728">
        <f>MONTH(Tabela_ferias_folgas[[#This Row],[Data]])</f>
        <v>10</v>
      </c>
      <c r="F728">
        <f>YEAR(Tabela_ferias_folgas[[#This Row],[Data]])</f>
        <v>2023</v>
      </c>
      <c r="G728" t="str">
        <f>Tabela_ferias_folgas[[#This Row],[Médico]]&amp;" - "&amp;Tabela_ferias_folgas[[#This Row],[Compromisso]]</f>
        <v>AEL - FÉRIAS</v>
      </c>
    </row>
    <row r="729" spans="1:7" x14ac:dyDescent="0.3">
      <c r="A729" t="s">
        <v>52</v>
      </c>
      <c r="B729" t="s">
        <v>464</v>
      </c>
      <c r="C729" s="1">
        <v>45212</v>
      </c>
      <c r="D729">
        <f>DAY(Tabela_ferias_folgas[[#This Row],[Data]])</f>
        <v>13</v>
      </c>
      <c r="E729">
        <f>MONTH(Tabela_ferias_folgas[[#This Row],[Data]])</f>
        <v>10</v>
      </c>
      <c r="F729">
        <f>YEAR(Tabela_ferias_folgas[[#This Row],[Data]])</f>
        <v>2023</v>
      </c>
      <c r="G729" t="str">
        <f>Tabela_ferias_folgas[[#This Row],[Médico]]&amp;" - "&amp;Tabela_ferias_folgas[[#This Row],[Compromisso]]</f>
        <v>AEL - FÉRIAS</v>
      </c>
    </row>
    <row r="730" spans="1:7" x14ac:dyDescent="0.3">
      <c r="A730" t="s">
        <v>52</v>
      </c>
      <c r="B730" t="s">
        <v>464</v>
      </c>
      <c r="C730" s="1">
        <v>45213</v>
      </c>
      <c r="D730">
        <f>DAY(Tabela_ferias_folgas[[#This Row],[Data]])</f>
        <v>14</v>
      </c>
      <c r="E730">
        <f>MONTH(Tabela_ferias_folgas[[#This Row],[Data]])</f>
        <v>10</v>
      </c>
      <c r="F730">
        <f>YEAR(Tabela_ferias_folgas[[#This Row],[Data]])</f>
        <v>2023</v>
      </c>
      <c r="G730" t="str">
        <f>Tabela_ferias_folgas[[#This Row],[Médico]]&amp;" - "&amp;Tabela_ferias_folgas[[#This Row],[Compromisso]]</f>
        <v>AEL - FÉRIAS</v>
      </c>
    </row>
    <row r="731" spans="1:7" x14ac:dyDescent="0.3">
      <c r="A731" t="s">
        <v>52</v>
      </c>
      <c r="B731" t="s">
        <v>464</v>
      </c>
      <c r="C731" s="1">
        <v>45214</v>
      </c>
      <c r="D731">
        <f>DAY(Tabela_ferias_folgas[[#This Row],[Data]])</f>
        <v>15</v>
      </c>
      <c r="E731">
        <f>MONTH(Tabela_ferias_folgas[[#This Row],[Data]])</f>
        <v>10</v>
      </c>
      <c r="F731">
        <f>YEAR(Tabela_ferias_folgas[[#This Row],[Data]])</f>
        <v>2023</v>
      </c>
      <c r="G731" t="str">
        <f>Tabela_ferias_folgas[[#This Row],[Médico]]&amp;" - "&amp;Tabela_ferias_folgas[[#This Row],[Compromisso]]</f>
        <v>AEL - FÉRIAS</v>
      </c>
    </row>
    <row r="732" spans="1:7" x14ac:dyDescent="0.3">
      <c r="A732" t="s">
        <v>75</v>
      </c>
      <c r="B732" t="s">
        <v>464</v>
      </c>
      <c r="C732" s="1">
        <v>45201</v>
      </c>
      <c r="D732">
        <f>DAY(Tabela_ferias_folgas[[#This Row],[Data]])</f>
        <v>2</v>
      </c>
      <c r="E732">
        <f>MONTH(Tabela_ferias_folgas[[#This Row],[Data]])</f>
        <v>10</v>
      </c>
      <c r="F732">
        <f>YEAR(Tabela_ferias_folgas[[#This Row],[Data]])</f>
        <v>2023</v>
      </c>
      <c r="G732" t="str">
        <f>Tabela_ferias_folgas[[#This Row],[Médico]]&amp;" - "&amp;Tabela_ferias_folgas[[#This Row],[Compromisso]]</f>
        <v>KOP - FÉRIAS</v>
      </c>
    </row>
    <row r="733" spans="1:7" x14ac:dyDescent="0.3">
      <c r="A733" t="s">
        <v>75</v>
      </c>
      <c r="B733" t="s">
        <v>464</v>
      </c>
      <c r="C733" s="1">
        <v>45202</v>
      </c>
      <c r="D733">
        <f>DAY(Tabela_ferias_folgas[[#This Row],[Data]])</f>
        <v>3</v>
      </c>
      <c r="E733">
        <f>MONTH(Tabela_ferias_folgas[[#This Row],[Data]])</f>
        <v>10</v>
      </c>
      <c r="F733">
        <f>YEAR(Tabela_ferias_folgas[[#This Row],[Data]])</f>
        <v>2023</v>
      </c>
      <c r="G733" t="str">
        <f>Tabela_ferias_folgas[[#This Row],[Médico]]&amp;" - "&amp;Tabela_ferias_folgas[[#This Row],[Compromisso]]</f>
        <v>KOP - FÉRIAS</v>
      </c>
    </row>
    <row r="734" spans="1:7" x14ac:dyDescent="0.3">
      <c r="A734" t="s">
        <v>75</v>
      </c>
      <c r="B734" t="s">
        <v>464</v>
      </c>
      <c r="C734" s="1">
        <v>45203</v>
      </c>
      <c r="D734">
        <f>DAY(Tabela_ferias_folgas[[#This Row],[Data]])</f>
        <v>4</v>
      </c>
      <c r="E734">
        <f>MONTH(Tabela_ferias_folgas[[#This Row],[Data]])</f>
        <v>10</v>
      </c>
      <c r="F734">
        <f>YEAR(Tabela_ferias_folgas[[#This Row],[Data]])</f>
        <v>2023</v>
      </c>
      <c r="G734" t="str">
        <f>Tabela_ferias_folgas[[#This Row],[Médico]]&amp;" - "&amp;Tabela_ferias_folgas[[#This Row],[Compromisso]]</f>
        <v>KOP - FÉRIAS</v>
      </c>
    </row>
    <row r="735" spans="1:7" x14ac:dyDescent="0.3">
      <c r="A735" t="s">
        <v>75</v>
      </c>
      <c r="B735" t="s">
        <v>464</v>
      </c>
      <c r="C735" s="1">
        <v>45204</v>
      </c>
      <c r="D735">
        <f>DAY(Tabela_ferias_folgas[[#This Row],[Data]])</f>
        <v>5</v>
      </c>
      <c r="E735">
        <f>MONTH(Tabela_ferias_folgas[[#This Row],[Data]])</f>
        <v>10</v>
      </c>
      <c r="F735">
        <f>YEAR(Tabela_ferias_folgas[[#This Row],[Data]])</f>
        <v>2023</v>
      </c>
      <c r="G735" t="str">
        <f>Tabela_ferias_folgas[[#This Row],[Médico]]&amp;" - "&amp;Tabela_ferias_folgas[[#This Row],[Compromisso]]</f>
        <v>KOP - FÉRIAS</v>
      </c>
    </row>
    <row r="736" spans="1:7" x14ac:dyDescent="0.3">
      <c r="A736" t="s">
        <v>75</v>
      </c>
      <c r="B736" t="s">
        <v>464</v>
      </c>
      <c r="C736" s="1">
        <v>45205</v>
      </c>
      <c r="D736">
        <f>DAY(Tabela_ferias_folgas[[#This Row],[Data]])</f>
        <v>6</v>
      </c>
      <c r="E736">
        <f>MONTH(Tabela_ferias_folgas[[#This Row],[Data]])</f>
        <v>10</v>
      </c>
      <c r="F736">
        <f>YEAR(Tabela_ferias_folgas[[#This Row],[Data]])</f>
        <v>2023</v>
      </c>
      <c r="G736" t="str">
        <f>Tabela_ferias_folgas[[#This Row],[Médico]]&amp;" - "&amp;Tabela_ferias_folgas[[#This Row],[Compromisso]]</f>
        <v>KOP - FÉRIAS</v>
      </c>
    </row>
    <row r="737" spans="1:7" x14ac:dyDescent="0.3">
      <c r="A737" t="s">
        <v>75</v>
      </c>
      <c r="B737" t="s">
        <v>464</v>
      </c>
      <c r="C737" s="1">
        <v>45206</v>
      </c>
      <c r="D737">
        <f>DAY(Tabela_ferias_folgas[[#This Row],[Data]])</f>
        <v>7</v>
      </c>
      <c r="E737">
        <f>MONTH(Tabela_ferias_folgas[[#This Row],[Data]])</f>
        <v>10</v>
      </c>
      <c r="F737">
        <f>YEAR(Tabela_ferias_folgas[[#This Row],[Data]])</f>
        <v>2023</v>
      </c>
      <c r="G737" t="str">
        <f>Tabela_ferias_folgas[[#This Row],[Médico]]&amp;" - "&amp;Tabela_ferias_folgas[[#This Row],[Compromisso]]</f>
        <v>KOP - FÉRIAS</v>
      </c>
    </row>
    <row r="738" spans="1:7" x14ac:dyDescent="0.3">
      <c r="A738" t="s">
        <v>75</v>
      </c>
      <c r="B738" t="s">
        <v>464</v>
      </c>
      <c r="C738" s="1">
        <v>45207</v>
      </c>
      <c r="D738">
        <f>DAY(Tabela_ferias_folgas[[#This Row],[Data]])</f>
        <v>8</v>
      </c>
      <c r="E738">
        <f>MONTH(Tabela_ferias_folgas[[#This Row],[Data]])</f>
        <v>10</v>
      </c>
      <c r="F738">
        <f>YEAR(Tabela_ferias_folgas[[#This Row],[Data]])</f>
        <v>2023</v>
      </c>
      <c r="G738" t="str">
        <f>Tabela_ferias_folgas[[#This Row],[Médico]]&amp;" - "&amp;Tabela_ferias_folgas[[#This Row],[Compromisso]]</f>
        <v>KOP - FÉRIAS</v>
      </c>
    </row>
    <row r="739" spans="1:7" x14ac:dyDescent="0.3">
      <c r="A739" t="s">
        <v>7</v>
      </c>
      <c r="B739" t="s">
        <v>464</v>
      </c>
      <c r="C739" s="1">
        <v>45201</v>
      </c>
      <c r="D739">
        <f>DAY(Tabela_ferias_folgas[[#This Row],[Data]])</f>
        <v>2</v>
      </c>
      <c r="E739">
        <f>MONTH(Tabela_ferias_folgas[[#This Row],[Data]])</f>
        <v>10</v>
      </c>
      <c r="F739">
        <f>YEAR(Tabela_ferias_folgas[[#This Row],[Data]])</f>
        <v>2023</v>
      </c>
      <c r="G739" t="str">
        <f>Tabela_ferias_folgas[[#This Row],[Médico]]&amp;" - "&amp;Tabela_ferias_folgas[[#This Row],[Compromisso]]</f>
        <v>ARI - FÉRIAS</v>
      </c>
    </row>
    <row r="740" spans="1:7" x14ac:dyDescent="0.3">
      <c r="A740" t="s">
        <v>7</v>
      </c>
      <c r="B740" t="s">
        <v>464</v>
      </c>
      <c r="C740" s="1">
        <v>45202</v>
      </c>
      <c r="D740">
        <f>DAY(Tabela_ferias_folgas[[#This Row],[Data]])</f>
        <v>3</v>
      </c>
      <c r="E740">
        <f>MONTH(Tabela_ferias_folgas[[#This Row],[Data]])</f>
        <v>10</v>
      </c>
      <c r="F740">
        <f>YEAR(Tabela_ferias_folgas[[#This Row],[Data]])</f>
        <v>2023</v>
      </c>
      <c r="G740" t="str">
        <f>Tabela_ferias_folgas[[#This Row],[Médico]]&amp;" - "&amp;Tabela_ferias_folgas[[#This Row],[Compromisso]]</f>
        <v>ARI - FÉRIAS</v>
      </c>
    </row>
    <row r="741" spans="1:7" x14ac:dyDescent="0.3">
      <c r="A741" t="s">
        <v>7</v>
      </c>
      <c r="B741" t="s">
        <v>464</v>
      </c>
      <c r="C741" s="1">
        <v>45203</v>
      </c>
      <c r="D741">
        <f>DAY(Tabela_ferias_folgas[[#This Row],[Data]])</f>
        <v>4</v>
      </c>
      <c r="E741">
        <f>MONTH(Tabela_ferias_folgas[[#This Row],[Data]])</f>
        <v>10</v>
      </c>
      <c r="F741">
        <f>YEAR(Tabela_ferias_folgas[[#This Row],[Data]])</f>
        <v>2023</v>
      </c>
      <c r="G741" t="str">
        <f>Tabela_ferias_folgas[[#This Row],[Médico]]&amp;" - "&amp;Tabela_ferias_folgas[[#This Row],[Compromisso]]</f>
        <v>ARI - FÉRIAS</v>
      </c>
    </row>
    <row r="742" spans="1:7" x14ac:dyDescent="0.3">
      <c r="A742" t="s">
        <v>7</v>
      </c>
      <c r="B742" t="s">
        <v>464</v>
      </c>
      <c r="C742" s="1">
        <v>45204</v>
      </c>
      <c r="D742">
        <f>DAY(Tabela_ferias_folgas[[#This Row],[Data]])</f>
        <v>5</v>
      </c>
      <c r="E742">
        <f>MONTH(Tabela_ferias_folgas[[#This Row],[Data]])</f>
        <v>10</v>
      </c>
      <c r="F742">
        <f>YEAR(Tabela_ferias_folgas[[#This Row],[Data]])</f>
        <v>2023</v>
      </c>
      <c r="G742" t="str">
        <f>Tabela_ferias_folgas[[#This Row],[Médico]]&amp;" - "&amp;Tabela_ferias_folgas[[#This Row],[Compromisso]]</f>
        <v>ARI - FÉRIAS</v>
      </c>
    </row>
    <row r="743" spans="1:7" x14ac:dyDescent="0.3">
      <c r="A743" t="s">
        <v>7</v>
      </c>
      <c r="B743" t="s">
        <v>464</v>
      </c>
      <c r="C743" s="1">
        <v>45205</v>
      </c>
      <c r="D743">
        <f>DAY(Tabela_ferias_folgas[[#This Row],[Data]])</f>
        <v>6</v>
      </c>
      <c r="E743">
        <f>MONTH(Tabela_ferias_folgas[[#This Row],[Data]])</f>
        <v>10</v>
      </c>
      <c r="F743">
        <f>YEAR(Tabela_ferias_folgas[[#This Row],[Data]])</f>
        <v>2023</v>
      </c>
      <c r="G743" t="str">
        <f>Tabela_ferias_folgas[[#This Row],[Médico]]&amp;" - "&amp;Tabela_ferias_folgas[[#This Row],[Compromisso]]</f>
        <v>ARI - FÉRIAS</v>
      </c>
    </row>
    <row r="744" spans="1:7" x14ac:dyDescent="0.3">
      <c r="A744" t="s">
        <v>7</v>
      </c>
      <c r="B744" t="s">
        <v>464</v>
      </c>
      <c r="C744" s="1">
        <v>45206</v>
      </c>
      <c r="D744">
        <f>DAY(Tabela_ferias_folgas[[#This Row],[Data]])</f>
        <v>7</v>
      </c>
      <c r="E744">
        <f>MONTH(Tabela_ferias_folgas[[#This Row],[Data]])</f>
        <v>10</v>
      </c>
      <c r="F744">
        <f>YEAR(Tabela_ferias_folgas[[#This Row],[Data]])</f>
        <v>2023</v>
      </c>
      <c r="G744" t="str">
        <f>Tabela_ferias_folgas[[#This Row],[Médico]]&amp;" - "&amp;Tabela_ferias_folgas[[#This Row],[Compromisso]]</f>
        <v>ARI - FÉRIAS</v>
      </c>
    </row>
    <row r="745" spans="1:7" x14ac:dyDescent="0.3">
      <c r="A745" t="s">
        <v>7</v>
      </c>
      <c r="B745" t="s">
        <v>464</v>
      </c>
      <c r="C745" s="1">
        <v>45207</v>
      </c>
      <c r="D745">
        <f>DAY(Tabela_ferias_folgas[[#This Row],[Data]])</f>
        <v>8</v>
      </c>
      <c r="E745">
        <f>MONTH(Tabela_ferias_folgas[[#This Row],[Data]])</f>
        <v>10</v>
      </c>
      <c r="F745">
        <f>YEAR(Tabela_ferias_folgas[[#This Row],[Data]])</f>
        <v>2023</v>
      </c>
      <c r="G745" t="str">
        <f>Tabela_ferias_folgas[[#This Row],[Médico]]&amp;" - "&amp;Tabela_ferias_folgas[[#This Row],[Compromisso]]</f>
        <v>ARI - FÉRIAS</v>
      </c>
    </row>
    <row r="746" spans="1:7" x14ac:dyDescent="0.3">
      <c r="A746" t="s">
        <v>29</v>
      </c>
      <c r="B746" t="s">
        <v>464</v>
      </c>
      <c r="C746" s="1">
        <v>45208</v>
      </c>
      <c r="D746">
        <f>DAY(Tabela_ferias_folgas[[#This Row],[Data]])</f>
        <v>9</v>
      </c>
      <c r="E746">
        <f>MONTH(Tabela_ferias_folgas[[#This Row],[Data]])</f>
        <v>10</v>
      </c>
      <c r="F746">
        <f>YEAR(Tabela_ferias_folgas[[#This Row],[Data]])</f>
        <v>2023</v>
      </c>
      <c r="G746" t="str">
        <f>Tabela_ferias_folgas[[#This Row],[Médico]]&amp;" - "&amp;Tabela_ferias_folgas[[#This Row],[Compromisso]]</f>
        <v>JOA - FÉRIAS</v>
      </c>
    </row>
    <row r="747" spans="1:7" x14ac:dyDescent="0.3">
      <c r="A747" t="s">
        <v>29</v>
      </c>
      <c r="B747" t="s">
        <v>464</v>
      </c>
      <c r="C747" s="1">
        <v>45209</v>
      </c>
      <c r="D747">
        <f>DAY(Tabela_ferias_folgas[[#This Row],[Data]])</f>
        <v>10</v>
      </c>
      <c r="E747">
        <f>MONTH(Tabela_ferias_folgas[[#This Row],[Data]])</f>
        <v>10</v>
      </c>
      <c r="F747">
        <f>YEAR(Tabela_ferias_folgas[[#This Row],[Data]])</f>
        <v>2023</v>
      </c>
      <c r="G747" t="str">
        <f>Tabela_ferias_folgas[[#This Row],[Médico]]&amp;" - "&amp;Tabela_ferias_folgas[[#This Row],[Compromisso]]</f>
        <v>JOA - FÉRIAS</v>
      </c>
    </row>
    <row r="748" spans="1:7" x14ac:dyDescent="0.3">
      <c r="A748" t="s">
        <v>29</v>
      </c>
      <c r="B748" t="s">
        <v>464</v>
      </c>
      <c r="C748" s="1">
        <v>45210</v>
      </c>
      <c r="D748">
        <f>DAY(Tabela_ferias_folgas[[#This Row],[Data]])</f>
        <v>11</v>
      </c>
      <c r="E748">
        <f>MONTH(Tabela_ferias_folgas[[#This Row],[Data]])</f>
        <v>10</v>
      </c>
      <c r="F748">
        <f>YEAR(Tabela_ferias_folgas[[#This Row],[Data]])</f>
        <v>2023</v>
      </c>
      <c r="G748" t="str">
        <f>Tabela_ferias_folgas[[#This Row],[Médico]]&amp;" - "&amp;Tabela_ferias_folgas[[#This Row],[Compromisso]]</f>
        <v>JOA - FÉRIAS</v>
      </c>
    </row>
    <row r="749" spans="1:7" x14ac:dyDescent="0.3">
      <c r="A749" t="s">
        <v>29</v>
      </c>
      <c r="B749" t="s">
        <v>464</v>
      </c>
      <c r="C749" s="1">
        <v>45211</v>
      </c>
      <c r="D749">
        <f>DAY(Tabela_ferias_folgas[[#This Row],[Data]])</f>
        <v>12</v>
      </c>
      <c r="E749">
        <f>MONTH(Tabela_ferias_folgas[[#This Row],[Data]])</f>
        <v>10</v>
      </c>
      <c r="F749">
        <f>YEAR(Tabela_ferias_folgas[[#This Row],[Data]])</f>
        <v>2023</v>
      </c>
      <c r="G749" t="str">
        <f>Tabela_ferias_folgas[[#This Row],[Médico]]&amp;" - "&amp;Tabela_ferias_folgas[[#This Row],[Compromisso]]</f>
        <v>JOA - FÉRIAS</v>
      </c>
    </row>
    <row r="750" spans="1:7" x14ac:dyDescent="0.3">
      <c r="A750" t="s">
        <v>29</v>
      </c>
      <c r="B750" t="s">
        <v>464</v>
      </c>
      <c r="C750" s="1">
        <v>45212</v>
      </c>
      <c r="D750">
        <f>DAY(Tabela_ferias_folgas[[#This Row],[Data]])</f>
        <v>13</v>
      </c>
      <c r="E750">
        <f>MONTH(Tabela_ferias_folgas[[#This Row],[Data]])</f>
        <v>10</v>
      </c>
      <c r="F750">
        <f>YEAR(Tabela_ferias_folgas[[#This Row],[Data]])</f>
        <v>2023</v>
      </c>
      <c r="G750" t="str">
        <f>Tabela_ferias_folgas[[#This Row],[Médico]]&amp;" - "&amp;Tabela_ferias_folgas[[#This Row],[Compromisso]]</f>
        <v>JOA - FÉRIAS</v>
      </c>
    </row>
    <row r="751" spans="1:7" x14ac:dyDescent="0.3">
      <c r="A751" t="s">
        <v>29</v>
      </c>
      <c r="B751" t="s">
        <v>464</v>
      </c>
      <c r="C751" s="1">
        <v>45213</v>
      </c>
      <c r="D751">
        <f>DAY(Tabela_ferias_folgas[[#This Row],[Data]])</f>
        <v>14</v>
      </c>
      <c r="E751">
        <f>MONTH(Tabela_ferias_folgas[[#This Row],[Data]])</f>
        <v>10</v>
      </c>
      <c r="F751">
        <f>YEAR(Tabela_ferias_folgas[[#This Row],[Data]])</f>
        <v>2023</v>
      </c>
      <c r="G751" t="str">
        <f>Tabela_ferias_folgas[[#This Row],[Médico]]&amp;" - "&amp;Tabela_ferias_folgas[[#This Row],[Compromisso]]</f>
        <v>JOA - FÉRIAS</v>
      </c>
    </row>
    <row r="752" spans="1:7" x14ac:dyDescent="0.3">
      <c r="A752" t="s">
        <v>29</v>
      </c>
      <c r="B752" t="s">
        <v>464</v>
      </c>
      <c r="C752" s="1">
        <v>45214</v>
      </c>
      <c r="D752">
        <f>DAY(Tabela_ferias_folgas[[#This Row],[Data]])</f>
        <v>15</v>
      </c>
      <c r="E752">
        <f>MONTH(Tabela_ferias_folgas[[#This Row],[Data]])</f>
        <v>10</v>
      </c>
      <c r="F752">
        <f>YEAR(Tabela_ferias_folgas[[#This Row],[Data]])</f>
        <v>2023</v>
      </c>
      <c r="G752" t="str">
        <f>Tabela_ferias_folgas[[#This Row],[Médico]]&amp;" - "&amp;Tabela_ferias_folgas[[#This Row],[Compromisso]]</f>
        <v>JOA - FÉRIAS</v>
      </c>
    </row>
    <row r="753" spans="1:7" x14ac:dyDescent="0.3">
      <c r="A753" t="s">
        <v>142</v>
      </c>
      <c r="B753" t="s">
        <v>464</v>
      </c>
      <c r="C753" s="1">
        <v>45208</v>
      </c>
      <c r="D753">
        <f>DAY(Tabela_ferias_folgas[[#This Row],[Data]])</f>
        <v>9</v>
      </c>
      <c r="E753">
        <f>MONTH(Tabela_ferias_folgas[[#This Row],[Data]])</f>
        <v>10</v>
      </c>
      <c r="F753">
        <f>YEAR(Tabela_ferias_folgas[[#This Row],[Data]])</f>
        <v>2023</v>
      </c>
      <c r="G753" t="str">
        <f>Tabela_ferias_folgas[[#This Row],[Médico]]&amp;" - "&amp;Tabela_ferias_folgas[[#This Row],[Compromisso]]</f>
        <v>VIV - FÉRIAS</v>
      </c>
    </row>
    <row r="754" spans="1:7" x14ac:dyDescent="0.3">
      <c r="A754" t="s">
        <v>142</v>
      </c>
      <c r="B754" t="s">
        <v>464</v>
      </c>
      <c r="C754" s="1">
        <v>45209</v>
      </c>
      <c r="D754">
        <f>DAY(Tabela_ferias_folgas[[#This Row],[Data]])</f>
        <v>10</v>
      </c>
      <c r="E754">
        <f>MONTH(Tabela_ferias_folgas[[#This Row],[Data]])</f>
        <v>10</v>
      </c>
      <c r="F754">
        <f>YEAR(Tabela_ferias_folgas[[#This Row],[Data]])</f>
        <v>2023</v>
      </c>
      <c r="G754" t="str">
        <f>Tabela_ferias_folgas[[#This Row],[Médico]]&amp;" - "&amp;Tabela_ferias_folgas[[#This Row],[Compromisso]]</f>
        <v>VIV - FÉRIAS</v>
      </c>
    </row>
    <row r="755" spans="1:7" x14ac:dyDescent="0.3">
      <c r="A755" t="s">
        <v>142</v>
      </c>
      <c r="B755" t="s">
        <v>464</v>
      </c>
      <c r="C755" s="1">
        <v>45210</v>
      </c>
      <c r="D755">
        <f>DAY(Tabela_ferias_folgas[[#This Row],[Data]])</f>
        <v>11</v>
      </c>
      <c r="E755">
        <f>MONTH(Tabela_ferias_folgas[[#This Row],[Data]])</f>
        <v>10</v>
      </c>
      <c r="F755">
        <f>YEAR(Tabela_ferias_folgas[[#This Row],[Data]])</f>
        <v>2023</v>
      </c>
      <c r="G755" t="str">
        <f>Tabela_ferias_folgas[[#This Row],[Médico]]&amp;" - "&amp;Tabela_ferias_folgas[[#This Row],[Compromisso]]</f>
        <v>VIV - FÉRIAS</v>
      </c>
    </row>
    <row r="756" spans="1:7" x14ac:dyDescent="0.3">
      <c r="A756" t="s">
        <v>142</v>
      </c>
      <c r="B756" t="s">
        <v>464</v>
      </c>
      <c r="C756" s="1">
        <v>45211</v>
      </c>
      <c r="D756">
        <f>DAY(Tabela_ferias_folgas[[#This Row],[Data]])</f>
        <v>12</v>
      </c>
      <c r="E756">
        <f>MONTH(Tabela_ferias_folgas[[#This Row],[Data]])</f>
        <v>10</v>
      </c>
      <c r="F756">
        <f>YEAR(Tabela_ferias_folgas[[#This Row],[Data]])</f>
        <v>2023</v>
      </c>
      <c r="G756" t="str">
        <f>Tabela_ferias_folgas[[#This Row],[Médico]]&amp;" - "&amp;Tabela_ferias_folgas[[#This Row],[Compromisso]]</f>
        <v>VIV - FÉRIAS</v>
      </c>
    </row>
    <row r="757" spans="1:7" x14ac:dyDescent="0.3">
      <c r="A757" t="s">
        <v>142</v>
      </c>
      <c r="B757" t="s">
        <v>464</v>
      </c>
      <c r="C757" s="1">
        <v>45212</v>
      </c>
      <c r="D757">
        <f>DAY(Tabela_ferias_folgas[[#This Row],[Data]])</f>
        <v>13</v>
      </c>
      <c r="E757">
        <f>MONTH(Tabela_ferias_folgas[[#This Row],[Data]])</f>
        <v>10</v>
      </c>
      <c r="F757">
        <f>YEAR(Tabela_ferias_folgas[[#This Row],[Data]])</f>
        <v>2023</v>
      </c>
      <c r="G757" t="str">
        <f>Tabela_ferias_folgas[[#This Row],[Médico]]&amp;" - "&amp;Tabela_ferias_folgas[[#This Row],[Compromisso]]</f>
        <v>VIV - FÉRIAS</v>
      </c>
    </row>
    <row r="758" spans="1:7" x14ac:dyDescent="0.3">
      <c r="A758" t="s">
        <v>142</v>
      </c>
      <c r="B758" t="s">
        <v>464</v>
      </c>
      <c r="C758" s="1">
        <v>45213</v>
      </c>
      <c r="D758">
        <f>DAY(Tabela_ferias_folgas[[#This Row],[Data]])</f>
        <v>14</v>
      </c>
      <c r="E758">
        <f>MONTH(Tabela_ferias_folgas[[#This Row],[Data]])</f>
        <v>10</v>
      </c>
      <c r="F758">
        <f>YEAR(Tabela_ferias_folgas[[#This Row],[Data]])</f>
        <v>2023</v>
      </c>
      <c r="G758" t="str">
        <f>Tabela_ferias_folgas[[#This Row],[Médico]]&amp;" - "&amp;Tabela_ferias_folgas[[#This Row],[Compromisso]]</f>
        <v>VIV - FÉRIAS</v>
      </c>
    </row>
    <row r="759" spans="1:7" x14ac:dyDescent="0.3">
      <c r="A759" t="s">
        <v>142</v>
      </c>
      <c r="B759" t="s">
        <v>464</v>
      </c>
      <c r="C759" s="1">
        <v>45214</v>
      </c>
      <c r="D759">
        <f>DAY(Tabela_ferias_folgas[[#This Row],[Data]])</f>
        <v>15</v>
      </c>
      <c r="E759">
        <f>MONTH(Tabela_ferias_folgas[[#This Row],[Data]])</f>
        <v>10</v>
      </c>
      <c r="F759">
        <f>YEAR(Tabela_ferias_folgas[[#This Row],[Data]])</f>
        <v>2023</v>
      </c>
      <c r="G759" t="str">
        <f>Tabela_ferias_folgas[[#This Row],[Médico]]&amp;" - "&amp;Tabela_ferias_folgas[[#This Row],[Compromisso]]</f>
        <v>VIV - FÉRIAS</v>
      </c>
    </row>
    <row r="760" spans="1:7" x14ac:dyDescent="0.3">
      <c r="A760" t="s">
        <v>142</v>
      </c>
      <c r="B760" t="s">
        <v>464</v>
      </c>
      <c r="C760" s="1">
        <v>45215</v>
      </c>
      <c r="D760">
        <f>DAY(Tabela_ferias_folgas[[#This Row],[Data]])</f>
        <v>16</v>
      </c>
      <c r="E760">
        <f>MONTH(Tabela_ferias_folgas[[#This Row],[Data]])</f>
        <v>10</v>
      </c>
      <c r="F760">
        <f>YEAR(Tabela_ferias_folgas[[#This Row],[Data]])</f>
        <v>2023</v>
      </c>
      <c r="G760" t="str">
        <f>Tabela_ferias_folgas[[#This Row],[Médico]]&amp;" - "&amp;Tabela_ferias_folgas[[#This Row],[Compromisso]]</f>
        <v>VIV - FÉRIAS</v>
      </c>
    </row>
    <row r="761" spans="1:7" x14ac:dyDescent="0.3">
      <c r="A761" t="s">
        <v>142</v>
      </c>
      <c r="B761" t="s">
        <v>464</v>
      </c>
      <c r="C761" s="1">
        <v>45216</v>
      </c>
      <c r="D761">
        <f>DAY(Tabela_ferias_folgas[[#This Row],[Data]])</f>
        <v>17</v>
      </c>
      <c r="E761">
        <f>MONTH(Tabela_ferias_folgas[[#This Row],[Data]])</f>
        <v>10</v>
      </c>
      <c r="F761">
        <f>YEAR(Tabela_ferias_folgas[[#This Row],[Data]])</f>
        <v>2023</v>
      </c>
      <c r="G761" t="str">
        <f>Tabela_ferias_folgas[[#This Row],[Médico]]&amp;" - "&amp;Tabela_ferias_folgas[[#This Row],[Compromisso]]</f>
        <v>VIV - FÉRIAS</v>
      </c>
    </row>
    <row r="762" spans="1:7" x14ac:dyDescent="0.3">
      <c r="A762" t="s">
        <v>142</v>
      </c>
      <c r="B762" t="s">
        <v>464</v>
      </c>
      <c r="C762" s="1">
        <v>45217</v>
      </c>
      <c r="D762">
        <f>DAY(Tabela_ferias_folgas[[#This Row],[Data]])</f>
        <v>18</v>
      </c>
      <c r="E762">
        <f>MONTH(Tabela_ferias_folgas[[#This Row],[Data]])</f>
        <v>10</v>
      </c>
      <c r="F762">
        <f>YEAR(Tabela_ferias_folgas[[#This Row],[Data]])</f>
        <v>2023</v>
      </c>
      <c r="G762" t="str">
        <f>Tabela_ferias_folgas[[#This Row],[Médico]]&amp;" - "&amp;Tabela_ferias_folgas[[#This Row],[Compromisso]]</f>
        <v>VIV - FÉRIAS</v>
      </c>
    </row>
    <row r="763" spans="1:7" x14ac:dyDescent="0.3">
      <c r="A763" t="s">
        <v>142</v>
      </c>
      <c r="B763" t="s">
        <v>464</v>
      </c>
      <c r="C763" s="1">
        <v>45218</v>
      </c>
      <c r="D763">
        <f>DAY(Tabela_ferias_folgas[[#This Row],[Data]])</f>
        <v>19</v>
      </c>
      <c r="E763">
        <f>MONTH(Tabela_ferias_folgas[[#This Row],[Data]])</f>
        <v>10</v>
      </c>
      <c r="F763">
        <f>YEAR(Tabela_ferias_folgas[[#This Row],[Data]])</f>
        <v>2023</v>
      </c>
      <c r="G763" t="str">
        <f>Tabela_ferias_folgas[[#This Row],[Médico]]&amp;" - "&amp;Tabela_ferias_folgas[[#This Row],[Compromisso]]</f>
        <v>VIV - FÉRIAS</v>
      </c>
    </row>
    <row r="764" spans="1:7" x14ac:dyDescent="0.3">
      <c r="A764" t="s">
        <v>142</v>
      </c>
      <c r="B764" t="s">
        <v>464</v>
      </c>
      <c r="C764" s="1">
        <v>45219</v>
      </c>
      <c r="D764">
        <f>DAY(Tabela_ferias_folgas[[#This Row],[Data]])</f>
        <v>20</v>
      </c>
      <c r="E764">
        <f>MONTH(Tabela_ferias_folgas[[#This Row],[Data]])</f>
        <v>10</v>
      </c>
      <c r="F764">
        <f>YEAR(Tabela_ferias_folgas[[#This Row],[Data]])</f>
        <v>2023</v>
      </c>
      <c r="G764" t="str">
        <f>Tabela_ferias_folgas[[#This Row],[Médico]]&amp;" - "&amp;Tabela_ferias_folgas[[#This Row],[Compromisso]]</f>
        <v>VIV - FÉRIAS</v>
      </c>
    </row>
    <row r="765" spans="1:7" x14ac:dyDescent="0.3">
      <c r="A765" t="s">
        <v>142</v>
      </c>
      <c r="B765" t="s">
        <v>464</v>
      </c>
      <c r="C765" s="1">
        <v>45220</v>
      </c>
      <c r="D765">
        <f>DAY(Tabela_ferias_folgas[[#This Row],[Data]])</f>
        <v>21</v>
      </c>
      <c r="E765">
        <f>MONTH(Tabela_ferias_folgas[[#This Row],[Data]])</f>
        <v>10</v>
      </c>
      <c r="F765">
        <f>YEAR(Tabela_ferias_folgas[[#This Row],[Data]])</f>
        <v>2023</v>
      </c>
      <c r="G765" t="str">
        <f>Tabela_ferias_folgas[[#This Row],[Médico]]&amp;" - "&amp;Tabela_ferias_folgas[[#This Row],[Compromisso]]</f>
        <v>VIV - FÉRIAS</v>
      </c>
    </row>
    <row r="766" spans="1:7" x14ac:dyDescent="0.3">
      <c r="A766" t="s">
        <v>142</v>
      </c>
      <c r="B766" t="s">
        <v>464</v>
      </c>
      <c r="C766" s="1">
        <v>45221</v>
      </c>
      <c r="D766">
        <f>DAY(Tabela_ferias_folgas[[#This Row],[Data]])</f>
        <v>22</v>
      </c>
      <c r="E766">
        <f>MONTH(Tabela_ferias_folgas[[#This Row],[Data]])</f>
        <v>10</v>
      </c>
      <c r="F766">
        <f>YEAR(Tabela_ferias_folgas[[#This Row],[Data]])</f>
        <v>2023</v>
      </c>
      <c r="G766" t="str">
        <f>Tabela_ferias_folgas[[#This Row],[Médico]]&amp;" - "&amp;Tabela_ferias_folgas[[#This Row],[Compromisso]]</f>
        <v>VIV - FÉRIAS</v>
      </c>
    </row>
    <row r="767" spans="1:7" x14ac:dyDescent="0.3">
      <c r="A767" t="s">
        <v>142</v>
      </c>
      <c r="B767" t="s">
        <v>464</v>
      </c>
      <c r="C767" s="1">
        <v>45222</v>
      </c>
      <c r="D767">
        <f>DAY(Tabela_ferias_folgas[[#This Row],[Data]])</f>
        <v>23</v>
      </c>
      <c r="E767">
        <f>MONTH(Tabela_ferias_folgas[[#This Row],[Data]])</f>
        <v>10</v>
      </c>
      <c r="F767">
        <f>YEAR(Tabela_ferias_folgas[[#This Row],[Data]])</f>
        <v>2023</v>
      </c>
      <c r="G767" t="str">
        <f>Tabela_ferias_folgas[[#This Row],[Médico]]&amp;" - "&amp;Tabela_ferias_folgas[[#This Row],[Compromisso]]</f>
        <v>VIV - FÉRIAS</v>
      </c>
    </row>
    <row r="768" spans="1:7" x14ac:dyDescent="0.3">
      <c r="A768" t="s">
        <v>142</v>
      </c>
      <c r="B768" t="s">
        <v>464</v>
      </c>
      <c r="C768" s="1">
        <v>45223</v>
      </c>
      <c r="D768">
        <f>DAY(Tabela_ferias_folgas[[#This Row],[Data]])</f>
        <v>24</v>
      </c>
      <c r="E768">
        <f>MONTH(Tabela_ferias_folgas[[#This Row],[Data]])</f>
        <v>10</v>
      </c>
      <c r="F768">
        <f>YEAR(Tabela_ferias_folgas[[#This Row],[Data]])</f>
        <v>2023</v>
      </c>
      <c r="G768" t="str">
        <f>Tabela_ferias_folgas[[#This Row],[Médico]]&amp;" - "&amp;Tabela_ferias_folgas[[#This Row],[Compromisso]]</f>
        <v>VIV - FÉRIAS</v>
      </c>
    </row>
    <row r="769" spans="1:7" x14ac:dyDescent="0.3">
      <c r="A769" t="s">
        <v>142</v>
      </c>
      <c r="B769" t="s">
        <v>464</v>
      </c>
      <c r="C769" s="1">
        <v>45224</v>
      </c>
      <c r="D769">
        <f>DAY(Tabela_ferias_folgas[[#This Row],[Data]])</f>
        <v>25</v>
      </c>
      <c r="E769">
        <f>MONTH(Tabela_ferias_folgas[[#This Row],[Data]])</f>
        <v>10</v>
      </c>
      <c r="F769">
        <f>YEAR(Tabela_ferias_folgas[[#This Row],[Data]])</f>
        <v>2023</v>
      </c>
      <c r="G769" t="str">
        <f>Tabela_ferias_folgas[[#This Row],[Médico]]&amp;" - "&amp;Tabela_ferias_folgas[[#This Row],[Compromisso]]</f>
        <v>VIV - FÉRIAS</v>
      </c>
    </row>
    <row r="770" spans="1:7" x14ac:dyDescent="0.3">
      <c r="A770" t="s">
        <v>142</v>
      </c>
      <c r="B770" t="s">
        <v>464</v>
      </c>
      <c r="C770" s="1">
        <v>45225</v>
      </c>
      <c r="D770">
        <f>DAY(Tabela_ferias_folgas[[#This Row],[Data]])</f>
        <v>26</v>
      </c>
      <c r="E770">
        <f>MONTH(Tabela_ferias_folgas[[#This Row],[Data]])</f>
        <v>10</v>
      </c>
      <c r="F770">
        <f>YEAR(Tabela_ferias_folgas[[#This Row],[Data]])</f>
        <v>2023</v>
      </c>
      <c r="G770" t="str">
        <f>Tabela_ferias_folgas[[#This Row],[Médico]]&amp;" - "&amp;Tabela_ferias_folgas[[#This Row],[Compromisso]]</f>
        <v>VIV - FÉRIAS</v>
      </c>
    </row>
    <row r="771" spans="1:7" x14ac:dyDescent="0.3">
      <c r="A771" t="s">
        <v>142</v>
      </c>
      <c r="B771" t="s">
        <v>464</v>
      </c>
      <c r="C771" s="1">
        <v>45226</v>
      </c>
      <c r="D771">
        <f>DAY(Tabela_ferias_folgas[[#This Row],[Data]])</f>
        <v>27</v>
      </c>
      <c r="E771">
        <f>MONTH(Tabela_ferias_folgas[[#This Row],[Data]])</f>
        <v>10</v>
      </c>
      <c r="F771">
        <f>YEAR(Tabela_ferias_folgas[[#This Row],[Data]])</f>
        <v>2023</v>
      </c>
      <c r="G771" t="str">
        <f>Tabela_ferias_folgas[[#This Row],[Médico]]&amp;" - "&amp;Tabela_ferias_folgas[[#This Row],[Compromisso]]</f>
        <v>VIV - FÉRIAS</v>
      </c>
    </row>
    <row r="772" spans="1:7" x14ac:dyDescent="0.3">
      <c r="A772" t="s">
        <v>142</v>
      </c>
      <c r="B772" t="s">
        <v>464</v>
      </c>
      <c r="C772" s="1">
        <v>45227</v>
      </c>
      <c r="D772">
        <f>DAY(Tabela_ferias_folgas[[#This Row],[Data]])</f>
        <v>28</v>
      </c>
      <c r="E772">
        <f>MONTH(Tabela_ferias_folgas[[#This Row],[Data]])</f>
        <v>10</v>
      </c>
      <c r="F772">
        <f>YEAR(Tabela_ferias_folgas[[#This Row],[Data]])</f>
        <v>2023</v>
      </c>
      <c r="G772" t="str">
        <f>Tabela_ferias_folgas[[#This Row],[Médico]]&amp;" - "&amp;Tabela_ferias_folgas[[#This Row],[Compromisso]]</f>
        <v>VIV - FÉRIAS</v>
      </c>
    </row>
    <row r="773" spans="1:7" x14ac:dyDescent="0.3">
      <c r="A773" t="s">
        <v>142</v>
      </c>
      <c r="B773" t="s">
        <v>464</v>
      </c>
      <c r="C773" s="1">
        <v>45228</v>
      </c>
      <c r="D773">
        <f>DAY(Tabela_ferias_folgas[[#This Row],[Data]])</f>
        <v>29</v>
      </c>
      <c r="E773">
        <f>MONTH(Tabela_ferias_folgas[[#This Row],[Data]])</f>
        <v>10</v>
      </c>
      <c r="F773">
        <f>YEAR(Tabela_ferias_folgas[[#This Row],[Data]])</f>
        <v>2023</v>
      </c>
      <c r="G773" t="str">
        <f>Tabela_ferias_folgas[[#This Row],[Médico]]&amp;" - "&amp;Tabela_ferias_folgas[[#This Row],[Compromisso]]</f>
        <v>VIV - FÉRIAS</v>
      </c>
    </row>
    <row r="774" spans="1:7" x14ac:dyDescent="0.3">
      <c r="A774" t="s">
        <v>142</v>
      </c>
      <c r="B774" t="s">
        <v>464</v>
      </c>
      <c r="C774" s="1">
        <v>45229</v>
      </c>
      <c r="D774">
        <f>DAY(Tabela_ferias_folgas[[#This Row],[Data]])</f>
        <v>30</v>
      </c>
      <c r="E774">
        <f>MONTH(Tabela_ferias_folgas[[#This Row],[Data]])</f>
        <v>10</v>
      </c>
      <c r="F774">
        <f>YEAR(Tabela_ferias_folgas[[#This Row],[Data]])</f>
        <v>2023</v>
      </c>
      <c r="G774" t="str">
        <f>Tabela_ferias_folgas[[#This Row],[Médico]]&amp;" - "&amp;Tabela_ferias_folgas[[#This Row],[Compromisso]]</f>
        <v>VIV - FÉRIAS</v>
      </c>
    </row>
    <row r="775" spans="1:7" x14ac:dyDescent="0.3">
      <c r="A775" t="s">
        <v>73</v>
      </c>
      <c r="B775" t="s">
        <v>464</v>
      </c>
      <c r="C775" s="1">
        <v>45208</v>
      </c>
      <c r="D775">
        <f>DAY(Tabela_ferias_folgas[[#This Row],[Data]])</f>
        <v>9</v>
      </c>
      <c r="E775">
        <f>MONTH(Tabela_ferias_folgas[[#This Row],[Data]])</f>
        <v>10</v>
      </c>
      <c r="F775">
        <f>YEAR(Tabela_ferias_folgas[[#This Row],[Data]])</f>
        <v>2023</v>
      </c>
      <c r="G775" t="str">
        <f>Tabela_ferias_folgas[[#This Row],[Médico]]&amp;" - "&amp;Tabela_ferias_folgas[[#This Row],[Compromisso]]</f>
        <v>RT - FÉRIAS</v>
      </c>
    </row>
    <row r="776" spans="1:7" x14ac:dyDescent="0.3">
      <c r="A776" t="s">
        <v>73</v>
      </c>
      <c r="B776" t="s">
        <v>464</v>
      </c>
      <c r="C776" s="1">
        <v>45209</v>
      </c>
      <c r="D776">
        <f>DAY(Tabela_ferias_folgas[[#This Row],[Data]])</f>
        <v>10</v>
      </c>
      <c r="E776">
        <f>MONTH(Tabela_ferias_folgas[[#This Row],[Data]])</f>
        <v>10</v>
      </c>
      <c r="F776">
        <f>YEAR(Tabela_ferias_folgas[[#This Row],[Data]])</f>
        <v>2023</v>
      </c>
      <c r="G776" t="str">
        <f>Tabela_ferias_folgas[[#This Row],[Médico]]&amp;" - "&amp;Tabela_ferias_folgas[[#This Row],[Compromisso]]</f>
        <v>RT - FÉRIAS</v>
      </c>
    </row>
    <row r="777" spans="1:7" x14ac:dyDescent="0.3">
      <c r="A777" t="s">
        <v>73</v>
      </c>
      <c r="B777" t="s">
        <v>464</v>
      </c>
      <c r="C777" s="1">
        <v>45210</v>
      </c>
      <c r="D777">
        <f>DAY(Tabela_ferias_folgas[[#This Row],[Data]])</f>
        <v>11</v>
      </c>
      <c r="E777">
        <f>MONTH(Tabela_ferias_folgas[[#This Row],[Data]])</f>
        <v>10</v>
      </c>
      <c r="F777">
        <f>YEAR(Tabela_ferias_folgas[[#This Row],[Data]])</f>
        <v>2023</v>
      </c>
      <c r="G777" t="str">
        <f>Tabela_ferias_folgas[[#This Row],[Médico]]&amp;" - "&amp;Tabela_ferias_folgas[[#This Row],[Compromisso]]</f>
        <v>RT - FÉRIAS</v>
      </c>
    </row>
    <row r="778" spans="1:7" x14ac:dyDescent="0.3">
      <c r="A778" t="s">
        <v>73</v>
      </c>
      <c r="B778" t="s">
        <v>464</v>
      </c>
      <c r="C778" s="1">
        <v>45211</v>
      </c>
      <c r="D778">
        <f>DAY(Tabela_ferias_folgas[[#This Row],[Data]])</f>
        <v>12</v>
      </c>
      <c r="E778">
        <f>MONTH(Tabela_ferias_folgas[[#This Row],[Data]])</f>
        <v>10</v>
      </c>
      <c r="F778">
        <f>YEAR(Tabela_ferias_folgas[[#This Row],[Data]])</f>
        <v>2023</v>
      </c>
      <c r="G778" t="str">
        <f>Tabela_ferias_folgas[[#This Row],[Médico]]&amp;" - "&amp;Tabela_ferias_folgas[[#This Row],[Compromisso]]</f>
        <v>RT - FÉRIAS</v>
      </c>
    </row>
    <row r="779" spans="1:7" x14ac:dyDescent="0.3">
      <c r="A779" t="s">
        <v>73</v>
      </c>
      <c r="B779" t="s">
        <v>464</v>
      </c>
      <c r="C779" s="1">
        <v>45212</v>
      </c>
      <c r="D779">
        <f>DAY(Tabela_ferias_folgas[[#This Row],[Data]])</f>
        <v>13</v>
      </c>
      <c r="E779">
        <f>MONTH(Tabela_ferias_folgas[[#This Row],[Data]])</f>
        <v>10</v>
      </c>
      <c r="F779">
        <f>YEAR(Tabela_ferias_folgas[[#This Row],[Data]])</f>
        <v>2023</v>
      </c>
      <c r="G779" t="str">
        <f>Tabela_ferias_folgas[[#This Row],[Médico]]&amp;" - "&amp;Tabela_ferias_folgas[[#This Row],[Compromisso]]</f>
        <v>RT - FÉRIAS</v>
      </c>
    </row>
    <row r="780" spans="1:7" x14ac:dyDescent="0.3">
      <c r="A780" t="s">
        <v>73</v>
      </c>
      <c r="B780" t="s">
        <v>464</v>
      </c>
      <c r="C780" s="1">
        <v>45213</v>
      </c>
      <c r="D780">
        <f>DAY(Tabela_ferias_folgas[[#This Row],[Data]])</f>
        <v>14</v>
      </c>
      <c r="E780">
        <f>MONTH(Tabela_ferias_folgas[[#This Row],[Data]])</f>
        <v>10</v>
      </c>
      <c r="F780">
        <f>YEAR(Tabela_ferias_folgas[[#This Row],[Data]])</f>
        <v>2023</v>
      </c>
      <c r="G780" t="str">
        <f>Tabela_ferias_folgas[[#This Row],[Médico]]&amp;" - "&amp;Tabela_ferias_folgas[[#This Row],[Compromisso]]</f>
        <v>RT - FÉRIAS</v>
      </c>
    </row>
    <row r="781" spans="1:7" x14ac:dyDescent="0.3">
      <c r="A781" t="s">
        <v>73</v>
      </c>
      <c r="B781" t="s">
        <v>464</v>
      </c>
      <c r="C781" s="1">
        <v>45214</v>
      </c>
      <c r="D781">
        <f>DAY(Tabela_ferias_folgas[[#This Row],[Data]])</f>
        <v>15</v>
      </c>
      <c r="E781">
        <f>MONTH(Tabela_ferias_folgas[[#This Row],[Data]])</f>
        <v>10</v>
      </c>
      <c r="F781">
        <f>YEAR(Tabela_ferias_folgas[[#This Row],[Data]])</f>
        <v>2023</v>
      </c>
      <c r="G781" t="str">
        <f>Tabela_ferias_folgas[[#This Row],[Médico]]&amp;" - "&amp;Tabela_ferias_folgas[[#This Row],[Compromisso]]</f>
        <v>RT - FÉRIAS</v>
      </c>
    </row>
    <row r="782" spans="1:7" x14ac:dyDescent="0.3">
      <c r="A782" t="s">
        <v>47</v>
      </c>
      <c r="B782" t="s">
        <v>608</v>
      </c>
      <c r="C782" s="1">
        <v>45210</v>
      </c>
      <c r="D782">
        <f>DAY(Tabela_ferias_folgas[[#This Row],[Data]])</f>
        <v>11</v>
      </c>
      <c r="E782">
        <f>MONTH(Tabela_ferias_folgas[[#This Row],[Data]])</f>
        <v>10</v>
      </c>
      <c r="F782">
        <f>YEAR(Tabela_ferias_folgas[[#This Row],[Data]])</f>
        <v>2023</v>
      </c>
      <c r="G782" t="str">
        <f>Tabela_ferias_folgas[[#This Row],[Médico]]&amp;" - "&amp;Tabela_ferias_folgas[[#This Row],[Compromisso]]</f>
        <v>VIN - CONGRESSO (ASA)</v>
      </c>
    </row>
    <row r="783" spans="1:7" x14ac:dyDescent="0.3">
      <c r="A783" t="s">
        <v>47</v>
      </c>
      <c r="B783" t="s">
        <v>608</v>
      </c>
      <c r="C783" s="1">
        <v>45211</v>
      </c>
      <c r="D783">
        <f>DAY(Tabela_ferias_folgas[[#This Row],[Data]])</f>
        <v>12</v>
      </c>
      <c r="E783">
        <f>MONTH(Tabela_ferias_folgas[[#This Row],[Data]])</f>
        <v>10</v>
      </c>
      <c r="F783">
        <f>YEAR(Tabela_ferias_folgas[[#This Row],[Data]])</f>
        <v>2023</v>
      </c>
      <c r="G783" t="str">
        <f>Tabela_ferias_folgas[[#This Row],[Médico]]&amp;" - "&amp;Tabela_ferias_folgas[[#This Row],[Compromisso]]</f>
        <v>VIN - CONGRESSO (ASA)</v>
      </c>
    </row>
    <row r="784" spans="1:7" x14ac:dyDescent="0.3">
      <c r="A784" t="s">
        <v>47</v>
      </c>
      <c r="B784" t="s">
        <v>608</v>
      </c>
      <c r="C784" s="1">
        <v>45212</v>
      </c>
      <c r="D784">
        <f>DAY(Tabela_ferias_folgas[[#This Row],[Data]])</f>
        <v>13</v>
      </c>
      <c r="E784">
        <f>MONTH(Tabela_ferias_folgas[[#This Row],[Data]])</f>
        <v>10</v>
      </c>
      <c r="F784">
        <f>YEAR(Tabela_ferias_folgas[[#This Row],[Data]])</f>
        <v>2023</v>
      </c>
      <c r="G784" t="str">
        <f>Tabela_ferias_folgas[[#This Row],[Médico]]&amp;" - "&amp;Tabela_ferias_folgas[[#This Row],[Compromisso]]</f>
        <v>VIN - CONGRESSO (ASA)</v>
      </c>
    </row>
    <row r="785" spans="1:7" x14ac:dyDescent="0.3">
      <c r="A785" t="s">
        <v>47</v>
      </c>
      <c r="B785" t="s">
        <v>608</v>
      </c>
      <c r="C785" s="1">
        <v>45213</v>
      </c>
      <c r="D785">
        <f>DAY(Tabela_ferias_folgas[[#This Row],[Data]])</f>
        <v>14</v>
      </c>
      <c r="E785">
        <f>MONTH(Tabela_ferias_folgas[[#This Row],[Data]])</f>
        <v>10</v>
      </c>
      <c r="F785">
        <f>YEAR(Tabela_ferias_folgas[[#This Row],[Data]])</f>
        <v>2023</v>
      </c>
      <c r="G785" t="str">
        <f>Tabela_ferias_folgas[[#This Row],[Médico]]&amp;" - "&amp;Tabela_ferias_folgas[[#This Row],[Compromisso]]</f>
        <v>VIN - CONGRESSO (ASA)</v>
      </c>
    </row>
    <row r="786" spans="1:7" x14ac:dyDescent="0.3">
      <c r="A786" t="s">
        <v>47</v>
      </c>
      <c r="B786" t="s">
        <v>608</v>
      </c>
      <c r="C786" s="1">
        <v>45214</v>
      </c>
      <c r="D786">
        <f>DAY(Tabela_ferias_folgas[[#This Row],[Data]])</f>
        <v>15</v>
      </c>
      <c r="E786">
        <f>MONTH(Tabela_ferias_folgas[[#This Row],[Data]])</f>
        <v>10</v>
      </c>
      <c r="F786">
        <f>YEAR(Tabela_ferias_folgas[[#This Row],[Data]])</f>
        <v>2023</v>
      </c>
      <c r="G786" t="str">
        <f>Tabela_ferias_folgas[[#This Row],[Médico]]&amp;" - "&amp;Tabela_ferias_folgas[[#This Row],[Compromisso]]</f>
        <v>VIN - CONGRESSO (ASA)</v>
      </c>
    </row>
    <row r="787" spans="1:7" x14ac:dyDescent="0.3">
      <c r="A787" t="s">
        <v>47</v>
      </c>
      <c r="B787" t="s">
        <v>608</v>
      </c>
      <c r="C787" s="1">
        <v>45215</v>
      </c>
      <c r="D787">
        <f>DAY(Tabela_ferias_folgas[[#This Row],[Data]])</f>
        <v>16</v>
      </c>
      <c r="E787">
        <f>MONTH(Tabela_ferias_folgas[[#This Row],[Data]])</f>
        <v>10</v>
      </c>
      <c r="F787">
        <f>YEAR(Tabela_ferias_folgas[[#This Row],[Data]])</f>
        <v>2023</v>
      </c>
      <c r="G787" t="str">
        <f>Tabela_ferias_folgas[[#This Row],[Médico]]&amp;" - "&amp;Tabela_ferias_folgas[[#This Row],[Compromisso]]</f>
        <v>VIN - CONGRESSO (ASA)</v>
      </c>
    </row>
    <row r="788" spans="1:7" x14ac:dyDescent="0.3">
      <c r="A788" t="s">
        <v>47</v>
      </c>
      <c r="B788" t="s">
        <v>608</v>
      </c>
      <c r="C788" s="1">
        <v>45216</v>
      </c>
      <c r="D788">
        <f>DAY(Tabela_ferias_folgas[[#This Row],[Data]])</f>
        <v>17</v>
      </c>
      <c r="E788">
        <f>MONTH(Tabela_ferias_folgas[[#This Row],[Data]])</f>
        <v>10</v>
      </c>
      <c r="F788">
        <f>YEAR(Tabela_ferias_folgas[[#This Row],[Data]])</f>
        <v>2023</v>
      </c>
      <c r="G788" t="str">
        <f>Tabela_ferias_folgas[[#This Row],[Médico]]&amp;" - "&amp;Tabela_ferias_folgas[[#This Row],[Compromisso]]</f>
        <v>VIN - CONGRESSO (ASA)</v>
      </c>
    </row>
    <row r="789" spans="1:7" x14ac:dyDescent="0.3">
      <c r="A789" t="s">
        <v>47</v>
      </c>
      <c r="B789" t="s">
        <v>608</v>
      </c>
      <c r="C789" s="1">
        <v>45217</v>
      </c>
      <c r="D789">
        <f>DAY(Tabela_ferias_folgas[[#This Row],[Data]])</f>
        <v>18</v>
      </c>
      <c r="E789">
        <f>MONTH(Tabela_ferias_folgas[[#This Row],[Data]])</f>
        <v>10</v>
      </c>
      <c r="F789">
        <f>YEAR(Tabela_ferias_folgas[[#This Row],[Data]])</f>
        <v>2023</v>
      </c>
      <c r="G789" t="str">
        <f>Tabela_ferias_folgas[[#This Row],[Médico]]&amp;" - "&amp;Tabela_ferias_folgas[[#This Row],[Compromisso]]</f>
        <v>VIN - CONGRESSO (ASA)</v>
      </c>
    </row>
    <row r="790" spans="1:7" x14ac:dyDescent="0.3">
      <c r="A790" t="s">
        <v>44</v>
      </c>
      <c r="B790" t="s">
        <v>464</v>
      </c>
      <c r="C790" s="1">
        <v>45216</v>
      </c>
      <c r="D790">
        <f>DAY(Tabela_ferias_folgas[[#This Row],[Data]])</f>
        <v>17</v>
      </c>
      <c r="E790">
        <f>MONTH(Tabela_ferias_folgas[[#This Row],[Data]])</f>
        <v>10</v>
      </c>
      <c r="F790">
        <f>YEAR(Tabela_ferias_folgas[[#This Row],[Data]])</f>
        <v>2023</v>
      </c>
      <c r="G790" t="str">
        <f>Tabela_ferias_folgas[[#This Row],[Médico]]&amp;" - "&amp;Tabela_ferias_folgas[[#This Row],[Compromisso]]</f>
        <v>REI - FÉRIAS</v>
      </c>
    </row>
    <row r="791" spans="1:7" x14ac:dyDescent="0.3">
      <c r="A791" t="s">
        <v>44</v>
      </c>
      <c r="B791" t="s">
        <v>464</v>
      </c>
      <c r="C791" s="1">
        <v>45217</v>
      </c>
      <c r="D791">
        <f>DAY(Tabela_ferias_folgas[[#This Row],[Data]])</f>
        <v>18</v>
      </c>
      <c r="E791">
        <f>MONTH(Tabela_ferias_folgas[[#This Row],[Data]])</f>
        <v>10</v>
      </c>
      <c r="F791">
        <f>YEAR(Tabela_ferias_folgas[[#This Row],[Data]])</f>
        <v>2023</v>
      </c>
      <c r="G791" t="str">
        <f>Tabela_ferias_folgas[[#This Row],[Médico]]&amp;" - "&amp;Tabela_ferias_folgas[[#This Row],[Compromisso]]</f>
        <v>REI - FÉRIAS</v>
      </c>
    </row>
    <row r="792" spans="1:7" x14ac:dyDescent="0.3">
      <c r="A792" t="s">
        <v>44</v>
      </c>
      <c r="B792" t="s">
        <v>464</v>
      </c>
      <c r="C792" s="1">
        <v>45218</v>
      </c>
      <c r="D792">
        <f>DAY(Tabela_ferias_folgas[[#This Row],[Data]])</f>
        <v>19</v>
      </c>
      <c r="E792">
        <f>MONTH(Tabela_ferias_folgas[[#This Row],[Data]])</f>
        <v>10</v>
      </c>
      <c r="F792">
        <f>YEAR(Tabela_ferias_folgas[[#This Row],[Data]])</f>
        <v>2023</v>
      </c>
      <c r="G792" t="str">
        <f>Tabela_ferias_folgas[[#This Row],[Médico]]&amp;" - "&amp;Tabela_ferias_folgas[[#This Row],[Compromisso]]</f>
        <v>REI - FÉRIAS</v>
      </c>
    </row>
    <row r="793" spans="1:7" x14ac:dyDescent="0.3">
      <c r="A793" t="s">
        <v>44</v>
      </c>
      <c r="B793" t="s">
        <v>464</v>
      </c>
      <c r="C793" s="1">
        <v>45219</v>
      </c>
      <c r="D793">
        <f>DAY(Tabela_ferias_folgas[[#This Row],[Data]])</f>
        <v>20</v>
      </c>
      <c r="E793">
        <f>MONTH(Tabela_ferias_folgas[[#This Row],[Data]])</f>
        <v>10</v>
      </c>
      <c r="F793">
        <f>YEAR(Tabela_ferias_folgas[[#This Row],[Data]])</f>
        <v>2023</v>
      </c>
      <c r="G793" t="str">
        <f>Tabela_ferias_folgas[[#This Row],[Médico]]&amp;" - "&amp;Tabela_ferias_folgas[[#This Row],[Compromisso]]</f>
        <v>REI - FÉRIAS</v>
      </c>
    </row>
    <row r="794" spans="1:7" x14ac:dyDescent="0.3">
      <c r="A794" t="s">
        <v>44</v>
      </c>
      <c r="B794" t="s">
        <v>464</v>
      </c>
      <c r="C794" s="1">
        <v>45220</v>
      </c>
      <c r="D794">
        <f>DAY(Tabela_ferias_folgas[[#This Row],[Data]])</f>
        <v>21</v>
      </c>
      <c r="E794">
        <f>MONTH(Tabela_ferias_folgas[[#This Row],[Data]])</f>
        <v>10</v>
      </c>
      <c r="F794">
        <f>YEAR(Tabela_ferias_folgas[[#This Row],[Data]])</f>
        <v>2023</v>
      </c>
      <c r="G794" t="str">
        <f>Tabela_ferias_folgas[[#This Row],[Médico]]&amp;" - "&amp;Tabela_ferias_folgas[[#This Row],[Compromisso]]</f>
        <v>REI - FÉRIAS</v>
      </c>
    </row>
    <row r="795" spans="1:7" x14ac:dyDescent="0.3">
      <c r="A795" t="s">
        <v>44</v>
      </c>
      <c r="B795" t="s">
        <v>464</v>
      </c>
      <c r="C795" s="1">
        <v>45221</v>
      </c>
      <c r="D795">
        <f>DAY(Tabela_ferias_folgas[[#This Row],[Data]])</f>
        <v>22</v>
      </c>
      <c r="E795">
        <f>MONTH(Tabela_ferias_folgas[[#This Row],[Data]])</f>
        <v>10</v>
      </c>
      <c r="F795">
        <f>YEAR(Tabela_ferias_folgas[[#This Row],[Data]])</f>
        <v>2023</v>
      </c>
      <c r="G795" t="str">
        <f>Tabela_ferias_folgas[[#This Row],[Médico]]&amp;" - "&amp;Tabela_ferias_folgas[[#This Row],[Compromisso]]</f>
        <v>REI - FÉRIAS</v>
      </c>
    </row>
    <row r="796" spans="1:7" x14ac:dyDescent="0.3">
      <c r="A796" t="s">
        <v>44</v>
      </c>
      <c r="B796" t="s">
        <v>464</v>
      </c>
      <c r="C796" s="1">
        <v>45222</v>
      </c>
      <c r="D796">
        <f>DAY(Tabela_ferias_folgas[[#This Row],[Data]])</f>
        <v>23</v>
      </c>
      <c r="E796">
        <f>MONTH(Tabela_ferias_folgas[[#This Row],[Data]])</f>
        <v>10</v>
      </c>
      <c r="F796">
        <f>YEAR(Tabela_ferias_folgas[[#This Row],[Data]])</f>
        <v>2023</v>
      </c>
      <c r="G796" t="str">
        <f>Tabela_ferias_folgas[[#This Row],[Médico]]&amp;" - "&amp;Tabela_ferias_folgas[[#This Row],[Compromisso]]</f>
        <v>REI - FÉRIAS</v>
      </c>
    </row>
    <row r="797" spans="1:7" x14ac:dyDescent="0.3">
      <c r="A797" t="s">
        <v>44</v>
      </c>
      <c r="B797" t="s">
        <v>464</v>
      </c>
      <c r="C797" s="1">
        <v>45223</v>
      </c>
      <c r="D797">
        <f>DAY(Tabela_ferias_folgas[[#This Row],[Data]])</f>
        <v>24</v>
      </c>
      <c r="E797">
        <f>MONTH(Tabela_ferias_folgas[[#This Row],[Data]])</f>
        <v>10</v>
      </c>
      <c r="F797">
        <f>YEAR(Tabela_ferias_folgas[[#This Row],[Data]])</f>
        <v>2023</v>
      </c>
      <c r="G797" t="str">
        <f>Tabela_ferias_folgas[[#This Row],[Médico]]&amp;" - "&amp;Tabela_ferias_folgas[[#This Row],[Compromisso]]</f>
        <v>REI - FÉRIAS</v>
      </c>
    </row>
    <row r="798" spans="1:7" x14ac:dyDescent="0.3">
      <c r="A798" t="s">
        <v>44</v>
      </c>
      <c r="B798" t="s">
        <v>464</v>
      </c>
      <c r="C798" s="1">
        <v>45224</v>
      </c>
      <c r="D798">
        <f>DAY(Tabela_ferias_folgas[[#This Row],[Data]])</f>
        <v>25</v>
      </c>
      <c r="E798">
        <f>MONTH(Tabela_ferias_folgas[[#This Row],[Data]])</f>
        <v>10</v>
      </c>
      <c r="F798">
        <f>YEAR(Tabela_ferias_folgas[[#This Row],[Data]])</f>
        <v>2023</v>
      </c>
      <c r="G798" t="str">
        <f>Tabela_ferias_folgas[[#This Row],[Médico]]&amp;" - "&amp;Tabela_ferias_folgas[[#This Row],[Compromisso]]</f>
        <v>REI - FÉRIAS</v>
      </c>
    </row>
    <row r="799" spans="1:7" x14ac:dyDescent="0.3">
      <c r="A799" t="s">
        <v>44</v>
      </c>
      <c r="B799" t="s">
        <v>464</v>
      </c>
      <c r="C799" s="1">
        <v>45225</v>
      </c>
      <c r="D799">
        <f>DAY(Tabela_ferias_folgas[[#This Row],[Data]])</f>
        <v>26</v>
      </c>
      <c r="E799">
        <f>MONTH(Tabela_ferias_folgas[[#This Row],[Data]])</f>
        <v>10</v>
      </c>
      <c r="F799">
        <f>YEAR(Tabela_ferias_folgas[[#This Row],[Data]])</f>
        <v>2023</v>
      </c>
      <c r="G799" t="str">
        <f>Tabela_ferias_folgas[[#This Row],[Médico]]&amp;" - "&amp;Tabela_ferias_folgas[[#This Row],[Compromisso]]</f>
        <v>REI - FÉRIAS</v>
      </c>
    </row>
    <row r="800" spans="1:7" x14ac:dyDescent="0.3">
      <c r="A800" t="s">
        <v>44</v>
      </c>
      <c r="B800" t="s">
        <v>464</v>
      </c>
      <c r="C800" s="1">
        <v>45226</v>
      </c>
      <c r="D800">
        <f>DAY(Tabela_ferias_folgas[[#This Row],[Data]])</f>
        <v>27</v>
      </c>
      <c r="E800">
        <f>MONTH(Tabela_ferias_folgas[[#This Row],[Data]])</f>
        <v>10</v>
      </c>
      <c r="F800">
        <f>YEAR(Tabela_ferias_folgas[[#This Row],[Data]])</f>
        <v>2023</v>
      </c>
      <c r="G800" t="str">
        <f>Tabela_ferias_folgas[[#This Row],[Médico]]&amp;" - "&amp;Tabela_ferias_folgas[[#This Row],[Compromisso]]</f>
        <v>REI - FÉRIAS</v>
      </c>
    </row>
    <row r="801" spans="1:7" x14ac:dyDescent="0.3">
      <c r="A801" t="s">
        <v>44</v>
      </c>
      <c r="B801" t="s">
        <v>464</v>
      </c>
      <c r="C801" s="1">
        <v>45227</v>
      </c>
      <c r="D801">
        <f>DAY(Tabela_ferias_folgas[[#This Row],[Data]])</f>
        <v>28</v>
      </c>
      <c r="E801">
        <f>MONTH(Tabela_ferias_folgas[[#This Row],[Data]])</f>
        <v>10</v>
      </c>
      <c r="F801">
        <f>YEAR(Tabela_ferias_folgas[[#This Row],[Data]])</f>
        <v>2023</v>
      </c>
      <c r="G801" t="str">
        <f>Tabela_ferias_folgas[[#This Row],[Médico]]&amp;" - "&amp;Tabela_ferias_folgas[[#This Row],[Compromisso]]</f>
        <v>REI - FÉRIAS</v>
      </c>
    </row>
    <row r="802" spans="1:7" x14ac:dyDescent="0.3">
      <c r="A802" t="s">
        <v>44</v>
      </c>
      <c r="B802" t="s">
        <v>464</v>
      </c>
      <c r="C802" s="1">
        <v>45228</v>
      </c>
      <c r="D802">
        <f>DAY(Tabela_ferias_folgas[[#This Row],[Data]])</f>
        <v>29</v>
      </c>
      <c r="E802">
        <f>MONTH(Tabela_ferias_folgas[[#This Row],[Data]])</f>
        <v>10</v>
      </c>
      <c r="F802">
        <f>YEAR(Tabela_ferias_folgas[[#This Row],[Data]])</f>
        <v>2023</v>
      </c>
      <c r="G802" t="str">
        <f>Tabela_ferias_folgas[[#This Row],[Médico]]&amp;" - "&amp;Tabela_ferias_folgas[[#This Row],[Compromisso]]</f>
        <v>REI - FÉRIAS</v>
      </c>
    </row>
    <row r="803" spans="1:7" x14ac:dyDescent="0.3">
      <c r="A803" t="s">
        <v>44</v>
      </c>
      <c r="B803" t="s">
        <v>464</v>
      </c>
      <c r="C803" s="1">
        <v>45229</v>
      </c>
      <c r="D803">
        <f>DAY(Tabela_ferias_folgas[[#This Row],[Data]])</f>
        <v>30</v>
      </c>
      <c r="E803">
        <f>MONTH(Tabela_ferias_folgas[[#This Row],[Data]])</f>
        <v>10</v>
      </c>
      <c r="F803">
        <f>YEAR(Tabela_ferias_folgas[[#This Row],[Data]])</f>
        <v>2023</v>
      </c>
      <c r="G803" t="str">
        <f>Tabela_ferias_folgas[[#This Row],[Médico]]&amp;" - "&amp;Tabela_ferias_folgas[[#This Row],[Compromisso]]</f>
        <v>REI - FÉRIAS</v>
      </c>
    </row>
    <row r="804" spans="1:7" x14ac:dyDescent="0.3">
      <c r="A804" t="s">
        <v>44</v>
      </c>
      <c r="B804" t="s">
        <v>464</v>
      </c>
      <c r="C804" s="1">
        <v>45230</v>
      </c>
      <c r="D804">
        <f>DAY(Tabela_ferias_folgas[[#This Row],[Data]])</f>
        <v>31</v>
      </c>
      <c r="E804">
        <f>MONTH(Tabela_ferias_folgas[[#This Row],[Data]])</f>
        <v>10</v>
      </c>
      <c r="F804">
        <f>YEAR(Tabela_ferias_folgas[[#This Row],[Data]])</f>
        <v>2023</v>
      </c>
      <c r="G804" t="str">
        <f>Tabela_ferias_folgas[[#This Row],[Médico]]&amp;" - "&amp;Tabela_ferias_folgas[[#This Row],[Compromisso]]</f>
        <v>REI - FÉRIAS</v>
      </c>
    </row>
    <row r="805" spans="1:7" x14ac:dyDescent="0.3">
      <c r="A805" t="s">
        <v>44</v>
      </c>
      <c r="B805" t="s">
        <v>464</v>
      </c>
      <c r="C805" s="1">
        <v>45231</v>
      </c>
      <c r="D805">
        <f>DAY(Tabela_ferias_folgas[[#This Row],[Data]])</f>
        <v>1</v>
      </c>
      <c r="E805">
        <f>MONTH(Tabela_ferias_folgas[[#This Row],[Data]])</f>
        <v>11</v>
      </c>
      <c r="F805">
        <f>YEAR(Tabela_ferias_folgas[[#This Row],[Data]])</f>
        <v>2023</v>
      </c>
      <c r="G805" t="str">
        <f>Tabela_ferias_folgas[[#This Row],[Médico]]&amp;" - "&amp;Tabela_ferias_folgas[[#This Row],[Compromisso]]</f>
        <v>REI - FÉRIAS</v>
      </c>
    </row>
    <row r="806" spans="1:7" x14ac:dyDescent="0.3">
      <c r="A806" t="s">
        <v>94</v>
      </c>
      <c r="B806" t="s">
        <v>464</v>
      </c>
      <c r="C806" s="1">
        <v>45222</v>
      </c>
      <c r="D806">
        <f>DAY(Tabela_ferias_folgas[[#This Row],[Data]])</f>
        <v>23</v>
      </c>
      <c r="E806">
        <f>MONTH(Tabela_ferias_folgas[[#This Row],[Data]])</f>
        <v>10</v>
      </c>
      <c r="F806">
        <f>YEAR(Tabela_ferias_folgas[[#This Row],[Data]])</f>
        <v>2023</v>
      </c>
      <c r="G806" t="str">
        <f>Tabela_ferias_folgas[[#This Row],[Médico]]&amp;" - "&amp;Tabela_ferias_folgas[[#This Row],[Compromisso]]</f>
        <v>TOT - FÉRIAS</v>
      </c>
    </row>
    <row r="807" spans="1:7" x14ac:dyDescent="0.3">
      <c r="A807" t="s">
        <v>94</v>
      </c>
      <c r="B807" t="s">
        <v>464</v>
      </c>
      <c r="C807" s="1">
        <v>45223</v>
      </c>
      <c r="D807">
        <f>DAY(Tabela_ferias_folgas[[#This Row],[Data]])</f>
        <v>24</v>
      </c>
      <c r="E807">
        <f>MONTH(Tabela_ferias_folgas[[#This Row],[Data]])</f>
        <v>10</v>
      </c>
      <c r="F807">
        <f>YEAR(Tabela_ferias_folgas[[#This Row],[Data]])</f>
        <v>2023</v>
      </c>
      <c r="G807" t="str">
        <f>Tabela_ferias_folgas[[#This Row],[Médico]]&amp;" - "&amp;Tabela_ferias_folgas[[#This Row],[Compromisso]]</f>
        <v>TOT - FÉRIAS</v>
      </c>
    </row>
    <row r="808" spans="1:7" x14ac:dyDescent="0.3">
      <c r="A808" t="s">
        <v>94</v>
      </c>
      <c r="B808" t="s">
        <v>464</v>
      </c>
      <c r="C808" s="1">
        <v>45224</v>
      </c>
      <c r="D808">
        <f>DAY(Tabela_ferias_folgas[[#This Row],[Data]])</f>
        <v>25</v>
      </c>
      <c r="E808">
        <f>MONTH(Tabela_ferias_folgas[[#This Row],[Data]])</f>
        <v>10</v>
      </c>
      <c r="F808">
        <f>YEAR(Tabela_ferias_folgas[[#This Row],[Data]])</f>
        <v>2023</v>
      </c>
      <c r="G808" t="str">
        <f>Tabela_ferias_folgas[[#This Row],[Médico]]&amp;" - "&amp;Tabela_ferias_folgas[[#This Row],[Compromisso]]</f>
        <v>TOT - FÉRIAS</v>
      </c>
    </row>
    <row r="809" spans="1:7" x14ac:dyDescent="0.3">
      <c r="A809" t="s">
        <v>94</v>
      </c>
      <c r="B809" t="s">
        <v>464</v>
      </c>
      <c r="C809" s="1">
        <v>45225</v>
      </c>
      <c r="D809">
        <f>DAY(Tabela_ferias_folgas[[#This Row],[Data]])</f>
        <v>26</v>
      </c>
      <c r="E809">
        <f>MONTH(Tabela_ferias_folgas[[#This Row],[Data]])</f>
        <v>10</v>
      </c>
      <c r="F809">
        <f>YEAR(Tabela_ferias_folgas[[#This Row],[Data]])</f>
        <v>2023</v>
      </c>
      <c r="G809" t="str">
        <f>Tabela_ferias_folgas[[#This Row],[Médico]]&amp;" - "&amp;Tabela_ferias_folgas[[#This Row],[Compromisso]]</f>
        <v>TOT - FÉRIAS</v>
      </c>
    </row>
    <row r="810" spans="1:7" x14ac:dyDescent="0.3">
      <c r="A810" t="s">
        <v>94</v>
      </c>
      <c r="B810" t="s">
        <v>464</v>
      </c>
      <c r="C810" s="1">
        <v>45226</v>
      </c>
      <c r="D810">
        <f>DAY(Tabela_ferias_folgas[[#This Row],[Data]])</f>
        <v>27</v>
      </c>
      <c r="E810">
        <f>MONTH(Tabela_ferias_folgas[[#This Row],[Data]])</f>
        <v>10</v>
      </c>
      <c r="F810">
        <f>YEAR(Tabela_ferias_folgas[[#This Row],[Data]])</f>
        <v>2023</v>
      </c>
      <c r="G810" t="str">
        <f>Tabela_ferias_folgas[[#This Row],[Médico]]&amp;" - "&amp;Tabela_ferias_folgas[[#This Row],[Compromisso]]</f>
        <v>TOT - FÉRIAS</v>
      </c>
    </row>
    <row r="811" spans="1:7" x14ac:dyDescent="0.3">
      <c r="A811" t="s">
        <v>47</v>
      </c>
      <c r="B811" t="s">
        <v>609</v>
      </c>
      <c r="C811" s="1">
        <v>45238</v>
      </c>
      <c r="D811">
        <f>DAY(Tabela_ferias_folgas[[#This Row],[Data]])</f>
        <v>8</v>
      </c>
      <c r="E811">
        <f>MONTH(Tabela_ferias_folgas[[#This Row],[Data]])</f>
        <v>11</v>
      </c>
      <c r="F811">
        <f>YEAR(Tabela_ferias_folgas[[#This Row],[Data]])</f>
        <v>2023</v>
      </c>
      <c r="G811" t="str">
        <f>Tabela_ferias_folgas[[#This Row],[Médico]]&amp;" - "&amp;Tabela_ferias_folgas[[#This Row],[Compromisso]]</f>
        <v>VIN - CONGRESSO (CBA)</v>
      </c>
    </row>
    <row r="812" spans="1:7" x14ac:dyDescent="0.3">
      <c r="A812" t="s">
        <v>47</v>
      </c>
      <c r="B812" t="s">
        <v>609</v>
      </c>
      <c r="C812" s="1">
        <v>45239</v>
      </c>
      <c r="D812">
        <f>DAY(Tabela_ferias_folgas[[#This Row],[Data]])</f>
        <v>9</v>
      </c>
      <c r="E812">
        <f>MONTH(Tabela_ferias_folgas[[#This Row],[Data]])</f>
        <v>11</v>
      </c>
      <c r="F812">
        <f>YEAR(Tabela_ferias_folgas[[#This Row],[Data]])</f>
        <v>2023</v>
      </c>
      <c r="G812" t="str">
        <f>Tabela_ferias_folgas[[#This Row],[Médico]]&amp;" - "&amp;Tabela_ferias_folgas[[#This Row],[Compromisso]]</f>
        <v>VIN - CONGRESSO (CBA)</v>
      </c>
    </row>
    <row r="813" spans="1:7" x14ac:dyDescent="0.3">
      <c r="A813" t="s">
        <v>47</v>
      </c>
      <c r="B813" t="s">
        <v>609</v>
      </c>
      <c r="C813" s="1">
        <v>45240</v>
      </c>
      <c r="D813">
        <f>DAY(Tabela_ferias_folgas[[#This Row],[Data]])</f>
        <v>10</v>
      </c>
      <c r="E813">
        <f>MONTH(Tabela_ferias_folgas[[#This Row],[Data]])</f>
        <v>11</v>
      </c>
      <c r="F813">
        <f>YEAR(Tabela_ferias_folgas[[#This Row],[Data]])</f>
        <v>2023</v>
      </c>
      <c r="G813" t="str">
        <f>Tabela_ferias_folgas[[#This Row],[Médico]]&amp;" - "&amp;Tabela_ferias_folgas[[#This Row],[Compromisso]]</f>
        <v>VIN - CONGRESSO (CBA)</v>
      </c>
    </row>
    <row r="814" spans="1:7" x14ac:dyDescent="0.3">
      <c r="A814" t="s">
        <v>47</v>
      </c>
      <c r="B814" t="s">
        <v>609</v>
      </c>
      <c r="C814" s="1">
        <v>45241</v>
      </c>
      <c r="D814">
        <f>DAY(Tabela_ferias_folgas[[#This Row],[Data]])</f>
        <v>11</v>
      </c>
      <c r="E814">
        <f>MONTH(Tabela_ferias_folgas[[#This Row],[Data]])</f>
        <v>11</v>
      </c>
      <c r="F814">
        <f>YEAR(Tabela_ferias_folgas[[#This Row],[Data]])</f>
        <v>2023</v>
      </c>
      <c r="G814" t="str">
        <f>Tabela_ferias_folgas[[#This Row],[Médico]]&amp;" - "&amp;Tabela_ferias_folgas[[#This Row],[Compromisso]]</f>
        <v>VIN - CONGRESSO (CBA)</v>
      </c>
    </row>
    <row r="815" spans="1:7" x14ac:dyDescent="0.3">
      <c r="A815" t="s">
        <v>47</v>
      </c>
      <c r="B815" t="s">
        <v>609</v>
      </c>
      <c r="C815" s="1">
        <v>45242</v>
      </c>
      <c r="D815">
        <f>DAY(Tabela_ferias_folgas[[#This Row],[Data]])</f>
        <v>12</v>
      </c>
      <c r="E815">
        <f>MONTH(Tabela_ferias_folgas[[#This Row],[Data]])</f>
        <v>11</v>
      </c>
      <c r="F815">
        <f>YEAR(Tabela_ferias_folgas[[#This Row],[Data]])</f>
        <v>2023</v>
      </c>
      <c r="G815" t="str">
        <f>Tabela_ferias_folgas[[#This Row],[Médico]]&amp;" - "&amp;Tabela_ferias_folgas[[#This Row],[Compromisso]]</f>
        <v>VIN - CONGRESSO (CBA)</v>
      </c>
    </row>
    <row r="816" spans="1:7" x14ac:dyDescent="0.3">
      <c r="A816" t="s">
        <v>47</v>
      </c>
      <c r="B816" t="s">
        <v>609</v>
      </c>
      <c r="C816" s="1">
        <v>45243</v>
      </c>
      <c r="D816">
        <f>DAY(Tabela_ferias_folgas[[#This Row],[Data]])</f>
        <v>13</v>
      </c>
      <c r="E816">
        <f>MONTH(Tabela_ferias_folgas[[#This Row],[Data]])</f>
        <v>11</v>
      </c>
      <c r="F816">
        <f>YEAR(Tabela_ferias_folgas[[#This Row],[Data]])</f>
        <v>2023</v>
      </c>
      <c r="G816" t="str">
        <f>Tabela_ferias_folgas[[#This Row],[Médico]]&amp;" - "&amp;Tabela_ferias_folgas[[#This Row],[Compromisso]]</f>
        <v>VIN - CONGRESSO (CBA)</v>
      </c>
    </row>
    <row r="817" spans="1:7" x14ac:dyDescent="0.3">
      <c r="A817" t="s">
        <v>47</v>
      </c>
      <c r="B817" t="s">
        <v>609</v>
      </c>
      <c r="C817" s="1">
        <v>45244</v>
      </c>
      <c r="D817">
        <f>DAY(Tabela_ferias_folgas[[#This Row],[Data]])</f>
        <v>14</v>
      </c>
      <c r="E817">
        <f>MONTH(Tabela_ferias_folgas[[#This Row],[Data]])</f>
        <v>11</v>
      </c>
      <c r="F817">
        <f>YEAR(Tabela_ferias_folgas[[#This Row],[Data]])</f>
        <v>2023</v>
      </c>
      <c r="G817" t="str">
        <f>Tabela_ferias_folgas[[#This Row],[Médico]]&amp;" - "&amp;Tabela_ferias_folgas[[#This Row],[Compromisso]]</f>
        <v>VIN - CONGRESSO (CBA)</v>
      </c>
    </row>
    <row r="818" spans="1:7" x14ac:dyDescent="0.3">
      <c r="A818" t="s">
        <v>47</v>
      </c>
      <c r="B818" t="s">
        <v>609</v>
      </c>
      <c r="C818" s="1">
        <v>45245</v>
      </c>
      <c r="D818">
        <f>DAY(Tabela_ferias_folgas[[#This Row],[Data]])</f>
        <v>15</v>
      </c>
      <c r="E818">
        <f>MONTH(Tabela_ferias_folgas[[#This Row],[Data]])</f>
        <v>11</v>
      </c>
      <c r="F818">
        <f>YEAR(Tabela_ferias_folgas[[#This Row],[Data]])</f>
        <v>2023</v>
      </c>
      <c r="G818" t="str">
        <f>Tabela_ferias_folgas[[#This Row],[Médico]]&amp;" - "&amp;Tabela_ferias_folgas[[#This Row],[Compromisso]]</f>
        <v>VIN - CONGRESSO (CBA)</v>
      </c>
    </row>
    <row r="819" spans="1:7" x14ac:dyDescent="0.3">
      <c r="A819" t="s">
        <v>71</v>
      </c>
      <c r="B819" t="s">
        <v>464</v>
      </c>
      <c r="C819" s="1">
        <v>45257</v>
      </c>
      <c r="D819">
        <f>DAY(Tabela_ferias_folgas[[#This Row],[Data]])</f>
        <v>27</v>
      </c>
      <c r="E819">
        <f>MONTH(Tabela_ferias_folgas[[#This Row],[Data]])</f>
        <v>11</v>
      </c>
      <c r="F819">
        <f>YEAR(Tabela_ferias_folgas[[#This Row],[Data]])</f>
        <v>2023</v>
      </c>
      <c r="G819" t="str">
        <f>Tabela_ferias_folgas[[#This Row],[Médico]]&amp;" - "&amp;Tabela_ferias_folgas[[#This Row],[Compromisso]]</f>
        <v>BRU - FÉRIAS</v>
      </c>
    </row>
    <row r="820" spans="1:7" x14ac:dyDescent="0.3">
      <c r="A820" t="s">
        <v>71</v>
      </c>
      <c r="B820" t="s">
        <v>464</v>
      </c>
      <c r="C820" s="1">
        <v>45258</v>
      </c>
      <c r="D820">
        <f>DAY(Tabela_ferias_folgas[[#This Row],[Data]])</f>
        <v>28</v>
      </c>
      <c r="E820">
        <f>MONTH(Tabela_ferias_folgas[[#This Row],[Data]])</f>
        <v>11</v>
      </c>
      <c r="F820">
        <f>YEAR(Tabela_ferias_folgas[[#This Row],[Data]])</f>
        <v>2023</v>
      </c>
      <c r="G820" t="str">
        <f>Tabela_ferias_folgas[[#This Row],[Médico]]&amp;" - "&amp;Tabela_ferias_folgas[[#This Row],[Compromisso]]</f>
        <v>BRU - FÉRIAS</v>
      </c>
    </row>
    <row r="821" spans="1:7" x14ac:dyDescent="0.3">
      <c r="A821" t="s">
        <v>71</v>
      </c>
      <c r="B821" t="s">
        <v>464</v>
      </c>
      <c r="C821" s="1">
        <v>45259</v>
      </c>
      <c r="D821">
        <f>DAY(Tabela_ferias_folgas[[#This Row],[Data]])</f>
        <v>29</v>
      </c>
      <c r="E821">
        <f>MONTH(Tabela_ferias_folgas[[#This Row],[Data]])</f>
        <v>11</v>
      </c>
      <c r="F821">
        <f>YEAR(Tabela_ferias_folgas[[#This Row],[Data]])</f>
        <v>2023</v>
      </c>
      <c r="G821" t="str">
        <f>Tabela_ferias_folgas[[#This Row],[Médico]]&amp;" - "&amp;Tabela_ferias_folgas[[#This Row],[Compromisso]]</f>
        <v>BRU - FÉRIAS</v>
      </c>
    </row>
    <row r="822" spans="1:7" x14ac:dyDescent="0.3">
      <c r="A822" t="s">
        <v>71</v>
      </c>
      <c r="B822" t="s">
        <v>464</v>
      </c>
      <c r="C822" s="1">
        <v>45260</v>
      </c>
      <c r="D822">
        <f>DAY(Tabela_ferias_folgas[[#This Row],[Data]])</f>
        <v>30</v>
      </c>
      <c r="E822">
        <f>MONTH(Tabela_ferias_folgas[[#This Row],[Data]])</f>
        <v>11</v>
      </c>
      <c r="F822">
        <f>YEAR(Tabela_ferias_folgas[[#This Row],[Data]])</f>
        <v>2023</v>
      </c>
      <c r="G822" t="str">
        <f>Tabela_ferias_folgas[[#This Row],[Médico]]&amp;" - "&amp;Tabela_ferias_folgas[[#This Row],[Compromisso]]</f>
        <v>BRU - FÉRIAS</v>
      </c>
    </row>
    <row r="823" spans="1:7" x14ac:dyDescent="0.3">
      <c r="A823" t="s">
        <v>71</v>
      </c>
      <c r="B823" t="s">
        <v>464</v>
      </c>
      <c r="C823" s="1">
        <v>45261</v>
      </c>
      <c r="D823">
        <f>DAY(Tabela_ferias_folgas[[#This Row],[Data]])</f>
        <v>1</v>
      </c>
      <c r="E823">
        <f>MONTH(Tabela_ferias_folgas[[#This Row],[Data]])</f>
        <v>12</v>
      </c>
      <c r="F823">
        <f>YEAR(Tabela_ferias_folgas[[#This Row],[Data]])</f>
        <v>2023</v>
      </c>
      <c r="G823" t="str">
        <f>Tabela_ferias_folgas[[#This Row],[Médico]]&amp;" - "&amp;Tabela_ferias_folgas[[#This Row],[Compromisso]]</f>
        <v>BRU - FÉRIAS</v>
      </c>
    </row>
    <row r="824" spans="1:7" x14ac:dyDescent="0.3">
      <c r="A824" t="s">
        <v>71</v>
      </c>
      <c r="B824" t="s">
        <v>464</v>
      </c>
      <c r="C824" s="1">
        <v>45262</v>
      </c>
      <c r="D824">
        <f>DAY(Tabela_ferias_folgas[[#This Row],[Data]])</f>
        <v>2</v>
      </c>
      <c r="E824">
        <f>MONTH(Tabela_ferias_folgas[[#This Row],[Data]])</f>
        <v>12</v>
      </c>
      <c r="F824">
        <f>YEAR(Tabela_ferias_folgas[[#This Row],[Data]])</f>
        <v>2023</v>
      </c>
      <c r="G824" t="str">
        <f>Tabela_ferias_folgas[[#This Row],[Médico]]&amp;" - "&amp;Tabela_ferias_folgas[[#This Row],[Compromisso]]</f>
        <v>BRU - FÉRIAS</v>
      </c>
    </row>
    <row r="825" spans="1:7" x14ac:dyDescent="0.3">
      <c r="A825" t="s">
        <v>71</v>
      </c>
      <c r="B825" t="s">
        <v>464</v>
      </c>
      <c r="C825" s="1">
        <v>45263</v>
      </c>
      <c r="D825">
        <f>DAY(Tabela_ferias_folgas[[#This Row],[Data]])</f>
        <v>3</v>
      </c>
      <c r="E825">
        <f>MONTH(Tabela_ferias_folgas[[#This Row],[Data]])</f>
        <v>12</v>
      </c>
      <c r="F825">
        <f>YEAR(Tabela_ferias_folgas[[#This Row],[Data]])</f>
        <v>2023</v>
      </c>
      <c r="G825" t="str">
        <f>Tabela_ferias_folgas[[#This Row],[Médico]]&amp;" - "&amp;Tabela_ferias_folgas[[#This Row],[Compromisso]]</f>
        <v>BRU - FÉRIAS</v>
      </c>
    </row>
    <row r="826" spans="1:7" x14ac:dyDescent="0.3">
      <c r="A826" t="s">
        <v>71</v>
      </c>
      <c r="B826" t="s">
        <v>464</v>
      </c>
      <c r="C826" s="1">
        <v>45264</v>
      </c>
      <c r="D826">
        <f>DAY(Tabela_ferias_folgas[[#This Row],[Data]])</f>
        <v>4</v>
      </c>
      <c r="E826">
        <f>MONTH(Tabela_ferias_folgas[[#This Row],[Data]])</f>
        <v>12</v>
      </c>
      <c r="F826">
        <f>YEAR(Tabela_ferias_folgas[[#This Row],[Data]])</f>
        <v>2023</v>
      </c>
      <c r="G826" t="str">
        <f>Tabela_ferias_folgas[[#This Row],[Médico]]&amp;" - "&amp;Tabela_ferias_folgas[[#This Row],[Compromisso]]</f>
        <v>BRU - FÉRIAS</v>
      </c>
    </row>
    <row r="827" spans="1:7" x14ac:dyDescent="0.3">
      <c r="A827" t="s">
        <v>71</v>
      </c>
      <c r="B827" t="s">
        <v>464</v>
      </c>
      <c r="C827" s="1">
        <v>45265</v>
      </c>
      <c r="D827">
        <f>DAY(Tabela_ferias_folgas[[#This Row],[Data]])</f>
        <v>5</v>
      </c>
      <c r="E827">
        <f>MONTH(Tabela_ferias_folgas[[#This Row],[Data]])</f>
        <v>12</v>
      </c>
      <c r="F827">
        <f>YEAR(Tabela_ferias_folgas[[#This Row],[Data]])</f>
        <v>2023</v>
      </c>
      <c r="G827" t="str">
        <f>Tabela_ferias_folgas[[#This Row],[Médico]]&amp;" - "&amp;Tabela_ferias_folgas[[#This Row],[Compromisso]]</f>
        <v>BRU - FÉRIAS</v>
      </c>
    </row>
    <row r="828" spans="1:7" x14ac:dyDescent="0.3">
      <c r="A828" t="s">
        <v>71</v>
      </c>
      <c r="B828" t="s">
        <v>464</v>
      </c>
      <c r="C828" s="1">
        <v>45266</v>
      </c>
      <c r="D828">
        <f>DAY(Tabela_ferias_folgas[[#This Row],[Data]])</f>
        <v>6</v>
      </c>
      <c r="E828">
        <f>MONTH(Tabela_ferias_folgas[[#This Row],[Data]])</f>
        <v>12</v>
      </c>
      <c r="F828">
        <f>YEAR(Tabela_ferias_folgas[[#This Row],[Data]])</f>
        <v>2023</v>
      </c>
      <c r="G828" t="str">
        <f>Tabela_ferias_folgas[[#This Row],[Médico]]&amp;" - "&amp;Tabela_ferias_folgas[[#This Row],[Compromisso]]</f>
        <v>BRU - FÉRIAS</v>
      </c>
    </row>
    <row r="829" spans="1:7" x14ac:dyDescent="0.3">
      <c r="A829" t="s">
        <v>71</v>
      </c>
      <c r="B829" t="s">
        <v>464</v>
      </c>
      <c r="C829" s="1">
        <v>45267</v>
      </c>
      <c r="D829">
        <f>DAY(Tabela_ferias_folgas[[#This Row],[Data]])</f>
        <v>7</v>
      </c>
      <c r="E829">
        <f>MONTH(Tabela_ferias_folgas[[#This Row],[Data]])</f>
        <v>12</v>
      </c>
      <c r="F829">
        <f>YEAR(Tabela_ferias_folgas[[#This Row],[Data]])</f>
        <v>2023</v>
      </c>
      <c r="G829" t="str">
        <f>Tabela_ferias_folgas[[#This Row],[Médico]]&amp;" - "&amp;Tabela_ferias_folgas[[#This Row],[Compromisso]]</f>
        <v>BRU - FÉRIAS</v>
      </c>
    </row>
    <row r="830" spans="1:7" x14ac:dyDescent="0.3">
      <c r="A830" t="s">
        <v>71</v>
      </c>
      <c r="B830" t="s">
        <v>464</v>
      </c>
      <c r="C830" s="1">
        <v>45268</v>
      </c>
      <c r="D830">
        <f>DAY(Tabela_ferias_folgas[[#This Row],[Data]])</f>
        <v>8</v>
      </c>
      <c r="E830">
        <f>MONTH(Tabela_ferias_folgas[[#This Row],[Data]])</f>
        <v>12</v>
      </c>
      <c r="F830">
        <f>YEAR(Tabela_ferias_folgas[[#This Row],[Data]])</f>
        <v>2023</v>
      </c>
      <c r="G830" t="str">
        <f>Tabela_ferias_folgas[[#This Row],[Médico]]&amp;" - "&amp;Tabela_ferias_folgas[[#This Row],[Compromisso]]</f>
        <v>BRU - FÉRIAS</v>
      </c>
    </row>
    <row r="831" spans="1:7" x14ac:dyDescent="0.3">
      <c r="A831" t="s">
        <v>71</v>
      </c>
      <c r="B831" t="s">
        <v>464</v>
      </c>
      <c r="C831" s="1">
        <v>45269</v>
      </c>
      <c r="D831">
        <f>DAY(Tabela_ferias_folgas[[#This Row],[Data]])</f>
        <v>9</v>
      </c>
      <c r="E831">
        <f>MONTH(Tabela_ferias_folgas[[#This Row],[Data]])</f>
        <v>12</v>
      </c>
      <c r="F831">
        <f>YEAR(Tabela_ferias_folgas[[#This Row],[Data]])</f>
        <v>2023</v>
      </c>
      <c r="G831" t="str">
        <f>Tabela_ferias_folgas[[#This Row],[Médico]]&amp;" - "&amp;Tabela_ferias_folgas[[#This Row],[Compromisso]]</f>
        <v>BRU - FÉRIAS</v>
      </c>
    </row>
    <row r="832" spans="1:7" x14ac:dyDescent="0.3">
      <c r="A832" t="s">
        <v>71</v>
      </c>
      <c r="B832" t="s">
        <v>464</v>
      </c>
      <c r="C832" s="1">
        <v>45270</v>
      </c>
      <c r="D832">
        <f>DAY(Tabela_ferias_folgas[[#This Row],[Data]])</f>
        <v>10</v>
      </c>
      <c r="E832">
        <f>MONTH(Tabela_ferias_folgas[[#This Row],[Data]])</f>
        <v>12</v>
      </c>
      <c r="F832">
        <f>YEAR(Tabela_ferias_folgas[[#This Row],[Data]])</f>
        <v>2023</v>
      </c>
      <c r="G832" t="str">
        <f>Tabela_ferias_folgas[[#This Row],[Médico]]&amp;" - "&amp;Tabela_ferias_folgas[[#This Row],[Compromisso]]</f>
        <v>BRU - FÉRIAS</v>
      </c>
    </row>
    <row r="833" spans="1:7" x14ac:dyDescent="0.3">
      <c r="A833" t="s">
        <v>71</v>
      </c>
      <c r="B833" t="s">
        <v>464</v>
      </c>
      <c r="C833" s="1">
        <v>45271</v>
      </c>
      <c r="D833">
        <f>DAY(Tabela_ferias_folgas[[#This Row],[Data]])</f>
        <v>11</v>
      </c>
      <c r="E833">
        <f>MONTH(Tabela_ferias_folgas[[#This Row],[Data]])</f>
        <v>12</v>
      </c>
      <c r="F833">
        <f>YEAR(Tabela_ferias_folgas[[#This Row],[Data]])</f>
        <v>2023</v>
      </c>
      <c r="G833" t="str">
        <f>Tabela_ferias_folgas[[#This Row],[Médico]]&amp;" - "&amp;Tabela_ferias_folgas[[#This Row],[Compromisso]]</f>
        <v>BRU - FÉRIAS</v>
      </c>
    </row>
    <row r="834" spans="1:7" x14ac:dyDescent="0.3">
      <c r="A834" t="s">
        <v>71</v>
      </c>
      <c r="B834" t="s">
        <v>464</v>
      </c>
      <c r="C834" s="1">
        <v>45272</v>
      </c>
      <c r="D834">
        <f>DAY(Tabela_ferias_folgas[[#This Row],[Data]])</f>
        <v>12</v>
      </c>
      <c r="E834">
        <f>MONTH(Tabela_ferias_folgas[[#This Row],[Data]])</f>
        <v>12</v>
      </c>
      <c r="F834">
        <f>YEAR(Tabela_ferias_folgas[[#This Row],[Data]])</f>
        <v>2023</v>
      </c>
      <c r="G834" t="str">
        <f>Tabela_ferias_folgas[[#This Row],[Médico]]&amp;" - "&amp;Tabela_ferias_folgas[[#This Row],[Compromisso]]</f>
        <v>BRU - FÉRIAS</v>
      </c>
    </row>
    <row r="835" spans="1:7" x14ac:dyDescent="0.3">
      <c r="A835" t="s">
        <v>71</v>
      </c>
      <c r="B835" t="s">
        <v>464</v>
      </c>
      <c r="C835" s="1">
        <v>45273</v>
      </c>
      <c r="D835">
        <f>DAY(Tabela_ferias_folgas[[#This Row],[Data]])</f>
        <v>13</v>
      </c>
      <c r="E835">
        <f>MONTH(Tabela_ferias_folgas[[#This Row],[Data]])</f>
        <v>12</v>
      </c>
      <c r="F835">
        <f>YEAR(Tabela_ferias_folgas[[#This Row],[Data]])</f>
        <v>2023</v>
      </c>
      <c r="G835" t="str">
        <f>Tabela_ferias_folgas[[#This Row],[Médico]]&amp;" - "&amp;Tabela_ferias_folgas[[#This Row],[Compromisso]]</f>
        <v>BRU - FÉRIAS</v>
      </c>
    </row>
    <row r="836" spans="1:7" x14ac:dyDescent="0.3">
      <c r="A836" t="s">
        <v>71</v>
      </c>
      <c r="B836" t="s">
        <v>464</v>
      </c>
      <c r="C836" s="1">
        <v>45274</v>
      </c>
      <c r="D836">
        <f>DAY(Tabela_ferias_folgas[[#This Row],[Data]])</f>
        <v>14</v>
      </c>
      <c r="E836">
        <f>MONTH(Tabela_ferias_folgas[[#This Row],[Data]])</f>
        <v>12</v>
      </c>
      <c r="F836">
        <f>YEAR(Tabela_ferias_folgas[[#This Row],[Data]])</f>
        <v>2023</v>
      </c>
      <c r="G836" t="str">
        <f>Tabela_ferias_folgas[[#This Row],[Médico]]&amp;" - "&amp;Tabela_ferias_folgas[[#This Row],[Compromisso]]</f>
        <v>BRU - FÉRIAS</v>
      </c>
    </row>
    <row r="837" spans="1:7" x14ac:dyDescent="0.3">
      <c r="A837" t="s">
        <v>71</v>
      </c>
      <c r="B837" t="s">
        <v>464</v>
      </c>
      <c r="C837" s="1">
        <v>45275</v>
      </c>
      <c r="D837">
        <f>DAY(Tabela_ferias_folgas[[#This Row],[Data]])</f>
        <v>15</v>
      </c>
      <c r="E837">
        <f>MONTH(Tabela_ferias_folgas[[#This Row],[Data]])</f>
        <v>12</v>
      </c>
      <c r="F837">
        <f>YEAR(Tabela_ferias_folgas[[#This Row],[Data]])</f>
        <v>2023</v>
      </c>
      <c r="G837" t="str">
        <f>Tabela_ferias_folgas[[#This Row],[Médico]]&amp;" - "&amp;Tabela_ferias_folgas[[#This Row],[Compromisso]]</f>
        <v>BRU - FÉRIAS</v>
      </c>
    </row>
    <row r="838" spans="1:7" x14ac:dyDescent="0.3">
      <c r="A838" t="s">
        <v>47</v>
      </c>
      <c r="B838" t="s">
        <v>601</v>
      </c>
      <c r="C838" s="1">
        <v>45082</v>
      </c>
      <c r="D838">
        <f>DAY(Tabela_ferias_folgas[[#This Row],[Data]])</f>
        <v>5</v>
      </c>
      <c r="E838">
        <f>MONTH(Tabela_ferias_folgas[[#This Row],[Data]])</f>
        <v>6</v>
      </c>
      <c r="F838">
        <f>YEAR(Tabela_ferias_folgas[[#This Row],[Data]])</f>
        <v>2023</v>
      </c>
      <c r="G838" t="str">
        <f>Tabela_ferias_folgas[[#This Row],[Médico]]&amp;" - "&amp;Tabela_ferias_folgas[[#This Row],[Compromisso]]</f>
        <v>VIN - CONGRESSO (ESAIC)</v>
      </c>
    </row>
    <row r="839" spans="1:7" x14ac:dyDescent="0.3">
      <c r="A839" t="s">
        <v>47</v>
      </c>
      <c r="B839" t="s">
        <v>601</v>
      </c>
      <c r="C839" s="1">
        <v>45083</v>
      </c>
      <c r="D839">
        <f>DAY(Tabela_ferias_folgas[[#This Row],[Data]])</f>
        <v>6</v>
      </c>
      <c r="E839">
        <f>MONTH(Tabela_ferias_folgas[[#This Row],[Data]])</f>
        <v>6</v>
      </c>
      <c r="F839">
        <f>YEAR(Tabela_ferias_folgas[[#This Row],[Data]])</f>
        <v>2023</v>
      </c>
      <c r="G839" t="str">
        <f>Tabela_ferias_folgas[[#This Row],[Médico]]&amp;" - "&amp;Tabela_ferias_folgas[[#This Row],[Compromisso]]</f>
        <v>VIN - CONGRESSO (ESAIC)</v>
      </c>
    </row>
    <row r="840" spans="1:7" x14ac:dyDescent="0.3">
      <c r="A840" t="s">
        <v>47</v>
      </c>
      <c r="B840" t="s">
        <v>601</v>
      </c>
      <c r="C840" s="1">
        <v>45084</v>
      </c>
      <c r="D840">
        <f>DAY(Tabela_ferias_folgas[[#This Row],[Data]])</f>
        <v>7</v>
      </c>
      <c r="E840">
        <f>MONTH(Tabela_ferias_folgas[[#This Row],[Data]])</f>
        <v>6</v>
      </c>
      <c r="F840">
        <f>YEAR(Tabela_ferias_folgas[[#This Row],[Data]])</f>
        <v>2023</v>
      </c>
      <c r="G840" t="str">
        <f>Tabela_ferias_folgas[[#This Row],[Médico]]&amp;" - "&amp;Tabela_ferias_folgas[[#This Row],[Compromisso]]</f>
        <v>VIN - CONGRESSO (ESAIC)</v>
      </c>
    </row>
    <row r="841" spans="1:7" x14ac:dyDescent="0.3">
      <c r="A841" t="s">
        <v>72</v>
      </c>
      <c r="B841" t="s">
        <v>464</v>
      </c>
      <c r="C841" s="1">
        <v>45250</v>
      </c>
      <c r="D841">
        <f>DAY(Tabela_ferias_folgas[[#This Row],[Data]])</f>
        <v>20</v>
      </c>
      <c r="E841">
        <f>MONTH(Tabela_ferias_folgas[[#This Row],[Data]])</f>
        <v>11</v>
      </c>
      <c r="F841">
        <f>YEAR(Tabela_ferias_folgas[[#This Row],[Data]])</f>
        <v>2023</v>
      </c>
      <c r="G841" t="str">
        <f>Tabela_ferias_folgas[[#This Row],[Médico]]&amp;" - "&amp;Tabela_ferias_folgas[[#This Row],[Compromisso]]</f>
        <v>GRA - FÉRIAS</v>
      </c>
    </row>
    <row r="842" spans="1:7" x14ac:dyDescent="0.3">
      <c r="A842" t="s">
        <v>72</v>
      </c>
      <c r="B842" t="s">
        <v>464</v>
      </c>
      <c r="C842" s="1">
        <v>45251</v>
      </c>
      <c r="D842">
        <f>DAY(Tabela_ferias_folgas[[#This Row],[Data]])</f>
        <v>21</v>
      </c>
      <c r="E842">
        <f>MONTH(Tabela_ferias_folgas[[#This Row],[Data]])</f>
        <v>11</v>
      </c>
      <c r="F842">
        <f>YEAR(Tabela_ferias_folgas[[#This Row],[Data]])</f>
        <v>2023</v>
      </c>
      <c r="G842" t="str">
        <f>Tabela_ferias_folgas[[#This Row],[Médico]]&amp;" - "&amp;Tabela_ferias_folgas[[#This Row],[Compromisso]]</f>
        <v>GRA - FÉRIAS</v>
      </c>
    </row>
    <row r="843" spans="1:7" x14ac:dyDescent="0.3">
      <c r="A843" t="s">
        <v>72</v>
      </c>
      <c r="B843" t="s">
        <v>464</v>
      </c>
      <c r="C843" s="1">
        <v>45252</v>
      </c>
      <c r="D843">
        <f>DAY(Tabela_ferias_folgas[[#This Row],[Data]])</f>
        <v>22</v>
      </c>
      <c r="E843">
        <f>MONTH(Tabela_ferias_folgas[[#This Row],[Data]])</f>
        <v>11</v>
      </c>
      <c r="F843">
        <f>YEAR(Tabela_ferias_folgas[[#This Row],[Data]])</f>
        <v>2023</v>
      </c>
      <c r="G843" t="str">
        <f>Tabela_ferias_folgas[[#This Row],[Médico]]&amp;" - "&amp;Tabela_ferias_folgas[[#This Row],[Compromisso]]</f>
        <v>GRA - FÉRIAS</v>
      </c>
    </row>
    <row r="844" spans="1:7" x14ac:dyDescent="0.3">
      <c r="A844" t="s">
        <v>72</v>
      </c>
      <c r="B844" t="s">
        <v>464</v>
      </c>
      <c r="C844" s="1">
        <v>45253</v>
      </c>
      <c r="D844">
        <f>DAY(Tabela_ferias_folgas[[#This Row],[Data]])</f>
        <v>23</v>
      </c>
      <c r="E844">
        <f>MONTH(Tabela_ferias_folgas[[#This Row],[Data]])</f>
        <v>11</v>
      </c>
      <c r="F844">
        <f>YEAR(Tabela_ferias_folgas[[#This Row],[Data]])</f>
        <v>2023</v>
      </c>
      <c r="G844" t="str">
        <f>Tabela_ferias_folgas[[#This Row],[Médico]]&amp;" - "&amp;Tabela_ferias_folgas[[#This Row],[Compromisso]]</f>
        <v>GRA - FÉRIAS</v>
      </c>
    </row>
    <row r="845" spans="1:7" x14ac:dyDescent="0.3">
      <c r="A845" t="s">
        <v>72</v>
      </c>
      <c r="B845" t="s">
        <v>464</v>
      </c>
      <c r="C845" s="1">
        <v>45254</v>
      </c>
      <c r="D845">
        <f>DAY(Tabela_ferias_folgas[[#This Row],[Data]])</f>
        <v>24</v>
      </c>
      <c r="E845">
        <f>MONTH(Tabela_ferias_folgas[[#This Row],[Data]])</f>
        <v>11</v>
      </c>
      <c r="F845">
        <f>YEAR(Tabela_ferias_folgas[[#This Row],[Data]])</f>
        <v>2023</v>
      </c>
      <c r="G845" t="str">
        <f>Tabela_ferias_folgas[[#This Row],[Médico]]&amp;" - "&amp;Tabela_ferias_folgas[[#This Row],[Compromisso]]</f>
        <v>GRA - FÉRIAS</v>
      </c>
    </row>
    <row r="846" spans="1:7" x14ac:dyDescent="0.3">
      <c r="A846" t="s">
        <v>72</v>
      </c>
      <c r="B846" t="s">
        <v>464</v>
      </c>
      <c r="C846" s="1">
        <v>45255</v>
      </c>
      <c r="D846">
        <f>DAY(Tabela_ferias_folgas[[#This Row],[Data]])</f>
        <v>25</v>
      </c>
      <c r="E846">
        <f>MONTH(Tabela_ferias_folgas[[#This Row],[Data]])</f>
        <v>11</v>
      </c>
      <c r="F846">
        <f>YEAR(Tabela_ferias_folgas[[#This Row],[Data]])</f>
        <v>2023</v>
      </c>
      <c r="G846" t="str">
        <f>Tabela_ferias_folgas[[#This Row],[Médico]]&amp;" - "&amp;Tabela_ferias_folgas[[#This Row],[Compromisso]]</f>
        <v>GRA - FÉRIAS</v>
      </c>
    </row>
    <row r="847" spans="1:7" x14ac:dyDescent="0.3">
      <c r="A847" t="s">
        <v>72</v>
      </c>
      <c r="B847" t="s">
        <v>464</v>
      </c>
      <c r="C847" s="1">
        <v>45256</v>
      </c>
      <c r="D847">
        <f>DAY(Tabela_ferias_folgas[[#This Row],[Data]])</f>
        <v>26</v>
      </c>
      <c r="E847">
        <f>MONTH(Tabela_ferias_folgas[[#This Row],[Data]])</f>
        <v>11</v>
      </c>
      <c r="F847">
        <f>YEAR(Tabela_ferias_folgas[[#This Row],[Data]])</f>
        <v>2023</v>
      </c>
      <c r="G847" t="str">
        <f>Tabela_ferias_folgas[[#This Row],[Médico]]&amp;" - "&amp;Tabela_ferias_folgas[[#This Row],[Compromisso]]</f>
        <v>GRA - FÉRIAS</v>
      </c>
    </row>
    <row r="848" spans="1:7" x14ac:dyDescent="0.3">
      <c r="A848" t="s">
        <v>72</v>
      </c>
      <c r="B848" t="s">
        <v>464</v>
      </c>
      <c r="C848" s="1">
        <v>45257</v>
      </c>
      <c r="D848">
        <f>DAY(Tabela_ferias_folgas[[#This Row],[Data]])</f>
        <v>27</v>
      </c>
      <c r="E848">
        <f>MONTH(Tabela_ferias_folgas[[#This Row],[Data]])</f>
        <v>11</v>
      </c>
      <c r="F848">
        <f>YEAR(Tabela_ferias_folgas[[#This Row],[Data]])</f>
        <v>2023</v>
      </c>
      <c r="G848" t="str">
        <f>Tabela_ferias_folgas[[#This Row],[Médico]]&amp;" - "&amp;Tabela_ferias_folgas[[#This Row],[Compromisso]]</f>
        <v>GRA - FÉRIAS</v>
      </c>
    </row>
    <row r="849" spans="1:7" x14ac:dyDescent="0.3">
      <c r="A849" t="s">
        <v>72</v>
      </c>
      <c r="B849" t="s">
        <v>464</v>
      </c>
      <c r="C849" s="1">
        <v>45258</v>
      </c>
      <c r="D849">
        <f>DAY(Tabela_ferias_folgas[[#This Row],[Data]])</f>
        <v>28</v>
      </c>
      <c r="E849">
        <f>MONTH(Tabela_ferias_folgas[[#This Row],[Data]])</f>
        <v>11</v>
      </c>
      <c r="F849">
        <f>YEAR(Tabela_ferias_folgas[[#This Row],[Data]])</f>
        <v>2023</v>
      </c>
      <c r="G849" t="str">
        <f>Tabela_ferias_folgas[[#This Row],[Médico]]&amp;" - "&amp;Tabela_ferias_folgas[[#This Row],[Compromisso]]</f>
        <v>GRA - FÉRIAS</v>
      </c>
    </row>
    <row r="850" spans="1:7" x14ac:dyDescent="0.3">
      <c r="A850" t="s">
        <v>72</v>
      </c>
      <c r="B850" t="s">
        <v>464</v>
      </c>
      <c r="C850" s="1">
        <v>45259</v>
      </c>
      <c r="D850">
        <f>DAY(Tabela_ferias_folgas[[#This Row],[Data]])</f>
        <v>29</v>
      </c>
      <c r="E850">
        <f>MONTH(Tabela_ferias_folgas[[#This Row],[Data]])</f>
        <v>11</v>
      </c>
      <c r="F850">
        <f>YEAR(Tabela_ferias_folgas[[#This Row],[Data]])</f>
        <v>2023</v>
      </c>
      <c r="G850" t="str">
        <f>Tabela_ferias_folgas[[#This Row],[Médico]]&amp;" - "&amp;Tabela_ferias_folgas[[#This Row],[Compromisso]]</f>
        <v>GRA - FÉRIAS</v>
      </c>
    </row>
    <row r="851" spans="1:7" x14ac:dyDescent="0.3">
      <c r="A851" t="s">
        <v>72</v>
      </c>
      <c r="B851" t="s">
        <v>464</v>
      </c>
      <c r="C851" s="1">
        <v>45260</v>
      </c>
      <c r="D851">
        <f>DAY(Tabela_ferias_folgas[[#This Row],[Data]])</f>
        <v>30</v>
      </c>
      <c r="E851">
        <f>MONTH(Tabela_ferias_folgas[[#This Row],[Data]])</f>
        <v>11</v>
      </c>
      <c r="F851">
        <f>YEAR(Tabela_ferias_folgas[[#This Row],[Data]])</f>
        <v>2023</v>
      </c>
      <c r="G851" t="str">
        <f>Tabela_ferias_folgas[[#This Row],[Médico]]&amp;" - "&amp;Tabela_ferias_folgas[[#This Row],[Compromisso]]</f>
        <v>GRA - FÉRIAS</v>
      </c>
    </row>
    <row r="852" spans="1:7" x14ac:dyDescent="0.3">
      <c r="A852" t="s">
        <v>72</v>
      </c>
      <c r="B852" t="s">
        <v>464</v>
      </c>
      <c r="C852" s="1">
        <v>45261</v>
      </c>
      <c r="D852">
        <f>DAY(Tabela_ferias_folgas[[#This Row],[Data]])</f>
        <v>1</v>
      </c>
      <c r="E852">
        <f>MONTH(Tabela_ferias_folgas[[#This Row],[Data]])</f>
        <v>12</v>
      </c>
      <c r="F852">
        <f>YEAR(Tabela_ferias_folgas[[#This Row],[Data]])</f>
        <v>2023</v>
      </c>
      <c r="G852" t="str">
        <f>Tabela_ferias_folgas[[#This Row],[Médico]]&amp;" - "&amp;Tabela_ferias_folgas[[#This Row],[Compromisso]]</f>
        <v>GRA - FÉRIAS</v>
      </c>
    </row>
    <row r="853" spans="1:7" x14ac:dyDescent="0.3">
      <c r="A853" t="s">
        <v>72</v>
      </c>
      <c r="B853" t="s">
        <v>464</v>
      </c>
      <c r="C853" s="1">
        <v>45262</v>
      </c>
      <c r="D853">
        <f>DAY(Tabela_ferias_folgas[[#This Row],[Data]])</f>
        <v>2</v>
      </c>
      <c r="E853">
        <f>MONTH(Tabela_ferias_folgas[[#This Row],[Data]])</f>
        <v>12</v>
      </c>
      <c r="F853">
        <f>YEAR(Tabela_ferias_folgas[[#This Row],[Data]])</f>
        <v>2023</v>
      </c>
      <c r="G853" t="str">
        <f>Tabela_ferias_folgas[[#This Row],[Médico]]&amp;" - "&amp;Tabela_ferias_folgas[[#This Row],[Compromisso]]</f>
        <v>GRA - FÉRIAS</v>
      </c>
    </row>
    <row r="854" spans="1:7" x14ac:dyDescent="0.3">
      <c r="A854" t="s">
        <v>72</v>
      </c>
      <c r="B854" t="s">
        <v>464</v>
      </c>
      <c r="C854" s="1">
        <v>45263</v>
      </c>
      <c r="D854">
        <f>DAY(Tabela_ferias_folgas[[#This Row],[Data]])</f>
        <v>3</v>
      </c>
      <c r="E854">
        <f>MONTH(Tabela_ferias_folgas[[#This Row],[Data]])</f>
        <v>12</v>
      </c>
      <c r="F854">
        <f>YEAR(Tabela_ferias_folgas[[#This Row],[Data]])</f>
        <v>2023</v>
      </c>
      <c r="G854" t="str">
        <f>Tabela_ferias_folgas[[#This Row],[Médico]]&amp;" - "&amp;Tabela_ferias_folgas[[#This Row],[Compromisso]]</f>
        <v>GRA - FÉRIAS</v>
      </c>
    </row>
    <row r="855" spans="1:7" x14ac:dyDescent="0.3">
      <c r="A855" t="s">
        <v>72</v>
      </c>
      <c r="B855" t="s">
        <v>464</v>
      </c>
      <c r="C855" s="1">
        <v>45264</v>
      </c>
      <c r="D855">
        <f>DAY(Tabela_ferias_folgas[[#This Row],[Data]])</f>
        <v>4</v>
      </c>
      <c r="E855">
        <f>MONTH(Tabela_ferias_folgas[[#This Row],[Data]])</f>
        <v>12</v>
      </c>
      <c r="F855">
        <f>YEAR(Tabela_ferias_folgas[[#This Row],[Data]])</f>
        <v>2023</v>
      </c>
      <c r="G855" t="str">
        <f>Tabela_ferias_folgas[[#This Row],[Médico]]&amp;" - "&amp;Tabela_ferias_folgas[[#This Row],[Compromisso]]</f>
        <v>GRA - FÉRIAS</v>
      </c>
    </row>
    <row r="856" spans="1:7" x14ac:dyDescent="0.3">
      <c r="A856" t="s">
        <v>72</v>
      </c>
      <c r="B856" t="s">
        <v>464</v>
      </c>
      <c r="C856" s="1">
        <v>45265</v>
      </c>
      <c r="D856">
        <f>DAY(Tabela_ferias_folgas[[#This Row],[Data]])</f>
        <v>5</v>
      </c>
      <c r="E856">
        <f>MONTH(Tabela_ferias_folgas[[#This Row],[Data]])</f>
        <v>12</v>
      </c>
      <c r="F856">
        <f>YEAR(Tabela_ferias_folgas[[#This Row],[Data]])</f>
        <v>2023</v>
      </c>
      <c r="G856" t="str">
        <f>Tabela_ferias_folgas[[#This Row],[Médico]]&amp;" - "&amp;Tabela_ferias_folgas[[#This Row],[Compromisso]]</f>
        <v>GRA - FÉRIAS</v>
      </c>
    </row>
    <row r="857" spans="1:7" x14ac:dyDescent="0.3">
      <c r="A857" t="s">
        <v>72</v>
      </c>
      <c r="B857" t="s">
        <v>464</v>
      </c>
      <c r="C857" s="1">
        <v>45266</v>
      </c>
      <c r="D857">
        <f>DAY(Tabela_ferias_folgas[[#This Row],[Data]])</f>
        <v>6</v>
      </c>
      <c r="E857">
        <f>MONTH(Tabela_ferias_folgas[[#This Row],[Data]])</f>
        <v>12</v>
      </c>
      <c r="F857">
        <f>YEAR(Tabela_ferias_folgas[[#This Row],[Data]])</f>
        <v>2023</v>
      </c>
      <c r="G857" t="str">
        <f>Tabela_ferias_folgas[[#This Row],[Médico]]&amp;" - "&amp;Tabela_ferias_folgas[[#This Row],[Compromisso]]</f>
        <v>GRA - FÉRIAS</v>
      </c>
    </row>
    <row r="858" spans="1:7" x14ac:dyDescent="0.3">
      <c r="A858" t="s">
        <v>72</v>
      </c>
      <c r="B858" t="s">
        <v>464</v>
      </c>
      <c r="C858" s="1">
        <v>45267</v>
      </c>
      <c r="D858">
        <f>DAY(Tabela_ferias_folgas[[#This Row],[Data]])</f>
        <v>7</v>
      </c>
      <c r="E858">
        <f>MONTH(Tabela_ferias_folgas[[#This Row],[Data]])</f>
        <v>12</v>
      </c>
      <c r="F858">
        <f>YEAR(Tabela_ferias_folgas[[#This Row],[Data]])</f>
        <v>2023</v>
      </c>
      <c r="G858" t="str">
        <f>Tabela_ferias_folgas[[#This Row],[Médico]]&amp;" - "&amp;Tabela_ferias_folgas[[#This Row],[Compromisso]]</f>
        <v>GRA - FÉRIAS</v>
      </c>
    </row>
    <row r="859" spans="1:7" x14ac:dyDescent="0.3">
      <c r="A859" t="s">
        <v>72</v>
      </c>
      <c r="B859" t="s">
        <v>464</v>
      </c>
      <c r="C859" s="1">
        <v>45268</v>
      </c>
      <c r="D859">
        <f>DAY(Tabela_ferias_folgas[[#This Row],[Data]])</f>
        <v>8</v>
      </c>
      <c r="E859">
        <f>MONTH(Tabela_ferias_folgas[[#This Row],[Data]])</f>
        <v>12</v>
      </c>
      <c r="F859">
        <f>YEAR(Tabela_ferias_folgas[[#This Row],[Data]])</f>
        <v>2023</v>
      </c>
      <c r="G859" t="str">
        <f>Tabela_ferias_folgas[[#This Row],[Médico]]&amp;" - "&amp;Tabela_ferias_folgas[[#This Row],[Compromisso]]</f>
        <v>GRA - FÉRIAS</v>
      </c>
    </row>
    <row r="860" spans="1:7" x14ac:dyDescent="0.3">
      <c r="A860" t="s">
        <v>72</v>
      </c>
      <c r="B860" t="s">
        <v>464</v>
      </c>
      <c r="C860" s="1">
        <v>45269</v>
      </c>
      <c r="D860">
        <f>DAY(Tabela_ferias_folgas[[#This Row],[Data]])</f>
        <v>9</v>
      </c>
      <c r="E860">
        <f>MONTH(Tabela_ferias_folgas[[#This Row],[Data]])</f>
        <v>12</v>
      </c>
      <c r="F860">
        <f>YEAR(Tabela_ferias_folgas[[#This Row],[Data]])</f>
        <v>2023</v>
      </c>
      <c r="G860" t="str">
        <f>Tabela_ferias_folgas[[#This Row],[Médico]]&amp;" - "&amp;Tabela_ferias_folgas[[#This Row],[Compromisso]]</f>
        <v>GRA - FÉRIAS</v>
      </c>
    </row>
    <row r="861" spans="1:7" x14ac:dyDescent="0.3">
      <c r="A861" t="s">
        <v>72</v>
      </c>
      <c r="B861" t="s">
        <v>464</v>
      </c>
      <c r="C861" s="1">
        <v>45270</v>
      </c>
      <c r="D861">
        <f>DAY(Tabela_ferias_folgas[[#This Row],[Data]])</f>
        <v>10</v>
      </c>
      <c r="E861">
        <f>MONTH(Tabela_ferias_folgas[[#This Row],[Data]])</f>
        <v>12</v>
      </c>
      <c r="F861">
        <f>YEAR(Tabela_ferias_folgas[[#This Row],[Data]])</f>
        <v>2023</v>
      </c>
      <c r="G861" t="str">
        <f>Tabela_ferias_folgas[[#This Row],[Médico]]&amp;" - "&amp;Tabela_ferias_folgas[[#This Row],[Compromisso]]</f>
        <v>GRA - FÉRIAS</v>
      </c>
    </row>
    <row r="862" spans="1:7" x14ac:dyDescent="0.3">
      <c r="A862" t="s">
        <v>20</v>
      </c>
      <c r="B862" t="s">
        <v>464</v>
      </c>
      <c r="C862" s="1">
        <v>45117</v>
      </c>
      <c r="D862">
        <f>DAY(Tabela_ferias_folgas[[#This Row],[Data]])</f>
        <v>10</v>
      </c>
      <c r="E862">
        <f>MONTH(Tabela_ferias_folgas[[#This Row],[Data]])</f>
        <v>7</v>
      </c>
      <c r="F862">
        <f>YEAR(Tabela_ferias_folgas[[#This Row],[Data]])</f>
        <v>2023</v>
      </c>
      <c r="G862" t="str">
        <f>Tabela_ferias_folgas[[#This Row],[Médico]]&amp;" - "&amp;Tabela_ferias_folgas[[#This Row],[Compromisso]]</f>
        <v>ROB - FÉRIAS</v>
      </c>
    </row>
    <row r="863" spans="1:7" x14ac:dyDescent="0.3">
      <c r="A863" t="s">
        <v>20</v>
      </c>
      <c r="B863" t="s">
        <v>464</v>
      </c>
      <c r="C863" s="1">
        <v>45118</v>
      </c>
      <c r="D863">
        <f>DAY(Tabela_ferias_folgas[[#This Row],[Data]])</f>
        <v>11</v>
      </c>
      <c r="E863">
        <f>MONTH(Tabela_ferias_folgas[[#This Row],[Data]])</f>
        <v>7</v>
      </c>
      <c r="F863">
        <f>YEAR(Tabela_ferias_folgas[[#This Row],[Data]])</f>
        <v>2023</v>
      </c>
      <c r="G863" t="str">
        <f>Tabela_ferias_folgas[[#This Row],[Médico]]&amp;" - "&amp;Tabela_ferias_folgas[[#This Row],[Compromisso]]</f>
        <v>ROB - FÉRIAS</v>
      </c>
    </row>
    <row r="864" spans="1:7" x14ac:dyDescent="0.3">
      <c r="A864" t="s">
        <v>20</v>
      </c>
      <c r="B864" t="s">
        <v>464</v>
      </c>
      <c r="C864" s="1">
        <v>45119</v>
      </c>
      <c r="D864">
        <f>DAY(Tabela_ferias_folgas[[#This Row],[Data]])</f>
        <v>12</v>
      </c>
      <c r="E864">
        <f>MONTH(Tabela_ferias_folgas[[#This Row],[Data]])</f>
        <v>7</v>
      </c>
      <c r="F864">
        <f>YEAR(Tabela_ferias_folgas[[#This Row],[Data]])</f>
        <v>2023</v>
      </c>
      <c r="G864" t="str">
        <f>Tabela_ferias_folgas[[#This Row],[Médico]]&amp;" - "&amp;Tabela_ferias_folgas[[#This Row],[Compromisso]]</f>
        <v>ROB - FÉRIAS</v>
      </c>
    </row>
    <row r="865" spans="1:7" x14ac:dyDescent="0.3">
      <c r="A865" t="s">
        <v>20</v>
      </c>
      <c r="B865" t="s">
        <v>464</v>
      </c>
      <c r="C865" s="1">
        <v>45120</v>
      </c>
      <c r="D865">
        <f>DAY(Tabela_ferias_folgas[[#This Row],[Data]])</f>
        <v>13</v>
      </c>
      <c r="E865">
        <f>MONTH(Tabela_ferias_folgas[[#This Row],[Data]])</f>
        <v>7</v>
      </c>
      <c r="F865">
        <f>YEAR(Tabela_ferias_folgas[[#This Row],[Data]])</f>
        <v>2023</v>
      </c>
      <c r="G865" t="str">
        <f>Tabela_ferias_folgas[[#This Row],[Médico]]&amp;" - "&amp;Tabela_ferias_folgas[[#This Row],[Compromisso]]</f>
        <v>ROB - FÉRIAS</v>
      </c>
    </row>
    <row r="866" spans="1:7" x14ac:dyDescent="0.3">
      <c r="A866" t="s">
        <v>20</v>
      </c>
      <c r="B866" t="s">
        <v>464</v>
      </c>
      <c r="C866" s="1">
        <v>45121</v>
      </c>
      <c r="D866">
        <f>DAY(Tabela_ferias_folgas[[#This Row],[Data]])</f>
        <v>14</v>
      </c>
      <c r="E866">
        <f>MONTH(Tabela_ferias_folgas[[#This Row],[Data]])</f>
        <v>7</v>
      </c>
      <c r="F866">
        <f>YEAR(Tabela_ferias_folgas[[#This Row],[Data]])</f>
        <v>2023</v>
      </c>
      <c r="G866" t="str">
        <f>Tabela_ferias_folgas[[#This Row],[Médico]]&amp;" - "&amp;Tabela_ferias_folgas[[#This Row],[Compromisso]]</f>
        <v>ROB - FÉRIAS</v>
      </c>
    </row>
    <row r="867" spans="1:7" x14ac:dyDescent="0.3">
      <c r="A867" t="s">
        <v>20</v>
      </c>
      <c r="B867" t="s">
        <v>464</v>
      </c>
      <c r="C867" s="1">
        <v>45122</v>
      </c>
      <c r="D867">
        <f>DAY(Tabela_ferias_folgas[[#This Row],[Data]])</f>
        <v>15</v>
      </c>
      <c r="E867">
        <f>MONTH(Tabela_ferias_folgas[[#This Row],[Data]])</f>
        <v>7</v>
      </c>
      <c r="F867">
        <f>YEAR(Tabela_ferias_folgas[[#This Row],[Data]])</f>
        <v>2023</v>
      </c>
      <c r="G867" t="str">
        <f>Tabela_ferias_folgas[[#This Row],[Médico]]&amp;" - "&amp;Tabela_ferias_folgas[[#This Row],[Compromisso]]</f>
        <v>ROB - FÉRIAS</v>
      </c>
    </row>
    <row r="868" spans="1:7" x14ac:dyDescent="0.3">
      <c r="A868" t="s">
        <v>20</v>
      </c>
      <c r="B868" t="s">
        <v>464</v>
      </c>
      <c r="C868" s="1">
        <v>45123</v>
      </c>
      <c r="D868">
        <f>DAY(Tabela_ferias_folgas[[#This Row],[Data]])</f>
        <v>16</v>
      </c>
      <c r="E868">
        <f>MONTH(Tabela_ferias_folgas[[#This Row],[Data]])</f>
        <v>7</v>
      </c>
      <c r="F868">
        <f>YEAR(Tabela_ferias_folgas[[#This Row],[Data]])</f>
        <v>2023</v>
      </c>
      <c r="G868" t="str">
        <f>Tabela_ferias_folgas[[#This Row],[Médico]]&amp;" - "&amp;Tabela_ferias_folgas[[#This Row],[Compromisso]]</f>
        <v>ROB - FÉRIAS</v>
      </c>
    </row>
    <row r="869" spans="1:7" x14ac:dyDescent="0.3">
      <c r="A869" t="s">
        <v>23</v>
      </c>
      <c r="B869" t="s">
        <v>610</v>
      </c>
      <c r="C869" s="1">
        <v>45199</v>
      </c>
      <c r="D869">
        <f>DAY(Tabela_ferias_folgas[[#This Row],[Data]])</f>
        <v>30</v>
      </c>
      <c r="E869">
        <f>MONTH(Tabela_ferias_folgas[[#This Row],[Data]])</f>
        <v>9</v>
      </c>
      <c r="F869">
        <f>YEAR(Tabela_ferias_folgas[[#This Row],[Data]])</f>
        <v>2023</v>
      </c>
      <c r="G869" t="str">
        <f>Tabela_ferias_folgas[[#This Row],[Médico]]&amp;" - "&amp;Tabela_ferias_folgas[[#This Row],[Compromisso]]</f>
        <v>BG - CONGRESSO (SBA - RJ)</v>
      </c>
    </row>
    <row r="870" spans="1:7" x14ac:dyDescent="0.3">
      <c r="A870" t="s">
        <v>47</v>
      </c>
      <c r="B870" t="s">
        <v>610</v>
      </c>
      <c r="C870" s="1">
        <v>45199</v>
      </c>
      <c r="D870">
        <f>DAY(Tabela_ferias_folgas[[#This Row],[Data]])</f>
        <v>30</v>
      </c>
      <c r="E870">
        <f>MONTH(Tabela_ferias_folgas[[#This Row],[Data]])</f>
        <v>9</v>
      </c>
      <c r="F870">
        <f>YEAR(Tabela_ferias_folgas[[#This Row],[Data]])</f>
        <v>2023</v>
      </c>
      <c r="G870" t="str">
        <f>Tabela_ferias_folgas[[#This Row],[Médico]]&amp;" - "&amp;Tabela_ferias_folgas[[#This Row],[Compromisso]]</f>
        <v>VIN - CONGRESSO (SBA - RJ)</v>
      </c>
    </row>
    <row r="871" spans="1:7" x14ac:dyDescent="0.3">
      <c r="A871" t="s">
        <v>47</v>
      </c>
      <c r="B871" t="s">
        <v>464</v>
      </c>
      <c r="C871" s="1">
        <v>45124</v>
      </c>
      <c r="D871">
        <f>DAY(Tabela_ferias_folgas[[#This Row],[Data]])</f>
        <v>17</v>
      </c>
      <c r="E871">
        <f>MONTH(Tabela_ferias_folgas[[#This Row],[Data]])</f>
        <v>7</v>
      </c>
      <c r="F871">
        <f>YEAR(Tabela_ferias_folgas[[#This Row],[Data]])</f>
        <v>2023</v>
      </c>
      <c r="G871" t="str">
        <f>Tabela_ferias_folgas[[#This Row],[Médico]]&amp;" - "&amp;Tabela_ferias_folgas[[#This Row],[Compromisso]]</f>
        <v>VIN - FÉRIAS</v>
      </c>
    </row>
    <row r="872" spans="1:7" x14ac:dyDescent="0.3">
      <c r="A872" t="s">
        <v>47</v>
      </c>
      <c r="B872" t="s">
        <v>464</v>
      </c>
      <c r="C872" s="1">
        <v>45125</v>
      </c>
      <c r="D872">
        <f>DAY(Tabela_ferias_folgas[[#This Row],[Data]])</f>
        <v>18</v>
      </c>
      <c r="E872">
        <f>MONTH(Tabela_ferias_folgas[[#This Row],[Data]])</f>
        <v>7</v>
      </c>
      <c r="F872">
        <f>YEAR(Tabela_ferias_folgas[[#This Row],[Data]])</f>
        <v>2023</v>
      </c>
      <c r="G872" t="str">
        <f>Tabela_ferias_folgas[[#This Row],[Médico]]&amp;" - "&amp;Tabela_ferias_folgas[[#This Row],[Compromisso]]</f>
        <v>VIN - FÉRIAS</v>
      </c>
    </row>
    <row r="873" spans="1:7" x14ac:dyDescent="0.3">
      <c r="A873" t="s">
        <v>47</v>
      </c>
      <c r="B873" t="s">
        <v>464</v>
      </c>
      <c r="C873" s="1">
        <v>45126</v>
      </c>
      <c r="D873">
        <f>DAY(Tabela_ferias_folgas[[#This Row],[Data]])</f>
        <v>19</v>
      </c>
      <c r="E873">
        <f>MONTH(Tabela_ferias_folgas[[#This Row],[Data]])</f>
        <v>7</v>
      </c>
      <c r="F873">
        <f>YEAR(Tabela_ferias_folgas[[#This Row],[Data]])</f>
        <v>2023</v>
      </c>
      <c r="G873" t="str">
        <f>Tabela_ferias_folgas[[#This Row],[Médico]]&amp;" - "&amp;Tabela_ferias_folgas[[#This Row],[Compromisso]]</f>
        <v>VIN - FÉRIAS</v>
      </c>
    </row>
    <row r="874" spans="1:7" x14ac:dyDescent="0.3">
      <c r="A874" t="s">
        <v>47</v>
      </c>
      <c r="B874" t="s">
        <v>464</v>
      </c>
      <c r="C874" s="1">
        <v>45127</v>
      </c>
      <c r="D874">
        <f>DAY(Tabela_ferias_folgas[[#This Row],[Data]])</f>
        <v>20</v>
      </c>
      <c r="E874">
        <f>MONTH(Tabela_ferias_folgas[[#This Row],[Data]])</f>
        <v>7</v>
      </c>
      <c r="F874">
        <f>YEAR(Tabela_ferias_folgas[[#This Row],[Data]])</f>
        <v>2023</v>
      </c>
      <c r="G874" t="str">
        <f>Tabela_ferias_folgas[[#This Row],[Médico]]&amp;" - "&amp;Tabela_ferias_folgas[[#This Row],[Compromisso]]</f>
        <v>VIN - FÉRIAS</v>
      </c>
    </row>
    <row r="875" spans="1:7" x14ac:dyDescent="0.3">
      <c r="A875" t="s">
        <v>47</v>
      </c>
      <c r="B875" t="s">
        <v>464</v>
      </c>
      <c r="C875" s="1">
        <v>45128</v>
      </c>
      <c r="D875">
        <f>DAY(Tabela_ferias_folgas[[#This Row],[Data]])</f>
        <v>21</v>
      </c>
      <c r="E875">
        <f>MONTH(Tabela_ferias_folgas[[#This Row],[Data]])</f>
        <v>7</v>
      </c>
      <c r="F875">
        <f>YEAR(Tabela_ferias_folgas[[#This Row],[Data]])</f>
        <v>2023</v>
      </c>
      <c r="G875" t="str">
        <f>Tabela_ferias_folgas[[#This Row],[Médico]]&amp;" - "&amp;Tabela_ferias_folgas[[#This Row],[Compromisso]]</f>
        <v>VIN - FÉRIAS</v>
      </c>
    </row>
    <row r="876" spans="1:7" x14ac:dyDescent="0.3">
      <c r="A876" t="s">
        <v>47</v>
      </c>
      <c r="B876" t="s">
        <v>464</v>
      </c>
      <c r="C876" s="1">
        <v>45129</v>
      </c>
      <c r="D876">
        <f>DAY(Tabela_ferias_folgas[[#This Row],[Data]])</f>
        <v>22</v>
      </c>
      <c r="E876">
        <f>MONTH(Tabela_ferias_folgas[[#This Row],[Data]])</f>
        <v>7</v>
      </c>
      <c r="F876">
        <f>YEAR(Tabela_ferias_folgas[[#This Row],[Data]])</f>
        <v>2023</v>
      </c>
      <c r="G876" t="str">
        <f>Tabela_ferias_folgas[[#This Row],[Médico]]&amp;" - "&amp;Tabela_ferias_folgas[[#This Row],[Compromisso]]</f>
        <v>VIN - FÉRIAS</v>
      </c>
    </row>
    <row r="877" spans="1:7" x14ac:dyDescent="0.3">
      <c r="A877" t="s">
        <v>47</v>
      </c>
      <c r="B877" t="s">
        <v>464</v>
      </c>
      <c r="C877" s="1">
        <v>45130</v>
      </c>
      <c r="D877">
        <f>DAY(Tabela_ferias_folgas[[#This Row],[Data]])</f>
        <v>23</v>
      </c>
      <c r="E877">
        <f>MONTH(Tabela_ferias_folgas[[#This Row],[Data]])</f>
        <v>7</v>
      </c>
      <c r="F877">
        <f>YEAR(Tabela_ferias_folgas[[#This Row],[Data]])</f>
        <v>2023</v>
      </c>
      <c r="G877" t="str">
        <f>Tabela_ferias_folgas[[#This Row],[Médico]]&amp;" - "&amp;Tabela_ferias_folgas[[#This Row],[Compromisso]]</f>
        <v>VIN - FÉRIAS</v>
      </c>
    </row>
    <row r="878" spans="1:7" x14ac:dyDescent="0.3">
      <c r="A878" t="s">
        <v>73</v>
      </c>
      <c r="B878" t="s">
        <v>464</v>
      </c>
      <c r="C878" s="1">
        <v>45117</v>
      </c>
      <c r="D878">
        <f>DAY(Tabela_ferias_folgas[[#This Row],[Data]])</f>
        <v>10</v>
      </c>
      <c r="E878">
        <f>MONTH(Tabela_ferias_folgas[[#This Row],[Data]])</f>
        <v>7</v>
      </c>
      <c r="F878">
        <f>YEAR(Tabela_ferias_folgas[[#This Row],[Data]])</f>
        <v>2023</v>
      </c>
      <c r="G878" t="str">
        <f>Tabela_ferias_folgas[[#This Row],[Médico]]&amp;" - "&amp;Tabela_ferias_folgas[[#This Row],[Compromisso]]</f>
        <v>RT - FÉRIAS</v>
      </c>
    </row>
    <row r="879" spans="1:7" x14ac:dyDescent="0.3">
      <c r="A879" t="s">
        <v>73</v>
      </c>
      <c r="B879" t="s">
        <v>464</v>
      </c>
      <c r="C879" s="1">
        <v>45118</v>
      </c>
      <c r="D879">
        <f>DAY(Tabela_ferias_folgas[[#This Row],[Data]])</f>
        <v>11</v>
      </c>
      <c r="E879">
        <f>MONTH(Tabela_ferias_folgas[[#This Row],[Data]])</f>
        <v>7</v>
      </c>
      <c r="F879">
        <f>YEAR(Tabela_ferias_folgas[[#This Row],[Data]])</f>
        <v>2023</v>
      </c>
      <c r="G879" t="str">
        <f>Tabela_ferias_folgas[[#This Row],[Médico]]&amp;" - "&amp;Tabela_ferias_folgas[[#This Row],[Compromisso]]</f>
        <v>RT - FÉRIAS</v>
      </c>
    </row>
    <row r="880" spans="1:7" x14ac:dyDescent="0.3">
      <c r="A880" t="s">
        <v>73</v>
      </c>
      <c r="B880" t="s">
        <v>464</v>
      </c>
      <c r="C880" s="1">
        <v>45119</v>
      </c>
      <c r="D880">
        <f>DAY(Tabela_ferias_folgas[[#This Row],[Data]])</f>
        <v>12</v>
      </c>
      <c r="E880">
        <f>MONTH(Tabela_ferias_folgas[[#This Row],[Data]])</f>
        <v>7</v>
      </c>
      <c r="F880">
        <f>YEAR(Tabela_ferias_folgas[[#This Row],[Data]])</f>
        <v>2023</v>
      </c>
      <c r="G880" t="str">
        <f>Tabela_ferias_folgas[[#This Row],[Médico]]&amp;" - "&amp;Tabela_ferias_folgas[[#This Row],[Compromisso]]</f>
        <v>RT - FÉRIAS</v>
      </c>
    </row>
    <row r="881" spans="1:7" x14ac:dyDescent="0.3">
      <c r="A881" t="s">
        <v>73</v>
      </c>
      <c r="B881" t="s">
        <v>464</v>
      </c>
      <c r="C881" s="1">
        <v>45120</v>
      </c>
      <c r="D881">
        <f>DAY(Tabela_ferias_folgas[[#This Row],[Data]])</f>
        <v>13</v>
      </c>
      <c r="E881">
        <f>MONTH(Tabela_ferias_folgas[[#This Row],[Data]])</f>
        <v>7</v>
      </c>
      <c r="F881">
        <f>YEAR(Tabela_ferias_folgas[[#This Row],[Data]])</f>
        <v>2023</v>
      </c>
      <c r="G881" t="str">
        <f>Tabela_ferias_folgas[[#This Row],[Médico]]&amp;" - "&amp;Tabela_ferias_folgas[[#This Row],[Compromisso]]</f>
        <v>RT - FÉRIAS</v>
      </c>
    </row>
    <row r="882" spans="1:7" x14ac:dyDescent="0.3">
      <c r="A882" t="s">
        <v>73</v>
      </c>
      <c r="B882" t="s">
        <v>464</v>
      </c>
      <c r="C882" s="1">
        <v>45121</v>
      </c>
      <c r="D882">
        <f>DAY(Tabela_ferias_folgas[[#This Row],[Data]])</f>
        <v>14</v>
      </c>
      <c r="E882">
        <f>MONTH(Tabela_ferias_folgas[[#This Row],[Data]])</f>
        <v>7</v>
      </c>
      <c r="F882">
        <f>YEAR(Tabela_ferias_folgas[[#This Row],[Data]])</f>
        <v>2023</v>
      </c>
      <c r="G882" t="str">
        <f>Tabela_ferias_folgas[[#This Row],[Médico]]&amp;" - "&amp;Tabela_ferias_folgas[[#This Row],[Compromisso]]</f>
        <v>RT - FÉRIAS</v>
      </c>
    </row>
    <row r="883" spans="1:7" x14ac:dyDescent="0.3">
      <c r="A883" t="s">
        <v>73</v>
      </c>
      <c r="B883" t="s">
        <v>464</v>
      </c>
      <c r="C883" s="1">
        <v>45122</v>
      </c>
      <c r="D883">
        <f>DAY(Tabela_ferias_folgas[[#This Row],[Data]])</f>
        <v>15</v>
      </c>
      <c r="E883">
        <f>MONTH(Tabela_ferias_folgas[[#This Row],[Data]])</f>
        <v>7</v>
      </c>
      <c r="F883">
        <f>YEAR(Tabela_ferias_folgas[[#This Row],[Data]])</f>
        <v>2023</v>
      </c>
      <c r="G883" t="str">
        <f>Tabela_ferias_folgas[[#This Row],[Médico]]&amp;" - "&amp;Tabela_ferias_folgas[[#This Row],[Compromisso]]</f>
        <v>RT - FÉRIAS</v>
      </c>
    </row>
    <row r="884" spans="1:7" x14ac:dyDescent="0.3">
      <c r="A884" t="s">
        <v>73</v>
      </c>
      <c r="B884" t="s">
        <v>464</v>
      </c>
      <c r="C884" s="1">
        <v>45123</v>
      </c>
      <c r="D884">
        <f>DAY(Tabela_ferias_folgas[[#This Row],[Data]])</f>
        <v>16</v>
      </c>
      <c r="E884">
        <f>MONTH(Tabela_ferias_folgas[[#This Row],[Data]])</f>
        <v>7</v>
      </c>
      <c r="F884">
        <f>YEAR(Tabela_ferias_folgas[[#This Row],[Data]])</f>
        <v>2023</v>
      </c>
      <c r="G884" t="str">
        <f>Tabela_ferias_folgas[[#This Row],[Médico]]&amp;" - "&amp;Tabela_ferias_folgas[[#This Row],[Compromisso]]</f>
        <v>RT - FÉRIAS</v>
      </c>
    </row>
    <row r="885" spans="1:7" x14ac:dyDescent="0.3">
      <c r="A885" t="s">
        <v>14</v>
      </c>
      <c r="B885" t="s">
        <v>464</v>
      </c>
      <c r="C885" s="1">
        <v>45138</v>
      </c>
      <c r="D885">
        <f>DAY(Tabela_ferias_folgas[[#This Row],[Data]])</f>
        <v>31</v>
      </c>
      <c r="E885">
        <f>MONTH(Tabela_ferias_folgas[[#This Row],[Data]])</f>
        <v>7</v>
      </c>
      <c r="F885">
        <f>YEAR(Tabela_ferias_folgas[[#This Row],[Data]])</f>
        <v>2023</v>
      </c>
      <c r="G885" t="str">
        <f>Tabela_ferias_folgas[[#This Row],[Médico]]&amp;" - "&amp;Tabela_ferias_folgas[[#This Row],[Compromisso]]</f>
        <v>PW - FÉRIAS</v>
      </c>
    </row>
    <row r="886" spans="1:7" x14ac:dyDescent="0.3">
      <c r="A886" t="s">
        <v>14</v>
      </c>
      <c r="B886" t="s">
        <v>464</v>
      </c>
      <c r="C886" s="1">
        <v>45139</v>
      </c>
      <c r="D886">
        <f>DAY(Tabela_ferias_folgas[[#This Row],[Data]])</f>
        <v>1</v>
      </c>
      <c r="E886">
        <f>MONTH(Tabela_ferias_folgas[[#This Row],[Data]])</f>
        <v>8</v>
      </c>
      <c r="F886">
        <f>YEAR(Tabela_ferias_folgas[[#This Row],[Data]])</f>
        <v>2023</v>
      </c>
      <c r="G886" t="str">
        <f>Tabela_ferias_folgas[[#This Row],[Médico]]&amp;" - "&amp;Tabela_ferias_folgas[[#This Row],[Compromisso]]</f>
        <v>PW - FÉRIAS</v>
      </c>
    </row>
    <row r="887" spans="1:7" x14ac:dyDescent="0.3">
      <c r="A887" t="s">
        <v>14</v>
      </c>
      <c r="B887" t="s">
        <v>464</v>
      </c>
      <c r="C887" s="1">
        <v>45140</v>
      </c>
      <c r="D887">
        <f>DAY(Tabela_ferias_folgas[[#This Row],[Data]])</f>
        <v>2</v>
      </c>
      <c r="E887">
        <f>MONTH(Tabela_ferias_folgas[[#This Row],[Data]])</f>
        <v>8</v>
      </c>
      <c r="F887">
        <f>YEAR(Tabela_ferias_folgas[[#This Row],[Data]])</f>
        <v>2023</v>
      </c>
      <c r="G887" t="str">
        <f>Tabela_ferias_folgas[[#This Row],[Médico]]&amp;" - "&amp;Tabela_ferias_folgas[[#This Row],[Compromisso]]</f>
        <v>PW - FÉRIAS</v>
      </c>
    </row>
    <row r="888" spans="1:7" x14ac:dyDescent="0.3">
      <c r="A888" t="s">
        <v>14</v>
      </c>
      <c r="B888" t="s">
        <v>464</v>
      </c>
      <c r="C888" s="1">
        <v>45141</v>
      </c>
      <c r="D888">
        <f>DAY(Tabela_ferias_folgas[[#This Row],[Data]])</f>
        <v>3</v>
      </c>
      <c r="E888">
        <f>MONTH(Tabela_ferias_folgas[[#This Row],[Data]])</f>
        <v>8</v>
      </c>
      <c r="F888">
        <f>YEAR(Tabela_ferias_folgas[[#This Row],[Data]])</f>
        <v>2023</v>
      </c>
      <c r="G888" t="str">
        <f>Tabela_ferias_folgas[[#This Row],[Médico]]&amp;" - "&amp;Tabela_ferias_folgas[[#This Row],[Compromisso]]</f>
        <v>PW - FÉRIAS</v>
      </c>
    </row>
    <row r="889" spans="1:7" x14ac:dyDescent="0.3">
      <c r="A889" t="s">
        <v>14</v>
      </c>
      <c r="B889" t="s">
        <v>464</v>
      </c>
      <c r="C889" s="1">
        <v>45142</v>
      </c>
      <c r="D889">
        <f>DAY(Tabela_ferias_folgas[[#This Row],[Data]])</f>
        <v>4</v>
      </c>
      <c r="E889">
        <f>MONTH(Tabela_ferias_folgas[[#This Row],[Data]])</f>
        <v>8</v>
      </c>
      <c r="F889">
        <f>YEAR(Tabela_ferias_folgas[[#This Row],[Data]])</f>
        <v>2023</v>
      </c>
      <c r="G889" t="str">
        <f>Tabela_ferias_folgas[[#This Row],[Médico]]&amp;" - "&amp;Tabela_ferias_folgas[[#This Row],[Compromisso]]</f>
        <v>PW - FÉRIAS</v>
      </c>
    </row>
    <row r="890" spans="1:7" x14ac:dyDescent="0.3">
      <c r="A890" t="s">
        <v>14</v>
      </c>
      <c r="B890" t="s">
        <v>464</v>
      </c>
      <c r="C890" s="1">
        <v>45143</v>
      </c>
      <c r="D890">
        <f>DAY(Tabela_ferias_folgas[[#This Row],[Data]])</f>
        <v>5</v>
      </c>
      <c r="E890">
        <f>MONTH(Tabela_ferias_folgas[[#This Row],[Data]])</f>
        <v>8</v>
      </c>
      <c r="F890">
        <f>YEAR(Tabela_ferias_folgas[[#This Row],[Data]])</f>
        <v>2023</v>
      </c>
      <c r="G890" t="str">
        <f>Tabela_ferias_folgas[[#This Row],[Médico]]&amp;" - "&amp;Tabela_ferias_folgas[[#This Row],[Compromisso]]</f>
        <v>PW - FÉRIAS</v>
      </c>
    </row>
    <row r="891" spans="1:7" x14ac:dyDescent="0.3">
      <c r="A891" t="s">
        <v>14</v>
      </c>
      <c r="B891" t="s">
        <v>464</v>
      </c>
      <c r="C891" s="1">
        <v>45144</v>
      </c>
      <c r="D891">
        <f>DAY(Tabela_ferias_folgas[[#This Row],[Data]])</f>
        <v>6</v>
      </c>
      <c r="E891">
        <f>MONTH(Tabela_ferias_folgas[[#This Row],[Data]])</f>
        <v>8</v>
      </c>
      <c r="F891">
        <f>YEAR(Tabela_ferias_folgas[[#This Row],[Data]])</f>
        <v>2023</v>
      </c>
      <c r="G891" t="str">
        <f>Tabela_ferias_folgas[[#This Row],[Médico]]&amp;" - "&amp;Tabela_ferias_folgas[[#This Row],[Compromisso]]</f>
        <v>PW - FÉRIAS</v>
      </c>
    </row>
    <row r="892" spans="1:7" x14ac:dyDescent="0.3">
      <c r="A892" t="s">
        <v>94</v>
      </c>
      <c r="B892" t="s">
        <v>603</v>
      </c>
      <c r="C892" s="1">
        <v>45265</v>
      </c>
      <c r="D892">
        <f>DAY(Tabela_ferias_folgas[[#This Row],[Data]])</f>
        <v>5</v>
      </c>
      <c r="E892">
        <f>MONTH(Tabela_ferias_folgas[[#This Row],[Data]])</f>
        <v>12</v>
      </c>
      <c r="F892">
        <f>YEAR(Tabela_ferias_folgas[[#This Row],[Data]])</f>
        <v>2023</v>
      </c>
      <c r="G892" t="str">
        <f>Tabela_ferias_folgas[[#This Row],[Médico]]&amp;" - "&amp;Tabela_ferias_folgas[[#This Row],[Compromisso]]</f>
        <v>TOT - CONGRESSO (PROVA TSA)</v>
      </c>
    </row>
    <row r="893" spans="1:7" x14ac:dyDescent="0.3">
      <c r="A893" t="s">
        <v>17</v>
      </c>
      <c r="B893" t="s">
        <v>464</v>
      </c>
      <c r="C893" s="1">
        <v>45201</v>
      </c>
      <c r="D893">
        <f>DAY(Tabela_ferias_folgas[[#This Row],[Data]])</f>
        <v>2</v>
      </c>
      <c r="E893">
        <f>MONTH(Tabela_ferias_folgas[[#This Row],[Data]])</f>
        <v>10</v>
      </c>
      <c r="F893">
        <f>YEAR(Tabela_ferias_folgas[[#This Row],[Data]])</f>
        <v>2023</v>
      </c>
      <c r="G893" t="str">
        <f>Tabela_ferias_folgas[[#This Row],[Médico]]&amp;" - "&amp;Tabela_ferias_folgas[[#This Row],[Compromisso]]</f>
        <v>FAB - FÉRIAS</v>
      </c>
    </row>
    <row r="894" spans="1:7" x14ac:dyDescent="0.3">
      <c r="A894" t="s">
        <v>17</v>
      </c>
      <c r="B894" t="s">
        <v>464</v>
      </c>
      <c r="C894" s="1">
        <v>45202</v>
      </c>
      <c r="D894">
        <f>DAY(Tabela_ferias_folgas[[#This Row],[Data]])</f>
        <v>3</v>
      </c>
      <c r="E894">
        <f>MONTH(Tabela_ferias_folgas[[#This Row],[Data]])</f>
        <v>10</v>
      </c>
      <c r="F894">
        <f>YEAR(Tabela_ferias_folgas[[#This Row],[Data]])</f>
        <v>2023</v>
      </c>
      <c r="G894" t="str">
        <f>Tabela_ferias_folgas[[#This Row],[Médico]]&amp;" - "&amp;Tabela_ferias_folgas[[#This Row],[Compromisso]]</f>
        <v>FAB - FÉRIAS</v>
      </c>
    </row>
    <row r="895" spans="1:7" x14ac:dyDescent="0.3">
      <c r="A895" t="s">
        <v>17</v>
      </c>
      <c r="B895" t="s">
        <v>464</v>
      </c>
      <c r="C895" s="1">
        <v>45203</v>
      </c>
      <c r="D895">
        <f>DAY(Tabela_ferias_folgas[[#This Row],[Data]])</f>
        <v>4</v>
      </c>
      <c r="E895">
        <f>MONTH(Tabela_ferias_folgas[[#This Row],[Data]])</f>
        <v>10</v>
      </c>
      <c r="F895">
        <f>YEAR(Tabela_ferias_folgas[[#This Row],[Data]])</f>
        <v>2023</v>
      </c>
      <c r="G895" t="str">
        <f>Tabela_ferias_folgas[[#This Row],[Médico]]&amp;" - "&amp;Tabela_ferias_folgas[[#This Row],[Compromisso]]</f>
        <v>FAB - FÉRIAS</v>
      </c>
    </row>
    <row r="896" spans="1:7" x14ac:dyDescent="0.3">
      <c r="A896" t="s">
        <v>17</v>
      </c>
      <c r="B896" t="s">
        <v>464</v>
      </c>
      <c r="C896" s="1">
        <v>45204</v>
      </c>
      <c r="D896">
        <f>DAY(Tabela_ferias_folgas[[#This Row],[Data]])</f>
        <v>5</v>
      </c>
      <c r="E896">
        <f>MONTH(Tabela_ferias_folgas[[#This Row],[Data]])</f>
        <v>10</v>
      </c>
      <c r="F896">
        <f>YEAR(Tabela_ferias_folgas[[#This Row],[Data]])</f>
        <v>2023</v>
      </c>
      <c r="G896" t="str">
        <f>Tabela_ferias_folgas[[#This Row],[Médico]]&amp;" - "&amp;Tabela_ferias_folgas[[#This Row],[Compromisso]]</f>
        <v>FAB - FÉRIAS</v>
      </c>
    </row>
    <row r="897" spans="1:7" x14ac:dyDescent="0.3">
      <c r="A897" t="s">
        <v>17</v>
      </c>
      <c r="B897" t="s">
        <v>464</v>
      </c>
      <c r="C897" s="1">
        <v>45205</v>
      </c>
      <c r="D897">
        <f>DAY(Tabela_ferias_folgas[[#This Row],[Data]])</f>
        <v>6</v>
      </c>
      <c r="E897">
        <f>MONTH(Tabela_ferias_folgas[[#This Row],[Data]])</f>
        <v>10</v>
      </c>
      <c r="F897">
        <f>YEAR(Tabela_ferias_folgas[[#This Row],[Data]])</f>
        <v>2023</v>
      </c>
      <c r="G897" t="str">
        <f>Tabela_ferias_folgas[[#This Row],[Médico]]&amp;" - "&amp;Tabela_ferias_folgas[[#This Row],[Compromisso]]</f>
        <v>FAB - FÉRIAS</v>
      </c>
    </row>
    <row r="898" spans="1:7" x14ac:dyDescent="0.3">
      <c r="A898" t="s">
        <v>17</v>
      </c>
      <c r="B898" t="s">
        <v>464</v>
      </c>
      <c r="C898" s="1">
        <v>45206</v>
      </c>
      <c r="D898">
        <f>DAY(Tabela_ferias_folgas[[#This Row],[Data]])</f>
        <v>7</v>
      </c>
      <c r="E898">
        <f>MONTH(Tabela_ferias_folgas[[#This Row],[Data]])</f>
        <v>10</v>
      </c>
      <c r="F898">
        <f>YEAR(Tabela_ferias_folgas[[#This Row],[Data]])</f>
        <v>2023</v>
      </c>
      <c r="G898" t="str">
        <f>Tabela_ferias_folgas[[#This Row],[Médico]]&amp;" - "&amp;Tabela_ferias_folgas[[#This Row],[Compromisso]]</f>
        <v>FAB - FÉRIAS</v>
      </c>
    </row>
    <row r="899" spans="1:7" x14ac:dyDescent="0.3">
      <c r="A899" t="s">
        <v>17</v>
      </c>
      <c r="B899" t="s">
        <v>464</v>
      </c>
      <c r="C899" s="1">
        <v>45207</v>
      </c>
      <c r="D899">
        <f>DAY(Tabela_ferias_folgas[[#This Row],[Data]])</f>
        <v>8</v>
      </c>
      <c r="E899">
        <f>MONTH(Tabela_ferias_folgas[[#This Row],[Data]])</f>
        <v>10</v>
      </c>
      <c r="F899">
        <f>YEAR(Tabela_ferias_folgas[[#This Row],[Data]])</f>
        <v>2023</v>
      </c>
      <c r="G899" t="str">
        <f>Tabela_ferias_folgas[[#This Row],[Médico]]&amp;" - "&amp;Tabela_ferias_folgas[[#This Row],[Compromisso]]</f>
        <v>FAB - FÉRIAS</v>
      </c>
    </row>
    <row r="900" spans="1:7" x14ac:dyDescent="0.3">
      <c r="A900" t="s">
        <v>66</v>
      </c>
      <c r="B900" t="s">
        <v>464</v>
      </c>
      <c r="C900" s="1">
        <v>45215</v>
      </c>
      <c r="D900">
        <f>DAY(Tabela_ferias_folgas[[#This Row],[Data]])</f>
        <v>16</v>
      </c>
      <c r="E900">
        <f>MONTH(Tabela_ferias_folgas[[#This Row],[Data]])</f>
        <v>10</v>
      </c>
      <c r="F900">
        <f>YEAR(Tabela_ferias_folgas[[#This Row],[Data]])</f>
        <v>2023</v>
      </c>
      <c r="G900" t="str">
        <f>Tabela_ferias_folgas[[#This Row],[Médico]]&amp;" - "&amp;Tabela_ferias_folgas[[#This Row],[Compromisso]]</f>
        <v>MOZ - FÉRIAS</v>
      </c>
    </row>
    <row r="901" spans="1:7" x14ac:dyDescent="0.3">
      <c r="A901" t="s">
        <v>66</v>
      </c>
      <c r="B901" t="s">
        <v>464</v>
      </c>
      <c r="C901" s="1">
        <v>45216</v>
      </c>
      <c r="D901">
        <f>DAY(Tabela_ferias_folgas[[#This Row],[Data]])</f>
        <v>17</v>
      </c>
      <c r="E901">
        <f>MONTH(Tabela_ferias_folgas[[#This Row],[Data]])</f>
        <v>10</v>
      </c>
      <c r="F901">
        <f>YEAR(Tabela_ferias_folgas[[#This Row],[Data]])</f>
        <v>2023</v>
      </c>
      <c r="G901" t="str">
        <f>Tabela_ferias_folgas[[#This Row],[Médico]]&amp;" - "&amp;Tabela_ferias_folgas[[#This Row],[Compromisso]]</f>
        <v>MOZ - FÉRIAS</v>
      </c>
    </row>
    <row r="902" spans="1:7" x14ac:dyDescent="0.3">
      <c r="A902" t="s">
        <v>66</v>
      </c>
      <c r="B902" t="s">
        <v>464</v>
      </c>
      <c r="C902" s="1">
        <v>45217</v>
      </c>
      <c r="D902">
        <f>DAY(Tabela_ferias_folgas[[#This Row],[Data]])</f>
        <v>18</v>
      </c>
      <c r="E902">
        <f>MONTH(Tabela_ferias_folgas[[#This Row],[Data]])</f>
        <v>10</v>
      </c>
      <c r="F902">
        <f>YEAR(Tabela_ferias_folgas[[#This Row],[Data]])</f>
        <v>2023</v>
      </c>
      <c r="G902" t="str">
        <f>Tabela_ferias_folgas[[#This Row],[Médico]]&amp;" - "&amp;Tabela_ferias_folgas[[#This Row],[Compromisso]]</f>
        <v>MOZ - FÉRIAS</v>
      </c>
    </row>
    <row r="903" spans="1:7" x14ac:dyDescent="0.3">
      <c r="A903" t="s">
        <v>66</v>
      </c>
      <c r="B903" t="s">
        <v>464</v>
      </c>
      <c r="C903" s="1">
        <v>45218</v>
      </c>
      <c r="D903">
        <f>DAY(Tabela_ferias_folgas[[#This Row],[Data]])</f>
        <v>19</v>
      </c>
      <c r="E903">
        <f>MONTH(Tabela_ferias_folgas[[#This Row],[Data]])</f>
        <v>10</v>
      </c>
      <c r="F903">
        <f>YEAR(Tabela_ferias_folgas[[#This Row],[Data]])</f>
        <v>2023</v>
      </c>
      <c r="G903" t="str">
        <f>Tabela_ferias_folgas[[#This Row],[Médico]]&amp;" - "&amp;Tabela_ferias_folgas[[#This Row],[Compromisso]]</f>
        <v>MOZ - FÉRIAS</v>
      </c>
    </row>
    <row r="904" spans="1:7" x14ac:dyDescent="0.3">
      <c r="A904" t="s">
        <v>66</v>
      </c>
      <c r="B904" t="s">
        <v>464</v>
      </c>
      <c r="C904" s="1">
        <v>45219</v>
      </c>
      <c r="D904">
        <f>DAY(Tabela_ferias_folgas[[#This Row],[Data]])</f>
        <v>20</v>
      </c>
      <c r="E904">
        <f>MONTH(Tabela_ferias_folgas[[#This Row],[Data]])</f>
        <v>10</v>
      </c>
      <c r="F904">
        <f>YEAR(Tabela_ferias_folgas[[#This Row],[Data]])</f>
        <v>2023</v>
      </c>
      <c r="G904" t="str">
        <f>Tabela_ferias_folgas[[#This Row],[Médico]]&amp;" - "&amp;Tabela_ferias_folgas[[#This Row],[Compromisso]]</f>
        <v>MOZ - FÉRIAS</v>
      </c>
    </row>
    <row r="905" spans="1:7" x14ac:dyDescent="0.3">
      <c r="A905" t="s">
        <v>66</v>
      </c>
      <c r="B905" t="s">
        <v>464</v>
      </c>
      <c r="C905" s="1">
        <v>45220</v>
      </c>
      <c r="D905">
        <f>DAY(Tabela_ferias_folgas[[#This Row],[Data]])</f>
        <v>21</v>
      </c>
      <c r="E905">
        <f>MONTH(Tabela_ferias_folgas[[#This Row],[Data]])</f>
        <v>10</v>
      </c>
      <c r="F905">
        <f>YEAR(Tabela_ferias_folgas[[#This Row],[Data]])</f>
        <v>2023</v>
      </c>
      <c r="G905" t="str">
        <f>Tabela_ferias_folgas[[#This Row],[Médico]]&amp;" - "&amp;Tabela_ferias_folgas[[#This Row],[Compromisso]]</f>
        <v>MOZ - FÉRIAS</v>
      </c>
    </row>
    <row r="906" spans="1:7" x14ac:dyDescent="0.3">
      <c r="A906" t="s">
        <v>66</v>
      </c>
      <c r="B906" t="s">
        <v>464</v>
      </c>
      <c r="C906" s="1">
        <v>45221</v>
      </c>
      <c r="D906">
        <f>DAY(Tabela_ferias_folgas[[#This Row],[Data]])</f>
        <v>22</v>
      </c>
      <c r="E906">
        <f>MONTH(Tabela_ferias_folgas[[#This Row],[Data]])</f>
        <v>10</v>
      </c>
      <c r="F906">
        <f>YEAR(Tabela_ferias_folgas[[#This Row],[Data]])</f>
        <v>2023</v>
      </c>
      <c r="G906" t="str">
        <f>Tabela_ferias_folgas[[#This Row],[Médico]]&amp;" - "&amp;Tabela_ferias_folgas[[#This Row],[Compromisso]]</f>
        <v>MOZ - FÉRIAS</v>
      </c>
    </row>
    <row r="907" spans="1:7" x14ac:dyDescent="0.3">
      <c r="A907" t="s">
        <v>34</v>
      </c>
      <c r="B907" t="s">
        <v>611</v>
      </c>
      <c r="C907" s="1">
        <v>45225</v>
      </c>
      <c r="D907">
        <f>DAY(Tabela_ferias_folgas[[#This Row],[Data]])</f>
        <v>26</v>
      </c>
      <c r="E907">
        <f>MONTH(Tabela_ferias_folgas[[#This Row],[Data]])</f>
        <v>10</v>
      </c>
      <c r="F907">
        <f>YEAR(Tabela_ferias_folgas[[#This Row],[Data]])</f>
        <v>2023</v>
      </c>
      <c r="G907" t="str">
        <f>Tabela_ferias_folgas[[#This Row],[Médico]]&amp;" - "&amp;Tabela_ferias_folgas[[#This Row],[Compromisso]]</f>
        <v>LIP - CONGRESSO (XI SINGEP-CIK)</v>
      </c>
    </row>
    <row r="908" spans="1:7" x14ac:dyDescent="0.3">
      <c r="A908" t="s">
        <v>34</v>
      </c>
      <c r="B908" t="s">
        <v>611</v>
      </c>
      <c r="C908" s="1">
        <v>45226</v>
      </c>
      <c r="D908">
        <f>DAY(Tabela_ferias_folgas[[#This Row],[Data]])</f>
        <v>27</v>
      </c>
      <c r="E908">
        <f>MONTH(Tabela_ferias_folgas[[#This Row],[Data]])</f>
        <v>10</v>
      </c>
      <c r="F908">
        <f>YEAR(Tabela_ferias_folgas[[#This Row],[Data]])</f>
        <v>2023</v>
      </c>
      <c r="G908" t="str">
        <f>Tabela_ferias_folgas[[#This Row],[Médico]]&amp;" - "&amp;Tabela_ferias_folgas[[#This Row],[Compromisso]]</f>
        <v>LIP - CONGRESSO (XI SINGEP-CIK)</v>
      </c>
    </row>
    <row r="909" spans="1:7" x14ac:dyDescent="0.3">
      <c r="A909" t="s">
        <v>34</v>
      </c>
      <c r="B909" t="s">
        <v>611</v>
      </c>
      <c r="C909" s="1">
        <v>45227</v>
      </c>
      <c r="D909">
        <f>DAY(Tabela_ferias_folgas[[#This Row],[Data]])</f>
        <v>28</v>
      </c>
      <c r="E909">
        <f>MONTH(Tabela_ferias_folgas[[#This Row],[Data]])</f>
        <v>10</v>
      </c>
      <c r="F909">
        <f>YEAR(Tabela_ferias_folgas[[#This Row],[Data]])</f>
        <v>2023</v>
      </c>
      <c r="G909" t="str">
        <f>Tabela_ferias_folgas[[#This Row],[Médico]]&amp;" - "&amp;Tabela_ferias_folgas[[#This Row],[Compromisso]]</f>
        <v>LIP - CONGRESSO (XI SINGEP-CIK)</v>
      </c>
    </row>
    <row r="910" spans="1:7" x14ac:dyDescent="0.3">
      <c r="A910" t="s">
        <v>25</v>
      </c>
      <c r="B910" t="s">
        <v>464</v>
      </c>
      <c r="C910" s="1">
        <v>45243</v>
      </c>
      <c r="D910">
        <f>DAY(Tabela_ferias_folgas[[#This Row],[Data]])</f>
        <v>13</v>
      </c>
      <c r="E910">
        <f>MONTH(Tabela_ferias_folgas[[#This Row],[Data]])</f>
        <v>11</v>
      </c>
      <c r="F910">
        <f>YEAR(Tabela_ferias_folgas[[#This Row],[Data]])</f>
        <v>2023</v>
      </c>
      <c r="G910" t="str">
        <f>Tabela_ferias_folgas[[#This Row],[Médico]]&amp;" - "&amp;Tabela_ferias_folgas[[#This Row],[Compromisso]]</f>
        <v>HEN - FÉRIAS</v>
      </c>
    </row>
    <row r="911" spans="1:7" x14ac:dyDescent="0.3">
      <c r="A911" t="s">
        <v>25</v>
      </c>
      <c r="B911" t="s">
        <v>464</v>
      </c>
      <c r="C911" s="1">
        <v>45244</v>
      </c>
      <c r="D911">
        <f>DAY(Tabela_ferias_folgas[[#This Row],[Data]])</f>
        <v>14</v>
      </c>
      <c r="E911">
        <f>MONTH(Tabela_ferias_folgas[[#This Row],[Data]])</f>
        <v>11</v>
      </c>
      <c r="F911">
        <f>YEAR(Tabela_ferias_folgas[[#This Row],[Data]])</f>
        <v>2023</v>
      </c>
      <c r="G911" t="str">
        <f>Tabela_ferias_folgas[[#This Row],[Médico]]&amp;" - "&amp;Tabela_ferias_folgas[[#This Row],[Compromisso]]</f>
        <v>HEN - FÉRIAS</v>
      </c>
    </row>
    <row r="912" spans="1:7" x14ac:dyDescent="0.3">
      <c r="A912" t="s">
        <v>25</v>
      </c>
      <c r="B912" t="s">
        <v>464</v>
      </c>
      <c r="C912" s="1">
        <v>45245</v>
      </c>
      <c r="D912">
        <f>DAY(Tabela_ferias_folgas[[#This Row],[Data]])</f>
        <v>15</v>
      </c>
      <c r="E912">
        <f>MONTH(Tabela_ferias_folgas[[#This Row],[Data]])</f>
        <v>11</v>
      </c>
      <c r="F912">
        <f>YEAR(Tabela_ferias_folgas[[#This Row],[Data]])</f>
        <v>2023</v>
      </c>
      <c r="G912" t="str">
        <f>Tabela_ferias_folgas[[#This Row],[Médico]]&amp;" - "&amp;Tabela_ferias_folgas[[#This Row],[Compromisso]]</f>
        <v>HEN - FÉRIAS</v>
      </c>
    </row>
    <row r="913" spans="1:7" x14ac:dyDescent="0.3">
      <c r="A913" t="s">
        <v>25</v>
      </c>
      <c r="B913" t="s">
        <v>464</v>
      </c>
      <c r="C913" s="1">
        <v>45246</v>
      </c>
      <c r="D913">
        <f>DAY(Tabela_ferias_folgas[[#This Row],[Data]])</f>
        <v>16</v>
      </c>
      <c r="E913">
        <f>MONTH(Tabela_ferias_folgas[[#This Row],[Data]])</f>
        <v>11</v>
      </c>
      <c r="F913">
        <f>YEAR(Tabela_ferias_folgas[[#This Row],[Data]])</f>
        <v>2023</v>
      </c>
      <c r="G913" t="str">
        <f>Tabela_ferias_folgas[[#This Row],[Médico]]&amp;" - "&amp;Tabela_ferias_folgas[[#This Row],[Compromisso]]</f>
        <v>HEN - FÉRIAS</v>
      </c>
    </row>
    <row r="914" spans="1:7" x14ac:dyDescent="0.3">
      <c r="A914" t="s">
        <v>25</v>
      </c>
      <c r="B914" t="s">
        <v>464</v>
      </c>
      <c r="C914" s="1">
        <v>45247</v>
      </c>
      <c r="D914">
        <f>DAY(Tabela_ferias_folgas[[#This Row],[Data]])</f>
        <v>17</v>
      </c>
      <c r="E914">
        <f>MONTH(Tabela_ferias_folgas[[#This Row],[Data]])</f>
        <v>11</v>
      </c>
      <c r="F914">
        <f>YEAR(Tabela_ferias_folgas[[#This Row],[Data]])</f>
        <v>2023</v>
      </c>
      <c r="G914" t="str">
        <f>Tabela_ferias_folgas[[#This Row],[Médico]]&amp;" - "&amp;Tabela_ferias_folgas[[#This Row],[Compromisso]]</f>
        <v>HEN - FÉRIAS</v>
      </c>
    </row>
    <row r="915" spans="1:7" x14ac:dyDescent="0.3">
      <c r="A915" t="s">
        <v>25</v>
      </c>
      <c r="B915" t="s">
        <v>464</v>
      </c>
      <c r="C915" s="1">
        <v>45248</v>
      </c>
      <c r="D915">
        <f>DAY(Tabela_ferias_folgas[[#This Row],[Data]])</f>
        <v>18</v>
      </c>
      <c r="E915">
        <f>MONTH(Tabela_ferias_folgas[[#This Row],[Data]])</f>
        <v>11</v>
      </c>
      <c r="F915">
        <f>YEAR(Tabela_ferias_folgas[[#This Row],[Data]])</f>
        <v>2023</v>
      </c>
      <c r="G915" t="str">
        <f>Tabela_ferias_folgas[[#This Row],[Médico]]&amp;" - "&amp;Tabela_ferias_folgas[[#This Row],[Compromisso]]</f>
        <v>HEN - FÉRIAS</v>
      </c>
    </row>
    <row r="916" spans="1:7" x14ac:dyDescent="0.3">
      <c r="A916" t="s">
        <v>25</v>
      </c>
      <c r="B916" t="s">
        <v>464</v>
      </c>
      <c r="C916" s="1">
        <v>45249</v>
      </c>
      <c r="D916">
        <f>DAY(Tabela_ferias_folgas[[#This Row],[Data]])</f>
        <v>19</v>
      </c>
      <c r="E916">
        <f>MONTH(Tabela_ferias_folgas[[#This Row],[Data]])</f>
        <v>11</v>
      </c>
      <c r="F916">
        <f>YEAR(Tabela_ferias_folgas[[#This Row],[Data]])</f>
        <v>2023</v>
      </c>
      <c r="G916" t="str">
        <f>Tabela_ferias_folgas[[#This Row],[Médico]]&amp;" - "&amp;Tabela_ferias_folgas[[#This Row],[Compromisso]]</f>
        <v>HEN - FÉRIAS</v>
      </c>
    </row>
    <row r="917" spans="1:7" x14ac:dyDescent="0.3">
      <c r="A917" t="s">
        <v>25</v>
      </c>
      <c r="B917" t="s">
        <v>464</v>
      </c>
      <c r="C917" s="1">
        <v>45250</v>
      </c>
      <c r="D917">
        <f>DAY(Tabela_ferias_folgas[[#This Row],[Data]])</f>
        <v>20</v>
      </c>
      <c r="E917">
        <f>MONTH(Tabela_ferias_folgas[[#This Row],[Data]])</f>
        <v>11</v>
      </c>
      <c r="F917">
        <f>YEAR(Tabela_ferias_folgas[[#This Row],[Data]])</f>
        <v>2023</v>
      </c>
      <c r="G917" t="str">
        <f>Tabela_ferias_folgas[[#This Row],[Médico]]&amp;" - "&amp;Tabela_ferias_folgas[[#This Row],[Compromisso]]</f>
        <v>HEN - FÉRIAS</v>
      </c>
    </row>
    <row r="918" spans="1:7" x14ac:dyDescent="0.3">
      <c r="A918" t="s">
        <v>25</v>
      </c>
      <c r="B918" t="s">
        <v>464</v>
      </c>
      <c r="C918" s="1">
        <v>45251</v>
      </c>
      <c r="D918">
        <f>DAY(Tabela_ferias_folgas[[#This Row],[Data]])</f>
        <v>21</v>
      </c>
      <c r="E918">
        <f>MONTH(Tabela_ferias_folgas[[#This Row],[Data]])</f>
        <v>11</v>
      </c>
      <c r="F918">
        <f>YEAR(Tabela_ferias_folgas[[#This Row],[Data]])</f>
        <v>2023</v>
      </c>
      <c r="G918" t="str">
        <f>Tabela_ferias_folgas[[#This Row],[Médico]]&amp;" - "&amp;Tabela_ferias_folgas[[#This Row],[Compromisso]]</f>
        <v>HEN - FÉRIAS</v>
      </c>
    </row>
    <row r="919" spans="1:7" x14ac:dyDescent="0.3">
      <c r="A919" t="s">
        <v>25</v>
      </c>
      <c r="B919" t="s">
        <v>464</v>
      </c>
      <c r="C919" s="1">
        <v>45252</v>
      </c>
      <c r="D919">
        <f>DAY(Tabela_ferias_folgas[[#This Row],[Data]])</f>
        <v>22</v>
      </c>
      <c r="E919">
        <f>MONTH(Tabela_ferias_folgas[[#This Row],[Data]])</f>
        <v>11</v>
      </c>
      <c r="F919">
        <f>YEAR(Tabela_ferias_folgas[[#This Row],[Data]])</f>
        <v>2023</v>
      </c>
      <c r="G919" t="str">
        <f>Tabela_ferias_folgas[[#This Row],[Médico]]&amp;" - "&amp;Tabela_ferias_folgas[[#This Row],[Compromisso]]</f>
        <v>HEN - FÉRIAS</v>
      </c>
    </row>
    <row r="920" spans="1:7" x14ac:dyDescent="0.3">
      <c r="A920" t="s">
        <v>25</v>
      </c>
      <c r="B920" t="s">
        <v>464</v>
      </c>
      <c r="C920" s="1">
        <v>45253</v>
      </c>
      <c r="D920">
        <f>DAY(Tabela_ferias_folgas[[#This Row],[Data]])</f>
        <v>23</v>
      </c>
      <c r="E920">
        <f>MONTH(Tabela_ferias_folgas[[#This Row],[Data]])</f>
        <v>11</v>
      </c>
      <c r="F920">
        <f>YEAR(Tabela_ferias_folgas[[#This Row],[Data]])</f>
        <v>2023</v>
      </c>
      <c r="G920" t="str">
        <f>Tabela_ferias_folgas[[#This Row],[Médico]]&amp;" - "&amp;Tabela_ferias_folgas[[#This Row],[Compromisso]]</f>
        <v>HEN - FÉRIAS</v>
      </c>
    </row>
    <row r="921" spans="1:7" x14ac:dyDescent="0.3">
      <c r="A921" t="s">
        <v>25</v>
      </c>
      <c r="B921" t="s">
        <v>464</v>
      </c>
      <c r="C921" s="1">
        <v>45254</v>
      </c>
      <c r="D921">
        <f>DAY(Tabela_ferias_folgas[[#This Row],[Data]])</f>
        <v>24</v>
      </c>
      <c r="E921">
        <f>MONTH(Tabela_ferias_folgas[[#This Row],[Data]])</f>
        <v>11</v>
      </c>
      <c r="F921">
        <f>YEAR(Tabela_ferias_folgas[[#This Row],[Data]])</f>
        <v>2023</v>
      </c>
      <c r="G921" t="str">
        <f>Tabela_ferias_folgas[[#This Row],[Médico]]&amp;" - "&amp;Tabela_ferias_folgas[[#This Row],[Compromisso]]</f>
        <v>HEN - FÉRIAS</v>
      </c>
    </row>
    <row r="922" spans="1:7" x14ac:dyDescent="0.3">
      <c r="A922" t="s">
        <v>25</v>
      </c>
      <c r="B922" t="s">
        <v>464</v>
      </c>
      <c r="C922" s="1">
        <v>45255</v>
      </c>
      <c r="D922">
        <f>DAY(Tabela_ferias_folgas[[#This Row],[Data]])</f>
        <v>25</v>
      </c>
      <c r="E922">
        <f>MONTH(Tabela_ferias_folgas[[#This Row],[Data]])</f>
        <v>11</v>
      </c>
      <c r="F922">
        <f>YEAR(Tabela_ferias_folgas[[#This Row],[Data]])</f>
        <v>2023</v>
      </c>
      <c r="G922" t="str">
        <f>Tabela_ferias_folgas[[#This Row],[Médico]]&amp;" - "&amp;Tabela_ferias_folgas[[#This Row],[Compromisso]]</f>
        <v>HEN - FÉRIAS</v>
      </c>
    </row>
    <row r="923" spans="1:7" x14ac:dyDescent="0.3">
      <c r="A923" t="s">
        <v>25</v>
      </c>
      <c r="B923" t="s">
        <v>464</v>
      </c>
      <c r="C923" s="1">
        <v>45256</v>
      </c>
      <c r="D923">
        <f>DAY(Tabela_ferias_folgas[[#This Row],[Data]])</f>
        <v>26</v>
      </c>
      <c r="E923">
        <f>MONTH(Tabela_ferias_folgas[[#This Row],[Data]])</f>
        <v>11</v>
      </c>
      <c r="F923">
        <f>YEAR(Tabela_ferias_folgas[[#This Row],[Data]])</f>
        <v>2023</v>
      </c>
      <c r="G923" t="str">
        <f>Tabela_ferias_folgas[[#This Row],[Médico]]&amp;" - "&amp;Tabela_ferias_folgas[[#This Row],[Compromisso]]</f>
        <v>HEN - FÉRIAS</v>
      </c>
    </row>
    <row r="924" spans="1:7" x14ac:dyDescent="0.3">
      <c r="A924" t="s">
        <v>34</v>
      </c>
      <c r="B924" t="s">
        <v>464</v>
      </c>
      <c r="C924" s="1">
        <v>45250</v>
      </c>
      <c r="D924">
        <f>DAY(Tabela_ferias_folgas[[#This Row],[Data]])</f>
        <v>20</v>
      </c>
      <c r="E924">
        <f>MONTH(Tabela_ferias_folgas[[#This Row],[Data]])</f>
        <v>11</v>
      </c>
      <c r="F924">
        <f>YEAR(Tabela_ferias_folgas[[#This Row],[Data]])</f>
        <v>2023</v>
      </c>
      <c r="G924" t="str">
        <f>Tabela_ferias_folgas[[#This Row],[Médico]]&amp;" - "&amp;Tabela_ferias_folgas[[#This Row],[Compromisso]]</f>
        <v>LIP - FÉRIAS</v>
      </c>
    </row>
    <row r="925" spans="1:7" x14ac:dyDescent="0.3">
      <c r="A925" t="s">
        <v>34</v>
      </c>
      <c r="B925" t="s">
        <v>464</v>
      </c>
      <c r="C925" s="1">
        <v>45251</v>
      </c>
      <c r="D925">
        <f>DAY(Tabela_ferias_folgas[[#This Row],[Data]])</f>
        <v>21</v>
      </c>
      <c r="E925">
        <f>MONTH(Tabela_ferias_folgas[[#This Row],[Data]])</f>
        <v>11</v>
      </c>
      <c r="F925">
        <f>YEAR(Tabela_ferias_folgas[[#This Row],[Data]])</f>
        <v>2023</v>
      </c>
      <c r="G925" t="str">
        <f>Tabela_ferias_folgas[[#This Row],[Médico]]&amp;" - "&amp;Tabela_ferias_folgas[[#This Row],[Compromisso]]</f>
        <v>LIP - FÉRIAS</v>
      </c>
    </row>
    <row r="926" spans="1:7" x14ac:dyDescent="0.3">
      <c r="A926" t="s">
        <v>34</v>
      </c>
      <c r="B926" t="s">
        <v>464</v>
      </c>
      <c r="C926" s="1">
        <v>45252</v>
      </c>
      <c r="D926">
        <f>DAY(Tabela_ferias_folgas[[#This Row],[Data]])</f>
        <v>22</v>
      </c>
      <c r="E926">
        <f>MONTH(Tabela_ferias_folgas[[#This Row],[Data]])</f>
        <v>11</v>
      </c>
      <c r="F926">
        <f>YEAR(Tabela_ferias_folgas[[#This Row],[Data]])</f>
        <v>2023</v>
      </c>
      <c r="G926" t="str">
        <f>Tabela_ferias_folgas[[#This Row],[Médico]]&amp;" - "&amp;Tabela_ferias_folgas[[#This Row],[Compromisso]]</f>
        <v>LIP - FÉRIAS</v>
      </c>
    </row>
    <row r="927" spans="1:7" x14ac:dyDescent="0.3">
      <c r="A927" t="s">
        <v>34</v>
      </c>
      <c r="B927" t="s">
        <v>464</v>
      </c>
      <c r="C927" s="1">
        <v>45253</v>
      </c>
      <c r="D927">
        <f>DAY(Tabela_ferias_folgas[[#This Row],[Data]])</f>
        <v>23</v>
      </c>
      <c r="E927">
        <f>MONTH(Tabela_ferias_folgas[[#This Row],[Data]])</f>
        <v>11</v>
      </c>
      <c r="F927">
        <f>YEAR(Tabela_ferias_folgas[[#This Row],[Data]])</f>
        <v>2023</v>
      </c>
      <c r="G927" t="str">
        <f>Tabela_ferias_folgas[[#This Row],[Médico]]&amp;" - "&amp;Tabela_ferias_folgas[[#This Row],[Compromisso]]</f>
        <v>LIP - FÉRIAS</v>
      </c>
    </row>
    <row r="928" spans="1:7" x14ac:dyDescent="0.3">
      <c r="A928" t="s">
        <v>34</v>
      </c>
      <c r="B928" t="s">
        <v>464</v>
      </c>
      <c r="C928" s="1">
        <v>45254</v>
      </c>
      <c r="D928">
        <f>DAY(Tabela_ferias_folgas[[#This Row],[Data]])</f>
        <v>24</v>
      </c>
      <c r="E928">
        <f>MONTH(Tabela_ferias_folgas[[#This Row],[Data]])</f>
        <v>11</v>
      </c>
      <c r="F928">
        <f>YEAR(Tabela_ferias_folgas[[#This Row],[Data]])</f>
        <v>2023</v>
      </c>
      <c r="G928" t="str">
        <f>Tabela_ferias_folgas[[#This Row],[Médico]]&amp;" - "&amp;Tabela_ferias_folgas[[#This Row],[Compromisso]]</f>
        <v>LIP - FÉRIAS</v>
      </c>
    </row>
    <row r="929" spans="1:7" x14ac:dyDescent="0.3">
      <c r="A929" t="s">
        <v>34</v>
      </c>
      <c r="B929" t="s">
        <v>464</v>
      </c>
      <c r="C929" s="1">
        <v>45255</v>
      </c>
      <c r="D929">
        <f>DAY(Tabela_ferias_folgas[[#This Row],[Data]])</f>
        <v>25</v>
      </c>
      <c r="E929">
        <f>MONTH(Tabela_ferias_folgas[[#This Row],[Data]])</f>
        <v>11</v>
      </c>
      <c r="F929">
        <f>YEAR(Tabela_ferias_folgas[[#This Row],[Data]])</f>
        <v>2023</v>
      </c>
      <c r="G929" t="str">
        <f>Tabela_ferias_folgas[[#This Row],[Médico]]&amp;" - "&amp;Tabela_ferias_folgas[[#This Row],[Compromisso]]</f>
        <v>LIP - FÉRIAS</v>
      </c>
    </row>
    <row r="930" spans="1:7" x14ac:dyDescent="0.3">
      <c r="A930" t="s">
        <v>34</v>
      </c>
      <c r="B930" t="s">
        <v>464</v>
      </c>
      <c r="C930" s="1">
        <v>45256</v>
      </c>
      <c r="D930">
        <f>DAY(Tabela_ferias_folgas[[#This Row],[Data]])</f>
        <v>26</v>
      </c>
      <c r="E930">
        <f>MONTH(Tabela_ferias_folgas[[#This Row],[Data]])</f>
        <v>11</v>
      </c>
      <c r="F930">
        <f>YEAR(Tabela_ferias_folgas[[#This Row],[Data]])</f>
        <v>2023</v>
      </c>
      <c r="G930" t="str">
        <f>Tabela_ferias_folgas[[#This Row],[Médico]]&amp;" - "&amp;Tabela_ferias_folgas[[#This Row],[Compromisso]]</f>
        <v>LIP - FÉRIAS</v>
      </c>
    </row>
    <row r="931" spans="1:7" x14ac:dyDescent="0.3">
      <c r="A931" t="s">
        <v>34</v>
      </c>
      <c r="B931" t="s">
        <v>464</v>
      </c>
      <c r="C931" s="1">
        <v>45257</v>
      </c>
      <c r="D931">
        <f>DAY(Tabela_ferias_folgas[[#This Row],[Data]])</f>
        <v>27</v>
      </c>
      <c r="E931">
        <f>MONTH(Tabela_ferias_folgas[[#This Row],[Data]])</f>
        <v>11</v>
      </c>
      <c r="F931">
        <f>YEAR(Tabela_ferias_folgas[[#This Row],[Data]])</f>
        <v>2023</v>
      </c>
      <c r="G931" t="str">
        <f>Tabela_ferias_folgas[[#This Row],[Médico]]&amp;" - "&amp;Tabela_ferias_folgas[[#This Row],[Compromisso]]</f>
        <v>LIP - FÉRIAS</v>
      </c>
    </row>
    <row r="932" spans="1:7" x14ac:dyDescent="0.3">
      <c r="A932" t="s">
        <v>34</v>
      </c>
      <c r="B932" t="s">
        <v>464</v>
      </c>
      <c r="C932" s="1">
        <v>45258</v>
      </c>
      <c r="D932">
        <f>DAY(Tabela_ferias_folgas[[#This Row],[Data]])</f>
        <v>28</v>
      </c>
      <c r="E932">
        <f>MONTH(Tabela_ferias_folgas[[#This Row],[Data]])</f>
        <v>11</v>
      </c>
      <c r="F932">
        <f>YEAR(Tabela_ferias_folgas[[#This Row],[Data]])</f>
        <v>2023</v>
      </c>
      <c r="G932" t="str">
        <f>Tabela_ferias_folgas[[#This Row],[Médico]]&amp;" - "&amp;Tabela_ferias_folgas[[#This Row],[Compromisso]]</f>
        <v>LIP - FÉRIAS</v>
      </c>
    </row>
    <row r="933" spans="1:7" x14ac:dyDescent="0.3">
      <c r="A933" t="s">
        <v>34</v>
      </c>
      <c r="B933" t="s">
        <v>464</v>
      </c>
      <c r="C933" s="1">
        <v>45259</v>
      </c>
      <c r="D933">
        <f>DAY(Tabela_ferias_folgas[[#This Row],[Data]])</f>
        <v>29</v>
      </c>
      <c r="E933">
        <f>MONTH(Tabela_ferias_folgas[[#This Row],[Data]])</f>
        <v>11</v>
      </c>
      <c r="F933">
        <f>YEAR(Tabela_ferias_folgas[[#This Row],[Data]])</f>
        <v>2023</v>
      </c>
      <c r="G933" t="str">
        <f>Tabela_ferias_folgas[[#This Row],[Médico]]&amp;" - "&amp;Tabela_ferias_folgas[[#This Row],[Compromisso]]</f>
        <v>LIP - FÉRIAS</v>
      </c>
    </row>
    <row r="934" spans="1:7" x14ac:dyDescent="0.3">
      <c r="A934" t="s">
        <v>34</v>
      </c>
      <c r="B934" t="s">
        <v>464</v>
      </c>
      <c r="C934" s="1">
        <v>45260</v>
      </c>
      <c r="D934">
        <f>DAY(Tabela_ferias_folgas[[#This Row],[Data]])</f>
        <v>30</v>
      </c>
      <c r="E934">
        <f>MONTH(Tabela_ferias_folgas[[#This Row],[Data]])</f>
        <v>11</v>
      </c>
      <c r="F934">
        <f>YEAR(Tabela_ferias_folgas[[#This Row],[Data]])</f>
        <v>2023</v>
      </c>
      <c r="G934" t="str">
        <f>Tabela_ferias_folgas[[#This Row],[Médico]]&amp;" - "&amp;Tabela_ferias_folgas[[#This Row],[Compromisso]]</f>
        <v>LIP - FÉRIAS</v>
      </c>
    </row>
    <row r="935" spans="1:7" x14ac:dyDescent="0.3">
      <c r="A935" t="s">
        <v>34</v>
      </c>
      <c r="B935" t="s">
        <v>464</v>
      </c>
      <c r="C935" s="1">
        <v>45261</v>
      </c>
      <c r="D935">
        <f>DAY(Tabela_ferias_folgas[[#This Row],[Data]])</f>
        <v>1</v>
      </c>
      <c r="E935">
        <f>MONTH(Tabela_ferias_folgas[[#This Row],[Data]])</f>
        <v>12</v>
      </c>
      <c r="F935">
        <f>YEAR(Tabela_ferias_folgas[[#This Row],[Data]])</f>
        <v>2023</v>
      </c>
      <c r="G935" t="str">
        <f>Tabela_ferias_folgas[[#This Row],[Médico]]&amp;" - "&amp;Tabela_ferias_folgas[[#This Row],[Compromisso]]</f>
        <v>LIP - FÉRIAS</v>
      </c>
    </row>
    <row r="936" spans="1:7" x14ac:dyDescent="0.3">
      <c r="A936" t="s">
        <v>34</v>
      </c>
      <c r="B936" t="s">
        <v>464</v>
      </c>
      <c r="C936" s="1">
        <v>45262</v>
      </c>
      <c r="D936">
        <f>DAY(Tabela_ferias_folgas[[#This Row],[Data]])</f>
        <v>2</v>
      </c>
      <c r="E936">
        <f>MONTH(Tabela_ferias_folgas[[#This Row],[Data]])</f>
        <v>12</v>
      </c>
      <c r="F936">
        <f>YEAR(Tabela_ferias_folgas[[#This Row],[Data]])</f>
        <v>2023</v>
      </c>
      <c r="G936" t="str">
        <f>Tabela_ferias_folgas[[#This Row],[Médico]]&amp;" - "&amp;Tabela_ferias_folgas[[#This Row],[Compromisso]]</f>
        <v>LIP - FÉRIAS</v>
      </c>
    </row>
    <row r="937" spans="1:7" x14ac:dyDescent="0.3">
      <c r="A937" t="s">
        <v>34</v>
      </c>
      <c r="B937" t="s">
        <v>464</v>
      </c>
      <c r="C937" s="1">
        <v>45263</v>
      </c>
      <c r="D937">
        <f>DAY(Tabela_ferias_folgas[[#This Row],[Data]])</f>
        <v>3</v>
      </c>
      <c r="E937">
        <f>MONTH(Tabela_ferias_folgas[[#This Row],[Data]])</f>
        <v>12</v>
      </c>
      <c r="F937">
        <f>YEAR(Tabela_ferias_folgas[[#This Row],[Data]])</f>
        <v>2023</v>
      </c>
      <c r="G937" t="str">
        <f>Tabela_ferias_folgas[[#This Row],[Médico]]&amp;" - "&amp;Tabela_ferias_folgas[[#This Row],[Compromisso]]</f>
        <v>LIP - FÉRIAS</v>
      </c>
    </row>
    <row r="938" spans="1:7" x14ac:dyDescent="0.3">
      <c r="A938" t="s">
        <v>66</v>
      </c>
      <c r="B938" t="s">
        <v>466</v>
      </c>
      <c r="C938" s="1">
        <v>45261</v>
      </c>
      <c r="D938">
        <f>DAY(Tabela_ferias_folgas[[#This Row],[Data]])</f>
        <v>1</v>
      </c>
      <c r="E938">
        <f>MONTH(Tabela_ferias_folgas[[#This Row],[Data]])</f>
        <v>12</v>
      </c>
      <c r="F938">
        <f>YEAR(Tabela_ferias_folgas[[#This Row],[Data]])</f>
        <v>2023</v>
      </c>
      <c r="G938" t="str">
        <f>Tabela_ferias_folgas[[#This Row],[Médico]]&amp;" - "&amp;Tabela_ferias_folgas[[#This Row],[Compromisso]]</f>
        <v>MOZ - CURSO</v>
      </c>
    </row>
    <row r="939" spans="1:7" x14ac:dyDescent="0.3">
      <c r="A939" t="s">
        <v>63</v>
      </c>
      <c r="B939" t="s">
        <v>464</v>
      </c>
      <c r="C939" s="1">
        <v>45250</v>
      </c>
      <c r="D939">
        <f>DAY(Tabela_ferias_folgas[[#This Row],[Data]])</f>
        <v>20</v>
      </c>
      <c r="E939">
        <f>MONTH(Tabela_ferias_folgas[[#This Row],[Data]])</f>
        <v>11</v>
      </c>
      <c r="F939">
        <f>YEAR(Tabela_ferias_folgas[[#This Row],[Data]])</f>
        <v>2023</v>
      </c>
      <c r="G939" t="str">
        <f>Tabela_ferias_folgas[[#This Row],[Médico]]&amp;" - "&amp;Tabela_ferias_folgas[[#This Row],[Compromisso]]</f>
        <v>FQ - FÉRIAS</v>
      </c>
    </row>
    <row r="940" spans="1:7" x14ac:dyDescent="0.3">
      <c r="A940" t="s">
        <v>63</v>
      </c>
      <c r="B940" t="s">
        <v>464</v>
      </c>
      <c r="C940" s="1">
        <v>45251</v>
      </c>
      <c r="D940">
        <f>DAY(Tabela_ferias_folgas[[#This Row],[Data]])</f>
        <v>21</v>
      </c>
      <c r="E940">
        <f>MONTH(Tabela_ferias_folgas[[#This Row],[Data]])</f>
        <v>11</v>
      </c>
      <c r="F940">
        <f>YEAR(Tabela_ferias_folgas[[#This Row],[Data]])</f>
        <v>2023</v>
      </c>
      <c r="G940" t="str">
        <f>Tabela_ferias_folgas[[#This Row],[Médico]]&amp;" - "&amp;Tabela_ferias_folgas[[#This Row],[Compromisso]]</f>
        <v>FQ - FÉRIAS</v>
      </c>
    </row>
    <row r="941" spans="1:7" x14ac:dyDescent="0.3">
      <c r="A941" t="s">
        <v>63</v>
      </c>
      <c r="B941" t="s">
        <v>464</v>
      </c>
      <c r="C941" s="1">
        <v>45252</v>
      </c>
      <c r="D941">
        <f>DAY(Tabela_ferias_folgas[[#This Row],[Data]])</f>
        <v>22</v>
      </c>
      <c r="E941">
        <f>MONTH(Tabela_ferias_folgas[[#This Row],[Data]])</f>
        <v>11</v>
      </c>
      <c r="F941">
        <f>YEAR(Tabela_ferias_folgas[[#This Row],[Data]])</f>
        <v>2023</v>
      </c>
      <c r="G941" t="str">
        <f>Tabela_ferias_folgas[[#This Row],[Médico]]&amp;" - "&amp;Tabela_ferias_folgas[[#This Row],[Compromisso]]</f>
        <v>FQ - FÉRIAS</v>
      </c>
    </row>
    <row r="942" spans="1:7" x14ac:dyDescent="0.3">
      <c r="A942" t="s">
        <v>63</v>
      </c>
      <c r="B942" t="s">
        <v>464</v>
      </c>
      <c r="C942" s="1">
        <v>45253</v>
      </c>
      <c r="D942">
        <f>DAY(Tabela_ferias_folgas[[#This Row],[Data]])</f>
        <v>23</v>
      </c>
      <c r="E942">
        <f>MONTH(Tabela_ferias_folgas[[#This Row],[Data]])</f>
        <v>11</v>
      </c>
      <c r="F942">
        <f>YEAR(Tabela_ferias_folgas[[#This Row],[Data]])</f>
        <v>2023</v>
      </c>
      <c r="G942" t="str">
        <f>Tabela_ferias_folgas[[#This Row],[Médico]]&amp;" - "&amp;Tabela_ferias_folgas[[#This Row],[Compromisso]]</f>
        <v>FQ - FÉRIAS</v>
      </c>
    </row>
    <row r="943" spans="1:7" x14ac:dyDescent="0.3">
      <c r="A943" t="s">
        <v>63</v>
      </c>
      <c r="B943" t="s">
        <v>464</v>
      </c>
      <c r="C943" s="1">
        <v>45254</v>
      </c>
      <c r="D943">
        <f>DAY(Tabela_ferias_folgas[[#This Row],[Data]])</f>
        <v>24</v>
      </c>
      <c r="E943">
        <f>MONTH(Tabela_ferias_folgas[[#This Row],[Data]])</f>
        <v>11</v>
      </c>
      <c r="F943">
        <f>YEAR(Tabela_ferias_folgas[[#This Row],[Data]])</f>
        <v>2023</v>
      </c>
      <c r="G943" t="str">
        <f>Tabela_ferias_folgas[[#This Row],[Médico]]&amp;" - "&amp;Tabela_ferias_folgas[[#This Row],[Compromisso]]</f>
        <v>FQ - FÉRIAS</v>
      </c>
    </row>
    <row r="944" spans="1:7" x14ac:dyDescent="0.3">
      <c r="A944" t="s">
        <v>63</v>
      </c>
      <c r="B944" t="s">
        <v>464</v>
      </c>
      <c r="C944" s="1">
        <v>45255</v>
      </c>
      <c r="D944">
        <f>DAY(Tabela_ferias_folgas[[#This Row],[Data]])</f>
        <v>25</v>
      </c>
      <c r="E944">
        <f>MONTH(Tabela_ferias_folgas[[#This Row],[Data]])</f>
        <v>11</v>
      </c>
      <c r="F944">
        <f>YEAR(Tabela_ferias_folgas[[#This Row],[Data]])</f>
        <v>2023</v>
      </c>
      <c r="G944" t="str">
        <f>Tabela_ferias_folgas[[#This Row],[Médico]]&amp;" - "&amp;Tabela_ferias_folgas[[#This Row],[Compromisso]]</f>
        <v>FQ - FÉRIAS</v>
      </c>
    </row>
    <row r="945" spans="1:7" x14ac:dyDescent="0.3">
      <c r="A945" t="s">
        <v>63</v>
      </c>
      <c r="B945" t="s">
        <v>464</v>
      </c>
      <c r="C945" s="1">
        <v>45256</v>
      </c>
      <c r="D945">
        <f>DAY(Tabela_ferias_folgas[[#This Row],[Data]])</f>
        <v>26</v>
      </c>
      <c r="E945">
        <f>MONTH(Tabela_ferias_folgas[[#This Row],[Data]])</f>
        <v>11</v>
      </c>
      <c r="F945">
        <f>YEAR(Tabela_ferias_folgas[[#This Row],[Data]])</f>
        <v>2023</v>
      </c>
      <c r="G945" t="str">
        <f>Tabela_ferias_folgas[[#This Row],[Médico]]&amp;" - "&amp;Tabela_ferias_folgas[[#This Row],[Compromisso]]</f>
        <v>FQ - FÉRIAS</v>
      </c>
    </row>
    <row r="946" spans="1:7" x14ac:dyDescent="0.3">
      <c r="A946" t="s">
        <v>63</v>
      </c>
      <c r="B946" t="s">
        <v>464</v>
      </c>
      <c r="C946" s="1">
        <v>45257</v>
      </c>
      <c r="D946">
        <f>DAY(Tabela_ferias_folgas[[#This Row],[Data]])</f>
        <v>27</v>
      </c>
      <c r="E946">
        <f>MONTH(Tabela_ferias_folgas[[#This Row],[Data]])</f>
        <v>11</v>
      </c>
      <c r="F946">
        <f>YEAR(Tabela_ferias_folgas[[#This Row],[Data]])</f>
        <v>2023</v>
      </c>
      <c r="G946" t="str">
        <f>Tabela_ferias_folgas[[#This Row],[Médico]]&amp;" - "&amp;Tabela_ferias_folgas[[#This Row],[Compromisso]]</f>
        <v>FQ - FÉRIAS</v>
      </c>
    </row>
    <row r="947" spans="1:7" x14ac:dyDescent="0.3">
      <c r="A947" t="s">
        <v>63</v>
      </c>
      <c r="B947" t="s">
        <v>464</v>
      </c>
      <c r="C947" s="1">
        <v>45258</v>
      </c>
      <c r="D947">
        <f>DAY(Tabela_ferias_folgas[[#This Row],[Data]])</f>
        <v>28</v>
      </c>
      <c r="E947">
        <f>MONTH(Tabela_ferias_folgas[[#This Row],[Data]])</f>
        <v>11</v>
      </c>
      <c r="F947">
        <f>YEAR(Tabela_ferias_folgas[[#This Row],[Data]])</f>
        <v>2023</v>
      </c>
      <c r="G947" t="str">
        <f>Tabela_ferias_folgas[[#This Row],[Médico]]&amp;" - "&amp;Tabela_ferias_folgas[[#This Row],[Compromisso]]</f>
        <v>FQ - FÉRIAS</v>
      </c>
    </row>
    <row r="948" spans="1:7" x14ac:dyDescent="0.3">
      <c r="A948" t="s">
        <v>63</v>
      </c>
      <c r="B948" t="s">
        <v>464</v>
      </c>
      <c r="C948" s="1">
        <v>45259</v>
      </c>
      <c r="D948">
        <f>DAY(Tabela_ferias_folgas[[#This Row],[Data]])</f>
        <v>29</v>
      </c>
      <c r="E948">
        <f>MONTH(Tabela_ferias_folgas[[#This Row],[Data]])</f>
        <v>11</v>
      </c>
      <c r="F948">
        <f>YEAR(Tabela_ferias_folgas[[#This Row],[Data]])</f>
        <v>2023</v>
      </c>
      <c r="G948" t="str">
        <f>Tabela_ferias_folgas[[#This Row],[Médico]]&amp;" - "&amp;Tabela_ferias_folgas[[#This Row],[Compromisso]]</f>
        <v>FQ - FÉRIAS</v>
      </c>
    </row>
    <row r="949" spans="1:7" x14ac:dyDescent="0.3">
      <c r="A949" t="s">
        <v>63</v>
      </c>
      <c r="B949" t="s">
        <v>464</v>
      </c>
      <c r="C949" s="1">
        <v>45260</v>
      </c>
      <c r="D949">
        <f>DAY(Tabela_ferias_folgas[[#This Row],[Data]])</f>
        <v>30</v>
      </c>
      <c r="E949">
        <f>MONTH(Tabela_ferias_folgas[[#This Row],[Data]])</f>
        <v>11</v>
      </c>
      <c r="F949">
        <f>YEAR(Tabela_ferias_folgas[[#This Row],[Data]])</f>
        <v>2023</v>
      </c>
      <c r="G949" t="str">
        <f>Tabela_ferias_folgas[[#This Row],[Médico]]&amp;" - "&amp;Tabela_ferias_folgas[[#This Row],[Compromisso]]</f>
        <v>FQ - FÉRIAS</v>
      </c>
    </row>
    <row r="950" spans="1:7" x14ac:dyDescent="0.3">
      <c r="A950" t="s">
        <v>63</v>
      </c>
      <c r="B950" t="s">
        <v>464</v>
      </c>
      <c r="C950" s="1">
        <v>45261</v>
      </c>
      <c r="D950">
        <f>DAY(Tabela_ferias_folgas[[#This Row],[Data]])</f>
        <v>1</v>
      </c>
      <c r="E950">
        <f>MONTH(Tabela_ferias_folgas[[#This Row],[Data]])</f>
        <v>12</v>
      </c>
      <c r="F950">
        <f>YEAR(Tabela_ferias_folgas[[#This Row],[Data]])</f>
        <v>2023</v>
      </c>
      <c r="G950" t="str">
        <f>Tabela_ferias_folgas[[#This Row],[Médico]]&amp;" - "&amp;Tabela_ferias_folgas[[#This Row],[Compromisso]]</f>
        <v>FQ - FÉRIAS</v>
      </c>
    </row>
    <row r="951" spans="1:7" x14ac:dyDescent="0.3">
      <c r="A951" t="s">
        <v>63</v>
      </c>
      <c r="B951" t="s">
        <v>464</v>
      </c>
      <c r="C951" s="1">
        <v>45262</v>
      </c>
      <c r="D951">
        <f>DAY(Tabela_ferias_folgas[[#This Row],[Data]])</f>
        <v>2</v>
      </c>
      <c r="E951">
        <f>MONTH(Tabela_ferias_folgas[[#This Row],[Data]])</f>
        <v>12</v>
      </c>
      <c r="F951">
        <f>YEAR(Tabela_ferias_folgas[[#This Row],[Data]])</f>
        <v>2023</v>
      </c>
      <c r="G951" t="str">
        <f>Tabela_ferias_folgas[[#This Row],[Médico]]&amp;" - "&amp;Tabela_ferias_folgas[[#This Row],[Compromisso]]</f>
        <v>FQ - FÉRIAS</v>
      </c>
    </row>
    <row r="952" spans="1:7" x14ac:dyDescent="0.3">
      <c r="A952" t="s">
        <v>63</v>
      </c>
      <c r="B952" t="s">
        <v>464</v>
      </c>
      <c r="C952" s="1">
        <v>45263</v>
      </c>
      <c r="D952">
        <f>DAY(Tabela_ferias_folgas[[#This Row],[Data]])</f>
        <v>3</v>
      </c>
      <c r="E952">
        <f>MONTH(Tabela_ferias_folgas[[#This Row],[Data]])</f>
        <v>12</v>
      </c>
      <c r="F952">
        <f>YEAR(Tabela_ferias_folgas[[#This Row],[Data]])</f>
        <v>2023</v>
      </c>
      <c r="G952" t="str">
        <f>Tabela_ferias_folgas[[#This Row],[Médico]]&amp;" - "&amp;Tabela_ferias_folgas[[#This Row],[Compromisso]]</f>
        <v>FQ - FÉRIAS</v>
      </c>
    </row>
    <row r="953" spans="1:7" x14ac:dyDescent="0.3">
      <c r="A953" t="s">
        <v>32</v>
      </c>
      <c r="B953" t="s">
        <v>466</v>
      </c>
      <c r="C953" s="1">
        <v>45189</v>
      </c>
      <c r="D953">
        <f>DAY(Tabela_ferias_folgas[[#This Row],[Data]])</f>
        <v>20</v>
      </c>
      <c r="E953">
        <f>MONTH(Tabela_ferias_folgas[[#This Row],[Data]])</f>
        <v>9</v>
      </c>
      <c r="F953">
        <f>YEAR(Tabela_ferias_folgas[[#This Row],[Data]])</f>
        <v>2023</v>
      </c>
      <c r="G953" t="str">
        <f>Tabela_ferias_folgas[[#This Row],[Médico]]&amp;" - "&amp;Tabela_ferias_folgas[[#This Row],[Compromisso]]</f>
        <v>JS - CURSO</v>
      </c>
    </row>
    <row r="954" spans="1:7" x14ac:dyDescent="0.3">
      <c r="A954" t="s">
        <v>32</v>
      </c>
      <c r="B954" t="s">
        <v>466</v>
      </c>
      <c r="C954" s="1">
        <v>45190</v>
      </c>
      <c r="D954">
        <f>DAY(Tabela_ferias_folgas[[#This Row],[Data]])</f>
        <v>21</v>
      </c>
      <c r="E954">
        <f>MONTH(Tabela_ferias_folgas[[#This Row],[Data]])</f>
        <v>9</v>
      </c>
      <c r="F954">
        <f>YEAR(Tabela_ferias_folgas[[#This Row],[Data]])</f>
        <v>2023</v>
      </c>
      <c r="G954" t="str">
        <f>Tabela_ferias_folgas[[#This Row],[Médico]]&amp;" - "&amp;Tabela_ferias_folgas[[#This Row],[Compromisso]]</f>
        <v>JS - CURSO</v>
      </c>
    </row>
    <row r="955" spans="1:7" x14ac:dyDescent="0.3">
      <c r="A955" t="s">
        <v>34</v>
      </c>
      <c r="B955" t="s">
        <v>466</v>
      </c>
      <c r="C955" s="1">
        <v>45189</v>
      </c>
      <c r="D955">
        <f>DAY(Tabela_ferias_folgas[[#This Row],[Data]])</f>
        <v>20</v>
      </c>
      <c r="E955">
        <f>MONTH(Tabela_ferias_folgas[[#This Row],[Data]])</f>
        <v>9</v>
      </c>
      <c r="F955">
        <f>YEAR(Tabela_ferias_folgas[[#This Row],[Data]])</f>
        <v>2023</v>
      </c>
      <c r="G955" t="str">
        <f>Tabela_ferias_folgas[[#This Row],[Médico]]&amp;" - "&amp;Tabela_ferias_folgas[[#This Row],[Compromisso]]</f>
        <v>LIP - CURSO</v>
      </c>
    </row>
    <row r="956" spans="1:7" x14ac:dyDescent="0.3">
      <c r="A956" t="s">
        <v>34</v>
      </c>
      <c r="B956" t="s">
        <v>466</v>
      </c>
      <c r="C956" s="1">
        <v>45190</v>
      </c>
      <c r="D956">
        <f>DAY(Tabela_ferias_folgas[[#This Row],[Data]])</f>
        <v>21</v>
      </c>
      <c r="E956">
        <f>MONTH(Tabela_ferias_folgas[[#This Row],[Data]])</f>
        <v>9</v>
      </c>
      <c r="F956">
        <f>YEAR(Tabela_ferias_folgas[[#This Row],[Data]])</f>
        <v>2023</v>
      </c>
      <c r="G956" t="str">
        <f>Tabela_ferias_folgas[[#This Row],[Médico]]&amp;" - "&amp;Tabela_ferias_folgas[[#This Row],[Compromisso]]</f>
        <v>LIP - CURSO</v>
      </c>
    </row>
    <row r="957" spans="1:7" x14ac:dyDescent="0.3">
      <c r="A957" t="s">
        <v>66</v>
      </c>
      <c r="B957" t="s">
        <v>466</v>
      </c>
      <c r="C957" s="1">
        <v>45189</v>
      </c>
      <c r="D957">
        <f>DAY(Tabela_ferias_folgas[[#This Row],[Data]])</f>
        <v>20</v>
      </c>
      <c r="E957">
        <f>MONTH(Tabela_ferias_folgas[[#This Row],[Data]])</f>
        <v>9</v>
      </c>
      <c r="F957">
        <f>YEAR(Tabela_ferias_folgas[[#This Row],[Data]])</f>
        <v>2023</v>
      </c>
      <c r="G957" t="str">
        <f>Tabela_ferias_folgas[[#This Row],[Médico]]&amp;" - "&amp;Tabela_ferias_folgas[[#This Row],[Compromisso]]</f>
        <v>MOZ - CURSO</v>
      </c>
    </row>
    <row r="958" spans="1:7" x14ac:dyDescent="0.3">
      <c r="A958" t="s">
        <v>66</v>
      </c>
      <c r="B958" t="s">
        <v>466</v>
      </c>
      <c r="C958" s="1">
        <v>45190</v>
      </c>
      <c r="D958">
        <f>DAY(Tabela_ferias_folgas[[#This Row],[Data]])</f>
        <v>21</v>
      </c>
      <c r="E958">
        <f>MONTH(Tabela_ferias_folgas[[#This Row],[Data]])</f>
        <v>9</v>
      </c>
      <c r="F958">
        <f>YEAR(Tabela_ferias_folgas[[#This Row],[Data]])</f>
        <v>2023</v>
      </c>
      <c r="G958" t="str">
        <f>Tabela_ferias_folgas[[#This Row],[Médico]]&amp;" - "&amp;Tabela_ferias_folgas[[#This Row],[Compromisso]]</f>
        <v>MOZ - CURSO</v>
      </c>
    </row>
    <row r="959" spans="1:7" x14ac:dyDescent="0.3">
      <c r="A959" t="s">
        <v>63</v>
      </c>
      <c r="B959" t="s">
        <v>603</v>
      </c>
      <c r="C959" s="1">
        <v>45265</v>
      </c>
      <c r="D959">
        <f>DAY(Tabela_ferias_folgas[[#This Row],[Data]])</f>
        <v>5</v>
      </c>
      <c r="E959">
        <f>MONTH(Tabela_ferias_folgas[[#This Row],[Data]])</f>
        <v>12</v>
      </c>
      <c r="F959">
        <f>YEAR(Tabela_ferias_folgas[[#This Row],[Data]])</f>
        <v>2023</v>
      </c>
      <c r="G959" t="str">
        <f>Tabela_ferias_folgas[[#This Row],[Médico]]&amp;" - "&amp;Tabela_ferias_folgas[[#This Row],[Compromisso]]</f>
        <v>FQ - CONGRESSO (PROVA TSA)</v>
      </c>
    </row>
    <row r="960" spans="1:7" x14ac:dyDescent="0.3">
      <c r="A960" t="s">
        <v>47</v>
      </c>
      <c r="B960" t="s">
        <v>679</v>
      </c>
      <c r="C960" s="1">
        <v>45205</v>
      </c>
      <c r="D960">
        <f>DAY(Tabela_ferias_folgas[[#This Row],[Data]])</f>
        <v>6</v>
      </c>
      <c r="E960">
        <f>MONTH(Tabela_ferias_folgas[[#This Row],[Data]])</f>
        <v>10</v>
      </c>
      <c r="F960">
        <f>YEAR(Tabela_ferias_folgas[[#This Row],[Data]])</f>
        <v>2023</v>
      </c>
      <c r="G960" t="str">
        <f>Tabela_ferias_folgas[[#This Row],[Médico]]&amp;" - "&amp;Tabela_ferias_folgas[[#This Row],[Compromisso]]</f>
        <v>VIN - CONGRESSO (CONGRESSO)</v>
      </c>
    </row>
    <row r="961" spans="1:7" x14ac:dyDescent="0.3">
      <c r="A961" t="s">
        <v>283</v>
      </c>
      <c r="B961" t="s">
        <v>466</v>
      </c>
      <c r="C961" s="1">
        <v>45189</v>
      </c>
      <c r="D961">
        <f>DAY(Tabela_ferias_folgas[[#This Row],[Data]])</f>
        <v>20</v>
      </c>
      <c r="E961">
        <f>MONTH(Tabela_ferias_folgas[[#This Row],[Data]])</f>
        <v>9</v>
      </c>
      <c r="F961">
        <f>YEAR(Tabela_ferias_folgas[[#This Row],[Data]])</f>
        <v>2023</v>
      </c>
      <c r="G961" t="str">
        <f>Tabela_ferias_folgas[[#This Row],[Médico]]&amp;" - "&amp;Tabela_ferias_folgas[[#This Row],[Compromisso]]</f>
        <v>JU - CURSO</v>
      </c>
    </row>
    <row r="962" spans="1:7" x14ac:dyDescent="0.3">
      <c r="A962" t="s">
        <v>283</v>
      </c>
      <c r="B962" t="s">
        <v>466</v>
      </c>
      <c r="C962" s="1">
        <v>45190</v>
      </c>
      <c r="D962">
        <f>DAY(Tabela_ferias_folgas[[#This Row],[Data]])</f>
        <v>21</v>
      </c>
      <c r="E962">
        <f>MONTH(Tabela_ferias_folgas[[#This Row],[Data]])</f>
        <v>9</v>
      </c>
      <c r="F962">
        <f>YEAR(Tabela_ferias_folgas[[#This Row],[Data]])</f>
        <v>2023</v>
      </c>
      <c r="G962" t="str">
        <f>Tabela_ferias_folgas[[#This Row],[Médico]]&amp;" - "&amp;Tabela_ferias_folgas[[#This Row],[Compromisso]]</f>
        <v>JU - CURSO</v>
      </c>
    </row>
    <row r="963" spans="1:7" x14ac:dyDescent="0.3">
      <c r="A963" t="s">
        <v>14</v>
      </c>
      <c r="B963" t="s">
        <v>484</v>
      </c>
      <c r="C963" s="1">
        <v>45162</v>
      </c>
      <c r="D963">
        <f>DAY(Tabela_ferias_folgas[[#This Row],[Data]])</f>
        <v>24</v>
      </c>
      <c r="E963">
        <f>MONTH(Tabela_ferias_folgas[[#This Row],[Data]])</f>
        <v>8</v>
      </c>
      <c r="F963">
        <f>YEAR(Tabela_ferias_folgas[[#This Row],[Data]])</f>
        <v>2023</v>
      </c>
      <c r="G963" t="str">
        <f>Tabela_ferias_folgas[[#This Row],[Médico]]&amp;" - "&amp;Tabela_ferias_folgas[[#This Row],[Compromisso]]</f>
        <v>PW - LICENÇA SAÚDE</v>
      </c>
    </row>
    <row r="964" spans="1:7" x14ac:dyDescent="0.3">
      <c r="A964" t="s">
        <v>14</v>
      </c>
      <c r="B964" t="s">
        <v>484</v>
      </c>
      <c r="C964" s="1">
        <v>45163</v>
      </c>
      <c r="D964">
        <f>DAY(Tabela_ferias_folgas[[#This Row],[Data]])</f>
        <v>25</v>
      </c>
      <c r="E964">
        <f>MONTH(Tabela_ferias_folgas[[#This Row],[Data]])</f>
        <v>8</v>
      </c>
      <c r="F964">
        <f>YEAR(Tabela_ferias_folgas[[#This Row],[Data]])</f>
        <v>2023</v>
      </c>
      <c r="G964" t="str">
        <f>Tabela_ferias_folgas[[#This Row],[Médico]]&amp;" - "&amp;Tabela_ferias_folgas[[#This Row],[Compromisso]]</f>
        <v>PW - LICENÇA SAÚDE</v>
      </c>
    </row>
    <row r="965" spans="1:7" x14ac:dyDescent="0.3">
      <c r="A965" t="s">
        <v>23</v>
      </c>
      <c r="B965" t="s">
        <v>612</v>
      </c>
      <c r="C965" s="1">
        <v>45257</v>
      </c>
      <c r="D965">
        <f>DAY(Tabela_ferias_folgas[[#This Row],[Data]])</f>
        <v>27</v>
      </c>
      <c r="E965">
        <f>MONTH(Tabela_ferias_folgas[[#This Row],[Data]])</f>
        <v>11</v>
      </c>
      <c r="F965">
        <f>YEAR(Tabela_ferias_folgas[[#This Row],[Data]])</f>
        <v>2023</v>
      </c>
      <c r="G965" t="str">
        <f>Tabela_ferias_folgas[[#This Row],[Médico]]&amp;" - "&amp;Tabela_ferias_folgas[[#This Row],[Compromisso]]</f>
        <v>BG - CONGRESSO (HSM+)</v>
      </c>
    </row>
    <row r="966" spans="1:7" x14ac:dyDescent="0.3">
      <c r="A966" t="s">
        <v>23</v>
      </c>
      <c r="B966" t="s">
        <v>612</v>
      </c>
      <c r="C966" s="1">
        <v>45258</v>
      </c>
      <c r="D966">
        <f>DAY(Tabela_ferias_folgas[[#This Row],[Data]])</f>
        <v>28</v>
      </c>
      <c r="E966">
        <f>MONTH(Tabela_ferias_folgas[[#This Row],[Data]])</f>
        <v>11</v>
      </c>
      <c r="F966">
        <f>YEAR(Tabela_ferias_folgas[[#This Row],[Data]])</f>
        <v>2023</v>
      </c>
      <c r="G966" t="str">
        <f>Tabela_ferias_folgas[[#This Row],[Médico]]&amp;" - "&amp;Tabela_ferias_folgas[[#This Row],[Compromisso]]</f>
        <v>BG - CONGRESSO (HSM+)</v>
      </c>
    </row>
    <row r="967" spans="1:7" x14ac:dyDescent="0.3">
      <c r="A967" t="s">
        <v>23</v>
      </c>
      <c r="B967" t="s">
        <v>612</v>
      </c>
      <c r="C967" s="1">
        <v>45259</v>
      </c>
      <c r="D967">
        <f>DAY(Tabela_ferias_folgas[[#This Row],[Data]])</f>
        <v>29</v>
      </c>
      <c r="E967">
        <f>MONTH(Tabela_ferias_folgas[[#This Row],[Data]])</f>
        <v>11</v>
      </c>
      <c r="F967">
        <f>YEAR(Tabela_ferias_folgas[[#This Row],[Data]])</f>
        <v>2023</v>
      </c>
      <c r="G967" t="str">
        <f>Tabela_ferias_folgas[[#This Row],[Médico]]&amp;" - "&amp;Tabela_ferias_folgas[[#This Row],[Compromisso]]</f>
        <v>BG - CONGRESSO (HSM+)</v>
      </c>
    </row>
    <row r="968" spans="1:7" x14ac:dyDescent="0.3">
      <c r="A968" t="s">
        <v>50</v>
      </c>
      <c r="B968" t="s">
        <v>464</v>
      </c>
      <c r="C968" s="1">
        <v>45236</v>
      </c>
      <c r="D968">
        <f>DAY(Tabela_ferias_folgas[[#This Row],[Data]])</f>
        <v>6</v>
      </c>
      <c r="E968">
        <f>MONTH(Tabela_ferias_folgas[[#This Row],[Data]])</f>
        <v>11</v>
      </c>
      <c r="F968">
        <f>YEAR(Tabela_ferias_folgas[[#This Row],[Data]])</f>
        <v>2023</v>
      </c>
      <c r="G968" t="str">
        <f>Tabela_ferias_folgas[[#This Row],[Médico]]&amp;" - "&amp;Tabela_ferias_folgas[[#This Row],[Compromisso]]</f>
        <v>PJP - FÉRIAS</v>
      </c>
    </row>
    <row r="969" spans="1:7" x14ac:dyDescent="0.3">
      <c r="A969" t="s">
        <v>50</v>
      </c>
      <c r="B969" t="s">
        <v>464</v>
      </c>
      <c r="C969" s="1">
        <v>45237</v>
      </c>
      <c r="D969">
        <f>DAY(Tabela_ferias_folgas[[#This Row],[Data]])</f>
        <v>7</v>
      </c>
      <c r="E969">
        <f>MONTH(Tabela_ferias_folgas[[#This Row],[Data]])</f>
        <v>11</v>
      </c>
      <c r="F969">
        <f>YEAR(Tabela_ferias_folgas[[#This Row],[Data]])</f>
        <v>2023</v>
      </c>
      <c r="G969" t="str">
        <f>Tabela_ferias_folgas[[#This Row],[Médico]]&amp;" - "&amp;Tabela_ferias_folgas[[#This Row],[Compromisso]]</f>
        <v>PJP - FÉRIAS</v>
      </c>
    </row>
    <row r="970" spans="1:7" x14ac:dyDescent="0.3">
      <c r="A970" t="s">
        <v>50</v>
      </c>
      <c r="B970" t="s">
        <v>464</v>
      </c>
      <c r="C970" s="1">
        <v>45238</v>
      </c>
      <c r="D970">
        <f>DAY(Tabela_ferias_folgas[[#This Row],[Data]])</f>
        <v>8</v>
      </c>
      <c r="E970">
        <f>MONTH(Tabela_ferias_folgas[[#This Row],[Data]])</f>
        <v>11</v>
      </c>
      <c r="F970">
        <f>YEAR(Tabela_ferias_folgas[[#This Row],[Data]])</f>
        <v>2023</v>
      </c>
      <c r="G970" t="str">
        <f>Tabela_ferias_folgas[[#This Row],[Médico]]&amp;" - "&amp;Tabela_ferias_folgas[[#This Row],[Compromisso]]</f>
        <v>PJP - FÉRIAS</v>
      </c>
    </row>
    <row r="971" spans="1:7" x14ac:dyDescent="0.3">
      <c r="A971" t="s">
        <v>50</v>
      </c>
      <c r="B971" t="s">
        <v>464</v>
      </c>
      <c r="C971" s="1">
        <v>45239</v>
      </c>
      <c r="D971">
        <f>DAY(Tabela_ferias_folgas[[#This Row],[Data]])</f>
        <v>9</v>
      </c>
      <c r="E971">
        <f>MONTH(Tabela_ferias_folgas[[#This Row],[Data]])</f>
        <v>11</v>
      </c>
      <c r="F971">
        <f>YEAR(Tabela_ferias_folgas[[#This Row],[Data]])</f>
        <v>2023</v>
      </c>
      <c r="G971" t="str">
        <f>Tabela_ferias_folgas[[#This Row],[Médico]]&amp;" - "&amp;Tabela_ferias_folgas[[#This Row],[Compromisso]]</f>
        <v>PJP - FÉRIAS</v>
      </c>
    </row>
    <row r="972" spans="1:7" x14ac:dyDescent="0.3">
      <c r="A972" t="s">
        <v>50</v>
      </c>
      <c r="B972" t="s">
        <v>464</v>
      </c>
      <c r="C972" s="1">
        <v>45240</v>
      </c>
      <c r="D972">
        <f>DAY(Tabela_ferias_folgas[[#This Row],[Data]])</f>
        <v>10</v>
      </c>
      <c r="E972">
        <f>MONTH(Tabela_ferias_folgas[[#This Row],[Data]])</f>
        <v>11</v>
      </c>
      <c r="F972">
        <f>YEAR(Tabela_ferias_folgas[[#This Row],[Data]])</f>
        <v>2023</v>
      </c>
      <c r="G972" t="str">
        <f>Tabela_ferias_folgas[[#This Row],[Médico]]&amp;" - "&amp;Tabela_ferias_folgas[[#This Row],[Compromisso]]</f>
        <v>PJP - FÉRIAS</v>
      </c>
    </row>
    <row r="973" spans="1:7" x14ac:dyDescent="0.3">
      <c r="A973" t="s">
        <v>50</v>
      </c>
      <c r="B973" t="s">
        <v>464</v>
      </c>
      <c r="C973" s="1">
        <v>45241</v>
      </c>
      <c r="D973">
        <f>DAY(Tabela_ferias_folgas[[#This Row],[Data]])</f>
        <v>11</v>
      </c>
      <c r="E973">
        <f>MONTH(Tabela_ferias_folgas[[#This Row],[Data]])</f>
        <v>11</v>
      </c>
      <c r="F973">
        <f>YEAR(Tabela_ferias_folgas[[#This Row],[Data]])</f>
        <v>2023</v>
      </c>
      <c r="G973" t="str">
        <f>Tabela_ferias_folgas[[#This Row],[Médico]]&amp;" - "&amp;Tabela_ferias_folgas[[#This Row],[Compromisso]]</f>
        <v>PJP - FÉRIAS</v>
      </c>
    </row>
    <row r="974" spans="1:7" x14ac:dyDescent="0.3">
      <c r="A974" t="s">
        <v>68</v>
      </c>
      <c r="B974" t="s">
        <v>464</v>
      </c>
      <c r="C974" s="1">
        <v>45264</v>
      </c>
      <c r="D974">
        <f>DAY(Tabela_ferias_folgas[[#This Row],[Data]])</f>
        <v>4</v>
      </c>
      <c r="E974">
        <f>MONTH(Tabela_ferias_folgas[[#This Row],[Data]])</f>
        <v>12</v>
      </c>
      <c r="F974">
        <f>YEAR(Tabela_ferias_folgas[[#This Row],[Data]])</f>
        <v>2023</v>
      </c>
      <c r="G974" t="str">
        <f>Tabela_ferias_folgas[[#This Row],[Médico]]&amp;" - "&amp;Tabela_ferias_folgas[[#This Row],[Compromisso]]</f>
        <v>PED - FÉRIAS</v>
      </c>
    </row>
    <row r="975" spans="1:7" x14ac:dyDescent="0.3">
      <c r="A975" t="s">
        <v>68</v>
      </c>
      <c r="B975" t="s">
        <v>464</v>
      </c>
      <c r="C975" s="1">
        <v>45265</v>
      </c>
      <c r="D975">
        <f>DAY(Tabela_ferias_folgas[[#This Row],[Data]])</f>
        <v>5</v>
      </c>
      <c r="E975">
        <f>MONTH(Tabela_ferias_folgas[[#This Row],[Data]])</f>
        <v>12</v>
      </c>
      <c r="F975">
        <f>YEAR(Tabela_ferias_folgas[[#This Row],[Data]])</f>
        <v>2023</v>
      </c>
      <c r="G975" t="str">
        <f>Tabela_ferias_folgas[[#This Row],[Médico]]&amp;" - "&amp;Tabela_ferias_folgas[[#This Row],[Compromisso]]</f>
        <v>PED - FÉRIAS</v>
      </c>
    </row>
    <row r="976" spans="1:7" x14ac:dyDescent="0.3">
      <c r="A976" t="s">
        <v>68</v>
      </c>
      <c r="B976" t="s">
        <v>464</v>
      </c>
      <c r="C976" s="1">
        <v>45266</v>
      </c>
      <c r="D976">
        <f>DAY(Tabela_ferias_folgas[[#This Row],[Data]])</f>
        <v>6</v>
      </c>
      <c r="E976">
        <f>MONTH(Tabela_ferias_folgas[[#This Row],[Data]])</f>
        <v>12</v>
      </c>
      <c r="F976">
        <f>YEAR(Tabela_ferias_folgas[[#This Row],[Data]])</f>
        <v>2023</v>
      </c>
      <c r="G976" t="str">
        <f>Tabela_ferias_folgas[[#This Row],[Médico]]&amp;" - "&amp;Tabela_ferias_folgas[[#This Row],[Compromisso]]</f>
        <v>PED - FÉRIAS</v>
      </c>
    </row>
    <row r="977" spans="1:7" x14ac:dyDescent="0.3">
      <c r="A977" t="s">
        <v>68</v>
      </c>
      <c r="B977" t="s">
        <v>464</v>
      </c>
      <c r="C977" s="1">
        <v>45267</v>
      </c>
      <c r="D977">
        <f>DAY(Tabela_ferias_folgas[[#This Row],[Data]])</f>
        <v>7</v>
      </c>
      <c r="E977">
        <f>MONTH(Tabela_ferias_folgas[[#This Row],[Data]])</f>
        <v>12</v>
      </c>
      <c r="F977">
        <f>YEAR(Tabela_ferias_folgas[[#This Row],[Data]])</f>
        <v>2023</v>
      </c>
      <c r="G977" t="str">
        <f>Tabela_ferias_folgas[[#This Row],[Médico]]&amp;" - "&amp;Tabela_ferias_folgas[[#This Row],[Compromisso]]</f>
        <v>PED - FÉRIAS</v>
      </c>
    </row>
    <row r="978" spans="1:7" x14ac:dyDescent="0.3">
      <c r="A978" t="s">
        <v>68</v>
      </c>
      <c r="B978" t="s">
        <v>464</v>
      </c>
      <c r="C978" s="1">
        <v>45268</v>
      </c>
      <c r="D978">
        <f>DAY(Tabela_ferias_folgas[[#This Row],[Data]])</f>
        <v>8</v>
      </c>
      <c r="E978">
        <f>MONTH(Tabela_ferias_folgas[[#This Row],[Data]])</f>
        <v>12</v>
      </c>
      <c r="F978">
        <f>YEAR(Tabela_ferias_folgas[[#This Row],[Data]])</f>
        <v>2023</v>
      </c>
      <c r="G978" t="str">
        <f>Tabela_ferias_folgas[[#This Row],[Médico]]&amp;" - "&amp;Tabela_ferias_folgas[[#This Row],[Compromisso]]</f>
        <v>PED - FÉRIAS</v>
      </c>
    </row>
    <row r="979" spans="1:7" x14ac:dyDescent="0.3">
      <c r="A979" t="s">
        <v>68</v>
      </c>
      <c r="B979" t="s">
        <v>464</v>
      </c>
      <c r="C979" s="1">
        <v>45269</v>
      </c>
      <c r="D979">
        <f>DAY(Tabela_ferias_folgas[[#This Row],[Data]])</f>
        <v>9</v>
      </c>
      <c r="E979">
        <f>MONTH(Tabela_ferias_folgas[[#This Row],[Data]])</f>
        <v>12</v>
      </c>
      <c r="F979">
        <f>YEAR(Tabela_ferias_folgas[[#This Row],[Data]])</f>
        <v>2023</v>
      </c>
      <c r="G979" t="str">
        <f>Tabela_ferias_folgas[[#This Row],[Médico]]&amp;" - "&amp;Tabela_ferias_folgas[[#This Row],[Compromisso]]</f>
        <v>PED - FÉRIAS</v>
      </c>
    </row>
    <row r="980" spans="1:7" x14ac:dyDescent="0.3">
      <c r="A980" t="s">
        <v>66</v>
      </c>
      <c r="B980" t="s">
        <v>606</v>
      </c>
      <c r="C980" s="1">
        <v>45176</v>
      </c>
      <c r="D980">
        <f>DAY(Tabela_ferias_folgas[[#This Row],[Data]])</f>
        <v>7</v>
      </c>
      <c r="E980">
        <f>MONTH(Tabela_ferias_folgas[[#This Row],[Data]])</f>
        <v>9</v>
      </c>
      <c r="F980">
        <f>YEAR(Tabela_ferias_folgas[[#This Row],[Data]])</f>
        <v>2023</v>
      </c>
      <c r="G980" t="str">
        <f>Tabela_ferias_folgas[[#This Row],[Médico]]&amp;" - "&amp;Tabela_ferias_folgas[[#This Row],[Compromisso]]</f>
        <v>MOZ - CONGRESSO (CLASA)</v>
      </c>
    </row>
    <row r="981" spans="1:7" x14ac:dyDescent="0.3">
      <c r="A981" t="s">
        <v>66</v>
      </c>
      <c r="B981" t="s">
        <v>606</v>
      </c>
      <c r="C981" s="1">
        <v>45177</v>
      </c>
      <c r="D981">
        <f>DAY(Tabela_ferias_folgas[[#This Row],[Data]])</f>
        <v>8</v>
      </c>
      <c r="E981">
        <f>MONTH(Tabela_ferias_folgas[[#This Row],[Data]])</f>
        <v>9</v>
      </c>
      <c r="F981">
        <f>YEAR(Tabela_ferias_folgas[[#This Row],[Data]])</f>
        <v>2023</v>
      </c>
      <c r="G981" t="str">
        <f>Tabela_ferias_folgas[[#This Row],[Médico]]&amp;" - "&amp;Tabela_ferias_folgas[[#This Row],[Compromisso]]</f>
        <v>MOZ - CONGRESSO (CLASA)</v>
      </c>
    </row>
    <row r="982" spans="1:7" x14ac:dyDescent="0.3">
      <c r="A982" t="s">
        <v>66</v>
      </c>
      <c r="B982" t="s">
        <v>606</v>
      </c>
      <c r="C982" s="1">
        <v>45178</v>
      </c>
      <c r="D982">
        <f>DAY(Tabela_ferias_folgas[[#This Row],[Data]])</f>
        <v>9</v>
      </c>
      <c r="E982">
        <f>MONTH(Tabela_ferias_folgas[[#This Row],[Data]])</f>
        <v>9</v>
      </c>
      <c r="F982">
        <f>YEAR(Tabela_ferias_folgas[[#This Row],[Data]])</f>
        <v>2023</v>
      </c>
      <c r="G982" t="str">
        <f>Tabela_ferias_folgas[[#This Row],[Médico]]&amp;" - "&amp;Tabela_ferias_folgas[[#This Row],[Compromisso]]</f>
        <v>MOZ - CONGRESSO (CLASA)</v>
      </c>
    </row>
    <row r="983" spans="1:7" x14ac:dyDescent="0.3">
      <c r="A983" t="s">
        <v>66</v>
      </c>
      <c r="B983" t="s">
        <v>606</v>
      </c>
      <c r="C983" s="1">
        <v>45179</v>
      </c>
      <c r="D983">
        <f>DAY(Tabela_ferias_folgas[[#This Row],[Data]])</f>
        <v>10</v>
      </c>
      <c r="E983">
        <f>MONTH(Tabela_ferias_folgas[[#This Row],[Data]])</f>
        <v>9</v>
      </c>
      <c r="F983">
        <f>YEAR(Tabela_ferias_folgas[[#This Row],[Data]])</f>
        <v>2023</v>
      </c>
      <c r="G983" t="str">
        <f>Tabela_ferias_folgas[[#This Row],[Médico]]&amp;" - "&amp;Tabela_ferias_folgas[[#This Row],[Compromisso]]</f>
        <v>MOZ - CONGRESSO (CLASA)</v>
      </c>
    </row>
    <row r="984" spans="1:7" x14ac:dyDescent="0.3">
      <c r="A984" t="s">
        <v>94</v>
      </c>
      <c r="B984" t="s">
        <v>606</v>
      </c>
      <c r="C984" s="1">
        <v>45176</v>
      </c>
      <c r="D984">
        <f>DAY(Tabela_ferias_folgas[[#This Row],[Data]])</f>
        <v>7</v>
      </c>
      <c r="E984">
        <f>MONTH(Tabela_ferias_folgas[[#This Row],[Data]])</f>
        <v>9</v>
      </c>
      <c r="F984">
        <f>YEAR(Tabela_ferias_folgas[[#This Row],[Data]])</f>
        <v>2023</v>
      </c>
      <c r="G984" t="str">
        <f>Tabela_ferias_folgas[[#This Row],[Médico]]&amp;" - "&amp;Tabela_ferias_folgas[[#This Row],[Compromisso]]</f>
        <v>TOT - CONGRESSO (CLASA)</v>
      </c>
    </row>
    <row r="985" spans="1:7" x14ac:dyDescent="0.3">
      <c r="A985" t="s">
        <v>94</v>
      </c>
      <c r="B985" t="s">
        <v>606</v>
      </c>
      <c r="C985" s="1">
        <v>45177</v>
      </c>
      <c r="D985">
        <f>DAY(Tabela_ferias_folgas[[#This Row],[Data]])</f>
        <v>8</v>
      </c>
      <c r="E985">
        <f>MONTH(Tabela_ferias_folgas[[#This Row],[Data]])</f>
        <v>9</v>
      </c>
      <c r="F985">
        <f>YEAR(Tabela_ferias_folgas[[#This Row],[Data]])</f>
        <v>2023</v>
      </c>
      <c r="G985" t="str">
        <f>Tabela_ferias_folgas[[#This Row],[Médico]]&amp;" - "&amp;Tabela_ferias_folgas[[#This Row],[Compromisso]]</f>
        <v>TOT - CONGRESSO (CLASA)</v>
      </c>
    </row>
    <row r="986" spans="1:7" x14ac:dyDescent="0.3">
      <c r="A986" t="s">
        <v>94</v>
      </c>
      <c r="B986" t="s">
        <v>606</v>
      </c>
      <c r="C986" s="1">
        <v>45178</v>
      </c>
      <c r="D986">
        <f>DAY(Tabela_ferias_folgas[[#This Row],[Data]])</f>
        <v>9</v>
      </c>
      <c r="E986">
        <f>MONTH(Tabela_ferias_folgas[[#This Row],[Data]])</f>
        <v>9</v>
      </c>
      <c r="F986">
        <f>YEAR(Tabela_ferias_folgas[[#This Row],[Data]])</f>
        <v>2023</v>
      </c>
      <c r="G986" t="str">
        <f>Tabela_ferias_folgas[[#This Row],[Médico]]&amp;" - "&amp;Tabela_ferias_folgas[[#This Row],[Compromisso]]</f>
        <v>TOT - CONGRESSO (CLASA)</v>
      </c>
    </row>
    <row r="987" spans="1:7" x14ac:dyDescent="0.3">
      <c r="A987" t="s">
        <v>94</v>
      </c>
      <c r="B987" t="s">
        <v>606</v>
      </c>
      <c r="C987" s="1">
        <v>45179</v>
      </c>
      <c r="D987">
        <f>DAY(Tabela_ferias_folgas[[#This Row],[Data]])</f>
        <v>10</v>
      </c>
      <c r="E987">
        <f>MONTH(Tabela_ferias_folgas[[#This Row],[Data]])</f>
        <v>9</v>
      </c>
      <c r="F987">
        <f>YEAR(Tabela_ferias_folgas[[#This Row],[Data]])</f>
        <v>2023</v>
      </c>
      <c r="G987" t="str">
        <f>Tabela_ferias_folgas[[#This Row],[Médico]]&amp;" - "&amp;Tabela_ferias_folgas[[#This Row],[Compromisso]]</f>
        <v>TOT - CONGRESSO (CLASA)</v>
      </c>
    </row>
    <row r="988" spans="1:7" x14ac:dyDescent="0.3">
      <c r="A988" t="s">
        <v>7</v>
      </c>
      <c r="B988" t="s">
        <v>606</v>
      </c>
      <c r="C988" s="1">
        <v>45176</v>
      </c>
      <c r="D988">
        <f>DAY(Tabela_ferias_folgas[[#This Row],[Data]])</f>
        <v>7</v>
      </c>
      <c r="E988">
        <f>MONTH(Tabela_ferias_folgas[[#This Row],[Data]])</f>
        <v>9</v>
      </c>
      <c r="F988">
        <f>YEAR(Tabela_ferias_folgas[[#This Row],[Data]])</f>
        <v>2023</v>
      </c>
      <c r="G988" t="str">
        <f>Tabela_ferias_folgas[[#This Row],[Médico]]&amp;" - "&amp;Tabela_ferias_folgas[[#This Row],[Compromisso]]</f>
        <v>ARI - CONGRESSO (CLASA)</v>
      </c>
    </row>
    <row r="989" spans="1:7" x14ac:dyDescent="0.3">
      <c r="A989" t="s">
        <v>7</v>
      </c>
      <c r="B989" t="s">
        <v>606</v>
      </c>
      <c r="C989" s="1">
        <v>45177</v>
      </c>
      <c r="D989">
        <f>DAY(Tabela_ferias_folgas[[#This Row],[Data]])</f>
        <v>8</v>
      </c>
      <c r="E989">
        <f>MONTH(Tabela_ferias_folgas[[#This Row],[Data]])</f>
        <v>9</v>
      </c>
      <c r="F989">
        <f>YEAR(Tabela_ferias_folgas[[#This Row],[Data]])</f>
        <v>2023</v>
      </c>
      <c r="G989" t="str">
        <f>Tabela_ferias_folgas[[#This Row],[Médico]]&amp;" - "&amp;Tabela_ferias_folgas[[#This Row],[Compromisso]]</f>
        <v>ARI - CONGRESSO (CLASA)</v>
      </c>
    </row>
    <row r="990" spans="1:7" x14ac:dyDescent="0.3">
      <c r="A990" t="s">
        <v>7</v>
      </c>
      <c r="B990" t="s">
        <v>606</v>
      </c>
      <c r="C990" s="1">
        <v>45178</v>
      </c>
      <c r="D990">
        <f>DAY(Tabela_ferias_folgas[[#This Row],[Data]])</f>
        <v>9</v>
      </c>
      <c r="E990">
        <f>MONTH(Tabela_ferias_folgas[[#This Row],[Data]])</f>
        <v>9</v>
      </c>
      <c r="F990">
        <f>YEAR(Tabela_ferias_folgas[[#This Row],[Data]])</f>
        <v>2023</v>
      </c>
      <c r="G990" t="str">
        <f>Tabela_ferias_folgas[[#This Row],[Médico]]&amp;" - "&amp;Tabela_ferias_folgas[[#This Row],[Compromisso]]</f>
        <v>ARI - CONGRESSO (CLASA)</v>
      </c>
    </row>
    <row r="991" spans="1:7" x14ac:dyDescent="0.3">
      <c r="A991" t="s">
        <v>7</v>
      </c>
      <c r="B991" t="s">
        <v>606</v>
      </c>
      <c r="C991" s="1">
        <v>45179</v>
      </c>
      <c r="D991">
        <f>DAY(Tabela_ferias_folgas[[#This Row],[Data]])</f>
        <v>10</v>
      </c>
      <c r="E991">
        <f>MONTH(Tabela_ferias_folgas[[#This Row],[Data]])</f>
        <v>9</v>
      </c>
      <c r="F991">
        <f>YEAR(Tabela_ferias_folgas[[#This Row],[Data]])</f>
        <v>2023</v>
      </c>
      <c r="G991" t="str">
        <f>Tabela_ferias_folgas[[#This Row],[Médico]]&amp;" - "&amp;Tabela_ferias_folgas[[#This Row],[Compromisso]]</f>
        <v>ARI - CONGRESSO (CLASA)</v>
      </c>
    </row>
    <row r="992" spans="1:7" x14ac:dyDescent="0.3">
      <c r="A992" t="s">
        <v>23</v>
      </c>
      <c r="B992" t="s">
        <v>606</v>
      </c>
      <c r="C992" s="1">
        <v>45176</v>
      </c>
      <c r="D992">
        <f>DAY(Tabela_ferias_folgas[[#This Row],[Data]])</f>
        <v>7</v>
      </c>
      <c r="E992">
        <f>MONTH(Tabela_ferias_folgas[[#This Row],[Data]])</f>
        <v>9</v>
      </c>
      <c r="F992">
        <f>YEAR(Tabela_ferias_folgas[[#This Row],[Data]])</f>
        <v>2023</v>
      </c>
      <c r="G992" t="str">
        <f>Tabela_ferias_folgas[[#This Row],[Médico]]&amp;" - "&amp;Tabela_ferias_folgas[[#This Row],[Compromisso]]</f>
        <v>BG - CONGRESSO (CLASA)</v>
      </c>
    </row>
    <row r="993" spans="1:7" x14ac:dyDescent="0.3">
      <c r="A993" t="s">
        <v>23</v>
      </c>
      <c r="B993" t="s">
        <v>606</v>
      </c>
      <c r="C993" s="1">
        <v>45177</v>
      </c>
      <c r="D993">
        <f>DAY(Tabela_ferias_folgas[[#This Row],[Data]])</f>
        <v>8</v>
      </c>
      <c r="E993">
        <f>MONTH(Tabela_ferias_folgas[[#This Row],[Data]])</f>
        <v>9</v>
      </c>
      <c r="F993">
        <f>YEAR(Tabela_ferias_folgas[[#This Row],[Data]])</f>
        <v>2023</v>
      </c>
      <c r="G993" t="str">
        <f>Tabela_ferias_folgas[[#This Row],[Médico]]&amp;" - "&amp;Tabela_ferias_folgas[[#This Row],[Compromisso]]</f>
        <v>BG - CONGRESSO (CLASA)</v>
      </c>
    </row>
    <row r="994" spans="1:7" x14ac:dyDescent="0.3">
      <c r="A994" t="s">
        <v>23</v>
      </c>
      <c r="B994" t="s">
        <v>606</v>
      </c>
      <c r="C994" s="1">
        <v>45178</v>
      </c>
      <c r="D994">
        <f>DAY(Tabela_ferias_folgas[[#This Row],[Data]])</f>
        <v>9</v>
      </c>
      <c r="E994">
        <f>MONTH(Tabela_ferias_folgas[[#This Row],[Data]])</f>
        <v>9</v>
      </c>
      <c r="F994">
        <f>YEAR(Tabela_ferias_folgas[[#This Row],[Data]])</f>
        <v>2023</v>
      </c>
      <c r="G994" t="str">
        <f>Tabela_ferias_folgas[[#This Row],[Médico]]&amp;" - "&amp;Tabela_ferias_folgas[[#This Row],[Compromisso]]</f>
        <v>BG - CONGRESSO (CLASA)</v>
      </c>
    </row>
    <row r="995" spans="1:7" x14ac:dyDescent="0.3">
      <c r="A995" t="s">
        <v>23</v>
      </c>
      <c r="B995" t="s">
        <v>606</v>
      </c>
      <c r="C995" s="1">
        <v>45179</v>
      </c>
      <c r="D995">
        <f>DAY(Tabela_ferias_folgas[[#This Row],[Data]])</f>
        <v>10</v>
      </c>
      <c r="E995">
        <f>MONTH(Tabela_ferias_folgas[[#This Row],[Data]])</f>
        <v>9</v>
      </c>
      <c r="F995">
        <f>YEAR(Tabela_ferias_folgas[[#This Row],[Data]])</f>
        <v>2023</v>
      </c>
      <c r="G995" t="str">
        <f>Tabela_ferias_folgas[[#This Row],[Médico]]&amp;" - "&amp;Tabela_ferias_folgas[[#This Row],[Compromisso]]</f>
        <v>BG - CONGRESSO (CLASA)</v>
      </c>
    </row>
    <row r="996" spans="1:7" x14ac:dyDescent="0.3">
      <c r="A996" t="s">
        <v>50</v>
      </c>
      <c r="B996" t="s">
        <v>606</v>
      </c>
      <c r="C996" s="1">
        <v>45176</v>
      </c>
      <c r="D996">
        <f>DAY(Tabela_ferias_folgas[[#This Row],[Data]])</f>
        <v>7</v>
      </c>
      <c r="E996">
        <f>MONTH(Tabela_ferias_folgas[[#This Row],[Data]])</f>
        <v>9</v>
      </c>
      <c r="F996">
        <f>YEAR(Tabela_ferias_folgas[[#This Row],[Data]])</f>
        <v>2023</v>
      </c>
      <c r="G996" t="str">
        <f>Tabela_ferias_folgas[[#This Row],[Médico]]&amp;" - "&amp;Tabela_ferias_folgas[[#This Row],[Compromisso]]</f>
        <v>PJP - CONGRESSO (CLASA)</v>
      </c>
    </row>
    <row r="997" spans="1:7" x14ac:dyDescent="0.3">
      <c r="A997" t="s">
        <v>50</v>
      </c>
      <c r="B997" t="s">
        <v>606</v>
      </c>
      <c r="C997" s="1">
        <v>45177</v>
      </c>
      <c r="D997">
        <f>DAY(Tabela_ferias_folgas[[#This Row],[Data]])</f>
        <v>8</v>
      </c>
      <c r="E997">
        <f>MONTH(Tabela_ferias_folgas[[#This Row],[Data]])</f>
        <v>9</v>
      </c>
      <c r="F997">
        <f>YEAR(Tabela_ferias_folgas[[#This Row],[Data]])</f>
        <v>2023</v>
      </c>
      <c r="G997" t="str">
        <f>Tabela_ferias_folgas[[#This Row],[Médico]]&amp;" - "&amp;Tabela_ferias_folgas[[#This Row],[Compromisso]]</f>
        <v>PJP - CONGRESSO (CLASA)</v>
      </c>
    </row>
    <row r="998" spans="1:7" x14ac:dyDescent="0.3">
      <c r="A998" t="s">
        <v>50</v>
      </c>
      <c r="B998" t="s">
        <v>606</v>
      </c>
      <c r="C998" s="1">
        <v>45178</v>
      </c>
      <c r="D998">
        <f>DAY(Tabela_ferias_folgas[[#This Row],[Data]])</f>
        <v>9</v>
      </c>
      <c r="E998">
        <f>MONTH(Tabela_ferias_folgas[[#This Row],[Data]])</f>
        <v>9</v>
      </c>
      <c r="F998">
        <f>YEAR(Tabela_ferias_folgas[[#This Row],[Data]])</f>
        <v>2023</v>
      </c>
      <c r="G998" t="str">
        <f>Tabela_ferias_folgas[[#This Row],[Médico]]&amp;" - "&amp;Tabela_ferias_folgas[[#This Row],[Compromisso]]</f>
        <v>PJP - CONGRESSO (CLASA)</v>
      </c>
    </row>
    <row r="999" spans="1:7" x14ac:dyDescent="0.3">
      <c r="A999" t="s">
        <v>50</v>
      </c>
      <c r="B999" t="s">
        <v>606</v>
      </c>
      <c r="C999" s="1">
        <v>45179</v>
      </c>
      <c r="D999">
        <f>DAY(Tabela_ferias_folgas[[#This Row],[Data]])</f>
        <v>10</v>
      </c>
      <c r="E999">
        <f>MONTH(Tabela_ferias_folgas[[#This Row],[Data]])</f>
        <v>9</v>
      </c>
      <c r="F999">
        <f>YEAR(Tabela_ferias_folgas[[#This Row],[Data]])</f>
        <v>2023</v>
      </c>
      <c r="G999" t="str">
        <f>Tabela_ferias_folgas[[#This Row],[Médico]]&amp;" - "&amp;Tabela_ferias_folgas[[#This Row],[Compromisso]]</f>
        <v>PJP - CONGRESSO (CLASA)</v>
      </c>
    </row>
    <row r="1000" spans="1:7" x14ac:dyDescent="0.3">
      <c r="A1000" t="s">
        <v>47</v>
      </c>
      <c r="B1000" t="s">
        <v>619</v>
      </c>
      <c r="C1000" s="1">
        <v>45187</v>
      </c>
      <c r="D1000">
        <f>DAY(Tabela_ferias_folgas[[#This Row],[Data]])</f>
        <v>18</v>
      </c>
      <c r="E1000">
        <f>MONTH(Tabela_ferias_folgas[[#This Row],[Data]])</f>
        <v>9</v>
      </c>
      <c r="F1000">
        <f>YEAR(Tabela_ferias_folgas[[#This Row],[Data]])</f>
        <v>2023</v>
      </c>
      <c r="G1000" t="str">
        <f>Tabela_ferias_folgas[[#This Row],[Médico]]&amp;" - "&amp;Tabela_ferias_folgas[[#This Row],[Compromisso]]</f>
        <v>VIN - CONGRESSO (SBA)</v>
      </c>
    </row>
    <row r="1001" spans="1:7" x14ac:dyDescent="0.3">
      <c r="A1001" t="s">
        <v>47</v>
      </c>
      <c r="B1001" t="s">
        <v>679</v>
      </c>
      <c r="C1001" s="1">
        <v>45204</v>
      </c>
      <c r="D1001">
        <f>DAY(Tabela_ferias_folgas[[#This Row],[Data]])</f>
        <v>5</v>
      </c>
      <c r="E1001">
        <f>MONTH(Tabela_ferias_folgas[[#This Row],[Data]])</f>
        <v>10</v>
      </c>
      <c r="F1001">
        <f>YEAR(Tabela_ferias_folgas[[#This Row],[Data]])</f>
        <v>2023</v>
      </c>
      <c r="G1001" t="str">
        <f>Tabela_ferias_folgas[[#This Row],[Médico]]&amp;" - "&amp;Tabela_ferias_folgas[[#This Row],[Compromisso]]</f>
        <v>VIN - CONGRESSO (CONGRESSO)</v>
      </c>
    </row>
    <row r="1002" spans="1:7" x14ac:dyDescent="0.3">
      <c r="A1002" t="s">
        <v>12</v>
      </c>
      <c r="B1002" t="s">
        <v>628</v>
      </c>
      <c r="C1002" s="1">
        <v>45191</v>
      </c>
      <c r="D1002">
        <f>DAY(Tabela_ferias_folgas[[#This Row],[Data]])</f>
        <v>22</v>
      </c>
      <c r="E1002">
        <f>MONTH(Tabela_ferias_folgas[[#This Row],[Data]])</f>
        <v>9</v>
      </c>
      <c r="F1002">
        <f>YEAR(Tabela_ferias_folgas[[#This Row],[Data]])</f>
        <v>2023</v>
      </c>
      <c r="G1002" t="str">
        <f>Tabela_ferias_folgas[[#This Row],[Médico]]&amp;" - "&amp;Tabela_ferias_folgas[[#This Row],[Compromisso]]</f>
        <v>EDU - CONGRESSO (JARGS)</v>
      </c>
    </row>
    <row r="1003" spans="1:7" x14ac:dyDescent="0.3">
      <c r="A1003" t="s">
        <v>32</v>
      </c>
      <c r="B1003" t="s">
        <v>628</v>
      </c>
      <c r="C1003" s="1">
        <v>45191</v>
      </c>
      <c r="D1003">
        <f>DAY(Tabela_ferias_folgas[[#This Row],[Data]])</f>
        <v>22</v>
      </c>
      <c r="E1003">
        <f>MONTH(Tabela_ferias_folgas[[#This Row],[Data]])</f>
        <v>9</v>
      </c>
      <c r="F1003">
        <f>YEAR(Tabela_ferias_folgas[[#This Row],[Data]])</f>
        <v>2023</v>
      </c>
      <c r="G1003" t="str">
        <f>Tabela_ferias_folgas[[#This Row],[Médico]]&amp;" - "&amp;Tabela_ferias_folgas[[#This Row],[Compromisso]]</f>
        <v>JS - CONGRESSO (JARGS)</v>
      </c>
    </row>
    <row r="1004" spans="1:7" x14ac:dyDescent="0.3">
      <c r="A1004" t="s">
        <v>32</v>
      </c>
      <c r="B1004" t="s">
        <v>628</v>
      </c>
      <c r="C1004" s="1">
        <v>45192</v>
      </c>
      <c r="D1004">
        <f>DAY(Tabela_ferias_folgas[[#This Row],[Data]])</f>
        <v>23</v>
      </c>
      <c r="E1004">
        <f>MONTH(Tabela_ferias_folgas[[#This Row],[Data]])</f>
        <v>9</v>
      </c>
      <c r="F1004">
        <f>YEAR(Tabela_ferias_folgas[[#This Row],[Data]])</f>
        <v>2023</v>
      </c>
      <c r="G1004" t="str">
        <f>Tabela_ferias_folgas[[#This Row],[Médico]]&amp;" - "&amp;Tabela_ferias_folgas[[#This Row],[Compromisso]]</f>
        <v>JS - CONGRESSO (JARGS)</v>
      </c>
    </row>
    <row r="1005" spans="1:7" x14ac:dyDescent="0.3">
      <c r="A1005" t="s">
        <v>75</v>
      </c>
      <c r="B1005" t="s">
        <v>628</v>
      </c>
      <c r="C1005" s="1">
        <v>45191</v>
      </c>
      <c r="D1005">
        <f>DAY(Tabela_ferias_folgas[[#This Row],[Data]])</f>
        <v>22</v>
      </c>
      <c r="E1005">
        <f>MONTH(Tabela_ferias_folgas[[#This Row],[Data]])</f>
        <v>9</v>
      </c>
      <c r="F1005">
        <f>YEAR(Tabela_ferias_folgas[[#This Row],[Data]])</f>
        <v>2023</v>
      </c>
      <c r="G1005" t="str">
        <f>Tabela_ferias_folgas[[#This Row],[Médico]]&amp;" - "&amp;Tabela_ferias_folgas[[#This Row],[Compromisso]]</f>
        <v>KOP - CONGRESSO (JARGS)</v>
      </c>
    </row>
    <row r="1006" spans="1:7" x14ac:dyDescent="0.3">
      <c r="A1006" t="s">
        <v>75</v>
      </c>
      <c r="B1006" t="s">
        <v>628</v>
      </c>
      <c r="C1006" s="1">
        <v>45192</v>
      </c>
      <c r="D1006">
        <f>DAY(Tabela_ferias_folgas[[#This Row],[Data]])</f>
        <v>23</v>
      </c>
      <c r="E1006">
        <f>MONTH(Tabela_ferias_folgas[[#This Row],[Data]])</f>
        <v>9</v>
      </c>
      <c r="F1006">
        <f>YEAR(Tabela_ferias_folgas[[#This Row],[Data]])</f>
        <v>2023</v>
      </c>
      <c r="G1006" t="str">
        <f>Tabela_ferias_folgas[[#This Row],[Médico]]&amp;" - "&amp;Tabela_ferias_folgas[[#This Row],[Compromisso]]</f>
        <v>KOP - CONGRESSO (JARGS)</v>
      </c>
    </row>
    <row r="1007" spans="1:7" x14ac:dyDescent="0.3">
      <c r="A1007" t="s">
        <v>16</v>
      </c>
      <c r="B1007" t="s">
        <v>628</v>
      </c>
      <c r="C1007" s="1">
        <v>45191</v>
      </c>
      <c r="D1007">
        <f>DAY(Tabela_ferias_folgas[[#This Row],[Data]])</f>
        <v>22</v>
      </c>
      <c r="E1007">
        <f>MONTH(Tabela_ferias_folgas[[#This Row],[Data]])</f>
        <v>9</v>
      </c>
      <c r="F1007">
        <f>YEAR(Tabela_ferias_folgas[[#This Row],[Data]])</f>
        <v>2023</v>
      </c>
      <c r="G1007" t="str">
        <f>Tabela_ferias_folgas[[#This Row],[Médico]]&amp;" - "&amp;Tabela_ferias_folgas[[#This Row],[Compromisso]]</f>
        <v>PP - CONGRESSO (JARGS)</v>
      </c>
    </row>
    <row r="1008" spans="1:7" x14ac:dyDescent="0.3">
      <c r="A1008" t="s">
        <v>16</v>
      </c>
      <c r="B1008" t="s">
        <v>628</v>
      </c>
      <c r="C1008" s="1">
        <v>45192</v>
      </c>
      <c r="D1008">
        <f>DAY(Tabela_ferias_folgas[[#This Row],[Data]])</f>
        <v>23</v>
      </c>
      <c r="E1008">
        <f>MONTH(Tabela_ferias_folgas[[#This Row],[Data]])</f>
        <v>9</v>
      </c>
      <c r="F1008">
        <f>YEAR(Tabela_ferias_folgas[[#This Row],[Data]])</f>
        <v>2023</v>
      </c>
      <c r="G1008" t="str">
        <f>Tabela_ferias_folgas[[#This Row],[Médico]]&amp;" - "&amp;Tabela_ferias_folgas[[#This Row],[Compromisso]]</f>
        <v>PP - CONGRESSO (JARGS)</v>
      </c>
    </row>
    <row r="1009" spans="1:7" x14ac:dyDescent="0.3">
      <c r="A1009" t="s">
        <v>14</v>
      </c>
      <c r="B1009" t="s">
        <v>628</v>
      </c>
      <c r="C1009" s="1">
        <v>45191</v>
      </c>
      <c r="D1009">
        <f>DAY(Tabela_ferias_folgas[[#This Row],[Data]])</f>
        <v>22</v>
      </c>
      <c r="E1009">
        <f>MONTH(Tabela_ferias_folgas[[#This Row],[Data]])</f>
        <v>9</v>
      </c>
      <c r="F1009">
        <f>YEAR(Tabela_ferias_folgas[[#This Row],[Data]])</f>
        <v>2023</v>
      </c>
      <c r="G1009" t="str">
        <f>Tabela_ferias_folgas[[#This Row],[Médico]]&amp;" - "&amp;Tabela_ferias_folgas[[#This Row],[Compromisso]]</f>
        <v>PW - CONGRESSO (JARGS)</v>
      </c>
    </row>
    <row r="1010" spans="1:7" x14ac:dyDescent="0.3">
      <c r="A1010" t="s">
        <v>14</v>
      </c>
      <c r="B1010" t="s">
        <v>628</v>
      </c>
      <c r="C1010" s="1">
        <v>45192</v>
      </c>
      <c r="D1010">
        <f>DAY(Tabela_ferias_folgas[[#This Row],[Data]])</f>
        <v>23</v>
      </c>
      <c r="E1010">
        <f>MONTH(Tabela_ferias_folgas[[#This Row],[Data]])</f>
        <v>9</v>
      </c>
      <c r="F1010">
        <f>YEAR(Tabela_ferias_folgas[[#This Row],[Data]])</f>
        <v>2023</v>
      </c>
      <c r="G1010" t="str">
        <f>Tabela_ferias_folgas[[#This Row],[Médico]]&amp;" - "&amp;Tabela_ferias_folgas[[#This Row],[Compromisso]]</f>
        <v>PW - CONGRESSO (JARGS)</v>
      </c>
    </row>
    <row r="1011" spans="1:7" x14ac:dyDescent="0.3">
      <c r="A1011" t="s">
        <v>33</v>
      </c>
      <c r="B1011" t="s">
        <v>628</v>
      </c>
      <c r="C1011" s="1">
        <v>45191</v>
      </c>
      <c r="D1011">
        <f>DAY(Tabela_ferias_folgas[[#This Row],[Data]])</f>
        <v>22</v>
      </c>
      <c r="E1011">
        <f>MONTH(Tabela_ferias_folgas[[#This Row],[Data]])</f>
        <v>9</v>
      </c>
      <c r="F1011">
        <f>YEAR(Tabela_ferias_folgas[[#This Row],[Data]])</f>
        <v>2023</v>
      </c>
      <c r="G1011" t="str">
        <f>Tabela_ferias_folgas[[#This Row],[Médico]]&amp;" - "&amp;Tabela_ferias_folgas[[#This Row],[Compromisso]]</f>
        <v>DIF - CONGRESSO (JARGS)</v>
      </c>
    </row>
    <row r="1012" spans="1:7" x14ac:dyDescent="0.3">
      <c r="A1012" t="s">
        <v>33</v>
      </c>
      <c r="B1012" t="s">
        <v>628</v>
      </c>
      <c r="C1012" s="1">
        <v>45192</v>
      </c>
      <c r="D1012">
        <f>DAY(Tabela_ferias_folgas[[#This Row],[Data]])</f>
        <v>23</v>
      </c>
      <c r="E1012">
        <f>MONTH(Tabela_ferias_folgas[[#This Row],[Data]])</f>
        <v>9</v>
      </c>
      <c r="F1012">
        <f>YEAR(Tabela_ferias_folgas[[#This Row],[Data]])</f>
        <v>2023</v>
      </c>
      <c r="G1012" t="str">
        <f>Tabela_ferias_folgas[[#This Row],[Médico]]&amp;" - "&amp;Tabela_ferias_folgas[[#This Row],[Compromisso]]</f>
        <v>DIF - CONGRESSO (JARGS)</v>
      </c>
    </row>
    <row r="1013" spans="1:7" x14ac:dyDescent="0.3">
      <c r="A1013" t="s">
        <v>66</v>
      </c>
      <c r="B1013" t="s">
        <v>628</v>
      </c>
      <c r="C1013" s="1">
        <v>45191</v>
      </c>
      <c r="D1013">
        <f>DAY(Tabela_ferias_folgas[[#This Row],[Data]])</f>
        <v>22</v>
      </c>
      <c r="E1013">
        <f>MONTH(Tabela_ferias_folgas[[#This Row],[Data]])</f>
        <v>9</v>
      </c>
      <c r="F1013">
        <f>YEAR(Tabela_ferias_folgas[[#This Row],[Data]])</f>
        <v>2023</v>
      </c>
      <c r="G1013" t="str">
        <f>Tabela_ferias_folgas[[#This Row],[Médico]]&amp;" - "&amp;Tabela_ferias_folgas[[#This Row],[Compromisso]]</f>
        <v>MOZ - CONGRESSO (JARGS)</v>
      </c>
    </row>
    <row r="1014" spans="1:7" x14ac:dyDescent="0.3">
      <c r="A1014" t="s">
        <v>50</v>
      </c>
      <c r="B1014" t="s">
        <v>628</v>
      </c>
      <c r="C1014" s="1">
        <v>45192</v>
      </c>
      <c r="D1014">
        <f>DAY(Tabela_ferias_folgas[[#This Row],[Data]])</f>
        <v>23</v>
      </c>
      <c r="E1014">
        <f>MONTH(Tabela_ferias_folgas[[#This Row],[Data]])</f>
        <v>9</v>
      </c>
      <c r="F1014">
        <f>YEAR(Tabela_ferias_folgas[[#This Row],[Data]])</f>
        <v>2023</v>
      </c>
      <c r="G1014" t="str">
        <f>Tabela_ferias_folgas[[#This Row],[Médico]]&amp;" - "&amp;Tabela_ferias_folgas[[#This Row],[Compromisso]]</f>
        <v>PJP - CONGRESSO (JARGS)</v>
      </c>
    </row>
    <row r="1015" spans="1:7" x14ac:dyDescent="0.3">
      <c r="A1015" t="s">
        <v>84</v>
      </c>
      <c r="B1015" t="s">
        <v>628</v>
      </c>
      <c r="C1015" s="1">
        <v>45192</v>
      </c>
      <c r="D1015">
        <f>DAY(Tabela_ferias_folgas[[#This Row],[Data]])</f>
        <v>23</v>
      </c>
      <c r="E1015">
        <f>MONTH(Tabela_ferias_folgas[[#This Row],[Data]])</f>
        <v>9</v>
      </c>
      <c r="F1015">
        <f>YEAR(Tabela_ferias_folgas[[#This Row],[Data]])</f>
        <v>2023</v>
      </c>
      <c r="G1015" t="str">
        <f>Tabela_ferias_folgas[[#This Row],[Médico]]&amp;" - "&amp;Tabela_ferias_folgas[[#This Row],[Compromisso]]</f>
        <v>ANO - CONGRESSO (JARGS)</v>
      </c>
    </row>
    <row r="1016" spans="1:7" x14ac:dyDescent="0.3">
      <c r="A1016" t="s">
        <v>73</v>
      </c>
      <c r="B1016" t="s">
        <v>628</v>
      </c>
      <c r="C1016" s="1">
        <v>45192</v>
      </c>
      <c r="D1016">
        <f>DAY(Tabela_ferias_folgas[[#This Row],[Data]])</f>
        <v>23</v>
      </c>
      <c r="E1016">
        <f>MONTH(Tabela_ferias_folgas[[#This Row],[Data]])</f>
        <v>9</v>
      </c>
      <c r="F1016">
        <f>YEAR(Tabela_ferias_folgas[[#This Row],[Data]])</f>
        <v>2023</v>
      </c>
      <c r="G1016" t="str">
        <f>Tabela_ferias_folgas[[#This Row],[Médico]]&amp;" - "&amp;Tabela_ferias_folgas[[#This Row],[Compromisso]]</f>
        <v>RT - CONGRESSO (JARGS)</v>
      </c>
    </row>
    <row r="1017" spans="1:7" x14ac:dyDescent="0.3">
      <c r="A1017" t="s">
        <v>23</v>
      </c>
      <c r="B1017" t="s">
        <v>628</v>
      </c>
      <c r="C1017" s="1">
        <v>45192</v>
      </c>
      <c r="D1017">
        <f>DAY(Tabela_ferias_folgas[[#This Row],[Data]])</f>
        <v>23</v>
      </c>
      <c r="E1017">
        <f>MONTH(Tabela_ferias_folgas[[#This Row],[Data]])</f>
        <v>9</v>
      </c>
      <c r="F1017">
        <f>YEAR(Tabela_ferias_folgas[[#This Row],[Data]])</f>
        <v>2023</v>
      </c>
      <c r="G1017" t="str">
        <f>Tabela_ferias_folgas[[#This Row],[Médico]]&amp;" - "&amp;Tabela_ferias_folgas[[#This Row],[Compromisso]]</f>
        <v>BG - CONGRESSO (JARGS)</v>
      </c>
    </row>
    <row r="1018" spans="1:7" x14ac:dyDescent="0.3">
      <c r="A1018" t="s">
        <v>34</v>
      </c>
      <c r="B1018" t="s">
        <v>628</v>
      </c>
      <c r="C1018" s="1">
        <v>45192</v>
      </c>
      <c r="D1018">
        <f>DAY(Tabela_ferias_folgas[[#This Row],[Data]])</f>
        <v>23</v>
      </c>
      <c r="E1018">
        <f>MONTH(Tabela_ferias_folgas[[#This Row],[Data]])</f>
        <v>9</v>
      </c>
      <c r="F1018">
        <f>YEAR(Tabela_ferias_folgas[[#This Row],[Data]])</f>
        <v>2023</v>
      </c>
      <c r="G1018" t="str">
        <f>Tabela_ferias_folgas[[#This Row],[Médico]]&amp;" - "&amp;Tabela_ferias_folgas[[#This Row],[Compromisso]]</f>
        <v>LIP - CONGRESSO (JARGS)</v>
      </c>
    </row>
    <row r="1019" spans="1:7" x14ac:dyDescent="0.3">
      <c r="A1019" t="s">
        <v>47</v>
      </c>
      <c r="B1019" t="s">
        <v>628</v>
      </c>
      <c r="C1019" s="1">
        <v>45192</v>
      </c>
      <c r="D1019">
        <f>DAY(Tabela_ferias_folgas[[#This Row],[Data]])</f>
        <v>23</v>
      </c>
      <c r="E1019">
        <f>MONTH(Tabela_ferias_folgas[[#This Row],[Data]])</f>
        <v>9</v>
      </c>
      <c r="F1019">
        <f>YEAR(Tabela_ferias_folgas[[#This Row],[Data]])</f>
        <v>2023</v>
      </c>
      <c r="G1019" t="str">
        <f>Tabela_ferias_folgas[[#This Row],[Médico]]&amp;" - "&amp;Tabela_ferias_folgas[[#This Row],[Compromisso]]</f>
        <v>VIN - CONGRESSO (JARGS)</v>
      </c>
    </row>
    <row r="1020" spans="1:7" x14ac:dyDescent="0.3">
      <c r="A1020" t="s">
        <v>23</v>
      </c>
      <c r="B1020" t="s">
        <v>638</v>
      </c>
      <c r="C1020" s="1">
        <v>45218</v>
      </c>
      <c r="D1020">
        <f>DAY(Tabela_ferias_folgas[[#This Row],[Data]])</f>
        <v>19</v>
      </c>
      <c r="E1020">
        <f>MONTH(Tabela_ferias_folgas[[#This Row],[Data]])</f>
        <v>10</v>
      </c>
      <c r="F1020">
        <f>YEAR(Tabela_ferias_folgas[[#This Row],[Data]])</f>
        <v>2023</v>
      </c>
      <c r="G1020" t="str">
        <f>Tabela_ferias_folgas[[#This Row],[Médico]]&amp;" - "&amp;Tabela_ferias_folgas[[#This Row],[Compromisso]]</f>
        <v>BG - CONGRESSO (AULA NA USP)</v>
      </c>
    </row>
    <row r="1021" spans="1:7" x14ac:dyDescent="0.3">
      <c r="A1021" t="s">
        <v>12</v>
      </c>
      <c r="B1021" t="s">
        <v>464</v>
      </c>
      <c r="C1021" s="1">
        <v>45264</v>
      </c>
      <c r="D1021">
        <f>DAY(Tabela_ferias_folgas[[#This Row],[Data]])</f>
        <v>4</v>
      </c>
      <c r="E1021">
        <f>MONTH(Tabela_ferias_folgas[[#This Row],[Data]])</f>
        <v>12</v>
      </c>
      <c r="F1021">
        <f>YEAR(Tabela_ferias_folgas[[#This Row],[Data]])</f>
        <v>2023</v>
      </c>
      <c r="G1021" t="str">
        <f>Tabela_ferias_folgas[[#This Row],[Médico]]&amp;" - "&amp;Tabela_ferias_folgas[[#This Row],[Compromisso]]</f>
        <v>EDU - FÉRIAS</v>
      </c>
    </row>
    <row r="1022" spans="1:7" x14ac:dyDescent="0.3">
      <c r="A1022" t="s">
        <v>12</v>
      </c>
      <c r="B1022" t="s">
        <v>464</v>
      </c>
      <c r="C1022" s="1">
        <v>45265</v>
      </c>
      <c r="D1022">
        <f>DAY(Tabela_ferias_folgas[[#This Row],[Data]])</f>
        <v>5</v>
      </c>
      <c r="E1022">
        <f>MONTH(Tabela_ferias_folgas[[#This Row],[Data]])</f>
        <v>12</v>
      </c>
      <c r="F1022">
        <f>YEAR(Tabela_ferias_folgas[[#This Row],[Data]])</f>
        <v>2023</v>
      </c>
      <c r="G1022" t="str">
        <f>Tabela_ferias_folgas[[#This Row],[Médico]]&amp;" - "&amp;Tabela_ferias_folgas[[#This Row],[Compromisso]]</f>
        <v>EDU - FÉRIAS</v>
      </c>
    </row>
    <row r="1023" spans="1:7" x14ac:dyDescent="0.3">
      <c r="A1023" t="s">
        <v>12</v>
      </c>
      <c r="B1023" t="s">
        <v>464</v>
      </c>
      <c r="C1023" s="1">
        <v>45266</v>
      </c>
      <c r="D1023">
        <f>DAY(Tabela_ferias_folgas[[#This Row],[Data]])</f>
        <v>6</v>
      </c>
      <c r="E1023">
        <f>MONTH(Tabela_ferias_folgas[[#This Row],[Data]])</f>
        <v>12</v>
      </c>
      <c r="F1023">
        <f>YEAR(Tabela_ferias_folgas[[#This Row],[Data]])</f>
        <v>2023</v>
      </c>
      <c r="G1023" t="str">
        <f>Tabela_ferias_folgas[[#This Row],[Médico]]&amp;" - "&amp;Tabela_ferias_folgas[[#This Row],[Compromisso]]</f>
        <v>EDU - FÉRIAS</v>
      </c>
    </row>
    <row r="1024" spans="1:7" x14ac:dyDescent="0.3">
      <c r="A1024" t="s">
        <v>12</v>
      </c>
      <c r="B1024" t="s">
        <v>464</v>
      </c>
      <c r="C1024" s="1">
        <v>45267</v>
      </c>
      <c r="D1024">
        <f>DAY(Tabela_ferias_folgas[[#This Row],[Data]])</f>
        <v>7</v>
      </c>
      <c r="E1024">
        <f>MONTH(Tabela_ferias_folgas[[#This Row],[Data]])</f>
        <v>12</v>
      </c>
      <c r="F1024">
        <f>YEAR(Tabela_ferias_folgas[[#This Row],[Data]])</f>
        <v>2023</v>
      </c>
      <c r="G1024" t="str">
        <f>Tabela_ferias_folgas[[#This Row],[Médico]]&amp;" - "&amp;Tabela_ferias_folgas[[#This Row],[Compromisso]]</f>
        <v>EDU - FÉRIAS</v>
      </c>
    </row>
    <row r="1025" spans="1:7" x14ac:dyDescent="0.3">
      <c r="A1025" t="s">
        <v>12</v>
      </c>
      <c r="B1025" t="s">
        <v>464</v>
      </c>
      <c r="C1025" s="1">
        <v>45268</v>
      </c>
      <c r="D1025">
        <f>DAY(Tabela_ferias_folgas[[#This Row],[Data]])</f>
        <v>8</v>
      </c>
      <c r="E1025">
        <f>MONTH(Tabela_ferias_folgas[[#This Row],[Data]])</f>
        <v>12</v>
      </c>
      <c r="F1025">
        <f>YEAR(Tabela_ferias_folgas[[#This Row],[Data]])</f>
        <v>2023</v>
      </c>
      <c r="G1025" t="str">
        <f>Tabela_ferias_folgas[[#This Row],[Médico]]&amp;" - "&amp;Tabela_ferias_folgas[[#This Row],[Compromisso]]</f>
        <v>EDU - FÉRIAS</v>
      </c>
    </row>
    <row r="1026" spans="1:7" x14ac:dyDescent="0.3">
      <c r="A1026" t="s">
        <v>12</v>
      </c>
      <c r="B1026" t="s">
        <v>464</v>
      </c>
      <c r="C1026" s="1">
        <v>45269</v>
      </c>
      <c r="D1026">
        <f>DAY(Tabela_ferias_folgas[[#This Row],[Data]])</f>
        <v>9</v>
      </c>
      <c r="E1026">
        <f>MONTH(Tabela_ferias_folgas[[#This Row],[Data]])</f>
        <v>12</v>
      </c>
      <c r="F1026">
        <f>YEAR(Tabela_ferias_folgas[[#This Row],[Data]])</f>
        <v>2023</v>
      </c>
      <c r="G1026" t="str">
        <f>Tabela_ferias_folgas[[#This Row],[Médico]]&amp;" - "&amp;Tabela_ferias_folgas[[#This Row],[Compromisso]]</f>
        <v>EDU - FÉRIAS</v>
      </c>
    </row>
    <row r="1027" spans="1:7" x14ac:dyDescent="0.3">
      <c r="A1027" t="s">
        <v>34</v>
      </c>
      <c r="B1027" t="s">
        <v>698</v>
      </c>
      <c r="C1027" s="1">
        <v>45219</v>
      </c>
      <c r="D1027">
        <f>DAY(Tabela_ferias_folgas[[#This Row],[Data]])</f>
        <v>20</v>
      </c>
      <c r="E1027">
        <f>MONTH(Tabela_ferias_folgas[[#This Row],[Data]])</f>
        <v>10</v>
      </c>
      <c r="F1027">
        <f>YEAR(Tabela_ferias_folgas[[#This Row],[Data]])</f>
        <v>2023</v>
      </c>
      <c r="G1027" t="str">
        <f>Tabela_ferias_folgas[[#This Row],[Médico]]&amp;" - "&amp;Tabela_ferias_folgas[[#This Row],[Compromisso]]</f>
        <v>LIP - CONGRESSO (STARTUP WEEKEND HEALTH - FLORIPA)</v>
      </c>
    </row>
    <row r="1028" spans="1:7" x14ac:dyDescent="0.3">
      <c r="A1028" t="s">
        <v>34</v>
      </c>
      <c r="B1028" t="s">
        <v>698</v>
      </c>
      <c r="C1028" s="1">
        <v>45220</v>
      </c>
      <c r="D1028">
        <f>DAY(Tabela_ferias_folgas[[#This Row],[Data]])</f>
        <v>21</v>
      </c>
      <c r="E1028">
        <f>MONTH(Tabela_ferias_folgas[[#This Row],[Data]])</f>
        <v>10</v>
      </c>
      <c r="F1028">
        <f>YEAR(Tabela_ferias_folgas[[#This Row],[Data]])</f>
        <v>2023</v>
      </c>
      <c r="G1028" t="str">
        <f>Tabela_ferias_folgas[[#This Row],[Médico]]&amp;" - "&amp;Tabela_ferias_folgas[[#This Row],[Compromisso]]</f>
        <v>LIP - CONGRESSO (STARTUP WEEKEND HEALTH - FLORIPA)</v>
      </c>
    </row>
    <row r="1029" spans="1:7" x14ac:dyDescent="0.3">
      <c r="A1029" t="s">
        <v>34</v>
      </c>
      <c r="B1029" t="s">
        <v>698</v>
      </c>
      <c r="C1029" s="1">
        <v>45221</v>
      </c>
      <c r="D1029">
        <f>DAY(Tabela_ferias_folgas[[#This Row],[Data]])</f>
        <v>22</v>
      </c>
      <c r="E1029">
        <f>MONTH(Tabela_ferias_folgas[[#This Row],[Data]])</f>
        <v>10</v>
      </c>
      <c r="F1029">
        <f>YEAR(Tabela_ferias_folgas[[#This Row],[Data]])</f>
        <v>2023</v>
      </c>
      <c r="G1029" t="str">
        <f>Tabela_ferias_folgas[[#This Row],[Médico]]&amp;" - "&amp;Tabela_ferias_folgas[[#This Row],[Compromisso]]</f>
        <v>LIP - CONGRESSO (STARTUP WEEKEND HEALTH - FLORIPA)</v>
      </c>
    </row>
    <row r="1030" spans="1:7" x14ac:dyDescent="0.3">
      <c r="A1030" t="s">
        <v>34</v>
      </c>
      <c r="B1030" t="s">
        <v>698</v>
      </c>
      <c r="C1030" s="1">
        <v>45222</v>
      </c>
      <c r="D1030">
        <f>DAY(Tabela_ferias_folgas[[#This Row],[Data]])</f>
        <v>23</v>
      </c>
      <c r="E1030">
        <f>MONTH(Tabela_ferias_folgas[[#This Row],[Data]])</f>
        <v>10</v>
      </c>
      <c r="F1030">
        <f>YEAR(Tabela_ferias_folgas[[#This Row],[Data]])</f>
        <v>2023</v>
      </c>
      <c r="G1030" t="str">
        <f>Tabela_ferias_folgas[[#This Row],[Médico]]&amp;" - "&amp;Tabela_ferias_folgas[[#This Row],[Compromisso]]</f>
        <v>LIP - CONGRESSO (STARTUP WEEKEND HEALTH - FLORIPA)</v>
      </c>
    </row>
    <row r="1031" spans="1:7" x14ac:dyDescent="0.3">
      <c r="A1031" t="s">
        <v>47</v>
      </c>
      <c r="B1031" t="s">
        <v>464</v>
      </c>
      <c r="C1031" s="1">
        <v>45229</v>
      </c>
      <c r="D1031">
        <f>DAY(Tabela_ferias_folgas[[#This Row],[Data]])</f>
        <v>30</v>
      </c>
      <c r="E1031">
        <f>MONTH(Tabela_ferias_folgas[[#This Row],[Data]])</f>
        <v>10</v>
      </c>
      <c r="F1031">
        <f>YEAR(Tabela_ferias_folgas[[#This Row],[Data]])</f>
        <v>2023</v>
      </c>
      <c r="G1031" t="str">
        <f>Tabela_ferias_folgas[[#This Row],[Médico]]&amp;" - "&amp;Tabela_ferias_folgas[[#This Row],[Compromisso]]</f>
        <v>VIN - FÉRIAS</v>
      </c>
    </row>
    <row r="1032" spans="1:7" x14ac:dyDescent="0.3">
      <c r="A1032" t="s">
        <v>47</v>
      </c>
      <c r="B1032" t="s">
        <v>464</v>
      </c>
      <c r="C1032" s="1">
        <v>45230</v>
      </c>
      <c r="D1032">
        <f>DAY(Tabela_ferias_folgas[[#This Row],[Data]])</f>
        <v>31</v>
      </c>
      <c r="E1032">
        <f>MONTH(Tabela_ferias_folgas[[#This Row],[Data]])</f>
        <v>10</v>
      </c>
      <c r="F1032">
        <f>YEAR(Tabela_ferias_folgas[[#This Row],[Data]])</f>
        <v>2023</v>
      </c>
      <c r="G1032" t="str">
        <f>Tabela_ferias_folgas[[#This Row],[Médico]]&amp;" - "&amp;Tabela_ferias_folgas[[#This Row],[Compromisso]]</f>
        <v>VIN - FÉRIAS</v>
      </c>
    </row>
    <row r="1033" spans="1:7" x14ac:dyDescent="0.3">
      <c r="A1033" t="s">
        <v>47</v>
      </c>
      <c r="B1033" t="s">
        <v>464</v>
      </c>
      <c r="C1033" s="1">
        <v>45231</v>
      </c>
      <c r="D1033">
        <f>DAY(Tabela_ferias_folgas[[#This Row],[Data]])</f>
        <v>1</v>
      </c>
      <c r="E1033">
        <f>MONTH(Tabela_ferias_folgas[[#This Row],[Data]])</f>
        <v>11</v>
      </c>
      <c r="F1033">
        <f>YEAR(Tabela_ferias_folgas[[#This Row],[Data]])</f>
        <v>2023</v>
      </c>
      <c r="G1033" t="str">
        <f>Tabela_ferias_folgas[[#This Row],[Médico]]&amp;" - "&amp;Tabela_ferias_folgas[[#This Row],[Compromisso]]</f>
        <v>VIN - FÉRIAS</v>
      </c>
    </row>
    <row r="1034" spans="1:7" x14ac:dyDescent="0.3">
      <c r="A1034" t="s">
        <v>47</v>
      </c>
      <c r="B1034" t="s">
        <v>464</v>
      </c>
      <c r="C1034" s="1">
        <v>45232</v>
      </c>
      <c r="D1034">
        <f>DAY(Tabela_ferias_folgas[[#This Row],[Data]])</f>
        <v>2</v>
      </c>
      <c r="E1034">
        <f>MONTH(Tabela_ferias_folgas[[#This Row],[Data]])</f>
        <v>11</v>
      </c>
      <c r="F1034">
        <f>YEAR(Tabela_ferias_folgas[[#This Row],[Data]])</f>
        <v>2023</v>
      </c>
      <c r="G1034" t="str">
        <f>Tabela_ferias_folgas[[#This Row],[Médico]]&amp;" - "&amp;Tabela_ferias_folgas[[#This Row],[Compromisso]]</f>
        <v>VIN - FÉRIAS</v>
      </c>
    </row>
    <row r="1035" spans="1:7" x14ac:dyDescent="0.3">
      <c r="A1035" t="s">
        <v>47</v>
      </c>
      <c r="B1035" t="s">
        <v>464</v>
      </c>
      <c r="C1035" s="1">
        <v>45233</v>
      </c>
      <c r="D1035">
        <f>DAY(Tabela_ferias_folgas[[#This Row],[Data]])</f>
        <v>3</v>
      </c>
      <c r="E1035">
        <f>MONTH(Tabela_ferias_folgas[[#This Row],[Data]])</f>
        <v>11</v>
      </c>
      <c r="F1035">
        <f>YEAR(Tabela_ferias_folgas[[#This Row],[Data]])</f>
        <v>2023</v>
      </c>
      <c r="G1035" t="str">
        <f>Tabela_ferias_folgas[[#This Row],[Médico]]&amp;" - "&amp;Tabela_ferias_folgas[[#This Row],[Compromisso]]</f>
        <v>VIN - FÉRIAS</v>
      </c>
    </row>
    <row r="1036" spans="1:7" x14ac:dyDescent="0.3">
      <c r="A1036" t="s">
        <v>17</v>
      </c>
      <c r="B1036" t="s">
        <v>464</v>
      </c>
      <c r="C1036" s="1">
        <v>45236</v>
      </c>
      <c r="D1036">
        <f>DAY(Tabela_ferias_folgas[[#This Row],[Data]])</f>
        <v>6</v>
      </c>
      <c r="E1036">
        <f>MONTH(Tabela_ferias_folgas[[#This Row],[Data]])</f>
        <v>11</v>
      </c>
      <c r="F1036">
        <f>YEAR(Tabela_ferias_folgas[[#This Row],[Data]])</f>
        <v>2023</v>
      </c>
      <c r="G1036" t="str">
        <f>Tabela_ferias_folgas[[#This Row],[Médico]]&amp;" - "&amp;Tabela_ferias_folgas[[#This Row],[Compromisso]]</f>
        <v>FAB - FÉRIAS</v>
      </c>
    </row>
    <row r="1037" spans="1:7" x14ac:dyDescent="0.3">
      <c r="A1037" t="s">
        <v>17</v>
      </c>
      <c r="B1037" t="s">
        <v>464</v>
      </c>
      <c r="C1037" s="1">
        <v>45237</v>
      </c>
      <c r="D1037">
        <f>DAY(Tabela_ferias_folgas[[#This Row],[Data]])</f>
        <v>7</v>
      </c>
      <c r="E1037">
        <f>MONTH(Tabela_ferias_folgas[[#This Row],[Data]])</f>
        <v>11</v>
      </c>
      <c r="F1037">
        <f>YEAR(Tabela_ferias_folgas[[#This Row],[Data]])</f>
        <v>2023</v>
      </c>
      <c r="G1037" t="str">
        <f>Tabela_ferias_folgas[[#This Row],[Médico]]&amp;" - "&amp;Tabela_ferias_folgas[[#This Row],[Compromisso]]</f>
        <v>FAB - FÉRIAS</v>
      </c>
    </row>
    <row r="1038" spans="1:7" x14ac:dyDescent="0.3">
      <c r="A1038" t="s">
        <v>17</v>
      </c>
      <c r="B1038" t="s">
        <v>464</v>
      </c>
      <c r="C1038" s="1">
        <v>45238</v>
      </c>
      <c r="D1038">
        <f>DAY(Tabela_ferias_folgas[[#This Row],[Data]])</f>
        <v>8</v>
      </c>
      <c r="E1038">
        <f>MONTH(Tabela_ferias_folgas[[#This Row],[Data]])</f>
        <v>11</v>
      </c>
      <c r="F1038">
        <f>YEAR(Tabela_ferias_folgas[[#This Row],[Data]])</f>
        <v>2023</v>
      </c>
      <c r="G1038" t="str">
        <f>Tabela_ferias_folgas[[#This Row],[Médico]]&amp;" - "&amp;Tabela_ferias_folgas[[#This Row],[Compromisso]]</f>
        <v>FAB - FÉRIAS</v>
      </c>
    </row>
    <row r="1039" spans="1:7" x14ac:dyDescent="0.3">
      <c r="A1039" t="s">
        <v>17</v>
      </c>
      <c r="B1039" t="s">
        <v>464</v>
      </c>
      <c r="C1039" s="1">
        <v>45239</v>
      </c>
      <c r="D1039">
        <f>DAY(Tabela_ferias_folgas[[#This Row],[Data]])</f>
        <v>9</v>
      </c>
      <c r="E1039">
        <f>MONTH(Tabela_ferias_folgas[[#This Row],[Data]])</f>
        <v>11</v>
      </c>
      <c r="F1039">
        <f>YEAR(Tabela_ferias_folgas[[#This Row],[Data]])</f>
        <v>2023</v>
      </c>
      <c r="G1039" t="str">
        <f>Tabela_ferias_folgas[[#This Row],[Médico]]&amp;" - "&amp;Tabela_ferias_folgas[[#This Row],[Compromisso]]</f>
        <v>FAB - FÉRIAS</v>
      </c>
    </row>
    <row r="1040" spans="1:7" x14ac:dyDescent="0.3">
      <c r="A1040" t="s">
        <v>17</v>
      </c>
      <c r="B1040" t="s">
        <v>464</v>
      </c>
      <c r="C1040" s="1">
        <v>45240</v>
      </c>
      <c r="D1040">
        <f>DAY(Tabela_ferias_folgas[[#This Row],[Data]])</f>
        <v>10</v>
      </c>
      <c r="E1040">
        <f>MONTH(Tabela_ferias_folgas[[#This Row],[Data]])</f>
        <v>11</v>
      </c>
      <c r="F1040">
        <f>YEAR(Tabela_ferias_folgas[[#This Row],[Data]])</f>
        <v>2023</v>
      </c>
      <c r="G1040" t="str">
        <f>Tabela_ferias_folgas[[#This Row],[Médico]]&amp;" - "&amp;Tabela_ferias_folgas[[#This Row],[Compromisso]]</f>
        <v>FAB - FÉRIAS</v>
      </c>
    </row>
    <row r="1041" spans="1:7" x14ac:dyDescent="0.3">
      <c r="A1041" t="s">
        <v>17</v>
      </c>
      <c r="B1041" t="s">
        <v>464</v>
      </c>
      <c r="C1041" s="1">
        <v>45241</v>
      </c>
      <c r="D1041">
        <f>DAY(Tabela_ferias_folgas[[#This Row],[Data]])</f>
        <v>11</v>
      </c>
      <c r="E1041">
        <f>MONTH(Tabela_ferias_folgas[[#This Row],[Data]])</f>
        <v>11</v>
      </c>
      <c r="F1041">
        <f>YEAR(Tabela_ferias_folgas[[#This Row],[Data]])</f>
        <v>2023</v>
      </c>
      <c r="G1041" t="str">
        <f>Tabela_ferias_folgas[[#This Row],[Médico]]&amp;" - "&amp;Tabela_ferias_folgas[[#This Row],[Compromisso]]</f>
        <v>FAB - FÉRIAS</v>
      </c>
    </row>
    <row r="1042" spans="1:7" x14ac:dyDescent="0.3">
      <c r="A1042" t="s">
        <v>17</v>
      </c>
      <c r="B1042" t="s">
        <v>464</v>
      </c>
      <c r="C1042" s="1">
        <v>45242</v>
      </c>
      <c r="D1042">
        <f>DAY(Tabela_ferias_folgas[[#This Row],[Data]])</f>
        <v>12</v>
      </c>
      <c r="E1042">
        <f>MONTH(Tabela_ferias_folgas[[#This Row],[Data]])</f>
        <v>11</v>
      </c>
      <c r="F1042">
        <f>YEAR(Tabela_ferias_folgas[[#This Row],[Data]])</f>
        <v>2023</v>
      </c>
      <c r="G1042" t="str">
        <f>Tabela_ferias_folgas[[#This Row],[Médico]]&amp;" - "&amp;Tabela_ferias_folgas[[#This Row],[Compromisso]]</f>
        <v>FAB - FÉRIAS</v>
      </c>
    </row>
    <row r="1043" spans="1:7" x14ac:dyDescent="0.3">
      <c r="A1043" t="s">
        <v>29</v>
      </c>
      <c r="B1043" t="s">
        <v>30</v>
      </c>
      <c r="C1043" s="1">
        <v>45041</v>
      </c>
      <c r="D1043">
        <f>DAY(Tabela_ferias_folgas[[#This Row],[Data]])</f>
        <v>25</v>
      </c>
      <c r="E1043">
        <f>MONTH(Tabela_ferias_folgas[[#This Row],[Data]])</f>
        <v>4</v>
      </c>
      <c r="F1043">
        <f>YEAR(Tabela_ferias_folgas[[#This Row],[Data]])</f>
        <v>2023</v>
      </c>
      <c r="G1043" t="str">
        <f>Tabela_ferias_folgas[[#This Row],[Médico]]&amp;" - "&amp;Tabela_ferias_folgas[[#This Row],[Compromisso]]</f>
        <v>JOA - FOLGA</v>
      </c>
    </row>
    <row r="1044" spans="1:7" x14ac:dyDescent="0.3">
      <c r="A1044" t="s">
        <v>29</v>
      </c>
      <c r="B1044" t="s">
        <v>30</v>
      </c>
      <c r="C1044" s="1">
        <v>45089</v>
      </c>
      <c r="D1044">
        <f>DAY(Tabela_ferias_folgas[[#This Row],[Data]])</f>
        <v>12</v>
      </c>
      <c r="E1044">
        <f>MONTH(Tabela_ferias_folgas[[#This Row],[Data]])</f>
        <v>6</v>
      </c>
      <c r="F1044">
        <f>YEAR(Tabela_ferias_folgas[[#This Row],[Data]])</f>
        <v>2023</v>
      </c>
      <c r="G1044" t="str">
        <f>Tabela_ferias_folgas[[#This Row],[Médico]]&amp;" - "&amp;Tabela_ferias_folgas[[#This Row],[Compromisso]]</f>
        <v>JOA - FOLGA</v>
      </c>
    </row>
    <row r="1045" spans="1:7" x14ac:dyDescent="0.3">
      <c r="A1045" t="s">
        <v>29</v>
      </c>
      <c r="B1045" t="s">
        <v>30</v>
      </c>
      <c r="C1045" s="1">
        <v>45090</v>
      </c>
      <c r="D1045">
        <f>DAY(Tabela_ferias_folgas[[#This Row],[Data]])</f>
        <v>13</v>
      </c>
      <c r="E1045">
        <f>MONTH(Tabela_ferias_folgas[[#This Row],[Data]])</f>
        <v>6</v>
      </c>
      <c r="F1045">
        <f>YEAR(Tabela_ferias_folgas[[#This Row],[Data]])</f>
        <v>2023</v>
      </c>
      <c r="G1045" t="str">
        <f>Tabela_ferias_folgas[[#This Row],[Médico]]&amp;" - "&amp;Tabela_ferias_folgas[[#This Row],[Compromisso]]</f>
        <v>JOA - FOLGA</v>
      </c>
    </row>
    <row r="1046" spans="1:7" x14ac:dyDescent="0.3">
      <c r="A1046" t="s">
        <v>29</v>
      </c>
      <c r="B1046" t="s">
        <v>30</v>
      </c>
      <c r="C1046" s="1">
        <v>45091</v>
      </c>
      <c r="D1046">
        <f>DAY(Tabela_ferias_folgas[[#This Row],[Data]])</f>
        <v>14</v>
      </c>
      <c r="E1046">
        <f>MONTH(Tabela_ferias_folgas[[#This Row],[Data]])</f>
        <v>6</v>
      </c>
      <c r="F1046">
        <f>YEAR(Tabela_ferias_folgas[[#This Row],[Data]])</f>
        <v>2023</v>
      </c>
      <c r="G1046" t="str">
        <f>Tabela_ferias_folgas[[#This Row],[Médico]]&amp;" - "&amp;Tabela_ferias_folgas[[#This Row],[Compromisso]]</f>
        <v>JOA - FOLGA</v>
      </c>
    </row>
    <row r="1047" spans="1:7" x14ac:dyDescent="0.3">
      <c r="A1047" t="s">
        <v>29</v>
      </c>
      <c r="B1047" t="s">
        <v>30</v>
      </c>
      <c r="C1047" s="1">
        <v>45092</v>
      </c>
      <c r="D1047">
        <f>DAY(Tabela_ferias_folgas[[#This Row],[Data]])</f>
        <v>15</v>
      </c>
      <c r="E1047">
        <f>MONTH(Tabela_ferias_folgas[[#This Row],[Data]])</f>
        <v>6</v>
      </c>
      <c r="F1047">
        <f>YEAR(Tabela_ferias_folgas[[#This Row],[Data]])</f>
        <v>2023</v>
      </c>
      <c r="G1047" t="str">
        <f>Tabela_ferias_folgas[[#This Row],[Médico]]&amp;" - "&amp;Tabela_ferias_folgas[[#This Row],[Compromisso]]</f>
        <v>JOA - FOLGA</v>
      </c>
    </row>
    <row r="1048" spans="1:7" x14ac:dyDescent="0.3">
      <c r="A1048" t="s">
        <v>29</v>
      </c>
      <c r="B1048" t="s">
        <v>30</v>
      </c>
      <c r="C1048" s="1">
        <v>45093</v>
      </c>
      <c r="D1048">
        <f>DAY(Tabela_ferias_folgas[[#This Row],[Data]])</f>
        <v>16</v>
      </c>
      <c r="E1048">
        <f>MONTH(Tabela_ferias_folgas[[#This Row],[Data]])</f>
        <v>6</v>
      </c>
      <c r="F1048">
        <f>YEAR(Tabela_ferias_folgas[[#This Row],[Data]])</f>
        <v>2023</v>
      </c>
      <c r="G1048" t="str">
        <f>Tabela_ferias_folgas[[#This Row],[Médico]]&amp;" - "&amp;Tabela_ferias_folgas[[#This Row],[Compromisso]]</f>
        <v>JOA - FOLGA</v>
      </c>
    </row>
    <row r="1049" spans="1:7" x14ac:dyDescent="0.3">
      <c r="A1049" t="s">
        <v>29</v>
      </c>
      <c r="B1049" t="s">
        <v>30</v>
      </c>
      <c r="C1049" s="1">
        <v>45034</v>
      </c>
      <c r="D1049">
        <f>DAY(Tabela_ferias_folgas[[#This Row],[Data]])</f>
        <v>18</v>
      </c>
      <c r="E1049">
        <f>MONTH(Tabela_ferias_folgas[[#This Row],[Data]])</f>
        <v>4</v>
      </c>
      <c r="F1049">
        <f>YEAR(Tabela_ferias_folgas[[#This Row],[Data]])</f>
        <v>2023</v>
      </c>
      <c r="G1049" t="str">
        <f>Tabela_ferias_folgas[[#This Row],[Médico]]&amp;" - "&amp;Tabela_ferias_folgas[[#This Row],[Compromisso]]</f>
        <v>JOA - FOLGA</v>
      </c>
    </row>
    <row r="1050" spans="1:7" x14ac:dyDescent="0.3">
      <c r="A1050" t="s">
        <v>29</v>
      </c>
      <c r="B1050" t="s">
        <v>30</v>
      </c>
      <c r="C1050" s="1">
        <v>45140</v>
      </c>
      <c r="D1050">
        <f>DAY(Tabela_ferias_folgas[[#This Row],[Data]])</f>
        <v>2</v>
      </c>
      <c r="E1050">
        <f>MONTH(Tabela_ferias_folgas[[#This Row],[Data]])</f>
        <v>8</v>
      </c>
      <c r="F1050">
        <f>YEAR(Tabela_ferias_folgas[[#This Row],[Data]])</f>
        <v>2023</v>
      </c>
      <c r="G1050" t="str">
        <f>Tabela_ferias_folgas[[#This Row],[Médico]]&amp;" - "&amp;Tabela_ferias_folgas[[#This Row],[Compromisso]]</f>
        <v>JOA - FOLGA</v>
      </c>
    </row>
    <row r="1051" spans="1:7" x14ac:dyDescent="0.3">
      <c r="A1051" t="s">
        <v>29</v>
      </c>
      <c r="B1051" t="s">
        <v>30</v>
      </c>
      <c r="C1051" s="1">
        <v>45142</v>
      </c>
      <c r="D1051">
        <f>DAY(Tabela_ferias_folgas[[#This Row],[Data]])</f>
        <v>4</v>
      </c>
      <c r="E1051">
        <f>MONTH(Tabela_ferias_folgas[[#This Row],[Data]])</f>
        <v>8</v>
      </c>
      <c r="F1051">
        <f>YEAR(Tabela_ferias_folgas[[#This Row],[Data]])</f>
        <v>2023</v>
      </c>
      <c r="G1051" t="str">
        <f>Tabela_ferias_folgas[[#This Row],[Médico]]&amp;" - "&amp;Tabela_ferias_folgas[[#This Row],[Compromisso]]</f>
        <v>JOA - FOLGA</v>
      </c>
    </row>
    <row r="1052" spans="1:7" x14ac:dyDescent="0.3">
      <c r="A1052" t="s">
        <v>29</v>
      </c>
      <c r="B1052" t="s">
        <v>30</v>
      </c>
      <c r="C1052" s="1">
        <v>45141</v>
      </c>
      <c r="D1052">
        <f>DAY(Tabela_ferias_folgas[[#This Row],[Data]])</f>
        <v>3</v>
      </c>
      <c r="E1052">
        <f>MONTH(Tabela_ferias_folgas[[#This Row],[Data]])</f>
        <v>8</v>
      </c>
      <c r="F1052">
        <f>YEAR(Tabela_ferias_folgas[[#This Row],[Data]])</f>
        <v>2023</v>
      </c>
      <c r="G1052" t="str">
        <f>Tabela_ferias_folgas[[#This Row],[Médico]]&amp;" - "&amp;Tabela_ferias_folgas[[#This Row],[Compromisso]]</f>
        <v>JOA - FOLGA</v>
      </c>
    </row>
    <row r="1053" spans="1:7" x14ac:dyDescent="0.3">
      <c r="A1053" t="s">
        <v>25</v>
      </c>
      <c r="B1053" t="s">
        <v>30</v>
      </c>
      <c r="C1053" s="1">
        <v>45121</v>
      </c>
      <c r="D1053">
        <f>DAY(Tabela_ferias_folgas[[#This Row],[Data]])</f>
        <v>14</v>
      </c>
      <c r="E1053">
        <f>MONTH(Tabela_ferias_folgas[[#This Row],[Data]])</f>
        <v>7</v>
      </c>
      <c r="F1053">
        <f>YEAR(Tabela_ferias_folgas[[#This Row],[Data]])</f>
        <v>2023</v>
      </c>
      <c r="G1053" t="str">
        <f>Tabela_ferias_folgas[[#This Row],[Médico]]&amp;" - "&amp;Tabela_ferias_folgas[[#This Row],[Compromisso]]</f>
        <v>HEN - FOLGA</v>
      </c>
    </row>
    <row r="1054" spans="1:7" x14ac:dyDescent="0.3">
      <c r="A1054" t="s">
        <v>25</v>
      </c>
      <c r="B1054" t="s">
        <v>30</v>
      </c>
      <c r="C1054" s="1">
        <v>45120</v>
      </c>
      <c r="D1054">
        <f>DAY(Tabela_ferias_folgas[[#This Row],[Data]])</f>
        <v>13</v>
      </c>
      <c r="E1054">
        <f>MONTH(Tabela_ferias_folgas[[#This Row],[Data]])</f>
        <v>7</v>
      </c>
      <c r="F1054">
        <f>YEAR(Tabela_ferias_folgas[[#This Row],[Data]])</f>
        <v>2023</v>
      </c>
      <c r="G1054" t="str">
        <f>Tabela_ferias_folgas[[#This Row],[Médico]]&amp;" - "&amp;Tabela_ferias_folgas[[#This Row],[Compromisso]]</f>
        <v>HEN - FOLGA</v>
      </c>
    </row>
    <row r="1055" spans="1:7" x14ac:dyDescent="0.3">
      <c r="A1055" t="s">
        <v>37</v>
      </c>
      <c r="B1055" t="s">
        <v>30</v>
      </c>
      <c r="C1055" s="1">
        <v>45068</v>
      </c>
      <c r="D1055">
        <f>DAY(Tabela_ferias_folgas[[#This Row],[Data]])</f>
        <v>22</v>
      </c>
      <c r="E1055">
        <f>MONTH(Tabela_ferias_folgas[[#This Row],[Data]])</f>
        <v>5</v>
      </c>
      <c r="F1055">
        <f>YEAR(Tabela_ferias_folgas[[#This Row],[Data]])</f>
        <v>2023</v>
      </c>
      <c r="G1055" t="str">
        <f>Tabela_ferias_folgas[[#This Row],[Médico]]&amp;" - "&amp;Tabela_ferias_folgas[[#This Row],[Compromisso]]</f>
        <v>EBB - FOLGA</v>
      </c>
    </row>
    <row r="1056" spans="1:7" x14ac:dyDescent="0.3">
      <c r="A1056" t="s">
        <v>37</v>
      </c>
      <c r="B1056" t="s">
        <v>30</v>
      </c>
      <c r="C1056" s="1">
        <v>45069</v>
      </c>
      <c r="D1056">
        <f>DAY(Tabela_ferias_folgas[[#This Row],[Data]])</f>
        <v>23</v>
      </c>
      <c r="E1056">
        <f>MONTH(Tabela_ferias_folgas[[#This Row],[Data]])</f>
        <v>5</v>
      </c>
      <c r="F1056">
        <f>YEAR(Tabela_ferias_folgas[[#This Row],[Data]])</f>
        <v>2023</v>
      </c>
      <c r="G1056" t="str">
        <f>Tabela_ferias_folgas[[#This Row],[Médico]]&amp;" - "&amp;Tabela_ferias_folgas[[#This Row],[Compromisso]]</f>
        <v>EBB - FOLGA</v>
      </c>
    </row>
    <row r="1057" spans="1:7" x14ac:dyDescent="0.3">
      <c r="A1057" t="s">
        <v>37</v>
      </c>
      <c r="B1057" t="s">
        <v>30</v>
      </c>
      <c r="C1057" s="1">
        <v>45096</v>
      </c>
      <c r="D1057">
        <f>DAY(Tabela_ferias_folgas[[#This Row],[Data]])</f>
        <v>19</v>
      </c>
      <c r="E1057">
        <f>MONTH(Tabela_ferias_folgas[[#This Row],[Data]])</f>
        <v>6</v>
      </c>
      <c r="F1057">
        <f>YEAR(Tabela_ferias_folgas[[#This Row],[Data]])</f>
        <v>2023</v>
      </c>
      <c r="G1057" t="str">
        <f>Tabela_ferias_folgas[[#This Row],[Médico]]&amp;" - "&amp;Tabela_ferias_folgas[[#This Row],[Compromisso]]</f>
        <v>EBB - FOLGA</v>
      </c>
    </row>
    <row r="1058" spans="1:7" x14ac:dyDescent="0.3">
      <c r="A1058" t="s">
        <v>37</v>
      </c>
      <c r="B1058" t="s">
        <v>30</v>
      </c>
      <c r="C1058" s="1">
        <v>45104</v>
      </c>
      <c r="D1058">
        <f>DAY(Tabela_ferias_folgas[[#This Row],[Data]])</f>
        <v>27</v>
      </c>
      <c r="E1058">
        <f>MONTH(Tabela_ferias_folgas[[#This Row],[Data]])</f>
        <v>6</v>
      </c>
      <c r="F1058">
        <f>YEAR(Tabela_ferias_folgas[[#This Row],[Data]])</f>
        <v>2023</v>
      </c>
      <c r="G1058" t="str">
        <f>Tabela_ferias_folgas[[#This Row],[Médico]]&amp;" - "&amp;Tabela_ferias_folgas[[#This Row],[Compromisso]]</f>
        <v>EBB - FOLGA</v>
      </c>
    </row>
    <row r="1059" spans="1:7" x14ac:dyDescent="0.3">
      <c r="A1059" t="s">
        <v>37</v>
      </c>
      <c r="B1059" t="s">
        <v>30</v>
      </c>
      <c r="C1059" s="1">
        <v>45138</v>
      </c>
      <c r="D1059">
        <f>DAY(Tabela_ferias_folgas[[#This Row],[Data]])</f>
        <v>31</v>
      </c>
      <c r="E1059">
        <f>MONTH(Tabela_ferias_folgas[[#This Row],[Data]])</f>
        <v>7</v>
      </c>
      <c r="F1059">
        <f>YEAR(Tabela_ferias_folgas[[#This Row],[Data]])</f>
        <v>2023</v>
      </c>
      <c r="G1059" t="str">
        <f>Tabela_ferias_folgas[[#This Row],[Médico]]&amp;" - "&amp;Tabela_ferias_folgas[[#This Row],[Compromisso]]</f>
        <v>EBB - FOLGA</v>
      </c>
    </row>
    <row r="1060" spans="1:7" x14ac:dyDescent="0.3">
      <c r="A1060" t="s">
        <v>37</v>
      </c>
      <c r="B1060" t="s">
        <v>30</v>
      </c>
      <c r="C1060" s="1">
        <v>45139</v>
      </c>
      <c r="D1060">
        <f>DAY(Tabela_ferias_folgas[[#This Row],[Data]])</f>
        <v>1</v>
      </c>
      <c r="E1060">
        <f>MONTH(Tabela_ferias_folgas[[#This Row],[Data]])</f>
        <v>8</v>
      </c>
      <c r="F1060">
        <f>YEAR(Tabela_ferias_folgas[[#This Row],[Data]])</f>
        <v>2023</v>
      </c>
      <c r="G1060" t="str">
        <f>Tabela_ferias_folgas[[#This Row],[Médico]]&amp;" - "&amp;Tabela_ferias_folgas[[#This Row],[Compromisso]]</f>
        <v>EBB - FOLGA</v>
      </c>
    </row>
    <row r="1061" spans="1:7" x14ac:dyDescent="0.3">
      <c r="A1061" t="s">
        <v>37</v>
      </c>
      <c r="B1061" t="s">
        <v>30</v>
      </c>
      <c r="C1061" s="1">
        <v>45140</v>
      </c>
      <c r="D1061">
        <f>DAY(Tabela_ferias_folgas[[#This Row],[Data]])</f>
        <v>2</v>
      </c>
      <c r="E1061">
        <f>MONTH(Tabela_ferias_folgas[[#This Row],[Data]])</f>
        <v>8</v>
      </c>
      <c r="F1061">
        <f>YEAR(Tabela_ferias_folgas[[#This Row],[Data]])</f>
        <v>2023</v>
      </c>
      <c r="G1061" t="str">
        <f>Tabela_ferias_folgas[[#This Row],[Médico]]&amp;" - "&amp;Tabela_ferias_folgas[[#This Row],[Compromisso]]</f>
        <v>EBB - FOLGA</v>
      </c>
    </row>
    <row r="1062" spans="1:7" x14ac:dyDescent="0.3">
      <c r="A1062" t="s">
        <v>20</v>
      </c>
      <c r="B1062" t="s">
        <v>30</v>
      </c>
      <c r="C1062" s="1">
        <v>45070</v>
      </c>
      <c r="D1062">
        <f>DAY(Tabela_ferias_folgas[[#This Row],[Data]])</f>
        <v>24</v>
      </c>
      <c r="E1062">
        <f>MONTH(Tabela_ferias_folgas[[#This Row],[Data]])</f>
        <v>5</v>
      </c>
      <c r="F1062">
        <f>YEAR(Tabela_ferias_folgas[[#This Row],[Data]])</f>
        <v>2023</v>
      </c>
      <c r="G1062" t="str">
        <f>Tabela_ferias_folgas[[#This Row],[Médico]]&amp;" - "&amp;Tabela_ferias_folgas[[#This Row],[Compromisso]]</f>
        <v>ROB - FOLGA</v>
      </c>
    </row>
    <row r="1063" spans="1:7" x14ac:dyDescent="0.3">
      <c r="A1063" t="s">
        <v>20</v>
      </c>
      <c r="B1063" t="s">
        <v>30</v>
      </c>
      <c r="C1063" s="1">
        <v>45092</v>
      </c>
      <c r="D1063">
        <f>DAY(Tabela_ferias_folgas[[#This Row],[Data]])</f>
        <v>15</v>
      </c>
      <c r="E1063">
        <f>MONTH(Tabela_ferias_folgas[[#This Row],[Data]])</f>
        <v>6</v>
      </c>
      <c r="F1063">
        <f>YEAR(Tabela_ferias_folgas[[#This Row],[Data]])</f>
        <v>2023</v>
      </c>
      <c r="G1063" t="str">
        <f>Tabela_ferias_folgas[[#This Row],[Médico]]&amp;" - "&amp;Tabela_ferias_folgas[[#This Row],[Compromisso]]</f>
        <v>ROB - FOLGA</v>
      </c>
    </row>
    <row r="1064" spans="1:7" x14ac:dyDescent="0.3">
      <c r="A1064" t="s">
        <v>20</v>
      </c>
      <c r="B1064" t="s">
        <v>30</v>
      </c>
      <c r="C1064" s="1">
        <v>45099</v>
      </c>
      <c r="D1064">
        <f>DAY(Tabela_ferias_folgas[[#This Row],[Data]])</f>
        <v>22</v>
      </c>
      <c r="E1064">
        <f>MONTH(Tabela_ferias_folgas[[#This Row],[Data]])</f>
        <v>6</v>
      </c>
      <c r="F1064">
        <f>YEAR(Tabela_ferias_folgas[[#This Row],[Data]])</f>
        <v>2023</v>
      </c>
      <c r="G1064" t="str">
        <f>Tabela_ferias_folgas[[#This Row],[Médico]]&amp;" - "&amp;Tabela_ferias_folgas[[#This Row],[Compromisso]]</f>
        <v>ROB - FOLGA</v>
      </c>
    </row>
    <row r="1065" spans="1:7" x14ac:dyDescent="0.3">
      <c r="A1065" t="s">
        <v>7</v>
      </c>
      <c r="B1065" t="s">
        <v>30</v>
      </c>
      <c r="C1065" s="1">
        <v>45089</v>
      </c>
      <c r="D1065">
        <f>DAY(Tabela_ferias_folgas[[#This Row],[Data]])</f>
        <v>12</v>
      </c>
      <c r="E1065">
        <f>MONTH(Tabela_ferias_folgas[[#This Row],[Data]])</f>
        <v>6</v>
      </c>
      <c r="F1065">
        <f>YEAR(Tabela_ferias_folgas[[#This Row],[Data]])</f>
        <v>2023</v>
      </c>
      <c r="G1065" t="str">
        <f>Tabela_ferias_folgas[[#This Row],[Médico]]&amp;" - "&amp;Tabela_ferias_folgas[[#This Row],[Compromisso]]</f>
        <v>ARI - FOLGA</v>
      </c>
    </row>
    <row r="1066" spans="1:7" x14ac:dyDescent="0.3">
      <c r="A1066" t="s">
        <v>7</v>
      </c>
      <c r="B1066" t="s">
        <v>30</v>
      </c>
      <c r="C1066" s="1">
        <v>45090</v>
      </c>
      <c r="D1066">
        <f>DAY(Tabela_ferias_folgas[[#This Row],[Data]])</f>
        <v>13</v>
      </c>
      <c r="E1066">
        <f>MONTH(Tabela_ferias_folgas[[#This Row],[Data]])</f>
        <v>6</v>
      </c>
      <c r="F1066">
        <f>YEAR(Tabela_ferias_folgas[[#This Row],[Data]])</f>
        <v>2023</v>
      </c>
      <c r="G1066" t="str">
        <f>Tabela_ferias_folgas[[#This Row],[Médico]]&amp;" - "&amp;Tabela_ferias_folgas[[#This Row],[Compromisso]]</f>
        <v>ARI - FOLGA</v>
      </c>
    </row>
    <row r="1067" spans="1:7" x14ac:dyDescent="0.3">
      <c r="A1067" t="s">
        <v>7</v>
      </c>
      <c r="B1067" t="s">
        <v>30</v>
      </c>
      <c r="C1067" s="1">
        <v>45091</v>
      </c>
      <c r="D1067">
        <f>DAY(Tabela_ferias_folgas[[#This Row],[Data]])</f>
        <v>14</v>
      </c>
      <c r="E1067">
        <f>MONTH(Tabela_ferias_folgas[[#This Row],[Data]])</f>
        <v>6</v>
      </c>
      <c r="F1067">
        <f>YEAR(Tabela_ferias_folgas[[#This Row],[Data]])</f>
        <v>2023</v>
      </c>
      <c r="G1067" t="str">
        <f>Tabela_ferias_folgas[[#This Row],[Médico]]&amp;" - "&amp;Tabela_ferias_folgas[[#This Row],[Compromisso]]</f>
        <v>ARI - FOLGA</v>
      </c>
    </row>
    <row r="1068" spans="1:7" x14ac:dyDescent="0.3">
      <c r="A1068" t="s">
        <v>7</v>
      </c>
      <c r="B1068" t="s">
        <v>30</v>
      </c>
      <c r="C1068" s="1">
        <v>45092</v>
      </c>
      <c r="D1068">
        <f>DAY(Tabela_ferias_folgas[[#This Row],[Data]])</f>
        <v>15</v>
      </c>
      <c r="E1068">
        <f>MONTH(Tabela_ferias_folgas[[#This Row],[Data]])</f>
        <v>6</v>
      </c>
      <c r="F1068">
        <f>YEAR(Tabela_ferias_folgas[[#This Row],[Data]])</f>
        <v>2023</v>
      </c>
      <c r="G1068" t="str">
        <f>Tabela_ferias_folgas[[#This Row],[Médico]]&amp;" - "&amp;Tabela_ferias_folgas[[#This Row],[Compromisso]]</f>
        <v>ARI - FOLGA</v>
      </c>
    </row>
    <row r="1069" spans="1:7" x14ac:dyDescent="0.3">
      <c r="A1069" t="s">
        <v>7</v>
      </c>
      <c r="B1069" t="s">
        <v>30</v>
      </c>
      <c r="C1069" s="1">
        <v>45093</v>
      </c>
      <c r="D1069">
        <f>DAY(Tabela_ferias_folgas[[#This Row],[Data]])</f>
        <v>16</v>
      </c>
      <c r="E1069">
        <f>MONTH(Tabela_ferias_folgas[[#This Row],[Data]])</f>
        <v>6</v>
      </c>
      <c r="F1069">
        <f>YEAR(Tabela_ferias_folgas[[#This Row],[Data]])</f>
        <v>2023</v>
      </c>
      <c r="G1069" t="str">
        <f>Tabela_ferias_folgas[[#This Row],[Médico]]&amp;" - "&amp;Tabela_ferias_folgas[[#This Row],[Compromisso]]</f>
        <v>ARI - FOLGA</v>
      </c>
    </row>
    <row r="1070" spans="1:7" x14ac:dyDescent="0.3">
      <c r="A1070" t="s">
        <v>50</v>
      </c>
      <c r="B1070" t="s">
        <v>30</v>
      </c>
      <c r="C1070" s="1">
        <v>45075</v>
      </c>
      <c r="D1070">
        <f>DAY(Tabela_ferias_folgas[[#This Row],[Data]])</f>
        <v>29</v>
      </c>
      <c r="E1070">
        <f>MONTH(Tabela_ferias_folgas[[#This Row],[Data]])</f>
        <v>5</v>
      </c>
      <c r="F1070">
        <f>YEAR(Tabela_ferias_folgas[[#This Row],[Data]])</f>
        <v>2023</v>
      </c>
      <c r="G1070" t="str">
        <f>Tabela_ferias_folgas[[#This Row],[Médico]]&amp;" - "&amp;Tabela_ferias_folgas[[#This Row],[Compromisso]]</f>
        <v>PJP - FOLGA</v>
      </c>
    </row>
    <row r="1071" spans="1:7" x14ac:dyDescent="0.3">
      <c r="A1071" t="s">
        <v>50</v>
      </c>
      <c r="B1071" t="s">
        <v>30</v>
      </c>
      <c r="C1071" s="1">
        <v>45105</v>
      </c>
      <c r="D1071">
        <f>DAY(Tabela_ferias_folgas[[#This Row],[Data]])</f>
        <v>28</v>
      </c>
      <c r="E1071">
        <f>MONTH(Tabela_ferias_folgas[[#This Row],[Data]])</f>
        <v>6</v>
      </c>
      <c r="F1071">
        <f>YEAR(Tabela_ferias_folgas[[#This Row],[Data]])</f>
        <v>2023</v>
      </c>
      <c r="G1071" t="str">
        <f>Tabela_ferias_folgas[[#This Row],[Médico]]&amp;" - "&amp;Tabela_ferias_folgas[[#This Row],[Compromisso]]</f>
        <v>PJP - FOLGA</v>
      </c>
    </row>
    <row r="1072" spans="1:7" x14ac:dyDescent="0.3">
      <c r="A1072" t="s">
        <v>14</v>
      </c>
      <c r="B1072" t="s">
        <v>30</v>
      </c>
      <c r="C1072" s="1">
        <v>45017</v>
      </c>
      <c r="D1072">
        <f>DAY(Tabela_ferias_folgas[[#This Row],[Data]])</f>
        <v>1</v>
      </c>
      <c r="E1072">
        <f>MONTH(Tabela_ferias_folgas[[#This Row],[Data]])</f>
        <v>4</v>
      </c>
      <c r="F1072">
        <f>YEAR(Tabela_ferias_folgas[[#This Row],[Data]])</f>
        <v>2023</v>
      </c>
      <c r="G1072" t="str">
        <f>Tabela_ferias_folgas[[#This Row],[Médico]]&amp;" - "&amp;Tabela_ferias_folgas[[#This Row],[Compromisso]]</f>
        <v>PW - FOLGA</v>
      </c>
    </row>
    <row r="1073" spans="1:7" x14ac:dyDescent="0.3">
      <c r="A1073" t="s">
        <v>14</v>
      </c>
      <c r="B1073" t="s">
        <v>30</v>
      </c>
      <c r="C1073" s="1">
        <v>45107</v>
      </c>
      <c r="D1073">
        <f>DAY(Tabela_ferias_folgas[[#This Row],[Data]])</f>
        <v>30</v>
      </c>
      <c r="E1073">
        <f>MONTH(Tabela_ferias_folgas[[#This Row],[Data]])</f>
        <v>6</v>
      </c>
      <c r="F1073">
        <f>YEAR(Tabela_ferias_folgas[[#This Row],[Data]])</f>
        <v>2023</v>
      </c>
      <c r="G1073" t="str">
        <f>Tabela_ferias_folgas[[#This Row],[Médico]]&amp;" - "&amp;Tabela_ferias_folgas[[#This Row],[Compromisso]]</f>
        <v>PW - FOLGA</v>
      </c>
    </row>
    <row r="1074" spans="1:7" x14ac:dyDescent="0.3">
      <c r="A1074" t="s">
        <v>16</v>
      </c>
      <c r="B1074" t="s">
        <v>30</v>
      </c>
      <c r="C1074" s="1">
        <v>45110</v>
      </c>
      <c r="D1074">
        <f>DAY(Tabela_ferias_folgas[[#This Row],[Data]])</f>
        <v>3</v>
      </c>
      <c r="E1074">
        <f>MONTH(Tabela_ferias_folgas[[#This Row],[Data]])</f>
        <v>7</v>
      </c>
      <c r="F1074">
        <f>YEAR(Tabela_ferias_folgas[[#This Row],[Data]])</f>
        <v>2023</v>
      </c>
      <c r="G1074" t="str">
        <f>Tabela_ferias_folgas[[#This Row],[Médico]]&amp;" - "&amp;Tabela_ferias_folgas[[#This Row],[Compromisso]]</f>
        <v>PP - FOLGA</v>
      </c>
    </row>
    <row r="1075" spans="1:7" x14ac:dyDescent="0.3">
      <c r="A1075" t="s">
        <v>23</v>
      </c>
      <c r="B1075" t="s">
        <v>30</v>
      </c>
      <c r="C1075" s="1">
        <v>45141</v>
      </c>
      <c r="D1075">
        <f>DAY(Tabela_ferias_folgas[[#This Row],[Data]])</f>
        <v>3</v>
      </c>
      <c r="E1075">
        <f>MONTH(Tabela_ferias_folgas[[#This Row],[Data]])</f>
        <v>8</v>
      </c>
      <c r="F1075">
        <f>YEAR(Tabela_ferias_folgas[[#This Row],[Data]])</f>
        <v>2023</v>
      </c>
      <c r="G1075" t="str">
        <f>Tabela_ferias_folgas[[#This Row],[Médico]]&amp;" - "&amp;Tabela_ferias_folgas[[#This Row],[Compromisso]]</f>
        <v>BG - FOLGA</v>
      </c>
    </row>
    <row r="1076" spans="1:7" x14ac:dyDescent="0.3">
      <c r="A1076" t="s">
        <v>68</v>
      </c>
      <c r="B1076" t="s">
        <v>30</v>
      </c>
      <c r="C1076" s="1">
        <v>45072</v>
      </c>
      <c r="D1076">
        <f>DAY(Tabela_ferias_folgas[[#This Row],[Data]])</f>
        <v>26</v>
      </c>
      <c r="E1076">
        <f>MONTH(Tabela_ferias_folgas[[#This Row],[Data]])</f>
        <v>5</v>
      </c>
      <c r="F1076">
        <f>YEAR(Tabela_ferias_folgas[[#This Row],[Data]])</f>
        <v>2023</v>
      </c>
      <c r="G1076" t="str">
        <f>Tabela_ferias_folgas[[#This Row],[Médico]]&amp;" - "&amp;Tabela_ferias_folgas[[#This Row],[Compromisso]]</f>
        <v>PED - FOLGA</v>
      </c>
    </row>
    <row r="1077" spans="1:7" x14ac:dyDescent="0.3">
      <c r="A1077" t="s">
        <v>21</v>
      </c>
      <c r="B1077" t="s">
        <v>30</v>
      </c>
      <c r="C1077" s="1">
        <v>45118</v>
      </c>
      <c r="D1077">
        <f>DAY(Tabela_ferias_folgas[[#This Row],[Data]])</f>
        <v>11</v>
      </c>
      <c r="E1077">
        <f>MONTH(Tabela_ferias_folgas[[#This Row],[Data]])</f>
        <v>7</v>
      </c>
      <c r="F1077">
        <f>YEAR(Tabela_ferias_folgas[[#This Row],[Data]])</f>
        <v>2023</v>
      </c>
      <c r="G1077" t="str">
        <f>Tabela_ferias_folgas[[#This Row],[Médico]]&amp;" - "&amp;Tabela_ferias_folgas[[#This Row],[Compromisso]]</f>
        <v>RA - FOLGA</v>
      </c>
    </row>
    <row r="1078" spans="1:7" x14ac:dyDescent="0.3">
      <c r="A1078" t="s">
        <v>21</v>
      </c>
      <c r="B1078" t="s">
        <v>30</v>
      </c>
      <c r="C1078" s="1">
        <v>45119</v>
      </c>
      <c r="D1078">
        <f>DAY(Tabela_ferias_folgas[[#This Row],[Data]])</f>
        <v>12</v>
      </c>
      <c r="E1078">
        <f>MONTH(Tabela_ferias_folgas[[#This Row],[Data]])</f>
        <v>7</v>
      </c>
      <c r="F1078">
        <f>YEAR(Tabela_ferias_folgas[[#This Row],[Data]])</f>
        <v>2023</v>
      </c>
      <c r="G1078" t="str">
        <f>Tabela_ferias_folgas[[#This Row],[Médico]]&amp;" - "&amp;Tabela_ferias_folgas[[#This Row],[Compromisso]]</f>
        <v>RA - FOLGA</v>
      </c>
    </row>
    <row r="1079" spans="1:7" x14ac:dyDescent="0.3">
      <c r="A1079" t="s">
        <v>12</v>
      </c>
      <c r="B1079" t="s">
        <v>30</v>
      </c>
      <c r="C1079" s="1">
        <v>45135</v>
      </c>
      <c r="D1079">
        <f>DAY(Tabela_ferias_folgas[[#This Row],[Data]])</f>
        <v>28</v>
      </c>
      <c r="E1079">
        <f>MONTH(Tabela_ferias_folgas[[#This Row],[Data]])</f>
        <v>7</v>
      </c>
      <c r="F1079">
        <f>YEAR(Tabela_ferias_folgas[[#This Row],[Data]])</f>
        <v>2023</v>
      </c>
      <c r="G1079" t="str">
        <f>Tabela_ferias_folgas[[#This Row],[Médico]]&amp;" - "&amp;Tabela_ferias_folgas[[#This Row],[Compromisso]]</f>
        <v>EDU - FOLGA</v>
      </c>
    </row>
    <row r="1080" spans="1:7" x14ac:dyDescent="0.3">
      <c r="A1080" t="s">
        <v>84</v>
      </c>
      <c r="B1080" t="s">
        <v>30</v>
      </c>
      <c r="C1080" s="1">
        <v>45117</v>
      </c>
      <c r="D1080">
        <f>DAY(Tabela_ferias_folgas[[#This Row],[Data]])</f>
        <v>10</v>
      </c>
      <c r="E1080">
        <f>MONTH(Tabela_ferias_folgas[[#This Row],[Data]])</f>
        <v>7</v>
      </c>
      <c r="F1080">
        <f>YEAR(Tabela_ferias_folgas[[#This Row],[Data]])</f>
        <v>2023</v>
      </c>
      <c r="G1080" t="str">
        <f>Tabela_ferias_folgas[[#This Row],[Médico]]&amp;" - "&amp;Tabela_ferias_folgas[[#This Row],[Compromisso]]</f>
        <v>ANO - FOLGA</v>
      </c>
    </row>
    <row r="1081" spans="1:7" x14ac:dyDescent="0.3">
      <c r="A1081" t="s">
        <v>84</v>
      </c>
      <c r="B1081" t="s">
        <v>30</v>
      </c>
      <c r="C1081" s="1">
        <v>45112</v>
      </c>
      <c r="D1081">
        <f>DAY(Tabela_ferias_folgas[[#This Row],[Data]])</f>
        <v>5</v>
      </c>
      <c r="E1081">
        <f>MONTH(Tabela_ferias_folgas[[#This Row],[Data]])</f>
        <v>7</v>
      </c>
      <c r="F1081">
        <f>YEAR(Tabela_ferias_folgas[[#This Row],[Data]])</f>
        <v>2023</v>
      </c>
      <c r="G1081" t="str">
        <f>Tabela_ferias_folgas[[#This Row],[Médico]]&amp;" - "&amp;Tabela_ferias_folgas[[#This Row],[Compromisso]]</f>
        <v>ANO - FOLGA</v>
      </c>
    </row>
    <row r="1082" spans="1:7" x14ac:dyDescent="0.3">
      <c r="A1082" t="s">
        <v>84</v>
      </c>
      <c r="B1082" t="s">
        <v>30</v>
      </c>
      <c r="C1082" s="1">
        <v>45154</v>
      </c>
      <c r="D1082">
        <f>DAY(Tabela_ferias_folgas[[#This Row],[Data]])</f>
        <v>16</v>
      </c>
      <c r="E1082">
        <f>MONTH(Tabela_ferias_folgas[[#This Row],[Data]])</f>
        <v>8</v>
      </c>
      <c r="F1082">
        <f>YEAR(Tabela_ferias_folgas[[#This Row],[Data]])</f>
        <v>2023</v>
      </c>
      <c r="G1082" t="str">
        <f>Tabela_ferias_folgas[[#This Row],[Médico]]&amp;" - "&amp;Tabela_ferias_folgas[[#This Row],[Compromisso]]</f>
        <v>ANO - FOLGA</v>
      </c>
    </row>
    <row r="1083" spans="1:7" x14ac:dyDescent="0.3">
      <c r="A1083" t="s">
        <v>64</v>
      </c>
      <c r="B1083" t="s">
        <v>30</v>
      </c>
      <c r="C1083" s="1">
        <v>45098</v>
      </c>
      <c r="D1083">
        <f>DAY(Tabela_ferias_folgas[[#This Row],[Data]])</f>
        <v>21</v>
      </c>
      <c r="E1083">
        <f>MONTH(Tabela_ferias_folgas[[#This Row],[Data]])</f>
        <v>6</v>
      </c>
      <c r="F1083">
        <f>YEAR(Tabela_ferias_folgas[[#This Row],[Data]])</f>
        <v>2023</v>
      </c>
      <c r="G1083" t="str">
        <f>Tabela_ferias_folgas[[#This Row],[Médico]]&amp;" - "&amp;Tabela_ferias_folgas[[#This Row],[Compromisso]]</f>
        <v>SAR - FOLGA</v>
      </c>
    </row>
    <row r="1084" spans="1:7" x14ac:dyDescent="0.3">
      <c r="A1084" t="s">
        <v>64</v>
      </c>
      <c r="B1084" t="s">
        <v>30</v>
      </c>
      <c r="C1084" s="1">
        <v>45124</v>
      </c>
      <c r="D1084">
        <f>DAY(Tabela_ferias_folgas[[#This Row],[Data]])</f>
        <v>17</v>
      </c>
      <c r="E1084">
        <f>MONTH(Tabela_ferias_folgas[[#This Row],[Data]])</f>
        <v>7</v>
      </c>
      <c r="F1084">
        <f>YEAR(Tabela_ferias_folgas[[#This Row],[Data]])</f>
        <v>2023</v>
      </c>
      <c r="G1084" t="str">
        <f>Tabela_ferias_folgas[[#This Row],[Médico]]&amp;" - "&amp;Tabela_ferias_folgas[[#This Row],[Compromisso]]</f>
        <v>SAR - FOLGA</v>
      </c>
    </row>
    <row r="1085" spans="1:7" x14ac:dyDescent="0.3">
      <c r="A1085" t="s">
        <v>33</v>
      </c>
      <c r="B1085" t="s">
        <v>30</v>
      </c>
      <c r="C1085" s="1">
        <v>45114</v>
      </c>
      <c r="D1085">
        <f>DAY(Tabela_ferias_folgas[[#This Row],[Data]])</f>
        <v>7</v>
      </c>
      <c r="E1085">
        <f>MONTH(Tabela_ferias_folgas[[#This Row],[Data]])</f>
        <v>7</v>
      </c>
      <c r="F1085">
        <f>YEAR(Tabela_ferias_folgas[[#This Row],[Data]])</f>
        <v>2023</v>
      </c>
      <c r="G1085" t="str">
        <f>Tabela_ferias_folgas[[#This Row],[Médico]]&amp;" - "&amp;Tabela_ferias_folgas[[#This Row],[Compromisso]]</f>
        <v>DIF - FOLGA</v>
      </c>
    </row>
    <row r="1086" spans="1:7" x14ac:dyDescent="0.3">
      <c r="A1086" t="s">
        <v>33</v>
      </c>
      <c r="B1086" t="s">
        <v>30</v>
      </c>
      <c r="C1086" s="1">
        <v>45106</v>
      </c>
      <c r="D1086">
        <f>DAY(Tabela_ferias_folgas[[#This Row],[Data]])</f>
        <v>29</v>
      </c>
      <c r="E1086">
        <f>MONTH(Tabela_ferias_folgas[[#This Row],[Data]])</f>
        <v>6</v>
      </c>
      <c r="F1086">
        <f>YEAR(Tabela_ferias_folgas[[#This Row],[Data]])</f>
        <v>2023</v>
      </c>
      <c r="G1086" t="str">
        <f>Tabela_ferias_folgas[[#This Row],[Médico]]&amp;" - "&amp;Tabela_ferias_folgas[[#This Row],[Compromisso]]</f>
        <v>DIF - FOLGA</v>
      </c>
    </row>
    <row r="1087" spans="1:7" x14ac:dyDescent="0.3">
      <c r="A1087" t="s">
        <v>33</v>
      </c>
      <c r="B1087" t="s">
        <v>30</v>
      </c>
      <c r="C1087" s="1">
        <v>45141</v>
      </c>
      <c r="D1087">
        <f>DAY(Tabela_ferias_folgas[[#This Row],[Data]])</f>
        <v>3</v>
      </c>
      <c r="E1087">
        <f>MONTH(Tabela_ferias_folgas[[#This Row],[Data]])</f>
        <v>8</v>
      </c>
      <c r="F1087">
        <f>YEAR(Tabela_ferias_folgas[[#This Row],[Data]])</f>
        <v>2023</v>
      </c>
      <c r="G1087" t="str">
        <f>Tabela_ferias_folgas[[#This Row],[Médico]]&amp;" - "&amp;Tabela_ferias_folgas[[#This Row],[Compromisso]]</f>
        <v>DIF - FOLGA</v>
      </c>
    </row>
    <row r="1088" spans="1:7" x14ac:dyDescent="0.3">
      <c r="A1088" t="s">
        <v>32</v>
      </c>
      <c r="B1088" t="s">
        <v>30</v>
      </c>
      <c r="C1088" s="1">
        <v>45153</v>
      </c>
      <c r="D1088">
        <f>DAY(Tabela_ferias_folgas[[#This Row],[Data]])</f>
        <v>15</v>
      </c>
      <c r="E1088">
        <f>MONTH(Tabela_ferias_folgas[[#This Row],[Data]])</f>
        <v>8</v>
      </c>
      <c r="F1088">
        <f>YEAR(Tabela_ferias_folgas[[#This Row],[Data]])</f>
        <v>2023</v>
      </c>
      <c r="G1088" t="str">
        <f>Tabela_ferias_folgas[[#This Row],[Médico]]&amp;" - "&amp;Tabela_ferias_folgas[[#This Row],[Compromisso]]</f>
        <v>JS - FOLGA</v>
      </c>
    </row>
    <row r="1089" spans="1:7" x14ac:dyDescent="0.3">
      <c r="A1089" t="s">
        <v>85</v>
      </c>
      <c r="B1089" t="s">
        <v>30</v>
      </c>
      <c r="C1089" s="1">
        <v>45107</v>
      </c>
      <c r="D1089">
        <f>DAY(Tabela_ferias_folgas[[#This Row],[Data]])</f>
        <v>30</v>
      </c>
      <c r="E1089">
        <f>MONTH(Tabela_ferias_folgas[[#This Row],[Data]])</f>
        <v>6</v>
      </c>
      <c r="F1089">
        <f>YEAR(Tabela_ferias_folgas[[#This Row],[Data]])</f>
        <v>2023</v>
      </c>
      <c r="G1089" t="str">
        <f>Tabela_ferias_folgas[[#This Row],[Médico]]&amp;" - "&amp;Tabela_ferias_folgas[[#This Row],[Compromisso]]</f>
        <v>ELF - FOLGA</v>
      </c>
    </row>
    <row r="1090" spans="1:7" x14ac:dyDescent="0.3">
      <c r="A1090" t="s">
        <v>85</v>
      </c>
      <c r="B1090" t="s">
        <v>30</v>
      </c>
      <c r="C1090" s="1">
        <v>45120</v>
      </c>
      <c r="D1090">
        <f>DAY(Tabela_ferias_folgas[[#This Row],[Data]])</f>
        <v>13</v>
      </c>
      <c r="E1090">
        <f>MONTH(Tabela_ferias_folgas[[#This Row],[Data]])</f>
        <v>7</v>
      </c>
      <c r="F1090">
        <f>YEAR(Tabela_ferias_folgas[[#This Row],[Data]])</f>
        <v>2023</v>
      </c>
      <c r="G1090" t="str">
        <f>Tabela_ferias_folgas[[#This Row],[Médico]]&amp;" - "&amp;Tabela_ferias_folgas[[#This Row],[Compromisso]]</f>
        <v>ELF - FOLGA</v>
      </c>
    </row>
    <row r="1091" spans="1:7" x14ac:dyDescent="0.3">
      <c r="A1091" t="s">
        <v>75</v>
      </c>
      <c r="B1091" t="s">
        <v>30</v>
      </c>
      <c r="C1091" s="1">
        <v>45093</v>
      </c>
      <c r="D1091">
        <f>DAY(Tabela_ferias_folgas[[#This Row],[Data]])</f>
        <v>16</v>
      </c>
      <c r="E1091">
        <f>MONTH(Tabela_ferias_folgas[[#This Row],[Data]])</f>
        <v>6</v>
      </c>
      <c r="F1091">
        <f>YEAR(Tabela_ferias_folgas[[#This Row],[Data]])</f>
        <v>2023</v>
      </c>
      <c r="G1091" t="str">
        <f>Tabela_ferias_folgas[[#This Row],[Médico]]&amp;" - "&amp;Tabela_ferias_folgas[[#This Row],[Compromisso]]</f>
        <v>KOP - FOLGA</v>
      </c>
    </row>
    <row r="1092" spans="1:7" x14ac:dyDescent="0.3">
      <c r="A1092" t="s">
        <v>48</v>
      </c>
      <c r="B1092" t="s">
        <v>30</v>
      </c>
      <c r="C1092" s="1">
        <v>45100</v>
      </c>
      <c r="D1092">
        <f>DAY(Tabela_ferias_folgas[[#This Row],[Data]])</f>
        <v>23</v>
      </c>
      <c r="E1092">
        <f>MONTH(Tabela_ferias_folgas[[#This Row],[Data]])</f>
        <v>6</v>
      </c>
      <c r="F1092">
        <f>YEAR(Tabela_ferias_folgas[[#This Row],[Data]])</f>
        <v>2023</v>
      </c>
      <c r="G1092" t="str">
        <f>Tabela_ferias_folgas[[#This Row],[Médico]]&amp;" - "&amp;Tabela_ferias_folgas[[#This Row],[Compromisso]]</f>
        <v>MAF - FOLGA</v>
      </c>
    </row>
    <row r="1093" spans="1:7" x14ac:dyDescent="0.3">
      <c r="A1093" t="s">
        <v>47</v>
      </c>
      <c r="B1093" t="s">
        <v>30</v>
      </c>
      <c r="C1093" s="1">
        <v>45142</v>
      </c>
      <c r="D1093">
        <f>DAY(Tabela_ferias_folgas[[#This Row],[Data]])</f>
        <v>4</v>
      </c>
      <c r="E1093">
        <f>MONTH(Tabela_ferias_folgas[[#This Row],[Data]])</f>
        <v>8</v>
      </c>
      <c r="F1093">
        <f>YEAR(Tabela_ferias_folgas[[#This Row],[Data]])</f>
        <v>2023</v>
      </c>
      <c r="G1093" t="str">
        <f>Tabela_ferias_folgas[[#This Row],[Médico]]&amp;" - "&amp;Tabela_ferias_folgas[[#This Row],[Compromisso]]</f>
        <v>VIN - FOLGA</v>
      </c>
    </row>
    <row r="1094" spans="1:7" x14ac:dyDescent="0.3">
      <c r="A1094" t="s">
        <v>72</v>
      </c>
      <c r="B1094" t="s">
        <v>30</v>
      </c>
      <c r="C1094" s="1">
        <v>45112</v>
      </c>
      <c r="D1094">
        <f>DAY(Tabela_ferias_folgas[[#This Row],[Data]])</f>
        <v>5</v>
      </c>
      <c r="E1094">
        <f>MONTH(Tabela_ferias_folgas[[#This Row],[Data]])</f>
        <v>7</v>
      </c>
      <c r="F1094">
        <f>YEAR(Tabela_ferias_folgas[[#This Row],[Data]])</f>
        <v>2023</v>
      </c>
      <c r="G1094" t="str">
        <f>Tabela_ferias_folgas[[#This Row],[Médico]]&amp;" - "&amp;Tabela_ferias_folgas[[#This Row],[Compromisso]]</f>
        <v>GRA - FOLGA</v>
      </c>
    </row>
    <row r="1095" spans="1:7" x14ac:dyDescent="0.3">
      <c r="A1095" t="s">
        <v>72</v>
      </c>
      <c r="B1095" t="s">
        <v>30</v>
      </c>
      <c r="C1095" s="1">
        <v>45138</v>
      </c>
      <c r="D1095">
        <f>DAY(Tabela_ferias_folgas[[#This Row],[Data]])</f>
        <v>31</v>
      </c>
      <c r="E1095">
        <f>MONTH(Tabela_ferias_folgas[[#This Row],[Data]])</f>
        <v>7</v>
      </c>
      <c r="F1095">
        <f>YEAR(Tabela_ferias_folgas[[#This Row],[Data]])</f>
        <v>2023</v>
      </c>
      <c r="G1095" t="str">
        <f>Tabela_ferias_folgas[[#This Row],[Médico]]&amp;" - "&amp;Tabela_ferias_folgas[[#This Row],[Compromisso]]</f>
        <v>GRA - FOLGA</v>
      </c>
    </row>
    <row r="1096" spans="1:7" x14ac:dyDescent="0.3">
      <c r="A1096" t="s">
        <v>72</v>
      </c>
      <c r="B1096" t="s">
        <v>30</v>
      </c>
      <c r="C1096" s="1">
        <v>45139</v>
      </c>
      <c r="D1096">
        <f>DAY(Tabela_ferias_folgas[[#This Row],[Data]])</f>
        <v>1</v>
      </c>
      <c r="E1096">
        <f>MONTH(Tabela_ferias_folgas[[#This Row],[Data]])</f>
        <v>8</v>
      </c>
      <c r="F1096">
        <f>YEAR(Tabela_ferias_folgas[[#This Row],[Data]])</f>
        <v>2023</v>
      </c>
      <c r="G1096" t="str">
        <f>Tabela_ferias_folgas[[#This Row],[Médico]]&amp;" - "&amp;Tabela_ferias_folgas[[#This Row],[Compromisso]]</f>
        <v>GRA - FOLGA</v>
      </c>
    </row>
    <row r="1097" spans="1:7" x14ac:dyDescent="0.3">
      <c r="A1097" t="s">
        <v>214</v>
      </c>
      <c r="B1097" t="s">
        <v>30</v>
      </c>
      <c r="C1097" s="1">
        <v>45110</v>
      </c>
      <c r="D1097">
        <f>DAY(Tabela_ferias_folgas[[#This Row],[Data]])</f>
        <v>3</v>
      </c>
      <c r="E1097">
        <f>MONTH(Tabela_ferias_folgas[[#This Row],[Data]])</f>
        <v>7</v>
      </c>
      <c r="F1097">
        <f>YEAR(Tabela_ferias_folgas[[#This Row],[Data]])</f>
        <v>2023</v>
      </c>
      <c r="G1097" t="str">
        <f>Tabela_ferias_folgas[[#This Row],[Médico]]&amp;" - "&amp;Tabela_ferias_folgas[[#This Row],[Compromisso]]</f>
        <v>IFA - FOLGA</v>
      </c>
    </row>
    <row r="1098" spans="1:7" x14ac:dyDescent="0.3">
      <c r="A1098" t="s">
        <v>71</v>
      </c>
      <c r="B1098" t="s">
        <v>30</v>
      </c>
      <c r="C1098" s="1">
        <v>45103</v>
      </c>
      <c r="D1098">
        <f>DAY(Tabela_ferias_folgas[[#This Row],[Data]])</f>
        <v>26</v>
      </c>
      <c r="E1098">
        <f>MONTH(Tabela_ferias_folgas[[#This Row],[Data]])</f>
        <v>6</v>
      </c>
      <c r="F1098">
        <f>YEAR(Tabela_ferias_folgas[[#This Row],[Data]])</f>
        <v>2023</v>
      </c>
      <c r="G1098" t="str">
        <f>Tabela_ferias_folgas[[#This Row],[Médico]]&amp;" - "&amp;Tabela_ferias_folgas[[#This Row],[Compromisso]]</f>
        <v>BRU - FOLGA</v>
      </c>
    </row>
    <row r="1099" spans="1:7" x14ac:dyDescent="0.3">
      <c r="A1099" t="s">
        <v>71</v>
      </c>
      <c r="B1099" t="s">
        <v>30</v>
      </c>
      <c r="C1099" s="1">
        <v>45138</v>
      </c>
      <c r="D1099">
        <f>DAY(Tabela_ferias_folgas[[#This Row],[Data]])</f>
        <v>31</v>
      </c>
      <c r="E1099">
        <f>MONTH(Tabela_ferias_folgas[[#This Row],[Data]])</f>
        <v>7</v>
      </c>
      <c r="F1099">
        <f>YEAR(Tabela_ferias_folgas[[#This Row],[Data]])</f>
        <v>2023</v>
      </c>
      <c r="G1099" t="str">
        <f>Tabela_ferias_folgas[[#This Row],[Médico]]&amp;" - "&amp;Tabela_ferias_folgas[[#This Row],[Compromisso]]</f>
        <v>BRU - FOLGA</v>
      </c>
    </row>
    <row r="1100" spans="1:7" x14ac:dyDescent="0.3">
      <c r="A1100" t="s">
        <v>52</v>
      </c>
      <c r="B1100" t="s">
        <v>30</v>
      </c>
      <c r="C1100" s="1">
        <v>45134</v>
      </c>
      <c r="D1100">
        <f>DAY(Tabela_ferias_folgas[[#This Row],[Data]])</f>
        <v>27</v>
      </c>
      <c r="E1100">
        <f>MONTH(Tabela_ferias_folgas[[#This Row],[Data]])</f>
        <v>7</v>
      </c>
      <c r="F1100">
        <f>YEAR(Tabela_ferias_folgas[[#This Row],[Data]])</f>
        <v>2023</v>
      </c>
      <c r="G1100" t="str">
        <f>Tabela_ferias_folgas[[#This Row],[Médico]]&amp;" - "&amp;Tabela_ferias_folgas[[#This Row],[Compromisso]]</f>
        <v>AEL - FOLGA</v>
      </c>
    </row>
    <row r="1101" spans="1:7" x14ac:dyDescent="0.3">
      <c r="A1101" t="s">
        <v>249</v>
      </c>
      <c r="B1101" t="s">
        <v>30</v>
      </c>
      <c r="C1101" s="1">
        <v>45132</v>
      </c>
      <c r="D1101">
        <f>DAY(Tabela_ferias_folgas[[#This Row],[Data]])</f>
        <v>25</v>
      </c>
      <c r="E1101">
        <f>MONTH(Tabela_ferias_folgas[[#This Row],[Data]])</f>
        <v>7</v>
      </c>
      <c r="F1101">
        <f>YEAR(Tabela_ferias_folgas[[#This Row],[Data]])</f>
        <v>2023</v>
      </c>
      <c r="G1101" t="str">
        <f>Tabela_ferias_folgas[[#This Row],[Médico]]&amp;" - "&amp;Tabela_ferias_folgas[[#This Row],[Compromisso]]</f>
        <v>ISE - FOLGA</v>
      </c>
    </row>
    <row r="1102" spans="1:7" x14ac:dyDescent="0.3">
      <c r="A1102" t="s">
        <v>64</v>
      </c>
      <c r="B1102" t="s">
        <v>30</v>
      </c>
      <c r="C1102" s="1">
        <v>45155</v>
      </c>
      <c r="D1102">
        <f>DAY(Tabela_ferias_folgas[[#This Row],[Data]])</f>
        <v>17</v>
      </c>
      <c r="E1102">
        <f>MONTH(Tabela_ferias_folgas[[#This Row],[Data]])</f>
        <v>8</v>
      </c>
      <c r="F1102">
        <f>YEAR(Tabela_ferias_folgas[[#This Row],[Data]])</f>
        <v>2023</v>
      </c>
      <c r="G1102" t="str">
        <f>Tabela_ferias_folgas[[#This Row],[Médico]]&amp;" - "&amp;Tabela_ferias_folgas[[#This Row],[Compromisso]]</f>
        <v>SAR - FOLGA</v>
      </c>
    </row>
    <row r="1103" spans="1:7" x14ac:dyDescent="0.3">
      <c r="A1103" t="s">
        <v>72</v>
      </c>
      <c r="B1103" t="s">
        <v>30</v>
      </c>
      <c r="C1103" s="1">
        <v>45159</v>
      </c>
      <c r="D1103">
        <f>DAY(Tabela_ferias_folgas[[#This Row],[Data]])</f>
        <v>21</v>
      </c>
      <c r="E1103">
        <f>MONTH(Tabela_ferias_folgas[[#This Row],[Data]])</f>
        <v>8</v>
      </c>
      <c r="F1103">
        <f>YEAR(Tabela_ferias_folgas[[#This Row],[Data]])</f>
        <v>2023</v>
      </c>
      <c r="G1103" t="str">
        <f>Tabela_ferias_folgas[[#This Row],[Médico]]&amp;" - "&amp;Tabela_ferias_folgas[[#This Row],[Compromisso]]</f>
        <v>GRA - FOLGA</v>
      </c>
    </row>
    <row r="1104" spans="1:7" x14ac:dyDescent="0.3">
      <c r="A1104" t="s">
        <v>37</v>
      </c>
      <c r="B1104" t="s">
        <v>30</v>
      </c>
      <c r="C1104" s="1">
        <v>45159</v>
      </c>
      <c r="D1104">
        <f>DAY(Tabela_ferias_folgas[[#This Row],[Data]])</f>
        <v>21</v>
      </c>
      <c r="E1104">
        <f>MONTH(Tabela_ferias_folgas[[#This Row],[Data]])</f>
        <v>8</v>
      </c>
      <c r="F1104">
        <f>YEAR(Tabela_ferias_folgas[[#This Row],[Data]])</f>
        <v>2023</v>
      </c>
      <c r="G1104" t="str">
        <f>Tabela_ferias_folgas[[#This Row],[Médico]]&amp;" - "&amp;Tabela_ferias_folgas[[#This Row],[Compromisso]]</f>
        <v>EBB - FOLGA</v>
      </c>
    </row>
    <row r="1105" spans="1:7" x14ac:dyDescent="0.3">
      <c r="A1105" t="s">
        <v>50</v>
      </c>
      <c r="B1105" t="s">
        <v>30</v>
      </c>
      <c r="C1105" s="1">
        <v>45152</v>
      </c>
      <c r="D1105">
        <f>DAY(Tabela_ferias_folgas[[#This Row],[Data]])</f>
        <v>14</v>
      </c>
      <c r="E1105">
        <f>MONTH(Tabela_ferias_folgas[[#This Row],[Data]])</f>
        <v>8</v>
      </c>
      <c r="F1105">
        <f>YEAR(Tabela_ferias_folgas[[#This Row],[Data]])</f>
        <v>2023</v>
      </c>
      <c r="G1105" t="str">
        <f>Tabela_ferias_folgas[[#This Row],[Médico]]&amp;" - "&amp;Tabela_ferias_folgas[[#This Row],[Compromisso]]</f>
        <v>PJP - FOLGA</v>
      </c>
    </row>
    <row r="1106" spans="1:7" x14ac:dyDescent="0.3">
      <c r="A1106" t="s">
        <v>33</v>
      </c>
      <c r="B1106" t="s">
        <v>30</v>
      </c>
      <c r="C1106" s="1">
        <v>45152</v>
      </c>
      <c r="D1106">
        <f>DAY(Tabela_ferias_folgas[[#This Row],[Data]])</f>
        <v>14</v>
      </c>
      <c r="E1106">
        <f>MONTH(Tabela_ferias_folgas[[#This Row],[Data]])</f>
        <v>8</v>
      </c>
      <c r="F1106">
        <f>YEAR(Tabela_ferias_folgas[[#This Row],[Data]])</f>
        <v>2023</v>
      </c>
      <c r="G1106" t="str">
        <f>Tabela_ferias_folgas[[#This Row],[Médico]]&amp;" - "&amp;Tabela_ferias_folgas[[#This Row],[Compromisso]]</f>
        <v>DIF - FOLGA</v>
      </c>
    </row>
    <row r="1107" spans="1:7" x14ac:dyDescent="0.3">
      <c r="A1107" t="s">
        <v>16</v>
      </c>
      <c r="B1107" t="s">
        <v>30</v>
      </c>
      <c r="C1107" s="1">
        <v>45156</v>
      </c>
      <c r="D1107">
        <f>DAY(Tabela_ferias_folgas[[#This Row],[Data]])</f>
        <v>18</v>
      </c>
      <c r="E1107">
        <f>MONTH(Tabela_ferias_folgas[[#This Row],[Data]])</f>
        <v>8</v>
      </c>
      <c r="F1107">
        <f>YEAR(Tabela_ferias_folgas[[#This Row],[Data]])</f>
        <v>2023</v>
      </c>
      <c r="G1107" t="str">
        <f>Tabela_ferias_folgas[[#This Row],[Médico]]&amp;" - "&amp;Tabela_ferias_folgas[[#This Row],[Compromisso]]</f>
        <v>PP - FOLGA</v>
      </c>
    </row>
    <row r="1108" spans="1:7" x14ac:dyDescent="0.3">
      <c r="A1108" t="s">
        <v>64</v>
      </c>
      <c r="B1108" t="s">
        <v>30</v>
      </c>
      <c r="C1108" s="1">
        <v>45156</v>
      </c>
      <c r="D1108">
        <f>DAY(Tabela_ferias_folgas[[#This Row],[Data]])</f>
        <v>18</v>
      </c>
      <c r="E1108">
        <f>MONTH(Tabela_ferias_folgas[[#This Row],[Data]])</f>
        <v>8</v>
      </c>
      <c r="F1108">
        <f>YEAR(Tabela_ferias_folgas[[#This Row],[Data]])</f>
        <v>2023</v>
      </c>
      <c r="G1108" t="str">
        <f>Tabela_ferias_folgas[[#This Row],[Médico]]&amp;" - "&amp;Tabela_ferias_folgas[[#This Row],[Compromisso]]</f>
        <v>SAR - FOLGA</v>
      </c>
    </row>
    <row r="1109" spans="1:7" x14ac:dyDescent="0.3">
      <c r="A1109" t="s">
        <v>32</v>
      </c>
      <c r="B1109" t="s">
        <v>30</v>
      </c>
      <c r="C1109" s="1">
        <v>45160</v>
      </c>
      <c r="D1109">
        <f>DAY(Tabela_ferias_folgas[[#This Row],[Data]])</f>
        <v>22</v>
      </c>
      <c r="E1109">
        <f>MONTH(Tabela_ferias_folgas[[#This Row],[Data]])</f>
        <v>8</v>
      </c>
      <c r="F1109">
        <f>YEAR(Tabela_ferias_folgas[[#This Row],[Data]])</f>
        <v>2023</v>
      </c>
      <c r="G1109" t="str">
        <f>Tabela_ferias_folgas[[#This Row],[Médico]]&amp;" - "&amp;Tabela_ferias_folgas[[#This Row],[Compromisso]]</f>
        <v>JS - FOLGA</v>
      </c>
    </row>
    <row r="1110" spans="1:7" x14ac:dyDescent="0.3">
      <c r="A1110" t="s">
        <v>71</v>
      </c>
      <c r="B1110" t="s">
        <v>30</v>
      </c>
      <c r="C1110" s="1">
        <v>45161</v>
      </c>
      <c r="D1110">
        <f>DAY(Tabela_ferias_folgas[[#This Row],[Data]])</f>
        <v>23</v>
      </c>
      <c r="E1110">
        <f>MONTH(Tabela_ferias_folgas[[#This Row],[Data]])</f>
        <v>8</v>
      </c>
      <c r="F1110">
        <f>YEAR(Tabela_ferias_folgas[[#This Row],[Data]])</f>
        <v>2023</v>
      </c>
      <c r="G1110" t="str">
        <f>Tabela_ferias_folgas[[#This Row],[Médico]]&amp;" - "&amp;Tabela_ferias_folgas[[#This Row],[Compromisso]]</f>
        <v>BRU - FOLGA</v>
      </c>
    </row>
    <row r="1111" spans="1:7" x14ac:dyDescent="0.3">
      <c r="A1111" t="s">
        <v>84</v>
      </c>
      <c r="B1111" t="s">
        <v>30</v>
      </c>
      <c r="C1111" s="1">
        <v>45161</v>
      </c>
      <c r="D1111">
        <f>DAY(Tabela_ferias_folgas[[#This Row],[Data]])</f>
        <v>23</v>
      </c>
      <c r="E1111">
        <f>MONTH(Tabela_ferias_folgas[[#This Row],[Data]])</f>
        <v>8</v>
      </c>
      <c r="F1111">
        <f>YEAR(Tabela_ferias_folgas[[#This Row],[Data]])</f>
        <v>2023</v>
      </c>
      <c r="G1111" t="str">
        <f>Tabela_ferias_folgas[[#This Row],[Médico]]&amp;" - "&amp;Tabela_ferias_folgas[[#This Row],[Compromisso]]</f>
        <v>ANO - FOLGA</v>
      </c>
    </row>
    <row r="1112" spans="1:7" x14ac:dyDescent="0.3">
      <c r="A1112" t="s">
        <v>23</v>
      </c>
      <c r="B1112" t="s">
        <v>30</v>
      </c>
      <c r="C1112" s="1">
        <v>45162</v>
      </c>
      <c r="D1112">
        <f>DAY(Tabela_ferias_folgas[[#This Row],[Data]])</f>
        <v>24</v>
      </c>
      <c r="E1112">
        <f>MONTH(Tabela_ferias_folgas[[#This Row],[Data]])</f>
        <v>8</v>
      </c>
      <c r="F1112">
        <f>YEAR(Tabela_ferias_folgas[[#This Row],[Data]])</f>
        <v>2023</v>
      </c>
      <c r="G1112" t="str">
        <f>Tabela_ferias_folgas[[#This Row],[Médico]]&amp;" - "&amp;Tabela_ferias_folgas[[#This Row],[Compromisso]]</f>
        <v>BG - FOLGA</v>
      </c>
    </row>
    <row r="1113" spans="1:7" x14ac:dyDescent="0.3">
      <c r="A1113" t="s">
        <v>32</v>
      </c>
      <c r="B1113" t="s">
        <v>30</v>
      </c>
      <c r="C1113" s="1">
        <v>45162</v>
      </c>
      <c r="D1113">
        <f>DAY(Tabela_ferias_folgas[[#This Row],[Data]])</f>
        <v>24</v>
      </c>
      <c r="E1113">
        <f>MONTH(Tabela_ferias_folgas[[#This Row],[Data]])</f>
        <v>8</v>
      </c>
      <c r="F1113">
        <f>YEAR(Tabela_ferias_folgas[[#This Row],[Data]])</f>
        <v>2023</v>
      </c>
      <c r="G1113" t="str">
        <f>Tabela_ferias_folgas[[#This Row],[Médico]]&amp;" - "&amp;Tabela_ferias_folgas[[#This Row],[Compromisso]]</f>
        <v>JS - FOLGA</v>
      </c>
    </row>
    <row r="1114" spans="1:7" x14ac:dyDescent="0.3">
      <c r="A1114" t="s">
        <v>71</v>
      </c>
      <c r="B1114" t="s">
        <v>30</v>
      </c>
      <c r="C1114" s="1">
        <v>45162</v>
      </c>
      <c r="D1114">
        <f>DAY(Tabela_ferias_folgas[[#This Row],[Data]])</f>
        <v>24</v>
      </c>
      <c r="E1114">
        <f>MONTH(Tabela_ferias_folgas[[#This Row],[Data]])</f>
        <v>8</v>
      </c>
      <c r="F1114">
        <f>YEAR(Tabela_ferias_folgas[[#This Row],[Data]])</f>
        <v>2023</v>
      </c>
      <c r="G1114" t="str">
        <f>Tabela_ferias_folgas[[#This Row],[Médico]]&amp;" - "&amp;Tabela_ferias_folgas[[#This Row],[Compromisso]]</f>
        <v>BRU - FOLGA</v>
      </c>
    </row>
    <row r="1115" spans="1:7" x14ac:dyDescent="0.3">
      <c r="A1115" t="s">
        <v>32</v>
      </c>
      <c r="B1115" t="s">
        <v>30</v>
      </c>
      <c r="C1115" s="1">
        <v>45163</v>
      </c>
      <c r="D1115">
        <f>DAY(Tabela_ferias_folgas[[#This Row],[Data]])</f>
        <v>25</v>
      </c>
      <c r="E1115">
        <f>MONTH(Tabela_ferias_folgas[[#This Row],[Data]])</f>
        <v>8</v>
      </c>
      <c r="F1115">
        <f>YEAR(Tabela_ferias_folgas[[#This Row],[Data]])</f>
        <v>2023</v>
      </c>
      <c r="G1115" t="str">
        <f>Tabela_ferias_folgas[[#This Row],[Médico]]&amp;" - "&amp;Tabela_ferias_folgas[[#This Row],[Compromisso]]</f>
        <v>JS - FOLGA</v>
      </c>
    </row>
    <row r="1116" spans="1:7" x14ac:dyDescent="0.3">
      <c r="A1116" t="s">
        <v>71</v>
      </c>
      <c r="B1116" t="s">
        <v>30</v>
      </c>
      <c r="C1116" s="1">
        <v>45163</v>
      </c>
      <c r="D1116">
        <f>DAY(Tabela_ferias_folgas[[#This Row],[Data]])</f>
        <v>25</v>
      </c>
      <c r="E1116">
        <f>MONTH(Tabela_ferias_folgas[[#This Row],[Data]])</f>
        <v>8</v>
      </c>
      <c r="F1116">
        <f>YEAR(Tabela_ferias_folgas[[#This Row],[Data]])</f>
        <v>2023</v>
      </c>
      <c r="G1116" t="str">
        <f>Tabela_ferias_folgas[[#This Row],[Médico]]&amp;" - "&amp;Tabela_ferias_folgas[[#This Row],[Compromisso]]</f>
        <v>BRU - FOLGA</v>
      </c>
    </row>
    <row r="1117" spans="1:7" x14ac:dyDescent="0.3">
      <c r="A1117" t="s">
        <v>33</v>
      </c>
      <c r="B1117" t="s">
        <v>30</v>
      </c>
      <c r="C1117" s="1">
        <v>45163</v>
      </c>
      <c r="D1117">
        <f>DAY(Tabela_ferias_folgas[[#This Row],[Data]])</f>
        <v>25</v>
      </c>
      <c r="E1117">
        <f>MONTH(Tabela_ferias_folgas[[#This Row],[Data]])</f>
        <v>8</v>
      </c>
      <c r="F1117">
        <f>YEAR(Tabela_ferias_folgas[[#This Row],[Data]])</f>
        <v>2023</v>
      </c>
      <c r="G1117" t="str">
        <f>Tabela_ferias_folgas[[#This Row],[Médico]]&amp;" - "&amp;Tabela_ferias_folgas[[#This Row],[Compromisso]]</f>
        <v>DIF - FOLGA</v>
      </c>
    </row>
    <row r="1118" spans="1:7" x14ac:dyDescent="0.3">
      <c r="A1118" t="s">
        <v>17</v>
      </c>
      <c r="B1118" t="s">
        <v>30</v>
      </c>
      <c r="C1118" s="1">
        <v>45166</v>
      </c>
      <c r="D1118">
        <f>DAY(Tabela_ferias_folgas[[#This Row],[Data]])</f>
        <v>28</v>
      </c>
      <c r="E1118">
        <f>MONTH(Tabela_ferias_folgas[[#This Row],[Data]])</f>
        <v>8</v>
      </c>
      <c r="F1118">
        <f>YEAR(Tabela_ferias_folgas[[#This Row],[Data]])</f>
        <v>2023</v>
      </c>
      <c r="G1118" t="str">
        <f>Tabela_ferias_folgas[[#This Row],[Médico]]&amp;" - "&amp;Tabela_ferias_folgas[[#This Row],[Compromisso]]</f>
        <v>FAB - FOLGA</v>
      </c>
    </row>
    <row r="1119" spans="1:7" x14ac:dyDescent="0.3">
      <c r="A1119" t="s">
        <v>50</v>
      </c>
      <c r="B1119" t="s">
        <v>30</v>
      </c>
      <c r="C1119" s="1">
        <v>45166</v>
      </c>
      <c r="D1119">
        <f>DAY(Tabela_ferias_folgas[[#This Row],[Data]])</f>
        <v>28</v>
      </c>
      <c r="E1119">
        <f>MONTH(Tabela_ferias_folgas[[#This Row],[Data]])</f>
        <v>8</v>
      </c>
      <c r="F1119">
        <f>YEAR(Tabela_ferias_folgas[[#This Row],[Data]])</f>
        <v>2023</v>
      </c>
      <c r="G1119" t="str">
        <f>Tabela_ferias_folgas[[#This Row],[Médico]]&amp;" - "&amp;Tabela_ferias_folgas[[#This Row],[Compromisso]]</f>
        <v>PJP - FOLGA</v>
      </c>
    </row>
    <row r="1120" spans="1:7" x14ac:dyDescent="0.3">
      <c r="A1120" t="s">
        <v>68</v>
      </c>
      <c r="B1120" t="s">
        <v>30</v>
      </c>
      <c r="C1120" s="1">
        <v>45167</v>
      </c>
      <c r="D1120">
        <f>DAY(Tabela_ferias_folgas[[#This Row],[Data]])</f>
        <v>29</v>
      </c>
      <c r="E1120">
        <f>MONTH(Tabela_ferias_folgas[[#This Row],[Data]])</f>
        <v>8</v>
      </c>
      <c r="F1120">
        <f>YEAR(Tabela_ferias_folgas[[#This Row],[Data]])</f>
        <v>2023</v>
      </c>
      <c r="G1120" t="str">
        <f>Tabela_ferias_folgas[[#This Row],[Médico]]&amp;" - "&amp;Tabela_ferias_folgas[[#This Row],[Compromisso]]</f>
        <v>PED - FOLGA</v>
      </c>
    </row>
    <row r="1121" spans="1:7" x14ac:dyDescent="0.3">
      <c r="A1121" t="s">
        <v>50</v>
      </c>
      <c r="B1121" t="s">
        <v>30</v>
      </c>
      <c r="C1121" s="1">
        <v>45167</v>
      </c>
      <c r="D1121">
        <f>DAY(Tabela_ferias_folgas[[#This Row],[Data]])</f>
        <v>29</v>
      </c>
      <c r="E1121">
        <f>MONTH(Tabela_ferias_folgas[[#This Row],[Data]])</f>
        <v>8</v>
      </c>
      <c r="F1121">
        <f>YEAR(Tabela_ferias_folgas[[#This Row],[Data]])</f>
        <v>2023</v>
      </c>
      <c r="G1121" t="str">
        <f>Tabela_ferias_folgas[[#This Row],[Médico]]&amp;" - "&amp;Tabela_ferias_folgas[[#This Row],[Compromisso]]</f>
        <v>PJP - FOLGA</v>
      </c>
    </row>
    <row r="1122" spans="1:7" x14ac:dyDescent="0.3">
      <c r="A1122" t="s">
        <v>23</v>
      </c>
      <c r="B1122" t="s">
        <v>30</v>
      </c>
      <c r="C1122" s="1">
        <v>45167</v>
      </c>
      <c r="D1122">
        <f>DAY(Tabela_ferias_folgas[[#This Row],[Data]])</f>
        <v>29</v>
      </c>
      <c r="E1122">
        <f>MONTH(Tabela_ferias_folgas[[#This Row],[Data]])</f>
        <v>8</v>
      </c>
      <c r="F1122">
        <f>YEAR(Tabela_ferias_folgas[[#This Row],[Data]])</f>
        <v>2023</v>
      </c>
      <c r="G1122" t="str">
        <f>Tabela_ferias_folgas[[#This Row],[Médico]]&amp;" - "&amp;Tabela_ferias_folgas[[#This Row],[Compromisso]]</f>
        <v>BG - FOLGA</v>
      </c>
    </row>
    <row r="1123" spans="1:7" x14ac:dyDescent="0.3">
      <c r="A1123" t="s">
        <v>33</v>
      </c>
      <c r="B1123" t="s">
        <v>30</v>
      </c>
      <c r="C1123" s="1">
        <v>45167</v>
      </c>
      <c r="D1123">
        <f>DAY(Tabela_ferias_folgas[[#This Row],[Data]])</f>
        <v>29</v>
      </c>
      <c r="E1123">
        <f>MONTH(Tabela_ferias_folgas[[#This Row],[Data]])</f>
        <v>8</v>
      </c>
      <c r="F1123">
        <f>YEAR(Tabela_ferias_folgas[[#This Row],[Data]])</f>
        <v>2023</v>
      </c>
      <c r="G1123" t="str">
        <f>Tabela_ferias_folgas[[#This Row],[Médico]]&amp;" - "&amp;Tabela_ferias_folgas[[#This Row],[Compromisso]]</f>
        <v>DIF - FOLGA</v>
      </c>
    </row>
    <row r="1124" spans="1:7" x14ac:dyDescent="0.3">
      <c r="A1124" t="s">
        <v>20</v>
      </c>
      <c r="B1124" t="s">
        <v>30</v>
      </c>
      <c r="C1124" s="1">
        <v>45169</v>
      </c>
      <c r="D1124">
        <f>DAY(Tabela_ferias_folgas[[#This Row],[Data]])</f>
        <v>31</v>
      </c>
      <c r="E1124">
        <f>MONTH(Tabela_ferias_folgas[[#This Row],[Data]])</f>
        <v>8</v>
      </c>
      <c r="F1124">
        <f>YEAR(Tabela_ferias_folgas[[#This Row],[Data]])</f>
        <v>2023</v>
      </c>
      <c r="G1124" t="str">
        <f>Tabela_ferias_folgas[[#This Row],[Médico]]&amp;" - "&amp;Tabela_ferias_folgas[[#This Row],[Compromisso]]</f>
        <v>ROB - FOLGA</v>
      </c>
    </row>
    <row r="1125" spans="1:7" x14ac:dyDescent="0.3">
      <c r="A1125" t="s">
        <v>32</v>
      </c>
      <c r="B1125" t="s">
        <v>30</v>
      </c>
      <c r="C1125" s="1">
        <v>45169</v>
      </c>
      <c r="D1125">
        <f>DAY(Tabela_ferias_folgas[[#This Row],[Data]])</f>
        <v>31</v>
      </c>
      <c r="E1125">
        <f>MONTH(Tabela_ferias_folgas[[#This Row],[Data]])</f>
        <v>8</v>
      </c>
      <c r="F1125">
        <f>YEAR(Tabela_ferias_folgas[[#This Row],[Data]])</f>
        <v>2023</v>
      </c>
      <c r="G1125" t="str">
        <f>Tabela_ferias_folgas[[#This Row],[Médico]]&amp;" - "&amp;Tabela_ferias_folgas[[#This Row],[Compromisso]]</f>
        <v>JS - FOLGA</v>
      </c>
    </row>
    <row r="1126" spans="1:7" x14ac:dyDescent="0.3">
      <c r="A1126" t="s">
        <v>85</v>
      </c>
      <c r="B1126" t="s">
        <v>30</v>
      </c>
      <c r="C1126" s="1">
        <v>45169</v>
      </c>
      <c r="D1126">
        <f>DAY(Tabela_ferias_folgas[[#This Row],[Data]])</f>
        <v>31</v>
      </c>
      <c r="E1126">
        <f>MONTH(Tabela_ferias_folgas[[#This Row],[Data]])</f>
        <v>8</v>
      </c>
      <c r="F1126">
        <f>YEAR(Tabela_ferias_folgas[[#This Row],[Data]])</f>
        <v>2023</v>
      </c>
      <c r="G1126" t="str">
        <f>Tabela_ferias_folgas[[#This Row],[Médico]]&amp;" - "&amp;Tabela_ferias_folgas[[#This Row],[Compromisso]]</f>
        <v>ELF - FOLGA</v>
      </c>
    </row>
    <row r="1127" spans="1:7" x14ac:dyDescent="0.3">
      <c r="A1127" t="s">
        <v>64</v>
      </c>
      <c r="B1127" t="s">
        <v>30</v>
      </c>
      <c r="C1127" s="1">
        <v>45169</v>
      </c>
      <c r="D1127">
        <f>DAY(Tabela_ferias_folgas[[#This Row],[Data]])</f>
        <v>31</v>
      </c>
      <c r="E1127">
        <f>MONTH(Tabela_ferias_folgas[[#This Row],[Data]])</f>
        <v>8</v>
      </c>
      <c r="F1127">
        <f>YEAR(Tabela_ferias_folgas[[#This Row],[Data]])</f>
        <v>2023</v>
      </c>
      <c r="G1127" t="str">
        <f>Tabela_ferias_folgas[[#This Row],[Médico]]&amp;" - "&amp;Tabela_ferias_folgas[[#This Row],[Compromisso]]</f>
        <v>SAR - FOLGA</v>
      </c>
    </row>
    <row r="1128" spans="1:7" x14ac:dyDescent="0.3">
      <c r="A1128" t="s">
        <v>20</v>
      </c>
      <c r="B1128" t="s">
        <v>30</v>
      </c>
      <c r="C1128" s="1">
        <v>45168</v>
      </c>
      <c r="D1128">
        <f>DAY(Tabela_ferias_folgas[[#This Row],[Data]])</f>
        <v>30</v>
      </c>
      <c r="E1128">
        <f>MONTH(Tabela_ferias_folgas[[#This Row],[Data]])</f>
        <v>8</v>
      </c>
      <c r="F1128">
        <f>YEAR(Tabela_ferias_folgas[[#This Row],[Data]])</f>
        <v>2023</v>
      </c>
      <c r="G1128" t="str">
        <f>Tabela_ferias_folgas[[#This Row],[Médico]]&amp;" - "&amp;Tabela_ferias_folgas[[#This Row],[Compromisso]]</f>
        <v>ROB - FOLGA</v>
      </c>
    </row>
    <row r="1129" spans="1:7" x14ac:dyDescent="0.3">
      <c r="A1129" t="s">
        <v>48</v>
      </c>
      <c r="B1129" t="s">
        <v>30</v>
      </c>
      <c r="C1129" s="1">
        <v>45170</v>
      </c>
      <c r="D1129">
        <f>DAY(Tabela_ferias_folgas[[#This Row],[Data]])</f>
        <v>1</v>
      </c>
      <c r="E1129">
        <f>MONTH(Tabela_ferias_folgas[[#This Row],[Data]])</f>
        <v>9</v>
      </c>
      <c r="F1129">
        <f>YEAR(Tabela_ferias_folgas[[#This Row],[Data]])</f>
        <v>2023</v>
      </c>
      <c r="G1129" t="str">
        <f>Tabela_ferias_folgas[[#This Row],[Médico]]&amp;" - "&amp;Tabela_ferias_folgas[[#This Row],[Compromisso]]</f>
        <v>MAF - FOLGA</v>
      </c>
    </row>
    <row r="1130" spans="1:7" x14ac:dyDescent="0.3">
      <c r="A1130" t="s">
        <v>33</v>
      </c>
      <c r="B1130" t="s">
        <v>30</v>
      </c>
      <c r="C1130" s="1">
        <v>45170</v>
      </c>
      <c r="D1130">
        <f>DAY(Tabela_ferias_folgas[[#This Row],[Data]])</f>
        <v>1</v>
      </c>
      <c r="E1130">
        <f>MONTH(Tabela_ferias_folgas[[#This Row],[Data]])</f>
        <v>9</v>
      </c>
      <c r="F1130">
        <f>YEAR(Tabela_ferias_folgas[[#This Row],[Data]])</f>
        <v>2023</v>
      </c>
      <c r="G1130" t="str">
        <f>Tabela_ferias_folgas[[#This Row],[Médico]]&amp;" - "&amp;Tabela_ferias_folgas[[#This Row],[Compromisso]]</f>
        <v>DIF - FOLGA</v>
      </c>
    </row>
    <row r="1131" spans="1:7" x14ac:dyDescent="0.3">
      <c r="A1131" t="s">
        <v>37</v>
      </c>
      <c r="B1131" t="s">
        <v>30</v>
      </c>
      <c r="C1131" s="1">
        <v>45180</v>
      </c>
      <c r="D1131">
        <f>DAY(Tabela_ferias_folgas[[#This Row],[Data]])</f>
        <v>11</v>
      </c>
      <c r="E1131">
        <f>MONTH(Tabela_ferias_folgas[[#This Row],[Data]])</f>
        <v>9</v>
      </c>
      <c r="F1131">
        <f>YEAR(Tabela_ferias_folgas[[#This Row],[Data]])</f>
        <v>2023</v>
      </c>
      <c r="G1131" t="str">
        <f>Tabela_ferias_folgas[[#This Row],[Médico]]&amp;" - "&amp;Tabela_ferias_folgas[[#This Row],[Compromisso]]</f>
        <v>EBB - FOLGA</v>
      </c>
    </row>
    <row r="1132" spans="1:7" x14ac:dyDescent="0.3">
      <c r="A1132" t="s">
        <v>29</v>
      </c>
      <c r="B1132" t="s">
        <v>30</v>
      </c>
      <c r="C1132" s="1">
        <v>45180</v>
      </c>
      <c r="D1132">
        <f>DAY(Tabela_ferias_folgas[[#This Row],[Data]])</f>
        <v>11</v>
      </c>
      <c r="E1132">
        <f>MONTH(Tabela_ferias_folgas[[#This Row],[Data]])</f>
        <v>9</v>
      </c>
      <c r="F1132">
        <f>YEAR(Tabela_ferias_folgas[[#This Row],[Data]])</f>
        <v>2023</v>
      </c>
      <c r="G1132" t="str">
        <f>Tabela_ferias_folgas[[#This Row],[Médico]]&amp;" - "&amp;Tabela_ferias_folgas[[#This Row],[Compromisso]]</f>
        <v>JOA - FOLGA</v>
      </c>
    </row>
    <row r="1133" spans="1:7" x14ac:dyDescent="0.3">
      <c r="A1133" t="s">
        <v>47</v>
      </c>
      <c r="B1133" t="s">
        <v>30</v>
      </c>
      <c r="C1133" s="1">
        <v>45180</v>
      </c>
      <c r="D1133">
        <f>DAY(Tabela_ferias_folgas[[#This Row],[Data]])</f>
        <v>11</v>
      </c>
      <c r="E1133">
        <f>MONTH(Tabela_ferias_folgas[[#This Row],[Data]])</f>
        <v>9</v>
      </c>
      <c r="F1133">
        <f>YEAR(Tabela_ferias_folgas[[#This Row],[Data]])</f>
        <v>2023</v>
      </c>
      <c r="G1133" t="str">
        <f>Tabela_ferias_folgas[[#This Row],[Médico]]&amp;" - "&amp;Tabela_ferias_folgas[[#This Row],[Compromisso]]</f>
        <v>VIN - FOLGA</v>
      </c>
    </row>
    <row r="1134" spans="1:7" x14ac:dyDescent="0.3">
      <c r="A1134" t="s">
        <v>66</v>
      </c>
      <c r="B1134" t="s">
        <v>30</v>
      </c>
      <c r="C1134" s="1">
        <v>45174</v>
      </c>
      <c r="D1134">
        <f>DAY(Tabela_ferias_folgas[[#This Row],[Data]])</f>
        <v>5</v>
      </c>
      <c r="E1134">
        <f>MONTH(Tabela_ferias_folgas[[#This Row],[Data]])</f>
        <v>9</v>
      </c>
      <c r="F1134">
        <f>YEAR(Tabela_ferias_folgas[[#This Row],[Data]])</f>
        <v>2023</v>
      </c>
      <c r="G1134" t="str">
        <f>Tabela_ferias_folgas[[#This Row],[Médico]]&amp;" - "&amp;Tabela_ferias_folgas[[#This Row],[Compromisso]]</f>
        <v>MOZ - FOLGA</v>
      </c>
    </row>
    <row r="1135" spans="1:7" x14ac:dyDescent="0.3">
      <c r="A1135" t="s">
        <v>84</v>
      </c>
      <c r="B1135" t="s">
        <v>30</v>
      </c>
      <c r="C1135" s="1">
        <v>45175</v>
      </c>
      <c r="D1135">
        <f>DAY(Tabela_ferias_folgas[[#This Row],[Data]])</f>
        <v>6</v>
      </c>
      <c r="E1135">
        <f>MONTH(Tabela_ferias_folgas[[#This Row],[Data]])</f>
        <v>9</v>
      </c>
      <c r="F1135">
        <f>YEAR(Tabela_ferias_folgas[[#This Row],[Data]])</f>
        <v>2023</v>
      </c>
      <c r="G1135" t="str">
        <f>Tabela_ferias_folgas[[#This Row],[Médico]]&amp;" - "&amp;Tabela_ferias_folgas[[#This Row],[Compromisso]]</f>
        <v>ANO - FOLGA</v>
      </c>
    </row>
    <row r="1136" spans="1:7" x14ac:dyDescent="0.3">
      <c r="A1136" t="s">
        <v>29</v>
      </c>
      <c r="B1136" t="s">
        <v>30</v>
      </c>
      <c r="C1136" s="1">
        <v>45175</v>
      </c>
      <c r="D1136">
        <f>DAY(Tabela_ferias_folgas[[#This Row],[Data]])</f>
        <v>6</v>
      </c>
      <c r="E1136">
        <f>MONTH(Tabela_ferias_folgas[[#This Row],[Data]])</f>
        <v>9</v>
      </c>
      <c r="F1136">
        <f>YEAR(Tabela_ferias_folgas[[#This Row],[Data]])</f>
        <v>2023</v>
      </c>
      <c r="G1136" t="str">
        <f>Tabela_ferias_folgas[[#This Row],[Médico]]&amp;" - "&amp;Tabela_ferias_folgas[[#This Row],[Compromisso]]</f>
        <v>JOA - FOLGA</v>
      </c>
    </row>
    <row r="1137" spans="1:7" x14ac:dyDescent="0.3">
      <c r="A1137" t="s">
        <v>75</v>
      </c>
      <c r="B1137" t="s">
        <v>30</v>
      </c>
      <c r="C1137" s="1">
        <v>45181</v>
      </c>
      <c r="D1137">
        <f>DAY(Tabela_ferias_folgas[[#This Row],[Data]])</f>
        <v>12</v>
      </c>
      <c r="E1137">
        <f>MONTH(Tabela_ferias_folgas[[#This Row],[Data]])</f>
        <v>9</v>
      </c>
      <c r="F1137">
        <f>YEAR(Tabela_ferias_folgas[[#This Row],[Data]])</f>
        <v>2023</v>
      </c>
      <c r="G1137" t="str">
        <f>Tabela_ferias_folgas[[#This Row],[Médico]]&amp;" - "&amp;Tabela_ferias_folgas[[#This Row],[Compromisso]]</f>
        <v>KOP - FOLGA</v>
      </c>
    </row>
    <row r="1138" spans="1:7" x14ac:dyDescent="0.3">
      <c r="A1138" t="s">
        <v>33</v>
      </c>
      <c r="B1138" t="s">
        <v>30</v>
      </c>
      <c r="C1138" s="1">
        <v>45182</v>
      </c>
      <c r="D1138">
        <f>DAY(Tabela_ferias_folgas[[#This Row],[Data]])</f>
        <v>13</v>
      </c>
      <c r="E1138">
        <f>MONTH(Tabela_ferias_folgas[[#This Row],[Data]])</f>
        <v>9</v>
      </c>
      <c r="F1138">
        <f>YEAR(Tabela_ferias_folgas[[#This Row],[Data]])</f>
        <v>2023</v>
      </c>
      <c r="G1138" t="str">
        <f>Tabela_ferias_folgas[[#This Row],[Médico]]&amp;" - "&amp;Tabela_ferias_folgas[[#This Row],[Compromisso]]</f>
        <v>DIF - FOLGA</v>
      </c>
    </row>
    <row r="1139" spans="1:7" x14ac:dyDescent="0.3">
      <c r="A1139" t="s">
        <v>34</v>
      </c>
      <c r="B1139" t="s">
        <v>30</v>
      </c>
      <c r="C1139" s="1">
        <v>45183</v>
      </c>
      <c r="D1139">
        <f>DAY(Tabela_ferias_folgas[[#This Row],[Data]])</f>
        <v>14</v>
      </c>
      <c r="E1139">
        <f>MONTH(Tabela_ferias_folgas[[#This Row],[Data]])</f>
        <v>9</v>
      </c>
      <c r="F1139">
        <f>YEAR(Tabela_ferias_folgas[[#This Row],[Data]])</f>
        <v>2023</v>
      </c>
      <c r="G1139" t="str">
        <f>Tabela_ferias_folgas[[#This Row],[Médico]]&amp;" - "&amp;Tabela_ferias_folgas[[#This Row],[Compromisso]]</f>
        <v>LIP - FOLGA</v>
      </c>
    </row>
    <row r="1140" spans="1:7" x14ac:dyDescent="0.3">
      <c r="A1140" t="s">
        <v>73</v>
      </c>
      <c r="B1140" t="s">
        <v>30</v>
      </c>
      <c r="C1140" s="1">
        <v>45183</v>
      </c>
      <c r="D1140">
        <f>DAY(Tabela_ferias_folgas[[#This Row],[Data]])</f>
        <v>14</v>
      </c>
      <c r="E1140">
        <f>MONTH(Tabela_ferias_folgas[[#This Row],[Data]])</f>
        <v>9</v>
      </c>
      <c r="F1140">
        <f>YEAR(Tabela_ferias_folgas[[#This Row],[Data]])</f>
        <v>2023</v>
      </c>
      <c r="G1140" t="str">
        <f>Tabela_ferias_folgas[[#This Row],[Médico]]&amp;" - "&amp;Tabela_ferias_folgas[[#This Row],[Compromisso]]</f>
        <v>RT - FOLGA</v>
      </c>
    </row>
    <row r="1141" spans="1:7" x14ac:dyDescent="0.3">
      <c r="A1141" t="s">
        <v>66</v>
      </c>
      <c r="B1141" t="s">
        <v>30</v>
      </c>
      <c r="C1141" s="1">
        <v>45187</v>
      </c>
      <c r="D1141">
        <f>DAY(Tabela_ferias_folgas[[#This Row],[Data]])</f>
        <v>18</v>
      </c>
      <c r="E1141">
        <f>MONTH(Tabela_ferias_folgas[[#This Row],[Data]])</f>
        <v>9</v>
      </c>
      <c r="F1141">
        <f>YEAR(Tabela_ferias_folgas[[#This Row],[Data]])</f>
        <v>2023</v>
      </c>
      <c r="G1141" t="str">
        <f>Tabela_ferias_folgas[[#This Row],[Médico]]&amp;" - "&amp;Tabela_ferias_folgas[[#This Row],[Compromisso]]</f>
        <v>MOZ - FOLGA</v>
      </c>
    </row>
    <row r="1142" spans="1:7" x14ac:dyDescent="0.3">
      <c r="A1142" t="s">
        <v>52</v>
      </c>
      <c r="B1142" t="s">
        <v>30</v>
      </c>
      <c r="C1142" s="1">
        <v>45184</v>
      </c>
      <c r="D1142">
        <f>DAY(Tabela_ferias_folgas[[#This Row],[Data]])</f>
        <v>15</v>
      </c>
      <c r="E1142">
        <f>MONTH(Tabela_ferias_folgas[[#This Row],[Data]])</f>
        <v>9</v>
      </c>
      <c r="F1142">
        <f>YEAR(Tabela_ferias_folgas[[#This Row],[Data]])</f>
        <v>2023</v>
      </c>
      <c r="G1142" t="str">
        <f>Tabela_ferias_folgas[[#This Row],[Médico]]&amp;" - "&amp;Tabela_ferias_folgas[[#This Row],[Compromisso]]</f>
        <v>AEL - FOLGA</v>
      </c>
    </row>
    <row r="1143" spans="1:7" x14ac:dyDescent="0.3">
      <c r="A1143" t="s">
        <v>66</v>
      </c>
      <c r="B1143" t="s">
        <v>30</v>
      </c>
      <c r="C1143" s="1">
        <v>45184</v>
      </c>
      <c r="D1143">
        <f>DAY(Tabela_ferias_folgas[[#This Row],[Data]])</f>
        <v>15</v>
      </c>
      <c r="E1143">
        <f>MONTH(Tabela_ferias_folgas[[#This Row],[Data]])</f>
        <v>9</v>
      </c>
      <c r="F1143">
        <f>YEAR(Tabela_ferias_folgas[[#This Row],[Data]])</f>
        <v>2023</v>
      </c>
      <c r="G1143" t="str">
        <f>Tabela_ferias_folgas[[#This Row],[Médico]]&amp;" - "&amp;Tabela_ferias_folgas[[#This Row],[Compromisso]]</f>
        <v>MOZ - FOLGA</v>
      </c>
    </row>
    <row r="1144" spans="1:7" x14ac:dyDescent="0.3">
      <c r="A1144" t="s">
        <v>47</v>
      </c>
      <c r="B1144" t="s">
        <v>30</v>
      </c>
      <c r="C1144" s="1">
        <v>45188</v>
      </c>
      <c r="D1144">
        <f>DAY(Tabela_ferias_folgas[[#This Row],[Data]])</f>
        <v>19</v>
      </c>
      <c r="E1144">
        <f>MONTH(Tabela_ferias_folgas[[#This Row],[Data]])</f>
        <v>9</v>
      </c>
      <c r="F1144">
        <f>YEAR(Tabela_ferias_folgas[[#This Row],[Data]])</f>
        <v>2023</v>
      </c>
      <c r="G1144" t="str">
        <f>Tabela_ferias_folgas[[#This Row],[Médico]]&amp;" - "&amp;Tabela_ferias_folgas[[#This Row],[Compromisso]]</f>
        <v>VIN - FOLGA</v>
      </c>
    </row>
    <row r="1145" spans="1:7" x14ac:dyDescent="0.3">
      <c r="A1145" t="s">
        <v>32</v>
      </c>
      <c r="B1145" t="s">
        <v>30</v>
      </c>
      <c r="C1145" s="1">
        <v>45188</v>
      </c>
      <c r="D1145">
        <f>DAY(Tabela_ferias_folgas[[#This Row],[Data]])</f>
        <v>19</v>
      </c>
      <c r="E1145">
        <f>MONTH(Tabela_ferias_folgas[[#This Row],[Data]])</f>
        <v>9</v>
      </c>
      <c r="F1145">
        <f>YEAR(Tabela_ferias_folgas[[#This Row],[Data]])</f>
        <v>2023</v>
      </c>
      <c r="G1145" t="str">
        <f>Tabela_ferias_folgas[[#This Row],[Médico]]&amp;" - "&amp;Tabela_ferias_folgas[[#This Row],[Compromisso]]</f>
        <v>JS - FOLGA</v>
      </c>
    </row>
    <row r="1146" spans="1:7" x14ac:dyDescent="0.3">
      <c r="A1146" t="s">
        <v>66</v>
      </c>
      <c r="B1146" t="s">
        <v>30</v>
      </c>
      <c r="C1146" s="1">
        <v>45188</v>
      </c>
      <c r="D1146">
        <f>DAY(Tabela_ferias_folgas[[#This Row],[Data]])</f>
        <v>19</v>
      </c>
      <c r="E1146">
        <f>MONTH(Tabela_ferias_folgas[[#This Row],[Data]])</f>
        <v>9</v>
      </c>
      <c r="F1146">
        <f>YEAR(Tabela_ferias_folgas[[#This Row],[Data]])</f>
        <v>2023</v>
      </c>
      <c r="G1146" t="str">
        <f>Tabela_ferias_folgas[[#This Row],[Médico]]&amp;" - "&amp;Tabela_ferias_folgas[[#This Row],[Compromisso]]</f>
        <v>MOZ - FOLGA</v>
      </c>
    </row>
    <row r="1147" spans="1:7" x14ac:dyDescent="0.3">
      <c r="A1147" t="s">
        <v>17</v>
      </c>
      <c r="B1147" t="s">
        <v>30</v>
      </c>
      <c r="C1147" s="1">
        <v>45194</v>
      </c>
      <c r="D1147">
        <f>DAY(Tabela_ferias_folgas[[#This Row],[Data]])</f>
        <v>25</v>
      </c>
      <c r="E1147">
        <f>MONTH(Tabela_ferias_folgas[[#This Row],[Data]])</f>
        <v>9</v>
      </c>
      <c r="F1147">
        <f>YEAR(Tabela_ferias_folgas[[#This Row],[Data]])</f>
        <v>2023</v>
      </c>
      <c r="G1147" t="str">
        <f>Tabela_ferias_folgas[[#This Row],[Médico]]&amp;" - "&amp;Tabela_ferias_folgas[[#This Row],[Compromisso]]</f>
        <v>FAB - FOLGA</v>
      </c>
    </row>
    <row r="1148" spans="1:7" x14ac:dyDescent="0.3">
      <c r="A1148" t="s">
        <v>17</v>
      </c>
      <c r="B1148" t="s">
        <v>30</v>
      </c>
      <c r="C1148" s="1">
        <v>45194</v>
      </c>
      <c r="D1148">
        <f>DAY(Tabela_ferias_folgas[[#This Row],[Data]])</f>
        <v>25</v>
      </c>
      <c r="E1148">
        <f>MONTH(Tabela_ferias_folgas[[#This Row],[Data]])</f>
        <v>9</v>
      </c>
      <c r="F1148">
        <f>YEAR(Tabela_ferias_folgas[[#This Row],[Data]])</f>
        <v>2023</v>
      </c>
      <c r="G1148" t="str">
        <f>Tabela_ferias_folgas[[#This Row],[Médico]]&amp;" - "&amp;Tabela_ferias_folgas[[#This Row],[Compromisso]]</f>
        <v>FAB - FOLGA</v>
      </c>
    </row>
    <row r="1149" spans="1:7" x14ac:dyDescent="0.3">
      <c r="A1149" t="s">
        <v>85</v>
      </c>
      <c r="B1149" t="s">
        <v>30</v>
      </c>
      <c r="C1149" s="1">
        <v>45194</v>
      </c>
      <c r="D1149">
        <f>DAY(Tabela_ferias_folgas[[#This Row],[Data]])</f>
        <v>25</v>
      </c>
      <c r="E1149">
        <f>MONTH(Tabela_ferias_folgas[[#This Row],[Data]])</f>
        <v>9</v>
      </c>
      <c r="F1149">
        <f>YEAR(Tabela_ferias_folgas[[#This Row],[Data]])</f>
        <v>2023</v>
      </c>
      <c r="G1149" t="str">
        <f>Tabela_ferias_folgas[[#This Row],[Médico]]&amp;" - "&amp;Tabela_ferias_folgas[[#This Row],[Compromisso]]</f>
        <v>ELF - FOLGA</v>
      </c>
    </row>
    <row r="1150" spans="1:7" x14ac:dyDescent="0.3">
      <c r="A1150" t="s">
        <v>84</v>
      </c>
      <c r="B1150" t="s">
        <v>30</v>
      </c>
      <c r="C1150" s="1">
        <v>45215</v>
      </c>
      <c r="D1150">
        <f>DAY(Tabela_ferias_folgas[[#This Row],[Data]])</f>
        <v>16</v>
      </c>
      <c r="E1150">
        <f>MONTH(Tabela_ferias_folgas[[#This Row],[Data]])</f>
        <v>10</v>
      </c>
      <c r="F1150">
        <f>YEAR(Tabela_ferias_folgas[[#This Row],[Data]])</f>
        <v>2023</v>
      </c>
      <c r="G1150" t="str">
        <f>Tabela_ferias_folgas[[#This Row],[Médico]]&amp;" - "&amp;Tabela_ferias_folgas[[#This Row],[Compromisso]]</f>
        <v>ANO - FOLGA</v>
      </c>
    </row>
    <row r="1151" spans="1:7" x14ac:dyDescent="0.3">
      <c r="A1151" t="s">
        <v>17</v>
      </c>
      <c r="B1151" t="s">
        <v>30</v>
      </c>
      <c r="C1151" s="1">
        <v>45223</v>
      </c>
      <c r="D1151">
        <f>DAY(Tabela_ferias_folgas[[#This Row],[Data]])</f>
        <v>24</v>
      </c>
      <c r="E1151">
        <f>MONTH(Tabela_ferias_folgas[[#This Row],[Data]])</f>
        <v>10</v>
      </c>
      <c r="F1151">
        <f>YEAR(Tabela_ferias_folgas[[#This Row],[Data]])</f>
        <v>2023</v>
      </c>
      <c r="G1151" t="str">
        <f>Tabela_ferias_folgas[[#This Row],[Médico]]&amp;" - "&amp;Tabela_ferias_folgas[[#This Row],[Compromisso]]</f>
        <v>FAB - FOLGA</v>
      </c>
    </row>
    <row r="1152" spans="1:7" x14ac:dyDescent="0.3">
      <c r="A1152" t="s">
        <v>20</v>
      </c>
      <c r="B1152" t="s">
        <v>30</v>
      </c>
      <c r="C1152" s="1">
        <v>45224</v>
      </c>
      <c r="D1152">
        <f>DAY(Tabela_ferias_folgas[[#This Row],[Data]])</f>
        <v>25</v>
      </c>
      <c r="E1152">
        <f>MONTH(Tabela_ferias_folgas[[#This Row],[Data]])</f>
        <v>10</v>
      </c>
      <c r="F1152">
        <f>YEAR(Tabela_ferias_folgas[[#This Row],[Data]])</f>
        <v>2023</v>
      </c>
      <c r="G1152" t="str">
        <f>Tabela_ferias_folgas[[#This Row],[Médico]]&amp;" - "&amp;Tabela_ferias_folgas[[#This Row],[Compromisso]]</f>
        <v>ROB - FOLGA</v>
      </c>
    </row>
    <row r="1153" spans="1:7" x14ac:dyDescent="0.3">
      <c r="A1153" t="s">
        <v>75</v>
      </c>
      <c r="B1153" t="s">
        <v>30</v>
      </c>
      <c r="C1153" s="1">
        <v>45230</v>
      </c>
      <c r="D1153">
        <f>DAY(Tabela_ferias_folgas[[#This Row],[Data]])</f>
        <v>31</v>
      </c>
      <c r="E1153">
        <f>MONTH(Tabela_ferias_folgas[[#This Row],[Data]])</f>
        <v>10</v>
      </c>
      <c r="F1153">
        <f>YEAR(Tabela_ferias_folgas[[#This Row],[Data]])</f>
        <v>2023</v>
      </c>
      <c r="G1153" t="str">
        <f>Tabela_ferias_folgas[[#This Row],[Médico]]&amp;" - "&amp;Tabela_ferias_folgas[[#This Row],[Compromisso]]</f>
        <v>KOP - FOLGA</v>
      </c>
    </row>
    <row r="1154" spans="1:7" x14ac:dyDescent="0.3">
      <c r="A1154" t="s">
        <v>37</v>
      </c>
      <c r="B1154" t="s">
        <v>30</v>
      </c>
      <c r="C1154" s="1">
        <v>45230</v>
      </c>
      <c r="D1154">
        <f>DAY(Tabela_ferias_folgas[[#This Row],[Data]])</f>
        <v>31</v>
      </c>
      <c r="E1154">
        <f>MONTH(Tabela_ferias_folgas[[#This Row],[Data]])</f>
        <v>10</v>
      </c>
      <c r="F1154">
        <f>YEAR(Tabela_ferias_folgas[[#This Row],[Data]])</f>
        <v>2023</v>
      </c>
      <c r="G1154" t="str">
        <f>Tabela_ferias_folgas[[#This Row],[Médico]]&amp;" - "&amp;Tabela_ferias_folgas[[#This Row],[Compromisso]]</f>
        <v>EBB - FOLGA</v>
      </c>
    </row>
    <row r="1155" spans="1:7" x14ac:dyDescent="0.3">
      <c r="A1155" t="s">
        <v>75</v>
      </c>
      <c r="B1155" t="s">
        <v>30</v>
      </c>
      <c r="C1155" s="1">
        <v>45229</v>
      </c>
      <c r="D1155">
        <f>DAY(Tabela_ferias_folgas[[#This Row],[Data]])</f>
        <v>30</v>
      </c>
      <c r="E1155">
        <f>MONTH(Tabela_ferias_folgas[[#This Row],[Data]])</f>
        <v>10</v>
      </c>
      <c r="F1155">
        <f>YEAR(Tabela_ferias_folgas[[#This Row],[Data]])</f>
        <v>2023</v>
      </c>
      <c r="G1155" t="str">
        <f>Tabela_ferias_folgas[[#This Row],[Médico]]&amp;" - "&amp;Tabela_ferias_folgas[[#This Row],[Compromisso]]</f>
        <v>KOP - FOLGA</v>
      </c>
    </row>
    <row r="1156" spans="1:7" x14ac:dyDescent="0.3">
      <c r="A1156" t="s">
        <v>50</v>
      </c>
      <c r="B1156" t="s">
        <v>30</v>
      </c>
      <c r="C1156" s="1">
        <v>45231</v>
      </c>
      <c r="D1156">
        <f>DAY(Tabela_ferias_folgas[[#This Row],[Data]])</f>
        <v>1</v>
      </c>
      <c r="E1156">
        <f>MONTH(Tabela_ferias_folgas[[#This Row],[Data]])</f>
        <v>11</v>
      </c>
      <c r="F1156">
        <f>YEAR(Tabela_ferias_folgas[[#This Row],[Data]])</f>
        <v>2023</v>
      </c>
      <c r="G1156" t="str">
        <f>Tabela_ferias_folgas[[#This Row],[Médico]]&amp;" - "&amp;Tabela_ferias_folgas[[#This Row],[Compromisso]]</f>
        <v>PJP - FOLGA</v>
      </c>
    </row>
    <row r="1157" spans="1:7" x14ac:dyDescent="0.3">
      <c r="A1157" t="s">
        <v>68</v>
      </c>
      <c r="B1157" t="s">
        <v>30</v>
      </c>
      <c r="C1157" s="1">
        <v>45233</v>
      </c>
      <c r="D1157">
        <f>DAY(Tabela_ferias_folgas[[#This Row],[Data]])</f>
        <v>3</v>
      </c>
      <c r="E1157">
        <f>MONTH(Tabela_ferias_folgas[[#This Row],[Data]])</f>
        <v>11</v>
      </c>
      <c r="F1157">
        <f>YEAR(Tabela_ferias_folgas[[#This Row],[Data]])</f>
        <v>2023</v>
      </c>
      <c r="G1157" t="str">
        <f>Tabela_ferias_folgas[[#This Row],[Médico]]&amp;" - "&amp;Tabela_ferias_folgas[[#This Row],[Compromisso]]</f>
        <v>PED - FOLGA</v>
      </c>
    </row>
    <row r="1158" spans="1:7" x14ac:dyDescent="0.3">
      <c r="A1158" t="s">
        <v>84</v>
      </c>
      <c r="B1158" t="s">
        <v>30</v>
      </c>
      <c r="C1158" s="1">
        <v>45236</v>
      </c>
      <c r="D1158">
        <f>DAY(Tabela_ferias_folgas[[#This Row],[Data]])</f>
        <v>6</v>
      </c>
      <c r="E1158">
        <f>MONTH(Tabela_ferias_folgas[[#This Row],[Data]])</f>
        <v>11</v>
      </c>
      <c r="F1158">
        <f>YEAR(Tabela_ferias_folgas[[#This Row],[Data]])</f>
        <v>2023</v>
      </c>
      <c r="G1158" t="str">
        <f>Tabela_ferias_folgas[[#This Row],[Médico]]&amp;" - "&amp;Tabela_ferias_folgas[[#This Row],[Compromisso]]</f>
        <v>ANO - FOLGA</v>
      </c>
    </row>
    <row r="1159" spans="1:7" x14ac:dyDescent="0.3">
      <c r="A1159" t="s">
        <v>64</v>
      </c>
      <c r="B1159" t="s">
        <v>30</v>
      </c>
      <c r="C1159" s="1">
        <v>45236</v>
      </c>
      <c r="D1159">
        <f>DAY(Tabela_ferias_folgas[[#This Row],[Data]])</f>
        <v>6</v>
      </c>
      <c r="E1159">
        <f>MONTH(Tabela_ferias_folgas[[#This Row],[Data]])</f>
        <v>11</v>
      </c>
      <c r="F1159">
        <f>YEAR(Tabela_ferias_folgas[[#This Row],[Data]])</f>
        <v>2023</v>
      </c>
      <c r="G1159" t="str">
        <f>Tabela_ferias_folgas[[#This Row],[Médico]]&amp;" - "&amp;Tabela_ferias_folgas[[#This Row],[Compromisso]]</f>
        <v>SAR - FOLGA</v>
      </c>
    </row>
    <row r="1160" spans="1:7" x14ac:dyDescent="0.3">
      <c r="A1160" t="s">
        <v>64</v>
      </c>
      <c r="B1160" t="s">
        <v>30</v>
      </c>
      <c r="C1160" s="1">
        <v>45237</v>
      </c>
      <c r="D1160">
        <f>DAY(Tabela_ferias_folgas[[#This Row],[Data]])</f>
        <v>7</v>
      </c>
      <c r="E1160">
        <f>MONTH(Tabela_ferias_folgas[[#This Row],[Data]])</f>
        <v>11</v>
      </c>
      <c r="F1160">
        <f>YEAR(Tabela_ferias_folgas[[#This Row],[Data]])</f>
        <v>2023</v>
      </c>
      <c r="G1160" t="str">
        <f>Tabela_ferias_folgas[[#This Row],[Médico]]&amp;" - "&amp;Tabela_ferias_folgas[[#This Row],[Compromisso]]</f>
        <v>SAR - FOLGA</v>
      </c>
    </row>
    <row r="1161" spans="1:7" x14ac:dyDescent="0.3">
      <c r="A1161" t="s">
        <v>64</v>
      </c>
      <c r="B1161" t="s">
        <v>30</v>
      </c>
      <c r="C1161" s="1">
        <v>45238</v>
      </c>
      <c r="D1161">
        <f>DAY(Tabela_ferias_folgas[[#This Row],[Data]])</f>
        <v>8</v>
      </c>
      <c r="E1161">
        <f>MONTH(Tabela_ferias_folgas[[#This Row],[Data]])</f>
        <v>11</v>
      </c>
      <c r="F1161">
        <f>YEAR(Tabela_ferias_folgas[[#This Row],[Data]])</f>
        <v>2023</v>
      </c>
      <c r="G1161" t="str">
        <f>Tabela_ferias_folgas[[#This Row],[Médico]]&amp;" - "&amp;Tabela_ferias_folgas[[#This Row],[Compromisso]]</f>
        <v>SAR - FOLGA</v>
      </c>
    </row>
    <row r="1162" spans="1:7" x14ac:dyDescent="0.3">
      <c r="A1162" t="s">
        <v>64</v>
      </c>
      <c r="B1162" t="s">
        <v>30</v>
      </c>
      <c r="C1162" s="1">
        <v>45239</v>
      </c>
      <c r="D1162">
        <f>DAY(Tabela_ferias_folgas[[#This Row],[Data]])</f>
        <v>9</v>
      </c>
      <c r="E1162">
        <f>MONTH(Tabela_ferias_folgas[[#This Row],[Data]])</f>
        <v>11</v>
      </c>
      <c r="F1162">
        <f>YEAR(Tabela_ferias_folgas[[#This Row],[Data]])</f>
        <v>2023</v>
      </c>
      <c r="G1162" t="str">
        <f>Tabela_ferias_folgas[[#This Row],[Médico]]&amp;" - "&amp;Tabela_ferias_folgas[[#This Row],[Compromisso]]</f>
        <v>SAR - FOLGA</v>
      </c>
    </row>
    <row r="1163" spans="1:7" x14ac:dyDescent="0.3">
      <c r="A1163" t="s">
        <v>20</v>
      </c>
      <c r="B1163" t="s">
        <v>30</v>
      </c>
      <c r="C1163" s="1">
        <v>45225</v>
      </c>
      <c r="D1163">
        <f>DAY(Tabela_ferias_folgas[[#This Row],[Data]])</f>
        <v>26</v>
      </c>
      <c r="E1163">
        <f>MONTH(Tabela_ferias_folgas[[#This Row],[Data]])</f>
        <v>10</v>
      </c>
      <c r="F1163">
        <f>YEAR(Tabela_ferias_folgas[[#This Row],[Data]])</f>
        <v>2023</v>
      </c>
      <c r="G1163" t="str">
        <f>Tabela_ferias_folgas[[#This Row],[Médico]]&amp;" - "&amp;Tabela_ferias_folgas[[#This Row],[Compromisso]]</f>
        <v>ROB - FOLGA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FE7DA-989F-4FE7-BD04-B07FBD0CA673}">
  <sheetPr codeName="Planilha12"/>
  <dimension ref="A1:N42"/>
  <sheetViews>
    <sheetView zoomScale="80" zoomScaleNormal="80" workbookViewId="0">
      <selection activeCell="F23" sqref="F23"/>
    </sheetView>
  </sheetViews>
  <sheetFormatPr defaultColWidth="0" defaultRowHeight="12" zeroHeight="1" x14ac:dyDescent="0.25"/>
  <cols>
    <col min="1" max="1" width="4" style="33" customWidth="1"/>
    <col min="2" max="4" width="13.5546875" style="32" customWidth="1"/>
    <col min="5" max="8" width="13.5546875" style="33" customWidth="1"/>
    <col min="9" max="9" width="4.44140625" style="33" customWidth="1"/>
    <col min="10" max="13" width="5.44140625" style="28" customWidth="1"/>
    <col min="14" max="14" width="9.44140625" style="28" customWidth="1"/>
    <col min="15" max="16384" width="9.44140625" style="33" hidden="1"/>
  </cols>
  <sheetData>
    <row r="1" spans="1:14" x14ac:dyDescent="0.25">
      <c r="A1" s="28"/>
      <c r="B1" s="28"/>
      <c r="C1" s="28"/>
      <c r="D1" s="28"/>
      <c r="E1" s="28"/>
      <c r="F1" s="28"/>
      <c r="G1" s="28"/>
      <c r="H1" s="28"/>
      <c r="I1" s="28"/>
    </row>
    <row r="2" spans="1:14" ht="20.25" customHeight="1" x14ac:dyDescent="0.25">
      <c r="A2" s="28"/>
      <c r="B2" s="28"/>
      <c r="C2" s="58" t="s">
        <v>567</v>
      </c>
      <c r="D2" s="72" t="s">
        <v>597</v>
      </c>
      <c r="E2" s="72"/>
      <c r="F2" s="29">
        <f>DATE(D3,F3,1)</f>
        <v>45200</v>
      </c>
      <c r="G2" s="59"/>
      <c r="H2" s="59"/>
      <c r="I2" s="28"/>
    </row>
    <row r="3" spans="1:14" ht="20.25" customHeight="1" x14ac:dyDescent="0.25">
      <c r="A3" s="28"/>
      <c r="B3" s="28"/>
      <c r="C3" s="58" t="s">
        <v>568</v>
      </c>
      <c r="D3" s="72">
        <v>2023</v>
      </c>
      <c r="E3" s="72"/>
      <c r="F3" s="29">
        <f>VLOOKUP(D2,CalendarioBase!L1:M12,2,0)</f>
        <v>10</v>
      </c>
      <c r="G3" s="59"/>
      <c r="H3" s="59"/>
      <c r="I3" s="28"/>
    </row>
    <row r="4" spans="1:14" x14ac:dyDescent="0.25">
      <c r="A4" s="28"/>
      <c r="B4" s="59"/>
      <c r="C4" s="59"/>
      <c r="D4" s="59"/>
      <c r="E4" s="59"/>
      <c r="F4" s="59"/>
      <c r="G4" s="59"/>
      <c r="H4" s="59"/>
      <c r="I4" s="28"/>
    </row>
    <row r="5" spans="1:14" x14ac:dyDescent="0.25">
      <c r="A5" s="28"/>
      <c r="B5" s="59"/>
      <c r="C5" s="59"/>
      <c r="D5" s="59"/>
      <c r="E5" s="59"/>
      <c r="F5" s="59"/>
      <c r="G5" s="59"/>
      <c r="H5" s="59"/>
      <c r="I5" s="28"/>
    </row>
    <row r="6" spans="1:14" x14ac:dyDescent="0.25">
      <c r="A6" s="28"/>
      <c r="B6" s="60" t="s">
        <v>555</v>
      </c>
      <c r="C6" s="60" t="s">
        <v>454</v>
      </c>
      <c r="D6" s="60" t="s">
        <v>456</v>
      </c>
      <c r="E6" s="60" t="s">
        <v>457</v>
      </c>
      <c r="F6" s="60" t="s">
        <v>458</v>
      </c>
      <c r="G6" s="60" t="s">
        <v>459</v>
      </c>
      <c r="H6" s="60" t="s">
        <v>557</v>
      </c>
      <c r="I6" s="28"/>
    </row>
    <row r="7" spans="1:14" x14ac:dyDescent="0.25">
      <c r="A7" s="28"/>
      <c r="B7" s="61">
        <f>CalendarioBase!A2</f>
        <v>1</v>
      </c>
      <c r="C7" s="61">
        <f>CalendarioBase!B2</f>
        <v>2</v>
      </c>
      <c r="D7" s="61">
        <f>CalendarioBase!C2</f>
        <v>3</v>
      </c>
      <c r="E7" s="61">
        <f>CalendarioBase!D2</f>
        <v>4</v>
      </c>
      <c r="F7" s="61">
        <f>CalendarioBase!E2</f>
        <v>5</v>
      </c>
      <c r="G7" s="61">
        <f>CalendarioBase!F2</f>
        <v>6</v>
      </c>
      <c r="H7" s="61">
        <f>CalendarioBase!G2</f>
        <v>7</v>
      </c>
      <c r="I7" s="28"/>
    </row>
    <row r="8" spans="1:14" ht="25.5" customHeight="1" x14ac:dyDescent="0.25">
      <c r="A8" s="28"/>
      <c r="B8" s="62" t="str" cm="1">
        <f t="array" ref="B8">IFERROR(IF(COUNTA(IFERROR(_xlfn._xlws.FILTER(INDEX(Tabela_ferias_folgas[],_xlfn.SEQUENCE(ROWS(Tabela_ferias_folgas[])),{7}),(Tabela_ferias_folgas[[Dia]:[Dia]]=B7)*(Tabela_ferias_folgas[[Mês]:[Mês]]=$F$3)*(Tabela_ferias_folgas[[Ano]:[Ano]]=$D$3)),""))&gt;4,_xlfn.TEXTJOIN("  ",1,_xlfn._xlws.FILTER(INDEX(Tabela_ferias_folgas[],_xlfn.SEQUENCE(ROWS(Tabela_ferias_folgas[])),{1}),(Tabela_ferias_folgas[[Dia]:[Dia]]=B7)*(Tabela_ferias_folgas[[Mês]:[Mês]]=$F$3)*(Tabela_ferias_folgas[[Ano]:[Ano]]=$D$3))),_xlfn._xlws.FILTER(INDEX(Tabela_ferias_folgas[],_xlfn.SEQUENCE(ROWS(Tabela_ferias_folgas[])),{7}),(Tabela_ferias_folgas[[Dia]:[Dia]]=B7)*(Tabela_ferias_folgas[[Mês]:[Mês]]=$F$3)*(Tabela_ferias_folgas[[Ano]:[Ano]]=$D$3))),"")</f>
        <v/>
      </c>
      <c r="C8" s="62" t="str" cm="1">
        <f t="array" ref="C8:C11">IFERROR(IF(COUNTA(IFERROR(_xlfn._xlws.FILTER(INDEX(Tabela_ferias_folgas[],_xlfn.SEQUENCE(ROWS(Tabela_ferias_folgas[])),{7}),(Tabela_ferias_folgas[[Dia]:[Dia]]=C7)*(Tabela_ferias_folgas[[Mês]:[Mês]]=$F$3)*(Tabela_ferias_folgas[[Ano]:[Ano]]=$D$3)),""))&gt;4,_xlfn.TEXTJOIN("  ",1,_xlfn._xlws.FILTER(INDEX(Tabela_ferias_folgas[],_xlfn.SEQUENCE(ROWS(Tabela_ferias_folgas[])),{1}),(Tabela_ferias_folgas[[Dia]:[Dia]]=C7)*(Tabela_ferias_folgas[[Mês]:[Mês]]=$F$3)*(Tabela_ferias_folgas[[Ano]:[Ano]]=$D$3))),_xlfn._xlws.FILTER(INDEX(Tabela_ferias_folgas[],_xlfn.SEQUENCE(ROWS(Tabela_ferias_folgas[])),{7}),(Tabela_ferias_folgas[[Dia]:[Dia]]=C7)*(Tabela_ferias_folgas[[Mês]:[Mês]]=$F$3)*(Tabela_ferias_folgas[[Ano]:[Ano]]=$D$3))),"")</f>
        <v>AEL - FÉRIAS</v>
      </c>
      <c r="D8" s="62" t="str" cm="1">
        <f t="array" ref="D8:D11">IFERROR(IF(COUNTA(IFERROR(_xlfn._xlws.FILTER(INDEX(Tabela_ferias_folgas[],_xlfn.SEQUENCE(ROWS(Tabela_ferias_folgas[])),{7}),(Tabela_ferias_folgas[[Dia]:[Dia]]=D7)*(Tabela_ferias_folgas[[Mês]:[Mês]]=$F$3)*(Tabela_ferias_folgas[[Ano]:[Ano]]=$D$3)),""))&gt;4,_xlfn.TEXTJOIN("  ",1,_xlfn._xlws.FILTER(INDEX(Tabela_ferias_folgas[],_xlfn.SEQUENCE(ROWS(Tabela_ferias_folgas[])),{1}),(Tabela_ferias_folgas[[Dia]:[Dia]]=D7)*(Tabela_ferias_folgas[[Mês]:[Mês]]=$F$3)*(Tabela_ferias_folgas[[Ano]:[Ano]]=$D$3))),_xlfn._xlws.FILTER(INDEX(Tabela_ferias_folgas[],_xlfn.SEQUENCE(ROWS(Tabela_ferias_folgas[])),{7}),(Tabela_ferias_folgas[[Dia]:[Dia]]=D7)*(Tabela_ferias_folgas[[Mês]:[Mês]]=$F$3)*(Tabela_ferias_folgas[[Ano]:[Ano]]=$D$3))),"")</f>
        <v>AEL - FÉRIAS</v>
      </c>
      <c r="E8" s="62" t="str" cm="1">
        <f t="array" ref="E8:E11">IFERROR(IF(COUNTA(IFERROR(_xlfn._xlws.FILTER(INDEX(Tabela_ferias_folgas[],_xlfn.SEQUENCE(ROWS(Tabela_ferias_folgas[])),{7}),(Tabela_ferias_folgas[[Dia]:[Dia]]=E7)*(Tabela_ferias_folgas[[Mês]:[Mês]]=$F$3)*(Tabela_ferias_folgas[[Ano]:[Ano]]=$D$3)),""))&gt;4,_xlfn.TEXTJOIN("  ",1,_xlfn._xlws.FILTER(INDEX(Tabela_ferias_folgas[],_xlfn.SEQUENCE(ROWS(Tabela_ferias_folgas[])),{1}),(Tabela_ferias_folgas[[Dia]:[Dia]]=E7)*(Tabela_ferias_folgas[[Mês]:[Mês]]=$F$3)*(Tabela_ferias_folgas[[Ano]:[Ano]]=$D$3))),_xlfn._xlws.FILTER(INDEX(Tabela_ferias_folgas[],_xlfn.SEQUENCE(ROWS(Tabela_ferias_folgas[])),{7}),(Tabela_ferias_folgas[[Dia]:[Dia]]=E7)*(Tabela_ferias_folgas[[Mês]:[Mês]]=$F$3)*(Tabela_ferias_folgas[[Ano]:[Ano]]=$D$3))),"")</f>
        <v>AEL - FÉRIAS</v>
      </c>
      <c r="F8" s="62" t="str" cm="1">
        <f t="array" ref="F8">IFERROR(IF(COUNTA(IFERROR(_xlfn._xlws.FILTER(INDEX(Tabela_ferias_folgas[],_xlfn.SEQUENCE(ROWS(Tabela_ferias_folgas[])),{7}),(Tabela_ferias_folgas[[Dia]:[Dia]]=F7)*(Tabela_ferias_folgas[[Mês]:[Mês]]=$F$3)*(Tabela_ferias_folgas[[Ano]:[Ano]]=$D$3)),""))&gt;4,_xlfn.TEXTJOIN("  ",1,_xlfn._xlws.FILTER(INDEX(Tabela_ferias_folgas[],_xlfn.SEQUENCE(ROWS(Tabela_ferias_folgas[])),{1}),(Tabela_ferias_folgas[[Dia]:[Dia]]=F7)*(Tabela_ferias_folgas[[Mês]:[Mês]]=$F$3)*(Tabela_ferias_folgas[[Ano]:[Ano]]=$D$3))),_xlfn._xlws.FILTER(INDEX(Tabela_ferias_folgas[],_xlfn.SEQUENCE(ROWS(Tabela_ferias_folgas[])),{7}),(Tabela_ferias_folgas[[Dia]:[Dia]]=F7)*(Tabela_ferias_folgas[[Mês]:[Mês]]=$F$3)*(Tabela_ferias_folgas[[Ano]:[Ano]]=$D$3))),"")</f>
        <v>AEL  KOP  ARI  FAB  VIN</v>
      </c>
      <c r="G8" s="62" t="str" cm="1">
        <f t="array" ref="G8">IFERROR(IF(COUNTA(IFERROR(_xlfn._xlws.FILTER(INDEX(Tabela_ferias_folgas[],_xlfn.SEQUENCE(ROWS(Tabela_ferias_folgas[])),{7}),(Tabela_ferias_folgas[[Dia]:[Dia]]=G7)*(Tabela_ferias_folgas[[Mês]:[Mês]]=$F$3)*(Tabela_ferias_folgas[[Ano]:[Ano]]=$D$3)),""))&gt;4,_xlfn.TEXTJOIN("  ",1,_xlfn._xlws.FILTER(INDEX(Tabela_ferias_folgas[],_xlfn.SEQUENCE(ROWS(Tabela_ferias_folgas[])),{1}),(Tabela_ferias_folgas[[Dia]:[Dia]]=G7)*(Tabela_ferias_folgas[[Mês]:[Mês]]=$F$3)*(Tabela_ferias_folgas[[Ano]:[Ano]]=$D$3))),_xlfn._xlws.FILTER(INDEX(Tabela_ferias_folgas[],_xlfn.SEQUENCE(ROWS(Tabela_ferias_folgas[])),{7}),(Tabela_ferias_folgas[[Dia]:[Dia]]=G7)*(Tabela_ferias_folgas[[Mês]:[Mês]]=$F$3)*(Tabela_ferias_folgas[[Ano]:[Ano]]=$D$3))),"")</f>
        <v>AEL  KOP  ARI  FAB  VIN</v>
      </c>
      <c r="H8" s="62" t="str" cm="1">
        <f t="array" ref="H8:H11">IFERROR(IF(COUNTA(IFERROR(_xlfn._xlws.FILTER(INDEX(Tabela_ferias_folgas[],_xlfn.SEQUENCE(ROWS(Tabela_ferias_folgas[])),{7}),(Tabela_ferias_folgas[[Dia]:[Dia]]=H7)*(Tabela_ferias_folgas[[Mês]:[Mês]]=$F$3)*(Tabela_ferias_folgas[[Ano]:[Ano]]=$D$3)),""))&gt;4,_xlfn.TEXTJOIN("  ",1,_xlfn._xlws.FILTER(INDEX(Tabela_ferias_folgas[],_xlfn.SEQUENCE(ROWS(Tabela_ferias_folgas[])),{1}),(Tabela_ferias_folgas[[Dia]:[Dia]]=H7)*(Tabela_ferias_folgas[[Mês]:[Mês]]=$F$3)*(Tabela_ferias_folgas[[Ano]:[Ano]]=$D$3))),_xlfn._xlws.FILTER(INDEX(Tabela_ferias_folgas[],_xlfn.SEQUENCE(ROWS(Tabela_ferias_folgas[])),{7}),(Tabela_ferias_folgas[[Dia]:[Dia]]=H7)*(Tabela_ferias_folgas[[Mês]:[Mês]]=$F$3)*(Tabela_ferias_folgas[[Ano]:[Ano]]=$D$3))),"")</f>
        <v>AEL - FÉRIAS</v>
      </c>
      <c r="I8" s="28"/>
    </row>
    <row r="9" spans="1:14" s="64" customFormat="1" ht="25.5" customHeight="1" x14ac:dyDescent="0.3">
      <c r="A9" s="63"/>
      <c r="B9" s="62"/>
      <c r="C9" s="62" t="str">
        <v>KOP - FÉRIAS</v>
      </c>
      <c r="D9" s="62" t="str">
        <v>KOP - FÉRIAS</v>
      </c>
      <c r="E9" s="62" t="str">
        <v>KOP - FÉRIAS</v>
      </c>
      <c r="F9" s="62"/>
      <c r="G9" s="62"/>
      <c r="H9" s="62" t="str">
        <v>KOP - FÉRIAS</v>
      </c>
      <c r="I9" s="63"/>
      <c r="J9" s="63"/>
      <c r="K9" s="63"/>
      <c r="L9" s="63"/>
      <c r="M9" s="63"/>
      <c r="N9" s="63"/>
    </row>
    <row r="10" spans="1:14" s="64" customFormat="1" ht="25.5" customHeight="1" x14ac:dyDescent="0.3">
      <c r="A10" s="63"/>
      <c r="B10" s="62"/>
      <c r="C10" s="62" t="str">
        <v>ARI - FÉRIAS</v>
      </c>
      <c r="D10" s="62" t="str">
        <v>ARI - FÉRIAS</v>
      </c>
      <c r="E10" s="62" t="str">
        <v>ARI - FÉRIAS</v>
      </c>
      <c r="F10" s="62"/>
      <c r="G10" s="62"/>
      <c r="H10" s="62" t="str">
        <v>ARI - FÉRIAS</v>
      </c>
      <c r="I10" s="63"/>
      <c r="J10" s="63"/>
      <c r="K10" s="63"/>
      <c r="L10" s="63"/>
      <c r="M10" s="63"/>
      <c r="N10" s="63"/>
    </row>
    <row r="11" spans="1:14" s="64" customFormat="1" ht="25.5" customHeight="1" x14ac:dyDescent="0.3">
      <c r="A11" s="63"/>
      <c r="B11" s="62"/>
      <c r="C11" s="62" t="str">
        <v>FAB - FÉRIAS</v>
      </c>
      <c r="D11" s="62" t="str">
        <v>FAB - FÉRIAS</v>
      </c>
      <c r="E11" s="62" t="str">
        <v>FAB - FÉRIAS</v>
      </c>
      <c r="F11" s="62"/>
      <c r="G11" s="62"/>
      <c r="H11" s="62" t="str">
        <v>FAB - FÉRIAS</v>
      </c>
      <c r="I11" s="63"/>
      <c r="J11" s="63"/>
      <c r="K11" s="63"/>
      <c r="L11" s="63"/>
      <c r="M11" s="63"/>
      <c r="N11" s="63"/>
    </row>
    <row r="12" spans="1:14" x14ac:dyDescent="0.25">
      <c r="A12" s="28"/>
      <c r="B12" s="65">
        <f>CalendarioBase!A3</f>
        <v>8</v>
      </c>
      <c r="C12" s="65">
        <f>CalendarioBase!B3</f>
        <v>9</v>
      </c>
      <c r="D12" s="65">
        <f>CalendarioBase!C3</f>
        <v>10</v>
      </c>
      <c r="E12" s="65">
        <f>CalendarioBase!D3</f>
        <v>11</v>
      </c>
      <c r="F12" s="65">
        <f>CalendarioBase!E3</f>
        <v>12</v>
      </c>
      <c r="G12" s="65">
        <f>CalendarioBase!F3</f>
        <v>13</v>
      </c>
      <c r="H12" s="65">
        <f>CalendarioBase!G3</f>
        <v>14</v>
      </c>
      <c r="I12" s="28"/>
    </row>
    <row r="13" spans="1:14" s="67" customFormat="1" ht="25.5" customHeight="1" x14ac:dyDescent="0.3">
      <c r="A13" s="66"/>
      <c r="B13" s="62" t="str" cm="1">
        <f t="array" ref="B13:B16">IFERROR(IF(COUNTA(IFERROR(_xlfn._xlws.FILTER(INDEX(Tabela_ferias_folgas[],_xlfn.SEQUENCE(ROWS(Tabela_ferias_folgas[])),{7}),(Tabela_ferias_folgas[[Dia]:[Dia]]=B12)*(Tabela_ferias_folgas[[Mês]:[Mês]]=$F$3)*(Tabela_ferias_folgas[[Ano]:[Ano]]=$D$3)),""))&gt;4,_xlfn.TEXTJOIN("  ",1,_xlfn._xlws.FILTER(INDEX(Tabela_ferias_folgas[],_xlfn.SEQUENCE(ROWS(Tabela_ferias_folgas[])),{1}),(Tabela_ferias_folgas[[Dia]:[Dia]]=B12)*(Tabela_ferias_folgas[[Mês]:[Mês]]=$F$3)*(Tabela_ferias_folgas[[Ano]:[Ano]]=$D$3))),_xlfn._xlws.FILTER(INDEX(Tabela_ferias_folgas[],_xlfn.SEQUENCE(ROWS(Tabela_ferias_folgas[])),{7}),(Tabela_ferias_folgas[[Dia]:[Dia]]=B12)*(Tabela_ferias_folgas[[Mês]:[Mês]]=$F$3)*(Tabela_ferias_folgas[[Ano]:[Ano]]=$D$3))),"")</f>
        <v>AEL - FÉRIAS</v>
      </c>
      <c r="C13" s="62" t="str" cm="1">
        <f t="array" ref="C13:C16">IFERROR(IF(COUNTA(IFERROR(_xlfn._xlws.FILTER(INDEX(Tabela_ferias_folgas[],_xlfn.SEQUENCE(ROWS(Tabela_ferias_folgas[])),{7}),(Tabela_ferias_folgas[[Dia]:[Dia]]=C12)*(Tabela_ferias_folgas[[Mês]:[Mês]]=$F$3)*(Tabela_ferias_folgas[[Ano]:[Ano]]=$D$3)),""))&gt;4,_xlfn.TEXTJOIN("  ",1,_xlfn._xlws.FILTER(INDEX(Tabela_ferias_folgas[],_xlfn.SEQUENCE(ROWS(Tabela_ferias_folgas[])),{1}),(Tabela_ferias_folgas[[Dia]:[Dia]]=C12)*(Tabela_ferias_folgas[[Mês]:[Mês]]=$F$3)*(Tabela_ferias_folgas[[Ano]:[Ano]]=$D$3))),_xlfn._xlws.FILTER(INDEX(Tabela_ferias_folgas[],_xlfn.SEQUENCE(ROWS(Tabela_ferias_folgas[])),{7}),(Tabela_ferias_folgas[[Dia]:[Dia]]=C12)*(Tabela_ferias_folgas[[Mês]:[Mês]]=$F$3)*(Tabela_ferias_folgas[[Ano]:[Ano]]=$D$3))),"")</f>
        <v>AEL - FÉRIAS</v>
      </c>
      <c r="D13" s="62" t="str" cm="1">
        <f t="array" ref="D13:D16">IFERROR(IF(COUNTA(IFERROR(_xlfn._xlws.FILTER(INDEX(Tabela_ferias_folgas[],_xlfn.SEQUENCE(ROWS(Tabela_ferias_folgas[])),{7}),(Tabela_ferias_folgas[[Dia]:[Dia]]=D12)*(Tabela_ferias_folgas[[Mês]:[Mês]]=$F$3)*(Tabela_ferias_folgas[[Ano]:[Ano]]=$D$3)),""))&gt;4,_xlfn.TEXTJOIN("  ",1,_xlfn._xlws.FILTER(INDEX(Tabela_ferias_folgas[],_xlfn.SEQUENCE(ROWS(Tabela_ferias_folgas[])),{1}),(Tabela_ferias_folgas[[Dia]:[Dia]]=D12)*(Tabela_ferias_folgas[[Mês]:[Mês]]=$F$3)*(Tabela_ferias_folgas[[Ano]:[Ano]]=$D$3))),_xlfn._xlws.FILTER(INDEX(Tabela_ferias_folgas[],_xlfn.SEQUENCE(ROWS(Tabela_ferias_folgas[])),{7}),(Tabela_ferias_folgas[[Dia]:[Dia]]=D12)*(Tabela_ferias_folgas[[Mês]:[Mês]]=$F$3)*(Tabela_ferias_folgas[[Ano]:[Ano]]=$D$3))),"")</f>
        <v>AEL - FÉRIAS</v>
      </c>
      <c r="E13" s="62" t="str" cm="1">
        <f t="array" ref="E13">IFERROR(IF(COUNTA(IFERROR(_xlfn._xlws.FILTER(INDEX(Tabela_ferias_folgas[],_xlfn.SEQUENCE(ROWS(Tabela_ferias_folgas[])),{7}),(Tabela_ferias_folgas[[Dia]:[Dia]]=E12)*(Tabela_ferias_folgas[[Mês]:[Mês]]=$F$3)*(Tabela_ferias_folgas[[Ano]:[Ano]]=$D$3)),""))&gt;4,_xlfn.TEXTJOIN("  ",1,_xlfn._xlws.FILTER(INDEX(Tabela_ferias_folgas[],_xlfn.SEQUENCE(ROWS(Tabela_ferias_folgas[])),{1}),(Tabela_ferias_folgas[[Dia]:[Dia]]=E12)*(Tabela_ferias_folgas[[Mês]:[Mês]]=$F$3)*(Tabela_ferias_folgas[[Ano]:[Ano]]=$D$3))),_xlfn._xlws.FILTER(INDEX(Tabela_ferias_folgas[],_xlfn.SEQUENCE(ROWS(Tabela_ferias_folgas[])),{7}),(Tabela_ferias_folgas[[Dia]:[Dia]]=E12)*(Tabela_ferias_folgas[[Mês]:[Mês]]=$F$3)*(Tabela_ferias_folgas[[Ano]:[Ano]]=$D$3))),"")</f>
        <v>AEL  JOA  VIV  RT  VIN</v>
      </c>
      <c r="F13" s="62" t="str" cm="1">
        <f t="array" ref="F13">IFERROR(IF(COUNTA(IFERROR(_xlfn._xlws.FILTER(INDEX(Tabela_ferias_folgas[],_xlfn.SEQUENCE(ROWS(Tabela_ferias_folgas[])),{7}),(Tabela_ferias_folgas[[Dia]:[Dia]]=F12)*(Tabela_ferias_folgas[[Mês]:[Mês]]=$F$3)*(Tabela_ferias_folgas[[Ano]:[Ano]]=$D$3)),""))&gt;4,_xlfn.TEXTJOIN("  ",1,_xlfn._xlws.FILTER(INDEX(Tabela_ferias_folgas[],_xlfn.SEQUENCE(ROWS(Tabela_ferias_folgas[])),{1}),(Tabela_ferias_folgas[[Dia]:[Dia]]=F12)*(Tabela_ferias_folgas[[Mês]:[Mês]]=$F$3)*(Tabela_ferias_folgas[[Ano]:[Ano]]=$D$3))),_xlfn._xlws.FILTER(INDEX(Tabela_ferias_folgas[],_xlfn.SEQUENCE(ROWS(Tabela_ferias_folgas[])),{7}),(Tabela_ferias_folgas[[Dia]:[Dia]]=F12)*(Tabela_ferias_folgas[[Mês]:[Mês]]=$F$3)*(Tabela_ferias_folgas[[Ano]:[Ano]]=$D$3))),"")</f>
        <v>AEL  JOA  VIV  RT  VIN</v>
      </c>
      <c r="G13" s="62" t="str" cm="1">
        <f t="array" ref="G13">IFERROR(IF(COUNTA(IFERROR(_xlfn._xlws.FILTER(INDEX(Tabela_ferias_folgas[],_xlfn.SEQUENCE(ROWS(Tabela_ferias_folgas[])),{7}),(Tabela_ferias_folgas[[Dia]:[Dia]]=G12)*(Tabela_ferias_folgas[[Mês]:[Mês]]=$F$3)*(Tabela_ferias_folgas[[Ano]:[Ano]]=$D$3)),""))&gt;4,_xlfn.TEXTJOIN("  ",1,_xlfn._xlws.FILTER(INDEX(Tabela_ferias_folgas[],_xlfn.SEQUENCE(ROWS(Tabela_ferias_folgas[])),{1}),(Tabela_ferias_folgas[[Dia]:[Dia]]=G12)*(Tabela_ferias_folgas[[Mês]:[Mês]]=$F$3)*(Tabela_ferias_folgas[[Ano]:[Ano]]=$D$3))),_xlfn._xlws.FILTER(INDEX(Tabela_ferias_folgas[],_xlfn.SEQUENCE(ROWS(Tabela_ferias_folgas[])),{7}),(Tabela_ferias_folgas[[Dia]:[Dia]]=G12)*(Tabela_ferias_folgas[[Mês]:[Mês]]=$F$3)*(Tabela_ferias_folgas[[Ano]:[Ano]]=$D$3))),"")</f>
        <v>AEL  JOA  VIV  RT  VIN</v>
      </c>
      <c r="H13" s="62" t="str" cm="1">
        <f t="array" ref="H13">IFERROR(IF(COUNTA(IFERROR(_xlfn._xlws.FILTER(INDEX(Tabela_ferias_folgas[],_xlfn.SEQUENCE(ROWS(Tabela_ferias_folgas[])),{7}),(Tabela_ferias_folgas[[Dia]:[Dia]]=H12)*(Tabela_ferias_folgas[[Mês]:[Mês]]=$F$3)*(Tabela_ferias_folgas[[Ano]:[Ano]]=$D$3)),""))&gt;4,_xlfn.TEXTJOIN("  ",1,_xlfn._xlws.FILTER(INDEX(Tabela_ferias_folgas[],_xlfn.SEQUENCE(ROWS(Tabela_ferias_folgas[])),{1}),(Tabela_ferias_folgas[[Dia]:[Dia]]=H12)*(Tabela_ferias_folgas[[Mês]:[Mês]]=$F$3)*(Tabela_ferias_folgas[[Ano]:[Ano]]=$D$3))),_xlfn._xlws.FILTER(INDEX(Tabela_ferias_folgas[],_xlfn.SEQUENCE(ROWS(Tabela_ferias_folgas[])),{7}),(Tabela_ferias_folgas[[Dia]:[Dia]]=H12)*(Tabela_ferias_folgas[[Mês]:[Mês]]=$F$3)*(Tabela_ferias_folgas[[Ano]:[Ano]]=$D$3))),"")</f>
        <v>AEL  JOA  VIV  RT  VIN</v>
      </c>
      <c r="I13" s="66"/>
      <c r="J13" s="66"/>
      <c r="K13" s="66"/>
      <c r="L13" s="66"/>
      <c r="M13" s="66"/>
      <c r="N13" s="66"/>
    </row>
    <row r="14" spans="1:14" s="64" customFormat="1" ht="25.5" customHeight="1" x14ac:dyDescent="0.3">
      <c r="A14" s="63"/>
      <c r="B14" s="62" t="str">
        <v>KOP - FÉRIAS</v>
      </c>
      <c r="C14" s="62" t="str">
        <v>JOA - FÉRIAS</v>
      </c>
      <c r="D14" s="62" t="str">
        <v>JOA - FÉRIAS</v>
      </c>
      <c r="E14" s="62"/>
      <c r="F14" s="62"/>
      <c r="G14" s="62"/>
      <c r="H14" s="62"/>
      <c r="I14" s="63"/>
      <c r="J14" s="63"/>
      <c r="K14" s="63"/>
      <c r="L14" s="63"/>
      <c r="M14" s="63"/>
      <c r="N14" s="63"/>
    </row>
    <row r="15" spans="1:14" s="64" customFormat="1" ht="25.5" customHeight="1" x14ac:dyDescent="0.3">
      <c r="A15" s="63"/>
      <c r="B15" s="62" t="str">
        <v>ARI - FÉRIAS</v>
      </c>
      <c r="C15" s="62" t="str">
        <v>VIV - FÉRIAS</v>
      </c>
      <c r="D15" s="62" t="str">
        <v>VIV - FÉRIAS</v>
      </c>
      <c r="E15" s="62"/>
      <c r="F15" s="62"/>
      <c r="G15" s="62"/>
      <c r="H15" s="62"/>
      <c r="I15" s="63"/>
      <c r="J15" s="63"/>
      <c r="K15" s="63"/>
      <c r="L15" s="63"/>
      <c r="M15" s="63"/>
      <c r="N15" s="63"/>
    </row>
    <row r="16" spans="1:14" s="64" customFormat="1" ht="25.5" customHeight="1" x14ac:dyDescent="0.3">
      <c r="A16" s="63"/>
      <c r="B16" s="62" t="str">
        <v>FAB - FÉRIAS</v>
      </c>
      <c r="C16" s="62" t="str">
        <v>RT - FÉRIAS</v>
      </c>
      <c r="D16" s="62" t="str">
        <v>RT - FÉRIAS</v>
      </c>
      <c r="E16" s="62"/>
      <c r="F16" s="62"/>
      <c r="G16" s="62"/>
      <c r="H16" s="62"/>
      <c r="I16" s="63"/>
      <c r="J16" s="63"/>
      <c r="K16" s="63"/>
      <c r="L16" s="63"/>
      <c r="M16" s="63"/>
      <c r="N16" s="63"/>
    </row>
    <row r="17" spans="1:14" x14ac:dyDescent="0.25">
      <c r="A17" s="28"/>
      <c r="B17" s="65">
        <f>CalendarioBase!A4</f>
        <v>15</v>
      </c>
      <c r="C17" s="65">
        <f>CalendarioBase!B4</f>
        <v>16</v>
      </c>
      <c r="D17" s="65">
        <f>CalendarioBase!C4</f>
        <v>17</v>
      </c>
      <c r="E17" s="65">
        <f>CalendarioBase!D4</f>
        <v>18</v>
      </c>
      <c r="F17" s="65">
        <f>CalendarioBase!E4</f>
        <v>19</v>
      </c>
      <c r="G17" s="65">
        <f>CalendarioBase!F4</f>
        <v>20</v>
      </c>
      <c r="H17" s="65">
        <f>CalendarioBase!G4</f>
        <v>21</v>
      </c>
      <c r="I17" s="28"/>
    </row>
    <row r="18" spans="1:14" s="67" customFormat="1" ht="25.5" customHeight="1" x14ac:dyDescent="0.3">
      <c r="A18" s="66"/>
      <c r="B18" s="62" t="str" cm="1">
        <f t="array" ref="B18">IFERROR(IF(COUNTA(IFERROR(_xlfn._xlws.FILTER(INDEX(Tabela_ferias_folgas[],_xlfn.SEQUENCE(ROWS(Tabela_ferias_folgas[])),{7}),(Tabela_ferias_folgas[[Dia]:[Dia]]=B17)*(Tabela_ferias_folgas[[Mês]:[Mês]]=$F$3)*(Tabela_ferias_folgas[[Ano]:[Ano]]=$D$3)),""))&gt;4,_xlfn.TEXTJOIN("  ",1,_xlfn._xlws.FILTER(INDEX(Tabela_ferias_folgas[],_xlfn.SEQUENCE(ROWS(Tabela_ferias_folgas[])),{1}),(Tabela_ferias_folgas[[Dia]:[Dia]]=B17)*(Tabela_ferias_folgas[[Mês]:[Mês]]=$F$3)*(Tabela_ferias_folgas[[Ano]:[Ano]]=$D$3))),_xlfn._xlws.FILTER(INDEX(Tabela_ferias_folgas[],_xlfn.SEQUENCE(ROWS(Tabela_ferias_folgas[])),{7}),(Tabela_ferias_folgas[[Dia]:[Dia]]=B17)*(Tabela_ferias_folgas[[Mês]:[Mês]]=$F$3)*(Tabela_ferias_folgas[[Ano]:[Ano]]=$D$3))),"")</f>
        <v>AEL  JOA  VIV  RT  VIN</v>
      </c>
      <c r="C18" s="62" t="str" cm="1">
        <f t="array" ref="C18:C21">IFERROR(IF(COUNTA(IFERROR(_xlfn._xlws.FILTER(INDEX(Tabela_ferias_folgas[],_xlfn.SEQUENCE(ROWS(Tabela_ferias_folgas[])),{7}),(Tabela_ferias_folgas[[Dia]:[Dia]]=C17)*(Tabela_ferias_folgas[[Mês]:[Mês]]=$F$3)*(Tabela_ferias_folgas[[Ano]:[Ano]]=$D$3)),""))&gt;4,_xlfn.TEXTJOIN("  ",1,_xlfn._xlws.FILTER(INDEX(Tabela_ferias_folgas[],_xlfn.SEQUENCE(ROWS(Tabela_ferias_folgas[])),{1}),(Tabela_ferias_folgas[[Dia]:[Dia]]=C17)*(Tabela_ferias_folgas[[Mês]:[Mês]]=$F$3)*(Tabela_ferias_folgas[[Ano]:[Ano]]=$D$3))),_xlfn._xlws.FILTER(INDEX(Tabela_ferias_folgas[],_xlfn.SEQUENCE(ROWS(Tabela_ferias_folgas[])),{7}),(Tabela_ferias_folgas[[Dia]:[Dia]]=C17)*(Tabela_ferias_folgas[[Mês]:[Mês]]=$F$3)*(Tabela_ferias_folgas[[Ano]:[Ano]]=$D$3))),"")</f>
        <v>VIV - FÉRIAS</v>
      </c>
      <c r="D18" s="62" t="str" cm="1">
        <f t="array" ref="D18:D21">IFERROR(IF(COUNTA(IFERROR(_xlfn._xlws.FILTER(INDEX(Tabela_ferias_folgas[],_xlfn.SEQUENCE(ROWS(Tabela_ferias_folgas[])),{7}),(Tabela_ferias_folgas[[Dia]:[Dia]]=D17)*(Tabela_ferias_folgas[[Mês]:[Mês]]=$F$3)*(Tabela_ferias_folgas[[Ano]:[Ano]]=$D$3)),""))&gt;4,_xlfn.TEXTJOIN("  ",1,_xlfn._xlws.FILTER(INDEX(Tabela_ferias_folgas[],_xlfn.SEQUENCE(ROWS(Tabela_ferias_folgas[])),{1}),(Tabela_ferias_folgas[[Dia]:[Dia]]=D17)*(Tabela_ferias_folgas[[Mês]:[Mês]]=$F$3)*(Tabela_ferias_folgas[[Ano]:[Ano]]=$D$3))),_xlfn._xlws.FILTER(INDEX(Tabela_ferias_folgas[],_xlfn.SEQUENCE(ROWS(Tabela_ferias_folgas[])),{7}),(Tabela_ferias_folgas[[Dia]:[Dia]]=D17)*(Tabela_ferias_folgas[[Mês]:[Mês]]=$F$3)*(Tabela_ferias_folgas[[Ano]:[Ano]]=$D$3))),"")</f>
        <v>VIV - FÉRIAS</v>
      </c>
      <c r="E18" s="62" t="str" cm="1">
        <f t="array" ref="E18:E21">IFERROR(IF(COUNTA(IFERROR(_xlfn._xlws.FILTER(INDEX(Tabela_ferias_folgas[],_xlfn.SEQUENCE(ROWS(Tabela_ferias_folgas[])),{7}),(Tabela_ferias_folgas[[Dia]:[Dia]]=E17)*(Tabela_ferias_folgas[[Mês]:[Mês]]=$F$3)*(Tabela_ferias_folgas[[Ano]:[Ano]]=$D$3)),""))&gt;4,_xlfn.TEXTJOIN("  ",1,_xlfn._xlws.FILTER(INDEX(Tabela_ferias_folgas[],_xlfn.SEQUENCE(ROWS(Tabela_ferias_folgas[])),{1}),(Tabela_ferias_folgas[[Dia]:[Dia]]=E17)*(Tabela_ferias_folgas[[Mês]:[Mês]]=$F$3)*(Tabela_ferias_folgas[[Ano]:[Ano]]=$D$3))),_xlfn._xlws.FILTER(INDEX(Tabela_ferias_folgas[],_xlfn.SEQUENCE(ROWS(Tabela_ferias_folgas[])),{7}),(Tabela_ferias_folgas[[Dia]:[Dia]]=E17)*(Tabela_ferias_folgas[[Mês]:[Mês]]=$F$3)*(Tabela_ferias_folgas[[Ano]:[Ano]]=$D$3))),"")</f>
        <v>VIV - FÉRIAS</v>
      </c>
      <c r="F18" s="62" t="str" cm="1">
        <f t="array" ref="F18:F21">IFERROR(IF(COUNTA(IFERROR(_xlfn._xlws.FILTER(INDEX(Tabela_ferias_folgas[],_xlfn.SEQUENCE(ROWS(Tabela_ferias_folgas[])),{7}),(Tabela_ferias_folgas[[Dia]:[Dia]]=F17)*(Tabela_ferias_folgas[[Mês]:[Mês]]=$F$3)*(Tabela_ferias_folgas[[Ano]:[Ano]]=$D$3)),""))&gt;4,_xlfn.TEXTJOIN("  ",1,_xlfn._xlws.FILTER(INDEX(Tabela_ferias_folgas[],_xlfn.SEQUENCE(ROWS(Tabela_ferias_folgas[])),{1}),(Tabela_ferias_folgas[[Dia]:[Dia]]=F17)*(Tabela_ferias_folgas[[Mês]:[Mês]]=$F$3)*(Tabela_ferias_folgas[[Ano]:[Ano]]=$D$3))),_xlfn._xlws.FILTER(INDEX(Tabela_ferias_folgas[],_xlfn.SEQUENCE(ROWS(Tabela_ferias_folgas[])),{7}),(Tabela_ferias_folgas[[Dia]:[Dia]]=F17)*(Tabela_ferias_folgas[[Mês]:[Mês]]=$F$3)*(Tabela_ferias_folgas[[Ano]:[Ano]]=$D$3))),"")</f>
        <v>VIV - FÉRIAS</v>
      </c>
      <c r="G18" s="62" t="str" cm="1">
        <f t="array" ref="G18:G21">IFERROR(IF(COUNTA(IFERROR(_xlfn._xlws.FILTER(INDEX(Tabela_ferias_folgas[],_xlfn.SEQUENCE(ROWS(Tabela_ferias_folgas[])),{7}),(Tabela_ferias_folgas[[Dia]:[Dia]]=G17)*(Tabela_ferias_folgas[[Mês]:[Mês]]=$F$3)*(Tabela_ferias_folgas[[Ano]:[Ano]]=$D$3)),""))&gt;4,_xlfn.TEXTJOIN("  ",1,_xlfn._xlws.FILTER(INDEX(Tabela_ferias_folgas[],_xlfn.SEQUENCE(ROWS(Tabela_ferias_folgas[])),{1}),(Tabela_ferias_folgas[[Dia]:[Dia]]=G17)*(Tabela_ferias_folgas[[Mês]:[Mês]]=$F$3)*(Tabela_ferias_folgas[[Ano]:[Ano]]=$D$3))),_xlfn._xlws.FILTER(INDEX(Tabela_ferias_folgas[],_xlfn.SEQUENCE(ROWS(Tabela_ferias_folgas[])),{7}),(Tabela_ferias_folgas[[Dia]:[Dia]]=G17)*(Tabela_ferias_folgas[[Mês]:[Mês]]=$F$3)*(Tabela_ferias_folgas[[Ano]:[Ano]]=$D$3))),"")</f>
        <v>VIV - FÉRIAS</v>
      </c>
      <c r="H18" s="62" t="str" cm="1">
        <f t="array" ref="H18:H21">IFERROR(IF(COUNTA(IFERROR(_xlfn._xlws.FILTER(INDEX(Tabela_ferias_folgas[],_xlfn.SEQUENCE(ROWS(Tabela_ferias_folgas[])),{7}),(Tabela_ferias_folgas[[Dia]:[Dia]]=H17)*(Tabela_ferias_folgas[[Mês]:[Mês]]=$F$3)*(Tabela_ferias_folgas[[Ano]:[Ano]]=$D$3)),""))&gt;4,_xlfn.TEXTJOIN("  ",1,_xlfn._xlws.FILTER(INDEX(Tabela_ferias_folgas[],_xlfn.SEQUENCE(ROWS(Tabela_ferias_folgas[])),{1}),(Tabela_ferias_folgas[[Dia]:[Dia]]=H17)*(Tabela_ferias_folgas[[Mês]:[Mês]]=$F$3)*(Tabela_ferias_folgas[[Ano]:[Ano]]=$D$3))),_xlfn._xlws.FILTER(INDEX(Tabela_ferias_folgas[],_xlfn.SEQUENCE(ROWS(Tabela_ferias_folgas[])),{7}),(Tabela_ferias_folgas[[Dia]:[Dia]]=H17)*(Tabela_ferias_folgas[[Mês]:[Mês]]=$F$3)*(Tabela_ferias_folgas[[Ano]:[Ano]]=$D$3))),"")</f>
        <v>VIV - FÉRIAS</v>
      </c>
      <c r="I18" s="66"/>
      <c r="J18" s="66"/>
      <c r="K18" s="66"/>
      <c r="L18" s="66"/>
      <c r="M18" s="66"/>
      <c r="N18" s="66"/>
    </row>
    <row r="19" spans="1:14" s="64" customFormat="1" ht="25.5" customHeight="1" x14ac:dyDescent="0.3">
      <c r="A19" s="63"/>
      <c r="B19" s="62"/>
      <c r="C19" s="62" t="str">
        <v>VIN - CONGRESSO (ASA)</v>
      </c>
      <c r="D19" s="62" t="str">
        <v>VIN - CONGRESSO (ASA)</v>
      </c>
      <c r="E19" s="62" t="str">
        <v>VIN - CONGRESSO (ASA)</v>
      </c>
      <c r="F19" s="62" t="str">
        <v>REI - FÉRIAS</v>
      </c>
      <c r="G19" s="62" t="str">
        <v>REI - FÉRIAS</v>
      </c>
      <c r="H19" s="62" t="str">
        <v>REI - FÉRIAS</v>
      </c>
      <c r="I19" s="63"/>
      <c r="J19" s="63"/>
      <c r="K19" s="63"/>
      <c r="L19" s="63"/>
      <c r="M19" s="63"/>
      <c r="N19" s="63"/>
    </row>
    <row r="20" spans="1:14" s="64" customFormat="1" ht="25.5" customHeight="1" x14ac:dyDescent="0.3">
      <c r="A20" s="63"/>
      <c r="B20" s="62"/>
      <c r="C20" s="62" t="str">
        <v>MOZ - FÉRIAS</v>
      </c>
      <c r="D20" s="62" t="str">
        <v>REI - FÉRIAS</v>
      </c>
      <c r="E20" s="62" t="str">
        <v>REI - FÉRIAS</v>
      </c>
      <c r="F20" s="62" t="str">
        <v>MOZ - FÉRIAS</v>
      </c>
      <c r="G20" s="62" t="str">
        <v>MOZ - FÉRIAS</v>
      </c>
      <c r="H20" s="62" t="str">
        <v>MOZ - FÉRIAS</v>
      </c>
      <c r="I20" s="63"/>
      <c r="J20" s="63"/>
      <c r="K20" s="63"/>
      <c r="L20" s="63"/>
      <c r="M20" s="63"/>
      <c r="N20" s="63"/>
    </row>
    <row r="21" spans="1:14" s="64" customFormat="1" ht="25.5" customHeight="1" x14ac:dyDescent="0.3">
      <c r="A21" s="63"/>
      <c r="B21" s="62"/>
      <c r="C21" s="62" t="str">
        <v>ANO - FOLGA</v>
      </c>
      <c r="D21" s="62" t="str">
        <v>MOZ - FÉRIAS</v>
      </c>
      <c r="E21" s="62" t="str">
        <v>MOZ - FÉRIAS</v>
      </c>
      <c r="F21" s="62" t="str">
        <v>BG - CONGRESSO (AULA NA USP)</v>
      </c>
      <c r="G21" s="62" t="str">
        <v>LIP - CONGRESSO (STARTUP WEEKEND HEALTH - FLORIPA)</v>
      </c>
      <c r="H21" s="62" t="str">
        <v>LIP - CONGRESSO (STARTUP WEEKEND HEALTH - FLORIPA)</v>
      </c>
      <c r="I21" s="63"/>
      <c r="J21" s="63"/>
      <c r="K21" s="63"/>
      <c r="L21" s="63"/>
      <c r="M21" s="63"/>
      <c r="N21" s="63"/>
    </row>
    <row r="22" spans="1:14" x14ac:dyDescent="0.25">
      <c r="A22" s="28"/>
      <c r="B22" s="65">
        <f>CalendarioBase!A5</f>
        <v>22</v>
      </c>
      <c r="C22" s="65">
        <f>CalendarioBase!B5</f>
        <v>23</v>
      </c>
      <c r="D22" s="65">
        <f>CalendarioBase!C5</f>
        <v>24</v>
      </c>
      <c r="E22" s="65">
        <f>CalendarioBase!D5</f>
        <v>25</v>
      </c>
      <c r="F22" s="65">
        <f>CalendarioBase!E5</f>
        <v>26</v>
      </c>
      <c r="G22" s="65">
        <f>CalendarioBase!F5</f>
        <v>27</v>
      </c>
      <c r="H22" s="65">
        <f>CalendarioBase!G5</f>
        <v>28</v>
      </c>
      <c r="I22" s="28"/>
    </row>
    <row r="23" spans="1:14" s="67" customFormat="1" ht="25.5" customHeight="1" x14ac:dyDescent="0.3">
      <c r="A23" s="63"/>
      <c r="B23" s="62" t="str" cm="1">
        <f t="array" ref="B23:B26">IFERROR(IF(COUNTA(IFERROR(_xlfn._xlws.FILTER(INDEX(Tabela_ferias_folgas[],_xlfn.SEQUENCE(ROWS(Tabela_ferias_folgas[])),{7}),(Tabela_ferias_folgas[[Dia]:[Dia]]=B22)*(Tabela_ferias_folgas[[Mês]:[Mês]]=$F$3)*(Tabela_ferias_folgas[[Ano]:[Ano]]=$D$3)),""))&gt;4,_xlfn.TEXTJOIN("  ",1,_xlfn._xlws.FILTER(INDEX(Tabela_ferias_folgas[],_xlfn.SEQUENCE(ROWS(Tabela_ferias_folgas[])),{1}),(Tabela_ferias_folgas[[Dia]:[Dia]]=B22)*(Tabela_ferias_folgas[[Mês]:[Mês]]=$F$3)*(Tabela_ferias_folgas[[Ano]:[Ano]]=$D$3))),_xlfn._xlws.FILTER(INDEX(Tabela_ferias_folgas[],_xlfn.SEQUENCE(ROWS(Tabela_ferias_folgas[])),{7}),(Tabela_ferias_folgas[[Dia]:[Dia]]=B22)*(Tabela_ferias_folgas[[Mês]:[Mês]]=$F$3)*(Tabela_ferias_folgas[[Ano]:[Ano]]=$D$3))),"")</f>
        <v>VIV - FÉRIAS</v>
      </c>
      <c r="C23" s="62" t="str" cm="1">
        <f t="array" ref="C23:C26">IFERROR(IF(COUNTA(IFERROR(_xlfn._xlws.FILTER(INDEX(Tabela_ferias_folgas[],_xlfn.SEQUENCE(ROWS(Tabela_ferias_folgas[])),{7}),(Tabela_ferias_folgas[[Dia]:[Dia]]=C22)*(Tabela_ferias_folgas[[Mês]:[Mês]]=$F$3)*(Tabela_ferias_folgas[[Ano]:[Ano]]=$D$3)),""))&gt;4,_xlfn.TEXTJOIN("  ",1,_xlfn._xlws.FILTER(INDEX(Tabela_ferias_folgas[],_xlfn.SEQUENCE(ROWS(Tabela_ferias_folgas[])),{1}),(Tabela_ferias_folgas[[Dia]:[Dia]]=C22)*(Tabela_ferias_folgas[[Mês]:[Mês]]=$F$3)*(Tabela_ferias_folgas[[Ano]:[Ano]]=$D$3))),_xlfn._xlws.FILTER(INDEX(Tabela_ferias_folgas[],_xlfn.SEQUENCE(ROWS(Tabela_ferias_folgas[])),{7}),(Tabela_ferias_folgas[[Dia]:[Dia]]=C22)*(Tabela_ferias_folgas[[Mês]:[Mês]]=$F$3)*(Tabela_ferias_folgas[[Ano]:[Ano]]=$D$3))),"")</f>
        <v>VIV - FÉRIAS</v>
      </c>
      <c r="D23" s="62" t="str" cm="1">
        <f t="array" ref="D23:D26">IFERROR(IF(COUNTA(IFERROR(_xlfn._xlws.FILTER(INDEX(Tabela_ferias_folgas[],_xlfn.SEQUENCE(ROWS(Tabela_ferias_folgas[])),{7}),(Tabela_ferias_folgas[[Dia]:[Dia]]=D22)*(Tabela_ferias_folgas[[Mês]:[Mês]]=$F$3)*(Tabela_ferias_folgas[[Ano]:[Ano]]=$D$3)),""))&gt;4,_xlfn.TEXTJOIN("  ",1,_xlfn._xlws.FILTER(INDEX(Tabela_ferias_folgas[],_xlfn.SEQUENCE(ROWS(Tabela_ferias_folgas[])),{1}),(Tabela_ferias_folgas[[Dia]:[Dia]]=D22)*(Tabela_ferias_folgas[[Mês]:[Mês]]=$F$3)*(Tabela_ferias_folgas[[Ano]:[Ano]]=$D$3))),_xlfn._xlws.FILTER(INDEX(Tabela_ferias_folgas[],_xlfn.SEQUENCE(ROWS(Tabela_ferias_folgas[])),{7}),(Tabela_ferias_folgas[[Dia]:[Dia]]=D22)*(Tabela_ferias_folgas[[Mês]:[Mês]]=$F$3)*(Tabela_ferias_folgas[[Ano]:[Ano]]=$D$3))),"")</f>
        <v>VIV - FÉRIAS</v>
      </c>
      <c r="E23" s="62" t="str" cm="1">
        <f t="array" ref="E23:E26">IFERROR(IF(COUNTA(IFERROR(_xlfn._xlws.FILTER(INDEX(Tabela_ferias_folgas[],_xlfn.SEQUENCE(ROWS(Tabela_ferias_folgas[])),{7}),(Tabela_ferias_folgas[[Dia]:[Dia]]=E22)*(Tabela_ferias_folgas[[Mês]:[Mês]]=$F$3)*(Tabela_ferias_folgas[[Ano]:[Ano]]=$D$3)),""))&gt;4,_xlfn.TEXTJOIN("  ",1,_xlfn._xlws.FILTER(INDEX(Tabela_ferias_folgas[],_xlfn.SEQUENCE(ROWS(Tabela_ferias_folgas[])),{1}),(Tabela_ferias_folgas[[Dia]:[Dia]]=E22)*(Tabela_ferias_folgas[[Mês]:[Mês]]=$F$3)*(Tabela_ferias_folgas[[Ano]:[Ano]]=$D$3))),_xlfn._xlws.FILTER(INDEX(Tabela_ferias_folgas[],_xlfn.SEQUENCE(ROWS(Tabela_ferias_folgas[])),{7}),(Tabela_ferias_folgas[[Dia]:[Dia]]=E22)*(Tabela_ferias_folgas[[Mês]:[Mês]]=$F$3)*(Tabela_ferias_folgas[[Ano]:[Ano]]=$D$3))),"")</f>
        <v>VIV - FÉRIAS</v>
      </c>
      <c r="F23" s="62" t="str" cm="1">
        <f t="array" ref="F23">IFERROR(IF(COUNTA(IFERROR(_xlfn._xlws.FILTER(INDEX(Tabela_ferias_folgas[],_xlfn.SEQUENCE(ROWS(Tabela_ferias_folgas[])),{7}),(Tabela_ferias_folgas[[Dia]:[Dia]]=F22)*(Tabela_ferias_folgas[[Mês]:[Mês]]=$F$3)*(Tabela_ferias_folgas[[Ano]:[Ano]]=$D$3)),""))&gt;4,_xlfn.TEXTJOIN("  ",1,_xlfn._xlws.FILTER(INDEX(Tabela_ferias_folgas[],_xlfn.SEQUENCE(ROWS(Tabela_ferias_folgas[])),{1}),(Tabela_ferias_folgas[[Dia]:[Dia]]=F22)*(Tabela_ferias_folgas[[Mês]:[Mês]]=$F$3)*(Tabela_ferias_folgas[[Ano]:[Ano]]=$D$3))),_xlfn._xlws.FILTER(INDEX(Tabela_ferias_folgas[],_xlfn.SEQUENCE(ROWS(Tabela_ferias_folgas[])),{7}),(Tabela_ferias_folgas[[Dia]:[Dia]]=F22)*(Tabela_ferias_folgas[[Mês]:[Mês]]=$F$3)*(Tabela_ferias_folgas[[Ano]:[Ano]]=$D$3))),"")</f>
        <v>VIV  REI  TOT  LIP  ROB</v>
      </c>
      <c r="G23" s="62" t="str" cm="1">
        <f t="array" ref="G23:G26">IFERROR(IF(COUNTA(IFERROR(_xlfn._xlws.FILTER(INDEX(Tabela_ferias_folgas[],_xlfn.SEQUENCE(ROWS(Tabela_ferias_folgas[])),{7}),(Tabela_ferias_folgas[[Dia]:[Dia]]=G22)*(Tabela_ferias_folgas[[Mês]:[Mês]]=$F$3)*(Tabela_ferias_folgas[[Ano]:[Ano]]=$D$3)),""))&gt;4,_xlfn.TEXTJOIN("  ",1,_xlfn._xlws.FILTER(INDEX(Tabela_ferias_folgas[],_xlfn.SEQUENCE(ROWS(Tabela_ferias_folgas[])),{1}),(Tabela_ferias_folgas[[Dia]:[Dia]]=G22)*(Tabela_ferias_folgas[[Mês]:[Mês]]=$F$3)*(Tabela_ferias_folgas[[Ano]:[Ano]]=$D$3))),_xlfn._xlws.FILTER(INDEX(Tabela_ferias_folgas[],_xlfn.SEQUENCE(ROWS(Tabela_ferias_folgas[])),{7}),(Tabela_ferias_folgas[[Dia]:[Dia]]=G22)*(Tabela_ferias_folgas[[Mês]:[Mês]]=$F$3)*(Tabela_ferias_folgas[[Ano]:[Ano]]=$D$3))),"")</f>
        <v>VIV - FÉRIAS</v>
      </c>
      <c r="H23" s="62" t="str" cm="1">
        <f t="array" ref="H23:H25">IFERROR(IF(COUNTA(IFERROR(_xlfn._xlws.FILTER(INDEX(Tabela_ferias_folgas[],_xlfn.SEQUENCE(ROWS(Tabela_ferias_folgas[])),{7}),(Tabela_ferias_folgas[[Dia]:[Dia]]=H22)*(Tabela_ferias_folgas[[Mês]:[Mês]]=$F$3)*(Tabela_ferias_folgas[[Ano]:[Ano]]=$D$3)),""))&gt;4,_xlfn.TEXTJOIN("  ",1,_xlfn._xlws.FILTER(INDEX(Tabela_ferias_folgas[],_xlfn.SEQUENCE(ROWS(Tabela_ferias_folgas[])),{1}),(Tabela_ferias_folgas[[Dia]:[Dia]]=H22)*(Tabela_ferias_folgas[[Mês]:[Mês]]=$F$3)*(Tabela_ferias_folgas[[Ano]:[Ano]]=$D$3))),_xlfn._xlws.FILTER(INDEX(Tabela_ferias_folgas[],_xlfn.SEQUENCE(ROWS(Tabela_ferias_folgas[])),{7}),(Tabela_ferias_folgas[[Dia]:[Dia]]=H22)*(Tabela_ferias_folgas[[Mês]:[Mês]]=$F$3)*(Tabela_ferias_folgas[[Ano]:[Ano]]=$D$3))),"")</f>
        <v>VIV - FÉRIAS</v>
      </c>
      <c r="I23" s="66"/>
      <c r="J23" s="66"/>
      <c r="K23" s="66"/>
      <c r="L23" s="66"/>
      <c r="M23" s="66"/>
      <c r="N23" s="66"/>
    </row>
    <row r="24" spans="1:14" s="64" customFormat="1" ht="25.5" customHeight="1" x14ac:dyDescent="0.3">
      <c r="A24" s="63"/>
      <c r="B24" s="62" t="str">
        <v>REI - FÉRIAS</v>
      </c>
      <c r="C24" s="62" t="str">
        <v>REI - FÉRIAS</v>
      </c>
      <c r="D24" s="62" t="str">
        <v>REI - FÉRIAS</v>
      </c>
      <c r="E24" s="62" t="str">
        <v>REI - FÉRIAS</v>
      </c>
      <c r="F24" s="62"/>
      <c r="G24" s="62" t="str">
        <v>REI - FÉRIAS</v>
      </c>
      <c r="H24" s="62" t="str">
        <v>REI - FÉRIAS</v>
      </c>
      <c r="I24" s="63"/>
      <c r="J24" s="63"/>
      <c r="K24" s="63"/>
      <c r="L24" s="63"/>
      <c r="M24" s="63"/>
      <c r="N24" s="63"/>
    </row>
    <row r="25" spans="1:14" s="64" customFormat="1" ht="25.5" customHeight="1" x14ac:dyDescent="0.3">
      <c r="A25" s="63"/>
      <c r="B25" s="62" t="str">
        <v>MOZ - FÉRIAS</v>
      </c>
      <c r="C25" s="62" t="str">
        <v>TOT - FÉRIAS</v>
      </c>
      <c r="D25" s="62" t="str">
        <v>TOT - FÉRIAS</v>
      </c>
      <c r="E25" s="62" t="str">
        <v>TOT - FÉRIAS</v>
      </c>
      <c r="F25" s="62"/>
      <c r="G25" s="62" t="str">
        <v>TOT - FÉRIAS</v>
      </c>
      <c r="H25" s="62" t="str">
        <v>LIP - CONGRESSO (XI SINGEP-CIK)</v>
      </c>
      <c r="I25" s="63"/>
      <c r="J25" s="63"/>
      <c r="K25" s="63"/>
      <c r="L25" s="63"/>
      <c r="M25" s="63"/>
      <c r="N25" s="63"/>
    </row>
    <row r="26" spans="1:14" s="64" customFormat="1" ht="25.5" customHeight="1" x14ac:dyDescent="0.3">
      <c r="A26" s="63"/>
      <c r="B26" s="62" t="str">
        <v>LIP - CONGRESSO (STARTUP WEEKEND HEALTH - FLORIPA)</v>
      </c>
      <c r="C26" s="62" t="str">
        <v>LIP - CONGRESSO (STARTUP WEEKEND HEALTH - FLORIPA)</v>
      </c>
      <c r="D26" s="62" t="str">
        <v>FAB - FOLGA</v>
      </c>
      <c r="E26" s="62" t="str">
        <v>ROB - FOLGA</v>
      </c>
      <c r="F26" s="62"/>
      <c r="G26" s="62" t="str">
        <v>LIP - CONGRESSO (XI SINGEP-CIK)</v>
      </c>
      <c r="H26" s="62"/>
      <c r="I26" s="63"/>
      <c r="J26" s="63"/>
      <c r="K26" s="63"/>
      <c r="L26" s="63"/>
      <c r="M26" s="63"/>
      <c r="N26" s="63"/>
    </row>
    <row r="27" spans="1:14" x14ac:dyDescent="0.25">
      <c r="A27" s="28"/>
      <c r="B27" s="65">
        <f>CalendarioBase!A6</f>
        <v>29</v>
      </c>
      <c r="C27" s="65">
        <f>CalendarioBase!B6</f>
        <v>30</v>
      </c>
      <c r="D27" s="65">
        <f>CalendarioBase!C6</f>
        <v>31</v>
      </c>
      <c r="E27" s="65" t="str">
        <f>CalendarioBase!D6</f>
        <v/>
      </c>
      <c r="F27" s="65" t="str">
        <f>CalendarioBase!E6</f>
        <v/>
      </c>
      <c r="G27" s="65" t="str">
        <f>CalendarioBase!F6</f>
        <v/>
      </c>
      <c r="H27" s="65" t="str">
        <f>CalendarioBase!G6</f>
        <v/>
      </c>
      <c r="I27" s="28"/>
    </row>
    <row r="28" spans="1:14" s="67" customFormat="1" ht="25.5" customHeight="1" x14ac:dyDescent="0.3">
      <c r="A28" s="66"/>
      <c r="B28" s="62" t="str" cm="1">
        <f t="array" ref="B28:B29">IFERROR(IF(COUNTA(IFERROR(_xlfn._xlws.FILTER(INDEX(Tabela_ferias_folgas[],_xlfn.SEQUENCE(ROWS(Tabela_ferias_folgas[])),{7}),(Tabela_ferias_folgas[[Dia]:[Dia]]=B27)*(Tabela_ferias_folgas[[Mês]:[Mês]]=$F$3)*(Tabela_ferias_folgas[[Ano]:[Ano]]=$D$3)),""))&gt;4,_xlfn.TEXTJOIN("  ",1,_xlfn._xlws.FILTER(INDEX(Tabela_ferias_folgas[],_xlfn.SEQUENCE(ROWS(Tabela_ferias_folgas[])),{1}),(Tabela_ferias_folgas[[Dia]:[Dia]]=B27)*(Tabela_ferias_folgas[[Mês]:[Mês]]=$F$3)*(Tabela_ferias_folgas[[Ano]:[Ano]]=$D$3))),_xlfn._xlws.FILTER(INDEX(Tabela_ferias_folgas[],_xlfn.SEQUENCE(ROWS(Tabela_ferias_folgas[])),{7}),(Tabela_ferias_folgas[[Dia]:[Dia]]=B27)*(Tabela_ferias_folgas[[Mês]:[Mês]]=$F$3)*(Tabela_ferias_folgas[[Ano]:[Ano]]=$D$3))),"")</f>
        <v>VIV - FÉRIAS</v>
      </c>
      <c r="C28" s="62" t="str" cm="1">
        <f t="array" ref="C28:C31">IFERROR(IF(COUNTA(IFERROR(_xlfn._xlws.FILTER(INDEX(Tabela_ferias_folgas[],_xlfn.SEQUENCE(ROWS(Tabela_ferias_folgas[])),{7}),(Tabela_ferias_folgas[[Dia]:[Dia]]=C27)*(Tabela_ferias_folgas[[Mês]:[Mês]]=$F$3)*(Tabela_ferias_folgas[[Ano]:[Ano]]=$D$3)),""))&gt;4,_xlfn.TEXTJOIN("  ",1,_xlfn._xlws.FILTER(INDEX(Tabela_ferias_folgas[],_xlfn.SEQUENCE(ROWS(Tabela_ferias_folgas[])),{1}),(Tabela_ferias_folgas[[Dia]:[Dia]]=C27)*(Tabela_ferias_folgas[[Mês]:[Mês]]=$F$3)*(Tabela_ferias_folgas[[Ano]:[Ano]]=$D$3))),_xlfn._xlws.FILTER(INDEX(Tabela_ferias_folgas[],_xlfn.SEQUENCE(ROWS(Tabela_ferias_folgas[])),{7}),(Tabela_ferias_folgas[[Dia]:[Dia]]=C27)*(Tabela_ferias_folgas[[Mês]:[Mês]]=$F$3)*(Tabela_ferias_folgas[[Ano]:[Ano]]=$D$3))),"")</f>
        <v>VIV - FÉRIAS</v>
      </c>
      <c r="D28" s="62" t="str" cm="1">
        <f t="array" ref="D28:D31">IFERROR(IF(COUNTA(IFERROR(_xlfn._xlws.FILTER(INDEX(Tabela_ferias_folgas[],_xlfn.SEQUENCE(ROWS(Tabela_ferias_folgas[])),{7}),(Tabela_ferias_folgas[[Dia]:[Dia]]=D27)*(Tabela_ferias_folgas[[Mês]:[Mês]]=$F$3)*(Tabela_ferias_folgas[[Ano]:[Ano]]=$D$3)),""))&gt;4,_xlfn.TEXTJOIN("  ",1,_xlfn._xlws.FILTER(INDEX(Tabela_ferias_folgas[],_xlfn.SEQUENCE(ROWS(Tabela_ferias_folgas[])),{1}),(Tabela_ferias_folgas[[Dia]:[Dia]]=D27)*(Tabela_ferias_folgas[[Mês]:[Mês]]=$F$3)*(Tabela_ferias_folgas[[Ano]:[Ano]]=$D$3))),_xlfn._xlws.FILTER(INDEX(Tabela_ferias_folgas[],_xlfn.SEQUENCE(ROWS(Tabela_ferias_folgas[])),{7}),(Tabela_ferias_folgas[[Dia]:[Dia]]=D27)*(Tabela_ferias_folgas[[Mês]:[Mês]]=$F$3)*(Tabela_ferias_folgas[[Ano]:[Ano]]=$D$3))),"")</f>
        <v>REI - FÉRIAS</v>
      </c>
      <c r="E28" s="62" t="str" cm="1">
        <f t="array" ref="E28">IFERROR(IF(COUNTA(IFERROR(_xlfn._xlws.FILTER(INDEX(Tabela_ferias_folgas[],_xlfn.SEQUENCE(ROWS(Tabela_ferias_folgas[])),{7}),(Tabela_ferias_folgas[[Dia]:[Dia]]=E27)*(Tabela_ferias_folgas[[Mês]:[Mês]]=$F$3)*(Tabela_ferias_folgas[[Ano]:[Ano]]=$D$3)),""))&gt;4,_xlfn.TEXTJOIN("  ",1,_xlfn._xlws.FILTER(INDEX(Tabela_ferias_folgas[],_xlfn.SEQUENCE(ROWS(Tabela_ferias_folgas[])),{1}),(Tabela_ferias_folgas[[Dia]:[Dia]]=E27)*(Tabela_ferias_folgas[[Mês]:[Mês]]=$F$3)*(Tabela_ferias_folgas[[Ano]:[Ano]]=$D$3))),_xlfn._xlws.FILTER(INDEX(Tabela_ferias_folgas[],_xlfn.SEQUENCE(ROWS(Tabela_ferias_folgas[])),{7}),(Tabela_ferias_folgas[[Dia]:[Dia]]=E27)*(Tabela_ferias_folgas[[Mês]:[Mês]]=$F$3)*(Tabela_ferias_folgas[[Ano]:[Ano]]=$D$3))),"")</f>
        <v/>
      </c>
      <c r="F28" s="62" t="str" cm="1">
        <f t="array" ref="F28">IFERROR(IF(COUNTA(IFERROR(_xlfn._xlws.FILTER(INDEX(Tabela_ferias_folgas[],_xlfn.SEQUENCE(ROWS(Tabela_ferias_folgas[])),{7}),(Tabela_ferias_folgas[[Dia]:[Dia]]=F27)*(Tabela_ferias_folgas[[Mês]:[Mês]]=$F$3)*(Tabela_ferias_folgas[[Ano]:[Ano]]=$D$3)),""))&gt;4,_xlfn.TEXTJOIN("  ",1,_xlfn._xlws.FILTER(INDEX(Tabela_ferias_folgas[],_xlfn.SEQUENCE(ROWS(Tabela_ferias_folgas[])),{1}),(Tabela_ferias_folgas[[Dia]:[Dia]]=F27)*(Tabela_ferias_folgas[[Mês]:[Mês]]=$F$3)*(Tabela_ferias_folgas[[Ano]:[Ano]]=$D$3))),_xlfn._xlws.FILTER(INDEX(Tabela_ferias_folgas[],_xlfn.SEQUENCE(ROWS(Tabela_ferias_folgas[])),{7}),(Tabela_ferias_folgas[[Dia]:[Dia]]=F27)*(Tabela_ferias_folgas[[Mês]:[Mês]]=$F$3)*(Tabela_ferias_folgas[[Ano]:[Ano]]=$D$3))),"")</f>
        <v/>
      </c>
      <c r="G28" s="62" t="str" cm="1">
        <f t="array" ref="G28">IFERROR(IF(COUNTA(IFERROR(_xlfn._xlws.FILTER(INDEX(Tabela_ferias_folgas[],_xlfn.SEQUENCE(ROWS(Tabela_ferias_folgas[])),{7}),(Tabela_ferias_folgas[[Dia]:[Dia]]=G27)*(Tabela_ferias_folgas[[Mês]:[Mês]]=$F$3)*(Tabela_ferias_folgas[[Ano]:[Ano]]=$D$3)),""))&gt;4,_xlfn.TEXTJOIN("  ",1,_xlfn._xlws.FILTER(INDEX(Tabela_ferias_folgas[],_xlfn.SEQUENCE(ROWS(Tabela_ferias_folgas[])),{1}),(Tabela_ferias_folgas[[Dia]:[Dia]]=G27)*(Tabela_ferias_folgas[[Mês]:[Mês]]=$F$3)*(Tabela_ferias_folgas[[Ano]:[Ano]]=$D$3))),_xlfn._xlws.FILTER(INDEX(Tabela_ferias_folgas[],_xlfn.SEQUENCE(ROWS(Tabela_ferias_folgas[])),{7}),(Tabela_ferias_folgas[[Dia]:[Dia]]=G27)*(Tabela_ferias_folgas[[Mês]:[Mês]]=$F$3)*(Tabela_ferias_folgas[[Ano]:[Ano]]=$D$3))),"")</f>
        <v/>
      </c>
      <c r="H28" s="62" t="str" cm="1">
        <f t="array" ref="H28">IFERROR(IF(COUNTA(IFERROR(_xlfn._xlws.FILTER(INDEX(Tabela_ferias_folgas[],_xlfn.SEQUENCE(ROWS(Tabela_ferias_folgas[])),{7}),(Tabela_ferias_folgas[[Dia]:[Dia]]=H27)*(Tabela_ferias_folgas[[Mês]:[Mês]]=$F$3)*(Tabela_ferias_folgas[[Ano]:[Ano]]=$D$3)),""))&gt;4,_xlfn.TEXTJOIN("  ",1,_xlfn._xlws.FILTER(INDEX(Tabela_ferias_folgas[],_xlfn.SEQUENCE(ROWS(Tabela_ferias_folgas[])),{1}),(Tabela_ferias_folgas[[Dia]:[Dia]]=H27)*(Tabela_ferias_folgas[[Mês]:[Mês]]=$F$3)*(Tabela_ferias_folgas[[Ano]:[Ano]]=$D$3))),_xlfn._xlws.FILTER(INDEX(Tabela_ferias_folgas[],_xlfn.SEQUENCE(ROWS(Tabela_ferias_folgas[])),{7}),(Tabela_ferias_folgas[[Dia]:[Dia]]=H27)*(Tabela_ferias_folgas[[Mês]:[Mês]]=$F$3)*(Tabela_ferias_folgas[[Ano]:[Ano]]=$D$3))),"")</f>
        <v/>
      </c>
      <c r="I28" s="66"/>
      <c r="J28" s="66"/>
      <c r="K28" s="66"/>
      <c r="L28" s="66"/>
      <c r="M28" s="66"/>
      <c r="N28" s="66"/>
    </row>
    <row r="29" spans="1:14" s="64" customFormat="1" ht="25.5" customHeight="1" x14ac:dyDescent="0.3">
      <c r="A29" s="63"/>
      <c r="B29" s="62" t="str">
        <v>REI - FÉRIAS</v>
      </c>
      <c r="C29" s="62" t="str">
        <v>REI - FÉRIAS</v>
      </c>
      <c r="D29" s="62" t="str">
        <v>VIN - FÉRIAS</v>
      </c>
      <c r="E29" s="62"/>
      <c r="F29" s="62"/>
      <c r="G29" s="62"/>
      <c r="H29" s="62"/>
      <c r="I29" s="63"/>
      <c r="J29" s="63"/>
      <c r="K29" s="63"/>
      <c r="L29" s="63"/>
      <c r="M29" s="63"/>
      <c r="N29" s="63"/>
    </row>
    <row r="30" spans="1:14" s="64" customFormat="1" ht="25.5" customHeight="1" x14ac:dyDescent="0.3">
      <c r="A30" s="63"/>
      <c r="B30" s="62"/>
      <c r="C30" s="62" t="str">
        <v>VIN - FÉRIAS</v>
      </c>
      <c r="D30" s="62" t="str">
        <v>KOP - FOLGA</v>
      </c>
      <c r="E30" s="62"/>
      <c r="F30" s="62"/>
      <c r="G30" s="62"/>
      <c r="H30" s="62"/>
      <c r="I30" s="63"/>
      <c r="J30" s="63"/>
      <c r="K30" s="63"/>
      <c r="L30" s="63"/>
      <c r="M30" s="63"/>
      <c r="N30" s="63"/>
    </row>
    <row r="31" spans="1:14" s="64" customFormat="1" ht="25.5" customHeight="1" x14ac:dyDescent="0.3">
      <c r="A31" s="63"/>
      <c r="B31" s="62"/>
      <c r="C31" s="62" t="str">
        <v>KOP - FOLGA</v>
      </c>
      <c r="D31" s="62" t="str">
        <v>EBB - FOLGA</v>
      </c>
      <c r="E31" s="62"/>
      <c r="F31" s="62"/>
      <c r="G31" s="62"/>
      <c r="H31" s="62"/>
      <c r="I31" s="63"/>
      <c r="J31" s="63"/>
      <c r="K31" s="63"/>
      <c r="L31" s="63"/>
      <c r="M31" s="63"/>
      <c r="N31" s="63"/>
    </row>
    <row r="32" spans="1:14" x14ac:dyDescent="0.25">
      <c r="A32" s="28"/>
      <c r="B32" s="65" t="str">
        <f>CalendarioBase!A7</f>
        <v/>
      </c>
      <c r="C32" s="65" t="str">
        <f>CalendarioBase!B7</f>
        <v/>
      </c>
      <c r="D32" s="65" t="str">
        <f>CalendarioBase!C7</f>
        <v/>
      </c>
      <c r="E32" s="65" t="str">
        <f>CalendarioBase!D7</f>
        <v/>
      </c>
      <c r="F32" s="65" t="str">
        <f>CalendarioBase!E7</f>
        <v/>
      </c>
      <c r="G32" s="65" t="str">
        <f>CalendarioBase!F7</f>
        <v/>
      </c>
      <c r="H32" s="65" t="str">
        <f>CalendarioBase!G7</f>
        <v/>
      </c>
      <c r="I32" s="28"/>
    </row>
    <row r="33" spans="1:14" ht="25.5" customHeight="1" x14ac:dyDescent="0.25">
      <c r="A33" s="28"/>
      <c r="B33" s="62" t="str" cm="1">
        <f t="array" ref="B33">IFERROR(IF(COUNTA(IFERROR(_xlfn._xlws.FILTER(INDEX(Tabela_ferias_folgas[],_xlfn.SEQUENCE(ROWS(Tabela_ferias_folgas[])),{7}),(Tabela_ferias_folgas[[Dia]:[Dia]]=B32)*(Tabela_ferias_folgas[[Mês]:[Mês]]=$F$3)*(Tabela_ferias_folgas[[Ano]:[Ano]]=$D$3)),""))&gt;4,_xlfn.TEXTJOIN("  ",1,_xlfn._xlws.FILTER(INDEX(Tabela_ferias_folgas[],_xlfn.SEQUENCE(ROWS(Tabela_ferias_folgas[])),{1}),(Tabela_ferias_folgas[[Dia]:[Dia]]=B32)*(Tabela_ferias_folgas[[Mês]:[Mês]]=$F$3)*(Tabela_ferias_folgas[[Ano]:[Ano]]=$D$3))),_xlfn._xlws.FILTER(INDEX(Tabela_ferias_folgas[],_xlfn.SEQUENCE(ROWS(Tabela_ferias_folgas[])),{7}),(Tabela_ferias_folgas[[Dia]:[Dia]]=B32)*(Tabela_ferias_folgas[[Mês]:[Mês]]=$F$3)*(Tabela_ferias_folgas[[Ano]:[Ano]]=$D$3))),"")</f>
        <v/>
      </c>
      <c r="C33" s="62" t="str" cm="1">
        <f t="array" ref="C33">IFERROR(IF(COUNTA(IFERROR(_xlfn._xlws.FILTER(INDEX(Tabela_ferias_folgas[],_xlfn.SEQUENCE(ROWS(Tabela_ferias_folgas[])),{7}),(Tabela_ferias_folgas[[Dia]:[Dia]]=C32)*(Tabela_ferias_folgas[[Mês]:[Mês]]=$F$3)*(Tabela_ferias_folgas[[Ano]:[Ano]]=$D$3)),""))&gt;4,_xlfn.TEXTJOIN("  ",1,_xlfn._xlws.FILTER(INDEX(Tabela_ferias_folgas[],_xlfn.SEQUENCE(ROWS(Tabela_ferias_folgas[])),{1}),(Tabela_ferias_folgas[[Dia]:[Dia]]=C32)*(Tabela_ferias_folgas[[Mês]:[Mês]]=$F$3)*(Tabela_ferias_folgas[[Ano]:[Ano]]=$D$3))),_xlfn._xlws.FILTER(INDEX(Tabela_ferias_folgas[],_xlfn.SEQUENCE(ROWS(Tabela_ferias_folgas[])),{7}),(Tabela_ferias_folgas[[Dia]:[Dia]]=C32)*(Tabela_ferias_folgas[[Mês]:[Mês]]=$F$3)*(Tabela_ferias_folgas[[Ano]:[Ano]]=$D$3))),"")</f>
        <v/>
      </c>
      <c r="D33" s="62" t="str" cm="1">
        <f t="array" ref="D33">IFERROR(IF(COUNTA(IFERROR(_xlfn._xlws.FILTER(INDEX(Tabela_ferias_folgas[],_xlfn.SEQUENCE(ROWS(Tabela_ferias_folgas[])),{7}),(Tabela_ferias_folgas[[Dia]:[Dia]]=D32)*(Tabela_ferias_folgas[[Mês]:[Mês]]=$F$3)*(Tabela_ferias_folgas[[Ano]:[Ano]]=$D$3)),""))&gt;4,_xlfn.TEXTJOIN("  ",1,_xlfn._xlws.FILTER(INDEX(Tabela_ferias_folgas[],_xlfn.SEQUENCE(ROWS(Tabela_ferias_folgas[])),{1}),(Tabela_ferias_folgas[[Dia]:[Dia]]=D32)*(Tabela_ferias_folgas[[Mês]:[Mês]]=$F$3)*(Tabela_ferias_folgas[[Ano]:[Ano]]=$D$3))),_xlfn._xlws.FILTER(INDEX(Tabela_ferias_folgas[],_xlfn.SEQUENCE(ROWS(Tabela_ferias_folgas[])),{7}),(Tabela_ferias_folgas[[Dia]:[Dia]]=D32)*(Tabela_ferias_folgas[[Mês]:[Mês]]=$F$3)*(Tabela_ferias_folgas[[Ano]:[Ano]]=$D$3))),"")</f>
        <v/>
      </c>
      <c r="E33" s="62" t="str" cm="1">
        <f t="array" ref="E33">IFERROR(IF(COUNTA(IFERROR(_xlfn._xlws.FILTER(INDEX(Tabela_ferias_folgas[],_xlfn.SEQUENCE(ROWS(Tabela_ferias_folgas[])),{7}),(Tabela_ferias_folgas[[Dia]:[Dia]]=E32)*(Tabela_ferias_folgas[[Mês]:[Mês]]=$F$3)*(Tabela_ferias_folgas[[Ano]:[Ano]]=$D$3)),""))&gt;4,_xlfn.TEXTJOIN("  ",1,_xlfn._xlws.FILTER(INDEX(Tabela_ferias_folgas[],_xlfn.SEQUENCE(ROWS(Tabela_ferias_folgas[])),{1}),(Tabela_ferias_folgas[[Dia]:[Dia]]=E32)*(Tabela_ferias_folgas[[Mês]:[Mês]]=$F$3)*(Tabela_ferias_folgas[[Ano]:[Ano]]=$D$3))),_xlfn._xlws.FILTER(INDEX(Tabela_ferias_folgas[],_xlfn.SEQUENCE(ROWS(Tabela_ferias_folgas[])),{7}),(Tabela_ferias_folgas[[Dia]:[Dia]]=E32)*(Tabela_ferias_folgas[[Mês]:[Mês]]=$F$3)*(Tabela_ferias_folgas[[Ano]:[Ano]]=$D$3))),"")</f>
        <v/>
      </c>
      <c r="F33" s="62" t="str" cm="1">
        <f t="array" ref="F33">IFERROR(IF(COUNTA(IFERROR(_xlfn._xlws.FILTER(INDEX(Tabela_ferias_folgas[],_xlfn.SEQUENCE(ROWS(Tabela_ferias_folgas[])),{7}),(Tabela_ferias_folgas[[Dia]:[Dia]]=F32)*(Tabela_ferias_folgas[[Mês]:[Mês]]=$F$3)*(Tabela_ferias_folgas[[Ano]:[Ano]]=$D$3)),""))&gt;4,_xlfn.TEXTJOIN("  ",1,_xlfn._xlws.FILTER(INDEX(Tabela_ferias_folgas[],_xlfn.SEQUENCE(ROWS(Tabela_ferias_folgas[])),{1}),(Tabela_ferias_folgas[[Dia]:[Dia]]=F32)*(Tabela_ferias_folgas[[Mês]:[Mês]]=$F$3)*(Tabela_ferias_folgas[[Ano]:[Ano]]=$D$3))),_xlfn._xlws.FILTER(INDEX(Tabela_ferias_folgas[],_xlfn.SEQUENCE(ROWS(Tabela_ferias_folgas[])),{7}),(Tabela_ferias_folgas[[Dia]:[Dia]]=F32)*(Tabela_ferias_folgas[[Mês]:[Mês]]=$F$3)*(Tabela_ferias_folgas[[Ano]:[Ano]]=$D$3))),"")</f>
        <v/>
      </c>
      <c r="G33" s="62" t="str" cm="1">
        <f t="array" ref="G33">IFERROR(IF(COUNTA(IFERROR(_xlfn._xlws.FILTER(INDEX(Tabela_ferias_folgas[],_xlfn.SEQUENCE(ROWS(Tabela_ferias_folgas[])),{7}),(Tabela_ferias_folgas[[Dia]:[Dia]]=G32)*(Tabela_ferias_folgas[[Mês]:[Mês]]=$F$3)*(Tabela_ferias_folgas[[Ano]:[Ano]]=$D$3)),""))&gt;4,_xlfn.TEXTJOIN("  ",1,_xlfn._xlws.FILTER(INDEX(Tabela_ferias_folgas[],_xlfn.SEQUENCE(ROWS(Tabela_ferias_folgas[])),{1}),(Tabela_ferias_folgas[[Dia]:[Dia]]=G32)*(Tabela_ferias_folgas[[Mês]:[Mês]]=$F$3)*(Tabela_ferias_folgas[[Ano]:[Ano]]=$D$3))),_xlfn._xlws.FILTER(INDEX(Tabela_ferias_folgas[],_xlfn.SEQUENCE(ROWS(Tabela_ferias_folgas[])),{7}),(Tabela_ferias_folgas[[Dia]:[Dia]]=G32)*(Tabela_ferias_folgas[[Mês]:[Mês]]=$F$3)*(Tabela_ferias_folgas[[Ano]:[Ano]]=$D$3))),"")</f>
        <v/>
      </c>
      <c r="H33" s="62" t="str" cm="1">
        <f t="array" ref="H33">IFERROR(IF(COUNTA(IFERROR(_xlfn._xlws.FILTER(INDEX(Tabela_ferias_folgas[],_xlfn.SEQUENCE(ROWS(Tabela_ferias_folgas[])),{7}),(Tabela_ferias_folgas[[Dia]:[Dia]]=H32)*(Tabela_ferias_folgas[[Mês]:[Mês]]=$F$3)*(Tabela_ferias_folgas[[Ano]:[Ano]]=$D$3)),""))&gt;4,_xlfn.TEXTJOIN("  ",1,_xlfn._xlws.FILTER(INDEX(Tabela_ferias_folgas[],_xlfn.SEQUENCE(ROWS(Tabela_ferias_folgas[])),{1}),(Tabela_ferias_folgas[[Dia]:[Dia]]=H32)*(Tabela_ferias_folgas[[Mês]:[Mês]]=$F$3)*(Tabela_ferias_folgas[[Ano]:[Ano]]=$D$3))),_xlfn._xlws.FILTER(INDEX(Tabela_ferias_folgas[],_xlfn.SEQUENCE(ROWS(Tabela_ferias_folgas[])),{7}),(Tabela_ferias_folgas[[Dia]:[Dia]]=H32)*(Tabela_ferias_folgas[[Mês]:[Mês]]=$F$3)*(Tabela_ferias_folgas[[Ano]:[Ano]]=$D$3))),"")</f>
        <v/>
      </c>
      <c r="I33" s="28"/>
    </row>
    <row r="34" spans="1:14" s="64" customFormat="1" ht="25.5" customHeight="1" x14ac:dyDescent="0.3">
      <c r="A34" s="63"/>
      <c r="B34" s="62"/>
      <c r="C34" s="62"/>
      <c r="D34" s="62"/>
      <c r="E34" s="62"/>
      <c r="F34" s="62"/>
      <c r="G34" s="62"/>
      <c r="H34" s="62"/>
      <c r="I34" s="63"/>
      <c r="J34" s="63"/>
      <c r="K34" s="63"/>
      <c r="L34" s="63"/>
      <c r="M34" s="63"/>
      <c r="N34" s="63"/>
    </row>
    <row r="35" spans="1:14" s="64" customFormat="1" ht="25.5" customHeight="1" x14ac:dyDescent="0.3">
      <c r="A35" s="63"/>
      <c r="B35" s="62"/>
      <c r="C35" s="62"/>
      <c r="D35" s="62"/>
      <c r="E35" s="62"/>
      <c r="F35" s="62"/>
      <c r="G35" s="62"/>
      <c r="H35" s="62"/>
      <c r="I35" s="63"/>
      <c r="J35" s="63"/>
      <c r="K35" s="63"/>
      <c r="L35" s="63"/>
      <c r="M35" s="63"/>
      <c r="N35" s="63"/>
    </row>
    <row r="36" spans="1:14" s="64" customFormat="1" ht="25.5" customHeight="1" x14ac:dyDescent="0.3">
      <c r="A36" s="63"/>
      <c r="B36" s="62"/>
      <c r="C36" s="62"/>
      <c r="D36" s="62"/>
      <c r="E36" s="62"/>
      <c r="F36" s="62"/>
      <c r="G36" s="62"/>
      <c r="H36" s="62"/>
      <c r="I36" s="63"/>
      <c r="J36" s="63"/>
      <c r="K36" s="63"/>
      <c r="L36" s="63"/>
      <c r="M36" s="63"/>
      <c r="N36" s="63"/>
    </row>
    <row r="37" spans="1:14" x14ac:dyDescent="0.25">
      <c r="A37" s="28"/>
      <c r="B37" s="59"/>
      <c r="C37" s="59"/>
      <c r="D37" s="59"/>
      <c r="E37" s="59"/>
      <c r="F37" s="59"/>
      <c r="G37" s="59"/>
      <c r="H37" s="59"/>
      <c r="I37" s="28"/>
    </row>
    <row r="38" spans="1:14" x14ac:dyDescent="0.25">
      <c r="A38" s="28"/>
      <c r="B38" s="59"/>
      <c r="C38" s="59"/>
      <c r="D38" s="59"/>
      <c r="E38" s="28"/>
      <c r="F38" s="28"/>
      <c r="G38" s="28"/>
      <c r="H38" s="28"/>
      <c r="I38" s="28"/>
    </row>
    <row r="39" spans="1:14" x14ac:dyDescent="0.25">
      <c r="A39" s="28"/>
      <c r="B39" s="59"/>
      <c r="C39" s="59"/>
      <c r="D39" s="59"/>
      <c r="E39" s="28"/>
      <c r="F39" s="28"/>
      <c r="G39" s="28"/>
      <c r="H39" s="28"/>
      <c r="I39" s="28"/>
    </row>
    <row r="40" spans="1:14" x14ac:dyDescent="0.25">
      <c r="A40" s="28"/>
      <c r="B40" s="59"/>
      <c r="C40" s="59"/>
      <c r="D40" s="59"/>
      <c r="E40" s="28"/>
      <c r="F40" s="28"/>
      <c r="G40" s="28"/>
      <c r="H40" s="28"/>
      <c r="I40" s="28"/>
    </row>
    <row r="41" spans="1:14" x14ac:dyDescent="0.25">
      <c r="A41" s="28"/>
      <c r="B41" s="59"/>
      <c r="C41" s="59"/>
      <c r="D41" s="59"/>
      <c r="E41" s="28"/>
      <c r="F41" s="28"/>
      <c r="G41" s="28"/>
      <c r="H41" s="28"/>
      <c r="I41" s="28"/>
    </row>
    <row r="42" spans="1:14" x14ac:dyDescent="0.25">
      <c r="A42" s="28"/>
      <c r="B42" s="59"/>
      <c r="C42" s="59"/>
      <c r="D42" s="59"/>
      <c r="E42" s="28"/>
      <c r="F42" s="28"/>
      <c r="G42" s="28"/>
      <c r="H42" s="28"/>
      <c r="I42" s="28"/>
    </row>
  </sheetData>
  <sheetProtection algorithmName="SHA-512" hashValue="GU5Otm2WhcY/5J2CZvwkB0wvYQkpC4UJSNdfs2XWaLGy9e1eczybZ+srFY2d6ShBK/lQPDSORugu8dtM2EQgEA==" saltValue="X6//7xI7h37f5BQy94iV6A==" spinCount="100000" sheet="1" objects="1" scenarios="1"/>
  <mergeCells count="2">
    <mergeCell ref="D2:E2"/>
    <mergeCell ref="D3:E3"/>
  </mergeCells>
  <conditionalFormatting sqref="B7:H7 B12:H12 B17:H17 B22:H22 B27:H27 B32:H32">
    <cfRule type="cellIs" dxfId="19" priority="43" operator="between">
      <formula>1</formula>
      <formula>31</formula>
    </cfRule>
  </conditionalFormatting>
  <conditionalFormatting sqref="B13:H16">
    <cfRule type="expression" dxfId="18" priority="22">
      <formula>COUNTIF(B$13,"*  *")&gt;0</formula>
    </cfRule>
  </conditionalFormatting>
  <conditionalFormatting sqref="B13:H16">
    <cfRule type="expression" dxfId="17" priority="36">
      <formula>AND(AND(B$12&gt;=1,B$12&lt;=31),B13="")</formula>
    </cfRule>
    <cfRule type="expression" dxfId="16" priority="47">
      <formula>AND(AND(B$12&gt;=1,B$12&lt;=31),B13&lt;&gt;"")</formula>
    </cfRule>
  </conditionalFormatting>
  <conditionalFormatting sqref="B18:H21">
    <cfRule type="expression" dxfId="15" priority="21">
      <formula>COUNTIF(B$18,"*  *")&gt;0</formula>
    </cfRule>
    <cfRule type="expression" dxfId="14" priority="48">
      <formula>AND(AND(B$17&gt;=1,B$17&lt;=31),B18="")</formula>
    </cfRule>
  </conditionalFormatting>
  <conditionalFormatting sqref="B18:H21">
    <cfRule type="expression" dxfId="13" priority="34">
      <formula>AND(AND(B$17&gt;=1,B$17&lt;=31),B18&lt;&gt;"")</formula>
    </cfRule>
  </conditionalFormatting>
  <conditionalFormatting sqref="B8:H11">
    <cfRule type="expression" dxfId="12" priority="18">
      <formula>COUNTIF(B$8,"*  *")&gt;0</formula>
    </cfRule>
    <cfRule type="expression" dxfId="11" priority="38">
      <formula>AND(AND(B$7&gt;=1,B$7&lt;=31),B8&lt;&gt;"")</formula>
    </cfRule>
    <cfRule type="expression" dxfId="10" priority="39">
      <formula>AND(AND(B$7&gt;=1,B$7&lt;=31),B8="")</formula>
    </cfRule>
  </conditionalFormatting>
  <conditionalFormatting sqref="B23:H26">
    <cfRule type="expression" dxfId="9" priority="14">
      <formula>COUNTIF(B$23,"*  *")&gt;0</formula>
    </cfRule>
    <cfRule type="expression" dxfId="8" priority="52">
      <formula>AND(AND(B$22&gt;=1,B$22&lt;=31),B23="")</formula>
    </cfRule>
  </conditionalFormatting>
  <conditionalFormatting sqref="B23:H26">
    <cfRule type="expression" dxfId="7" priority="31">
      <formula>AND(AND(B$22&gt;=1,B$22&lt;=31),B23&lt;&gt;"")</formula>
    </cfRule>
  </conditionalFormatting>
  <conditionalFormatting sqref="B28:H31">
    <cfRule type="expression" dxfId="6" priority="9">
      <formula>COUNTIF(B$28,"*  *")&gt;0</formula>
    </cfRule>
    <cfRule type="expression" dxfId="5" priority="50">
      <formula>AND(AND(B$27&gt;=1,B$27&lt;=31),B28="")</formula>
    </cfRule>
  </conditionalFormatting>
  <conditionalFormatting sqref="B28:H31">
    <cfRule type="expression" dxfId="4" priority="28">
      <formula>AND(AND(B$27&gt;=1,B$27&lt;=31),B28&lt;&gt;"")</formula>
    </cfRule>
  </conditionalFormatting>
  <conditionalFormatting sqref="B33:H36">
    <cfRule type="expression" dxfId="3" priority="2">
      <formula>COUNTIF(B$33,"*  *")&gt;0</formula>
    </cfRule>
    <cfRule type="expression" dxfId="2" priority="49">
      <formula>AND(AND(B$32&gt;=1,B$32&lt;=31),B33="")</formula>
    </cfRule>
  </conditionalFormatting>
  <conditionalFormatting sqref="B33:H36">
    <cfRule type="expression" dxfId="1" priority="24">
      <formula>AND(AND(B$32&gt;=1,B$32&lt;=31),B33&lt;&gt;"")</formula>
    </cfRule>
  </conditionalFormatting>
  <dataValidations count="2">
    <dataValidation type="list" allowBlank="1" showInputMessage="1" showErrorMessage="1" sqref="D2:E2" xr:uid="{67B26542-BEAA-4CAE-BAE7-DC92FB9D2402}">
      <formula1>"Janeiro,Fevereiro,Março,Abril,Maio,Junho,Julho,Agosto,Setembro,Outubro,Novembro,Dezembro"</formula1>
    </dataValidation>
    <dataValidation type="list" allowBlank="1" showInputMessage="1" showErrorMessage="1" sqref="D3:E3" xr:uid="{8FA5BD4E-9148-4B4D-950D-9E52211AA4AF}">
      <formula1>"2023;2024;2025;2026;2027;2028;2029;2030"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DF9111-CF89-4ADA-9E16-DF5076A620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geral</vt:lpstr>
      <vt:lpstr>Planilha1</vt:lpstr>
      <vt:lpstr>Fixo</vt:lpstr>
      <vt:lpstr>Férias</vt:lpstr>
      <vt:lpstr>IgnorarFixo</vt:lpstr>
      <vt:lpstr>Equipe</vt:lpstr>
      <vt:lpstr>Opções</vt:lpstr>
      <vt:lpstr>tudo</vt:lpstr>
      <vt:lpstr>Visualização</vt:lpstr>
      <vt:lpstr>CalendarioBase</vt:lpstr>
      <vt:lpstr>ferias_folgas</vt:lpstr>
      <vt:lpstr>Calendario</vt:lpstr>
      <vt:lpstr>visualizacao_calend</vt:lpstr>
      <vt:lpstr>visualizacao_livro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João W</dc:creator>
  <cp:keywords/>
  <dc:description/>
  <cp:lastModifiedBy>Agendamento Sane</cp:lastModifiedBy>
  <cp:revision/>
  <dcterms:created xsi:type="dcterms:W3CDTF">2015-06-05T18:17:20Z</dcterms:created>
  <dcterms:modified xsi:type="dcterms:W3CDTF">2023-10-27T22:00:06Z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64d9a5-835f-4931-87f3-7b0fbfdc422c_Enabled">
    <vt:lpwstr>true</vt:lpwstr>
  </property>
  <property fmtid="{D5CDD505-2E9C-101B-9397-08002B2CF9AE}" pid="3" name="MSIP_Label_8f64d9a5-835f-4931-87f3-7b0fbfdc422c_SetDate">
    <vt:lpwstr>2023-07-06T14:38:13Z</vt:lpwstr>
  </property>
  <property fmtid="{D5CDD505-2E9C-101B-9397-08002B2CF9AE}" pid="4" name="MSIP_Label_8f64d9a5-835f-4931-87f3-7b0fbfdc422c_Method">
    <vt:lpwstr>Standard</vt:lpwstr>
  </property>
  <property fmtid="{D5CDD505-2E9C-101B-9397-08002B2CF9AE}" pid="5" name="MSIP_Label_8f64d9a5-835f-4931-87f3-7b0fbfdc422c_Name">
    <vt:lpwstr>LGPD</vt:lpwstr>
  </property>
  <property fmtid="{D5CDD505-2E9C-101B-9397-08002B2CF9AE}" pid="6" name="MSIP_Label_8f64d9a5-835f-4931-87f3-7b0fbfdc422c_SiteId">
    <vt:lpwstr>65ce7fd8-a5b8-4103-997e-da068cd85fd5</vt:lpwstr>
  </property>
  <property fmtid="{D5CDD505-2E9C-101B-9397-08002B2CF9AE}" pid="7" name="MSIP_Label_8f64d9a5-835f-4931-87f3-7b0fbfdc422c_ActionId">
    <vt:lpwstr>87e7d8fe-8fa6-4847-b78b-ea25d91db2b3</vt:lpwstr>
  </property>
  <property fmtid="{D5CDD505-2E9C-101B-9397-08002B2CF9AE}" pid="8" name="MSIP_Label_8f64d9a5-835f-4931-87f3-7b0fbfdc422c_ContentBits">
    <vt:lpwstr>0</vt:lpwstr>
  </property>
</Properties>
</file>